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(1)" sheetId="1" r:id="rId5"/>
    <sheet state="visible" name="1 - RASA Worldwide" sheetId="2" r:id="rId6"/>
    <sheet state="visible" name="2 - RASA - Ballpark" sheetId="3" r:id="rId7"/>
    <sheet state="visible" name="4 - RASA - MVT" sheetId="4" r:id="rId8"/>
    <sheet state="visible" name="5 - RASA - National Landin" sheetId="5" r:id="rId9"/>
    <sheet state="visible" name="6 - RASA - Mosaic" sheetId="6" r:id="rId10"/>
    <sheet state="visible" name="7 - RASA - Rockville" sheetId="7" r:id="rId11"/>
    <sheet state="hidden" name="3 - RASA Rising" sheetId="8" r:id="rId12"/>
  </sheets>
  <definedNames/>
  <calcPr/>
</workbook>
</file>

<file path=xl/sharedStrings.xml><?xml version="1.0" encoding="utf-8"?>
<sst xmlns="http://schemas.openxmlformats.org/spreadsheetml/2006/main" count="3754" uniqueCount="781">
  <si>
    <t>P&amp;L - Per. &amp; YTD vs Budget and PY</t>
  </si>
  <si>
    <t>08/23/2026</t>
  </si>
  <si>
    <t>2 - RASA - Ballpark</t>
  </si>
  <si>
    <t>4 - RASA - MVT</t>
  </si>
  <si>
    <t>1 - RASA Worldwide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</si>
  <si>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</si>
  <si>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</si>
  <si>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</si>
  <si>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</si>
  <si>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</si>
  <si>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</si>
  <si>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</si>
  <si>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</si>
  <si>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</si>
  <si>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</si>
  <si>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</si>
  <si>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</si>
  <si>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</si>
  <si>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</si>
  <si>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</si>
  <si>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</si>
  <si>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</si>
  <si>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</si>
  <si>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</si>
  <si>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</si>
  <si>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</si>
  <si>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</si>
  <si>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</si>
  <si>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</si>
  <si>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</si>
  <si>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</si>
  <si>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</si>
  <si>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</si>
  <si>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</si>
  <si>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</si>
  <si>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</si>
  <si>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</si>
  <si>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</si>
  <si>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</si>
  <si>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</si>
  <si>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</si>
  <si>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</si>
  <si>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</si>
  <si>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</si>
  <si>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</si>
  <si>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</si>
  <si>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</si>
  <si>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</si>
  <si>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</si>
  <si>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</si>
  <si>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</si>
  <si>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</si>
  <si>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</si>
  <si>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</si>
  <si>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</si>
  <si>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</si>
  <si>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</si>
  <si>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</si>
  <si>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</si>
  <si>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</si>
  <si>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</si>
  <si>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</si>
  <si>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</si>
  <si>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</si>
  <si>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</si>
  <si>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</si>
  <si>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</si>
  <si>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</si>
  <si>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</si>
  <si>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</si>
  <si>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</si>
  <si>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</si>
  <si>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</si>
  <si>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</si>
  <si>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</si>
  <si>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</si>
  <si>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</si>
  <si>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</si>
  <si>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</si>
  <si>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</si>
  <si>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</si>
  <si>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</si>
  <si>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</si>
  <si>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</si>
  <si>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</si>
  <si>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</si>
  <si>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</si>
  <si>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</si>
  <si>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</si>
  <si>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</si>
  <si>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</si>
  <si>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</si>
  <si>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</si>
  <si>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</si>
  <si>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</si>
  <si>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</si>
  <si>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</si>
  <si>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</si>
  <si>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</si>
  <si>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</si>
  <si>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</si>
  <si>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</si>
  <si>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</si>
  <si>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</si>
  <si>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</si>
  <si>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</si>
  <si>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</si>
  <si>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</si>
  <si>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</si>
  <si>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</si>
  <si>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</si>
  <si>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</si>
  <si>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</si>
  <si>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</si>
  <si>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</si>
  <si>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</si>
  <si>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</si>
  <si>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</si>
  <si>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</si>
  <si>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</si>
  <si>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</si>
  <si>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</si>
  <si>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</si>
  <si>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</si>
  <si>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</si>
  <si>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</si>
  <si>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</si>
  <si>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</si>
  <si>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</si>
  <si>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</si>
  <si>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</si>
  <si>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</si>
  <si>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</si>
  <si>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</si>
  <si>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</si>
  <si>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</si>
  <si>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</si>
  <si>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</si>
  <si>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</si>
  <si>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</si>
  <si>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</si>
  <si>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</si>
  <si>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</si>
  <si>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</si>
  <si>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</si>
  <si>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</si>
  <si>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</si>
  <si>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</si>
  <si>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</si>
  <si>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</si>
  <si>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</si>
  <si>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</si>
  <si>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</si>
  <si>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</si>
  <si>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</si>
  <si>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</si>
  <si>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</si>
  <si>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</si>
  <si>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</si>
  <si>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</si>
  <si>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</si>
  <si>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</si>
  <si>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</si>
  <si>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</si>
  <si>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</si>
  <si>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</si>
  <si>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</si>
  <si>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</si>
  <si>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</si>
  <si>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</si>
  <si>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</si>
  <si>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</si>
  <si>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</si>
  <si>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</si>
  <si>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</si>
  <si>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</si>
  <si>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</si>
  <si>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</si>
  <si>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</si>
  <si>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</si>
  <si>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</si>
  <si>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</si>
  <si>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</si>
  <si>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</si>
  <si>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</si>
  <si>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</si>
  <si>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</si>
  <si>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</si>
  <si>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</si>
  <si>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</si>
  <si>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</si>
  <si>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</si>
  <si>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</si>
  <si>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</si>
  <si>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</si>
  <si>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</si>
  <si>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</si>
  <si>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</si>
  <si>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</si>
  <si>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</si>
  <si>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</si>
  <si>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</si>
  <si>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</si>
  <si>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</si>
  <si>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</si>
  <si>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</si>
  <si>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</si>
  <si>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</si>
  <si>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</si>
  <si>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</si>
  <si>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</si>
  <si>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</si>
  <si>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</si>
  <si>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</si>
  <si>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</si>
  <si>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</si>
  <si>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</si>
  <si>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</si>
  <si>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</si>
  <si>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</si>
  <si>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</si>
  <si>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</si>
  <si>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</si>
  <si>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</si>
  <si>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</si>
  <si>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</si>
  <si>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</si>
  <si>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</si>
  <si>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</si>
  <si>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</si>
  <si>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</si>
  <si>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</si>
  <si>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</si>
  <si>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</si>
  <si>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</si>
  <si>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</si>
  <si>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</si>
  <si>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</si>
  <si>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</si>
  <si>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</si>
  <si>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</si>
  <si>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</si>
  <si>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</si>
  <si>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</si>
  <si>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</si>
  <si>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</si>
  <si>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</si>
  <si>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</si>
  <si>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</si>
  <si>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</si>
  <si>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</si>
  <si>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</si>
  <si>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</si>
  <si>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</si>
  <si>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</si>
  <si>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</si>
  <si>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</si>
  <si>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</si>
  <si>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</si>
  <si>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</si>
  <si>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</si>
  <si>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</si>
  <si>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</si>
  <si>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</si>
  <si>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</si>
  <si>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</si>
  <si>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</si>
  <si>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</si>
  <si>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</si>
  <si>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</si>
  <si>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</si>
  <si>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</si>
  <si>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</si>
  <si>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</si>
  <si>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</si>
  <si>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</si>
  <si>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</si>
  <si>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</si>
  <si>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</si>
  <si>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</si>
  <si>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</si>
  <si>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</si>
  <si>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</si>
  <si>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</si>
  <si>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</si>
  <si>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</si>
  <si>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</si>
  <si>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</si>
  <si>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</si>
  <si>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</si>
  <si>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</si>
  <si>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</si>
  <si>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</si>
  <si>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</si>
  <si>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</si>
  <si>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</si>
  <si>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</si>
  <si>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</si>
  <si>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</si>
  <si>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</si>
  <si>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</si>
  <si>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</si>
  <si>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</si>
  <si>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</si>
  <si>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</si>
  <si>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</si>
  <si>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</si>
  <si>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</si>
  <si>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</si>
  <si>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</si>
  <si>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</si>
  <si>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</si>
  <si>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</si>
  <si>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</si>
  <si>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</si>
  <si>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</si>
  <si>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</si>
  <si>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</si>
  <si>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</si>
  <si>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</si>
  <si>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</si>
  <si>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</si>
  <si>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</si>
  <si>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</si>
  <si>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</si>
  <si>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</si>
  <si>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</si>
  <si>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</si>
  <si>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</si>
  <si>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</si>
  <si>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</si>
  <si>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</si>
  <si>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</si>
  <si>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</si>
  <si>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</si>
  <si>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</si>
  <si>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</si>
  <si>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</si>
  <si>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</si>
  <si>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</si>
  <si>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</si>
  <si>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</si>
  <si>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</si>
  <si>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</si>
  <si>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</si>
  <si>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</si>
  <si>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</si>
  <si>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</si>
  <si>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</si>
  <si>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</si>
  <si>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</si>
  <si>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</si>
  <si>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</si>
  <si>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</si>
  <si>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</si>
  <si>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</si>
  <si>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</si>
  <si>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</si>
  <si>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</si>
  <si>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</si>
  <si>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</si>
  <si>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</si>
  <si>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</si>
  <si>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</si>
  <si>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</si>
  <si>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</si>
  <si>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</si>
  <si>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</si>
  <si>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</si>
  <si>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</si>
  <si>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</si>
  <si>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</si>
  <si>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</si>
  <si>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</si>
  <si>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</si>
  <si>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</si>
  <si>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</si>
  <si>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</si>
  <si>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</si>
  <si>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</si>
  <si>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</si>
  <si>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</si>
  <si>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</si>
  <si>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</si>
  <si>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</si>
  <si>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</si>
  <si>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</si>
  <si>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</si>
  <si>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</si>
  <si>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</si>
  <si>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</si>
  <si>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</si>
  <si>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</si>
  <si>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</si>
  <si>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</si>
  <si>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</si>
  <si>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</si>
  <si>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</si>
  <si>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</si>
  <si>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</si>
  <si>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</si>
  <si>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</si>
  <si>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</si>
  <si>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</si>
  <si>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</si>
  <si>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</si>
  <si>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</si>
  <si>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</si>
  <si>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</si>
  <si>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</si>
  <si>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</si>
  <si>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</si>
  <si>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</si>
  <si>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Reviewed by:  Jeremy Michl, Senior Account Manager</t>
  </si>
  <si>
    <t>Powered by Restaurant365</t>
  </si>
  <si>
    <t>1</t>
  </si>
  <si>
    <t>09/04/2026 03:06 PM PDT</t>
  </si>
  <si>
    <t>5 - RASA - National Landing</t>
  </si>
  <si>
    <t>6 - RASA - Mosaic</t>
  </si>
  <si>
    <t>7 - RASA - Rockville</t>
  </si>
  <si>
    <t>Trailing 12 Detail P&amp;L</t>
  </si>
  <si>
    <t>3 - RASA Rising</t>
  </si>
  <si>
    <t>Period 9, 2025</t>
  </si>
  <si>
    <t>Period 10, 2025</t>
  </si>
  <si>
    <t>Period 11, 2025</t>
  </si>
  <si>
    <t>Period 12, 2025</t>
  </si>
  <si>
    <t>Period 1, 2026</t>
  </si>
  <si>
    <t>Period 2, 2026</t>
  </si>
  <si>
    <t>Period 3, 2026</t>
  </si>
  <si>
    <t>Period 4, 2026</t>
  </si>
  <si>
    <t>Period 5, 2026</t>
  </si>
  <si>
    <t>Period 6, 2026</t>
  </si>
  <si>
    <t>Period 7, 2026</t>
  </si>
  <si>
    <t>PTD 8, 2026</t>
  </si>
  <si>
    <t>Total</t>
  </si>
  <si>
    <t>Total PY</t>
  </si>
  <si>
    <t>40000 - Sales</t>
  </si>
  <si>
    <t>40001 - Single Plate In-House Sales</t>
  </si>
  <si>
    <t>40100 - Food</t>
  </si>
  <si>
    <t>40200 - N/A Beverage</t>
  </si>
  <si>
    <t>40300 - Beer</t>
  </si>
  <si>
    <t>40400 - Liquor</t>
  </si>
  <si>
    <t>40500 - Wine</t>
  </si>
  <si>
    <t>40600 - Retail</t>
  </si>
  <si>
    <t>40900 - DNU_Wow Bao Sales</t>
  </si>
  <si>
    <t>41000 - DNU_Digital Sales</t>
  </si>
  <si>
    <t>41005 - Takeout Sales</t>
  </si>
  <si>
    <t>41010 - Takeout Sales - RASA Website</t>
  </si>
  <si>
    <t>41015 - Takeout Sales - RASA App</t>
  </si>
  <si>
    <t>41020 - Takeout Sales - DoorDash</t>
  </si>
  <si>
    <t>41070 - Takeout Sales - GrubHub</t>
  </si>
  <si>
    <t>41120 - Takeout Sales - Uber Eats</t>
  </si>
  <si>
    <t>42090 - Takeout Sales - Ritual</t>
  </si>
  <si>
    <t>42110 - Takeout Sales - Too Good To Go</t>
  </si>
  <si>
    <t>42000 - Delivery Sales</t>
  </si>
  <si>
    <t>41080 - Delivery Sales - Hungry Marketplace</t>
  </si>
  <si>
    <t>42020 - Delivery Sales - DoorDash</t>
  </si>
  <si>
    <t>42060 - Delivery Sales - Google</t>
  </si>
  <si>
    <t>42070 - Delivery Sales - GrubHub</t>
  </si>
  <si>
    <t>42120 - Delivery Sales - Uber Eats</t>
  </si>
  <si>
    <t>42300 - Delivery Sales - RASA App</t>
  </si>
  <si>
    <t>43000 - DNU_Delivery Sales - RASA Website</t>
  </si>
  <si>
    <t>43020 - Delivery Sales - RASA Website</t>
  </si>
  <si>
    <t>42001 - Catering Sales</t>
  </si>
  <si>
    <t>40800 - Catering Sales - RASA Website</t>
  </si>
  <si>
    <t>42004 - DNU_RASA Owned Catering Sales</t>
  </si>
  <si>
    <t>42005 - Catering Sales - Other 3rd Party</t>
  </si>
  <si>
    <t>42010 - Catering Sales - Cater Cow</t>
  </si>
  <si>
    <t>42030 - Catering Sales - EZ Cater</t>
  </si>
  <si>
    <t>42040 - Catering Sales - Food Fleet</t>
  </si>
  <si>
    <t>42080 - Catering Sales - Hungry Marketplace</t>
  </si>
  <si>
    <t>42100 - Catering Sales - Territory Foods</t>
  </si>
  <si>
    <t>42130 - Catering Sales - WCK</t>
  </si>
  <si>
    <t>42140 - Catering Sales - Foodworks</t>
  </si>
  <si>
    <t>42150 - Catering Sales - Foodee</t>
  </si>
  <si>
    <t>42160 - Catering Sales - Sharebite</t>
  </si>
  <si>
    <t>42170 - Catering Sales - Cater 2 Me</t>
  </si>
  <si>
    <t>42175 - Catering Sales - ZeroCater</t>
  </si>
  <si>
    <t>42180 - Catering Sales - Homemade in DC</t>
  </si>
  <si>
    <t>42190 - Catering Sales - Budeli</t>
  </si>
  <si>
    <t>42191 - Catering Sales - Club Feast</t>
  </si>
  <si>
    <t>43500 - Offsites</t>
  </si>
  <si>
    <t>42050 - Offsites - Fooda</t>
  </si>
  <si>
    <t>42185 - Offsites - Aramark</t>
  </si>
  <si>
    <t>42192 - Offsites - Compass</t>
  </si>
  <si>
    <t>42195 - Offsites - Eurest</t>
  </si>
  <si>
    <t>42205 - Offsites - Taher</t>
  </si>
  <si>
    <t>42210 - Offsites - Metz Corp</t>
  </si>
  <si>
    <t>42215 - Offsites - Guest Services</t>
  </si>
  <si>
    <t>42220 - Offsites - Cureate</t>
  </si>
  <si>
    <t>44000 - Delivery Fee Income</t>
  </si>
  <si>
    <t>40950 - Delivery Service Charge</t>
  </si>
  <si>
    <t>44001 - Delivery Fee - Online Ordering</t>
  </si>
  <si>
    <t>44010 - Delivery Fee - Cater Cow</t>
  </si>
  <si>
    <t>44020 - Delivery Fee - Delivery by DoorDash (WL)</t>
  </si>
  <si>
    <t>44030 - Delivery Fee - EZ Cater</t>
  </si>
  <si>
    <t>44040 - Delivery Fee - GrubHub</t>
  </si>
  <si>
    <t>44050 - Delivery Fee - Sharebite</t>
  </si>
  <si>
    <t>44060 - Delivery Fee - Fooda</t>
  </si>
  <si>
    <t>44070 - Delivery Fee - Uber Eats</t>
  </si>
  <si>
    <t>44075 - Delivery Fee - Cater 2 Me</t>
  </si>
  <si>
    <t>44080 - Delivery Fee - ZeroCater</t>
  </si>
  <si>
    <t>44090 - Delivery Fee - Compass</t>
  </si>
  <si>
    <t>45000 - Sales Adjustments</t>
  </si>
  <si>
    <t>45005 - Open App Sales Adjustments</t>
  </si>
  <si>
    <t>45100 - Open Tickets</t>
  </si>
  <si>
    <t>46000 - Toast Order Processing Fees</t>
  </si>
  <si>
    <t>49000 - Discounts / Refunds</t>
  </si>
  <si>
    <t>49100 - Squad Discount</t>
  </si>
  <si>
    <t>49200 - Squad Meals</t>
  </si>
  <si>
    <t>49300 - Free Meal Cards (This Ones on Us)</t>
  </si>
  <si>
    <t>49400 - Open App Loyalty</t>
  </si>
  <si>
    <t>49401 - Magic Fund</t>
  </si>
  <si>
    <t>49405 - Manager Comps</t>
  </si>
  <si>
    <t>49410 - Open App Promos</t>
  </si>
  <si>
    <t>49415 - SLT Comps</t>
  </si>
  <si>
    <t>49420 - Open App Store Credits</t>
  </si>
  <si>
    <t>49425 - LSM Comps</t>
  </si>
  <si>
    <t>49430 - Meridian Resident Online Order</t>
  </si>
  <si>
    <t>49435 - Catering Comps</t>
  </si>
  <si>
    <t>49440 - Veg Society 10% Off</t>
  </si>
  <si>
    <t>49445 - Partnerships</t>
  </si>
  <si>
    <t>49459 - Discounts / Refunds Given Other</t>
  </si>
  <si>
    <t>49460 - Doordash Service Charge</t>
  </si>
  <si>
    <t>49500 - RASA Tab 50/100</t>
  </si>
  <si>
    <t>49550 - COVID-19</t>
  </si>
  <si>
    <t>49560 - 50% Off Bowl Card</t>
  </si>
  <si>
    <t>49561 - 50% off Bowl Card - NL</t>
  </si>
  <si>
    <t>49570 - HBD3</t>
  </si>
  <si>
    <t>49580 - Veg Society Online Order 10% Off</t>
  </si>
  <si>
    <t>49590 - Yale Steam Condos Online Order</t>
  </si>
  <si>
    <t>82602 - Other Income_WCK</t>
  </si>
  <si>
    <t>82604 - Other Income_OTP</t>
  </si>
  <si>
    <t>82605 - Other Income_To Good To Go</t>
  </si>
  <si>
    <t>49600 - Toast Order Processing Fee Pass-Through</t>
  </si>
  <si>
    <t>50000 - Food &amp; Beverage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</si>
  <si>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</si>
  <si>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</si>
  <si>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</si>
  <si>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</si>
  <si>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</si>
  <si>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</si>
  <si>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</si>
  <si>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</si>
  <si>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</si>
  <si>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</si>
  <si>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</si>
  <si>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</si>
  <si>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50101 - Beverage Costs</t>
  </si>
  <si>
    <t>50200 - COGS - N/A Beverage</t>
  </si>
  <si>
    <t>50300 - COGS - Beer</t>
  </si>
  <si>
    <t>50400 - COGS - Liquor</t>
  </si>
  <si>
    <t>50500 - COGS - Wine</t>
  </si>
  <si>
    <t>50550 - Other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</si>
  <si>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</si>
  <si>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</si>
  <si>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</si>
  <si>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</si>
  <si>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</si>
  <si>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</si>
  <si>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</si>
  <si>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</si>
  <si>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</si>
  <si>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</si>
  <si>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</si>
  <si>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50800 - COGS - Freight, Delivery, &amp; Sales Tax</t>
  </si>
  <si>
    <t>50850 - COGS - Fuel Surcharge</t>
  </si>
  <si>
    <t>50900 - COGS - Credit for Discounts</t>
  </si>
  <si>
    <t>61000 - Payroll Expenses</t>
  </si>
  <si>
    <t>61100 - Salaries &amp; Wages</t>
  </si>
  <si>
    <t>61110 - Management</t>
  </si>
  <si>
    <t>61120 - Culinary</t>
  </si>
  <si>
    <t>61150 - Hourly</t>
  </si>
  <si>
    <t>61200 - Overtime</t>
  </si>
  <si>
    <t>61105 - Salaries &amp; Wages Adjustment</t>
  </si>
  <si>
    <t>61250 - Bonus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</si>
  <si>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</si>
  <si>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</si>
  <si>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</si>
  <si>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</si>
  <si>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</si>
  <si>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</si>
  <si>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</si>
  <si>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61400 - Payroll Processing Fee</t>
  </si>
  <si>
    <t>61500 - Health Insurance</t>
  </si>
  <si>
    <t>62100 - Supplies</t>
  </si>
  <si>
    <t>62101 - Cleaning &amp; Maintenance Supplies</t>
  </si>
  <si>
    <t>62102 - Kitchen Supplies</t>
  </si>
  <si>
    <t>62103 - FOH Supplies</t>
  </si>
  <si>
    <t>62104 - Towel &amp; Doormat Service</t>
  </si>
  <si>
    <t>62105 - Kitchen Smallwares</t>
  </si>
  <si>
    <t>62950 - Uniforms</t>
  </si>
  <si>
    <t>63301 - Office Supplies</t>
  </si>
  <si>
    <t>62200 - Marketing</t>
  </si>
  <si>
    <t>62201 - Third-Party Promos</t>
  </si>
  <si>
    <t>62220 - DoorDash Promos</t>
  </si>
  <si>
    <t>62225 - EZ Cater Promos</t>
  </si>
  <si>
    <t>62240 - GrubHub Promos</t>
  </si>
  <si>
    <t>62255 - Uber Eats Promos</t>
  </si>
  <si>
    <t>62202 - Free Meal Cards - This Ones On Us</t>
  </si>
  <si>
    <t>62203 - To Go Bags</t>
  </si>
  <si>
    <t>62204 - Social Media Management</t>
  </si>
  <si>
    <t>62205 - Other Marketing Expenses</t>
  </si>
  <si>
    <t>62206 - Squad Discounts</t>
  </si>
  <si>
    <t>62207 - Squad Meal</t>
  </si>
  <si>
    <t>62208 - Toast Takeout Reward</t>
  </si>
  <si>
    <t>62210 - Rewards Network</t>
  </si>
  <si>
    <t>62299 - Delivery Fees</t>
  </si>
  <si>
    <t>62303 - Delivery Driver Expenses</t>
  </si>
  <si>
    <t>62304 - DoorDash White Label Fees</t>
  </si>
  <si>
    <t>62305 - DeliverThat Fees</t>
  </si>
  <si>
    <t>62306 - First Delivery Fees</t>
  </si>
  <si>
    <t>62307 - Nash Fees</t>
  </si>
  <si>
    <t>62308 - Open App Fees</t>
  </si>
  <si>
    <t>62300 - Third-Party Fees</t>
  </si>
  <si>
    <t>62302 - Delivery Partner Commissions</t>
  </si>
  <si>
    <t>62315 - Cater Cow Commissions</t>
  </si>
  <si>
    <t>62320 - DoorDash Commissions</t>
  </si>
  <si>
    <t>62325 - EZ Cater Commissions</t>
  </si>
  <si>
    <t>62330 - Fooda Commissions</t>
  </si>
  <si>
    <t>62335 - Google Commissions</t>
  </si>
  <si>
    <t>62340 - GrubHub Commissions</t>
  </si>
  <si>
    <t>62345 - Ritual Commissions</t>
  </si>
  <si>
    <t>62350 - Too Good To Go Commissions</t>
  </si>
  <si>
    <t>62355 - Uber Eats Commissions</t>
  </si>
  <si>
    <t>62360 - Foodee Commissions</t>
  </si>
  <si>
    <t>62365 - ShareBite Commissions</t>
  </si>
  <si>
    <t>62370 - Cater 2 Me Commissions</t>
  </si>
  <si>
    <t>62375 - ZeroCater Commissions</t>
  </si>
  <si>
    <t>62380 - Aramark Commissions</t>
  </si>
  <si>
    <t>62385 - Budeli Commissions</t>
  </si>
  <si>
    <t>62390 - Club Feast Commissions</t>
  </si>
  <si>
    <t>62395 - Food Fleet Commissions</t>
  </si>
  <si>
    <t>62605 - Eurest Commissions</t>
  </si>
  <si>
    <t>62610 - Taher Commissions</t>
  </si>
  <si>
    <t>62615 - Metz Corp Commissions</t>
  </si>
  <si>
    <t>62620 - Guest Services Commissions</t>
  </si>
  <si>
    <t>62625 - Foodworks Commissions</t>
  </si>
  <si>
    <t>62301 - Credit Card Fees</t>
  </si>
  <si>
    <t>62310 - Chargebacks</t>
  </si>
  <si>
    <t>62500 - Insurance</t>
  </si>
  <si>
    <t>62501 - Workers Compensation Insurance</t>
  </si>
  <si>
    <t>62502 - Business Owners Policy</t>
  </si>
  <si>
    <t>62503 - Auto Insurance</t>
  </si>
  <si>
    <t>63100 - Professional Fees</t>
  </si>
  <si>
    <t>62209 - Public Relations</t>
  </si>
  <si>
    <t>63101 - Legal Fees</t>
  </si>
  <si>
    <t>63102 - Accounting Fees</t>
  </si>
  <si>
    <t>63103 - Subcontractors Fees</t>
  </si>
  <si>
    <t>63104 - Architect Fees</t>
  </si>
  <si>
    <t>63105 - Consultant Fees</t>
  </si>
  <si>
    <t>63106 - Photography Fees</t>
  </si>
  <si>
    <t>63108 - Organizational cost</t>
  </si>
  <si>
    <t>64300 - Repairs &amp; Maintenance</t>
  </si>
  <si>
    <t>64105 - Scrubber Expense</t>
  </si>
  <si>
    <t>64301 - R&amp;M - Hood Cleaning</t>
  </si>
  <si>
    <t>64302 - R&amp;M - Pest Control</t>
  </si>
  <si>
    <t>64303 - R&amp;M - Building, General</t>
  </si>
  <si>
    <t>64304 - R&amp;M - Equipment, General</t>
  </si>
  <si>
    <t>64305 - R&amp;M - Refrigeration</t>
  </si>
  <si>
    <t>64306 - R&amp;M - HVAC</t>
  </si>
  <si>
    <t>64307 - R&amp;M - Preventative Maintenance</t>
  </si>
  <si>
    <t>64500 - Other Expenses</t>
  </si>
  <si>
    <t>61800 - Recruitment Expense</t>
  </si>
  <si>
    <t>62400 - Equipment Rental</t>
  </si>
  <si>
    <t>62675 - Meals &amp; Entertainment</t>
  </si>
  <si>
    <t>62876 - Travel:Travel Meals</t>
  </si>
  <si>
    <t>62900 - Tools</t>
  </si>
  <si>
    <t>63107 - Patio Permit Expense</t>
  </si>
  <si>
    <t>63200 - Donations</t>
  </si>
  <si>
    <t>63300 - Bank Fees</t>
  </si>
  <si>
    <t>63302 - Storage Rental</t>
  </si>
  <si>
    <t>63303 - Dues &amp; Subscriptions</t>
  </si>
  <si>
    <t>63304 - Charitable Contributions</t>
  </si>
  <si>
    <t>63305 - Training Costs</t>
  </si>
  <si>
    <t>63306 - Employee Incentives (M&amp;E)</t>
  </si>
  <si>
    <t>63308 - Menu Printing</t>
  </si>
  <si>
    <t>63309 - Ground Transportation (Auto Expense)</t>
  </si>
  <si>
    <t>63311 - Parking Fees</t>
  </si>
  <si>
    <t>63312 - Transportation</t>
  </si>
  <si>
    <t>63313 - Tangible Property Tax</t>
  </si>
  <si>
    <t>63320 - GC Guest Recovery</t>
  </si>
  <si>
    <t>63600 - Shipping &amp; Delivery Expense</t>
  </si>
  <si>
    <t>64120 - Equipment Lease</t>
  </si>
  <si>
    <t>64250 - Phone/Internet</t>
  </si>
  <si>
    <t>64255 - POS &amp; Technology</t>
  </si>
  <si>
    <t>64900 - Cost for Discounts</t>
  </si>
  <si>
    <t>82000 - Licenses &amp; Permits</t>
  </si>
  <si>
    <t>82200 - Cash Over/Short</t>
  </si>
  <si>
    <t>64100 - Occupancy Cost</t>
  </si>
  <si>
    <t>64101 - Rent Expense</t>
  </si>
  <si>
    <t>64102 - Common Area Maintenance (CAM)</t>
  </si>
  <si>
    <t>64103 - Public Space Rental</t>
  </si>
  <si>
    <t>64104 - Insurance - Building</t>
  </si>
  <si>
    <t>64106 - Real Estate Tax</t>
  </si>
  <si>
    <t>64107 - Rent - 4/4/5</t>
  </si>
  <si>
    <t>64110 - Percentage Rent Expense</t>
  </si>
  <si>
    <t>64200 - Utilities</t>
  </si>
  <si>
    <t>64210 - Electric</t>
  </si>
  <si>
    <t>64220 - Gas</t>
  </si>
  <si>
    <t>64230 - Water/Sewer</t>
  </si>
  <si>
    <t>64240 - Trash</t>
  </si>
  <si>
    <t>70000 - Corporate G&amp;A Expenses</t>
  </si>
  <si>
    <t>71000 - Corp - Payroll Expenses</t>
  </si>
  <si>
    <t>71100 - Corp - Salaries &amp; Wages</t>
  </si>
  <si>
    <t>71125 - Corp - Officers' Compensation</t>
  </si>
  <si>
    <t>71150 - Corp - MIT Wages</t>
  </si>
  <si>
    <t>71155 - Corp - Commission Wages</t>
  </si>
  <si>
    <t>71200 - Corp - Payroll Taxes</t>
  </si>
  <si>
    <t>71300 - Corp - Payroll Processing Fee</t>
  </si>
  <si>
    <t>71400 - Corp - Bonus</t>
  </si>
  <si>
    <t>71500 - Corp - Health Insurance</t>
  </si>
  <si>
    <t>72000 - Corp - Meals, Entertainment, &amp; Travel</t>
  </si>
  <si>
    <t>72100 - Corp - Fuel &amp; Gas</t>
  </si>
  <si>
    <t>72200 - Corp - Parking Fees</t>
  </si>
  <si>
    <t>72300 - Corp - Ground Transportation</t>
  </si>
  <si>
    <t>72400 - Corp - M&amp;E</t>
  </si>
  <si>
    <t>72500 - Corp - Lodging</t>
  </si>
  <si>
    <t>72600 - Corp - Airfare</t>
  </si>
  <si>
    <t>72700 - Corp - Travel (New Market)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</si>
  <si>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</si>
  <si>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</si>
  <si>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</si>
  <si>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</si>
  <si>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</si>
  <si>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</si>
  <si>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</si>
  <si>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</si>
  <si>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</si>
  <si>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</si>
  <si>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</si>
  <si>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</si>
  <si>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</si>
  <si>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</si>
  <si>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</si>
  <si>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74500 - Corp - Marketing</t>
  </si>
  <si>
    <t>74510 - Corp - Marketing Food Drops</t>
  </si>
  <si>
    <t>74520 - Corp - 3rd Party Marketing Fees</t>
  </si>
  <si>
    <t>74521 - Corp - DoorDash Marketing Fees</t>
  </si>
  <si>
    <t>74522 - Corp - EZ Cater Marketing Fees</t>
  </si>
  <si>
    <t>74523 - Corp - GrubHub Marketing Fees</t>
  </si>
  <si>
    <t>74524 - Corp - Uber Eats Marketing Fees</t>
  </si>
  <si>
    <t>74530 - Corp - Paid Media</t>
  </si>
  <si>
    <t>74535 - Corp - SMS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</si>
  <si>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</si>
  <si>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</si>
  <si>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</si>
  <si>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</si>
  <si>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</si>
  <si>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</si>
  <si>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82600 - Other (Income)/Expense</t>
  </si>
  <si>
    <t>65000 - Prior Period Adjustments</t>
  </si>
  <si>
    <t>82400 - Penalties &amp; Settlements</t>
  </si>
  <si>
    <t>82500 - Depreciation</t>
  </si>
  <si>
    <t>82501 - Amortization</t>
  </si>
  <si>
    <t>82601 - Other Income_Feed the District</t>
  </si>
  <si>
    <t>82603 - Other Income_Feed the fridge</t>
  </si>
  <si>
    <t>82606 - Taxable Grant Income</t>
  </si>
  <si>
    <t>82607 - Tax Exempt Grant Income</t>
  </si>
  <si>
    <t>82608 - Sales Tax Commission Income</t>
  </si>
  <si>
    <t>82609 - Sales Tax Adjustments</t>
  </si>
  <si>
    <t>82610 - Ramp CC Cashback Rewards</t>
  </si>
  <si>
    <t>82615 - Legal Fees - Capital Raise</t>
  </si>
  <si>
    <t>82616 - Other Income</t>
  </si>
  <si>
    <t>82620 - MVT Bucks Income</t>
  </si>
  <si>
    <t>82625 - Unrealized (Gain)/Loss On Investments</t>
  </si>
  <si>
    <t>82630 - Dividend Income</t>
  </si>
  <si>
    <t>82700 - Store Closing Expense</t>
  </si>
  <si>
    <t>83000 - Taxes</t>
  </si>
  <si>
    <t>84000 - (Gain)/Loss On Sale/Disposal Of Assets</t>
  </si>
  <si>
    <t>90100 - Interest Income</t>
  </si>
  <si>
    <t>90200 - Discounts received</t>
  </si>
  <si>
    <t>82300 - Pre-Opening Expenses</t>
  </si>
  <si>
    <t>82301 - Pre-Opening Expenses - Supplies</t>
  </si>
  <si>
    <t>82302 - Pre-Opening Expenses - Other</t>
  </si>
  <si>
    <t>82303 - Pre-Opening Expenses - Payroll</t>
  </si>
  <si>
    <t>82304 - Pre-Opening Expenses - COGS</t>
  </si>
  <si>
    <t>82305 - Pre-Opening Expenses - Travel &amp; Meals</t>
  </si>
  <si>
    <t>82306 - Pre-Opening Expenses - Legal, Permits, &amp; Design Fees</t>
  </si>
  <si>
    <t>82307 - Pre-Opening Expenses - Rent &amp; Utilities</t>
  </si>
  <si>
    <t>82308 - Pre-Opening Expenses - Leases &amp; Subscriptions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</si>
</sst>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%;\(#,##0.0%\)"/>
    <numFmt numFmtId="165" formatCode="#,##0.0;\(#,##0.0\)"/>
  </numFmts>
  <fonts count="14">
    <font>
      <sz val="11.0"/>
      <color theme="1"/>
      <name val="Calibri"/>
      <scheme val="minor"/>
    </font>
    <font>
      <b/>
      <sz val="26.0"/>
      <color rgb="FF000000"/>
      <name val="Calibri"/>
    </font>
    <font>
      <sz val="18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696969"/>
      <name val="Calibri"/>
    </font>
    <font/>
    <font>
      <b/>
      <sz val="12.0"/>
      <color theme="1"/>
      <name val="Calibri"/>
    </font>
    <font>
      <b/>
      <i/>
      <sz val="8.0"/>
      <color theme="1"/>
      <name val="Calibri"/>
    </font>
    <font>
      <i/>
      <sz val="8.0"/>
      <color theme="1"/>
      <name val="Calibri"/>
    </font>
    <font>
      <b/>
      <sz val="12.0"/>
      <color rgb="FF000000"/>
      <name val="Calibri"/>
    </font>
    <font>
      <b/>
      <i/>
      <sz val="8.0"/>
      <color rgb="FF000000"/>
      <name val="Calibri"/>
    </font>
    <font>
      <b/>
      <sz val="10.0"/>
      <color theme="1"/>
      <name val="Calibri"/>
    </font>
    <font>
      <b/>
      <sz val="12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9D7FC"/>
        <bgColor rgb="FFB9D7FC"/>
      </patternFill>
    </fill>
    <fill>
      <patternFill patternType="solid">
        <fgColor rgb="FF052DFA"/>
        <bgColor rgb="FF052DFA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2" fontId="5" numFmtId="4" xfId="0" applyAlignment="1" applyBorder="1" applyFill="1" applyFont="1" applyNumberFormat="1">
      <alignment horizontal="center" shrinkToFit="0" vertical="center" wrapText="1"/>
    </xf>
    <xf borderId="2" fillId="0" fontId="6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7" numFmtId="39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4" numFmtId="39" xfId="0" applyAlignment="1" applyFont="1" applyNumberFormat="1">
      <alignment vertical="center"/>
    </xf>
    <xf borderId="0" fillId="0" fontId="9" numFmtId="164" xfId="0" applyAlignment="1" applyFont="1" applyNumberFormat="1">
      <alignment horizontal="right" vertical="center"/>
    </xf>
    <xf borderId="0" fillId="0" fontId="4" numFmtId="0" xfId="0" applyAlignment="1" applyFont="1">
      <alignment vertical="center"/>
    </xf>
    <xf borderId="0" fillId="0" fontId="4" numFmtId="39" xfId="0" applyAlignment="1" applyFont="1" applyNumberFormat="1">
      <alignment horizontal="right" vertical="center"/>
    </xf>
    <xf borderId="0" fillId="0" fontId="7" numFmtId="39" xfId="0" applyAlignment="1" applyFont="1" applyNumberFormat="1">
      <alignment horizontal="left" shrinkToFit="0" vertical="center" wrapText="1"/>
    </xf>
    <xf borderId="0" fillId="0" fontId="7" numFmtId="39" xfId="0" applyAlignment="1" applyFont="1" applyNumberFormat="1">
      <alignment horizontal="right" vertical="center"/>
    </xf>
    <xf borderId="0" fillId="0" fontId="8" numFmtId="164" xfId="0" applyAlignment="1" applyFont="1" applyNumberFormat="1">
      <alignment horizontal="right" vertical="center"/>
    </xf>
    <xf borderId="0" fillId="0" fontId="10" numFmtId="39" xfId="0" applyAlignment="1" applyFont="1" applyNumberFormat="1">
      <alignment horizontal="left" shrinkToFit="0" vertical="center" wrapText="1"/>
    </xf>
    <xf borderId="0" fillId="0" fontId="10" numFmtId="39" xfId="0" applyAlignment="1" applyFont="1" applyNumberFormat="1">
      <alignment horizontal="right" vertical="center"/>
    </xf>
    <xf borderId="0" fillId="0" fontId="11" numFmtId="164" xfId="0" applyAlignment="1" applyFont="1" applyNumberFormat="1">
      <alignment horizontal="right" vertical="center"/>
    </xf>
    <xf borderId="0" fillId="0" fontId="10" numFmtId="39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4" numFmtId="0" xfId="0" applyFont="1"/>
    <xf borderId="0" fillId="0" fontId="12" numFmtId="4" xfId="0" applyAlignment="1" applyFont="1" applyNumberFormat="1">
      <alignment horizontal="center" shrinkToFit="0" vertical="center" wrapText="1"/>
    </xf>
    <xf borderId="1" fillId="3" fontId="13" numFmtId="4" xfId="0" applyAlignment="1" applyBorder="1" applyFill="1" applyFont="1" applyNumberFormat="1">
      <alignment horizontal="center" shrinkToFit="0" vertical="center" wrapText="1"/>
    </xf>
    <xf borderId="3" fillId="3" fontId="13" numFmtId="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5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>
        <f>IFERROR(B8/B446, "NA")</f>
        <v>0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>
        <f>IFERROR(B10/B446, "NA")</f>
        <v>0</v>
      </c>
      <c r="D10" s="14"/>
      <c r="E10" s="12">
        <v>235102.30000000002</v>
      </c>
      <c r="F10" s="13">
        <f>IFERROR(E10/E446, "NA")</f>
        <v>0.4193804682</v>
      </c>
      <c r="G10" s="14"/>
      <c r="H10" s="15">
        <f t="shared" ref="H10:H19" si="1">IFERROR(B10-E10, "NA")</f>
        <v>-235102.3</v>
      </c>
      <c r="I10" s="13">
        <f>IFERROR(H10/H446, "NA")</f>
        <v>3.485427542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2095814.4300000002</v>
      </c>
      <c r="U10" s="13">
        <f>IFERROR(T10/T446, "NA")</f>
        <v>0.4199383139</v>
      </c>
      <c r="V10" s="14"/>
      <c r="W10" s="15">
        <f t="shared" ref="W10:W19" si="3">IFERROR(Q10-T10, "NA")</f>
        <v>-2095814.43</v>
      </c>
      <c r="X10" s="13">
        <f>IFERROR(W10/W446, "NA")</f>
        <v>10.93150586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173921.47999999998</v>
      </c>
      <c r="C11" s="13">
        <f>IFERROR(B11/B446, "NA")</f>
        <v>0.3526807739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173921.48</v>
      </c>
      <c r="I11" s="13">
        <f>IFERROR(H11/H446, "NA")</f>
        <v>-2.578412532</v>
      </c>
      <c r="J11" s="14"/>
      <c r="K11" s="12">
        <v>247993.57</v>
      </c>
      <c r="L11" s="13">
        <f>IFERROR(K11/K446, "NA")</f>
        <v>0.4813427209</v>
      </c>
      <c r="M11" s="14"/>
      <c r="N11" s="15">
        <f t="shared" si="2"/>
        <v>-74072.09</v>
      </c>
      <c r="O11" s="13">
        <f>IFERROR(N11/N446, "NA")</f>
        <v>3.356130849</v>
      </c>
      <c r="P11" s="14"/>
      <c r="Q11" s="12">
        <v>1713397.28</v>
      </c>
      <c r="R11" s="13">
        <f>IFERROR(Q11/Q446, "NA")</f>
        <v>0.3570288028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1713397.28</v>
      </c>
      <c r="X11" s="13">
        <f>IFERROR(W11/W446, "NA")</f>
        <v>-8.936865851</v>
      </c>
      <c r="Y11" s="14"/>
      <c r="Z11" s="12">
        <v>1935654.32</v>
      </c>
      <c r="AA11" s="13">
        <f>IFERROR(Z11/Z446, "NA")</f>
        <v>0.4188923212</v>
      </c>
      <c r="AB11" s="14"/>
      <c r="AC11" s="15">
        <f t="shared" si="4"/>
        <v>-222257.04</v>
      </c>
      <c r="AD11" s="13">
        <f>IFERROR(AC11/AC446, "NA")</f>
        <v>-1.247531902</v>
      </c>
    </row>
    <row r="12" ht="16.5" customHeight="1">
      <c r="A12" s="11" t="s">
        <v>17</v>
      </c>
      <c r="B12" s="12">
        <v>20987.6</v>
      </c>
      <c r="C12" s="13">
        <f>IFERROR(B12/B446, "NA")</f>
        <v>0.04255899277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20987.6</v>
      </c>
      <c r="I12" s="13">
        <f>IFERROR(H12/H446, "NA")</f>
        <v>-0.3111443788</v>
      </c>
      <c r="J12" s="14"/>
      <c r="K12" s="12">
        <v>25282.800000000003</v>
      </c>
      <c r="L12" s="13">
        <f>IFERROR(K12/K446, "NA")</f>
        <v>0.04907261001</v>
      </c>
      <c r="M12" s="14"/>
      <c r="N12" s="15">
        <f t="shared" si="2"/>
        <v>-4295.2</v>
      </c>
      <c r="O12" s="13">
        <f>IFERROR(N12/N446, "NA")</f>
        <v>0.1946111311</v>
      </c>
      <c r="P12" s="14"/>
      <c r="Q12" s="12">
        <v>189423.1</v>
      </c>
      <c r="R12" s="13">
        <f>IFERROR(Q12/Q446, "NA")</f>
        <v>0.03947099916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189423.1</v>
      </c>
      <c r="X12" s="13">
        <f>IFERROR(W12/W446, "NA")</f>
        <v>-0.988007191</v>
      </c>
      <c r="Y12" s="14"/>
      <c r="Z12" s="12">
        <v>206600.89</v>
      </c>
      <c r="AA12" s="13">
        <f>IFERROR(Z12/Z446, "NA")</f>
        <v>0.04471021787</v>
      </c>
      <c r="AB12" s="14"/>
      <c r="AC12" s="15">
        <f t="shared" si="4"/>
        <v>-17177.79</v>
      </c>
      <c r="AD12" s="13">
        <f>IFERROR(AC12/AC446, "NA")</f>
        <v>-0.09641917765</v>
      </c>
    </row>
    <row r="13" ht="16.5" customHeight="1">
      <c r="A13" s="11" t="s">
        <v>18</v>
      </c>
      <c r="B13" s="12">
        <v>577.5</v>
      </c>
      <c r="C13" s="13">
        <f>IFERROR(B13/B446, "NA")</f>
        <v>0.001171063786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577.5</v>
      </c>
      <c r="I13" s="13">
        <f>IFERROR(H13/H446, "NA")</f>
        <v>-0.008561525793</v>
      </c>
      <c r="J13" s="14"/>
      <c r="K13" s="12">
        <v>1029.5</v>
      </c>
      <c r="L13" s="13">
        <f>IFERROR(K13/K446, "NA")</f>
        <v>0.00199820637</v>
      </c>
      <c r="M13" s="14"/>
      <c r="N13" s="15">
        <f t="shared" si="2"/>
        <v>-452</v>
      </c>
      <c r="O13" s="13">
        <f>IFERROR(N13/N446, "NA")</f>
        <v>0.02047965899</v>
      </c>
      <c r="P13" s="14"/>
      <c r="Q13" s="12">
        <v>6248.5</v>
      </c>
      <c r="R13" s="13">
        <f>IFERROR(Q13/Q446, "NA")</f>
        <v>0.001302029891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6248.5</v>
      </c>
      <c r="X13" s="13">
        <f>IFERROR(W13/W446, "NA")</f>
        <v>-0.03259139425</v>
      </c>
      <c r="Y13" s="14"/>
      <c r="Z13" s="12">
        <v>9576.0</v>
      </c>
      <c r="AA13" s="13">
        <f>IFERROR(Z13/Z446, "NA")</f>
        <v>0.002072329148</v>
      </c>
      <c r="AB13" s="14"/>
      <c r="AC13" s="15">
        <f t="shared" si="4"/>
        <v>-3327.5</v>
      </c>
      <c r="AD13" s="13">
        <f>IFERROR(AC13/AC446, "NA")</f>
        <v>-0.01867730445</v>
      </c>
    </row>
    <row r="14" ht="16.5" customHeight="1">
      <c r="A14" s="11" t="s">
        <v>19</v>
      </c>
      <c r="B14" s="12">
        <v>10.0</v>
      </c>
      <c r="C14" s="13">
        <f>IFERROR(B14/B446, "NA")</f>
        <v>0.0000202781608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10</v>
      </c>
      <c r="I14" s="13">
        <f>IFERROR(H14/H446, "NA")</f>
        <v>-0.0001482515289</v>
      </c>
      <c r="J14" s="14"/>
      <c r="K14" s="12">
        <v>525.0</v>
      </c>
      <c r="L14" s="13">
        <f>IFERROR(K14/K446, "NA")</f>
        <v>0.001018997906</v>
      </c>
      <c r="M14" s="14"/>
      <c r="N14" s="15">
        <f t="shared" si="2"/>
        <v>-515</v>
      </c>
      <c r="O14" s="13">
        <f>IFERROR(N14/N446, "NA")</f>
        <v>0.02333412473</v>
      </c>
      <c r="P14" s="14"/>
      <c r="Q14" s="12">
        <v>846.0</v>
      </c>
      <c r="R14" s="13">
        <f>IFERROR(Q14/Q446, "NA")</f>
        <v>0.0001762850745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846</v>
      </c>
      <c r="X14" s="13">
        <f>IFERROR(W14/W446, "NA")</f>
        <v>-0.004412630158</v>
      </c>
      <c r="Y14" s="14"/>
      <c r="Z14" s="12">
        <v>12720.0</v>
      </c>
      <c r="AA14" s="13">
        <f>IFERROR(Z14/Z446, "NA")</f>
        <v>0.002752717916</v>
      </c>
      <c r="AB14" s="14"/>
      <c r="AC14" s="15">
        <f t="shared" si="4"/>
        <v>-11874</v>
      </c>
      <c r="AD14" s="13">
        <f>IFERROR(AC14/AC446, "NA")</f>
        <v>-0.06664892954</v>
      </c>
    </row>
    <row r="15" ht="16.5" customHeight="1">
      <c r="A15" s="11" t="s">
        <v>20</v>
      </c>
      <c r="B15" s="12">
        <v>119.0</v>
      </c>
      <c r="C15" s="13">
        <f>IFERROR(B15/B446, "NA")</f>
        <v>0.0002413101136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119</v>
      </c>
      <c r="I15" s="13">
        <f>IFERROR(H15/H446, "NA")</f>
        <v>-0.001764193194</v>
      </c>
      <c r="J15" s="14"/>
      <c r="K15" s="12">
        <v>178.0</v>
      </c>
      <c r="L15" s="13">
        <f>IFERROR(K15/K446, "NA")</f>
        <v>0.0003454888138</v>
      </c>
      <c r="M15" s="14"/>
      <c r="N15" s="15">
        <f t="shared" si="2"/>
        <v>-59</v>
      </c>
      <c r="O15" s="13">
        <f>IFERROR(N15/N446, "NA")</f>
        <v>0.002673229823</v>
      </c>
      <c r="P15" s="14"/>
      <c r="Q15" s="12">
        <v>1308.0</v>
      </c>
      <c r="R15" s="13">
        <f>IFERROR(Q15/Q446, "NA")</f>
        <v>0.0002725542286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1308</v>
      </c>
      <c r="X15" s="13">
        <f>IFERROR(W15/W446, "NA")</f>
        <v>-0.006822364357</v>
      </c>
      <c r="Y15" s="14"/>
      <c r="Z15" s="12">
        <v>1989.0</v>
      </c>
      <c r="AA15" s="13">
        <f>IFERROR(Z15/Z446, "NA")</f>
        <v>0.0004304367873</v>
      </c>
      <c r="AB15" s="14"/>
      <c r="AC15" s="15">
        <f t="shared" si="4"/>
        <v>-681</v>
      </c>
      <c r="AD15" s="13">
        <f>IFERROR(AC15/AC446, "NA")</f>
        <v>-0.003822462609</v>
      </c>
    </row>
    <row r="16" ht="16.5" customHeight="1">
      <c r="A16" s="11" t="s">
        <v>21</v>
      </c>
      <c r="B16" s="12">
        <v>0.2</v>
      </c>
      <c r="C16" s="13">
        <f>IFERROR(B16/B446, "NA")</f>
        <v>0.0000004055632161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0.2</v>
      </c>
      <c r="I16" s="13">
        <f>IFERROR(H16/H446, "NA")</f>
        <v>-0.000002965030578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0.2</v>
      </c>
      <c r="O16" s="13">
        <f>IFERROR(N16/N446, "NA")</f>
        <v>-0.000009061796012</v>
      </c>
      <c r="P16" s="14"/>
      <c r="Q16" s="12">
        <v>8.42</v>
      </c>
      <c r="R16" s="13">
        <f>IFERROR(Q16/Q446, "NA")</f>
        <v>0.000001754515753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8.42</v>
      </c>
      <c r="X16" s="13">
        <f>IFERROR(W16/W446, "NA")</f>
        <v>-0.00004391766658</v>
      </c>
      <c r="Y16" s="14"/>
      <c r="Z16" s="12">
        <v>3.0500000000000003</v>
      </c>
      <c r="AA16" s="13">
        <f>IFERROR(Z16/Z446, "NA")</f>
        <v>0.0000006600463556</v>
      </c>
      <c r="AB16" s="14"/>
      <c r="AC16" s="15">
        <f t="shared" si="4"/>
        <v>5.37</v>
      </c>
      <c r="AD16" s="13">
        <f>IFERROR(AC16/AC446, "NA")</f>
        <v>0.00003014188577</v>
      </c>
    </row>
    <row r="17" ht="16.5" hidden="1" customHeight="1">
      <c r="A17" s="11" t="s">
        <v>22</v>
      </c>
      <c r="B17" s="12">
        <v>0.0</v>
      </c>
      <c r="C17" s="13">
        <f>IFERROR(B17/B446, "NA")</f>
        <v>0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195615.78</v>
      </c>
      <c r="C18" s="18">
        <f>IFERROR(B18/B446, "NA")</f>
        <v>0.3966728243</v>
      </c>
      <c r="D18" s="8"/>
      <c r="E18" s="17">
        <f>IFERROR(E10+E11+E12+E13+E14+E15+E16+E17, "NA")</f>
        <v>235102.3</v>
      </c>
      <c r="F18" s="18">
        <f>IFERROR(E18/E446, "NA")</f>
        <v>0.4193804682</v>
      </c>
      <c r="G18" s="8"/>
      <c r="H18" s="17">
        <f t="shared" si="1"/>
        <v>-39486.52</v>
      </c>
      <c r="I18" s="18">
        <f>IFERROR(H18/H446, "NA")</f>
        <v>0.585393696</v>
      </c>
      <c r="J18" s="8"/>
      <c r="K18" s="17">
        <f>IFERROR(K10+K11+K12+K13+K14+K15+K16+K17, "NA")</f>
        <v>275008.87</v>
      </c>
      <c r="L18" s="18">
        <f>IFERROR(K18/K446, "NA")</f>
        <v>0.533778024</v>
      </c>
      <c r="M18" s="8"/>
      <c r="N18" s="17">
        <f t="shared" si="2"/>
        <v>-79393.09</v>
      </c>
      <c r="O18" s="18">
        <f>IFERROR(N18/N446, "NA")</f>
        <v>3.597219932</v>
      </c>
      <c r="P18" s="8"/>
      <c r="Q18" s="17">
        <f>IFERROR(Q10+Q11+Q12+Q13+Q14+Q15+Q16+Q17, "NA")</f>
        <v>1911231.3</v>
      </c>
      <c r="R18" s="18">
        <f>IFERROR(Q18/Q446, "NA")</f>
        <v>0.3982524256</v>
      </c>
      <c r="S18" s="8"/>
      <c r="T18" s="17">
        <f>IFERROR(T10+T11+T12+T13+T14+T15+T16+T17, "NA")</f>
        <v>2095814.43</v>
      </c>
      <c r="U18" s="18">
        <f>IFERROR(T18/T446, "NA")</f>
        <v>0.4199383139</v>
      </c>
      <c r="V18" s="8"/>
      <c r="W18" s="17">
        <f t="shared" si="3"/>
        <v>-184583.13</v>
      </c>
      <c r="X18" s="18">
        <f>IFERROR(W18/W446, "NA")</f>
        <v>0.962762513</v>
      </c>
      <c r="Y18" s="8"/>
      <c r="Z18" s="17">
        <f>IFERROR(Z10+Z11+Z12+Z13+Z14+Z15+Z16+Z17, "NA")</f>
        <v>2166543.26</v>
      </c>
      <c r="AA18" s="18">
        <f>IFERROR(Z18/Z446, "NA")</f>
        <v>0.4688586829</v>
      </c>
      <c r="AB18" s="8"/>
      <c r="AC18" s="17">
        <f t="shared" si="4"/>
        <v>-255311.96</v>
      </c>
      <c r="AD18" s="18">
        <f>IFERROR(AC18/AC446, "NA")</f>
        <v>-1.433069634</v>
      </c>
    </row>
    <row r="19" ht="16.5" hidden="1" customHeight="1">
      <c r="A19" s="11" t="s">
        <v>24</v>
      </c>
      <c r="B19" s="12">
        <v>0.0</v>
      </c>
      <c r="C19" s="13">
        <f>IFERROR(B19/B446, "NA")</f>
        <v>0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>
        <f>IFERROR(B21/B446, "NA")</f>
        <v>0</v>
      </c>
      <c r="D21" s="14"/>
      <c r="E21" s="12">
        <v>52202.29</v>
      </c>
      <c r="F21" s="13">
        <f>IFERROR(E21/E446, "NA")</f>
        <v>0.09311955188</v>
      </c>
      <c r="G21" s="14"/>
      <c r="H21" s="15">
        <f t="shared" ref="H21:H29" si="5">IFERROR(B21-E21, "NA")</f>
        <v>-52202.29</v>
      </c>
      <c r="I21" s="13">
        <f>IFERROR(H21/H446, "NA")</f>
        <v>0.7739069304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465546.44000000006</v>
      </c>
      <c r="U21" s="13">
        <f>IFERROR(T21/T446, "NA")</f>
        <v>0.09328153497</v>
      </c>
      <c r="V21" s="14"/>
      <c r="W21" s="15">
        <f t="shared" ref="W21:W29" si="7">IFERROR(Q21-T21, "NA")</f>
        <v>-465546.44</v>
      </c>
      <c r="X21" s="13">
        <f>IFERROR(W21/W446, "NA")</f>
        <v>2.428231987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>
        <f>IFERROR(B22/B446, "NA")</f>
        <v>0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37098.25</v>
      </c>
      <c r="L22" s="13">
        <f>IFERROR(K22/K446, "NA")</f>
        <v>0.07200578868</v>
      </c>
      <c r="M22" s="14"/>
      <c r="N22" s="15">
        <f t="shared" si="6"/>
        <v>-37098.25</v>
      </c>
      <c r="O22" s="13">
        <f>IFERROR(N22/N446, "NA")</f>
        <v>1.680883869</v>
      </c>
      <c r="P22" s="14"/>
      <c r="Q22" s="12">
        <v>16536.61</v>
      </c>
      <c r="R22" s="13">
        <f>IFERROR(Q22/Q446, "NA")</f>
        <v>0.003445812678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16536.61</v>
      </c>
      <c r="X22" s="13">
        <f>IFERROR(W22/W446, "NA")</f>
        <v>-0.08625288888</v>
      </c>
      <c r="Y22" s="14"/>
      <c r="Z22" s="12">
        <v>312573.32</v>
      </c>
      <c r="AA22" s="13">
        <f>IFERROR(Z22/Z446, "NA")</f>
        <v>0.06764356745</v>
      </c>
      <c r="AB22" s="14"/>
      <c r="AC22" s="15">
        <f t="shared" si="8"/>
        <v>-296036.71</v>
      </c>
      <c r="AD22" s="13">
        <f>IFERROR(AC22/AC446, "NA")</f>
        <v>-1.66165823</v>
      </c>
    </row>
    <row r="23" ht="16.5" customHeight="1">
      <c r="A23" s="11" t="s">
        <v>27</v>
      </c>
      <c r="B23" s="12">
        <v>34657.81</v>
      </c>
      <c r="C23" s="13">
        <f>IFERROR(B23/B446, "NA")</f>
        <v>0.07027966443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34657.81</v>
      </c>
      <c r="I23" s="13">
        <f>IFERROR(H23/H446, "NA")</f>
        <v>-0.513807332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34657.81</v>
      </c>
      <c r="O23" s="13">
        <f>IFERROR(N23/N446, "NA")</f>
        <v>-1.570310022</v>
      </c>
      <c r="P23" s="14"/>
      <c r="Q23" s="12">
        <v>249666.26</v>
      </c>
      <c r="R23" s="13">
        <f>IFERROR(Q23/Q446, "NA")</f>
        <v>0.05202415513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249666.26</v>
      </c>
      <c r="X23" s="13">
        <f>IFERROR(W23/W446, "NA")</f>
        <v>-1.302227977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249666.26</v>
      </c>
      <c r="AD23" s="13">
        <f>IFERROR(AC23/AC446, "NA")</f>
        <v>1.40138024</v>
      </c>
    </row>
    <row r="24" ht="16.5" customHeight="1">
      <c r="A24" s="11" t="s">
        <v>28</v>
      </c>
      <c r="B24" s="12">
        <v>4304.099999999999</v>
      </c>
      <c r="C24" s="13">
        <f>IFERROR(B24/B446, "NA")</f>
        <v>0.008727923192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4304.1</v>
      </c>
      <c r="I24" s="13">
        <f>IFERROR(H24/H446, "NA")</f>
        <v>-0.06380894055</v>
      </c>
      <c r="J24" s="14"/>
      <c r="K24" s="12">
        <v>2373.98</v>
      </c>
      <c r="L24" s="13">
        <f>IFERROR(K24/K446, "NA")</f>
        <v>0.004607772664</v>
      </c>
      <c r="M24" s="14"/>
      <c r="N24" s="15">
        <f t="shared" si="6"/>
        <v>1930.12</v>
      </c>
      <c r="O24" s="13">
        <f>IFERROR(N24/N446, "NA")</f>
        <v>-0.08745176859</v>
      </c>
      <c r="P24" s="14"/>
      <c r="Q24" s="12">
        <v>37401.3</v>
      </c>
      <c r="R24" s="13">
        <f>IFERROR(Q24/Q446, "NA")</f>
        <v>0.007793488128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37401.3</v>
      </c>
      <c r="X24" s="13">
        <f>IFERROR(W24/W446, "NA")</f>
        <v>-0.1950805016</v>
      </c>
      <c r="Y24" s="14"/>
      <c r="Z24" s="12">
        <v>41538.020000000004</v>
      </c>
      <c r="AA24" s="13">
        <f>IFERROR(Z24/Z446, "NA")</f>
        <v>0.008989186465</v>
      </c>
      <c r="AB24" s="14"/>
      <c r="AC24" s="15">
        <f t="shared" si="8"/>
        <v>-4136.72</v>
      </c>
      <c r="AD24" s="13">
        <f>IFERROR(AC24/AC446, "NA")</f>
        <v>-0.02321946773</v>
      </c>
    </row>
    <row r="25" ht="16.5" customHeight="1">
      <c r="A25" s="11" t="s">
        <v>29</v>
      </c>
      <c r="B25" s="12">
        <v>344.71000000000004</v>
      </c>
      <c r="C25" s="13">
        <f>IFERROR(B25/B446, "NA")</f>
        <v>0.0006990084811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344.71</v>
      </c>
      <c r="I25" s="13">
        <f>IFERROR(H25/H446, "NA")</f>
        <v>-0.005110378452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344.71</v>
      </c>
      <c r="O25" s="13">
        <f>IFERROR(N25/N446, "NA")</f>
        <v>-0.01561845852</v>
      </c>
      <c r="P25" s="14"/>
      <c r="Q25" s="12">
        <v>5070.76</v>
      </c>
      <c r="R25" s="13">
        <f>IFERROR(Q25/Q446, "NA")</f>
        <v>0.001056618563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5070.76</v>
      </c>
      <c r="X25" s="13">
        <f>IFERROR(W25/W446, "NA")</f>
        <v>-0.02644844976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5070.76</v>
      </c>
      <c r="AD25" s="13">
        <f>IFERROR(AC25/AC446, "NA")</f>
        <v>0.02846224743</v>
      </c>
    </row>
    <row r="26" ht="16.5" customHeight="1">
      <c r="A26" s="11" t="s">
        <v>30</v>
      </c>
      <c r="B26" s="12">
        <v>7740.87</v>
      </c>
      <c r="C26" s="13">
        <f>IFERROR(B26/B446, "NA")</f>
        <v>0.01569706066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7740.87</v>
      </c>
      <c r="I26" s="13">
        <f>IFERROR(H26/H446, "NA")</f>
        <v>-0.1147595812</v>
      </c>
      <c r="J26" s="14"/>
      <c r="K26" s="12">
        <v>635.2</v>
      </c>
      <c r="L26" s="13">
        <f>IFERROR(K26/K446, "NA")</f>
        <v>0.001232890419</v>
      </c>
      <c r="M26" s="14"/>
      <c r="N26" s="15">
        <f t="shared" si="6"/>
        <v>7105.67</v>
      </c>
      <c r="O26" s="13">
        <f>IFERROR(N26/N446, "NA")</f>
        <v>-0.3219506603</v>
      </c>
      <c r="P26" s="14"/>
      <c r="Q26" s="12">
        <v>92683.70000000001</v>
      </c>
      <c r="R26" s="13">
        <f>IFERROR(Q26/Q446, "NA")</f>
        <v>0.01931294676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92683.7</v>
      </c>
      <c r="X26" s="13">
        <f>IFERROR(W26/W446, "NA")</f>
        <v>-0.4834265836</v>
      </c>
      <c r="Y26" s="14"/>
      <c r="Z26" s="12">
        <v>17896.89</v>
      </c>
      <c r="AA26" s="13">
        <f>IFERROR(Z26/Z446, "NA")</f>
        <v>0.003873041646</v>
      </c>
      <c r="AB26" s="14"/>
      <c r="AC26" s="15">
        <f t="shared" si="8"/>
        <v>74786.81</v>
      </c>
      <c r="AD26" s="13">
        <f>IFERROR(AC26/AC446, "NA")</f>
        <v>0.4197794198</v>
      </c>
    </row>
    <row r="27" ht="16.5" hidden="1" customHeight="1">
      <c r="A27" s="11" t="s">
        <v>31</v>
      </c>
      <c r="B27" s="12">
        <v>0.0</v>
      </c>
      <c r="C27" s="13">
        <f>IFERROR(B27/B446, "NA")</f>
        <v>0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3414.36</v>
      </c>
      <c r="C28" s="13">
        <f>IFERROR(B28/B446, "NA")</f>
        <v>0.006923694112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3414.36</v>
      </c>
      <c r="I28" s="13">
        <f>IFERROR(H28/H446, "NA")</f>
        <v>-0.05061840901</v>
      </c>
      <c r="J28" s="14"/>
      <c r="K28" s="12">
        <v>4516.46</v>
      </c>
      <c r="L28" s="13">
        <f>IFERROR(K28/K446, "NA")</f>
        <v>0.008766215775</v>
      </c>
      <c r="M28" s="14"/>
      <c r="N28" s="15">
        <f t="shared" si="6"/>
        <v>-1102.1</v>
      </c>
      <c r="O28" s="13">
        <f>IFERROR(N28/N446, "NA")</f>
        <v>0.04993502692</v>
      </c>
      <c r="P28" s="14"/>
      <c r="Q28" s="12">
        <v>31615.449999999997</v>
      </c>
      <c r="R28" s="13">
        <f>IFERROR(Q28/Q446, "NA")</f>
        <v>0.006587862835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31615.45</v>
      </c>
      <c r="X28" s="13">
        <f>IFERROR(W28/W446, "NA")</f>
        <v>-0.1649022318</v>
      </c>
      <c r="Y28" s="14"/>
      <c r="Z28" s="12">
        <v>34513.06</v>
      </c>
      <c r="AA28" s="13">
        <f>IFERROR(Z28/Z446, "NA")</f>
        <v>0.007468924417</v>
      </c>
      <c r="AB28" s="14"/>
      <c r="AC28" s="15">
        <f t="shared" si="8"/>
        <v>-2897.61</v>
      </c>
      <c r="AD28" s="13">
        <f>IFERROR(AC28/AC446, "NA")</f>
        <v>-0.01626432582</v>
      </c>
    </row>
    <row r="29" ht="16.5" customHeight="1">
      <c r="A29" s="16" t="s">
        <v>33</v>
      </c>
      <c r="B29" s="17">
        <f>IFERROR(B21+B22+B23+B24+B25+B26+B27+B28, "NA")</f>
        <v>50461.85</v>
      </c>
      <c r="C29" s="18">
        <f>IFERROR(B29/B446, "NA")</f>
        <v>0.1023273509</v>
      </c>
      <c r="D29" s="8"/>
      <c r="E29" s="17">
        <f>IFERROR(E21+E22+E23+E24+E25+E26+E27+E28, "NA")</f>
        <v>52202.29</v>
      </c>
      <c r="F29" s="18">
        <f>IFERROR(E29/E446, "NA")</f>
        <v>0.09311955188</v>
      </c>
      <c r="G29" s="8"/>
      <c r="H29" s="17">
        <f t="shared" si="5"/>
        <v>-1740.44</v>
      </c>
      <c r="I29" s="18">
        <f>IFERROR(H29/H446, "NA")</f>
        <v>0.02580228909</v>
      </c>
      <c r="J29" s="8"/>
      <c r="K29" s="17">
        <f>IFERROR(K21+K22+K23+K24+K25+K26+K27+K28, "NA")</f>
        <v>44623.89</v>
      </c>
      <c r="L29" s="18">
        <f>IFERROR(K29/K446, "NA")</f>
        <v>0.08661266754</v>
      </c>
      <c r="M29" s="8"/>
      <c r="N29" s="17">
        <f t="shared" si="6"/>
        <v>5837.96</v>
      </c>
      <c r="O29" s="18">
        <f>IFERROR(N29/N446, "NA")</f>
        <v>-0.2645120132</v>
      </c>
      <c r="P29" s="8"/>
      <c r="Q29" s="17">
        <f>IFERROR(Q21+Q22+Q23+Q24+Q25+Q26+Q27+Q28, "NA")</f>
        <v>432974.08</v>
      </c>
      <c r="R29" s="18">
        <f>IFERROR(Q29/Q446, "NA")</f>
        <v>0.09022088409</v>
      </c>
      <c r="S29" s="8"/>
      <c r="T29" s="17">
        <f>IFERROR(T21+T22+T23+T24+T25+T26+T27+T28, "NA")</f>
        <v>465546.44</v>
      </c>
      <c r="U29" s="18">
        <f>IFERROR(T29/T446, "NA")</f>
        <v>0.09328153497</v>
      </c>
      <c r="V29" s="8"/>
      <c r="W29" s="17">
        <f t="shared" si="7"/>
        <v>-32572.36</v>
      </c>
      <c r="X29" s="18">
        <f>IFERROR(W29/W446, "NA")</f>
        <v>0.1698933547</v>
      </c>
      <c r="Y29" s="8"/>
      <c r="Z29" s="17">
        <f>IFERROR(Z21+Z22+Z23+Z24+Z25+Z26+Z27+Z28, "NA")</f>
        <v>406521.29</v>
      </c>
      <c r="AA29" s="18">
        <f>IFERROR(Z29/Z446, "NA")</f>
        <v>0.08797471997</v>
      </c>
      <c r="AB29" s="8"/>
      <c r="AC29" s="17">
        <f t="shared" si="8"/>
        <v>26452.79</v>
      </c>
      <c r="AD29" s="18">
        <f>IFERROR(AC29/AC446, "NA")</f>
        <v>0.1484798835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>
        <f>IFERROR(B31/B446, "NA")</f>
        <v>0</v>
      </c>
      <c r="D31" s="14"/>
      <c r="E31" s="12">
        <v>114427.87</v>
      </c>
      <c r="F31" s="13">
        <f>IFERROR(E31/E446, "NA")</f>
        <v>0.204118861</v>
      </c>
      <c r="G31" s="14"/>
      <c r="H31" s="15">
        <f t="shared" ref="H31:H40" si="9">IFERROR(B31-E31, "NA")</f>
        <v>-114427.87</v>
      </c>
      <c r="I31" s="13">
        <f>IFERROR(H31/H446, "NA")</f>
        <v>1.696410667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1014768.75</v>
      </c>
      <c r="U31" s="13">
        <f>IFERROR(T31/T446, "NA")</f>
        <v>0.2033292031</v>
      </c>
      <c r="V31" s="14"/>
      <c r="W31" s="15">
        <f t="shared" ref="W31:W40" si="11">IFERROR(Q31-T31, "NA")</f>
        <v>-1014768.75</v>
      </c>
      <c r="X31" s="13">
        <f>IFERROR(W31/W446, "NA")</f>
        <v>5.292906843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>
        <f>IFERROR(B32/B446, "NA")</f>
        <v>0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47144.17999999999</v>
      </c>
      <c r="C33" s="13">
        <f>IFERROR(B33/B446, "NA")</f>
        <v>0.0955997263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47144.18</v>
      </c>
      <c r="I33" s="13">
        <f>IFERROR(H33/H446, "NA")</f>
        <v>-0.6989196763</v>
      </c>
      <c r="J33" s="14"/>
      <c r="K33" s="12">
        <v>33782.04</v>
      </c>
      <c r="L33" s="13">
        <f>IFERROR(K33/K446, "NA")</f>
        <v>0.06556919622</v>
      </c>
      <c r="M33" s="14"/>
      <c r="N33" s="15">
        <f t="shared" si="10"/>
        <v>13362.14</v>
      </c>
      <c r="O33" s="13">
        <f>IFERROR(N33/N446, "NA")</f>
        <v>-0.6054249348</v>
      </c>
      <c r="P33" s="14"/>
      <c r="Q33" s="12">
        <v>454354.29000000004</v>
      </c>
      <c r="R33" s="13">
        <f>IFERROR(Q33/Q446, "NA")</f>
        <v>0.09467598092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454354.29</v>
      </c>
      <c r="X33" s="13">
        <f>IFERROR(W33/W446, "NA")</f>
        <v>-2.369855133</v>
      </c>
      <c r="Y33" s="14"/>
      <c r="Z33" s="12">
        <v>418141.78</v>
      </c>
      <c r="AA33" s="13">
        <f>IFERROR(Z33/Z446, "NA")</f>
        <v>0.09048949442</v>
      </c>
      <c r="AB33" s="14"/>
      <c r="AC33" s="15">
        <f t="shared" si="12"/>
        <v>36212.51</v>
      </c>
      <c r="AD33" s="13">
        <f>IFERROR(AC33/AC446, "NA")</f>
        <v>0.2032613296</v>
      </c>
    </row>
    <row r="34" ht="16.5" hidden="1" customHeight="1">
      <c r="A34" s="11" t="s">
        <v>37</v>
      </c>
      <c r="B34" s="12">
        <v>0.0</v>
      </c>
      <c r="C34" s="13">
        <f>IFERROR(B34/B446, "NA")</f>
        <v>0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3312.6500000000005</v>
      </c>
      <c r="C35" s="13">
        <f>IFERROR(B35/B446, "NA")</f>
        <v>0.006717444939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3312.65</v>
      </c>
      <c r="I35" s="13">
        <f>IFERROR(H35/H446, "NA")</f>
        <v>-0.04911054271</v>
      </c>
      <c r="J35" s="14"/>
      <c r="K35" s="12">
        <v>4942.9400000000005</v>
      </c>
      <c r="L35" s="13">
        <f>IFERROR(K35/K446, "NA")</f>
        <v>0.009593991445</v>
      </c>
      <c r="M35" s="14"/>
      <c r="N35" s="15">
        <f t="shared" si="10"/>
        <v>-1630.29</v>
      </c>
      <c r="O35" s="13">
        <f>IFERROR(N35/N446, "NA")</f>
        <v>0.0738667771</v>
      </c>
      <c r="P35" s="14"/>
      <c r="Q35" s="12">
        <v>29002.159999999996</v>
      </c>
      <c r="R35" s="13">
        <f>IFERROR(Q35/Q446, "NA")</f>
        <v>0.006043319073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29002.16</v>
      </c>
      <c r="X35" s="13">
        <f>IFERROR(W35/W446, "NA")</f>
        <v>-0.1512716381</v>
      </c>
      <c r="Y35" s="14"/>
      <c r="Z35" s="12">
        <v>51429.53</v>
      </c>
      <c r="AA35" s="13">
        <f>IFERROR(Z35/Z446, "NA")</f>
        <v>0.0111297947</v>
      </c>
      <c r="AB35" s="14"/>
      <c r="AC35" s="15">
        <f t="shared" si="12"/>
        <v>-22427.37</v>
      </c>
      <c r="AD35" s="13">
        <f>IFERROR(AC35/AC446, "NA")</f>
        <v>-0.1258851443</v>
      </c>
    </row>
    <row r="36" ht="16.5" customHeight="1">
      <c r="A36" s="11" t="s">
        <v>39</v>
      </c>
      <c r="B36" s="12">
        <v>55060.55</v>
      </c>
      <c r="C36" s="13">
        <f>IFERROR(B36/B446, "NA")</f>
        <v>0.1116526687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55060.55</v>
      </c>
      <c r="I36" s="13">
        <f>IFERROR(H36/H446, "NA")</f>
        <v>-0.8162810719</v>
      </c>
      <c r="J36" s="14"/>
      <c r="K36" s="12">
        <v>27557.55</v>
      </c>
      <c r="L36" s="13">
        <f>IFERROR(K36/K446, "NA")</f>
        <v>0.05348778236</v>
      </c>
      <c r="M36" s="14"/>
      <c r="N36" s="15">
        <f t="shared" si="10"/>
        <v>27503</v>
      </c>
      <c r="O36" s="13">
        <f>IFERROR(N36/N446, "NA")</f>
        <v>-1.246132879</v>
      </c>
      <c r="P36" s="14"/>
      <c r="Q36" s="12">
        <v>586928.13</v>
      </c>
      <c r="R36" s="13">
        <f>IFERROR(Q36/Q446, "NA")</f>
        <v>0.1223010273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586928.13</v>
      </c>
      <c r="X36" s="13">
        <f>IFERROR(W36/W446, "NA")</f>
        <v>-3.061343696</v>
      </c>
      <c r="Y36" s="14"/>
      <c r="Z36" s="12">
        <v>468608.37</v>
      </c>
      <c r="AA36" s="13">
        <f>IFERROR(Z36/Z446, "NA")</f>
        <v>0.1014109006</v>
      </c>
      <c r="AB36" s="14"/>
      <c r="AC36" s="15">
        <f t="shared" si="12"/>
        <v>118319.76</v>
      </c>
      <c r="AD36" s="13">
        <f>IFERROR(AC36/AC446, "NA")</f>
        <v>0.6641304824</v>
      </c>
    </row>
    <row r="37" ht="16.5" customHeight="1">
      <c r="A37" s="11" t="s">
        <v>40</v>
      </c>
      <c r="B37" s="12">
        <v>7750.370000000001</v>
      </c>
      <c r="C37" s="13">
        <f>IFERROR(B37/B446, "NA")</f>
        <v>0.01571632492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7750.37</v>
      </c>
      <c r="I37" s="13">
        <f>IFERROR(H37/H446, "NA")</f>
        <v>-0.1149004202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7750.37</v>
      </c>
      <c r="O37" s="13">
        <f>IFERROR(N37/N446, "NA")</f>
        <v>-0.3511613598</v>
      </c>
      <c r="P37" s="14"/>
      <c r="Q37" s="12">
        <v>41704.649999999994</v>
      </c>
      <c r="R37" s="13">
        <f>IFERROR(Q37/Q446, "NA")</f>
        <v>0.008690197792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41704.65</v>
      </c>
      <c r="X37" s="13">
        <f>IFERROR(W37/W446, "NA")</f>
        <v>-0.2175262368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41704.65</v>
      </c>
      <c r="AD37" s="13">
        <f>IFERROR(AC37/AC446, "NA")</f>
        <v>0.2340887889</v>
      </c>
    </row>
    <row r="38" ht="16.5" hidden="1" customHeight="1">
      <c r="A38" s="11" t="s">
        <v>41</v>
      </c>
      <c r="B38" s="12">
        <v>0.0</v>
      </c>
      <c r="C38" s="13">
        <f>IFERROR(B38/B446, "NA")</f>
        <v>0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>
        <f>IFERROR(B39/B446, "NA")</f>
        <v>0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5584.8</v>
      </c>
      <c r="L39" s="13">
        <f>IFERROR(K39/K446, "NA")</f>
        <v>0.01083980858</v>
      </c>
      <c r="M39" s="14"/>
      <c r="N39" s="15">
        <f t="shared" si="10"/>
        <v>-5584.8</v>
      </c>
      <c r="O39" s="13">
        <f>IFERROR(N39/N446, "NA")</f>
        <v>0.2530415918</v>
      </c>
      <c r="P39" s="14"/>
      <c r="Q39" s="12">
        <v>1679.9900000000002</v>
      </c>
      <c r="R39" s="13">
        <f>IFERROR(Q39/Q446, "NA")</f>
        <v>0.0003500675677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1679.99</v>
      </c>
      <c r="X39" s="13">
        <f>IFERROR(W39/W446, "NA")</f>
        <v>-0.008762617658</v>
      </c>
      <c r="Y39" s="14"/>
      <c r="Z39" s="12">
        <v>45175.9</v>
      </c>
      <c r="AA39" s="13">
        <f>IFERROR(Z39/Z446, "NA")</f>
        <v>0.009776455132</v>
      </c>
      <c r="AB39" s="14"/>
      <c r="AC39" s="15">
        <f t="shared" si="12"/>
        <v>-43495.91</v>
      </c>
      <c r="AD39" s="13">
        <f>IFERROR(AC39/AC446, "NA")</f>
        <v>-0.2441431566</v>
      </c>
    </row>
    <row r="40" ht="16.5" customHeight="1">
      <c r="A40" s="16" t="s">
        <v>43</v>
      </c>
      <c r="B40" s="17">
        <f>IFERROR(B31+B32+B33+B34+B35+B36+B37+B38+B39, "NA")</f>
        <v>113267.75</v>
      </c>
      <c r="C40" s="18">
        <f>IFERROR(B40/B446, "NA")</f>
        <v>0.2296861648</v>
      </c>
      <c r="D40" s="8"/>
      <c r="E40" s="17">
        <f>IFERROR(E31+E32+E33+E34+E35+E36+E37+E38+E39, "NA")</f>
        <v>114427.87</v>
      </c>
      <c r="F40" s="18">
        <f>IFERROR(E40/E446, "NA")</f>
        <v>0.204118861</v>
      </c>
      <c r="G40" s="8"/>
      <c r="H40" s="17">
        <f t="shared" si="9"/>
        <v>-1160.12</v>
      </c>
      <c r="I40" s="18">
        <f>IFERROR(H40/H446, "NA")</f>
        <v>0.01719895637</v>
      </c>
      <c r="J40" s="8"/>
      <c r="K40" s="17">
        <f>IFERROR(K31+K32+K33+K34+K35+K36+K37+K38+K39, "NA")</f>
        <v>71867.33</v>
      </c>
      <c r="L40" s="18">
        <f>IFERROR(K40/K446, "NA")</f>
        <v>0.1394907786</v>
      </c>
      <c r="M40" s="8"/>
      <c r="N40" s="17">
        <f t="shared" si="10"/>
        <v>41400.42</v>
      </c>
      <c r="O40" s="18">
        <f>IFERROR(N40/N446, "NA")</f>
        <v>-1.875810804</v>
      </c>
      <c r="P40" s="8"/>
      <c r="Q40" s="17">
        <f>IFERROR(Q31+Q32+Q33+Q34+Q35+Q36+Q37+Q38+Q39, "NA")</f>
        <v>1113669.22</v>
      </c>
      <c r="R40" s="18">
        <f>IFERROR(Q40/Q446, "NA")</f>
        <v>0.2320605927</v>
      </c>
      <c r="S40" s="8"/>
      <c r="T40" s="17">
        <f>IFERROR(T31+T32+T33+T34+T35+T36+T37+T38+T39, "NA")</f>
        <v>1014768.75</v>
      </c>
      <c r="U40" s="18">
        <f>IFERROR(T40/T446, "NA")</f>
        <v>0.2033292031</v>
      </c>
      <c r="V40" s="8"/>
      <c r="W40" s="17">
        <f t="shared" si="11"/>
        <v>98900.47</v>
      </c>
      <c r="X40" s="18">
        <f>IFERROR(W40/W446, "NA")</f>
        <v>-0.5158524782</v>
      </c>
      <c r="Y40" s="8"/>
      <c r="Z40" s="17">
        <f>IFERROR(Z31+Z32+Z33+Z34+Z35+Z36+Z37+Z38+Z39, "NA")</f>
        <v>983355.58</v>
      </c>
      <c r="AA40" s="18">
        <f>IFERROR(Z40/Z446, "NA")</f>
        <v>0.2128066448</v>
      </c>
      <c r="AB40" s="8"/>
      <c r="AC40" s="17">
        <f t="shared" si="12"/>
        <v>130313.64</v>
      </c>
      <c r="AD40" s="18">
        <f>IFERROR(AC40/AC446, "NA")</f>
        <v>0.7314523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>
        <f>IFERROR(B42/B446, "NA")</f>
        <v>0</v>
      </c>
      <c r="D42" s="14"/>
      <c r="E42" s="12">
        <v>133588.66</v>
      </c>
      <c r="F42" s="13">
        <f>IFERROR(E42/E446, "NA")</f>
        <v>0.2382982845</v>
      </c>
      <c r="G42" s="14"/>
      <c r="H42" s="15">
        <f t="shared" ref="H42:H44" si="13">IFERROR(B42-E42, "NA")</f>
        <v>-133588.66</v>
      </c>
      <c r="I42" s="13">
        <f>IFERROR(H42/H446, "NA")</f>
        <v>1.980472309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1189594.8</v>
      </c>
      <c r="U42" s="13">
        <f>IFERROR(T42/T446, "NA")</f>
        <v>0.2383590967</v>
      </c>
      <c r="V42" s="14"/>
      <c r="W42" s="15">
        <f t="shared" ref="W42:W44" si="15">IFERROR(Q42-T42, "NA")</f>
        <v>-1189594.8</v>
      </c>
      <c r="X42" s="13">
        <f>IFERROR(W42/W446, "NA")</f>
        <v>6.204777648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21378.03</v>
      </c>
      <c r="C43" s="13">
        <f>IFERROR(B43/B446, "NA")</f>
        <v>0.043350713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21378.03</v>
      </c>
      <c r="I43" s="13">
        <f>IFERROR(H43/H446, "NA")</f>
        <v>-0.3169325632</v>
      </c>
      <c r="J43" s="14"/>
      <c r="K43" s="12">
        <v>22832.26</v>
      </c>
      <c r="L43" s="13">
        <f>IFERROR(K43/K446, "NA")</f>
        <v>0.04431623833</v>
      </c>
      <c r="M43" s="14"/>
      <c r="N43" s="15">
        <f t="shared" si="14"/>
        <v>-1454.23</v>
      </c>
      <c r="O43" s="13">
        <f>IFERROR(N43/N446, "NA")</f>
        <v>0.06588967807</v>
      </c>
      <c r="P43" s="14"/>
      <c r="Q43" s="12">
        <v>199660.33</v>
      </c>
      <c r="R43" s="13">
        <f>IFERROR(Q43/Q446, "NA")</f>
        <v>0.04160417984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199660.33</v>
      </c>
      <c r="X43" s="13">
        <f>IFERROR(W43/W446, "NA")</f>
        <v>-1.041403302</v>
      </c>
      <c r="Y43" s="14"/>
      <c r="Z43" s="12">
        <v>237689.34999999998</v>
      </c>
      <c r="AA43" s="13">
        <f>IFERROR(Z43/Z446, "NA")</f>
        <v>0.05143802925</v>
      </c>
      <c r="AB43" s="14"/>
      <c r="AC43" s="15">
        <f t="shared" si="16"/>
        <v>-38029.02</v>
      </c>
      <c r="AD43" s="13">
        <f>IFERROR(AC43/AC446, "NA")</f>
        <v>-0.2134574258</v>
      </c>
    </row>
    <row r="44" ht="16.5" hidden="1" customHeight="1">
      <c r="A44" s="11" t="s">
        <v>46</v>
      </c>
      <c r="B44" s="12">
        <v>0.0</v>
      </c>
      <c r="C44" s="13">
        <f>IFERROR(B44/B446, "NA")</f>
        <v>0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>
        <f>IFERROR(B46/B446, "NA")</f>
        <v>0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customHeight="1">
      <c r="A47" s="11" t="s">
        <v>48</v>
      </c>
      <c r="B47" s="12">
        <v>861.06</v>
      </c>
      <c r="C47" s="13">
        <f>IFERROR(B47/B446, "NA")</f>
        <v>0.001746071314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861.06</v>
      </c>
      <c r="I47" s="13">
        <f>IFERROR(H47/H446, "NA")</f>
        <v>-0.01276534615</v>
      </c>
      <c r="J47" s="14"/>
      <c r="K47" s="12">
        <v>156.09</v>
      </c>
      <c r="L47" s="13">
        <f>IFERROR(K47/K446, "NA")</f>
        <v>0.0003029626345</v>
      </c>
      <c r="M47" s="14"/>
      <c r="N47" s="15">
        <f t="shared" si="18"/>
        <v>704.97</v>
      </c>
      <c r="O47" s="13">
        <f>IFERROR(N47/N446, "NA")</f>
        <v>-0.03194147167</v>
      </c>
      <c r="P47" s="14"/>
      <c r="Q47" s="12">
        <v>3801.49</v>
      </c>
      <c r="R47" s="13">
        <f>IFERROR(Q47/Q446, "NA")</f>
        <v>0.0007921346901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3801.49</v>
      </c>
      <c r="X47" s="13">
        <f>IFERROR(W47/W446, "NA")</f>
        <v>-0.01982809624</v>
      </c>
      <c r="Y47" s="14"/>
      <c r="Z47" s="12">
        <v>6511.84</v>
      </c>
      <c r="AA47" s="13">
        <f>IFERROR(Z47/Z446, "NA")</f>
        <v>0.001409218446</v>
      </c>
      <c r="AB47" s="14"/>
      <c r="AC47" s="15">
        <f t="shared" si="20"/>
        <v>-2710.35</v>
      </c>
      <c r="AD47" s="13">
        <f>IFERROR(AC47/AC446, "NA")</f>
        <v>-0.01521323279</v>
      </c>
    </row>
    <row r="48" ht="16.5" customHeight="1">
      <c r="A48" s="11" t="s">
        <v>49</v>
      </c>
      <c r="B48" s="12">
        <v>77672.64</v>
      </c>
      <c r="C48" s="13">
        <f>IFERROR(B48/B446, "NA")</f>
        <v>0.1575058284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77672.64</v>
      </c>
      <c r="I48" s="13">
        <f>IFERROR(H48/H446, "NA")</f>
        <v>-1.151508763</v>
      </c>
      <c r="J48" s="14"/>
      <c r="K48" s="12">
        <v>62696.18000000001</v>
      </c>
      <c r="L48" s="13">
        <f>IFERROR(K48/K446, "NA")</f>
        <v>0.1216900498</v>
      </c>
      <c r="M48" s="14"/>
      <c r="N48" s="15">
        <f t="shared" si="18"/>
        <v>14976.46</v>
      </c>
      <c r="O48" s="13">
        <f>IFERROR(N48/N446, "NA")</f>
        <v>-0.6785681275</v>
      </c>
      <c r="P48" s="14"/>
      <c r="Q48" s="12">
        <v>672109.8300000001</v>
      </c>
      <c r="R48" s="13">
        <f>IFERROR(Q48/Q446, "NA")</f>
        <v>0.1400507464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672109.83</v>
      </c>
      <c r="X48" s="13">
        <f>IFERROR(W48/W446, "NA")</f>
        <v>-3.505640786</v>
      </c>
      <c r="Y48" s="14"/>
      <c r="Z48" s="12">
        <v>609815.98</v>
      </c>
      <c r="AA48" s="13">
        <f>IFERROR(Z48/Z446, "NA")</f>
        <v>0.1319694476</v>
      </c>
      <c r="AB48" s="14"/>
      <c r="AC48" s="15">
        <f t="shared" si="20"/>
        <v>62293.85</v>
      </c>
      <c r="AD48" s="13">
        <f>IFERROR(AC48/AC446, "NA")</f>
        <v>0.349656259</v>
      </c>
    </row>
    <row r="49" ht="16.5" customHeight="1">
      <c r="A49" s="11" t="s">
        <v>50</v>
      </c>
      <c r="B49" s="12">
        <v>0.0</v>
      </c>
      <c r="C49" s="13">
        <f>IFERROR(B49/B446, "NA")</f>
        <v>0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2700.0</v>
      </c>
      <c r="L49" s="13">
        <f>IFERROR(K49/K446, "NA")</f>
        <v>0.005240560658</v>
      </c>
      <c r="M49" s="14"/>
      <c r="N49" s="15">
        <f t="shared" si="18"/>
        <v>-2700</v>
      </c>
      <c r="O49" s="13">
        <f>IFERROR(N49/N446, "NA")</f>
        <v>0.1223342462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41840.6</v>
      </c>
      <c r="AA49" s="13">
        <f>IFERROR(Z49/Z446, "NA")</f>
        <v>0.009054667392</v>
      </c>
      <c r="AB49" s="14"/>
      <c r="AC49" s="15">
        <f t="shared" si="20"/>
        <v>-41840.6</v>
      </c>
      <c r="AD49" s="13">
        <f>IFERROR(AC49/AC446, "NA")</f>
        <v>-0.2348518782</v>
      </c>
    </row>
    <row r="50" ht="16.5" customHeight="1">
      <c r="A50" s="11" t="s">
        <v>51</v>
      </c>
      <c r="B50" s="12">
        <v>320.04</v>
      </c>
      <c r="C50" s="13">
        <f>IFERROR(B50/B446, "NA")</f>
        <v>0.0006489822584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320.04</v>
      </c>
      <c r="I50" s="13">
        <f>IFERROR(H50/H446, "NA")</f>
        <v>-0.00474464193</v>
      </c>
      <c r="J50" s="14"/>
      <c r="K50" s="12">
        <v>4241.0</v>
      </c>
      <c r="L50" s="13">
        <f>IFERROR(K50/K446, "NA")</f>
        <v>0.008231562131</v>
      </c>
      <c r="M50" s="14"/>
      <c r="N50" s="15">
        <f t="shared" si="18"/>
        <v>-3920.96</v>
      </c>
      <c r="O50" s="13">
        <f>IFERROR(N50/N446, "NA")</f>
        <v>0.1776546985</v>
      </c>
      <c r="P50" s="14"/>
      <c r="Q50" s="12">
        <v>24095.86</v>
      </c>
      <c r="R50" s="13">
        <f>IFERROR(Q50/Q446, "NA")</f>
        <v>0.005020969829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24095.86</v>
      </c>
      <c r="X50" s="13">
        <f>IFERROR(W50/W446, "NA")</f>
        <v>-0.1256809911</v>
      </c>
      <c r="Y50" s="14"/>
      <c r="Z50" s="12">
        <v>15729.07</v>
      </c>
      <c r="AA50" s="13">
        <f>IFERROR(Z50/Z446, "NA")</f>
        <v>0.003403906665</v>
      </c>
      <c r="AB50" s="14"/>
      <c r="AC50" s="15">
        <f t="shared" si="20"/>
        <v>8366.79</v>
      </c>
      <c r="AD50" s="13">
        <f>IFERROR(AC50/AC446, "NA")</f>
        <v>0.04696291033</v>
      </c>
    </row>
    <row r="51" ht="16.5" customHeight="1">
      <c r="A51" s="11" t="s">
        <v>52</v>
      </c>
      <c r="B51" s="12">
        <v>1109.14</v>
      </c>
      <c r="C51" s="13">
        <f>IFERROR(B51/B446, "NA")</f>
        <v>0.002249131927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1109.14</v>
      </c>
      <c r="I51" s="13">
        <f>IFERROR(H51/H446, "NA")</f>
        <v>-0.01644317007</v>
      </c>
      <c r="J51" s="14"/>
      <c r="K51" s="12">
        <v>2560.27</v>
      </c>
      <c r="L51" s="13">
        <f>IFERROR(K51/K446, "NA")</f>
        <v>0.00496935194</v>
      </c>
      <c r="M51" s="14"/>
      <c r="N51" s="15">
        <f t="shared" si="18"/>
        <v>-1451.13</v>
      </c>
      <c r="O51" s="13">
        <f>IFERROR(N51/N446, "NA")</f>
        <v>0.06574922023</v>
      </c>
      <c r="P51" s="14"/>
      <c r="Q51" s="12">
        <v>15204.74</v>
      </c>
      <c r="R51" s="13">
        <f>IFERROR(Q51/Q446, "NA")</f>
        <v>0.003168284543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15204.74</v>
      </c>
      <c r="X51" s="13">
        <f>IFERROR(W51/W446, "NA")</f>
        <v>-0.07930602159</v>
      </c>
      <c r="Y51" s="14"/>
      <c r="Z51" s="12">
        <v>24490.19</v>
      </c>
      <c r="AA51" s="13">
        <f>IFERROR(Z51/Z446, "NA")</f>
        <v>0.00529988874</v>
      </c>
      <c r="AB51" s="14"/>
      <c r="AC51" s="15">
        <f t="shared" si="20"/>
        <v>-9285.45</v>
      </c>
      <c r="AD51" s="13">
        <f>IFERROR(AC51/AC446, "NA")</f>
        <v>-0.05211936187</v>
      </c>
    </row>
    <row r="52" ht="16.5" customHeight="1">
      <c r="A52" s="11" t="s">
        <v>53</v>
      </c>
      <c r="B52" s="12">
        <v>0.0</v>
      </c>
      <c r="C52" s="13">
        <f>IFERROR(B52/B446, "NA")</f>
        <v>0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28300.0</v>
      </c>
      <c r="R52" s="13">
        <f>IFERROR(Q52/Q446, "NA")</f>
        <v>0.005897006629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28300</v>
      </c>
      <c r="X52" s="13">
        <f>IFERROR(W52/W446, "NA")</f>
        <v>-0.1476092594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28300</v>
      </c>
      <c r="AD52" s="13">
        <f>IFERROR(AC52/AC446, "NA")</f>
        <v>0.1588482993</v>
      </c>
    </row>
    <row r="53" ht="16.5" customHeight="1">
      <c r="A53" s="11" t="s">
        <v>54</v>
      </c>
      <c r="B53" s="12">
        <v>4387.25</v>
      </c>
      <c r="C53" s="13">
        <f>IFERROR(B53/B446, "NA")</f>
        <v>0.008896536099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4387.25</v>
      </c>
      <c r="I53" s="13">
        <f>IFERROR(H53/H446, "NA")</f>
        <v>-0.06504165201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4387.25</v>
      </c>
      <c r="O53" s="13">
        <f>IFERROR(N53/N446, "NA")</f>
        <v>-0.1987818228</v>
      </c>
      <c r="P53" s="14"/>
      <c r="Q53" s="12">
        <v>20825.4</v>
      </c>
      <c r="R53" s="13">
        <f>IFERROR(Q53/Q446, "NA")</f>
        <v>0.004339488405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20825.4</v>
      </c>
      <c r="X53" s="13">
        <f>IFERROR(W53/W446, "NA")</f>
        <v>-0.108622681</v>
      </c>
      <c r="Y53" s="14"/>
      <c r="Z53" s="12">
        <v>10000.0</v>
      </c>
      <c r="AA53" s="13">
        <f>IFERROR(Z53/Z446, "NA")</f>
        <v>0.002164086412</v>
      </c>
      <c r="AB53" s="14"/>
      <c r="AC53" s="15">
        <f t="shared" si="20"/>
        <v>10825.4</v>
      </c>
      <c r="AD53" s="13">
        <f>IFERROR(AC53/AC446, "NA")</f>
        <v>0.06076312295</v>
      </c>
    </row>
    <row r="54" ht="16.5" customHeight="1">
      <c r="A54" s="11" t="s">
        <v>55</v>
      </c>
      <c r="B54" s="12">
        <v>0.0</v>
      </c>
      <c r="C54" s="13">
        <f>IFERROR(B54/B446, "NA")</f>
        <v>0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77.75</v>
      </c>
      <c r="AA54" s="13">
        <f>IFERROR(Z54/Z446, "NA")</f>
        <v>0.00001682577185</v>
      </c>
      <c r="AB54" s="14"/>
      <c r="AC54" s="15">
        <f t="shared" si="20"/>
        <v>-77.75</v>
      </c>
      <c r="AD54" s="13">
        <f>IFERROR(AC54/AC446, "NA")</f>
        <v>-0.0004364118471</v>
      </c>
    </row>
    <row r="55" ht="16.5" customHeight="1">
      <c r="A55" s="11" t="s">
        <v>56</v>
      </c>
      <c r="B55" s="12">
        <v>819.13</v>
      </c>
      <c r="C55" s="13">
        <f>IFERROR(B55/B446, "NA")</f>
        <v>0.001661044986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819.13</v>
      </c>
      <c r="I55" s="13">
        <f>IFERROR(H55/H446, "NA")</f>
        <v>-0.01214372749</v>
      </c>
      <c r="J55" s="14"/>
      <c r="K55" s="12">
        <v>313.92</v>
      </c>
      <c r="L55" s="13">
        <f>IFERROR(K55/K446, "NA")</f>
        <v>0.0006093025192</v>
      </c>
      <c r="M55" s="14"/>
      <c r="N55" s="15">
        <f t="shared" si="18"/>
        <v>505.21</v>
      </c>
      <c r="O55" s="13">
        <f>IFERROR(N55/N446, "NA")</f>
        <v>-0.02289054982</v>
      </c>
      <c r="P55" s="14"/>
      <c r="Q55" s="12">
        <v>7691.67</v>
      </c>
      <c r="R55" s="13">
        <f>IFERROR(Q55/Q446, "NA")</f>
        <v>0.001602750141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7691.67</v>
      </c>
      <c r="X55" s="13">
        <f>IFERROR(W55/W446, "NA")</f>
        <v>-0.04011878842</v>
      </c>
      <c r="Y55" s="14"/>
      <c r="Z55" s="12">
        <v>2990.33</v>
      </c>
      <c r="AA55" s="13">
        <f>IFERROR(Z55/Z446, "NA")</f>
        <v>0.0006471332519</v>
      </c>
      <c r="AB55" s="14"/>
      <c r="AC55" s="15">
        <f t="shared" si="20"/>
        <v>4701.34</v>
      </c>
      <c r="AD55" s="13">
        <f>IFERROR(AC55/AC446, "NA")</f>
        <v>0.02638868776</v>
      </c>
    </row>
    <row r="56" ht="16.5" customHeight="1">
      <c r="A56" s="11" t="s">
        <v>57</v>
      </c>
      <c r="B56" s="12">
        <v>0.0</v>
      </c>
      <c r="C56" s="13">
        <f>IFERROR(B56/B446, "NA")</f>
        <v>0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155.60000000000002</v>
      </c>
      <c r="AA56" s="13">
        <f>IFERROR(Z56/Z446, "NA")</f>
        <v>0.00003367318457</v>
      </c>
      <c r="AB56" s="14"/>
      <c r="AC56" s="15">
        <f t="shared" si="20"/>
        <v>-155.6</v>
      </c>
      <c r="AD56" s="13">
        <f>IFERROR(AC56/AC446, "NA")</f>
        <v>-0.0008733849955</v>
      </c>
    </row>
    <row r="57" ht="16.5" customHeight="1">
      <c r="A57" s="11" t="s">
        <v>58</v>
      </c>
      <c r="B57" s="12">
        <v>445.7</v>
      </c>
      <c r="C57" s="13">
        <f>IFERROR(B57/B446, "NA")</f>
        <v>0.000903797627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445.7</v>
      </c>
      <c r="I57" s="13">
        <f>IFERROR(H57/H446, "NA")</f>
        <v>-0.006607570642</v>
      </c>
      <c r="J57" s="14"/>
      <c r="K57" s="12">
        <v>1940.28</v>
      </c>
      <c r="L57" s="13">
        <f>IFERROR(K57/K446, "NA")</f>
        <v>0.003765983346</v>
      </c>
      <c r="M57" s="14"/>
      <c r="N57" s="15">
        <f t="shared" si="18"/>
        <v>-1494.58</v>
      </c>
      <c r="O57" s="13">
        <f>IFERROR(N57/N446, "NA")</f>
        <v>0.06771789542</v>
      </c>
      <c r="P57" s="14"/>
      <c r="Q57" s="12">
        <v>6111.49</v>
      </c>
      <c r="R57" s="13">
        <f>IFERROR(Q57/Q446, "NA")</f>
        <v>0.001273480461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6111.49</v>
      </c>
      <c r="X57" s="13">
        <f>IFERROR(W57/W446, "NA")</f>
        <v>-0.03187676724</v>
      </c>
      <c r="Y57" s="14"/>
      <c r="Z57" s="12">
        <v>7448.54</v>
      </c>
      <c r="AA57" s="13">
        <f>IFERROR(Z57/Z446, "NA")</f>
        <v>0.00161192842</v>
      </c>
      <c r="AB57" s="14"/>
      <c r="AC57" s="15">
        <f t="shared" si="20"/>
        <v>-1337.05</v>
      </c>
      <c r="AD57" s="13">
        <f>IFERROR(AC57/AC446, "NA")</f>
        <v>-0.007504880516</v>
      </c>
    </row>
    <row r="58" ht="16.5" customHeight="1">
      <c r="A58" s="11" t="s">
        <v>59</v>
      </c>
      <c r="B58" s="12">
        <v>0.0</v>
      </c>
      <c r="C58" s="13">
        <f>IFERROR(B58/B446, "NA")</f>
        <v>0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1564.22</v>
      </c>
      <c r="AA58" s="13">
        <f>IFERROR(Z58/Z446, "NA")</f>
        <v>0.0003385107247</v>
      </c>
      <c r="AB58" s="14"/>
      <c r="AC58" s="15">
        <f t="shared" si="20"/>
        <v>-1564.22</v>
      </c>
      <c r="AD58" s="13">
        <f>IFERROR(AC58/AC446, "NA")</f>
        <v>-0.008779988931</v>
      </c>
    </row>
    <row r="59" ht="16.5" hidden="1" customHeight="1">
      <c r="A59" s="11" t="s">
        <v>60</v>
      </c>
      <c r="B59" s="12">
        <v>0.0</v>
      </c>
      <c r="C59" s="13">
        <f>IFERROR(B59/B446, "NA")</f>
        <v>0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customHeight="1">
      <c r="A60" s="11" t="s">
        <v>61</v>
      </c>
      <c r="B60" s="12">
        <v>0.0</v>
      </c>
      <c r="C60" s="13">
        <f>IFERROR(B60/B446, "NA")</f>
        <v>0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1329.49</v>
      </c>
      <c r="R60" s="13">
        <f>IFERROR(Q60/Q446, "NA")</f>
        <v>0.0002770322029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1329.49</v>
      </c>
      <c r="X60" s="13">
        <f>IFERROR(W60/W446, "NA")</f>
        <v>-0.006934453509</v>
      </c>
      <c r="Y60" s="14"/>
      <c r="Z60" s="12">
        <v>12.85</v>
      </c>
      <c r="AA60" s="13">
        <f>IFERROR(Z60/Z446, "NA")</f>
        <v>0.000002780851039</v>
      </c>
      <c r="AB60" s="14"/>
      <c r="AC60" s="15">
        <f t="shared" si="20"/>
        <v>1316.64</v>
      </c>
      <c r="AD60" s="13">
        <f>IFERROR(AC60/AC446, "NA")</f>
        <v>0.007390318898</v>
      </c>
    </row>
    <row r="61" ht="16.5" customHeight="1">
      <c r="A61" s="16" t="s">
        <v>62</v>
      </c>
      <c r="B61" s="17">
        <f>IFERROR(B46+B47+B48+B49+B50+B51+B52+B53+B54+B55+B56+B57+B58+B59+B60, "NA")</f>
        <v>85614.96</v>
      </c>
      <c r="C61" s="18">
        <f>IFERROR(B61/B446, "NA")</f>
        <v>0.1736113926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85614.96</v>
      </c>
      <c r="I61" s="18">
        <f>IFERROR(H61/H446, "NA")</f>
        <v>-1.269254872</v>
      </c>
      <c r="J61" s="8"/>
      <c r="K61" s="17">
        <f>IFERROR(K46+K47+K48+K49+K50+K51+K52+K53+K54+K55+K56+K57+K58+K59+K60, "NA")</f>
        <v>74607.74</v>
      </c>
      <c r="L61" s="18">
        <f>IFERROR(K61/K446, "NA")</f>
        <v>0.144809773</v>
      </c>
      <c r="M61" s="8"/>
      <c r="N61" s="17">
        <f t="shared" si="18"/>
        <v>11007.22</v>
      </c>
      <c r="O61" s="18">
        <f>IFERROR(N61/N446, "NA")</f>
        <v>-0.4987259115</v>
      </c>
      <c r="P61" s="8"/>
      <c r="Q61" s="17">
        <f>IFERROR(Q46+Q47+Q48+Q49+Q50+Q51+Q52+Q53+Q54+Q55+Q56+Q57+Q58+Q59+Q60, "NA")</f>
        <v>779469.97</v>
      </c>
      <c r="R61" s="18">
        <f>IFERROR(Q61/Q446, "NA")</f>
        <v>0.1624218933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779469.97</v>
      </c>
      <c r="X61" s="18">
        <f>IFERROR(W61/W446, "NA")</f>
        <v>-4.065617845</v>
      </c>
      <c r="Y61" s="8"/>
      <c r="Z61" s="17">
        <f>IFERROR(Z46+Z47+Z48+Z49+Z50+Z51+Z52+Z53+Z54+Z55+Z56+Z57+Z58+Z59+Z60, "NA")</f>
        <v>720636.97</v>
      </c>
      <c r="AA61" s="18">
        <f>IFERROR(Z61/Z446, "NA")</f>
        <v>0.1559520675</v>
      </c>
      <c r="AB61" s="8"/>
      <c r="AC61" s="17">
        <f t="shared" si="20"/>
        <v>58833</v>
      </c>
      <c r="AD61" s="18">
        <f>IFERROR(AC61/AC446, "NA")</f>
        <v>0.3302304591</v>
      </c>
    </row>
    <row r="62" ht="16.5" customHeight="1">
      <c r="A62" s="16" t="s">
        <v>63</v>
      </c>
      <c r="B62" s="17">
        <f>IFERROR(B42+B43+B44+B46+B47+B48+B49+B50+B51+B52+B53+B54+B55+B56+B57+B58+B59+B60, "NA")</f>
        <v>106992.99</v>
      </c>
      <c r="C62" s="18">
        <f>IFERROR(B62/B446, "NA")</f>
        <v>0.2169621056</v>
      </c>
      <c r="D62" s="8"/>
      <c r="E62" s="17">
        <f>IFERROR(E42+E43+E44+E46+E47+E48+E49+E50+E51+E52+E53+E54+E55+E56+E57+E58+E59+E60, "NA")</f>
        <v>133588.66</v>
      </c>
      <c r="F62" s="18">
        <f>IFERROR(E62/E446, "NA")</f>
        <v>0.2382982845</v>
      </c>
      <c r="G62" s="8"/>
      <c r="H62" s="17">
        <f t="shared" si="17"/>
        <v>-26595.67</v>
      </c>
      <c r="I62" s="18">
        <f>IFERROR(H62/H446, "NA")</f>
        <v>0.3942848739</v>
      </c>
      <c r="J62" s="8"/>
      <c r="K62" s="17">
        <f>IFERROR(K42+K43+K44+K46+K47+K48+K49+K50+K51+K52+K53+K54+K55+K56+K57+K58+K59+K60, "NA")</f>
        <v>97440</v>
      </c>
      <c r="L62" s="18">
        <f>IFERROR(K62/K446, "NA")</f>
        <v>0.1891260113</v>
      </c>
      <c r="M62" s="8"/>
      <c r="N62" s="17">
        <f t="shared" si="18"/>
        <v>9552.99</v>
      </c>
      <c r="O62" s="18">
        <f>IFERROR(N62/N446, "NA")</f>
        <v>-0.4328362334</v>
      </c>
      <c r="P62" s="8"/>
      <c r="Q62" s="17">
        <f>IFERROR(Q42+Q43+Q44+Q46+Q47+Q48+Q49+Q50+Q51+Q52+Q53+Q54+Q55+Q56+Q57+Q58+Q59+Q60, "NA")</f>
        <v>979130.3</v>
      </c>
      <c r="R62" s="18">
        <f>IFERROR(Q62/Q446, "NA")</f>
        <v>0.2040260731</v>
      </c>
      <c r="S62" s="8"/>
      <c r="T62" s="17">
        <f>IFERROR(T42+T43+T44+T46+T47+T48+T49+T50+T51+T52+T53+T54+T55+T56+T57+T58+T59+T60, "NA")</f>
        <v>1189594.8</v>
      </c>
      <c r="U62" s="18">
        <f>IFERROR(T62/T446, "NA")</f>
        <v>0.2383590967</v>
      </c>
      <c r="V62" s="8"/>
      <c r="W62" s="17">
        <f t="shared" si="19"/>
        <v>-210464.5</v>
      </c>
      <c r="X62" s="18">
        <f>IFERROR(W62/W446, "NA")</f>
        <v>1.097756501</v>
      </c>
      <c r="Y62" s="8"/>
      <c r="Z62" s="17">
        <f>IFERROR(Z42+Z43+Z44+Z46+Z47+Z48+Z49+Z50+Z51+Z52+Z53+Z54+Z55+Z56+Z57+Z58+Z59+Z60, "NA")</f>
        <v>958326.32</v>
      </c>
      <c r="AA62" s="18">
        <f>IFERROR(Z62/Z446, "NA")</f>
        <v>0.2073900967</v>
      </c>
      <c r="AB62" s="8"/>
      <c r="AC62" s="17">
        <f t="shared" si="20"/>
        <v>20803.98</v>
      </c>
      <c r="AD62" s="18">
        <f>IFERROR(AC62/AC446, "NA")</f>
        <v>0.1167730333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>
        <f>IFERROR(B64/B446, "NA")</f>
        <v>0</v>
      </c>
      <c r="D64" s="14"/>
      <c r="E64" s="12">
        <v>43805.740000000005</v>
      </c>
      <c r="F64" s="13">
        <f>IFERROR(E64/E446, "NA")</f>
        <v>0.07814160793</v>
      </c>
      <c r="G64" s="14"/>
      <c r="H64" s="15">
        <f t="shared" ref="H64:H73" si="21">IFERROR(B64-E64, "NA")</f>
        <v>-43805.74</v>
      </c>
      <c r="I64" s="13">
        <f>IFERROR(H64/H446, "NA")</f>
        <v>0.6494267929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389257.86</v>
      </c>
      <c r="U64" s="13">
        <f>IFERROR(T64/T446, "NA")</f>
        <v>0.07799559305</v>
      </c>
      <c r="V64" s="14"/>
      <c r="W64" s="15">
        <f t="shared" ref="W64:W73" si="23">IFERROR(Q64-T64, "NA")</f>
        <v>-389257.86</v>
      </c>
      <c r="X64" s="13">
        <f>IFERROR(W64/W446, "NA")</f>
        <v>2.030320298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19331.36</v>
      </c>
      <c r="C65" s="13">
        <f>IFERROR(B65/B446, "NA")</f>
        <v>0.03920044266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19331.36</v>
      </c>
      <c r="I65" s="13">
        <f>IFERROR(H65/H446, "NA")</f>
        <v>-0.2865903675</v>
      </c>
      <c r="J65" s="14"/>
      <c r="K65" s="12">
        <v>23528.72</v>
      </c>
      <c r="L65" s="13">
        <f>IFERROR(K65/K446, "NA")</f>
        <v>0.04566803125</v>
      </c>
      <c r="M65" s="14"/>
      <c r="N65" s="15">
        <f t="shared" si="22"/>
        <v>-4197.36</v>
      </c>
      <c r="O65" s="13">
        <f>IFERROR(N65/N446, "NA")</f>
        <v>0.1901781005</v>
      </c>
      <c r="P65" s="14"/>
      <c r="Q65" s="12">
        <v>181762.81</v>
      </c>
      <c r="R65" s="13">
        <f>IFERROR(Q65/Q446, "NA")</f>
        <v>0.03787478782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181762.81</v>
      </c>
      <c r="X65" s="13">
        <f>IFERROR(W65/W446, "NA")</f>
        <v>-0.9480520768</v>
      </c>
      <c r="Y65" s="14"/>
      <c r="Z65" s="12">
        <v>82069.67000000001</v>
      </c>
      <c r="AA65" s="13">
        <f>IFERROR(Z65/Z446, "NA")</f>
        <v>0.01776058577</v>
      </c>
      <c r="AB65" s="14"/>
      <c r="AC65" s="15">
        <f t="shared" si="24"/>
        <v>99693.14</v>
      </c>
      <c r="AD65" s="13">
        <f>IFERROR(AC65/AC446, "NA")</f>
        <v>0.5595790015</v>
      </c>
    </row>
    <row r="66" ht="16.5" customHeight="1">
      <c r="A66" s="11" t="s">
        <v>66</v>
      </c>
      <c r="B66" s="12">
        <v>14657.2</v>
      </c>
      <c r="C66" s="13">
        <f>IFERROR(B66/B446, "NA")</f>
        <v>0.02972210585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14657.2</v>
      </c>
      <c r="I66" s="13">
        <f>IFERROR(H66/H446, "NA")</f>
        <v>-0.2172952309</v>
      </c>
      <c r="J66" s="14"/>
      <c r="K66" s="12">
        <v>11697.960000000001</v>
      </c>
      <c r="L66" s="13">
        <f>IFERROR(K66/K446, "NA")</f>
        <v>0.02270513665</v>
      </c>
      <c r="M66" s="14"/>
      <c r="N66" s="15">
        <f t="shared" si="22"/>
        <v>2959.24</v>
      </c>
      <c r="O66" s="13">
        <f>IFERROR(N66/N446, "NA")</f>
        <v>-0.1340801461</v>
      </c>
      <c r="P66" s="14"/>
      <c r="Q66" s="12">
        <v>118586.06</v>
      </c>
      <c r="R66" s="13">
        <f>IFERROR(Q66/Q446, "NA")</f>
        <v>0.02471034565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118586.06</v>
      </c>
      <c r="X66" s="13">
        <f>IFERROR(W66/W446, "NA")</f>
        <v>-0.6185300527</v>
      </c>
      <c r="Y66" s="14"/>
      <c r="Z66" s="12">
        <v>148306.95</v>
      </c>
      <c r="AA66" s="13">
        <f>IFERROR(Z66/Z446, "NA")</f>
        <v>0.03209490552</v>
      </c>
      <c r="AB66" s="14"/>
      <c r="AC66" s="15">
        <f t="shared" si="24"/>
        <v>-29720.89</v>
      </c>
      <c r="AD66" s="13">
        <f>IFERROR(AC66/AC446, "NA")</f>
        <v>-0.1668237749</v>
      </c>
    </row>
    <row r="67" ht="16.5" customHeight="1">
      <c r="A67" s="11" t="s">
        <v>67</v>
      </c>
      <c r="B67" s="12">
        <v>0.0</v>
      </c>
      <c r="C67" s="13">
        <f>IFERROR(B67/B446, "NA")</f>
        <v>0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9882.75</v>
      </c>
      <c r="AA67" s="13">
        <f>IFERROR(Z67/Z446, "NA")</f>
        <v>0.002138712498</v>
      </c>
      <c r="AB67" s="14"/>
      <c r="AC67" s="15">
        <f t="shared" si="24"/>
        <v>-9882.75</v>
      </c>
      <c r="AD67" s="13">
        <f>IFERROR(AC67/AC446, "NA")</f>
        <v>-0.0554720152</v>
      </c>
    </row>
    <row r="68" ht="16.5" customHeight="1">
      <c r="A68" s="11" t="s">
        <v>68</v>
      </c>
      <c r="B68" s="12">
        <v>7892.79</v>
      </c>
      <c r="C68" s="13">
        <f>IFERROR(B68/B446, "NA")</f>
        <v>0.01600512648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7892.79</v>
      </c>
      <c r="I68" s="13">
        <f>IFERROR(H68/H446, "NA")</f>
        <v>-0.1170118185</v>
      </c>
      <c r="J68" s="14"/>
      <c r="K68" s="12">
        <v>11200.2</v>
      </c>
      <c r="L68" s="13">
        <f>IFERROR(K68/K446, "NA")</f>
        <v>0.02173901018</v>
      </c>
      <c r="M68" s="14"/>
      <c r="N68" s="15">
        <f t="shared" si="22"/>
        <v>-3307.41</v>
      </c>
      <c r="O68" s="13">
        <f>IFERROR(N68/N446, "NA")</f>
        <v>0.1498553737</v>
      </c>
      <c r="P68" s="14"/>
      <c r="Q68" s="12">
        <v>69121.31</v>
      </c>
      <c r="R68" s="13">
        <f>IFERROR(Q68/Q446, "NA")</f>
        <v>0.01440313863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69121.31</v>
      </c>
      <c r="X68" s="13">
        <f>IFERROR(W68/W446, "NA")</f>
        <v>-0.3605281052</v>
      </c>
      <c r="Y68" s="14"/>
      <c r="Z68" s="12">
        <v>31729.62</v>
      </c>
      <c r="AA68" s="13">
        <f>IFERROR(Z68/Z446, "NA")</f>
        <v>0.006866563949</v>
      </c>
      <c r="AB68" s="14"/>
      <c r="AC68" s="15">
        <f t="shared" si="24"/>
        <v>37391.69</v>
      </c>
      <c r="AD68" s="13">
        <f>IFERROR(AC68/AC446, "NA")</f>
        <v>0.2098800836</v>
      </c>
    </row>
    <row r="69" ht="16.5" customHeight="1">
      <c r="A69" s="11" t="s">
        <v>69</v>
      </c>
      <c r="B69" s="12">
        <v>0.0</v>
      </c>
      <c r="C69" s="13">
        <f>IFERROR(B69/B446, "NA")</f>
        <v>0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20847.15</v>
      </c>
      <c r="R69" s="13">
        <f>IFERROR(Q69/Q446, "NA")</f>
        <v>0.004344020556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20847.15</v>
      </c>
      <c r="X69" s="13">
        <f>IFERROR(W69/W446, "NA")</f>
        <v>-0.1087361262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20847.15</v>
      </c>
      <c r="AD69" s="13">
        <f>IFERROR(AC69/AC446, "NA")</f>
        <v>0.1170153471</v>
      </c>
    </row>
    <row r="70" ht="16.5" customHeight="1">
      <c r="A70" s="11" t="s">
        <v>70</v>
      </c>
      <c r="B70" s="12">
        <v>-11.5</v>
      </c>
      <c r="C70" s="13">
        <f>IFERROR(B70/B446, "NA")</f>
        <v>-0.00002331988492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-11.5</v>
      </c>
      <c r="I70" s="13">
        <f>IFERROR(H70/H446, "NA")</f>
        <v>0.0001704892582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-11.5</v>
      </c>
      <c r="O70" s="13">
        <f>IFERROR(N70/N446, "NA")</f>
        <v>0.0005210532707</v>
      </c>
      <c r="P70" s="14"/>
      <c r="Q70" s="12">
        <v>32185.5</v>
      </c>
      <c r="R70" s="13">
        <f>IFERROR(Q70/Q446, "NA")</f>
        <v>0.006706646885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32185.5</v>
      </c>
      <c r="X70" s="13">
        <f>IFERROR(W70/W446, "NA")</f>
        <v>-0.1678755413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32185.5</v>
      </c>
      <c r="AD70" s="13">
        <f>IFERROR(AC70/AC446, "NA")</f>
        <v>0.1806576656</v>
      </c>
    </row>
    <row r="71" ht="16.5" customHeight="1">
      <c r="A71" s="11" t="s">
        <v>71</v>
      </c>
      <c r="B71" s="12">
        <v>1485.05</v>
      </c>
      <c r="C71" s="13">
        <f>IFERROR(B71/B446, "NA")</f>
        <v>0.00301140827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1485.05</v>
      </c>
      <c r="I71" s="13">
        <f>IFERROR(H71/H446, "NA")</f>
        <v>-0.0220160933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1485.05</v>
      </c>
      <c r="O71" s="13">
        <f>IFERROR(N71/N446, "NA")</f>
        <v>-0.06728610084</v>
      </c>
      <c r="P71" s="14"/>
      <c r="Q71" s="12">
        <v>13386.62</v>
      </c>
      <c r="R71" s="13">
        <f>IFERROR(Q71/Q446, "NA")</f>
        <v>0.002789434165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13386.62</v>
      </c>
      <c r="X71" s="13">
        <f>IFERROR(W71/W446, "NA")</f>
        <v>-0.06982293513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13386.62</v>
      </c>
      <c r="AD71" s="13">
        <f>IFERROR(AC71/AC446, "NA")</f>
        <v>0.07513928695</v>
      </c>
    </row>
    <row r="72" ht="16.5" customHeight="1">
      <c r="A72" s="11" t="s">
        <v>72</v>
      </c>
      <c r="B72" s="12">
        <v>2709.05</v>
      </c>
      <c r="C72" s="13">
        <f>IFERROR(B72/B446, "NA")</f>
        <v>0.005493455153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2709.05</v>
      </c>
      <c r="I72" s="13">
        <f>IFERROR(H72/H446, "NA")</f>
        <v>-0.04016208043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2709.05</v>
      </c>
      <c r="O72" s="13">
        <f>IFERROR(N72/N446, "NA")</f>
        <v>-0.1227442924</v>
      </c>
      <c r="P72" s="14"/>
      <c r="Q72" s="12">
        <v>20674.5</v>
      </c>
      <c r="R72" s="13">
        <f>IFERROR(Q72/Q446, "NA")</f>
        <v>0.004308044648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20674.5</v>
      </c>
      <c r="X72" s="13">
        <f>IFERROR(W72/W446, "NA")</f>
        <v>-0.1078356054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20674.5</v>
      </c>
      <c r="AD72" s="13">
        <f>IFERROR(AC72/AC446, "NA")</f>
        <v>0.1160462602</v>
      </c>
    </row>
    <row r="73" ht="16.5" customHeight="1">
      <c r="A73" s="16" t="s">
        <v>73</v>
      </c>
      <c r="B73" s="17">
        <f>IFERROR(B64+B65+B66+B67+B68+B69+B70+B71+B72, "NA")</f>
        <v>46063.95</v>
      </c>
      <c r="C73" s="18">
        <f>IFERROR(B73/B446, "NA")</f>
        <v>0.09340921854</v>
      </c>
      <c r="D73" s="8"/>
      <c r="E73" s="17">
        <f>IFERROR(E64+E65+E66+E67+E68+E69+E70+E71+E72, "NA")</f>
        <v>43805.74</v>
      </c>
      <c r="F73" s="18">
        <f>IFERROR(E73/E446, "NA")</f>
        <v>0.07814160793</v>
      </c>
      <c r="G73" s="8"/>
      <c r="H73" s="17">
        <f t="shared" si="21"/>
        <v>2258.21</v>
      </c>
      <c r="I73" s="18">
        <f>IFERROR(H73/H446, "NA")</f>
        <v>-0.0334783085</v>
      </c>
      <c r="J73" s="8"/>
      <c r="K73" s="17">
        <f>IFERROR(K64+K65+K66+K67+K68+K69+K70+K71+K72, "NA")</f>
        <v>46426.88</v>
      </c>
      <c r="L73" s="18">
        <f>IFERROR(K73/K446, "NA")</f>
        <v>0.09011217808</v>
      </c>
      <c r="M73" s="8"/>
      <c r="N73" s="17">
        <f t="shared" si="22"/>
        <v>-362.93</v>
      </c>
      <c r="O73" s="18">
        <f>IFERROR(N73/N446, "NA")</f>
        <v>0.01644398813</v>
      </c>
      <c r="P73" s="8"/>
      <c r="Q73" s="17">
        <f>IFERROR(Q64+Q65+Q66+Q67+Q68+Q69+Q70+Q71+Q72, "NA")</f>
        <v>456563.95</v>
      </c>
      <c r="R73" s="18">
        <f>IFERROR(Q73/Q446, "NA")</f>
        <v>0.09513641836</v>
      </c>
      <c r="S73" s="8"/>
      <c r="T73" s="17">
        <f>IFERROR(T64+T65+T66+T67+T68+T69+T70+T71+T72, "NA")</f>
        <v>389257.86</v>
      </c>
      <c r="U73" s="18">
        <f>IFERROR(T73/T446, "NA")</f>
        <v>0.07799559305</v>
      </c>
      <c r="V73" s="8"/>
      <c r="W73" s="17">
        <f t="shared" si="23"/>
        <v>67306.09</v>
      </c>
      <c r="X73" s="18">
        <f>IFERROR(W73/W446, "NA")</f>
        <v>-0.3510601448</v>
      </c>
      <c r="Y73" s="8"/>
      <c r="Z73" s="17">
        <f>IFERROR(Z64+Z65+Z66+Z67+Z68+Z69+Z70+Z71+Z72, "NA")</f>
        <v>271988.99</v>
      </c>
      <c r="AA73" s="18">
        <f>IFERROR(Z73/Z446, "NA")</f>
        <v>0.05886076774</v>
      </c>
      <c r="AB73" s="8"/>
      <c r="AC73" s="17">
        <f t="shared" si="24"/>
        <v>184574.96</v>
      </c>
      <c r="AD73" s="18">
        <f>IFERROR(AC73/AC446, "NA")</f>
        <v>1.036021855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>
        <f>IFERROR(B75/B446, "NA")</f>
        <v>0</v>
      </c>
      <c r="D75" s="14"/>
      <c r="E75" s="12">
        <v>9963.97</v>
      </c>
      <c r="F75" s="13">
        <f>IFERROR(E75/E446, "NA")</f>
        <v>0.01777394098</v>
      </c>
      <c r="G75" s="14"/>
      <c r="H75" s="15">
        <f t="shared" ref="H75:H92" si="25">IFERROR(B75-E75, "NA")</f>
        <v>-9963.97</v>
      </c>
      <c r="I75" s="13">
        <f>IFERROR(H75/H446, "NA")</f>
        <v>0.1477173786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88933.76</v>
      </c>
      <c r="U75" s="13">
        <f>IFERROR(T75/T446, "NA")</f>
        <v>0.01781965649</v>
      </c>
      <c r="V75" s="14"/>
      <c r="W75" s="15">
        <f t="shared" ref="W75:W92" si="27">IFERROR(Q75-T75, "NA")</f>
        <v>-88933.76</v>
      </c>
      <c r="X75" s="13">
        <f>IFERROR(W75/W446, "NA")</f>
        <v>0.4638673657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>
        <f>IFERROR(B76/B446, "NA")</f>
        <v>0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1771.38</v>
      </c>
      <c r="C77" s="13">
        <f>IFERROR(B77/B446, "NA")</f>
        <v>0.003592032849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1771.38</v>
      </c>
      <c r="I77" s="13">
        <f>IFERROR(H77/H446, "NA")</f>
        <v>-0.02626097932</v>
      </c>
      <c r="J77" s="14"/>
      <c r="K77" s="12">
        <v>2419.84</v>
      </c>
      <c r="L77" s="13">
        <f>IFERROR(K77/K446, "NA")</f>
        <v>0.004696784557</v>
      </c>
      <c r="M77" s="14"/>
      <c r="N77" s="15">
        <f t="shared" si="26"/>
        <v>-648.46</v>
      </c>
      <c r="O77" s="13">
        <f>IFERROR(N77/N446, "NA")</f>
        <v>0.02938106121</v>
      </c>
      <c r="P77" s="14"/>
      <c r="Q77" s="12">
        <v>16004.74</v>
      </c>
      <c r="R77" s="13">
        <f>IFERROR(Q77/Q446, "NA")</f>
        <v>0.003334984377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16004.74</v>
      </c>
      <c r="X77" s="13">
        <f>IFERROR(W77/W446, "NA")</f>
        <v>-0.0834787215</v>
      </c>
      <c r="Y77" s="14"/>
      <c r="Z77" s="12">
        <v>20491.050000000003</v>
      </c>
      <c r="AA77" s="13">
        <f>IFERROR(Z77/Z446, "NA")</f>
        <v>0.004434440287</v>
      </c>
      <c r="AB77" s="14"/>
      <c r="AC77" s="15">
        <f t="shared" si="28"/>
        <v>-4486.31</v>
      </c>
      <c r="AD77" s="13">
        <f>IFERROR(AC77/AC446, "NA")</f>
        <v>-0.02518172133</v>
      </c>
    </row>
    <row r="78" ht="16.5" customHeight="1">
      <c r="A78" s="11" t="s">
        <v>77</v>
      </c>
      <c r="B78" s="12">
        <v>25.0</v>
      </c>
      <c r="C78" s="13">
        <f>IFERROR(B78/B446, "NA")</f>
        <v>0.00005069540201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25</v>
      </c>
      <c r="I78" s="13">
        <f>IFERROR(H78/H446, "NA")</f>
        <v>-0.0003706288222</v>
      </c>
      <c r="J78" s="14"/>
      <c r="K78" s="12">
        <v>25.0</v>
      </c>
      <c r="L78" s="13">
        <f>IFERROR(K78/K446, "NA")</f>
        <v>0.0000485237098</v>
      </c>
      <c r="M78" s="14"/>
      <c r="N78" s="15">
        <f t="shared" si="26"/>
        <v>0</v>
      </c>
      <c r="O78" s="13">
        <f>IFERROR(N78/N446, "NA")</f>
        <v>0</v>
      </c>
      <c r="P78" s="14"/>
      <c r="Q78" s="12">
        <v>225.0</v>
      </c>
      <c r="R78" s="13">
        <f>IFERROR(Q78/Q446, "NA")</f>
        <v>0.00004688432832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225</v>
      </c>
      <c r="X78" s="13">
        <f>IFERROR(W78/W446, "NA")</f>
        <v>-0.00117357185</v>
      </c>
      <c r="Y78" s="14"/>
      <c r="Z78" s="12">
        <v>400.0</v>
      </c>
      <c r="AA78" s="13">
        <f>IFERROR(Z78/Z446, "NA")</f>
        <v>0.00008656345647</v>
      </c>
      <c r="AB78" s="14"/>
      <c r="AC78" s="15">
        <f t="shared" si="28"/>
        <v>-175</v>
      </c>
      <c r="AD78" s="13">
        <f>IFERROR(AC78/AC446, "NA")</f>
        <v>-0.0009822774692</v>
      </c>
    </row>
    <row r="79" ht="16.5" customHeight="1">
      <c r="A79" s="11" t="s">
        <v>78</v>
      </c>
      <c r="B79" s="12">
        <v>0.0</v>
      </c>
      <c r="C79" s="13">
        <f>IFERROR(B79/B446, "NA")</f>
        <v>0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14.080000000000002</v>
      </c>
      <c r="AA79" s="13">
        <f>IFERROR(Z79/Z446, "NA")</f>
        <v>0.000003047033668</v>
      </c>
      <c r="AB79" s="14"/>
      <c r="AC79" s="15">
        <f t="shared" si="28"/>
        <v>-14.08</v>
      </c>
      <c r="AD79" s="13">
        <f>IFERROR(AC79/AC446, "NA")</f>
        <v>-0.00007903123867</v>
      </c>
    </row>
    <row r="80" ht="16.5" customHeight="1">
      <c r="A80" s="11" t="s">
        <v>79</v>
      </c>
      <c r="B80" s="12">
        <v>6743.44</v>
      </c>
      <c r="C80" s="13">
        <f>IFERROR(B80/B446, "NA")</f>
        <v>0.01367445607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6743.44</v>
      </c>
      <c r="I80" s="13">
        <f>IFERROR(H80/H446, "NA")</f>
        <v>-0.09997252899</v>
      </c>
      <c r="J80" s="14"/>
      <c r="K80" s="12">
        <v>6188.1</v>
      </c>
      <c r="L80" s="13">
        <f>IFERROR(K80/K446, "NA")</f>
        <v>0.01201078274</v>
      </c>
      <c r="M80" s="14"/>
      <c r="N80" s="15">
        <f t="shared" si="26"/>
        <v>555.34</v>
      </c>
      <c r="O80" s="13">
        <f>IFERROR(N80/N446, "NA")</f>
        <v>-0.02516188899</v>
      </c>
      <c r="P80" s="14"/>
      <c r="Q80" s="12">
        <v>63649.16</v>
      </c>
      <c r="R80" s="13">
        <f>IFERROR(Q80/Q446, "NA")</f>
        <v>0.01326288051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63649.16</v>
      </c>
      <c r="X80" s="13">
        <f>IFERROR(W80/W446, "NA")</f>
        <v>-0.3319860555</v>
      </c>
      <c r="Y80" s="14"/>
      <c r="Z80" s="12">
        <v>56028.59</v>
      </c>
      <c r="AA80" s="13">
        <f>IFERROR(Z80/Z446, "NA")</f>
        <v>0.01212507103</v>
      </c>
      <c r="AB80" s="14"/>
      <c r="AC80" s="15">
        <f t="shared" si="28"/>
        <v>7620.57</v>
      </c>
      <c r="AD80" s="13">
        <f>IFERROR(AC80/AC446, "NA")</f>
        <v>0.04277436694</v>
      </c>
    </row>
    <row r="81" ht="16.5" hidden="1" customHeight="1">
      <c r="A81" s="11" t="s">
        <v>80</v>
      </c>
      <c r="B81" s="12">
        <v>0.0</v>
      </c>
      <c r="C81" s="13">
        <f>IFERROR(B81/B446, "NA")</f>
        <v>0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customHeight="1">
      <c r="A82" s="11" t="s">
        <v>81</v>
      </c>
      <c r="B82" s="12">
        <v>0.0</v>
      </c>
      <c r="C82" s="13">
        <f>IFERROR(B82/B446, "NA")</f>
        <v>0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50.0</v>
      </c>
      <c r="AA82" s="13">
        <f>IFERROR(Z82/Z446, "NA")</f>
        <v>0.00001082043206</v>
      </c>
      <c r="AB82" s="14"/>
      <c r="AC82" s="15">
        <f t="shared" si="28"/>
        <v>-50</v>
      </c>
      <c r="AD82" s="13">
        <f>IFERROR(AC82/AC446, "NA")</f>
        <v>-0.0002806507055</v>
      </c>
    </row>
    <row r="83" ht="16.5" customHeight="1">
      <c r="A83" s="11" t="s">
        <v>82</v>
      </c>
      <c r="B83" s="12">
        <v>77.93</v>
      </c>
      <c r="C83" s="13">
        <f>IFERROR(B83/B446, "NA")</f>
        <v>0.0001580277071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77.93</v>
      </c>
      <c r="I83" s="13">
        <f>IFERROR(H83/H446, "NA")</f>
        <v>-0.001155324165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77.93</v>
      </c>
      <c r="O83" s="13">
        <f>IFERROR(N83/N446, "NA")</f>
        <v>-0.003530928816</v>
      </c>
      <c r="P83" s="14"/>
      <c r="Q83" s="12">
        <v>931.98</v>
      </c>
      <c r="R83" s="13">
        <f>IFERROR(Q83/Q446, "NA")</f>
        <v>0.0001942011391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931.98</v>
      </c>
      <c r="X83" s="13">
        <f>IFERROR(W83/W446, "NA")</f>
        <v>-0.004861091081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931.98</v>
      </c>
      <c r="AD83" s="13">
        <f>IFERROR(AC83/AC446, "NA")</f>
        <v>0.00523121689</v>
      </c>
    </row>
    <row r="84" ht="16.5" hidden="1" customHeight="1">
      <c r="A84" s="11" t="s">
        <v>83</v>
      </c>
      <c r="B84" s="12">
        <v>0.0</v>
      </c>
      <c r="C84" s="13">
        <f>IFERROR(B84/B446, "NA")</f>
        <v>0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>
        <f>IFERROR(B85/B446, "NA")</f>
        <v>0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customHeight="1">
      <c r="A86" s="11" t="s">
        <v>85</v>
      </c>
      <c r="B86" s="12">
        <v>75.0</v>
      </c>
      <c r="C86" s="13">
        <f>IFERROR(B86/B446, "NA")</f>
        <v>0.000152086206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75</v>
      </c>
      <c r="I86" s="13">
        <f>IFERROR(H86/H446, "NA")</f>
        <v>-0.001111886467</v>
      </c>
      <c r="J86" s="14"/>
      <c r="K86" s="12">
        <v>25.0</v>
      </c>
      <c r="L86" s="13">
        <f>IFERROR(K86/K446, "NA")</f>
        <v>0.0000485237098</v>
      </c>
      <c r="M86" s="14"/>
      <c r="N86" s="15">
        <f t="shared" si="26"/>
        <v>50</v>
      </c>
      <c r="O86" s="13">
        <f>IFERROR(N86/N446, "NA")</f>
        <v>-0.002265449003</v>
      </c>
      <c r="P86" s="14"/>
      <c r="Q86" s="12">
        <v>200.0</v>
      </c>
      <c r="R86" s="13">
        <f>IFERROR(Q86/Q446, "NA")</f>
        <v>0.00004167495851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200</v>
      </c>
      <c r="X86" s="13">
        <f>IFERROR(W86/W446, "NA")</f>
        <v>-0.001043174978</v>
      </c>
      <c r="Y86" s="14"/>
      <c r="Z86" s="12">
        <v>125.0</v>
      </c>
      <c r="AA86" s="13">
        <f>IFERROR(Z86/Z446, "NA")</f>
        <v>0.00002705108015</v>
      </c>
      <c r="AB86" s="14"/>
      <c r="AC86" s="15">
        <f t="shared" si="28"/>
        <v>75</v>
      </c>
      <c r="AD86" s="13">
        <f>IFERROR(AC86/AC446, "NA")</f>
        <v>0.0004209760582</v>
      </c>
    </row>
    <row r="87" ht="16.5" customHeight="1">
      <c r="A87" s="11" t="s">
        <v>86</v>
      </c>
      <c r="B87" s="12">
        <v>0.0</v>
      </c>
      <c r="C87" s="13">
        <f>IFERROR(B87/B446, "NA")</f>
        <v>0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988.28</v>
      </c>
      <c r="AA87" s="13">
        <f>IFERROR(Z87/Z446, "NA")</f>
        <v>0.0002138723319</v>
      </c>
      <c r="AB87" s="14"/>
      <c r="AC87" s="15">
        <f t="shared" si="28"/>
        <v>-988.28</v>
      </c>
      <c r="AD87" s="13">
        <f>IFERROR(AC87/AC446, "NA")</f>
        <v>-0.005547229585</v>
      </c>
    </row>
    <row r="88" ht="16.5" customHeight="1">
      <c r="A88" s="16" t="s">
        <v>87</v>
      </c>
      <c r="B88" s="17">
        <f>IFERROR(B75+B76+B77+B78+B79+B80+B81+B82+B83+B84+B85+B86+B87, "NA")</f>
        <v>8692.75</v>
      </c>
      <c r="C88" s="18">
        <f>IFERROR(B88/B446, "NA")</f>
        <v>0.01762729823</v>
      </c>
      <c r="D88" s="8"/>
      <c r="E88" s="17">
        <f>IFERROR(E75+E76+E77+E78+E79+E80+E81+E82+E83+E84+E85+E86+E87, "NA")</f>
        <v>9963.97</v>
      </c>
      <c r="F88" s="18">
        <f>IFERROR(E88/E446, "NA")</f>
        <v>0.01777394098</v>
      </c>
      <c r="G88" s="8"/>
      <c r="H88" s="17">
        <f t="shared" si="25"/>
        <v>-1271.22</v>
      </c>
      <c r="I88" s="18">
        <f>IFERROR(H88/H446, "NA")</f>
        <v>0.01884603085</v>
      </c>
      <c r="J88" s="8"/>
      <c r="K88" s="17">
        <f>IFERROR(K75+K76+K77+K78+K79+K80+K81+K82+K83+K84+K85+K86+K87, "NA")</f>
        <v>8657.94</v>
      </c>
      <c r="L88" s="18">
        <f>IFERROR(K88/K446, "NA")</f>
        <v>0.01680461472</v>
      </c>
      <c r="M88" s="8"/>
      <c r="N88" s="17">
        <f t="shared" si="26"/>
        <v>34.81</v>
      </c>
      <c r="O88" s="18">
        <f>IFERROR(N88/N446, "NA")</f>
        <v>-0.001577205596</v>
      </c>
      <c r="P88" s="8"/>
      <c r="Q88" s="17">
        <f>IFERROR(Q75+Q76+Q77+Q78+Q79+Q80+Q81+Q82+Q83+Q84+Q85+Q86+Q87, "NA")</f>
        <v>81010.88</v>
      </c>
      <c r="R88" s="18">
        <f>IFERROR(Q88/Q446, "NA")</f>
        <v>0.01688062531</v>
      </c>
      <c r="S88" s="8"/>
      <c r="T88" s="17">
        <f>IFERROR(T75+T76+T77+T78+T79+T80+T81+T82+T83+T84+T85+T86+T87, "NA")</f>
        <v>88933.76</v>
      </c>
      <c r="U88" s="18">
        <f>IFERROR(T88/T446, "NA")</f>
        <v>0.01781965649</v>
      </c>
      <c r="V88" s="8"/>
      <c r="W88" s="17">
        <f t="shared" si="27"/>
        <v>-7922.88</v>
      </c>
      <c r="X88" s="18">
        <f>IFERROR(W88/W446, "NA")</f>
        <v>0.04132475085</v>
      </c>
      <c r="Y88" s="8"/>
      <c r="Z88" s="17">
        <f>IFERROR(Z75+Z76+Z77+Z78+Z79+Z80+Z81+Z82+Z83+Z84+Z85+Z86+Z87, "NA")</f>
        <v>78097</v>
      </c>
      <c r="AA88" s="18">
        <f>IFERROR(Z88/Z446, "NA")</f>
        <v>0.01690086565</v>
      </c>
      <c r="AB88" s="8"/>
      <c r="AC88" s="17">
        <f t="shared" si="28"/>
        <v>2913.88</v>
      </c>
      <c r="AD88" s="18">
        <f>IFERROR(AC88/AC446, "NA")</f>
        <v>0.01635564955</v>
      </c>
    </row>
    <row r="89" ht="16.5" customHeight="1">
      <c r="A89" s="11" t="s">
        <v>88</v>
      </c>
      <c r="B89" s="12">
        <v>-96.97999999999999</v>
      </c>
      <c r="C89" s="13">
        <f>IFERROR(B89/B446, "NA")</f>
        <v>-0.0001966576035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-96.98</v>
      </c>
      <c r="I89" s="13">
        <f>IFERROR(H89/H446, "NA")</f>
        <v>0.001437743327</v>
      </c>
      <c r="J89" s="14"/>
      <c r="K89" s="12">
        <v>-112.72</v>
      </c>
      <c r="L89" s="13">
        <f>IFERROR(K89/K446, "NA")</f>
        <v>-0.0002187837027</v>
      </c>
      <c r="M89" s="14"/>
      <c r="N89" s="15">
        <f t="shared" si="26"/>
        <v>15.74</v>
      </c>
      <c r="O89" s="13">
        <f>IFERROR(N89/N446, "NA")</f>
        <v>-0.0007131633461</v>
      </c>
      <c r="P89" s="14"/>
      <c r="Q89" s="12">
        <v>-392.16</v>
      </c>
      <c r="R89" s="13">
        <f>IFERROR(Q89/Q446, "NA")</f>
        <v>-0.00008171625864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-392.16</v>
      </c>
      <c r="X89" s="13">
        <f>IFERROR(W89/W446, "NA")</f>
        <v>0.002045457497</v>
      </c>
      <c r="Y89" s="14"/>
      <c r="Z89" s="12">
        <v>-429.19000000000005</v>
      </c>
      <c r="AA89" s="13">
        <f>IFERROR(Z89/Z446, "NA")</f>
        <v>-0.0000928804247</v>
      </c>
      <c r="AB89" s="14"/>
      <c r="AC89" s="15">
        <f t="shared" si="28"/>
        <v>37.03</v>
      </c>
      <c r="AD89" s="13">
        <f>IFERROR(AC89/AC446, "NA")</f>
        <v>0.0002078499125</v>
      </c>
    </row>
    <row r="90" ht="16.5" customHeight="1">
      <c r="A90" s="11" t="s">
        <v>89</v>
      </c>
      <c r="B90" s="12">
        <v>-3227.79</v>
      </c>
      <c r="C90" s="13">
        <f>IFERROR(B90/B446, "NA")</f>
        <v>-0.006545364466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-3227.79</v>
      </c>
      <c r="I90" s="13">
        <f>IFERROR(H90/H446, "NA")</f>
        <v>0.04785248024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-3227.79</v>
      </c>
      <c r="O90" s="13">
        <f>IFERROR(N90/N446, "NA")</f>
        <v>0.1462478727</v>
      </c>
      <c r="P90" s="14"/>
      <c r="Q90" s="12">
        <v>-3754.96</v>
      </c>
      <c r="R90" s="13">
        <f>IFERROR(Q90/Q446, "NA")</f>
        <v>-0.000782439011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-3754.96</v>
      </c>
      <c r="X90" s="13">
        <f>IFERROR(W90/W446, "NA")</f>
        <v>0.01958540158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-3754.96</v>
      </c>
      <c r="AD90" s="13">
        <f>IFERROR(AC90/AC446, "NA")</f>
        <v>-0.02107664346</v>
      </c>
    </row>
    <row r="91" ht="16.5" hidden="1" customHeight="1">
      <c r="A91" s="11" t="s">
        <v>90</v>
      </c>
      <c r="B91" s="12">
        <v>0.0</v>
      </c>
      <c r="C91" s="13">
        <f>IFERROR(B91/B446, "NA")</f>
        <v>0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>
        <f>IFERROR(B92/B446, "NA")</f>
        <v>0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>
        <f>IFERROR(B94/B446, "NA")</f>
        <v>0</v>
      </c>
      <c r="D94" s="14"/>
      <c r="E94" s="12">
        <v>-28496.53</v>
      </c>
      <c r="F94" s="13">
        <f>IFERROR(E94/E446, "NA")</f>
        <v>-0.0508327145</v>
      </c>
      <c r="G94" s="14"/>
      <c r="H94" s="15">
        <f t="shared" ref="H94:H124" si="29">IFERROR(B94-E94, "NA")</f>
        <v>28496.53</v>
      </c>
      <c r="I94" s="13">
        <f>IFERROR(H94/H446, "NA")</f>
        <v>-0.422465414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-253148.68</v>
      </c>
      <c r="U94" s="13">
        <f>IFERROR(T94/T446, "NA")</f>
        <v>-0.05072339817</v>
      </c>
      <c r="V94" s="14"/>
      <c r="W94" s="15">
        <f t="shared" ref="W94:W124" si="31">IFERROR(Q94-T94, "NA")</f>
        <v>253148.68</v>
      </c>
      <c r="X94" s="13">
        <f>IFERROR(W94/W446, "NA")</f>
        <v>-1.320391844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>
        <f>IFERROR(B95/B446, "NA")</f>
        <v>0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-4529.02</v>
      </c>
      <c r="C96" s="13">
        <f>IFERROR(B96/B446, "NA")</f>
        <v>-0.009184019584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-4529.02</v>
      </c>
      <c r="I96" s="13">
        <f>IFERROR(H96/H446, "NA")</f>
        <v>0.06714341393</v>
      </c>
      <c r="J96" s="14"/>
      <c r="K96" s="12">
        <v>-7931.129999999999</v>
      </c>
      <c r="L96" s="13">
        <f>IFERROR(K96/K446, "NA")</f>
        <v>-0.01539391402</v>
      </c>
      <c r="M96" s="14"/>
      <c r="N96" s="15">
        <f t="shared" si="30"/>
        <v>3402.11</v>
      </c>
      <c r="O96" s="13">
        <f>IFERROR(N96/N446, "NA")</f>
        <v>-0.1541461341</v>
      </c>
      <c r="P96" s="14"/>
      <c r="Q96" s="12">
        <v>-47037.28999999999</v>
      </c>
      <c r="R96" s="13">
        <f>IFERROR(Q96/Q446, "NA")</f>
        <v>-0.009801385545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-47037.29</v>
      </c>
      <c r="X96" s="13">
        <f>IFERROR(W96/W446, "NA")</f>
        <v>0.2453406198</v>
      </c>
      <c r="Y96" s="14"/>
      <c r="Z96" s="12">
        <v>-62802.28</v>
      </c>
      <c r="AA96" s="13">
        <f>IFERROR(Z96/Z446, "NA")</f>
        <v>-0.01359095608</v>
      </c>
      <c r="AB96" s="14"/>
      <c r="AC96" s="15">
        <f t="shared" si="32"/>
        <v>15764.99</v>
      </c>
      <c r="AD96" s="13">
        <f>IFERROR(AC96/AC446, "NA")</f>
        <v>0.08848911131</v>
      </c>
    </row>
    <row r="97" ht="16.5" hidden="1" customHeight="1">
      <c r="A97" s="11" t="s">
        <v>95</v>
      </c>
      <c r="B97" s="12">
        <v>0.0</v>
      </c>
      <c r="C97" s="13">
        <f>IFERROR(B97/B446, "NA")</f>
        <v>0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-10973.16</v>
      </c>
      <c r="C98" s="13">
        <f>IFERROR(B98/B446, "NA")</f>
        <v>-0.0222515503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-10973.16</v>
      </c>
      <c r="I98" s="13">
        <f>IFERROR(H98/H446, "NA")</f>
        <v>0.1626787747</v>
      </c>
      <c r="J98" s="14"/>
      <c r="K98" s="12">
        <v>-10933.99</v>
      </c>
      <c r="L98" s="13">
        <f>IFERROR(K98/K446, "NA")</f>
        <v>-0.02122231031</v>
      </c>
      <c r="M98" s="14"/>
      <c r="N98" s="15">
        <f t="shared" si="30"/>
        <v>-39.17</v>
      </c>
      <c r="O98" s="13">
        <f>IFERROR(N98/N446, "NA")</f>
        <v>0.001774752749</v>
      </c>
      <c r="P98" s="14"/>
      <c r="Q98" s="12">
        <v>-60193.24</v>
      </c>
      <c r="R98" s="13">
        <f>IFERROR(Q98/Q446, "NA")</f>
        <v>-0.0125427539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-60193.24</v>
      </c>
      <c r="X98" s="13">
        <f>IFERROR(W98/W446, "NA")</f>
        <v>0.3139604091</v>
      </c>
      <c r="Y98" s="14"/>
      <c r="Z98" s="12">
        <v>-92163.29000000001</v>
      </c>
      <c r="AA98" s="13">
        <f>IFERROR(Z98/Z446, "NA")</f>
        <v>-0.01994493235</v>
      </c>
      <c r="AB98" s="14"/>
      <c r="AC98" s="15">
        <f t="shared" si="32"/>
        <v>31970.05</v>
      </c>
      <c r="AD98" s="13">
        <f>IFERROR(AC98/AC446, "NA")</f>
        <v>0.1794483417</v>
      </c>
    </row>
    <row r="99" ht="16.5" hidden="1" customHeight="1">
      <c r="A99" s="11" t="s">
        <v>97</v>
      </c>
      <c r="B99" s="12">
        <v>0.0</v>
      </c>
      <c r="C99" s="13">
        <f>IFERROR(B99/B446, "NA")</f>
        <v>0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-1779.2600000000002</v>
      </c>
      <c r="C100" s="13">
        <f>IFERROR(B100/B446, "NA")</f>
        <v>-0.003608012039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-1779.26</v>
      </c>
      <c r="I100" s="13">
        <f>IFERROR(H100/H446, "NA")</f>
        <v>0.02637780153</v>
      </c>
      <c r="J100" s="14"/>
      <c r="K100" s="12">
        <v>-1997.65</v>
      </c>
      <c r="L100" s="13">
        <f>IFERROR(K100/K446, "NA")</f>
        <v>-0.003877335555</v>
      </c>
      <c r="M100" s="14"/>
      <c r="N100" s="15">
        <f t="shared" si="30"/>
        <v>218.39</v>
      </c>
      <c r="O100" s="13">
        <f>IFERROR(N100/N446, "NA")</f>
        <v>-0.009895028155</v>
      </c>
      <c r="P100" s="14"/>
      <c r="Q100" s="12">
        <v>-7912.040000000001</v>
      </c>
      <c r="R100" s="13">
        <f>IFERROR(Q100/Q446, "NA")</f>
        <v>-0.001648669694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-7912.04</v>
      </c>
      <c r="X100" s="13">
        <f>IFERROR(W100/W446, "NA")</f>
        <v>0.04126821077</v>
      </c>
      <c r="Y100" s="14"/>
      <c r="Z100" s="12">
        <v>-16427.52</v>
      </c>
      <c r="AA100" s="13">
        <f>IFERROR(Z100/Z446, "NA")</f>
        <v>-0.003555057281</v>
      </c>
      <c r="AB100" s="14"/>
      <c r="AC100" s="15">
        <f t="shared" si="32"/>
        <v>8515.48</v>
      </c>
      <c r="AD100" s="13">
        <f>IFERROR(AC100/AC446, "NA")</f>
        <v>0.04779750939</v>
      </c>
    </row>
    <row r="101" ht="16.5" customHeight="1">
      <c r="A101" s="11" t="s">
        <v>99</v>
      </c>
      <c r="B101" s="12">
        <v>0.0</v>
      </c>
      <c r="C101" s="13">
        <f>IFERROR(B101/B446, "NA")</f>
        <v>0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-394.36</v>
      </c>
      <c r="R101" s="13">
        <f>IFERROR(Q101/Q446, "NA")</f>
        <v>-0.00008217468318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-394.36</v>
      </c>
      <c r="X101" s="13">
        <f>IFERROR(W101/W446, "NA")</f>
        <v>0.002056932422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-394.36</v>
      </c>
      <c r="AD101" s="13">
        <f>IFERROR(AC101/AC446, "NA")</f>
        <v>-0.002213548244</v>
      </c>
    </row>
    <row r="102" ht="16.5" customHeight="1">
      <c r="A102" s="11" t="s">
        <v>100</v>
      </c>
      <c r="B102" s="12">
        <v>-4661.139999999999</v>
      </c>
      <c r="C102" s="13">
        <f>IFERROR(B102/B446, "NA")</f>
        <v>-0.009451934645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-4661.14</v>
      </c>
      <c r="I102" s="13">
        <f>IFERROR(H102/H446, "NA")</f>
        <v>0.06910211313</v>
      </c>
      <c r="J102" s="14"/>
      <c r="K102" s="12">
        <v>-4605.68</v>
      </c>
      <c r="L102" s="13">
        <f>IFERROR(K102/K446, "NA")</f>
        <v>-0.00893938719</v>
      </c>
      <c r="M102" s="14"/>
      <c r="N102" s="15">
        <f t="shared" si="30"/>
        <v>-55.46</v>
      </c>
      <c r="O102" s="13">
        <f>IFERROR(N102/N446, "NA")</f>
        <v>0.002512836034</v>
      </c>
      <c r="P102" s="14"/>
      <c r="Q102" s="12">
        <v>-37100.38</v>
      </c>
      <c r="R102" s="13">
        <f>IFERROR(Q102/Q446, "NA")</f>
        <v>-0.007730783986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-37100.38</v>
      </c>
      <c r="X102" s="13">
        <f>IFERROR(W102/W446, "NA")</f>
        <v>0.1935109405</v>
      </c>
      <c r="Y102" s="14"/>
      <c r="Z102" s="12">
        <v>-40776.13</v>
      </c>
      <c r="AA102" s="13">
        <f>IFERROR(Z102/Z446, "NA")</f>
        <v>-0.008824306885</v>
      </c>
      <c r="AB102" s="14"/>
      <c r="AC102" s="15">
        <f t="shared" si="32"/>
        <v>3675.75</v>
      </c>
      <c r="AD102" s="13">
        <f>IFERROR(AC102/AC446, "NA")</f>
        <v>0.02063203661</v>
      </c>
    </row>
    <row r="103" ht="16.5" customHeight="1">
      <c r="A103" s="11" t="s">
        <v>101</v>
      </c>
      <c r="B103" s="12">
        <v>-23.03</v>
      </c>
      <c r="C103" s="13">
        <f>IFERROR(B103/B446, "NA")</f>
        <v>-0.00004670060433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-23.03</v>
      </c>
      <c r="I103" s="13">
        <f>IFERROR(H103/H446, "NA")</f>
        <v>0.000341423271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-23.03</v>
      </c>
      <c r="O103" s="13">
        <f>IFERROR(N103/N446, "NA")</f>
        <v>0.001043465811</v>
      </c>
      <c r="P103" s="14"/>
      <c r="Q103" s="12">
        <v>-400.69</v>
      </c>
      <c r="R103" s="13">
        <f>IFERROR(Q103/Q446, "NA")</f>
        <v>-0.00008349369562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-400.69</v>
      </c>
      <c r="X103" s="13">
        <f>IFERROR(W103/W446, "NA")</f>
        <v>0.00208994891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-400.69</v>
      </c>
      <c r="AD103" s="13">
        <f>IFERROR(AC103/AC446, "NA")</f>
        <v>-0.002249078624</v>
      </c>
    </row>
    <row r="104" ht="16.5" customHeight="1">
      <c r="A104" s="11" t="s">
        <v>102</v>
      </c>
      <c r="B104" s="12">
        <v>-646.44</v>
      </c>
      <c r="C104" s="13">
        <f>IFERROR(B104/B446, "NA")</f>
        <v>-0.001310861427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-646.44</v>
      </c>
      <c r="I104" s="13">
        <f>IFERROR(H104/H446, "NA")</f>
        <v>0.009583571833</v>
      </c>
      <c r="J104" s="14"/>
      <c r="K104" s="12">
        <v>-3231.69</v>
      </c>
      <c r="L104" s="13">
        <f>IFERROR(K104/K446, "NA")</f>
        <v>-0.006272543509</v>
      </c>
      <c r="M104" s="14"/>
      <c r="N104" s="15">
        <f t="shared" si="30"/>
        <v>2585.25</v>
      </c>
      <c r="O104" s="13">
        <f>IFERROR(N104/N446, "NA")</f>
        <v>-0.1171350407</v>
      </c>
      <c r="P104" s="14"/>
      <c r="Q104" s="12">
        <v>-13521.77</v>
      </c>
      <c r="R104" s="13">
        <f>IFERROR(Q104/Q446, "NA")</f>
        <v>-0.002817596018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-13521.77</v>
      </c>
      <c r="X104" s="13">
        <f>IFERROR(W104/W446, "NA")</f>
        <v>0.07052786062</v>
      </c>
      <c r="Y104" s="14"/>
      <c r="Z104" s="12">
        <v>-27112.73</v>
      </c>
      <c r="AA104" s="13">
        <f>IFERROR(Z104/Z446, "NA")</f>
        <v>-0.005867429058</v>
      </c>
      <c r="AB104" s="14"/>
      <c r="AC104" s="15">
        <f t="shared" si="32"/>
        <v>13590.96</v>
      </c>
      <c r="AD104" s="13">
        <f>IFERROR(AC104/AC446, "NA")</f>
        <v>0.07628625025</v>
      </c>
    </row>
    <row r="105" ht="16.5" hidden="1" customHeight="1">
      <c r="A105" s="11" t="s">
        <v>103</v>
      </c>
      <c r="B105" s="12">
        <v>0.0</v>
      </c>
      <c r="C105" s="13">
        <f>IFERROR(B105/B446, "NA")</f>
        <v>0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-2016.88</v>
      </c>
      <c r="C106" s="13">
        <f>IFERROR(B106/B446, "NA")</f>
        <v>-0.004089861696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-2016.88</v>
      </c>
      <c r="I106" s="13">
        <f>IFERROR(H106/H446, "NA")</f>
        <v>0.02990055436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-2016.88</v>
      </c>
      <c r="O106" s="13">
        <f>IFERROR(N106/N446, "NA")</f>
        <v>0.0913827757</v>
      </c>
      <c r="P106" s="14"/>
      <c r="Q106" s="12">
        <v>-4827.869999999999</v>
      </c>
      <c r="R106" s="13">
        <f>IFERROR(Q106/Q446, "NA")</f>
        <v>-0.00100600641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-4827.87</v>
      </c>
      <c r="X106" s="13">
        <f>IFERROR(W106/W446, "NA")</f>
        <v>0.02518156591</v>
      </c>
      <c r="Y106" s="14"/>
      <c r="Z106" s="12">
        <v>-4233.7300000000005</v>
      </c>
      <c r="AA106" s="13">
        <f>IFERROR(Z106/Z446, "NA")</f>
        <v>-0.0009162157564</v>
      </c>
      <c r="AB106" s="14"/>
      <c r="AC106" s="15">
        <f t="shared" si="32"/>
        <v>-594.14</v>
      </c>
      <c r="AD106" s="13">
        <f>IFERROR(AC106/AC446, "NA")</f>
        <v>-0.003334916203</v>
      </c>
    </row>
    <row r="107" ht="16.5" hidden="1" customHeight="1">
      <c r="A107" s="11" t="s">
        <v>105</v>
      </c>
      <c r="B107" s="12">
        <v>0.0</v>
      </c>
      <c r="C107" s="13">
        <f>IFERROR(B107/B446, "NA")</f>
        <v>0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>
        <f>IFERROR(B108/B446, "NA")</f>
        <v>0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>
        <f>IFERROR(B109/B446, "NA")</f>
        <v>0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>
        <f>IFERROR(B110/B446, "NA")</f>
        <v>0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>
        <f>IFERROR(B111/B446, "NA")</f>
        <v>0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>
        <f>IFERROR(B112/B446, "NA")</f>
        <v>0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>
        <f>IFERROR(B113/B446, "NA")</f>
        <v>0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>
        <f>IFERROR(B114/B446, "NA")</f>
        <v>0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>
        <f>IFERROR(B115/B446, "NA")</f>
        <v>0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>
        <f>IFERROR(B116/B446, "NA")</f>
        <v>0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>
        <f>IFERROR(B117/B446, "NA")</f>
        <v>0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-24628.93</v>
      </c>
      <c r="C118" s="18">
        <f>IFERROR(B118/B446, "NA")</f>
        <v>-0.0499429403</v>
      </c>
      <c r="D118" s="8"/>
      <c r="E118" s="17">
        <f>IFERROR(E94+E95+E96+E97+E98+E99+E100+E101+E102+E103+E104+E105+E106+E107+E108+E109+E110+E111+E112+E113+E114+E115+E116+E117, "NA")</f>
        <v>-28496.53</v>
      </c>
      <c r="F118" s="18">
        <f>IFERROR(E118/E446, "NA")</f>
        <v>-0.0508327145</v>
      </c>
      <c r="G118" s="8"/>
      <c r="H118" s="17">
        <f t="shared" si="29"/>
        <v>3867.6</v>
      </c>
      <c r="I118" s="18">
        <f>IFERROR(H118/H446, "NA")</f>
        <v>-0.05733776131</v>
      </c>
      <c r="J118" s="8"/>
      <c r="K118" s="17">
        <f>IFERROR(K94+K95+K96+K97+K98+K99+K100+K101+K102+K103+K104+K105+K106+K107+K108+K109+K110+K111+K112+K113+K114+K115+K116+K117, "NA")</f>
        <v>-28700.14</v>
      </c>
      <c r="L118" s="18">
        <f>IFERROR(K118/K446, "NA")</f>
        <v>-0.05570549058</v>
      </c>
      <c r="M118" s="8"/>
      <c r="N118" s="17">
        <f t="shared" si="30"/>
        <v>4071.21</v>
      </c>
      <c r="O118" s="18">
        <f>IFERROR(N118/N446, "NA")</f>
        <v>-0.1844623727</v>
      </c>
      <c r="P118" s="8"/>
      <c r="Q118" s="17">
        <f>IFERROR(Q94+Q95+Q96+Q97+Q98+Q99+Q100+Q101+Q102+Q103+Q104+Q105+Q106+Q107+Q108+Q109+Q110+Q111+Q112+Q113+Q114+Q115+Q116+Q117, "NA")</f>
        <v>-171387.64</v>
      </c>
      <c r="R118" s="18">
        <f>IFERROR(Q118/Q446, "NA")</f>
        <v>-0.03571286393</v>
      </c>
      <c r="S118" s="8"/>
      <c r="T118" s="17">
        <f>IFERROR(T94+T95+T96+T97+T98+T99+T100+T101+T102+T103+T104+T105+T106+T107+T108+T109+T110+T111+T112+T113+T114+T115+T116+T117, "NA")</f>
        <v>-253148.68</v>
      </c>
      <c r="U118" s="18">
        <f>IFERROR(T118/T446, "NA")</f>
        <v>-0.05072339817</v>
      </c>
      <c r="V118" s="8"/>
      <c r="W118" s="17">
        <f t="shared" si="31"/>
        <v>81761.04</v>
      </c>
      <c r="X118" s="18">
        <f>IFERROR(W118/W446, "NA")</f>
        <v>-0.4264553556</v>
      </c>
      <c r="Y118" s="8"/>
      <c r="Z118" s="17">
        <f>IFERROR(Z94+Z95+Z96+Z97+Z98+Z99+Z100+Z101+Z102+Z103+Z104+Z105+Z106+Z107+Z108+Z109+Z110+Z111+Z112+Z113+Z114+Z115+Z116+Z117, "NA")</f>
        <v>-243515.68</v>
      </c>
      <c r="AA118" s="18">
        <f>IFERROR(Z118/Z446, "NA")</f>
        <v>-0.05269889741</v>
      </c>
      <c r="AB118" s="8"/>
      <c r="AC118" s="17">
        <f t="shared" si="32"/>
        <v>72128.04</v>
      </c>
      <c r="AD118" s="18">
        <f>IFERROR(AC118/AC446, "NA")</f>
        <v>0.4048557062</v>
      </c>
    </row>
    <row r="119" ht="16.5" hidden="1" customHeight="1">
      <c r="A119" s="11" t="s">
        <v>117</v>
      </c>
      <c r="B119" s="12">
        <v>0.0</v>
      </c>
      <c r="C119" s="13">
        <f>IFERROR(B119/B446, "NA")</f>
        <v>0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>
        <f>IFERROR(B120/B446, "NA")</f>
        <v>0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>
        <f>IFERROR(B121/B446, "NA")</f>
        <v>0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493141.37</v>
      </c>
      <c r="C122" s="18">
        <f>IFERROR(B122/B446, "NA")</f>
        <v>1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560594.3</v>
      </c>
      <c r="F122" s="18">
        <f>IFERROR(E122/E446, "NA")</f>
        <v>1</v>
      </c>
      <c r="G122" s="8"/>
      <c r="H122" s="17">
        <f t="shared" si="29"/>
        <v>-67452.93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515212.05</v>
      </c>
      <c r="L122" s="18">
        <f>IFERROR(K122/K446, "NA")</f>
        <v>1</v>
      </c>
      <c r="M122" s="8"/>
      <c r="N122" s="17">
        <f t="shared" si="30"/>
        <v>-22070.68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4799044.97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4990767.36</v>
      </c>
      <c r="U122" s="18">
        <f>IFERROR(T122/T446, "NA")</f>
        <v>1</v>
      </c>
      <c r="V122" s="8"/>
      <c r="W122" s="17">
        <f t="shared" si="31"/>
        <v>-191722.39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4620887.57</v>
      </c>
      <c r="AA122" s="18">
        <f>IFERROR(Z122/Z446, "NA")</f>
        <v>1</v>
      </c>
      <c r="AB122" s="8"/>
      <c r="AC122" s="17">
        <f t="shared" si="32"/>
        <v>178157.4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>
        <f>IFERROR(B123/B446, "NA")</f>
        <v>0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493141.37</v>
      </c>
      <c r="C124" s="18">
        <f>IFERROR(B124/B446, "NA")</f>
        <v>1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560594.3</v>
      </c>
      <c r="F124" s="18">
        <f>IFERROR(E124/E446, "NA")</f>
        <v>1</v>
      </c>
      <c r="G124" s="8"/>
      <c r="H124" s="17">
        <f t="shared" si="29"/>
        <v>-67452.93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515212.05</v>
      </c>
      <c r="L124" s="18">
        <f>IFERROR(K124/K446, "NA")</f>
        <v>1</v>
      </c>
      <c r="M124" s="8"/>
      <c r="N124" s="17">
        <f t="shared" si="30"/>
        <v>-22070.68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4799044.97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4990767.36</v>
      </c>
      <c r="U124" s="18">
        <f>IFERROR(T124/T446, "NA")</f>
        <v>1</v>
      </c>
      <c r="V124" s="8"/>
      <c r="W124" s="17">
        <f t="shared" si="31"/>
        <v>-191722.39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4620887.57</v>
      </c>
      <c r="AA124" s="18">
        <f>IFERROR(Z124/Z446, "NA")</f>
        <v>1</v>
      </c>
      <c r="AB124" s="8"/>
      <c r="AC124" s="17">
        <f t="shared" si="32"/>
        <v>178157.4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>
        <f>IFERROR(B127/B446, "NA")</f>
        <v>0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>
        <f>IFERROR(B129/B446, "NA")</f>
        <v>0</v>
      </c>
      <c r="D129" s="14"/>
      <c r="E129" s="12">
        <v>117885.53</v>
      </c>
      <c r="F129" s="13">
        <f>IFERROR(E129/E446, "NA")</f>
        <v>0.2102867082</v>
      </c>
      <c r="G129" s="14"/>
      <c r="H129" s="15">
        <f t="shared" ref="H129:H141" si="33">IFERROR(-(B129-E129), "NA")</f>
        <v>117885.53</v>
      </c>
      <c r="I129" s="13">
        <f>IFERROR(H129/H446, "NA")</f>
        <v>-1.747671006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1054500.16</v>
      </c>
      <c r="U129" s="13">
        <f>IFERROR(T129/T446, "NA")</f>
        <v>0.2112901852</v>
      </c>
      <c r="V129" s="14"/>
      <c r="W129" s="15">
        <f t="shared" ref="W129:W141" si="35">IFERROR(-(Q129-T129), "NA")</f>
        <v>1054500.16</v>
      </c>
      <c r="X129" s="13">
        <f>IFERROR(W129/W446, "NA")</f>
        <v>-5.500140907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21465.519999999997</v>
      </c>
      <c r="C130" s="13">
        <f>IFERROR(B130/B446, "NA")</f>
        <v>0.04352812663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-21465.52</v>
      </c>
      <c r="I130" s="13">
        <f>IFERROR(H130/H446, "NA")</f>
        <v>0.3182296158</v>
      </c>
      <c r="J130" s="14"/>
      <c r="K130" s="12">
        <v>22283.01</v>
      </c>
      <c r="L130" s="13">
        <f>IFERROR(K130/K446, "NA")</f>
        <v>0.04325017243</v>
      </c>
      <c r="M130" s="14"/>
      <c r="N130" s="15">
        <f t="shared" si="34"/>
        <v>817.49</v>
      </c>
      <c r="O130" s="13">
        <f>IFERROR(N130/N446, "NA")</f>
        <v>-0.03703963811</v>
      </c>
      <c r="P130" s="14"/>
      <c r="Q130" s="12">
        <v>226648.84</v>
      </c>
      <c r="R130" s="13">
        <f>IFERROR(Q130/Q446, "NA")</f>
        <v>0.04722790501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-226648.84</v>
      </c>
      <c r="X130" s="13">
        <f>IFERROR(W130/W446, "NA")</f>
        <v>1.182171994</v>
      </c>
      <c r="Y130" s="14"/>
      <c r="Z130" s="12">
        <v>247731.08000000002</v>
      </c>
      <c r="AA130" s="13">
        <f>IFERROR(Z130/Z446, "NA")</f>
        <v>0.0536111464</v>
      </c>
      <c r="AB130" s="14"/>
      <c r="AC130" s="15">
        <f t="shared" si="36"/>
        <v>21082.24</v>
      </c>
      <c r="AD130" s="13">
        <f>IFERROR(AC130/AC446, "NA")</f>
        <v>0.1183349106</v>
      </c>
    </row>
    <row r="131" ht="16.5" customHeight="1">
      <c r="A131" s="11" t="s">
        <v>126</v>
      </c>
      <c r="B131" s="12">
        <v>13284.320000000002</v>
      </c>
      <c r="C131" s="13">
        <f>IFERROR(B131/B446, "NA")</f>
        <v>0.02693815771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-13284.32</v>
      </c>
      <c r="I131" s="13">
        <f>IFERROR(H131/H446, "NA")</f>
        <v>0.196942075</v>
      </c>
      <c r="J131" s="14"/>
      <c r="K131" s="12">
        <v>14013.3</v>
      </c>
      <c r="L131" s="13">
        <f>IFERROR(K131/K446, "NA")</f>
        <v>0.0271990921</v>
      </c>
      <c r="M131" s="14"/>
      <c r="N131" s="15">
        <f t="shared" si="34"/>
        <v>728.98</v>
      </c>
      <c r="O131" s="13">
        <f>IFERROR(N131/N446, "NA")</f>
        <v>-0.03302934028</v>
      </c>
      <c r="P131" s="14"/>
      <c r="Q131" s="12">
        <v>127963.5</v>
      </c>
      <c r="R131" s="13">
        <f>IFERROR(Q131/Q446, "NA")</f>
        <v>0.02666436776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-127963.5</v>
      </c>
      <c r="X131" s="13">
        <f>IFERROR(W131/W446, "NA")</f>
        <v>0.6674416066</v>
      </c>
      <c r="Y131" s="14"/>
      <c r="Z131" s="12">
        <v>138492.77000000002</v>
      </c>
      <c r="AA131" s="13">
        <f>IFERROR(Z131/Z446, "NA")</f>
        <v>0.02997103217</v>
      </c>
      <c r="AB131" s="14"/>
      <c r="AC131" s="15">
        <f t="shared" si="36"/>
        <v>10529.27</v>
      </c>
      <c r="AD131" s="13">
        <f>IFERROR(AC131/AC446, "NA")</f>
        <v>0.05910094108</v>
      </c>
    </row>
    <row r="132" ht="16.5" customHeight="1">
      <c r="A132" s="11" t="s">
        <v>127</v>
      </c>
      <c r="B132" s="12">
        <v>15822.24</v>
      </c>
      <c r="C132" s="13">
        <f>IFERROR(B132/B446, "NA")</f>
        <v>0.0320845927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-15822.24</v>
      </c>
      <c r="I132" s="13">
        <f>IFERROR(H132/H446, "NA")</f>
        <v>0.234567127</v>
      </c>
      <c r="J132" s="14"/>
      <c r="K132" s="12">
        <v>28516.170000000002</v>
      </c>
      <c r="L132" s="13">
        <f>IFERROR(K132/K446, "NA")</f>
        <v>0.05534841431</v>
      </c>
      <c r="M132" s="14"/>
      <c r="N132" s="15">
        <f t="shared" si="34"/>
        <v>12693.93</v>
      </c>
      <c r="O132" s="13">
        <f>IFERROR(N132/N446, "NA")</f>
        <v>-0.5751490212</v>
      </c>
      <c r="P132" s="14"/>
      <c r="Q132" s="12">
        <v>182025.54</v>
      </c>
      <c r="R132" s="13">
        <f>IFERROR(Q132/Q446, "NA")</f>
        <v>0.03792953413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-182025.54</v>
      </c>
      <c r="X132" s="13">
        <f>IFERROR(W132/W446, "NA")</f>
        <v>0.9494224436</v>
      </c>
      <c r="Y132" s="14"/>
      <c r="Z132" s="12">
        <v>212455.45</v>
      </c>
      <c r="AA132" s="13">
        <f>IFERROR(Z132/Z446, "NA")</f>
        <v>0.04597719524</v>
      </c>
      <c r="AB132" s="14"/>
      <c r="AC132" s="15">
        <f t="shared" si="36"/>
        <v>30429.91</v>
      </c>
      <c r="AD132" s="13">
        <f>IFERROR(AC132/AC446, "NA")</f>
        <v>0.1708035142</v>
      </c>
    </row>
    <row r="133" ht="16.5" customHeight="1">
      <c r="A133" s="11" t="s">
        <v>128</v>
      </c>
      <c r="B133" s="12">
        <v>9767.439999999999</v>
      </c>
      <c r="C133" s="13">
        <f>IFERROR(B133/B446, "NA")</f>
        <v>0.0198065719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-9767.44</v>
      </c>
      <c r="I133" s="13">
        <f>IFERROR(H133/H446, "NA")</f>
        <v>0.1448037913</v>
      </c>
      <c r="J133" s="14"/>
      <c r="K133" s="12">
        <v>12688.02</v>
      </c>
      <c r="L133" s="13">
        <f>IFERROR(K133/K446, "NA")</f>
        <v>0.02462679202</v>
      </c>
      <c r="M133" s="14"/>
      <c r="N133" s="15">
        <f t="shared" si="34"/>
        <v>2920.58</v>
      </c>
      <c r="O133" s="13">
        <f>IFERROR(N133/N446, "NA")</f>
        <v>-0.132328501</v>
      </c>
      <c r="P133" s="14"/>
      <c r="Q133" s="12">
        <v>102952.4</v>
      </c>
      <c r="R133" s="13">
        <f>IFERROR(Q133/Q446, "NA")</f>
        <v>0.02145268499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-102952.4</v>
      </c>
      <c r="X133" s="13">
        <f>IFERROR(W133/W446, "NA")</f>
        <v>0.5369868381</v>
      </c>
      <c r="Y133" s="14"/>
      <c r="Z133" s="12">
        <v>110773.40999999999</v>
      </c>
      <c r="AA133" s="13">
        <f>IFERROR(Z133/Z446, "NA")</f>
        <v>0.02397232314</v>
      </c>
      <c r="AB133" s="14"/>
      <c r="AC133" s="15">
        <f t="shared" si="36"/>
        <v>7821.01</v>
      </c>
      <c r="AD133" s="13">
        <f>IFERROR(AC133/AC446, "NA")</f>
        <v>0.04389943948</v>
      </c>
    </row>
    <row r="134" ht="16.5" customHeight="1">
      <c r="A134" s="11" t="s">
        <v>129</v>
      </c>
      <c r="B134" s="12">
        <v>6373.500000000001</v>
      </c>
      <c r="C134" s="13">
        <f>IFERROR(B134/B446, "NA")</f>
        <v>0.01292428579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-6373.5</v>
      </c>
      <c r="I134" s="13">
        <f>IFERROR(H134/H446, "NA")</f>
        <v>0.09448811193</v>
      </c>
      <c r="J134" s="14"/>
      <c r="K134" s="12">
        <v>4430.92</v>
      </c>
      <c r="L134" s="13">
        <f>IFERROR(K134/K446, "NA")</f>
        <v>0.008600187049</v>
      </c>
      <c r="M134" s="14"/>
      <c r="N134" s="15">
        <f t="shared" si="34"/>
        <v>-1942.58</v>
      </c>
      <c r="O134" s="13">
        <f>IFERROR(N134/N446, "NA")</f>
        <v>0.08801631848</v>
      </c>
      <c r="P134" s="14"/>
      <c r="Q134" s="12">
        <v>54928.6</v>
      </c>
      <c r="R134" s="13">
        <f>IFERROR(Q134/Q446, "NA")</f>
        <v>0.01144573563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-54928.6</v>
      </c>
      <c r="X134" s="13">
        <f>IFERROR(W134/W446, "NA")</f>
        <v>0.2865007055</v>
      </c>
      <c r="Y134" s="14"/>
      <c r="Z134" s="12">
        <v>40225.32</v>
      </c>
      <c r="AA134" s="13">
        <f>IFERROR(Z134/Z446, "NA")</f>
        <v>0.008705106842</v>
      </c>
      <c r="AB134" s="14"/>
      <c r="AC134" s="15">
        <f t="shared" si="36"/>
        <v>-14703.28</v>
      </c>
      <c r="AD134" s="13">
        <f>IFERROR(AC134/AC446, "NA")</f>
        <v>-0.0825297181</v>
      </c>
    </row>
    <row r="135" ht="16.5" customHeight="1">
      <c r="A135" s="11" t="s">
        <v>130</v>
      </c>
      <c r="B135" s="12">
        <v>3804.37</v>
      </c>
      <c r="C135" s="13">
        <f>IFERROR(B135/B446, "NA")</f>
        <v>0.007714562662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-3804.37</v>
      </c>
      <c r="I135" s="13">
        <f>IFERROR(H135/H446, "NA")</f>
        <v>0.05640036689</v>
      </c>
      <c r="J135" s="14"/>
      <c r="K135" s="12">
        <v>4533.99</v>
      </c>
      <c r="L135" s="13">
        <f>IFERROR(K135/K446, "NA")</f>
        <v>0.0088002406</v>
      </c>
      <c r="M135" s="14"/>
      <c r="N135" s="15">
        <f t="shared" si="34"/>
        <v>729.62</v>
      </c>
      <c r="O135" s="13">
        <f>IFERROR(N135/N446, "NA")</f>
        <v>-0.03305833803</v>
      </c>
      <c r="P135" s="14"/>
      <c r="Q135" s="12">
        <v>37866.53</v>
      </c>
      <c r="R135" s="13">
        <f>IFERROR(Q135/Q446, "NA")</f>
        <v>0.007890430333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-37866.53</v>
      </c>
      <c r="X135" s="13">
        <f>IFERROR(W135/W446, "NA")</f>
        <v>0.197507083</v>
      </c>
      <c r="Y135" s="14"/>
      <c r="Z135" s="12">
        <v>38348.369999999995</v>
      </c>
      <c r="AA135" s="13">
        <f>IFERROR(Z135/Z446, "NA")</f>
        <v>0.008298918643</v>
      </c>
      <c r="AB135" s="14"/>
      <c r="AC135" s="15">
        <f t="shared" si="36"/>
        <v>481.84</v>
      </c>
      <c r="AD135" s="13">
        <f>IFERROR(AC135/AC446, "NA")</f>
        <v>0.002704574719</v>
      </c>
    </row>
    <row r="136" ht="16.5" customHeight="1">
      <c r="A136" s="11" t="s">
        <v>131</v>
      </c>
      <c r="B136" s="12">
        <v>0.0</v>
      </c>
      <c r="C136" s="13">
        <f>IFERROR(B136/B446, "NA")</f>
        <v>0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25042.32</v>
      </c>
      <c r="AA136" s="13">
        <f>IFERROR(Z136/Z446, "NA")</f>
        <v>0.005419374443</v>
      </c>
      <c r="AB136" s="14"/>
      <c r="AC136" s="15">
        <f t="shared" si="36"/>
        <v>25042.32</v>
      </c>
      <c r="AD136" s="13">
        <f>IFERROR(AC136/AC446, "NA")</f>
        <v>0.1405628955</v>
      </c>
    </row>
    <row r="137" ht="16.5" customHeight="1">
      <c r="A137" s="11" t="s">
        <v>132</v>
      </c>
      <c r="B137" s="12">
        <v>3013.4500000000003</v>
      </c>
      <c r="C137" s="13">
        <f>IFERROR(B137/B446, "NA")</f>
        <v>0.006110722368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-3013.45</v>
      </c>
      <c r="I137" s="13">
        <f>IFERROR(H137/H446, "NA")</f>
        <v>0.04467485697</v>
      </c>
      <c r="J137" s="14"/>
      <c r="K137" s="12">
        <v>2992.82</v>
      </c>
      <c r="L137" s="13">
        <f>IFERROR(K137/K446, "NA")</f>
        <v>0.005808909167</v>
      </c>
      <c r="M137" s="14"/>
      <c r="N137" s="15">
        <f t="shared" si="34"/>
        <v>-20.63</v>
      </c>
      <c r="O137" s="13">
        <f>IFERROR(N137/N446, "NA")</f>
        <v>0.0009347242586</v>
      </c>
      <c r="P137" s="14"/>
      <c r="Q137" s="12">
        <v>24127.35</v>
      </c>
      <c r="R137" s="13">
        <f>IFERROR(Q137/Q446, "NA")</f>
        <v>0.005027531551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-24127.35</v>
      </c>
      <c r="X137" s="13">
        <f>IFERROR(W137/W446, "NA")</f>
        <v>0.125845239</v>
      </c>
      <c r="Y137" s="14"/>
      <c r="Z137" s="12">
        <v>25146.870000000003</v>
      </c>
      <c r="AA137" s="13">
        <f>IFERROR(Z137/Z446, "NA")</f>
        <v>0.005441999966</v>
      </c>
      <c r="AB137" s="14"/>
      <c r="AC137" s="15">
        <f t="shared" si="36"/>
        <v>1019.52</v>
      </c>
      <c r="AD137" s="13">
        <f>IFERROR(AC137/AC446, "NA")</f>
        <v>0.005722580145</v>
      </c>
    </row>
    <row r="138" ht="16.5" customHeight="1">
      <c r="A138" s="11" t="s">
        <v>133</v>
      </c>
      <c r="B138" s="12">
        <v>30175.39</v>
      </c>
      <c r="C138" s="13">
        <f>IFERROR(B138/B446, "NA")</f>
        <v>0.06119014107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-30175.39</v>
      </c>
      <c r="I138" s="13">
        <f>IFERROR(H138/H446, "NA")</f>
        <v>0.4473547702</v>
      </c>
      <c r="J138" s="14"/>
      <c r="K138" s="12">
        <v>30796.78</v>
      </c>
      <c r="L138" s="13">
        <f>IFERROR(K138/K446, "NA")</f>
        <v>0.05977496062</v>
      </c>
      <c r="M138" s="14"/>
      <c r="N138" s="15">
        <f t="shared" si="34"/>
        <v>621.39</v>
      </c>
      <c r="O138" s="13">
        <f>IFERROR(N138/N446, "NA")</f>
        <v>-0.02815454712</v>
      </c>
      <c r="P138" s="14"/>
      <c r="Q138" s="12">
        <v>296722.25</v>
      </c>
      <c r="R138" s="13">
        <f>IFERROR(Q138/Q446, "NA")</f>
        <v>0.06182943728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-296722.25</v>
      </c>
      <c r="X138" s="13">
        <f>IFERROR(W138/W446, "NA")</f>
        <v>1.547666133</v>
      </c>
      <c r="Y138" s="14"/>
      <c r="Z138" s="12">
        <v>268283.97</v>
      </c>
      <c r="AA138" s="13">
        <f>IFERROR(Z138/Z446, "NA")</f>
        <v>0.05805896939</v>
      </c>
      <c r="AB138" s="14"/>
      <c r="AC138" s="15">
        <f t="shared" si="36"/>
        <v>-28438.28</v>
      </c>
      <c r="AD138" s="13">
        <f>IFERROR(AC138/AC446, "NA")</f>
        <v>-0.1596244669</v>
      </c>
    </row>
    <row r="139" ht="16.5" hidden="1" customHeight="1">
      <c r="A139" s="11" t="s">
        <v>134</v>
      </c>
      <c r="B139" s="12">
        <v>0.0</v>
      </c>
      <c r="C139" s="13">
        <f>IFERROR(B139/B446, "NA")</f>
        <v>0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customHeight="1">
      <c r="A140" s="11" t="s">
        <v>135</v>
      </c>
      <c r="B140" s="12">
        <v>0.0</v>
      </c>
      <c r="C140" s="13">
        <f>IFERROR(B140/B446, "NA")</f>
        <v>0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4.95</v>
      </c>
      <c r="L140" s="13">
        <f>IFERROR(K140/K446, "NA")</f>
        <v>0.000009607694541</v>
      </c>
      <c r="M140" s="14"/>
      <c r="N140" s="15">
        <f t="shared" si="34"/>
        <v>4.95</v>
      </c>
      <c r="O140" s="13">
        <f>IFERROR(N140/N446, "NA")</f>
        <v>-0.0002242794513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87.4</v>
      </c>
      <c r="AA140" s="13">
        <f>IFERROR(Z140/Z446, "NA")</f>
        <v>0.00001891411524</v>
      </c>
      <c r="AB140" s="14"/>
      <c r="AC140" s="15">
        <f t="shared" si="36"/>
        <v>87.4</v>
      </c>
      <c r="AD140" s="13">
        <f>IFERROR(AC140/AC446, "NA")</f>
        <v>0.0004905774332</v>
      </c>
    </row>
    <row r="141" ht="16.5" customHeight="1">
      <c r="A141" s="16" t="s">
        <v>136</v>
      </c>
      <c r="B141" s="17">
        <f>IFERROR(B129+B130+B131+B132+B133+B134+B135+B136+B137+B138+B139+B140, "NA")</f>
        <v>103706.23</v>
      </c>
      <c r="C141" s="18">
        <f>IFERROR(B141/B446, "NA")</f>
        <v>0.2102971608</v>
      </c>
      <c r="D141" s="8"/>
      <c r="E141" s="17">
        <f>IFERROR(E129+E130+E131+E132+E133+E134+E135+E136+E137+E138+E139+E140, "NA")</f>
        <v>117885.53</v>
      </c>
      <c r="F141" s="18">
        <f>IFERROR(E141/E446, "NA")</f>
        <v>0.2102867082</v>
      </c>
      <c r="G141" s="8"/>
      <c r="H141" s="17">
        <f t="shared" si="33"/>
        <v>14179.3</v>
      </c>
      <c r="I141" s="18">
        <f>IFERROR(H141/H446, "NA")</f>
        <v>-0.2102102903</v>
      </c>
      <c r="J141" s="8"/>
      <c r="K141" s="17">
        <f>IFERROR(K129+K130+K131+K132+K133+K134+K135+K136+K137+K138+K139+K140, "NA")</f>
        <v>120259.96</v>
      </c>
      <c r="L141" s="18">
        <f>IFERROR(K141/K446, "NA")</f>
        <v>0.233418376</v>
      </c>
      <c r="M141" s="8"/>
      <c r="N141" s="17">
        <f t="shared" si="34"/>
        <v>16553.73</v>
      </c>
      <c r="O141" s="18">
        <f>IFERROR(N141/N446, "NA")</f>
        <v>-0.7500326225</v>
      </c>
      <c r="P141" s="8"/>
      <c r="Q141" s="17">
        <f>IFERROR(Q129+Q130+Q131+Q132+Q133+Q134+Q135+Q136+Q137+Q138+Q139+Q140, "NA")</f>
        <v>1053235.01</v>
      </c>
      <c r="R141" s="18">
        <f>IFERROR(Q141/Q446, "NA")</f>
        <v>0.2194676267</v>
      </c>
      <c r="S141" s="8"/>
      <c r="T141" s="17">
        <f>IFERROR(T129+T130+T131+T132+T133+T134+T135+T136+T137+T138+T139+T140, "NA")</f>
        <v>1054500.16</v>
      </c>
      <c r="U141" s="18">
        <f>IFERROR(T141/T446, "NA")</f>
        <v>0.2112901852</v>
      </c>
      <c r="V141" s="8"/>
      <c r="W141" s="17">
        <f t="shared" si="35"/>
        <v>1265.15</v>
      </c>
      <c r="X141" s="18">
        <f>IFERROR(W141/W446, "NA")</f>
        <v>-0.006598864118</v>
      </c>
      <c r="Y141" s="8"/>
      <c r="Z141" s="17">
        <f>IFERROR(Z129+Z130+Z131+Z132+Z133+Z134+Z135+Z136+Z137+Z138+Z139+Z140, "NA")</f>
        <v>1106586.96</v>
      </c>
      <c r="AA141" s="18">
        <f>IFERROR(Z141/Z446, "NA")</f>
        <v>0.2394749803</v>
      </c>
      <c r="AB141" s="8"/>
      <c r="AC141" s="17">
        <f t="shared" si="36"/>
        <v>53351.95</v>
      </c>
      <c r="AD141" s="18">
        <f>IFERROR(AC141/AC446, "NA")</f>
        <v>0.2994652481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>
        <f>IFERROR(B143/B446, "NA")</f>
        <v>0</v>
      </c>
      <c r="D143" s="14"/>
      <c r="E143" s="12">
        <v>6000.94</v>
      </c>
      <c r="F143" s="13">
        <f>IFERROR(E143/E446, "NA")</f>
        <v>0.01070460402</v>
      </c>
      <c r="G143" s="14"/>
      <c r="H143" s="15">
        <f t="shared" ref="H143:H149" si="37">IFERROR(-(B143-E143), "NA")</f>
        <v>6000.94</v>
      </c>
      <c r="I143" s="13">
        <f>IFERROR(H143/H446, "NA")</f>
        <v>-0.08896485297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53321.38</v>
      </c>
      <c r="U143" s="13">
        <f>IFERROR(T143/T446, "NA")</f>
        <v>0.01068400431</v>
      </c>
      <c r="V143" s="14"/>
      <c r="W143" s="15">
        <f t="shared" ref="W143:W149" si="39">IFERROR(-(Q143-T143), "NA")</f>
        <v>53321.38</v>
      </c>
      <c r="X143" s="13">
        <f>IFERROR(W143/W446, "NA")</f>
        <v>-0.2781176471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5325.719999999999</v>
      </c>
      <c r="C144" s="13">
        <f>IFERROR(B144/B446, "NA")</f>
        <v>0.01079958066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-5325.72</v>
      </c>
      <c r="I144" s="13">
        <f>IFERROR(H144/H446, "NA")</f>
        <v>0.07895461324</v>
      </c>
      <c r="J144" s="14"/>
      <c r="K144" s="12">
        <v>6488.25</v>
      </c>
      <c r="L144" s="13">
        <f>IFERROR(K144/K446, "NA")</f>
        <v>0.0125933584</v>
      </c>
      <c r="M144" s="14"/>
      <c r="N144" s="15">
        <f t="shared" si="38"/>
        <v>1162.53</v>
      </c>
      <c r="O144" s="13">
        <f>IFERROR(N144/N446, "NA")</f>
        <v>-0.05267304859</v>
      </c>
      <c r="P144" s="14"/>
      <c r="Q144" s="12">
        <v>55287.55</v>
      </c>
      <c r="R144" s="13">
        <f>IFERROR(Q144/Q446, "NA")</f>
        <v>0.01152053176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-55287.55</v>
      </c>
      <c r="X144" s="13">
        <f>IFERROR(W144/W446, "NA")</f>
        <v>0.2883729438</v>
      </c>
      <c r="Y144" s="14"/>
      <c r="Z144" s="12">
        <v>59313.31999999999</v>
      </c>
      <c r="AA144" s="13">
        <f>IFERROR(Z144/Z446, "NA")</f>
        <v>0.01283591498</v>
      </c>
      <c r="AB144" s="14"/>
      <c r="AC144" s="15">
        <f t="shared" si="40"/>
        <v>4025.77</v>
      </c>
      <c r="AD144" s="13">
        <f>IFERROR(AC144/AC446, "NA")</f>
        <v>0.02259670381</v>
      </c>
    </row>
    <row r="145" ht="16.5" customHeight="1">
      <c r="A145" s="11" t="s">
        <v>139</v>
      </c>
      <c r="B145" s="12">
        <v>200.95</v>
      </c>
      <c r="C145" s="13">
        <f>IFERROR(B145/B446, "NA")</f>
        <v>0.0004074896414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-200.95</v>
      </c>
      <c r="I145" s="13">
        <f>IFERROR(H145/H446, "NA")</f>
        <v>0.002979114473</v>
      </c>
      <c r="J145" s="14"/>
      <c r="K145" s="12">
        <v>476.28</v>
      </c>
      <c r="L145" s="13">
        <f>IFERROR(K145/K446, "NA")</f>
        <v>0.0009244349002</v>
      </c>
      <c r="M145" s="14"/>
      <c r="N145" s="15">
        <f t="shared" si="38"/>
        <v>275.33</v>
      </c>
      <c r="O145" s="13">
        <f>IFERROR(N145/N446, "NA")</f>
        <v>-0.01247492148</v>
      </c>
      <c r="P145" s="14"/>
      <c r="Q145" s="12">
        <v>2301.7999999999997</v>
      </c>
      <c r="R145" s="13">
        <f>IFERROR(Q145/Q446, "NA")</f>
        <v>0.0004796370975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-2301.8</v>
      </c>
      <c r="X145" s="13">
        <f>IFERROR(W145/W446, "NA")</f>
        <v>0.01200590082</v>
      </c>
      <c r="Y145" s="14"/>
      <c r="Z145" s="12">
        <v>3359.57</v>
      </c>
      <c r="AA145" s="13">
        <f>IFERROR(Z145/Z446, "NA")</f>
        <v>0.0007270399786</v>
      </c>
      <c r="AB145" s="14"/>
      <c r="AC145" s="15">
        <f t="shared" si="40"/>
        <v>1057.77</v>
      </c>
      <c r="AD145" s="13">
        <f>IFERROR(AC145/AC446, "NA")</f>
        <v>0.005937277935</v>
      </c>
    </row>
    <row r="146" ht="16.5" customHeight="1">
      <c r="A146" s="11" t="s">
        <v>140</v>
      </c>
      <c r="B146" s="12">
        <v>5.4</v>
      </c>
      <c r="C146" s="13">
        <f>IFERROR(B146/B446, "NA")</f>
        <v>0.00001095020683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-5.4</v>
      </c>
      <c r="I146" s="13">
        <f>IFERROR(H146/H446, "NA")</f>
        <v>0.0000800558256</v>
      </c>
      <c r="J146" s="14"/>
      <c r="K146" s="12">
        <v>386.36999999999995</v>
      </c>
      <c r="L146" s="13">
        <f>IFERROR(K146/K446, "NA")</f>
        <v>0.0007499242302</v>
      </c>
      <c r="M146" s="14"/>
      <c r="N146" s="15">
        <f t="shared" si="38"/>
        <v>380.97</v>
      </c>
      <c r="O146" s="13">
        <f>IFERROR(N146/N446, "NA")</f>
        <v>-0.01726136213</v>
      </c>
      <c r="P146" s="14"/>
      <c r="Q146" s="12">
        <v>658.14</v>
      </c>
      <c r="R146" s="13">
        <f>IFERROR(Q146/Q446, "NA")</f>
        <v>0.000137139786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-658.14</v>
      </c>
      <c r="X146" s="13">
        <f>IFERROR(W146/W446, "NA")</f>
        <v>0.003432775901</v>
      </c>
      <c r="Y146" s="14"/>
      <c r="Z146" s="12">
        <v>4179.72</v>
      </c>
      <c r="AA146" s="13">
        <f>IFERROR(Z146/Z446, "NA")</f>
        <v>0.0009045275257</v>
      </c>
      <c r="AB146" s="14"/>
      <c r="AC146" s="15">
        <f t="shared" si="40"/>
        <v>3521.58</v>
      </c>
      <c r="AD146" s="13">
        <f>IFERROR(AC146/AC446, "NA")</f>
        <v>0.01976667823</v>
      </c>
    </row>
    <row r="147" ht="16.5" customHeight="1">
      <c r="A147" s="11" t="s">
        <v>141</v>
      </c>
      <c r="B147" s="12">
        <v>50.71</v>
      </c>
      <c r="C147" s="13">
        <f>IFERROR(B147/B446, "NA")</f>
        <v>0.0001028305534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-50.71</v>
      </c>
      <c r="I147" s="13">
        <f>IFERROR(H147/H446, "NA")</f>
        <v>0.000751783503</v>
      </c>
      <c r="J147" s="14"/>
      <c r="K147" s="12">
        <v>98.58</v>
      </c>
      <c r="L147" s="13">
        <f>IFERROR(K147/K446, "NA")</f>
        <v>0.0001913386925</v>
      </c>
      <c r="M147" s="14"/>
      <c r="N147" s="15">
        <f t="shared" si="38"/>
        <v>47.87</v>
      </c>
      <c r="O147" s="13">
        <f>IFERROR(N147/N446, "NA")</f>
        <v>-0.002168940875</v>
      </c>
      <c r="P147" s="14"/>
      <c r="Q147" s="12">
        <v>443.04999999999995</v>
      </c>
      <c r="R147" s="13">
        <f>IFERROR(Q147/Q446, "NA")</f>
        <v>0.00009232045183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-443.05</v>
      </c>
      <c r="X147" s="13">
        <f>IFERROR(W147/W446, "NA")</f>
        <v>0.00231089337</v>
      </c>
      <c r="Y147" s="14"/>
      <c r="Z147" s="12">
        <v>787.33</v>
      </c>
      <c r="AA147" s="13">
        <f>IFERROR(Z147/Z446, "NA")</f>
        <v>0.0001703850154</v>
      </c>
      <c r="AB147" s="14"/>
      <c r="AC147" s="15">
        <f t="shared" si="40"/>
        <v>344.28</v>
      </c>
      <c r="AD147" s="13">
        <f>IFERROR(AC147/AC446, "NA")</f>
        <v>0.001932448498</v>
      </c>
    </row>
    <row r="148" ht="16.5" customHeight="1">
      <c r="A148" s="16" t="s">
        <v>142</v>
      </c>
      <c r="B148" s="17">
        <f>IFERROR(B143+B144+B145+B146+B147, "NA")</f>
        <v>5582.78</v>
      </c>
      <c r="C148" s="18">
        <f>IFERROR(B148/B446, "NA")</f>
        <v>0.01132085106</v>
      </c>
      <c r="D148" s="8"/>
      <c r="E148" s="17">
        <f>IFERROR(E143+E144+E145+E146+E147, "NA")</f>
        <v>6000.94</v>
      </c>
      <c r="F148" s="18">
        <f>IFERROR(E148/E446, "NA")</f>
        <v>0.01070460402</v>
      </c>
      <c r="G148" s="8"/>
      <c r="H148" s="17">
        <f t="shared" si="37"/>
        <v>418.16</v>
      </c>
      <c r="I148" s="18">
        <f>IFERROR(H148/H446, "NA")</f>
        <v>-0.006199285932</v>
      </c>
      <c r="J148" s="8"/>
      <c r="K148" s="17">
        <f>IFERROR(K143+K144+K145+K146+K147, "NA")</f>
        <v>7449.48</v>
      </c>
      <c r="L148" s="18">
        <f>IFERROR(K148/K446, "NA")</f>
        <v>0.01445905623</v>
      </c>
      <c r="M148" s="8"/>
      <c r="N148" s="17">
        <f t="shared" si="38"/>
        <v>1866.7</v>
      </c>
      <c r="O148" s="18">
        <f>IFERROR(N148/N446, "NA")</f>
        <v>-0.08457827308</v>
      </c>
      <c r="P148" s="8"/>
      <c r="Q148" s="17">
        <f>IFERROR(Q143+Q144+Q145+Q146+Q147, "NA")</f>
        <v>58690.54</v>
      </c>
      <c r="R148" s="18">
        <f>IFERROR(Q148/Q446, "NA")</f>
        <v>0.0122296291</v>
      </c>
      <c r="S148" s="8"/>
      <c r="T148" s="17">
        <f>IFERROR(T143+T144+T145+T146+T147, "NA")</f>
        <v>53321.38</v>
      </c>
      <c r="U148" s="18">
        <f>IFERROR(T148/T446, "NA")</f>
        <v>0.01068400431</v>
      </c>
      <c r="V148" s="8"/>
      <c r="W148" s="17">
        <f t="shared" si="39"/>
        <v>-5369.16</v>
      </c>
      <c r="X148" s="18">
        <f>IFERROR(W148/W446, "NA")</f>
        <v>0.02800486683</v>
      </c>
      <c r="Y148" s="8"/>
      <c r="Z148" s="17">
        <f>IFERROR(Z143+Z144+Z145+Z146+Z147, "NA")</f>
        <v>67639.94</v>
      </c>
      <c r="AA148" s="18">
        <f>IFERROR(Z148/Z446, "NA")</f>
        <v>0.0146378675</v>
      </c>
      <c r="AB148" s="8"/>
      <c r="AC148" s="17">
        <f t="shared" si="40"/>
        <v>8949.4</v>
      </c>
      <c r="AD148" s="18">
        <f>IFERROR(AC148/AC446, "NA")</f>
        <v>0.05023310848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109289.01</v>
      </c>
      <c r="C149" s="18">
        <f>IFERROR(B149/B446, "NA")</f>
        <v>0.2216180119</v>
      </c>
      <c r="D149" s="8"/>
      <c r="E149" s="17">
        <f>IFERROR(E127+E129+E130+E131+E132+E133+E134+E135+E136+E137+E138+E139+E140+E143+E144+E145+E146+E147, "NA")</f>
        <v>123886.47</v>
      </c>
      <c r="F149" s="18">
        <f>IFERROR(E149/E446, "NA")</f>
        <v>0.2209913123</v>
      </c>
      <c r="G149" s="8"/>
      <c r="H149" s="17">
        <f t="shared" si="37"/>
        <v>14597.46</v>
      </c>
      <c r="I149" s="18">
        <f>IFERROR(H149/H446, "NA")</f>
        <v>-0.2164095763</v>
      </c>
      <c r="J149" s="8"/>
      <c r="K149" s="17">
        <f>IFERROR(K127+K129+K130+K131+K132+K133+K134+K135+K136+K137+K138+K139+K140+K143+K144+K145+K146+K147, "NA")</f>
        <v>127709.44</v>
      </c>
      <c r="L149" s="18">
        <f>IFERROR(K149/K446, "NA")</f>
        <v>0.2478774322</v>
      </c>
      <c r="M149" s="8"/>
      <c r="N149" s="17">
        <f t="shared" si="38"/>
        <v>18420.43</v>
      </c>
      <c r="O149" s="18">
        <f>IFERROR(N149/N446, "NA")</f>
        <v>-0.8346108955</v>
      </c>
      <c r="P149" s="8"/>
      <c r="Q149" s="17">
        <f>IFERROR(Q127+Q129+Q130+Q131+Q132+Q133+Q134+Q135+Q136+Q137+Q138+Q139+Q140+Q143+Q144+Q145+Q146+Q147, "NA")</f>
        <v>1111925.55</v>
      </c>
      <c r="R149" s="18">
        <f>IFERROR(Q149/Q446, "NA")</f>
        <v>0.2316972558</v>
      </c>
      <c r="S149" s="8"/>
      <c r="T149" s="17">
        <f>IFERROR(T127+T129+T130+T131+T132+T133+T134+T135+T136+T137+T138+T139+T140+T143+T144+T145+T146+T147, "NA")</f>
        <v>1107821.54</v>
      </c>
      <c r="U149" s="18">
        <f>IFERROR(T149/T446, "NA")</f>
        <v>0.2219741896</v>
      </c>
      <c r="V149" s="8"/>
      <c r="W149" s="17">
        <f t="shared" si="39"/>
        <v>-4104.01</v>
      </c>
      <c r="X149" s="18">
        <f>IFERROR(W149/W446, "NA")</f>
        <v>0.02140600271</v>
      </c>
      <c r="Y149" s="8"/>
      <c r="Z149" s="17">
        <f>IFERROR(Z127+Z129+Z130+Z131+Z132+Z133+Z134+Z135+Z136+Z137+Z138+Z139+Z140+Z143+Z144+Z145+Z146+Z147, "NA")</f>
        <v>1174226.9</v>
      </c>
      <c r="AA149" s="18">
        <f>IFERROR(Z149/Z446, "NA")</f>
        <v>0.2541128478</v>
      </c>
      <c r="AB149" s="8"/>
      <c r="AC149" s="17">
        <f t="shared" si="40"/>
        <v>62301.35</v>
      </c>
      <c r="AD149" s="18">
        <f>IFERROR(AC149/AC446, "NA")</f>
        <v>0.3496983566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>
        <f>IFERROR(B151/B446, "NA")</f>
        <v>0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>
        <f>IFERROR(B153/B446, "NA")</f>
        <v>0</v>
      </c>
      <c r="D153" s="14"/>
      <c r="E153" s="12">
        <v>23008.269999999997</v>
      </c>
      <c r="F153" s="13">
        <f>IFERROR(E153/E446, "NA")</f>
        <v>0.04104263993</v>
      </c>
      <c r="G153" s="14"/>
      <c r="H153" s="15">
        <f t="shared" ref="H153:H158" si="41">IFERROR(-(B153-E153), "NA")</f>
        <v>23008.27</v>
      </c>
      <c r="I153" s="13">
        <f>IFERROR(H153/H446, "NA")</f>
        <v>-0.3411011204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204860.55000000002</v>
      </c>
      <c r="U153" s="13">
        <f>IFERROR(T153/T446, "NA")</f>
        <v>0.04104790611</v>
      </c>
      <c r="V153" s="14"/>
      <c r="W153" s="15">
        <f t="shared" ref="W153:W158" si="43">IFERROR(-(Q153-T153), "NA")</f>
        <v>204860.55</v>
      </c>
      <c r="X153" s="13">
        <f>IFERROR(W153/W446, "NA")</f>
        <v>-1.068526999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13588.44</v>
      </c>
      <c r="C154" s="13">
        <f>IFERROR(B154/B446, "NA")</f>
        <v>0.02755485714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-13588.44</v>
      </c>
      <c r="I154" s="13">
        <f>IFERROR(H154/H446, "NA")</f>
        <v>0.2014507005</v>
      </c>
      <c r="J154" s="14"/>
      <c r="K154" s="12">
        <v>16958.38</v>
      </c>
      <c r="L154" s="13">
        <f>IFERROR(K154/K446, "NA")</f>
        <v>0.03291534039</v>
      </c>
      <c r="M154" s="14"/>
      <c r="N154" s="15">
        <f t="shared" si="42"/>
        <v>3369.94</v>
      </c>
      <c r="O154" s="13">
        <f>IFERROR(N154/N446, "NA")</f>
        <v>-0.1526885443</v>
      </c>
      <c r="P154" s="14"/>
      <c r="Q154" s="12">
        <v>135021.62</v>
      </c>
      <c r="R154" s="13">
        <f>IFERROR(Q154/Q446, "NA")</f>
        <v>0.02813510206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-135021.62</v>
      </c>
      <c r="X154" s="13">
        <f>IFERROR(W154/W446, "NA")</f>
        <v>0.7042558775</v>
      </c>
      <c r="Y154" s="14"/>
      <c r="Z154" s="12">
        <v>149710.53</v>
      </c>
      <c r="AA154" s="13">
        <f>IFERROR(Z154/Z446, "NA")</f>
        <v>0.03239865237</v>
      </c>
      <c r="AB154" s="14"/>
      <c r="AC154" s="15">
        <f t="shared" si="44"/>
        <v>14688.91</v>
      </c>
      <c r="AD154" s="13">
        <f>IFERROR(AC154/AC446, "NA")</f>
        <v>0.08244905909</v>
      </c>
    </row>
    <row r="155" ht="16.5" customHeight="1">
      <c r="A155" s="11" t="s">
        <v>147</v>
      </c>
      <c r="B155" s="12">
        <v>5015.870000000001</v>
      </c>
      <c r="C155" s="13">
        <f>IFERROR(B155/B446, "NA")</f>
        <v>0.01017126184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-5015.87</v>
      </c>
      <c r="I155" s="13">
        <f>IFERROR(H155/H446, "NA")</f>
        <v>0.07436103962</v>
      </c>
      <c r="J155" s="14"/>
      <c r="K155" s="12">
        <v>5875.2300000000005</v>
      </c>
      <c r="L155" s="13">
        <f>IFERROR(K155/K446, "NA")</f>
        <v>0.01140351822</v>
      </c>
      <c r="M155" s="14"/>
      <c r="N155" s="15">
        <f t="shared" si="42"/>
        <v>859.36</v>
      </c>
      <c r="O155" s="13">
        <f>IFERROR(N155/N446, "NA")</f>
        <v>-0.0389367251</v>
      </c>
      <c r="P155" s="14"/>
      <c r="Q155" s="12">
        <v>56548.5</v>
      </c>
      <c r="R155" s="13">
        <f>IFERROR(Q155/Q446, "NA")</f>
        <v>0.01178328196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-56548.5</v>
      </c>
      <c r="X155" s="13">
        <f>IFERROR(W155/W446, "NA")</f>
        <v>0.2949499013</v>
      </c>
      <c r="Y155" s="14"/>
      <c r="Z155" s="12">
        <v>49441.659999999996</v>
      </c>
      <c r="AA155" s="13">
        <f>IFERROR(Z155/Z446, "NA")</f>
        <v>0.01069960246</v>
      </c>
      <c r="AB155" s="14"/>
      <c r="AC155" s="15">
        <f t="shared" si="44"/>
        <v>-7106.84</v>
      </c>
      <c r="AD155" s="13">
        <f>IFERROR(AC155/AC446, "NA")</f>
        <v>-0.0398907932</v>
      </c>
    </row>
    <row r="156" ht="16.5" customHeight="1">
      <c r="A156" s="11" t="s">
        <v>148</v>
      </c>
      <c r="B156" s="12">
        <v>0.0</v>
      </c>
      <c r="C156" s="13">
        <f>IFERROR(B156/B446, "NA")</f>
        <v>0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271.11</v>
      </c>
      <c r="R156" s="13">
        <f>IFERROR(Q156/Q446, "NA")</f>
        <v>0.00005649249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-271.11</v>
      </c>
      <c r="X156" s="13">
        <f>IFERROR(W156/W446, "NA")</f>
        <v>0.001414075842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-271.11</v>
      </c>
      <c r="AD156" s="13">
        <f>IFERROR(AC156/AC446, "NA")</f>
        <v>-0.001521744255</v>
      </c>
    </row>
    <row r="157" ht="16.5" hidden="1" customHeight="1">
      <c r="A157" s="11" t="s">
        <v>149</v>
      </c>
      <c r="B157" s="12">
        <v>0.0</v>
      </c>
      <c r="C157" s="13">
        <f>IFERROR(B157/B446, "NA")</f>
        <v>0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18604.31</v>
      </c>
      <c r="C158" s="18">
        <f>IFERROR(B158/B446, "NA")</f>
        <v>0.03772611898</v>
      </c>
      <c r="D158" s="8"/>
      <c r="E158" s="17">
        <f>IFERROR(E153+E154+E155+E156+E157, "NA")</f>
        <v>23008.27</v>
      </c>
      <c r="F158" s="18">
        <f>IFERROR(E158/E446, "NA")</f>
        <v>0.04104263993</v>
      </c>
      <c r="G158" s="8"/>
      <c r="H158" s="17">
        <f t="shared" si="41"/>
        <v>4403.96</v>
      </c>
      <c r="I158" s="18">
        <f>IFERROR(H158/H446, "NA")</f>
        <v>-0.06528938031</v>
      </c>
      <c r="J158" s="8"/>
      <c r="K158" s="17">
        <f>IFERROR(K153+K154+K155+K156+K157, "NA")</f>
        <v>22833.61</v>
      </c>
      <c r="L158" s="18">
        <f>IFERROR(K158/K446, "NA")</f>
        <v>0.04431885861</v>
      </c>
      <c r="M158" s="8"/>
      <c r="N158" s="17">
        <f t="shared" si="42"/>
        <v>4229.3</v>
      </c>
      <c r="O158" s="18">
        <f>IFERROR(N158/N446, "NA")</f>
        <v>-0.1916252694</v>
      </c>
      <c r="P158" s="8"/>
      <c r="Q158" s="17">
        <f>IFERROR(Q153+Q154+Q155+Q156+Q157, "NA")</f>
        <v>191841.23</v>
      </c>
      <c r="R158" s="18">
        <f>IFERROR(Q158/Q446, "NA")</f>
        <v>0.0399748765</v>
      </c>
      <c r="S158" s="8"/>
      <c r="T158" s="17">
        <f>IFERROR(T153+T154+T155+T156+T157, "NA")</f>
        <v>204860.55</v>
      </c>
      <c r="U158" s="18">
        <f>IFERROR(T158/T446, "NA")</f>
        <v>0.04104790611</v>
      </c>
      <c r="V158" s="8"/>
      <c r="W158" s="17">
        <f t="shared" si="43"/>
        <v>13019.32</v>
      </c>
      <c r="X158" s="18">
        <f>IFERROR(W158/W446, "NA")</f>
        <v>-0.06790714428</v>
      </c>
      <c r="Y158" s="8"/>
      <c r="Z158" s="17">
        <f>IFERROR(Z153+Z154+Z155+Z156+Z157, "NA")</f>
        <v>199152.19</v>
      </c>
      <c r="AA158" s="18">
        <f>IFERROR(Z158/Z446, "NA")</f>
        <v>0.04309825482</v>
      </c>
      <c r="AB158" s="8"/>
      <c r="AC158" s="17">
        <f t="shared" si="44"/>
        <v>7310.96</v>
      </c>
      <c r="AD158" s="18">
        <f>IFERROR(AC158/AC446, "NA")</f>
        <v>0.04103652164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>
        <f>IFERROR(B160/B446, "NA")</f>
        <v>0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1800.92</v>
      </c>
      <c r="C161" s="13">
        <f>IFERROR(B161/B446, "NA")</f>
        <v>0.003651934536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-1800.92</v>
      </c>
      <c r="I161" s="13">
        <f>IFERROR(H161/H446, "NA")</f>
        <v>0.02669891434</v>
      </c>
      <c r="J161" s="14"/>
      <c r="K161" s="12">
        <v>1052.47</v>
      </c>
      <c r="L161" s="13">
        <f>IFERROR(K161/K446, "NA")</f>
        <v>0.002042789954</v>
      </c>
      <c r="M161" s="14"/>
      <c r="N161" s="15">
        <f t="shared" si="46"/>
        <v>-748.45</v>
      </c>
      <c r="O161" s="13">
        <f>IFERROR(N161/N446, "NA")</f>
        <v>0.03391150612</v>
      </c>
      <c r="P161" s="14"/>
      <c r="Q161" s="12">
        <v>14124.09</v>
      </c>
      <c r="R161" s="13">
        <f>IFERROR(Q161/Q446, "NA")</f>
        <v>0.002943104324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-14124.09</v>
      </c>
      <c r="X161" s="13">
        <f>IFERROR(W161/W446, "NA")</f>
        <v>0.07366948639</v>
      </c>
      <c r="Y161" s="14"/>
      <c r="Z161" s="12">
        <v>11439.42</v>
      </c>
      <c r="AA161" s="13">
        <f>IFERROR(Z161/Z446, "NA")</f>
        <v>0.002475589338</v>
      </c>
      <c r="AB161" s="14"/>
      <c r="AC161" s="15">
        <f t="shared" si="48"/>
        <v>-2684.67</v>
      </c>
      <c r="AD161" s="13">
        <f>IFERROR(AC161/AC446, "NA")</f>
        <v>-0.01506909059</v>
      </c>
    </row>
    <row r="162" ht="16.5" customHeight="1">
      <c r="A162" s="11" t="s">
        <v>153</v>
      </c>
      <c r="B162" s="12">
        <v>0.0</v>
      </c>
      <c r="C162" s="13">
        <f>IFERROR(B162/B446, "NA")</f>
        <v>0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20.64</v>
      </c>
      <c r="R162" s="13">
        <f>IFERROR(Q162/Q446, "NA")</f>
        <v>0.000004300855718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-20.64</v>
      </c>
      <c r="X162" s="13">
        <f>IFERROR(W162/W446, "NA")</f>
        <v>0.0001076556577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-20.64</v>
      </c>
      <c r="AD162" s="13">
        <f>IFERROR(AC162/AC446, "NA")</f>
        <v>-0.0001158526112</v>
      </c>
    </row>
    <row r="163" ht="16.5" customHeight="1">
      <c r="A163" s="11" t="s">
        <v>154</v>
      </c>
      <c r="B163" s="12">
        <v>0.0</v>
      </c>
      <c r="C163" s="13">
        <f>IFERROR(B163/B446, "NA")</f>
        <v>0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1.4</v>
      </c>
      <c r="R163" s="13">
        <f>IFERROR(Q163/Q446, "NA")</f>
        <v>0.0000002917247096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-1.4</v>
      </c>
      <c r="X163" s="13">
        <f>IFERROR(W163/W446, "NA")</f>
        <v>0.000007302224847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-1.4</v>
      </c>
      <c r="AD163" s="13">
        <f>IFERROR(AC163/AC446, "NA")</f>
        <v>-0.000007858219754</v>
      </c>
    </row>
    <row r="164" ht="16.5" hidden="1" customHeight="1">
      <c r="A164" s="11" t="s">
        <v>155</v>
      </c>
      <c r="B164" s="12">
        <v>0.0</v>
      </c>
      <c r="C164" s="13">
        <f>IFERROR(B164/B446, "NA")</f>
        <v>0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>
        <f>IFERROR(B165/B446, "NA")</f>
        <v>0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1800.92</v>
      </c>
      <c r="C166" s="18">
        <f>IFERROR(B166/B446, "NA")</f>
        <v>0.003651934536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-1800.92</v>
      </c>
      <c r="I166" s="18">
        <f>IFERROR(H166/H446, "NA")</f>
        <v>0.02669891434</v>
      </c>
      <c r="J166" s="8"/>
      <c r="K166" s="17">
        <f>IFERROR(K160+K161+K162+K163+K164+K165, "NA")</f>
        <v>1052.47</v>
      </c>
      <c r="L166" s="18">
        <f>IFERROR(K166/K446, "NA")</f>
        <v>0.002042789954</v>
      </c>
      <c r="M166" s="8"/>
      <c r="N166" s="17">
        <f t="shared" si="46"/>
        <v>-748.45</v>
      </c>
      <c r="O166" s="18">
        <f>IFERROR(N166/N446, "NA")</f>
        <v>0.03391150612</v>
      </c>
      <c r="P166" s="8"/>
      <c r="Q166" s="17">
        <f>IFERROR(Q160+Q161+Q162+Q163+Q164+Q165, "NA")</f>
        <v>14146.13</v>
      </c>
      <c r="R166" s="18">
        <f>IFERROR(Q166/Q446, "NA")</f>
        <v>0.002947696904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-14146.13</v>
      </c>
      <c r="X166" s="18">
        <f>IFERROR(W166/W446, "NA")</f>
        <v>0.07378444427</v>
      </c>
      <c r="Y166" s="8"/>
      <c r="Z166" s="17">
        <f>IFERROR(Z160+Z161+Z162+Z163+Z164+Z165, "NA")</f>
        <v>11439.42</v>
      </c>
      <c r="AA166" s="18">
        <f>IFERROR(Z166/Z446, "NA")</f>
        <v>0.002475589338</v>
      </c>
      <c r="AB166" s="8"/>
      <c r="AC166" s="17">
        <f t="shared" si="48"/>
        <v>-2706.71</v>
      </c>
      <c r="AD166" s="18">
        <f>IFERROR(AC166/AC446, "NA")</f>
        <v>-0.01519280142</v>
      </c>
    </row>
    <row r="167" ht="16.5" customHeight="1">
      <c r="A167" s="11" t="s">
        <v>158</v>
      </c>
      <c r="B167" s="12">
        <v>675.6</v>
      </c>
      <c r="C167" s="13">
        <f>IFERROR(B167/B446, "NA")</f>
        <v>0.001369992544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-675.6</v>
      </c>
      <c r="I167" s="13">
        <f>IFERROR(H167/H446, "NA")</f>
        <v>0.01001587329</v>
      </c>
      <c r="J167" s="14"/>
      <c r="K167" s="12">
        <v>779.45</v>
      </c>
      <c r="L167" s="13">
        <f>IFERROR(K167/K446, "NA")</f>
        <v>0.001512872224</v>
      </c>
      <c r="M167" s="14"/>
      <c r="N167" s="15">
        <f t="shared" si="46"/>
        <v>103.85</v>
      </c>
      <c r="O167" s="13">
        <f>IFERROR(N167/N446, "NA")</f>
        <v>-0.004705337579</v>
      </c>
      <c r="P167" s="14"/>
      <c r="Q167" s="12">
        <v>6903.410000000001</v>
      </c>
      <c r="R167" s="13">
        <f>IFERROR(Q167/Q446, "NA")</f>
        <v>0.001438496627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-6903.41</v>
      </c>
      <c r="X167" s="13">
        <f>IFERROR(W167/W446, "NA")</f>
        <v>0.03600732288</v>
      </c>
      <c r="Y167" s="14"/>
      <c r="Z167" s="12">
        <v>6421.110000000001</v>
      </c>
      <c r="AA167" s="13">
        <f>IFERROR(Z167/Z446, "NA")</f>
        <v>0.00138958369</v>
      </c>
      <c r="AB167" s="14"/>
      <c r="AC167" s="15">
        <f t="shared" si="48"/>
        <v>-482.3</v>
      </c>
      <c r="AD167" s="13">
        <f>IFERROR(AC167/AC446, "NA")</f>
        <v>-0.002707156705</v>
      </c>
    </row>
    <row r="168" ht="16.5" customHeight="1">
      <c r="A168" s="11" t="s">
        <v>159</v>
      </c>
      <c r="B168" s="12">
        <v>546.0</v>
      </c>
      <c r="C168" s="13">
        <f>IFERROR(B168/B446, "NA")</f>
        <v>0.00110718758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-546</v>
      </c>
      <c r="I168" s="13">
        <f>IFERROR(H168/H446, "NA")</f>
        <v>0.008094533477</v>
      </c>
      <c r="J168" s="14"/>
      <c r="K168" s="12">
        <v>173.79</v>
      </c>
      <c r="L168" s="13">
        <f>IFERROR(K168/K446, "NA")</f>
        <v>0.0003373174211</v>
      </c>
      <c r="M168" s="14"/>
      <c r="N168" s="15">
        <f t="shared" si="46"/>
        <v>-372.21</v>
      </c>
      <c r="O168" s="13">
        <f>IFERROR(N168/N446, "NA")</f>
        <v>0.01686445547</v>
      </c>
      <c r="P168" s="14"/>
      <c r="Q168" s="12">
        <v>4654.08</v>
      </c>
      <c r="R168" s="13">
        <f>IFERROR(Q168/Q446, "NA")</f>
        <v>0.0009697929545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-4654.08</v>
      </c>
      <c r="X168" s="13">
        <f>IFERROR(W168/W446, "NA")</f>
        <v>0.02427509901</v>
      </c>
      <c r="Y168" s="14"/>
      <c r="Z168" s="12">
        <v>1576.51</v>
      </c>
      <c r="AA168" s="13">
        <f>IFERROR(Z168/Z446, "NA")</f>
        <v>0.0003411703869</v>
      </c>
      <c r="AB168" s="14"/>
      <c r="AC168" s="15">
        <f t="shared" si="48"/>
        <v>-3077.57</v>
      </c>
      <c r="AD168" s="13">
        <f>IFERROR(AC168/AC446, "NA")</f>
        <v>-0.01727444383</v>
      </c>
    </row>
    <row r="169" ht="16.5" customHeight="1">
      <c r="A169" s="11" t="s">
        <v>160</v>
      </c>
      <c r="B169" s="12">
        <v>-5725.25</v>
      </c>
      <c r="C169" s="13">
        <f>IFERROR(B169/B446, "NA")</f>
        <v>-0.01160975401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5725.25</v>
      </c>
      <c r="I169" s="13">
        <f>IFERROR(H169/H446, "NA")</f>
        <v>-0.08487770657</v>
      </c>
      <c r="J169" s="14"/>
      <c r="K169" s="12">
        <v>-6860.67</v>
      </c>
      <c r="L169" s="13">
        <f>IFERROR(K169/K446, "NA")</f>
        <v>-0.0133162064</v>
      </c>
      <c r="M169" s="14"/>
      <c r="N169" s="15">
        <f t="shared" si="46"/>
        <v>-1135.42</v>
      </c>
      <c r="O169" s="13">
        <f>IFERROR(N169/N446, "NA")</f>
        <v>0.05144472214</v>
      </c>
      <c r="P169" s="14"/>
      <c r="Q169" s="12">
        <v>-41110.28</v>
      </c>
      <c r="R169" s="13">
        <f>IFERROR(Q169/Q446, "NA")</f>
        <v>-0.008566346066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41110.28</v>
      </c>
      <c r="X169" s="13">
        <f>IFERROR(W169/W446, "NA")</f>
        <v>-0.2144260772</v>
      </c>
      <c r="Y169" s="14"/>
      <c r="Z169" s="12">
        <v>-77450.8</v>
      </c>
      <c r="AA169" s="13">
        <f>IFERROR(Z169/Z446, "NA")</f>
        <v>-0.01676102239</v>
      </c>
      <c r="AB169" s="14"/>
      <c r="AC169" s="15">
        <f t="shared" si="48"/>
        <v>-36340.52</v>
      </c>
      <c r="AD169" s="13">
        <f>IFERROR(AC169/AC446, "NA")</f>
        <v>-0.2039798515</v>
      </c>
    </row>
    <row r="170" ht="16.5" customHeight="1">
      <c r="A170" s="16" t="s">
        <v>161</v>
      </c>
      <c r="B170" s="17">
        <f>IFERROR(B151+B153+B154+B155+B156+B157+B160+B161+B162+B163+B164+B165+B167+B168+B169, "NA")</f>
        <v>15901.58</v>
      </c>
      <c r="C170" s="18">
        <f>IFERROR(B170/B446, "NA")</f>
        <v>0.03224547963</v>
      </c>
      <c r="D170" s="8"/>
      <c r="E170" s="17">
        <f>IFERROR(E151+E153+E154+E155+E156+E157+E160+E161+E162+E163+E164+E165+E167+E168+E169, "NA")</f>
        <v>23008.27</v>
      </c>
      <c r="F170" s="18">
        <f>IFERROR(E170/E446, "NA")</f>
        <v>0.04104263993</v>
      </c>
      <c r="G170" s="8"/>
      <c r="H170" s="17">
        <f t="shared" si="45"/>
        <v>7106.69</v>
      </c>
      <c r="I170" s="18">
        <f>IFERROR(H170/H446, "NA")</f>
        <v>-0.1053577658</v>
      </c>
      <c r="J170" s="8"/>
      <c r="K170" s="17">
        <f>IFERROR(K151+K153+K154+K155+K156+K157+K160+K161+K162+K163+K164+K165+K167+K168+K169, "NA")</f>
        <v>17978.65</v>
      </c>
      <c r="L170" s="18">
        <f>IFERROR(K170/K446, "NA")</f>
        <v>0.03489563181</v>
      </c>
      <c r="M170" s="8"/>
      <c r="N170" s="17">
        <f t="shared" si="46"/>
        <v>2077.07</v>
      </c>
      <c r="O170" s="18">
        <f>IFERROR(N170/N446, "NA")</f>
        <v>-0.09410992321</v>
      </c>
      <c r="P170" s="8"/>
      <c r="Q170" s="17">
        <f>IFERROR(Q151+Q153+Q154+Q155+Q156+Q157+Q160+Q161+Q162+Q163+Q164+Q165+Q167+Q168+Q169, "NA")</f>
        <v>176434.57</v>
      </c>
      <c r="R170" s="18">
        <f>IFERROR(Q170/Q446, "NA")</f>
        <v>0.03676451692</v>
      </c>
      <c r="S170" s="8"/>
      <c r="T170" s="17">
        <f>IFERROR(T151+T153+T154+T155+T156+T157+T160+T161+T162+T163+T164+T165+T167+T168+T169, "NA")</f>
        <v>204860.55</v>
      </c>
      <c r="U170" s="18">
        <f>IFERROR(T170/T446, "NA")</f>
        <v>0.04104790611</v>
      </c>
      <c r="V170" s="8"/>
      <c r="W170" s="17">
        <f t="shared" si="47"/>
        <v>28425.98</v>
      </c>
      <c r="X170" s="18">
        <f>IFERROR(W170/W446, "NA")</f>
        <v>-0.1482663553</v>
      </c>
      <c r="Y170" s="8"/>
      <c r="Z170" s="17">
        <f>IFERROR(Z151+Z153+Z154+Z155+Z156+Z157+Z160+Z161+Z162+Z163+Z164+Z165+Z167+Z168+Z169, "NA")</f>
        <v>141138.43</v>
      </c>
      <c r="AA170" s="18">
        <f>IFERROR(Z170/Z446, "NA")</f>
        <v>0.03054357585</v>
      </c>
      <c r="AB170" s="8"/>
      <c r="AC170" s="17">
        <f t="shared" si="48"/>
        <v>-35296.14</v>
      </c>
      <c r="AD170" s="18">
        <f>IFERROR(AC170/AC446, "NA")</f>
        <v>-0.1981177318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125190.59</v>
      </c>
      <c r="C171" s="18">
        <f>IFERROR(B171/B446, "NA")</f>
        <v>0.2538634915</v>
      </c>
      <c r="D171" s="8"/>
      <c r="E171" s="17">
        <f>IFERROR(E127+E129+E130+E131+E132+E133+E134+E135+E136+E137+E138+E139+E140+E143+E144+E145+E146+E147+E151+E153+E154+E155+E156+E157+E160+E161+E162+E163+E164+E165+E167+E168+E169, "NA")</f>
        <v>146894.74</v>
      </c>
      <c r="F171" s="18">
        <f>IFERROR(E171/E446, "NA")</f>
        <v>0.2620339522</v>
      </c>
      <c r="G171" s="8"/>
      <c r="H171" s="17">
        <f t="shared" si="45"/>
        <v>21704.15</v>
      </c>
      <c r="I171" s="18">
        <f>IFERROR(H171/H446, "NA")</f>
        <v>-0.3217673421</v>
      </c>
      <c r="J171" s="8"/>
      <c r="K171" s="17">
        <f>IFERROR(K127+K129+K130+K131+K132+K133+K134+K135+K136+K137+K138+K139+K140+K143+K144+K145+K146+K147+K151+K153+K154+K155+K156+K157+K160+K161+K162+K163+K164+K165+K167+K168+K169, "NA")</f>
        <v>145688.09</v>
      </c>
      <c r="L171" s="18">
        <f>IFERROR(K171/K446, "NA")</f>
        <v>0.282773064</v>
      </c>
      <c r="M171" s="8"/>
      <c r="N171" s="17">
        <f t="shared" si="46"/>
        <v>20497.5</v>
      </c>
      <c r="O171" s="18">
        <f>IFERROR(N171/N446, "NA")</f>
        <v>-0.9287208188</v>
      </c>
      <c r="P171" s="8"/>
      <c r="Q171" s="17">
        <f>IFERROR(Q127+Q129+Q130+Q131+Q132+Q133+Q134+Q135+Q136+Q137+Q138+Q139+Q140+Q143+Q144+Q145+Q146+Q147+Q151+Q153+Q154+Q155+Q156+Q157+Q160+Q161+Q162+Q163+Q164+Q165+Q167+Q168+Q169, "NA")</f>
        <v>1288360.12</v>
      </c>
      <c r="R171" s="18">
        <f>IFERROR(Q171/Q446, "NA")</f>
        <v>0.2684617727</v>
      </c>
      <c r="S171" s="8"/>
      <c r="T171" s="17">
        <f>IFERROR(T127+T129+T130+T131+T132+T133+T134+T135+T136+T137+T138+T139+T140+T143+T144+T145+T146+T147+T151+T153+T154+T155+T156+T157+T160+T161+T162+T163+T164+T165+T167+T168+T169, "NA")</f>
        <v>1312682.09</v>
      </c>
      <c r="U171" s="18">
        <f>IFERROR(T171/T446, "NA")</f>
        <v>0.2630220957</v>
      </c>
      <c r="V171" s="8"/>
      <c r="W171" s="17">
        <f t="shared" si="47"/>
        <v>24321.97</v>
      </c>
      <c r="X171" s="18">
        <f>IFERROR(W171/W446, "NA")</f>
        <v>-0.1268603526</v>
      </c>
      <c r="Y171" s="8"/>
      <c r="Z171" s="17">
        <f>IFERROR(Z127+Z129+Z130+Z131+Z132+Z133+Z134+Z135+Z136+Z137+Z138+Z139+Z140+Z143+Z144+Z145+Z146+Z147+Z151+Z153+Z154+Z155+Z156+Z157+Z160+Z161+Z162+Z163+Z164+Z165+Z167+Z168+Z169, "NA")</f>
        <v>1315365.33</v>
      </c>
      <c r="AA171" s="18">
        <f>IFERROR(Z171/Z446, "NA")</f>
        <v>0.2846564237</v>
      </c>
      <c r="AB171" s="8"/>
      <c r="AC171" s="17">
        <f t="shared" si="48"/>
        <v>27005.21</v>
      </c>
      <c r="AD171" s="18">
        <f>IFERROR(AC171/AC446, "NA")</f>
        <v>0.1515806248</v>
      </c>
    </row>
    <row r="172" ht="16.5" customHeight="1">
      <c r="A172" s="19" t="s">
        <v>163</v>
      </c>
      <c r="B172" s="20">
        <f>IFERROR(B124-B171, "NA")</f>
        <v>367950.78</v>
      </c>
      <c r="C172" s="21">
        <f>IFERROR(B172/B446, "NA")</f>
        <v>0.7461365085</v>
      </c>
      <c r="D172" s="22"/>
      <c r="E172" s="20">
        <f>IFERROR(E124-E171, "NA")</f>
        <v>413699.56</v>
      </c>
      <c r="F172" s="21">
        <f>IFERROR(E172/E446, "NA")</f>
        <v>0.7379660478</v>
      </c>
      <c r="G172" s="22"/>
      <c r="H172" s="20">
        <f>IFERROR(B172-E172, "NA")</f>
        <v>-45748.78</v>
      </c>
      <c r="I172" s="21">
        <f>IFERROR(H172/H446, "NA")</f>
        <v>0.6782326579</v>
      </c>
      <c r="J172" s="22"/>
      <c r="K172" s="20">
        <f>IFERROR(K124-K171, "NA")</f>
        <v>369523.96</v>
      </c>
      <c r="L172" s="21">
        <f>IFERROR(K172/K446, "NA")</f>
        <v>0.717226936</v>
      </c>
      <c r="M172" s="22"/>
      <c r="N172" s="20">
        <f>IFERROR(B172-K172, "NA")</f>
        <v>-1573.18</v>
      </c>
      <c r="O172" s="21">
        <f>IFERROR(N172/N446, "NA")</f>
        <v>0.07127918125</v>
      </c>
      <c r="P172" s="22"/>
      <c r="Q172" s="20">
        <f>IFERROR(Q124-Q171, "NA")</f>
        <v>3510684.85</v>
      </c>
      <c r="R172" s="21">
        <f>IFERROR(Q172/Q446, "NA")</f>
        <v>0.7315382273</v>
      </c>
      <c r="S172" s="22"/>
      <c r="T172" s="20">
        <f>IFERROR(T124-T171, "NA")</f>
        <v>3678085.27</v>
      </c>
      <c r="U172" s="21">
        <f>IFERROR(T172/T446, "NA")</f>
        <v>0.7369779043</v>
      </c>
      <c r="V172" s="22"/>
      <c r="W172" s="20">
        <f>IFERROR(Q172-T172, "NA")</f>
        <v>-167400.42</v>
      </c>
      <c r="X172" s="21">
        <f>IFERROR(W172/W446, "NA")</f>
        <v>0.8731396474</v>
      </c>
      <c r="Y172" s="22"/>
      <c r="Z172" s="20">
        <f>IFERROR(Z124-Z171, "NA")</f>
        <v>3305522.24</v>
      </c>
      <c r="AA172" s="21">
        <f>IFERROR(Z172/Z446, "NA")</f>
        <v>0.7153435763</v>
      </c>
      <c r="AB172" s="22"/>
      <c r="AC172" s="20">
        <f>IFERROR(Q172-Z172, "NA")</f>
        <v>205162.61</v>
      </c>
      <c r="AD172" s="21">
        <f>IFERROR(AC172/AC446, "NA")</f>
        <v>1.151580625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>
        <f>IFERROR(B175/B446, "NA")</f>
        <v>0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>
        <f>IFERROR(B177/B446, "NA")</f>
        <v>0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26755.4</v>
      </c>
      <c r="C178" s="13">
        <f>IFERROR(B178/B446, "NA")</f>
        <v>0.05425503036</v>
      </c>
      <c r="D178" s="14"/>
      <c r="E178" s="12">
        <v>32033.859999999997</v>
      </c>
      <c r="F178" s="13">
        <f>IFERROR(E178/E446, "NA")</f>
        <v>0.05714267876</v>
      </c>
      <c r="G178" s="14"/>
      <c r="H178" s="15">
        <f t="shared" si="49"/>
        <v>5278.46</v>
      </c>
      <c r="I178" s="13">
        <f>IFERROR(H178/H446, "NA")</f>
        <v>-0.07825397651</v>
      </c>
      <c r="J178" s="14"/>
      <c r="K178" s="12">
        <v>31832.32</v>
      </c>
      <c r="L178" s="13">
        <f>IFERROR(K178/K446, "NA")</f>
        <v>0.06178489032</v>
      </c>
      <c r="M178" s="14"/>
      <c r="N178" s="15">
        <f t="shared" si="50"/>
        <v>5076.92</v>
      </c>
      <c r="O178" s="13">
        <f>IFERROR(N178/N446, "NA")</f>
        <v>-0.230030067</v>
      </c>
      <c r="P178" s="14"/>
      <c r="Q178" s="12">
        <v>258605.79</v>
      </c>
      <c r="R178" s="13">
        <f>IFERROR(Q178/Q446, "NA")</f>
        <v>0.05388692784</v>
      </c>
      <c r="S178" s="14"/>
      <c r="T178" s="12">
        <v>267252.42000000004</v>
      </c>
      <c r="U178" s="13">
        <f>IFERROR(T178/T446, "NA")</f>
        <v>0.0535493644</v>
      </c>
      <c r="V178" s="14"/>
      <c r="W178" s="15">
        <f t="shared" si="51"/>
        <v>8646.63</v>
      </c>
      <c r="X178" s="13">
        <f>IFERROR(W178/W446, "NA")</f>
        <v>-0.04509974031</v>
      </c>
      <c r="Y178" s="14"/>
      <c r="Z178" s="12">
        <v>266199.83999999997</v>
      </c>
      <c r="AA178" s="13">
        <f>IFERROR(Z178/Z446, "NA")</f>
        <v>0.05760794565</v>
      </c>
      <c r="AB178" s="14"/>
      <c r="AC178" s="15">
        <f t="shared" si="52"/>
        <v>7594.05</v>
      </c>
      <c r="AD178" s="13">
        <f>IFERROR(AC178/AC446, "NA")</f>
        <v>0.0426255098</v>
      </c>
    </row>
    <row r="179" ht="16.5" hidden="1" customHeight="1">
      <c r="A179" s="11" t="s">
        <v>167</v>
      </c>
      <c r="B179" s="12">
        <v>0.0</v>
      </c>
      <c r="C179" s="13">
        <f>IFERROR(B179/B446, "NA")</f>
        <v>0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92758.35999999999</v>
      </c>
      <c r="C180" s="13">
        <f>IFERROR(B180/B446, "NA")</f>
        <v>0.188096894</v>
      </c>
      <c r="D180" s="14"/>
      <c r="E180" s="12">
        <v>104924.84</v>
      </c>
      <c r="F180" s="13">
        <f>IFERROR(E180/E446, "NA")</f>
        <v>0.1871671546</v>
      </c>
      <c r="G180" s="14"/>
      <c r="H180" s="15">
        <f t="shared" si="49"/>
        <v>12166.48</v>
      </c>
      <c r="I180" s="13">
        <f>IFERROR(H180/H446, "NA")</f>
        <v>-0.1803699261</v>
      </c>
      <c r="J180" s="14"/>
      <c r="K180" s="12">
        <v>103804.74</v>
      </c>
      <c r="L180" s="13">
        <f>IFERROR(K180/K446, "NA")</f>
        <v>0.2014796432</v>
      </c>
      <c r="M180" s="14"/>
      <c r="N180" s="15">
        <f t="shared" si="50"/>
        <v>11046.38</v>
      </c>
      <c r="O180" s="13">
        <f>IFERROR(N180/N446, "NA")</f>
        <v>-0.5005002111</v>
      </c>
      <c r="P180" s="14"/>
      <c r="Q180" s="12">
        <v>842215.9099999999</v>
      </c>
      <c r="R180" s="13">
        <f>IFERROR(Q180/Q446, "NA")</f>
        <v>0.1754965655</v>
      </c>
      <c r="S180" s="14"/>
      <c r="T180" s="12">
        <v>919003.3</v>
      </c>
      <c r="U180" s="13">
        <f>IFERROR(T180/T446, "NA")</f>
        <v>0.1841406809</v>
      </c>
      <c r="V180" s="14"/>
      <c r="W180" s="15">
        <f t="shared" si="51"/>
        <v>76787.39</v>
      </c>
      <c r="X180" s="13">
        <f>IFERROR(W180/W446, "NA")</f>
        <v>-0.4005134194</v>
      </c>
      <c r="Y180" s="14"/>
      <c r="Z180" s="12">
        <v>877275.77</v>
      </c>
      <c r="AA180" s="13">
        <f>IFERROR(Z180/Z446, "NA")</f>
        <v>0.1898500573</v>
      </c>
      <c r="AB180" s="14"/>
      <c r="AC180" s="15">
        <f t="shared" si="52"/>
        <v>35059.86</v>
      </c>
      <c r="AD180" s="13">
        <f>IFERROR(AC180/AC446, "NA")</f>
        <v>0.1967914889</v>
      </c>
    </row>
    <row r="181" ht="16.5" customHeight="1">
      <c r="A181" s="11" t="s">
        <v>169</v>
      </c>
      <c r="B181" s="12">
        <v>1443.06</v>
      </c>
      <c r="C181" s="13">
        <f>IFERROR(B181/B446, "NA")</f>
        <v>0.002926260273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-1443.06</v>
      </c>
      <c r="I181" s="13">
        <f>IFERROR(H181/H446, "NA")</f>
        <v>0.02139358513</v>
      </c>
      <c r="J181" s="14"/>
      <c r="K181" s="12">
        <v>1880.0800000000002</v>
      </c>
      <c r="L181" s="13">
        <f>IFERROR(K181/K446, "NA")</f>
        <v>0.003649138253</v>
      </c>
      <c r="M181" s="14"/>
      <c r="N181" s="15">
        <f t="shared" si="50"/>
        <v>437.02</v>
      </c>
      <c r="O181" s="13">
        <f>IFERROR(N181/N446, "NA")</f>
        <v>-0.01980093047</v>
      </c>
      <c r="P181" s="14"/>
      <c r="Q181" s="12">
        <v>12622.010000000002</v>
      </c>
      <c r="R181" s="13">
        <f>IFERROR(Q181/Q446, "NA")</f>
        <v>0.002630108715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-12622.01</v>
      </c>
      <c r="X181" s="13">
        <f>IFERROR(W181/W446, "NA")</f>
        <v>0.06583482503</v>
      </c>
      <c r="Y181" s="14"/>
      <c r="Z181" s="12">
        <v>12848.52</v>
      </c>
      <c r="AA181" s="13">
        <f>IFERROR(Z181/Z446, "NA")</f>
        <v>0.002780530754</v>
      </c>
      <c r="AB181" s="14"/>
      <c r="AC181" s="15">
        <f t="shared" si="52"/>
        <v>226.51</v>
      </c>
      <c r="AD181" s="13">
        <f>IFERROR(AC181/AC446, "NA")</f>
        <v>0.001271403826</v>
      </c>
    </row>
    <row r="182" ht="16.5" customHeight="1">
      <c r="A182" s="16" t="s">
        <v>170</v>
      </c>
      <c r="B182" s="17">
        <f>IFERROR(B177+B178+B179+B180+B181, "NA")</f>
        <v>120956.82</v>
      </c>
      <c r="C182" s="18">
        <f>IFERROR(B182/B446, "NA")</f>
        <v>0.2452781846</v>
      </c>
      <c r="D182" s="8"/>
      <c r="E182" s="17">
        <f>IFERROR(E177+E178+E179+E180+E181, "NA")</f>
        <v>136958.7</v>
      </c>
      <c r="F182" s="18">
        <f>IFERROR(E182/E446, "NA")</f>
        <v>0.2443098333</v>
      </c>
      <c r="G182" s="8"/>
      <c r="H182" s="17">
        <f t="shared" si="49"/>
        <v>16001.88</v>
      </c>
      <c r="I182" s="18">
        <f>IFERROR(H182/H446, "NA")</f>
        <v>-0.2372303175</v>
      </c>
      <c r="J182" s="8"/>
      <c r="K182" s="17">
        <f>IFERROR(K177+K178+K179+K180+K181, "NA")</f>
        <v>137517.14</v>
      </c>
      <c r="L182" s="18">
        <f>IFERROR(K182/K446, "NA")</f>
        <v>0.2669136718</v>
      </c>
      <c r="M182" s="8"/>
      <c r="N182" s="17">
        <f t="shared" si="50"/>
        <v>16560.32</v>
      </c>
      <c r="O182" s="18">
        <f>IFERROR(N182/N446, "NA")</f>
        <v>-0.7503312086</v>
      </c>
      <c r="P182" s="8"/>
      <c r="Q182" s="17">
        <f>IFERROR(Q177+Q178+Q179+Q180+Q181, "NA")</f>
        <v>1113443.71</v>
      </c>
      <c r="R182" s="18">
        <f>IFERROR(Q182/Q446, "NA")</f>
        <v>0.2320136021</v>
      </c>
      <c r="S182" s="8"/>
      <c r="T182" s="17">
        <f>IFERROR(T177+T178+T179+T180+T181, "NA")</f>
        <v>1186255.72</v>
      </c>
      <c r="U182" s="18">
        <f>IFERROR(T182/T446, "NA")</f>
        <v>0.2376900453</v>
      </c>
      <c r="V182" s="8"/>
      <c r="W182" s="17">
        <f t="shared" si="51"/>
        <v>72812.01</v>
      </c>
      <c r="X182" s="18">
        <f>IFERROR(W182/W446, "NA")</f>
        <v>-0.3797783347</v>
      </c>
      <c r="Y182" s="8"/>
      <c r="Z182" s="17">
        <f>IFERROR(Z177+Z178+Z179+Z180+Z181, "NA")</f>
        <v>1156324.13</v>
      </c>
      <c r="AA182" s="18">
        <f>IFERROR(Z182/Z446, "NA")</f>
        <v>0.2502385337</v>
      </c>
      <c r="AB182" s="8"/>
      <c r="AC182" s="17">
        <f t="shared" si="52"/>
        <v>42880.42</v>
      </c>
      <c r="AD182" s="18">
        <f>IFERROR(AC182/AC446, "NA")</f>
        <v>0.2406884025</v>
      </c>
    </row>
    <row r="183" ht="16.5" hidden="1" customHeight="1">
      <c r="A183" s="11" t="s">
        <v>171</v>
      </c>
      <c r="B183" s="12">
        <v>0.0</v>
      </c>
      <c r="C183" s="13">
        <f>IFERROR(B183/B446, "NA")</f>
        <v>0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1831.0</v>
      </c>
      <c r="C184" s="13">
        <f>IFERROR(B184/B446, "NA")</f>
        <v>0.003712931243</v>
      </c>
      <c r="D184" s="14"/>
      <c r="E184" s="12">
        <v>1995.0</v>
      </c>
      <c r="F184" s="13">
        <f>IFERROR(E184/E446, "NA")</f>
        <v>0.003558723305</v>
      </c>
      <c r="G184" s="14"/>
      <c r="H184" s="15">
        <f t="shared" si="49"/>
        <v>164</v>
      </c>
      <c r="I184" s="13">
        <f>IFERROR(H184/H446, "NA")</f>
        <v>-0.002431325074</v>
      </c>
      <c r="J184" s="14"/>
      <c r="K184" s="12">
        <v>2950.0</v>
      </c>
      <c r="L184" s="13">
        <f>IFERROR(K184/K446, "NA")</f>
        <v>0.005725797756</v>
      </c>
      <c r="M184" s="14"/>
      <c r="N184" s="15">
        <f t="shared" si="50"/>
        <v>1119</v>
      </c>
      <c r="O184" s="13">
        <f>IFERROR(N184/N446, "NA")</f>
        <v>-0.05070074869</v>
      </c>
      <c r="P184" s="14"/>
      <c r="Q184" s="12">
        <v>4112.0</v>
      </c>
      <c r="R184" s="13">
        <f>IFERROR(Q184/Q446, "NA")</f>
        <v>0.0008568371469</v>
      </c>
      <c r="S184" s="14"/>
      <c r="T184" s="12">
        <v>17415.0</v>
      </c>
      <c r="U184" s="13">
        <f>IFERROR(T184/T446, "NA")</f>
        <v>0.003489443355</v>
      </c>
      <c r="V184" s="14"/>
      <c r="W184" s="15">
        <f t="shared" si="51"/>
        <v>13303</v>
      </c>
      <c r="X184" s="13">
        <f>IFERROR(W184/W446, "NA")</f>
        <v>-0.06938678367</v>
      </c>
      <c r="Y184" s="14"/>
      <c r="Z184" s="12">
        <v>11050.0</v>
      </c>
      <c r="AA184" s="13">
        <f>IFERROR(Z184/Z446, "NA")</f>
        <v>0.002391315485</v>
      </c>
      <c r="AB184" s="14"/>
      <c r="AC184" s="15">
        <f t="shared" si="52"/>
        <v>6938</v>
      </c>
      <c r="AD184" s="13">
        <f>IFERROR(AC184/AC446, "NA")</f>
        <v>0.0389430919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11297.64</v>
      </c>
      <c r="C186" s="13">
        <f>IFERROR(B186/B446, "NA")</f>
        <v>0.02290953606</v>
      </c>
      <c r="D186" s="14"/>
      <c r="E186" s="12">
        <v>13710.000000000002</v>
      </c>
      <c r="F186" s="13">
        <f>IFERROR(E186/E446, "NA")</f>
        <v>0.02445618873</v>
      </c>
      <c r="G186" s="14"/>
      <c r="H186" s="15">
        <f t="shared" ref="H186:H197" si="53">IFERROR(-(B186-E186), "NA")</f>
        <v>2412.36</v>
      </c>
      <c r="I186" s="13">
        <f>IFERROR(H186/H446, "NA")</f>
        <v>-0.03576360582</v>
      </c>
      <c r="J186" s="14"/>
      <c r="K186" s="12">
        <v>12597.9</v>
      </c>
      <c r="L186" s="13">
        <f>IFERROR(K186/K446, "NA")</f>
        <v>0.02445187375</v>
      </c>
      <c r="M186" s="14"/>
      <c r="N186" s="15">
        <f t="shared" ref="N186:N197" si="54">IFERROR(-(B186-K186), "NA")</f>
        <v>1300.26</v>
      </c>
      <c r="O186" s="13">
        <f>IFERROR(N186/N446, "NA")</f>
        <v>-0.05891345441</v>
      </c>
      <c r="P186" s="14"/>
      <c r="Q186" s="12">
        <v>108677.5</v>
      </c>
      <c r="R186" s="13">
        <f>IFERROR(Q186/Q446, "NA")</f>
        <v>0.02264565152</v>
      </c>
      <c r="S186" s="14"/>
      <c r="T186" s="12">
        <v>124279.53</v>
      </c>
      <c r="U186" s="13">
        <f>IFERROR(T186/T446, "NA")</f>
        <v>0.02490188803</v>
      </c>
      <c r="V186" s="14"/>
      <c r="W186" s="15">
        <f t="shared" ref="W186:W197" si="55">IFERROR(-(Q186-T186), "NA")</f>
        <v>15602.03</v>
      </c>
      <c r="X186" s="13">
        <f>IFERROR(W186/W446, "NA")</f>
        <v>-0.08137823652</v>
      </c>
      <c r="Y186" s="14"/>
      <c r="Z186" s="12">
        <v>115259.37</v>
      </c>
      <c r="AA186" s="13">
        <f>IFERROR(Z186/Z446, "NA")</f>
        <v>0.02494312364</v>
      </c>
      <c r="AB186" s="14"/>
      <c r="AC186" s="15">
        <f t="shared" ref="AC186:AC197" si="56">IFERROR(-(Q186-Z186), "NA")</f>
        <v>6581.87</v>
      </c>
      <c r="AD186" s="13">
        <f>IFERROR(AC186/AC446, "NA")</f>
        <v>0.03694412918</v>
      </c>
    </row>
    <row r="187" ht="16.5" hidden="1" customHeight="1">
      <c r="A187" s="11" t="s">
        <v>174</v>
      </c>
      <c r="B187" s="12">
        <v>0.0</v>
      </c>
      <c r="C187" s="13">
        <f>IFERROR(B187/B446, "NA")</f>
        <v>0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>
        <f>IFERROR(B188/B446, "NA")</f>
        <v>0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>
        <f>IFERROR(B189/B446, "NA")</f>
        <v>0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>
        <f>IFERROR(B190/B446, "NA")</f>
        <v>0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>
        <f>IFERROR(B191/B446, "NA")</f>
        <v>0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>
        <f>IFERROR(B192/B446, "NA")</f>
        <v>0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11297.64</v>
      </c>
      <c r="C193" s="18">
        <f>IFERROR(B193/B446, "NA")</f>
        <v>0.02290953606</v>
      </c>
      <c r="D193" s="8"/>
      <c r="E193" s="17">
        <f>IFERROR(E186+E187+E188+E189+E190+E191+E192, "NA")</f>
        <v>13710</v>
      </c>
      <c r="F193" s="18">
        <f>IFERROR(E193/E446, "NA")</f>
        <v>0.02445618873</v>
      </c>
      <c r="G193" s="8"/>
      <c r="H193" s="17">
        <f t="shared" si="53"/>
        <v>2412.36</v>
      </c>
      <c r="I193" s="18">
        <f>IFERROR(H193/H446, "NA")</f>
        <v>-0.03576360582</v>
      </c>
      <c r="J193" s="8"/>
      <c r="K193" s="17">
        <f>IFERROR(K186+K187+K188+K189+K190+K191+K192, "NA")</f>
        <v>12597.9</v>
      </c>
      <c r="L193" s="18">
        <f>IFERROR(K193/K446, "NA")</f>
        <v>0.02445187375</v>
      </c>
      <c r="M193" s="8"/>
      <c r="N193" s="17">
        <f t="shared" si="54"/>
        <v>1300.26</v>
      </c>
      <c r="O193" s="18">
        <f>IFERROR(N193/N446, "NA")</f>
        <v>-0.05891345441</v>
      </c>
      <c r="P193" s="8"/>
      <c r="Q193" s="17">
        <f>IFERROR(Q186+Q187+Q188+Q189+Q190+Q191+Q192, "NA")</f>
        <v>108677.5</v>
      </c>
      <c r="R193" s="18">
        <f>IFERROR(Q193/Q446, "NA")</f>
        <v>0.02264565152</v>
      </c>
      <c r="S193" s="8"/>
      <c r="T193" s="17">
        <f>IFERROR(T186+T187+T188+T189+T190+T191+T192, "NA")</f>
        <v>124279.53</v>
      </c>
      <c r="U193" s="18">
        <f>IFERROR(T193/T446, "NA")</f>
        <v>0.02490188803</v>
      </c>
      <c r="V193" s="8"/>
      <c r="W193" s="17">
        <f t="shared" si="55"/>
        <v>15602.03</v>
      </c>
      <c r="X193" s="18">
        <f>IFERROR(W193/W446, "NA")</f>
        <v>-0.08137823652</v>
      </c>
      <c r="Y193" s="8"/>
      <c r="Z193" s="17">
        <f>IFERROR(Z186+Z187+Z188+Z189+Z190+Z191+Z192, "NA")</f>
        <v>115259.37</v>
      </c>
      <c r="AA193" s="18">
        <f>IFERROR(Z193/Z446, "NA")</f>
        <v>0.02494312364</v>
      </c>
      <c r="AB193" s="8"/>
      <c r="AC193" s="17">
        <f t="shared" si="56"/>
        <v>6581.87</v>
      </c>
      <c r="AD193" s="18">
        <f>IFERROR(AC193/AC446, "NA")</f>
        <v>0.03694412918</v>
      </c>
    </row>
    <row r="194" ht="16.5" customHeight="1">
      <c r="A194" s="11" t="s">
        <v>181</v>
      </c>
      <c r="B194" s="12">
        <v>1132.64</v>
      </c>
      <c r="C194" s="13">
        <f>IFERROR(B194/B446, "NA")</f>
        <v>0.002296785605</v>
      </c>
      <c r="D194" s="14"/>
      <c r="E194" s="12">
        <v>1111.6299999999999</v>
      </c>
      <c r="F194" s="13">
        <f>IFERROR(E194/E446, "NA")</f>
        <v>0.001982949167</v>
      </c>
      <c r="G194" s="14"/>
      <c r="H194" s="15">
        <f t="shared" si="53"/>
        <v>-21.01</v>
      </c>
      <c r="I194" s="13">
        <f>IFERROR(H194/H446, "NA")</f>
        <v>0.0003114764622</v>
      </c>
      <c r="J194" s="14"/>
      <c r="K194" s="12">
        <v>1236.64</v>
      </c>
      <c r="L194" s="13">
        <f>IFERROR(K194/K446, "NA")</f>
        <v>0.00240025442</v>
      </c>
      <c r="M194" s="14"/>
      <c r="N194" s="15">
        <f t="shared" si="54"/>
        <v>104</v>
      </c>
      <c r="O194" s="13">
        <f>IFERROR(N194/N446, "NA")</f>
        <v>-0.004712133926</v>
      </c>
      <c r="P194" s="14"/>
      <c r="Q194" s="12">
        <v>10235.390000000001</v>
      </c>
      <c r="R194" s="13">
        <f>IFERROR(Q194/Q446, "NA")</f>
        <v>0.002132797268</v>
      </c>
      <c r="S194" s="14"/>
      <c r="T194" s="12">
        <v>9629.36</v>
      </c>
      <c r="U194" s="13">
        <f>IFERROR(T194/T446, "NA")</f>
        <v>0.001929434755</v>
      </c>
      <c r="V194" s="14"/>
      <c r="W194" s="15">
        <f t="shared" si="55"/>
        <v>-606.03</v>
      </c>
      <c r="X194" s="13">
        <f>IFERROR(W194/W446, "NA")</f>
        <v>0.00316097666</v>
      </c>
      <c r="Y194" s="14"/>
      <c r="Z194" s="12">
        <v>10329.84</v>
      </c>
      <c r="AA194" s="13">
        <f>IFERROR(Z194/Z446, "NA")</f>
        <v>0.002235466638</v>
      </c>
      <c r="AB194" s="14"/>
      <c r="AC194" s="15">
        <f t="shared" si="56"/>
        <v>94.45</v>
      </c>
      <c r="AD194" s="13">
        <f>IFERROR(AC194/AC446, "NA")</f>
        <v>0.0005301491827</v>
      </c>
    </row>
    <row r="195" ht="16.5" customHeight="1">
      <c r="A195" s="11" t="s">
        <v>182</v>
      </c>
      <c r="B195" s="12">
        <v>786.7</v>
      </c>
      <c r="C195" s="13">
        <f>IFERROR(B195/B446, "NA")</f>
        <v>0.00159528291</v>
      </c>
      <c r="D195" s="14"/>
      <c r="E195" s="12">
        <v>1619.01</v>
      </c>
      <c r="F195" s="13">
        <f>IFERROR(E195/E446, "NA")</f>
        <v>0.00288802437</v>
      </c>
      <c r="G195" s="14"/>
      <c r="H195" s="15">
        <f t="shared" si="53"/>
        <v>832.31</v>
      </c>
      <c r="I195" s="13">
        <f>IFERROR(H195/H446, "NA")</f>
        <v>-0.012339123</v>
      </c>
      <c r="J195" s="14"/>
      <c r="K195" s="12">
        <v>1329.25</v>
      </c>
      <c r="L195" s="13">
        <f>IFERROR(K195/K446, "NA")</f>
        <v>0.00258000565</v>
      </c>
      <c r="M195" s="14"/>
      <c r="N195" s="15">
        <f t="shared" si="54"/>
        <v>542.55</v>
      </c>
      <c r="O195" s="13">
        <f>IFERROR(N195/N446, "NA")</f>
        <v>-0.02458238713</v>
      </c>
      <c r="P195" s="14"/>
      <c r="Q195" s="12">
        <v>13216.92</v>
      </c>
      <c r="R195" s="13">
        <f>IFERROR(Q195/Q446, "NA")</f>
        <v>0.002754072963</v>
      </c>
      <c r="S195" s="14"/>
      <c r="T195" s="12">
        <v>15022.880000000001</v>
      </c>
      <c r="U195" s="13">
        <f>IFERROR(T195/T446, "NA")</f>
        <v>0.003010134297</v>
      </c>
      <c r="V195" s="14"/>
      <c r="W195" s="15">
        <f t="shared" si="55"/>
        <v>1805.96</v>
      </c>
      <c r="X195" s="13">
        <f>IFERROR(W195/W446, "NA")</f>
        <v>-0.009419661418</v>
      </c>
      <c r="Y195" s="14"/>
      <c r="Z195" s="12">
        <v>10572.45</v>
      </c>
      <c r="AA195" s="13">
        <f>IFERROR(Z195/Z446, "NA")</f>
        <v>0.002287969538</v>
      </c>
      <c r="AB195" s="14"/>
      <c r="AC195" s="15">
        <f t="shared" si="56"/>
        <v>-2644.47</v>
      </c>
      <c r="AD195" s="13">
        <f>IFERROR(AC195/AC446, "NA")</f>
        <v>-0.01484344742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136004.8</v>
      </c>
      <c r="C196" s="18">
        <f>IFERROR(B196/B446, "NA")</f>
        <v>0.2757927205</v>
      </c>
      <c r="D196" s="8"/>
      <c r="E196" s="17">
        <f>IFERROR(E175+E177+E178+E179+E180+E181+E183+E184+E186+E187+E188+E189+E190+E191+E192+E194+E195, "NA")</f>
        <v>155394.34</v>
      </c>
      <c r="F196" s="18">
        <f>IFERROR(E196/E446, "NA")</f>
        <v>0.2771957189</v>
      </c>
      <c r="G196" s="8"/>
      <c r="H196" s="17">
        <f t="shared" si="53"/>
        <v>19389.54</v>
      </c>
      <c r="I196" s="18">
        <f>IFERROR(H196/H446, "NA")</f>
        <v>-0.2874528949</v>
      </c>
      <c r="J196" s="8"/>
      <c r="K196" s="17">
        <f>IFERROR(K175+K177+K178+K179+K180+K181+K183+K184+K186+K187+K188+K189+K190+K191+K192+K194+K195, "NA")</f>
        <v>155630.93</v>
      </c>
      <c r="L196" s="18">
        <f>IFERROR(K196/K446, "NA")</f>
        <v>0.3020716033</v>
      </c>
      <c r="M196" s="8"/>
      <c r="N196" s="17">
        <f t="shared" si="54"/>
        <v>19626.13</v>
      </c>
      <c r="O196" s="18">
        <f>IFERROR(N196/N446, "NA")</f>
        <v>-0.8892399328</v>
      </c>
      <c r="P196" s="8"/>
      <c r="Q196" s="17">
        <f>IFERROR(Q175+Q177+Q178+Q179+Q180+Q181+Q183+Q184+Q186+Q187+Q188+Q189+Q190+Q191+Q192+Q194+Q195, "NA")</f>
        <v>1249685.52</v>
      </c>
      <c r="R196" s="18">
        <f>IFERROR(Q196/Q446, "NA")</f>
        <v>0.260402961</v>
      </c>
      <c r="S196" s="8"/>
      <c r="T196" s="17">
        <f>IFERROR(T175+T177+T178+T179+T180+T181+T183+T184+T186+T187+T188+T189+T190+T191+T192+T194+T195, "NA")</f>
        <v>1352602.49</v>
      </c>
      <c r="U196" s="18">
        <f>IFERROR(T196/T446, "NA")</f>
        <v>0.2710209458</v>
      </c>
      <c r="V196" s="8"/>
      <c r="W196" s="17">
        <f t="shared" si="55"/>
        <v>102916.97</v>
      </c>
      <c r="X196" s="18">
        <f>IFERROR(W196/W446, "NA")</f>
        <v>-0.5368020397</v>
      </c>
      <c r="Y196" s="8"/>
      <c r="Z196" s="17">
        <f>IFERROR(Z175+Z177+Z178+Z179+Z180+Z181+Z183+Z184+Z186+Z187+Z188+Z189+Z190+Z191+Z192+Z194+Z195, "NA")</f>
        <v>1303535.79</v>
      </c>
      <c r="AA196" s="18">
        <f>IFERROR(Z196/Z446, "NA")</f>
        <v>0.282096409</v>
      </c>
      <c r="AB196" s="8"/>
      <c r="AC196" s="17">
        <f t="shared" si="56"/>
        <v>53850.27</v>
      </c>
      <c r="AD196" s="18">
        <f>IFERROR(AC196/AC446, "NA")</f>
        <v>0.3022623253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136004.8</v>
      </c>
      <c r="C197" s="18">
        <f>IFERROR(B197/B446, "NA")</f>
        <v>0.2757927205</v>
      </c>
      <c r="D197" s="8"/>
      <c r="E197" s="17">
        <f>IFERROR(E175+E177+E178+E179+E180+E181+E183+E184+E186+E187+E188+E189+E190+E191+E192+E194+E195, "NA")</f>
        <v>155394.34</v>
      </c>
      <c r="F197" s="18">
        <f>IFERROR(E197/E446, "NA")</f>
        <v>0.2771957189</v>
      </c>
      <c r="G197" s="8"/>
      <c r="H197" s="17">
        <f t="shared" si="53"/>
        <v>19389.54</v>
      </c>
      <c r="I197" s="18">
        <f>IFERROR(H197/H446, "NA")</f>
        <v>-0.2874528949</v>
      </c>
      <c r="J197" s="8"/>
      <c r="K197" s="17">
        <f>IFERROR(K175+K177+K178+K179+K180+K181+K183+K184+K186+K187+K188+K189+K190+K191+K192+K194+K195, "NA")</f>
        <v>155630.93</v>
      </c>
      <c r="L197" s="18">
        <f>IFERROR(K197/K446, "NA")</f>
        <v>0.3020716033</v>
      </c>
      <c r="M197" s="8"/>
      <c r="N197" s="17">
        <f t="shared" si="54"/>
        <v>19626.13</v>
      </c>
      <c r="O197" s="18">
        <f>IFERROR(N197/N446, "NA")</f>
        <v>-0.8892399328</v>
      </c>
      <c r="P197" s="8"/>
      <c r="Q197" s="17">
        <f>IFERROR(Q175+Q177+Q178+Q179+Q180+Q181+Q183+Q184+Q186+Q187+Q188+Q189+Q190+Q191+Q192+Q194+Q195, "NA")</f>
        <v>1249685.52</v>
      </c>
      <c r="R197" s="18">
        <f>IFERROR(Q197/Q446, "NA")</f>
        <v>0.260402961</v>
      </c>
      <c r="S197" s="8"/>
      <c r="T197" s="17">
        <f>IFERROR(T175+T177+T178+T179+T180+T181+T183+T184+T186+T187+T188+T189+T190+T191+T192+T194+T195, "NA")</f>
        <v>1352602.49</v>
      </c>
      <c r="U197" s="18">
        <f>IFERROR(T197/T446, "NA")</f>
        <v>0.2710209458</v>
      </c>
      <c r="V197" s="8"/>
      <c r="W197" s="17">
        <f t="shared" si="55"/>
        <v>102916.97</v>
      </c>
      <c r="X197" s="18">
        <f>IFERROR(W197/W446, "NA")</f>
        <v>-0.5368020397</v>
      </c>
      <c r="Y197" s="8"/>
      <c r="Z197" s="17">
        <f>IFERROR(Z175+Z177+Z178+Z179+Z180+Z181+Z183+Z184+Z186+Z187+Z188+Z189+Z190+Z191+Z192+Z194+Z195, "NA")</f>
        <v>1303535.79</v>
      </c>
      <c r="AA197" s="18">
        <f>IFERROR(Z197/Z446, "NA")</f>
        <v>0.282096409</v>
      </c>
      <c r="AB197" s="8"/>
      <c r="AC197" s="17">
        <f t="shared" si="56"/>
        <v>53850.27</v>
      </c>
      <c r="AD197" s="18">
        <f>IFERROR(AC197/AC446, "NA")</f>
        <v>0.3022623253</v>
      </c>
    </row>
    <row r="198" ht="16.5" customHeight="1">
      <c r="A198" s="19" t="s">
        <v>184</v>
      </c>
      <c r="B198" s="20">
        <f>IFERROR(B172-B197, "NA")</f>
        <v>231945.98</v>
      </c>
      <c r="C198" s="21">
        <f>IFERROR(B198/B446, "NA")</f>
        <v>0.470343788</v>
      </c>
      <c r="D198" s="22"/>
      <c r="E198" s="20">
        <f>IFERROR(E172-E197, "NA")</f>
        <v>258305.22</v>
      </c>
      <c r="F198" s="21">
        <f>IFERROR(E198/E446, "NA")</f>
        <v>0.4607703289</v>
      </c>
      <c r="G198" s="22"/>
      <c r="H198" s="20">
        <f>IFERROR(B198-E198, "NA")</f>
        <v>-26359.24</v>
      </c>
      <c r="I198" s="21">
        <f>IFERROR(H198/H446, "NA")</f>
        <v>0.390779763</v>
      </c>
      <c r="J198" s="22"/>
      <c r="K198" s="20">
        <f>IFERROR(K172-K197, "NA")</f>
        <v>213893.03</v>
      </c>
      <c r="L198" s="21">
        <f>IFERROR(K198/K446, "NA")</f>
        <v>0.4151553326</v>
      </c>
      <c r="M198" s="22"/>
      <c r="N198" s="20">
        <f>IFERROR(B198-K198, "NA")</f>
        <v>18052.95</v>
      </c>
      <c r="O198" s="21">
        <f>IFERROR(N198/N446, "NA")</f>
        <v>-0.8179607515</v>
      </c>
      <c r="P198" s="22"/>
      <c r="Q198" s="20">
        <f>IFERROR(Q172-Q197, "NA")</f>
        <v>2260999.33</v>
      </c>
      <c r="R198" s="21">
        <f>IFERROR(Q198/Q446, "NA")</f>
        <v>0.4711352663</v>
      </c>
      <c r="S198" s="22"/>
      <c r="T198" s="20">
        <f>IFERROR(T172-T197, "NA")</f>
        <v>2325482.78</v>
      </c>
      <c r="U198" s="21">
        <f>IFERROR(T198/T446, "NA")</f>
        <v>0.4659569586</v>
      </c>
      <c r="V198" s="22"/>
      <c r="W198" s="20">
        <f>IFERROR(Q198-T198, "NA")</f>
        <v>-64483.45</v>
      </c>
      <c r="X198" s="21">
        <f>IFERROR(W198/W446, "NA")</f>
        <v>0.3363376077</v>
      </c>
      <c r="Y198" s="22"/>
      <c r="Z198" s="20">
        <f>IFERROR(Z172-Z197, "NA")</f>
        <v>2001986.45</v>
      </c>
      <c r="AA198" s="21">
        <f>IFERROR(Z198/Z446, "NA")</f>
        <v>0.4332471673</v>
      </c>
      <c r="AB198" s="22"/>
      <c r="AC198" s="20">
        <f>IFERROR(Q198-Z198, "NA")</f>
        <v>259012.88</v>
      </c>
      <c r="AD198" s="21">
        <f>IFERROR(AC198/AC446, "NA")</f>
        <v>1.45384295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>
        <f>IFERROR(B201/B446, "NA")</f>
        <v>0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4573.639999999999</v>
      </c>
      <c r="C202" s="13">
        <f>IFERROR(B202/B446, "NA")</f>
        <v>0.009274500738</v>
      </c>
      <c r="D202" s="14"/>
      <c r="E202" s="12">
        <v>5164.25</v>
      </c>
      <c r="F202" s="13">
        <f>IFERROR(E202/E446, "NA")</f>
        <v>0.00921209866</v>
      </c>
      <c r="G202" s="14"/>
      <c r="H202" s="15">
        <f t="shared" si="57"/>
        <v>590.61</v>
      </c>
      <c r="I202" s="13">
        <f>IFERROR(H202/H446, "NA")</f>
        <v>-0.008755883547</v>
      </c>
      <c r="J202" s="14"/>
      <c r="K202" s="12">
        <v>5358.12</v>
      </c>
      <c r="L202" s="13">
        <f>IFERROR(K202/K446, "NA")</f>
        <v>0.0103998344</v>
      </c>
      <c r="M202" s="14"/>
      <c r="N202" s="15">
        <f t="shared" si="58"/>
        <v>784.48</v>
      </c>
      <c r="O202" s="13">
        <f>IFERROR(N202/N446, "NA")</f>
        <v>-0.03554398868</v>
      </c>
      <c r="P202" s="14"/>
      <c r="Q202" s="12">
        <v>44920.909999999996</v>
      </c>
      <c r="R202" s="13">
        <f>IFERROR(Q202/Q446, "NA")</f>
        <v>0.009360385302</v>
      </c>
      <c r="S202" s="14"/>
      <c r="T202" s="12">
        <v>46130.37</v>
      </c>
      <c r="U202" s="13">
        <f>IFERROR(T202/T446, "NA")</f>
        <v>0.00924314172</v>
      </c>
      <c r="V202" s="14"/>
      <c r="W202" s="15">
        <f t="shared" si="59"/>
        <v>1209.46</v>
      </c>
      <c r="X202" s="13">
        <f>IFERROR(W202/W446, "NA")</f>
        <v>-0.006308392045</v>
      </c>
      <c r="Y202" s="14"/>
      <c r="Z202" s="12">
        <v>47077.159999999996</v>
      </c>
      <c r="AA202" s="13">
        <f>IFERROR(Z202/Z446, "NA")</f>
        <v>0.01018790423</v>
      </c>
      <c r="AB202" s="14"/>
      <c r="AC202" s="15">
        <f t="shared" si="60"/>
        <v>2156.25</v>
      </c>
      <c r="AD202" s="13">
        <f>IFERROR(AC202/AC446, "NA")</f>
        <v>0.01210306167</v>
      </c>
    </row>
    <row r="203" ht="16.5" customHeight="1">
      <c r="A203" s="11" t="s">
        <v>188</v>
      </c>
      <c r="B203" s="12">
        <v>2395.97</v>
      </c>
      <c r="C203" s="13">
        <f>IFERROR(B203/B446, "NA")</f>
        <v>0.004858586494</v>
      </c>
      <c r="D203" s="14"/>
      <c r="E203" s="12">
        <v>3714.2799999999997</v>
      </c>
      <c r="F203" s="13">
        <f>IFERROR(E203/E446, "NA")</f>
        <v>0.006625611427</v>
      </c>
      <c r="G203" s="14"/>
      <c r="H203" s="15">
        <f t="shared" si="57"/>
        <v>1318.31</v>
      </c>
      <c r="I203" s="13">
        <f>IFERROR(H203/H446, "NA")</f>
        <v>-0.0195441473</v>
      </c>
      <c r="J203" s="14"/>
      <c r="K203" s="12">
        <v>4025.9199999999996</v>
      </c>
      <c r="L203" s="13">
        <f>IFERROR(K203/K446, "NA")</f>
        <v>0.00781410295</v>
      </c>
      <c r="M203" s="14"/>
      <c r="N203" s="15">
        <f t="shared" si="58"/>
        <v>1629.95</v>
      </c>
      <c r="O203" s="13">
        <f>IFERROR(N203/N446, "NA")</f>
        <v>-0.07385137205</v>
      </c>
      <c r="P203" s="14"/>
      <c r="Q203" s="12">
        <v>31373.17</v>
      </c>
      <c r="R203" s="13">
        <f>IFERROR(Q203/Q446, "NA")</f>
        <v>0.00653737779</v>
      </c>
      <c r="S203" s="14"/>
      <c r="T203" s="12">
        <v>33082.0</v>
      </c>
      <c r="U203" s="13">
        <f>IFERROR(T203/T446, "NA")</f>
        <v>0.006628639969</v>
      </c>
      <c r="V203" s="14"/>
      <c r="W203" s="15">
        <f t="shared" si="59"/>
        <v>1708.83</v>
      </c>
      <c r="X203" s="13">
        <f>IFERROR(W203/W446, "NA")</f>
        <v>-0.00891304349</v>
      </c>
      <c r="Y203" s="14"/>
      <c r="Z203" s="12">
        <v>39696.55</v>
      </c>
      <c r="AA203" s="13">
        <f>IFERROR(Z203/Z446, "NA")</f>
        <v>0.008590676444</v>
      </c>
      <c r="AB203" s="14"/>
      <c r="AC203" s="15">
        <f t="shared" si="60"/>
        <v>8323.38</v>
      </c>
      <c r="AD203" s="13">
        <f>IFERROR(AC203/AC446, "NA")</f>
        <v>0.04671924938</v>
      </c>
    </row>
    <row r="204" ht="16.5" customHeight="1">
      <c r="A204" s="11" t="s">
        <v>189</v>
      </c>
      <c r="B204" s="12">
        <v>275.6</v>
      </c>
      <c r="C204" s="13">
        <f>IFERROR(B204/B446, "NA")</f>
        <v>0.0005588661118</v>
      </c>
      <c r="D204" s="14"/>
      <c r="E204" s="12">
        <v>1121.19</v>
      </c>
      <c r="F204" s="13">
        <f>IFERROR(E204/E446, "NA")</f>
        <v>0.002000002497</v>
      </c>
      <c r="G204" s="14"/>
      <c r="H204" s="15">
        <f t="shared" si="57"/>
        <v>845.59</v>
      </c>
      <c r="I204" s="13">
        <f>IFERROR(H204/H446, "NA")</f>
        <v>-0.01253600103</v>
      </c>
      <c r="J204" s="14"/>
      <c r="K204" s="12">
        <v>1953.44</v>
      </c>
      <c r="L204" s="13">
        <f>IFERROR(K204/K446, "NA")</f>
        <v>0.003791526227</v>
      </c>
      <c r="M204" s="14"/>
      <c r="N204" s="15">
        <f t="shared" si="58"/>
        <v>1677.84</v>
      </c>
      <c r="O204" s="13">
        <f>IFERROR(N204/N446, "NA")</f>
        <v>-0.0760212191</v>
      </c>
      <c r="P204" s="14"/>
      <c r="Q204" s="12">
        <v>5956.82</v>
      </c>
      <c r="R204" s="13">
        <f>IFERROR(Q204/Q446, "NA")</f>
        <v>0.001241251132</v>
      </c>
      <c r="S204" s="14"/>
      <c r="T204" s="12">
        <v>9981.58</v>
      </c>
      <c r="U204" s="13">
        <f>IFERROR(T204/T446, "NA")</f>
        <v>0.002000009073</v>
      </c>
      <c r="V204" s="14"/>
      <c r="W204" s="15">
        <f t="shared" si="59"/>
        <v>4024.76</v>
      </c>
      <c r="X204" s="13">
        <f>IFERROR(W204/W446, "NA")</f>
        <v>-0.02099264463</v>
      </c>
      <c r="Y204" s="14"/>
      <c r="Z204" s="12">
        <v>9310.539999999999</v>
      </c>
      <c r="AA204" s="13">
        <f>IFERROR(Z204/Z446, "NA")</f>
        <v>0.00201488131</v>
      </c>
      <c r="AB204" s="14"/>
      <c r="AC204" s="15">
        <f t="shared" si="60"/>
        <v>3353.72</v>
      </c>
      <c r="AD204" s="13">
        <f>IFERROR(AC204/AC446, "NA")</f>
        <v>0.01882447768</v>
      </c>
    </row>
    <row r="205" ht="16.5" customHeight="1">
      <c r="A205" s="11" t="s">
        <v>190</v>
      </c>
      <c r="B205" s="12">
        <v>1702.24</v>
      </c>
      <c r="C205" s="13">
        <f>IFERROR(B205/B446, "NA")</f>
        <v>0.003451829645</v>
      </c>
      <c r="D205" s="14"/>
      <c r="E205" s="12">
        <v>1681.78</v>
      </c>
      <c r="F205" s="13">
        <f>IFERROR(E205/E446, "NA")</f>
        <v>0.002999994827</v>
      </c>
      <c r="G205" s="14"/>
      <c r="H205" s="15">
        <f t="shared" si="57"/>
        <v>-20.46</v>
      </c>
      <c r="I205" s="13">
        <f>IFERROR(H205/H446, "NA")</f>
        <v>0.0003033226281</v>
      </c>
      <c r="J205" s="14"/>
      <c r="K205" s="12">
        <v>1585.73</v>
      </c>
      <c r="L205" s="13">
        <f>IFERROR(K205/K446, "NA")</f>
        <v>0.003077820094</v>
      </c>
      <c r="M205" s="14"/>
      <c r="N205" s="15">
        <f t="shared" si="58"/>
        <v>-116.51</v>
      </c>
      <c r="O205" s="13">
        <f>IFERROR(N205/N446, "NA")</f>
        <v>0.005278949267</v>
      </c>
      <c r="P205" s="14"/>
      <c r="Q205" s="12">
        <v>15188.430000000002</v>
      </c>
      <c r="R205" s="13">
        <f>IFERROR(Q205/Q446, "NA")</f>
        <v>0.00316488595</v>
      </c>
      <c r="S205" s="14"/>
      <c r="T205" s="12">
        <v>14972.28</v>
      </c>
      <c r="U205" s="13">
        <f>IFERROR(T205/T446, "NA")</f>
        <v>0.002999995576</v>
      </c>
      <c r="V205" s="14"/>
      <c r="W205" s="15">
        <f t="shared" si="59"/>
        <v>-216.15</v>
      </c>
      <c r="X205" s="13">
        <f>IFERROR(W205/W446, "NA")</f>
        <v>0.001127411358</v>
      </c>
      <c r="Y205" s="14"/>
      <c r="Z205" s="12">
        <v>16391.36</v>
      </c>
      <c r="AA205" s="13">
        <f>IFERROR(Z205/Z446, "NA")</f>
        <v>0.003547231944</v>
      </c>
      <c r="AB205" s="14"/>
      <c r="AC205" s="15">
        <f t="shared" si="60"/>
        <v>1202.93</v>
      </c>
      <c r="AD205" s="13">
        <f>IFERROR(AC205/AC446, "NA")</f>
        <v>0.006752063063</v>
      </c>
    </row>
    <row r="206" ht="16.5" customHeight="1">
      <c r="A206" s="11" t="s">
        <v>191</v>
      </c>
      <c r="B206" s="12">
        <v>89.46</v>
      </c>
      <c r="C206" s="13">
        <f>IFERROR(B206/B446, "NA")</f>
        <v>0.0001814084266</v>
      </c>
      <c r="D206" s="14"/>
      <c r="E206" s="12">
        <v>560.5899999999999</v>
      </c>
      <c r="F206" s="13">
        <f>IFERROR(E206/E446, "NA")</f>
        <v>0.0009999923296</v>
      </c>
      <c r="G206" s="14"/>
      <c r="H206" s="15">
        <f t="shared" si="57"/>
        <v>471.13</v>
      </c>
      <c r="I206" s="13">
        <f>IFERROR(H206/H446, "NA")</f>
        <v>-0.00698457428</v>
      </c>
      <c r="J206" s="14"/>
      <c r="K206" s="12">
        <v>128.17</v>
      </c>
      <c r="L206" s="13">
        <f>IFERROR(K206/K446, "NA")</f>
        <v>0.0002487713554</v>
      </c>
      <c r="M206" s="14"/>
      <c r="N206" s="15">
        <f t="shared" si="58"/>
        <v>38.71</v>
      </c>
      <c r="O206" s="13">
        <f>IFERROR(N206/N446, "NA")</f>
        <v>-0.001753910618</v>
      </c>
      <c r="P206" s="14"/>
      <c r="Q206" s="12">
        <v>2273.84</v>
      </c>
      <c r="R206" s="13">
        <f>IFERROR(Q206/Q446, "NA")</f>
        <v>0.0004738109383</v>
      </c>
      <c r="S206" s="14"/>
      <c r="T206" s="12">
        <v>4990.75</v>
      </c>
      <c r="U206" s="13">
        <f>IFERROR(T206/T446, "NA")</f>
        <v>0.0009999965216</v>
      </c>
      <c r="V206" s="14"/>
      <c r="W206" s="15">
        <f t="shared" si="59"/>
        <v>2716.91</v>
      </c>
      <c r="X206" s="13">
        <f>IFERROR(W206/W446, "NA")</f>
        <v>-0.01417106265</v>
      </c>
      <c r="Y206" s="14"/>
      <c r="Z206" s="12">
        <v>4632.29</v>
      </c>
      <c r="AA206" s="13">
        <f>IFERROR(Z206/Z446, "NA")</f>
        <v>0.001002467584</v>
      </c>
      <c r="AB206" s="14"/>
      <c r="AC206" s="15">
        <f t="shared" si="60"/>
        <v>2358.45</v>
      </c>
      <c r="AD206" s="13">
        <f>IFERROR(AC206/AC446, "NA")</f>
        <v>0.01323801313</v>
      </c>
    </row>
    <row r="207" ht="16.5" customHeight="1">
      <c r="A207" s="11" t="s">
        <v>192</v>
      </c>
      <c r="B207" s="12">
        <v>0.0</v>
      </c>
      <c r="C207" s="13">
        <f>IFERROR(B207/B446, "NA")</f>
        <v>0</v>
      </c>
      <c r="D207" s="14"/>
      <c r="E207" s="12">
        <v>500.0</v>
      </c>
      <c r="F207" s="13">
        <f>IFERROR(E207/E446, "NA")</f>
        <v>0.0008919106027</v>
      </c>
      <c r="G207" s="14"/>
      <c r="H207" s="15">
        <f t="shared" si="57"/>
        <v>500</v>
      </c>
      <c r="I207" s="13">
        <f>IFERROR(H207/H446, "NA")</f>
        <v>-0.007412576444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2406.0499999999997</v>
      </c>
      <c r="R207" s="13">
        <f>IFERROR(Q207/Q446, "NA")</f>
        <v>0.0005013601696</v>
      </c>
      <c r="S207" s="14"/>
      <c r="T207" s="12">
        <v>4000.0</v>
      </c>
      <c r="U207" s="13">
        <f>IFERROR(T207/T446, "NA")</f>
        <v>0.0008014799552</v>
      </c>
      <c r="V207" s="14"/>
      <c r="W207" s="15">
        <f t="shared" si="59"/>
        <v>1593.95</v>
      </c>
      <c r="X207" s="13">
        <f>IFERROR(W207/W446, "NA")</f>
        <v>-0.008313843782</v>
      </c>
      <c r="Y207" s="14"/>
      <c r="Z207" s="12">
        <v>3814.8900000000003</v>
      </c>
      <c r="AA207" s="13">
        <f>IFERROR(Z207/Z446, "NA")</f>
        <v>0.0008255751611</v>
      </c>
      <c r="AB207" s="14"/>
      <c r="AC207" s="15">
        <f t="shared" si="60"/>
        <v>1408.84</v>
      </c>
      <c r="AD207" s="13">
        <f>IFERROR(AC207/AC446, "NA")</f>
        <v>0.007907838799</v>
      </c>
    </row>
    <row r="208" ht="16.5" customHeight="1">
      <c r="A208" s="11" t="s">
        <v>193</v>
      </c>
      <c r="B208" s="12">
        <v>313.27</v>
      </c>
      <c r="C208" s="13">
        <f>IFERROR(B208/B446, "NA")</f>
        <v>0.0006352539435</v>
      </c>
      <c r="D208" s="14"/>
      <c r="E208" s="12">
        <v>500.0</v>
      </c>
      <c r="F208" s="13">
        <f>IFERROR(E208/E446, "NA")</f>
        <v>0.0008919106027</v>
      </c>
      <c r="G208" s="14"/>
      <c r="H208" s="15">
        <f t="shared" si="57"/>
        <v>186.73</v>
      </c>
      <c r="I208" s="13">
        <f>IFERROR(H208/H446, "NA")</f>
        <v>-0.002768300799</v>
      </c>
      <c r="J208" s="14"/>
      <c r="K208" s="12">
        <v>1119.1799999999998</v>
      </c>
      <c r="L208" s="13">
        <f>IFERROR(K208/K446, "NA")</f>
        <v>0.002172270621</v>
      </c>
      <c r="M208" s="14"/>
      <c r="N208" s="15">
        <f t="shared" si="58"/>
        <v>805.91</v>
      </c>
      <c r="O208" s="13">
        <f>IFERROR(N208/N446, "NA")</f>
        <v>-0.03651496012</v>
      </c>
      <c r="P208" s="14"/>
      <c r="Q208" s="12">
        <v>3780.64</v>
      </c>
      <c r="R208" s="13">
        <f>IFERROR(Q208/Q446, "NA")</f>
        <v>0.0007877900757</v>
      </c>
      <c r="S208" s="14"/>
      <c r="T208" s="12">
        <v>4000.0</v>
      </c>
      <c r="U208" s="13">
        <f>IFERROR(T208/T446, "NA")</f>
        <v>0.0008014799552</v>
      </c>
      <c r="V208" s="14"/>
      <c r="W208" s="15">
        <f t="shared" si="59"/>
        <v>219.36</v>
      </c>
      <c r="X208" s="13">
        <f>IFERROR(W208/W446, "NA")</f>
        <v>-0.001144154316</v>
      </c>
      <c r="Y208" s="14"/>
      <c r="Z208" s="12">
        <v>6641.76</v>
      </c>
      <c r="AA208" s="13">
        <f>IFERROR(Z208/Z446, "NA")</f>
        <v>0.001437334257</v>
      </c>
      <c r="AB208" s="14"/>
      <c r="AC208" s="15">
        <f t="shared" si="60"/>
        <v>2861.12</v>
      </c>
      <c r="AD208" s="13">
        <f>IFERROR(AC208/AC446, "NA")</f>
        <v>0.01605950693</v>
      </c>
    </row>
    <row r="209" ht="16.5" customHeight="1">
      <c r="A209" s="16" t="s">
        <v>194</v>
      </c>
      <c r="B209" s="17">
        <f>IFERROR(B201+B202+B203+B204+B205+B206+B207+B208, "NA")</f>
        <v>9350.18</v>
      </c>
      <c r="C209" s="18">
        <f>IFERROR(B209/B446, "NA")</f>
        <v>0.01896044536</v>
      </c>
      <c r="D209" s="8"/>
      <c r="E209" s="17">
        <f>IFERROR(E201+E202+E203+E204+E205+E206+E207+E208, "NA")</f>
        <v>13242.09</v>
      </c>
      <c r="F209" s="18">
        <f>IFERROR(E209/E446, "NA")</f>
        <v>0.02362152095</v>
      </c>
      <c r="G209" s="8"/>
      <c r="H209" s="17">
        <f t="shared" si="57"/>
        <v>3891.91</v>
      </c>
      <c r="I209" s="18">
        <f>IFERROR(H209/H446, "NA")</f>
        <v>-0.05769816078</v>
      </c>
      <c r="J209" s="8"/>
      <c r="K209" s="17">
        <f>IFERROR(K201+K202+K203+K204+K205+K206+K207+K208, "NA")</f>
        <v>14170.56</v>
      </c>
      <c r="L209" s="18">
        <f>IFERROR(K209/K446, "NA")</f>
        <v>0.02750432565</v>
      </c>
      <c r="M209" s="8"/>
      <c r="N209" s="17">
        <f t="shared" si="58"/>
        <v>4820.38</v>
      </c>
      <c r="O209" s="18">
        <f>IFERROR(N209/N446, "NA")</f>
        <v>-0.2184065013</v>
      </c>
      <c r="P209" s="8"/>
      <c r="Q209" s="17">
        <f>IFERROR(Q201+Q202+Q203+Q204+Q205+Q206+Q207+Q208, "NA")</f>
        <v>105899.86</v>
      </c>
      <c r="R209" s="18">
        <f>IFERROR(Q209/Q446, "NA")</f>
        <v>0.02206686136</v>
      </c>
      <c r="S209" s="8"/>
      <c r="T209" s="17">
        <f>IFERROR(T201+T202+T203+T204+T205+T206+T207+T208, "NA")</f>
        <v>117156.98</v>
      </c>
      <c r="U209" s="18">
        <f>IFERROR(T209/T446, "NA")</f>
        <v>0.02347474277</v>
      </c>
      <c r="V209" s="8"/>
      <c r="W209" s="17">
        <f t="shared" si="59"/>
        <v>11257.12</v>
      </c>
      <c r="X209" s="18">
        <f>IFERROR(W209/W446, "NA")</f>
        <v>-0.05871572955</v>
      </c>
      <c r="Y209" s="8"/>
      <c r="Z209" s="17">
        <f>IFERROR(Z201+Z202+Z203+Z204+Z205+Z206+Z207+Z208, "NA")</f>
        <v>127564.55</v>
      </c>
      <c r="AA209" s="18">
        <f>IFERROR(Z209/Z446, "NA")</f>
        <v>0.02760607093</v>
      </c>
      <c r="AB209" s="8"/>
      <c r="AC209" s="17">
        <f t="shared" si="60"/>
        <v>21664.69</v>
      </c>
      <c r="AD209" s="18">
        <f>IFERROR(AC209/AC446, "NA")</f>
        <v>0.1216042107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>
        <f>IFERROR(B211/B446, "NA")</f>
        <v>0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>
        <f>IFERROR(B213/B446, "NA")</f>
        <v>0</v>
      </c>
      <c r="D213" s="14"/>
      <c r="E213" s="12">
        <v>18969.530000000002</v>
      </c>
      <c r="F213" s="13">
        <f>IFERROR(E213/E446, "NA")</f>
        <v>0.03383824987</v>
      </c>
      <c r="G213" s="14"/>
      <c r="H213" s="15">
        <f t="shared" ref="H213:H227" si="61">IFERROR(-(B213-E213), "NA")</f>
        <v>18969.53</v>
      </c>
      <c r="I213" s="13">
        <f>IFERROR(H213/H446, "NA")</f>
        <v>-0.2812261825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168142.86000000002</v>
      </c>
      <c r="U213" s="13">
        <f>IFERROR(T213/T446, "NA")</f>
        <v>0.03369078297</v>
      </c>
      <c r="V213" s="14"/>
      <c r="W213" s="15">
        <f t="shared" ref="W213:W227" si="63">IFERROR(-(Q213-T213), "NA")</f>
        <v>168142.86</v>
      </c>
      <c r="X213" s="13">
        <f>IFERROR(W213/W446, "NA")</f>
        <v>-0.8770121215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8663.2</v>
      </c>
      <c r="C214" s="13">
        <f>IFERROR(B214/B446, "NA")</f>
        <v>0.01756737627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-8663.2</v>
      </c>
      <c r="I214" s="13">
        <f>IFERROR(H214/H446, "NA")</f>
        <v>0.1284332645</v>
      </c>
      <c r="J214" s="14"/>
      <c r="K214" s="12">
        <v>2713.87</v>
      </c>
      <c r="L214" s="13">
        <f>IFERROR(K214/K446, "NA")</f>
        <v>0.005267481613</v>
      </c>
      <c r="M214" s="14"/>
      <c r="N214" s="15">
        <f t="shared" si="62"/>
        <v>-5949.33</v>
      </c>
      <c r="O214" s="13">
        <f>IFERROR(N214/N446, "NA")</f>
        <v>0.2695580743</v>
      </c>
      <c r="P214" s="14"/>
      <c r="Q214" s="12">
        <v>56026.67</v>
      </c>
      <c r="R214" s="13">
        <f>IFERROR(Q214/Q446, "NA")</f>
        <v>0.01167454574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-56026.67</v>
      </c>
      <c r="X214" s="13">
        <f>IFERROR(W214/W446, "NA")</f>
        <v>0.2922281013</v>
      </c>
      <c r="Y214" s="14"/>
      <c r="Z214" s="12">
        <v>91212.22</v>
      </c>
      <c r="AA214" s="13">
        <f>IFERROR(Z214/Z446, "NA")</f>
        <v>0.01973911259</v>
      </c>
      <c r="AB214" s="14"/>
      <c r="AC214" s="15">
        <f t="shared" si="64"/>
        <v>35185.55</v>
      </c>
      <c r="AD214" s="13">
        <f>IFERROR(AC214/AC446, "NA")</f>
        <v>0.1974969886</v>
      </c>
    </row>
    <row r="215" ht="16.5" customHeight="1">
      <c r="A215" s="11" t="s">
        <v>198</v>
      </c>
      <c r="B215" s="12">
        <v>2199.6000000000004</v>
      </c>
      <c r="C215" s="13">
        <f>IFERROR(B215/B446, "NA")</f>
        <v>0.00446038425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-2199.6</v>
      </c>
      <c r="I215" s="13">
        <f>IFERROR(H215/H446, "NA")</f>
        <v>0.03260940629</v>
      </c>
      <c r="J215" s="14"/>
      <c r="K215" s="12">
        <v>1614.2900000000002</v>
      </c>
      <c r="L215" s="13">
        <f>IFERROR(K215/K446, "NA")</f>
        <v>0.00313325358</v>
      </c>
      <c r="M215" s="14"/>
      <c r="N215" s="15">
        <f t="shared" si="62"/>
        <v>-585.31</v>
      </c>
      <c r="O215" s="13">
        <f>IFERROR(N215/N446, "NA")</f>
        <v>0.02651979912</v>
      </c>
      <c r="P215" s="14"/>
      <c r="Q215" s="12">
        <v>20549.78</v>
      </c>
      <c r="R215" s="13">
        <f>IFERROR(Q215/Q446, "NA")</f>
        <v>0.004282056144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-20549.78</v>
      </c>
      <c r="X215" s="13">
        <f>IFERROR(W215/W446, "NA")</f>
        <v>0.1071850815</v>
      </c>
      <c r="Y215" s="14"/>
      <c r="Z215" s="12">
        <v>2325.08</v>
      </c>
      <c r="AA215" s="13">
        <f>IFERROR(Z215/Z446, "NA")</f>
        <v>0.0005031674034</v>
      </c>
      <c r="AB215" s="14"/>
      <c r="AC215" s="15">
        <f t="shared" si="64"/>
        <v>-18224.7</v>
      </c>
      <c r="AD215" s="13">
        <f>IFERROR(AC215/AC446, "NA")</f>
        <v>-0.1022954983</v>
      </c>
    </row>
    <row r="216" ht="16.5" customHeight="1">
      <c r="A216" s="11" t="s">
        <v>199</v>
      </c>
      <c r="B216" s="12">
        <v>258.24</v>
      </c>
      <c r="C216" s="13">
        <f>IFERROR(B216/B446, "NA")</f>
        <v>0.0005236632246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-258.24</v>
      </c>
      <c r="I216" s="13">
        <f>IFERROR(H216/H446, "NA")</f>
        <v>0.003828447482</v>
      </c>
      <c r="J216" s="14"/>
      <c r="K216" s="12">
        <v>61.0</v>
      </c>
      <c r="L216" s="13">
        <f>IFERROR(K216/K446, "NA")</f>
        <v>0.0001183978519</v>
      </c>
      <c r="M216" s="14"/>
      <c r="N216" s="15">
        <f t="shared" si="62"/>
        <v>-197.24</v>
      </c>
      <c r="O216" s="13">
        <f>IFERROR(N216/N446, "NA")</f>
        <v>0.008936743227</v>
      </c>
      <c r="P216" s="14"/>
      <c r="Q216" s="12">
        <v>2066.49</v>
      </c>
      <c r="R216" s="13">
        <f>IFERROR(Q216/Q446, "NA")</f>
        <v>0.000430604425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-2066.49</v>
      </c>
      <c r="X216" s="13">
        <f>IFERROR(W216/W446, "NA")</f>
        <v>0.0107785533</v>
      </c>
      <c r="Y216" s="14"/>
      <c r="Z216" s="12">
        <v>744.22</v>
      </c>
      <c r="AA216" s="13">
        <f>IFERROR(Z216/Z446, "NA")</f>
        <v>0.0001610556389</v>
      </c>
      <c r="AB216" s="14"/>
      <c r="AC216" s="15">
        <f t="shared" si="64"/>
        <v>-1322.27</v>
      </c>
      <c r="AD216" s="13">
        <f>IFERROR(AC216/AC446, "NA")</f>
        <v>-0.007421920167</v>
      </c>
    </row>
    <row r="217" ht="16.5" customHeight="1">
      <c r="A217" s="11" t="s">
        <v>200</v>
      </c>
      <c r="B217" s="12">
        <v>9595.1</v>
      </c>
      <c r="C217" s="13">
        <f>IFERROR(B217/B446, "NA")</f>
        <v>0.01945709807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-9595.1</v>
      </c>
      <c r="I217" s="13">
        <f>IFERROR(H217/H446, "NA")</f>
        <v>0.1422488245</v>
      </c>
      <c r="J217" s="14"/>
      <c r="K217" s="12">
        <v>1969.4199999999998</v>
      </c>
      <c r="L217" s="13">
        <f>IFERROR(K217/K446, "NA")</f>
        <v>0.003822542582</v>
      </c>
      <c r="M217" s="14"/>
      <c r="N217" s="15">
        <f t="shared" si="62"/>
        <v>-7625.68</v>
      </c>
      <c r="O217" s="13">
        <f>IFERROR(N217/N446, "NA")</f>
        <v>0.3455117831</v>
      </c>
      <c r="P217" s="14"/>
      <c r="Q217" s="12">
        <v>118996.53000000001</v>
      </c>
      <c r="R217" s="13">
        <f>IFERROR(Q217/Q446, "NA")</f>
        <v>0.02479587725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-118996.53</v>
      </c>
      <c r="X217" s="13">
        <f>IFERROR(W217/W446, "NA")</f>
        <v>0.6206710129</v>
      </c>
      <c r="Y217" s="14"/>
      <c r="Z217" s="12">
        <v>89322.98000000001</v>
      </c>
      <c r="AA217" s="13">
        <f>IFERROR(Z217/Z446, "NA")</f>
        <v>0.01933026473</v>
      </c>
      <c r="AB217" s="14"/>
      <c r="AC217" s="15">
        <f t="shared" si="64"/>
        <v>-29673.55</v>
      </c>
      <c r="AD217" s="13">
        <f>IFERROR(AC217/AC446, "NA")</f>
        <v>-0.1665580548</v>
      </c>
    </row>
    <row r="218" ht="16.5" customHeight="1">
      <c r="A218" s="16" t="s">
        <v>201</v>
      </c>
      <c r="B218" s="17">
        <f>IFERROR(B213+B214+B215+B216+B217, "NA")</f>
        <v>20716.14</v>
      </c>
      <c r="C218" s="18">
        <f>IFERROR(B218/B446, "NA")</f>
        <v>0.04200852182</v>
      </c>
      <c r="D218" s="8"/>
      <c r="E218" s="17">
        <f>IFERROR(E213+E214+E215+E216+E217, "NA")</f>
        <v>18969.53</v>
      </c>
      <c r="F218" s="18">
        <f>IFERROR(E218/E446, "NA")</f>
        <v>0.03383824987</v>
      </c>
      <c r="G218" s="8"/>
      <c r="H218" s="17">
        <f t="shared" si="61"/>
        <v>-1746.61</v>
      </c>
      <c r="I218" s="18">
        <f>IFERROR(H218/H446, "NA")</f>
        <v>0.02589376029</v>
      </c>
      <c r="J218" s="8"/>
      <c r="K218" s="17">
        <f>IFERROR(K213+K214+K215+K216+K217, "NA")</f>
        <v>6358.58</v>
      </c>
      <c r="L218" s="18">
        <f>IFERROR(K218/K446, "NA")</f>
        <v>0.01234167563</v>
      </c>
      <c r="M218" s="8"/>
      <c r="N218" s="17">
        <f t="shared" si="62"/>
        <v>-14357.56</v>
      </c>
      <c r="O218" s="18">
        <f>IFERROR(N218/N446, "NA")</f>
        <v>0.6505263997</v>
      </c>
      <c r="P218" s="8"/>
      <c r="Q218" s="17">
        <f>IFERROR(Q213+Q214+Q215+Q216+Q217, "NA")</f>
        <v>197639.47</v>
      </c>
      <c r="R218" s="18">
        <f>IFERROR(Q218/Q446, "NA")</f>
        <v>0.04118308356</v>
      </c>
      <c r="S218" s="8"/>
      <c r="T218" s="17">
        <f>IFERROR(T213+T214+T215+T216+T217, "NA")</f>
        <v>168142.86</v>
      </c>
      <c r="U218" s="18">
        <f>IFERROR(T218/T446, "NA")</f>
        <v>0.03369078297</v>
      </c>
      <c r="V218" s="8"/>
      <c r="W218" s="17">
        <f t="shared" si="63"/>
        <v>-29496.61</v>
      </c>
      <c r="X218" s="18">
        <f>IFERROR(W218/W446, "NA")</f>
        <v>0.1538506275</v>
      </c>
      <c r="Y218" s="8"/>
      <c r="Z218" s="17">
        <f>IFERROR(Z213+Z214+Z215+Z216+Z217, "NA")</f>
        <v>183604.5</v>
      </c>
      <c r="AA218" s="18">
        <f>IFERROR(Z218/Z446, "NA")</f>
        <v>0.03973360036</v>
      </c>
      <c r="AB218" s="8"/>
      <c r="AC218" s="17">
        <f t="shared" si="64"/>
        <v>-14034.97</v>
      </c>
      <c r="AD218" s="18">
        <f>IFERROR(AC218/AC446, "NA")</f>
        <v>-0.07877848464</v>
      </c>
    </row>
    <row r="219" ht="16.5" hidden="1" customHeight="1">
      <c r="A219" s="11" t="s">
        <v>202</v>
      </c>
      <c r="B219" s="12">
        <v>0.0</v>
      </c>
      <c r="C219" s="13">
        <f>IFERROR(B219/B446, "NA")</f>
        <v>0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>
        <f>IFERROR(B220/B446, "NA")</f>
        <v>0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>
        <f>IFERROR(B221/B446, "NA")</f>
        <v>0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926.01</v>
      </c>
      <c r="C222" s="13">
        <f>IFERROR(B222/B446, "NA")</f>
        <v>0.001877777969</v>
      </c>
      <c r="D222" s="14"/>
      <c r="E222" s="12">
        <v>500.0</v>
      </c>
      <c r="F222" s="13">
        <f>IFERROR(E222/E446, "NA")</f>
        <v>0.0008919106027</v>
      </c>
      <c r="G222" s="14"/>
      <c r="H222" s="15">
        <f t="shared" si="61"/>
        <v>-426.01</v>
      </c>
      <c r="I222" s="13">
        <f>IFERROR(H222/H446, "NA")</f>
        <v>0.006315663382</v>
      </c>
      <c r="J222" s="14"/>
      <c r="K222" s="12">
        <v>300.0</v>
      </c>
      <c r="L222" s="13">
        <f>IFERROR(K222/K446, "NA")</f>
        <v>0.0005822845176</v>
      </c>
      <c r="M222" s="14"/>
      <c r="N222" s="15">
        <f t="shared" si="62"/>
        <v>-626.01</v>
      </c>
      <c r="O222" s="13">
        <f>IFERROR(N222/N446, "NA")</f>
        <v>0.02836387461</v>
      </c>
      <c r="P222" s="14"/>
      <c r="Q222" s="12">
        <v>9656.78</v>
      </c>
      <c r="R222" s="13">
        <f>IFERROR(Q222/Q446, "NA")</f>
        <v>0.002012229529</v>
      </c>
      <c r="S222" s="14"/>
      <c r="T222" s="12">
        <v>4000.0</v>
      </c>
      <c r="U222" s="13">
        <f>IFERROR(T222/T446, "NA")</f>
        <v>0.0008014799552</v>
      </c>
      <c r="V222" s="14"/>
      <c r="W222" s="15">
        <f t="shared" si="63"/>
        <v>-5656.78</v>
      </c>
      <c r="X222" s="13">
        <f>IFERROR(W222/W446, "NA")</f>
        <v>0.02950505676</v>
      </c>
      <c r="Y222" s="14"/>
      <c r="Z222" s="12">
        <v>7966.61</v>
      </c>
      <c r="AA222" s="13">
        <f>IFERROR(Z222/Z446, "NA")</f>
        <v>0.001724043245</v>
      </c>
      <c r="AB222" s="14"/>
      <c r="AC222" s="15">
        <f t="shared" si="64"/>
        <v>-1690.17</v>
      </c>
      <c r="AD222" s="13">
        <f>IFERROR(AC222/AC446, "NA")</f>
        <v>-0.009486948058</v>
      </c>
    </row>
    <row r="223" ht="16.5" hidden="1" customHeight="1">
      <c r="A223" s="11" t="s">
        <v>206</v>
      </c>
      <c r="B223" s="12">
        <v>0.0</v>
      </c>
      <c r="C223" s="13">
        <f>IFERROR(B223/B446, "NA")</f>
        <v>0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>
        <f>IFERROR(B224/B446, "NA")</f>
        <v>0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>
        <f>IFERROR(B225/B446, "NA")</f>
        <v>0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>
        <f>IFERROR(B226/B446, "NA")</f>
        <v>0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21642.15</v>
      </c>
      <c r="C227" s="18">
        <f>IFERROR(B227/B446, "NA")</f>
        <v>0.04388629978</v>
      </c>
      <c r="D227" s="8"/>
      <c r="E227" s="17">
        <f>IFERROR(E211+E213+E214+E215+E216+E217+E219+E220+E221+E222+E223+E224+E225+E226, "NA")</f>
        <v>19469.53</v>
      </c>
      <c r="F227" s="18">
        <f>IFERROR(E227/E446, "NA")</f>
        <v>0.03473016047</v>
      </c>
      <c r="G227" s="8"/>
      <c r="H227" s="17">
        <f t="shared" si="61"/>
        <v>-2172.62</v>
      </c>
      <c r="I227" s="18">
        <f>IFERROR(H227/H446, "NA")</f>
        <v>0.03220942367</v>
      </c>
      <c r="J227" s="8"/>
      <c r="K227" s="17">
        <f>IFERROR(K211+K213+K214+K215+K216+K217+K219+K220+K221+K222+K223+K224+K225+K226, "NA")</f>
        <v>6658.58</v>
      </c>
      <c r="L227" s="18">
        <f>IFERROR(K227/K446, "NA")</f>
        <v>0.01292396014</v>
      </c>
      <c r="M227" s="8"/>
      <c r="N227" s="17">
        <f t="shared" si="62"/>
        <v>-14983.57</v>
      </c>
      <c r="O227" s="18">
        <f>IFERROR(N227/N446, "NA")</f>
        <v>0.6788902743</v>
      </c>
      <c r="P227" s="8"/>
      <c r="Q227" s="17">
        <f>IFERROR(Q211+Q213+Q214+Q215+Q216+Q217+Q219+Q220+Q221+Q222+Q223+Q224+Q225+Q226, "NA")</f>
        <v>207296.25</v>
      </c>
      <c r="R227" s="18">
        <f>IFERROR(Q227/Q446, "NA")</f>
        <v>0.04319531309</v>
      </c>
      <c r="S227" s="8"/>
      <c r="T227" s="17">
        <f>IFERROR(T211+T213+T214+T215+T216+T217+T219+T220+T221+T222+T223+T224+T225+T226, "NA")</f>
        <v>172142.86</v>
      </c>
      <c r="U227" s="18">
        <f>IFERROR(T227/T446, "NA")</f>
        <v>0.03449226293</v>
      </c>
      <c r="V227" s="8"/>
      <c r="W227" s="17">
        <f t="shared" si="63"/>
        <v>-35153.39</v>
      </c>
      <c r="X227" s="18">
        <f>IFERROR(W227/W446, "NA")</f>
        <v>0.1833556842</v>
      </c>
      <c r="Y227" s="8"/>
      <c r="Z227" s="17">
        <f>IFERROR(Z211+Z213+Z214+Z215+Z216+Z217+Z219+Z220+Z221+Z222+Z223+Z224+Z225+Z226, "NA")</f>
        <v>191571.11</v>
      </c>
      <c r="AA227" s="18">
        <f>IFERROR(Z227/Z446, "NA")</f>
        <v>0.0414576436</v>
      </c>
      <c r="AB227" s="8"/>
      <c r="AC227" s="17">
        <f t="shared" si="64"/>
        <v>-15725.14</v>
      </c>
      <c r="AD227" s="18">
        <f>IFERROR(AC227/AC446, "NA")</f>
        <v>-0.0882654327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>
        <f>IFERROR(B229/B446, "NA")</f>
        <v>0</v>
      </c>
      <c r="D229" s="14"/>
      <c r="E229" s="12">
        <v>8618.689999999999</v>
      </c>
      <c r="F229" s="13">
        <f>IFERROR(E229/E446, "NA")</f>
        <v>0.01537420199</v>
      </c>
      <c r="G229" s="14"/>
      <c r="H229" s="15">
        <f t="shared" ref="H229:H236" si="65">IFERROR(-(B229-E229), "NA")</f>
        <v>8618.69</v>
      </c>
      <c r="I229" s="13">
        <f>IFERROR(H229/H446, "NA")</f>
        <v>-0.1277733969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76760.15000000001</v>
      </c>
      <c r="U229" s="13">
        <f>IFERROR(T229/T446, "NA")</f>
        <v>0.0153804304</v>
      </c>
      <c r="V229" s="14"/>
      <c r="W229" s="15">
        <f t="shared" ref="W229:W236" si="67">IFERROR(-(Q229-T229), "NA")</f>
        <v>76760.15</v>
      </c>
      <c r="X229" s="13">
        <f>IFERROR(W229/W446, "NA")</f>
        <v>-0.400371339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customHeight="1">
      <c r="A230" s="11" t="s">
        <v>212</v>
      </c>
      <c r="B230" s="12">
        <v>0.0</v>
      </c>
      <c r="C230" s="13">
        <f>IFERROR(B230/B446, "NA")</f>
        <v>0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83.95</v>
      </c>
      <c r="AA230" s="13">
        <f>IFERROR(Z230/Z446, "NA")</f>
        <v>0.00001816750543</v>
      </c>
      <c r="AB230" s="14"/>
      <c r="AC230" s="15">
        <f t="shared" si="68"/>
        <v>83.95</v>
      </c>
      <c r="AD230" s="13">
        <f>IFERROR(AC230/AC446, "NA")</f>
        <v>0.0004712125345</v>
      </c>
    </row>
    <row r="231" ht="16.5" customHeight="1">
      <c r="A231" s="11" t="s">
        <v>213</v>
      </c>
      <c r="B231" s="12">
        <v>0.0</v>
      </c>
      <c r="C231" s="13">
        <f>IFERROR(B231/B446, "NA")</f>
        <v>0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469.0</v>
      </c>
      <c r="L231" s="13">
        <f>IFERROR(K231/K446, "NA")</f>
        <v>0.0009103047959</v>
      </c>
      <c r="M231" s="14"/>
      <c r="N231" s="15">
        <f t="shared" si="66"/>
        <v>469</v>
      </c>
      <c r="O231" s="13">
        <f>IFERROR(N231/N446, "NA")</f>
        <v>-0.02124991165</v>
      </c>
      <c r="P231" s="14"/>
      <c r="Q231" s="12">
        <v>574.0</v>
      </c>
      <c r="R231" s="13">
        <f>IFERROR(Q231/Q446, "NA")</f>
        <v>0.0001196071309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-574</v>
      </c>
      <c r="X231" s="13">
        <f>IFERROR(W231/W446, "NA")</f>
        <v>0.002993912187</v>
      </c>
      <c r="Y231" s="14"/>
      <c r="Z231" s="12">
        <v>7707.3</v>
      </c>
      <c r="AA231" s="13">
        <f>IFERROR(Z231/Z446, "NA")</f>
        <v>0.00166792632</v>
      </c>
      <c r="AB231" s="14"/>
      <c r="AC231" s="15">
        <f t="shared" si="68"/>
        <v>7133.3</v>
      </c>
      <c r="AD231" s="13">
        <f>IFERROR(AC231/AC446, "NA")</f>
        <v>0.04003931355</v>
      </c>
    </row>
    <row r="232" ht="16.5" hidden="1" customHeight="1">
      <c r="A232" s="11" t="s">
        <v>214</v>
      </c>
      <c r="B232" s="12">
        <v>0.0</v>
      </c>
      <c r="C232" s="13">
        <f>IFERROR(B232/B446, "NA")</f>
        <v>0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customHeight="1">
      <c r="A233" s="11" t="s">
        <v>215</v>
      </c>
      <c r="B233" s="12">
        <v>0.0</v>
      </c>
      <c r="C233" s="13">
        <f>IFERROR(B233/B446, "NA")</f>
        <v>0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390.34</v>
      </c>
      <c r="L233" s="13">
        <f>IFERROR(K233/K446, "NA")</f>
        <v>0.0007576297953</v>
      </c>
      <c r="M233" s="14"/>
      <c r="N233" s="15">
        <f t="shared" si="66"/>
        <v>390.34</v>
      </c>
      <c r="O233" s="13">
        <f>IFERROR(N233/N446, "NA")</f>
        <v>-0.01768590728</v>
      </c>
      <c r="P233" s="14"/>
      <c r="Q233" s="12">
        <v>424.21</v>
      </c>
      <c r="R233" s="13">
        <f>IFERROR(Q233/Q446, "NA")</f>
        <v>0.00008839467074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-424.21</v>
      </c>
      <c r="X233" s="13">
        <f>IFERROR(W233/W446, "NA")</f>
        <v>0.002212626287</v>
      </c>
      <c r="Y233" s="14"/>
      <c r="Z233" s="12">
        <v>577.79</v>
      </c>
      <c r="AA233" s="13">
        <f>IFERROR(Z233/Z446, "NA")</f>
        <v>0.0001250387488</v>
      </c>
      <c r="AB233" s="14"/>
      <c r="AC233" s="15">
        <f t="shared" si="68"/>
        <v>153.58</v>
      </c>
      <c r="AD233" s="13">
        <f>IFERROR(AC233/AC446, "NA")</f>
        <v>0.000862046707</v>
      </c>
    </row>
    <row r="234" ht="16.5" customHeight="1">
      <c r="A234" s="11" t="s">
        <v>216</v>
      </c>
      <c r="B234" s="12">
        <v>7691.43</v>
      </c>
      <c r="C234" s="13">
        <f>IFERROR(B234/B446, "NA")</f>
        <v>0.01559680544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-7691.43</v>
      </c>
      <c r="I234" s="13">
        <f>IFERROR(H234/H446, "NA")</f>
        <v>0.1140266257</v>
      </c>
      <c r="J234" s="14"/>
      <c r="K234" s="12">
        <v>6664.1900000000005</v>
      </c>
      <c r="L234" s="13">
        <f>IFERROR(K234/K446, "NA")</f>
        <v>0.01293484886</v>
      </c>
      <c r="M234" s="14"/>
      <c r="N234" s="15">
        <f t="shared" si="66"/>
        <v>-1027.24</v>
      </c>
      <c r="O234" s="13">
        <f>IFERROR(N234/N446, "NA")</f>
        <v>0.04654319668</v>
      </c>
      <c r="P234" s="14"/>
      <c r="Q234" s="12">
        <v>71516.53</v>
      </c>
      <c r="R234" s="13">
        <f>IFERROR(Q234/Q446, "NA")</f>
        <v>0.0149022421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-71516.53</v>
      </c>
      <c r="X234" s="13">
        <f>IFERROR(W234/W446, "NA")</f>
        <v>0.3730212731</v>
      </c>
      <c r="Y234" s="14"/>
      <c r="Z234" s="12">
        <v>61389.7</v>
      </c>
      <c r="AA234" s="13">
        <f>IFERROR(Z234/Z446, "NA")</f>
        <v>0.01328526156</v>
      </c>
      <c r="AB234" s="14"/>
      <c r="AC234" s="15">
        <f t="shared" si="68"/>
        <v>-10126.83</v>
      </c>
      <c r="AD234" s="13">
        <f>IFERROR(AC234/AC446, "NA")</f>
        <v>-0.05684203968</v>
      </c>
    </row>
    <row r="235" ht="16.5" customHeight="1">
      <c r="A235" s="11" t="s">
        <v>217</v>
      </c>
      <c r="B235" s="12">
        <v>406.16</v>
      </c>
      <c r="C235" s="13">
        <f>IFERROR(B235/B446, "NA")</f>
        <v>0.0008236177792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-406.16</v>
      </c>
      <c r="I235" s="13">
        <f>IFERROR(H235/H446, "NA")</f>
        <v>0.006021384097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-406.16</v>
      </c>
      <c r="O235" s="13">
        <f>IFERROR(N235/N446, "NA")</f>
        <v>0.01840269534</v>
      </c>
      <c r="P235" s="14"/>
      <c r="Q235" s="12">
        <v>1757.6600000000003</v>
      </c>
      <c r="R235" s="13">
        <f>IFERROR(Q235/Q446, "NA")</f>
        <v>0.0003662520379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-1757.66</v>
      </c>
      <c r="X235" s="13">
        <f>IFERROR(W235/W446, "NA")</f>
        <v>0.009167734661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-1757.66</v>
      </c>
      <c r="AD235" s="13">
        <f>IFERROR(AC235/AC446, "NA")</f>
        <v>-0.009865770381</v>
      </c>
    </row>
    <row r="236" ht="16.5" customHeight="1">
      <c r="A236" s="16" t="s">
        <v>218</v>
      </c>
      <c r="B236" s="17">
        <f>IFERROR(B229+B230+B231+B232+B233+B234+B235, "NA")</f>
        <v>8097.59</v>
      </c>
      <c r="C236" s="18">
        <f>IFERROR(B236/B446, "NA")</f>
        <v>0.01642042321</v>
      </c>
      <c r="D236" s="8"/>
      <c r="E236" s="17">
        <f>IFERROR(E229+E230+E231+E232+E233+E234+E235, "NA")</f>
        <v>8618.69</v>
      </c>
      <c r="F236" s="18">
        <f>IFERROR(E236/E446, "NA")</f>
        <v>0.01537420199</v>
      </c>
      <c r="G236" s="8"/>
      <c r="H236" s="17">
        <f t="shared" si="65"/>
        <v>521.1</v>
      </c>
      <c r="I236" s="18">
        <f>IFERROR(H236/H446, "NA")</f>
        <v>-0.00772538717</v>
      </c>
      <c r="J236" s="8"/>
      <c r="K236" s="17">
        <f>IFERROR(K229+K230+K231+K232+K233+K234+K235, "NA")</f>
        <v>7523.53</v>
      </c>
      <c r="L236" s="18">
        <f>IFERROR(K236/K446, "NA")</f>
        <v>0.01460278346</v>
      </c>
      <c r="M236" s="8"/>
      <c r="N236" s="17">
        <f t="shared" si="66"/>
        <v>-574.06</v>
      </c>
      <c r="O236" s="18">
        <f>IFERROR(N236/N446, "NA")</f>
        <v>0.02601007309</v>
      </c>
      <c r="P236" s="8"/>
      <c r="Q236" s="17">
        <f>IFERROR(Q229+Q230+Q231+Q232+Q233+Q234+Q235, "NA")</f>
        <v>74272.4</v>
      </c>
      <c r="R236" s="18">
        <f>IFERROR(Q236/Q446, "NA")</f>
        <v>0.01547649594</v>
      </c>
      <c r="S236" s="8"/>
      <c r="T236" s="17">
        <f>IFERROR(T229+T230+T231+T232+T233+T234+T235, "NA")</f>
        <v>76760.15</v>
      </c>
      <c r="U236" s="18">
        <f>IFERROR(T236/T446, "NA")</f>
        <v>0.0153804304</v>
      </c>
      <c r="V236" s="8"/>
      <c r="W236" s="17">
        <f t="shared" si="67"/>
        <v>2487.75</v>
      </c>
      <c r="X236" s="18">
        <f>IFERROR(W236/W446, "NA")</f>
        <v>-0.01297579276</v>
      </c>
      <c r="Y236" s="8"/>
      <c r="Z236" s="17">
        <f>IFERROR(Z229+Z230+Z231+Z232+Z233+Z234+Z235, "NA")</f>
        <v>69758.74</v>
      </c>
      <c r="AA236" s="18">
        <f>IFERROR(Z236/Z446, "NA")</f>
        <v>0.01509639413</v>
      </c>
      <c r="AB236" s="8"/>
      <c r="AC236" s="17">
        <f t="shared" si="68"/>
        <v>-4513.66</v>
      </c>
      <c r="AD236" s="18">
        <f>IFERROR(AC236/AC446, "NA")</f>
        <v>-0.02533523727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>
        <f>IFERROR(B238/B446, "NA")</f>
        <v>0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>
        <f>IFERROR(B240/B446, "NA")</f>
        <v>0</v>
      </c>
      <c r="D240" s="14"/>
      <c r="E240" s="12">
        <v>37286.88999999999</v>
      </c>
      <c r="F240" s="13">
        <f>IFERROR(E240/E446, "NA")</f>
        <v>0.06651314507</v>
      </c>
      <c r="G240" s="14"/>
      <c r="H240" s="15">
        <f t="shared" ref="H240:H264" si="69">IFERROR(-(B240-E240), "NA")</f>
        <v>37286.89</v>
      </c>
      <c r="I240" s="13">
        <f>IFERROR(H240/H446, "NA")</f>
        <v>-0.552783845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331944.27999999997</v>
      </c>
      <c r="U240" s="13">
        <f>IFERROR(T240/T446, "NA")</f>
        <v>0.06651167166</v>
      </c>
      <c r="V240" s="14"/>
      <c r="W240" s="15">
        <f t="shared" ref="W240:W264" si="71">IFERROR(-(Q240-T240), "NA")</f>
        <v>331944.28</v>
      </c>
      <c r="X240" s="13">
        <f>IFERROR(W240/W446, "NA")</f>
        <v>-1.731379835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customHeight="1">
      <c r="A241" s="11" t="s">
        <v>221</v>
      </c>
      <c r="B241" s="12">
        <v>133.89</v>
      </c>
      <c r="C241" s="13">
        <f>IFERROR(B241/B446, "NA")</f>
        <v>0.000271504295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-133.89</v>
      </c>
      <c r="I241" s="13">
        <f>IFERROR(H241/H446, "NA")</f>
        <v>0.00198493972</v>
      </c>
      <c r="J241" s="14"/>
      <c r="K241" s="12">
        <v>29.88</v>
      </c>
      <c r="L241" s="13">
        <f>IFERROR(K241/K446, "NA")</f>
        <v>0.00005799553795</v>
      </c>
      <c r="M241" s="14"/>
      <c r="N241" s="15">
        <f t="shared" si="70"/>
        <v>-104.01</v>
      </c>
      <c r="O241" s="13">
        <f>IFERROR(N241/N446, "NA")</f>
        <v>0.004712587016</v>
      </c>
      <c r="P241" s="14"/>
      <c r="Q241" s="12">
        <v>652.0699999999999</v>
      </c>
      <c r="R241" s="13">
        <f>IFERROR(Q241/Q446, "NA")</f>
        <v>0.000135874951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-652.07</v>
      </c>
      <c r="X241" s="13">
        <f>IFERROR(W241/W446, "NA")</f>
        <v>0.00340111554</v>
      </c>
      <c r="Y241" s="14"/>
      <c r="Z241" s="12">
        <v>976.18</v>
      </c>
      <c r="AA241" s="13">
        <f>IFERROR(Z241/Z446, "NA")</f>
        <v>0.0002112537873</v>
      </c>
      <c r="AB241" s="14"/>
      <c r="AC241" s="15">
        <f t="shared" si="72"/>
        <v>324.11</v>
      </c>
      <c r="AD241" s="13">
        <f>IFERROR(AC241/AC446, "NA")</f>
        <v>0.001819234003</v>
      </c>
    </row>
    <row r="242" ht="16.5" customHeight="1">
      <c r="A242" s="11" t="s">
        <v>222</v>
      </c>
      <c r="B242" s="12">
        <v>6807.170000000001</v>
      </c>
      <c r="C242" s="13">
        <f>IFERROR(B242/B446, "NA")</f>
        <v>0.01380368879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-6807.17</v>
      </c>
      <c r="I242" s="13">
        <f>IFERROR(H242/H446, "NA")</f>
        <v>0.100917336</v>
      </c>
      <c r="J242" s="14"/>
      <c r="K242" s="12">
        <v>5163.2300000000005</v>
      </c>
      <c r="L242" s="13">
        <f>IFERROR(K242/K446, "NA")</f>
        <v>0.01002156297</v>
      </c>
      <c r="M242" s="14"/>
      <c r="N242" s="15">
        <f t="shared" si="70"/>
        <v>-1643.94</v>
      </c>
      <c r="O242" s="13">
        <f>IFERROR(N242/N446, "NA")</f>
        <v>0.07448524468</v>
      </c>
      <c r="P242" s="14"/>
      <c r="Q242" s="12">
        <v>67673.51999999999</v>
      </c>
      <c r="R242" s="13">
        <f>IFERROR(Q242/Q446, "NA")</f>
        <v>0.01410145569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-67673.52</v>
      </c>
      <c r="X242" s="13">
        <f>IFERROR(W242/W446, "NA")</f>
        <v>0.3529766137</v>
      </c>
      <c r="Y242" s="14"/>
      <c r="Z242" s="12">
        <v>56151.27</v>
      </c>
      <c r="AA242" s="13">
        <f>IFERROR(Z242/Z446, "NA")</f>
        <v>0.01215162004</v>
      </c>
      <c r="AB242" s="14"/>
      <c r="AC242" s="15">
        <f t="shared" si="72"/>
        <v>-11522.25</v>
      </c>
      <c r="AD242" s="13">
        <f>IFERROR(AC242/AC446, "NA")</f>
        <v>-0.06467455183</v>
      </c>
    </row>
    <row r="243" ht="16.5" customHeight="1">
      <c r="A243" s="11" t="s">
        <v>223</v>
      </c>
      <c r="B243" s="12">
        <v>13434.35</v>
      </c>
      <c r="C243" s="13">
        <f>IFERROR(B243/B446, "NA")</f>
        <v>0.02724239096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-13434.35</v>
      </c>
      <c r="I243" s="13">
        <f>IFERROR(H243/H446, "NA")</f>
        <v>0.1991662927</v>
      </c>
      <c r="J243" s="14"/>
      <c r="K243" s="12">
        <v>11186.22</v>
      </c>
      <c r="L243" s="13">
        <f>IFERROR(K243/K446, "NA")</f>
        <v>0.02171187572</v>
      </c>
      <c r="M243" s="14"/>
      <c r="N243" s="15">
        <f t="shared" si="70"/>
        <v>-2248.13</v>
      </c>
      <c r="O243" s="13">
        <f>IFERROR(N243/N446, "NA")</f>
        <v>0.1018604773</v>
      </c>
      <c r="P243" s="14"/>
      <c r="Q243" s="12">
        <v>118531.44</v>
      </c>
      <c r="R243" s="13">
        <f>IFERROR(Q243/Q446, "NA")</f>
        <v>0.02469896422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-118531.44</v>
      </c>
      <c r="X243" s="13">
        <f>IFERROR(W243/W446, "NA")</f>
        <v>0.6182451617</v>
      </c>
      <c r="Y243" s="14"/>
      <c r="Z243" s="12">
        <v>105594.97999999998</v>
      </c>
      <c r="AA243" s="13">
        <f>IFERROR(Z243/Z446, "NA")</f>
        <v>0.02285166614</v>
      </c>
      <c r="AB243" s="14"/>
      <c r="AC243" s="15">
        <f t="shared" si="72"/>
        <v>-12936.46</v>
      </c>
      <c r="AD243" s="13">
        <f>IFERROR(AC243/AC446, "NA")</f>
        <v>-0.07261253251</v>
      </c>
    </row>
    <row r="244" ht="16.5" customHeight="1">
      <c r="A244" s="11" t="s">
        <v>224</v>
      </c>
      <c r="B244" s="12">
        <v>4078.8399999999997</v>
      </c>
      <c r="C244" s="13">
        <f>IFERROR(B244/B446, "NA")</f>
        <v>0.008271137341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-4078.84</v>
      </c>
      <c r="I244" s="13">
        <f>IFERROR(H244/H446, "NA")</f>
        <v>0.06046942661</v>
      </c>
      <c r="J244" s="14"/>
      <c r="K244" s="12">
        <v>4836.78</v>
      </c>
      <c r="L244" s="13">
        <f>IFERROR(K244/K446, "NA")</f>
        <v>0.009387940364</v>
      </c>
      <c r="M244" s="14"/>
      <c r="N244" s="15">
        <f t="shared" si="70"/>
        <v>757.94</v>
      </c>
      <c r="O244" s="13">
        <f>IFERROR(N244/N446, "NA")</f>
        <v>-0.03434148835</v>
      </c>
      <c r="P244" s="14"/>
      <c r="Q244" s="12">
        <v>37895.33</v>
      </c>
      <c r="R244" s="13">
        <f>IFERROR(Q244/Q446, "NA")</f>
        <v>0.007896431527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-37895.33</v>
      </c>
      <c r="X244" s="13">
        <f>IFERROR(W244/W446, "NA")</f>
        <v>0.1976573002</v>
      </c>
      <c r="Y244" s="14"/>
      <c r="Z244" s="12">
        <v>16911.45</v>
      </c>
      <c r="AA244" s="13">
        <f>IFERROR(Z244/Z446, "NA")</f>
        <v>0.003659783915</v>
      </c>
      <c r="AB244" s="14"/>
      <c r="AC244" s="15">
        <f t="shared" si="72"/>
        <v>-20983.88</v>
      </c>
      <c r="AD244" s="13">
        <f>IFERROR(AC244/AC446, "NA")</f>
        <v>-0.1177828145</v>
      </c>
    </row>
    <row r="245" ht="16.5" hidden="1" customHeight="1">
      <c r="A245" s="11" t="s">
        <v>225</v>
      </c>
      <c r="B245" s="12">
        <v>0.0</v>
      </c>
      <c r="C245" s="13">
        <f>IFERROR(B245/B446, "NA")</f>
        <v>0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679.4899999999999</v>
      </c>
      <c r="C246" s="13">
        <f>IFERROR(B246/B446, "NA")</f>
        <v>0.001377880748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-679.49</v>
      </c>
      <c r="I246" s="13">
        <f>IFERROR(H246/H446, "NA")</f>
        <v>0.01007354314</v>
      </c>
      <c r="J246" s="14"/>
      <c r="K246" s="12">
        <v>1391.04</v>
      </c>
      <c r="L246" s="13">
        <f>IFERROR(K246/K446, "NA")</f>
        <v>0.002699936851</v>
      </c>
      <c r="M246" s="14"/>
      <c r="N246" s="15">
        <f t="shared" si="70"/>
        <v>711.55</v>
      </c>
      <c r="O246" s="13">
        <f>IFERROR(N246/N446, "NA")</f>
        <v>-0.03223960476</v>
      </c>
      <c r="P246" s="14"/>
      <c r="Q246" s="12">
        <v>5971.61</v>
      </c>
      <c r="R246" s="13">
        <f>IFERROR(Q246/Q446, "NA")</f>
        <v>0.001244332995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-5971.61</v>
      </c>
      <c r="X246" s="13">
        <f>IFERROR(W246/W446, "NA")</f>
        <v>0.03114717066</v>
      </c>
      <c r="Y246" s="14"/>
      <c r="Z246" s="12">
        <v>14785.509999999998</v>
      </c>
      <c r="AA246" s="13">
        <f>IFERROR(Z246/Z446, "NA")</f>
        <v>0.003199712128</v>
      </c>
      <c r="AB246" s="14"/>
      <c r="AC246" s="15">
        <f t="shared" si="72"/>
        <v>8813.9</v>
      </c>
      <c r="AD246" s="13">
        <f>IFERROR(AC246/AC446, "NA")</f>
        <v>0.04947254506</v>
      </c>
    </row>
    <row r="247" ht="16.5" hidden="1" customHeight="1">
      <c r="A247" s="11" t="s">
        <v>227</v>
      </c>
      <c r="B247" s="12">
        <v>0.0</v>
      </c>
      <c r="C247" s="13">
        <f>IFERROR(B247/B446, "NA")</f>
        <v>0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803.4</v>
      </c>
      <c r="C248" s="13">
        <f>IFERROR(B248/B446, "NA")</f>
        <v>0.001629147439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-803.4</v>
      </c>
      <c r="I248" s="13">
        <f>IFERROR(H248/H446, "NA")</f>
        <v>0.01191052783</v>
      </c>
      <c r="J248" s="14"/>
      <c r="K248" s="12">
        <v>1231.2600000000002</v>
      </c>
      <c r="L248" s="13">
        <f>IFERROR(K248/K446, "NA")</f>
        <v>0.002389812117</v>
      </c>
      <c r="M248" s="14"/>
      <c r="N248" s="15">
        <f t="shared" si="70"/>
        <v>427.86</v>
      </c>
      <c r="O248" s="13">
        <f>IFERROR(N248/N446, "NA")</f>
        <v>-0.01938590021</v>
      </c>
      <c r="P248" s="14"/>
      <c r="Q248" s="12">
        <v>8755.62</v>
      </c>
      <c r="R248" s="13">
        <f>IFERROR(Q248/Q446, "NA")</f>
        <v>0.001824450501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-8755.62</v>
      </c>
      <c r="X248" s="13">
        <f>IFERROR(W248/W446, "NA")</f>
        <v>0.04566821851</v>
      </c>
      <c r="Y248" s="14"/>
      <c r="Z248" s="12">
        <v>9697.1</v>
      </c>
      <c r="AA248" s="13">
        <f>IFERROR(Z248/Z446, "NA")</f>
        <v>0.002098536234</v>
      </c>
      <c r="AB248" s="14"/>
      <c r="AC248" s="15">
        <f t="shared" si="72"/>
        <v>941.48</v>
      </c>
      <c r="AD248" s="13">
        <f>IFERROR(AC248/AC446, "NA")</f>
        <v>0.005284540524</v>
      </c>
    </row>
    <row r="249" ht="16.5" customHeight="1">
      <c r="A249" s="11" t="s">
        <v>229</v>
      </c>
      <c r="B249" s="12">
        <v>10794.9</v>
      </c>
      <c r="C249" s="13">
        <f>IFERROR(B249/B446, "NA")</f>
        <v>0.02189007181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-10794.9</v>
      </c>
      <c r="I249" s="13">
        <f>IFERROR(H249/H446, "NA")</f>
        <v>0.1600360429</v>
      </c>
      <c r="J249" s="14"/>
      <c r="K249" s="12">
        <v>4697.490000000001</v>
      </c>
      <c r="L249" s="13">
        <f>IFERROR(K249/K446, "NA")</f>
        <v>0.009117585662</v>
      </c>
      <c r="M249" s="14"/>
      <c r="N249" s="15">
        <f t="shared" si="70"/>
        <v>-6097.41</v>
      </c>
      <c r="O249" s="13">
        <f>IFERROR(N249/N446, "NA")</f>
        <v>0.2762674281</v>
      </c>
      <c r="P249" s="14"/>
      <c r="Q249" s="12">
        <v>110262.51</v>
      </c>
      <c r="R249" s="13">
        <f>IFERROR(Q249/Q446, "NA")</f>
        <v>0.02297592765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-110262.51</v>
      </c>
      <c r="X249" s="13">
        <f>IFERROR(W249/W446, "NA")</f>
        <v>0.5751154573</v>
      </c>
      <c r="Y249" s="14"/>
      <c r="Z249" s="12">
        <v>68281.99</v>
      </c>
      <c r="AA249" s="13">
        <f>IFERROR(Z249/Z446, "NA")</f>
        <v>0.01477681267</v>
      </c>
      <c r="AB249" s="14"/>
      <c r="AC249" s="15">
        <f t="shared" si="72"/>
        <v>-41980.52</v>
      </c>
      <c r="AD249" s="13">
        <f>IFERROR(AC249/AC446, "NA")</f>
        <v>-0.2356372511</v>
      </c>
    </row>
    <row r="250" ht="16.5" hidden="1" customHeight="1">
      <c r="A250" s="11" t="s">
        <v>230</v>
      </c>
      <c r="B250" s="12">
        <v>0.0</v>
      </c>
      <c r="C250" s="13">
        <f>IFERROR(B250/B446, "NA")</f>
        <v>0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customHeight="1">
      <c r="A251" s="11" t="s">
        <v>231</v>
      </c>
      <c r="B251" s="12">
        <v>102.4</v>
      </c>
      <c r="C251" s="13">
        <f>IFERROR(B251/B446, "NA")</f>
        <v>0.0002076483666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-102.4</v>
      </c>
      <c r="I251" s="13">
        <f>IFERROR(H251/H446, "NA")</f>
        <v>0.001518095656</v>
      </c>
      <c r="J251" s="14"/>
      <c r="K251" s="12">
        <v>85.24</v>
      </c>
      <c r="L251" s="13">
        <f>IFERROR(K251/K446, "NA")</f>
        <v>0.0001654464409</v>
      </c>
      <c r="M251" s="14"/>
      <c r="N251" s="15">
        <f t="shared" si="70"/>
        <v>-17.16</v>
      </c>
      <c r="O251" s="13">
        <f>IFERROR(N251/N446, "NA")</f>
        <v>0.0007775020978</v>
      </c>
      <c r="P251" s="14"/>
      <c r="Q251" s="12">
        <v>571.1800000000001</v>
      </c>
      <c r="R251" s="13">
        <f>IFERROR(Q251/Q446, "NA")</f>
        <v>0.000119019514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-571.18</v>
      </c>
      <c r="X251" s="13">
        <f>IFERROR(W251/W446, "NA")</f>
        <v>0.00297920342</v>
      </c>
      <c r="Y251" s="14"/>
      <c r="Z251" s="12">
        <v>462.79999999999995</v>
      </c>
      <c r="AA251" s="13">
        <f>IFERROR(Z251/Z446, "NA")</f>
        <v>0.0001001539191</v>
      </c>
      <c r="AB251" s="14"/>
      <c r="AC251" s="15">
        <f t="shared" si="72"/>
        <v>-108.38</v>
      </c>
      <c r="AD251" s="13">
        <f>IFERROR(AC251/AC446, "NA")</f>
        <v>-0.0006083384692</v>
      </c>
    </row>
    <row r="252" ht="16.5" hidden="1" customHeight="1">
      <c r="A252" s="11" t="s">
        <v>232</v>
      </c>
      <c r="B252" s="12">
        <v>0.0</v>
      </c>
      <c r="C252" s="13">
        <f>IFERROR(B252/B446, "NA")</f>
        <v>0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customHeight="1">
      <c r="A253" s="11" t="s">
        <v>233</v>
      </c>
      <c r="B253" s="12">
        <v>236.19</v>
      </c>
      <c r="C253" s="13">
        <f>IFERROR(B253/B446, "NA")</f>
        <v>0.00047894988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-236.19</v>
      </c>
      <c r="I253" s="13">
        <f>IFERROR(H253/H446, "NA")</f>
        <v>0.003501552861</v>
      </c>
      <c r="J253" s="14"/>
      <c r="K253" s="12">
        <v>485.07</v>
      </c>
      <c r="L253" s="13">
        <f>IFERROR(K253/K446, "NA")</f>
        <v>0.0009414958365</v>
      </c>
      <c r="M253" s="14"/>
      <c r="N253" s="15">
        <f t="shared" si="70"/>
        <v>248.88</v>
      </c>
      <c r="O253" s="13">
        <f>IFERROR(N253/N446, "NA")</f>
        <v>-0.01127649896</v>
      </c>
      <c r="P253" s="14"/>
      <c r="Q253" s="12">
        <v>1478.45</v>
      </c>
      <c r="R253" s="13">
        <f>IFERROR(Q253/Q446, "NA")</f>
        <v>0.000308071712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-1478.45</v>
      </c>
      <c r="X253" s="13">
        <f>IFERROR(W253/W446, "NA")</f>
        <v>0.007711410232</v>
      </c>
      <c r="Y253" s="14"/>
      <c r="Z253" s="12">
        <v>1859.24</v>
      </c>
      <c r="AA253" s="13">
        <f>IFERROR(Z253/Z446, "NA")</f>
        <v>0.000402355602</v>
      </c>
      <c r="AB253" s="14"/>
      <c r="AC253" s="15">
        <f t="shared" si="72"/>
        <v>380.79</v>
      </c>
      <c r="AD253" s="13">
        <f>IFERROR(AC253/AC446, "NA")</f>
        <v>0.002137379643</v>
      </c>
    </row>
    <row r="254" ht="16.5" customHeight="1">
      <c r="A254" s="11" t="s">
        <v>234</v>
      </c>
      <c r="B254" s="12">
        <v>2931.31</v>
      </c>
      <c r="C254" s="13">
        <f>IFERROR(B254/B446, "NA")</f>
        <v>0.005944157555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-2931.31</v>
      </c>
      <c r="I254" s="13">
        <f>IFERROR(H254/H446, "NA")</f>
        <v>0.04345711891</v>
      </c>
      <c r="J254" s="14"/>
      <c r="K254" s="12">
        <v>2343.8</v>
      </c>
      <c r="L254" s="13">
        <f>IFERROR(K254/K446, "NA")</f>
        <v>0.004549194841</v>
      </c>
      <c r="M254" s="14"/>
      <c r="N254" s="15">
        <f t="shared" si="70"/>
        <v>-587.51</v>
      </c>
      <c r="O254" s="13">
        <f>IFERROR(N254/N446, "NA")</f>
        <v>0.02661947887</v>
      </c>
      <c r="P254" s="14"/>
      <c r="Q254" s="12">
        <v>24078.92</v>
      </c>
      <c r="R254" s="13">
        <f>IFERROR(Q254/Q446, "NA")</f>
        <v>0.00501743996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-24078.92</v>
      </c>
      <c r="X254" s="13">
        <f>IFERROR(W254/W446, "NA")</f>
        <v>0.1255926342</v>
      </c>
      <c r="Y254" s="14"/>
      <c r="Z254" s="12">
        <v>26829.0</v>
      </c>
      <c r="AA254" s="13">
        <f>IFERROR(Z254/Z446, "NA")</f>
        <v>0.005806027434</v>
      </c>
      <c r="AB254" s="14"/>
      <c r="AC254" s="15">
        <f t="shared" si="72"/>
        <v>2750.08</v>
      </c>
      <c r="AD254" s="13">
        <f>IFERROR(AC254/AC446, "NA")</f>
        <v>0.01543623784</v>
      </c>
    </row>
    <row r="255" ht="16.5" hidden="1" customHeight="1">
      <c r="A255" s="11" t="s">
        <v>235</v>
      </c>
      <c r="B255" s="12">
        <v>0.0</v>
      </c>
      <c r="C255" s="13">
        <f>IFERROR(B255/B446, "NA")</f>
        <v>0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>
        <f>IFERROR(B256/B446, "NA")</f>
        <v>0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customHeight="1">
      <c r="A257" s="11" t="s">
        <v>237</v>
      </c>
      <c r="B257" s="12">
        <v>0.0</v>
      </c>
      <c r="C257" s="13">
        <f>IFERROR(B257/B446, "NA")</f>
        <v>0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5290.07</v>
      </c>
      <c r="AA257" s="13">
        <f>IFERROR(Z257/Z446, "NA")</f>
        <v>0.00114481686</v>
      </c>
      <c r="AB257" s="14"/>
      <c r="AC257" s="15">
        <f t="shared" si="72"/>
        <v>5290.07</v>
      </c>
      <c r="AD257" s="13">
        <f>IFERROR(AC257/AC446, "NA")</f>
        <v>0.02969323755</v>
      </c>
    </row>
    <row r="258" ht="16.5" customHeight="1">
      <c r="A258" s="11" t="s">
        <v>238</v>
      </c>
      <c r="B258" s="12">
        <v>1680.9299999999998</v>
      </c>
      <c r="C258" s="13">
        <f>IFERROR(B258/B446, "NA")</f>
        <v>0.003408616884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-1680.93</v>
      </c>
      <c r="I258" s="13">
        <f>IFERROR(H258/H446, "NA")</f>
        <v>0.02492004424</v>
      </c>
      <c r="J258" s="14"/>
      <c r="K258" s="12">
        <v>1808.4899999999998</v>
      </c>
      <c r="L258" s="13">
        <f>IFERROR(K258/K446, "NA")</f>
        <v>0.003510185757</v>
      </c>
      <c r="M258" s="14"/>
      <c r="N258" s="15">
        <f t="shared" si="70"/>
        <v>127.56</v>
      </c>
      <c r="O258" s="13">
        <f>IFERROR(N258/N446, "NA")</f>
        <v>-0.005779613496</v>
      </c>
      <c r="P258" s="14"/>
      <c r="Q258" s="12">
        <v>14836.93</v>
      </c>
      <c r="R258" s="13">
        <f>IFERROR(Q258/Q446, "NA")</f>
        <v>0.003091642211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-14836.93</v>
      </c>
      <c r="X258" s="13">
        <f>IFERROR(W258/W446, "NA")</f>
        <v>0.07738757064</v>
      </c>
      <c r="Y258" s="14"/>
      <c r="Z258" s="12">
        <v>6203.9800000000005</v>
      </c>
      <c r="AA258" s="13">
        <f>IFERROR(Z258/Z446, "NA")</f>
        <v>0.001342594882</v>
      </c>
      <c r="AB258" s="14"/>
      <c r="AC258" s="15">
        <f t="shared" si="72"/>
        <v>-8632.95</v>
      </c>
      <c r="AD258" s="13">
        <f>IFERROR(AC258/AC446, "NA")</f>
        <v>-0.04845687016</v>
      </c>
    </row>
    <row r="259" ht="16.5" hidden="1" customHeight="1">
      <c r="A259" s="11" t="s">
        <v>239</v>
      </c>
      <c r="B259" s="12">
        <v>0.0</v>
      </c>
      <c r="C259" s="13">
        <f>IFERROR(B259/B446, "NA")</f>
        <v>0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customHeight="1">
      <c r="A260" s="11" t="s">
        <v>240</v>
      </c>
      <c r="B260" s="12">
        <v>296.4</v>
      </c>
      <c r="C260" s="13">
        <f>IFERROR(B260/B446, "NA")</f>
        <v>0.0006010446862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-296.4</v>
      </c>
      <c r="I260" s="13">
        <f>IFERROR(H260/H446, "NA")</f>
        <v>0.004394175316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-296.4</v>
      </c>
      <c r="O260" s="13">
        <f>IFERROR(N260/N446, "NA")</f>
        <v>0.01342958169</v>
      </c>
      <c r="P260" s="14"/>
      <c r="Q260" s="12">
        <v>6437.099999999999</v>
      </c>
      <c r="R260" s="13">
        <f>IFERROR(Q260/Q446, "NA")</f>
        <v>0.001341329377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-6437.1</v>
      </c>
      <c r="X260" s="13">
        <f>IFERROR(W260/W446, "NA")</f>
        <v>0.03357510826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-6437.1</v>
      </c>
      <c r="AD260" s="13">
        <f>IFERROR(AC260/AC446, "NA")</f>
        <v>-0.03613153313</v>
      </c>
    </row>
    <row r="261" ht="16.5" customHeight="1">
      <c r="A261" s="11" t="s">
        <v>241</v>
      </c>
      <c r="B261" s="12">
        <v>0.0</v>
      </c>
      <c r="C261" s="13">
        <f>IFERROR(B261/B446, "NA")</f>
        <v>0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2373.1</v>
      </c>
      <c r="R261" s="13">
        <f>IFERROR(Q261/Q446, "NA")</f>
        <v>0.0004944942202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-2373.1</v>
      </c>
      <c r="X261" s="13">
        <f>IFERROR(W261/W446, "NA")</f>
        <v>0.0123777927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-2373.1</v>
      </c>
      <c r="AD261" s="13">
        <f>IFERROR(AC261/AC446, "NA")</f>
        <v>-0.01332024378</v>
      </c>
    </row>
    <row r="262" ht="16.5" customHeight="1">
      <c r="A262" s="11" t="s">
        <v>242</v>
      </c>
      <c r="B262" s="12">
        <v>445.47</v>
      </c>
      <c r="C262" s="13">
        <f>IFERROR(B262/B446, "NA")</f>
        <v>0.0009033312293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-445.47</v>
      </c>
      <c r="I262" s="13">
        <f>IFERROR(H262/H446, "NA")</f>
        <v>0.006604160857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-445.47</v>
      </c>
      <c r="O262" s="13">
        <f>IFERROR(N262/N446, "NA")</f>
        <v>0.02018379135</v>
      </c>
      <c r="P262" s="14"/>
      <c r="Q262" s="12">
        <v>2091.94</v>
      </c>
      <c r="R262" s="13">
        <f>IFERROR(Q262/Q446, "NA")</f>
        <v>0.0004359075635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-2091.94</v>
      </c>
      <c r="X262" s="13">
        <f>IFERROR(W262/W446, "NA")</f>
        <v>0.01091129732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-2091.94</v>
      </c>
      <c r="AD262" s="13">
        <f>IFERROR(AC262/AC446, "NA")</f>
        <v>-0.01174208874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42424.74</v>
      </c>
      <c r="C263" s="18">
        <f>IFERROR(B263/B446, "NA")</f>
        <v>0.08602956998</v>
      </c>
      <c r="D263" s="8"/>
      <c r="E263" s="17">
        <f>IFERROR(E240+E241+E242+E243+E244+E245+E246+E247+E248+E249+E250+E251+E252+E253+E254+E255+E256+E257+E258+E259+E260+E261+E262, "NA")</f>
        <v>37286.89</v>
      </c>
      <c r="F263" s="18">
        <f>IFERROR(E263/E446, "NA")</f>
        <v>0.06651314507</v>
      </c>
      <c r="G263" s="8"/>
      <c r="H263" s="17">
        <f t="shared" si="69"/>
        <v>-5137.85</v>
      </c>
      <c r="I263" s="18">
        <f>IFERROR(H263/H446, "NA")</f>
        <v>0.07616941177</v>
      </c>
      <c r="J263" s="8"/>
      <c r="K263" s="17">
        <f>IFERROR(K240+K241+K242+K243+K244+K245+K246+K247+K248+K249+K250+K251+K252+K253+K254+K255+K256+K257+K258+K259+K260+K261+K262, "NA")</f>
        <v>33258.5</v>
      </c>
      <c r="L263" s="18">
        <f>IFERROR(K263/K446, "NA")</f>
        <v>0.0645530321</v>
      </c>
      <c r="M263" s="8"/>
      <c r="N263" s="17">
        <f t="shared" si="70"/>
        <v>-9166.24</v>
      </c>
      <c r="O263" s="18">
        <f>IFERROR(N263/N446, "NA")</f>
        <v>0.4153129854</v>
      </c>
      <c r="P263" s="8"/>
      <c r="Q263" s="17">
        <f>IFERROR(Q240+Q241+Q242+Q243+Q244+Q245+Q246+Q247+Q248+Q249+Q250+Q251+Q252+Q253+Q254+Q255+Q256+Q257+Q258+Q259+Q260+Q261+Q262, "NA")</f>
        <v>401609.72</v>
      </c>
      <c r="R263" s="18">
        <f>IFERROR(Q263/Q446, "NA")</f>
        <v>0.08368534209</v>
      </c>
      <c r="S263" s="8"/>
      <c r="T263" s="17">
        <f>IFERROR(T240+T241+T242+T243+T244+T245+T246+T247+T248+T249+T250+T251+T252+T253+T254+T255+T256+T257+T258+T259+T260+T261+T262, "NA")</f>
        <v>331944.28</v>
      </c>
      <c r="U263" s="18">
        <f>IFERROR(T263/T446, "NA")</f>
        <v>0.06651167166</v>
      </c>
      <c r="V263" s="8"/>
      <c r="W263" s="17">
        <f t="shared" si="71"/>
        <v>-69665.44</v>
      </c>
      <c r="X263" s="18">
        <f>IFERROR(W263/W446, "NA")</f>
        <v>0.3633662193</v>
      </c>
      <c r="Y263" s="8"/>
      <c r="Z263" s="17">
        <f>IFERROR(Z240+Z241+Z242+Z243+Z244+Z245+Z246+Z247+Z248+Z249+Z250+Z251+Z252+Z253+Z254+Z255+Z256+Z257+Z258+Z259+Z260+Z261+Z262, "NA")</f>
        <v>313043.57</v>
      </c>
      <c r="AA263" s="18">
        <f>IFERROR(Z263/Z446, "NA")</f>
        <v>0.06774533361</v>
      </c>
      <c r="AB263" s="8"/>
      <c r="AC263" s="17">
        <f t="shared" si="72"/>
        <v>-88566.15</v>
      </c>
      <c r="AD263" s="18">
        <f>IFERROR(AC263/AC446, "NA")</f>
        <v>-0.4971230496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42424.74</v>
      </c>
      <c r="C264" s="18">
        <f>IFERROR(B264/B446, "NA")</f>
        <v>0.08602956998</v>
      </c>
      <c r="D264" s="8"/>
      <c r="E264" s="17">
        <f>IFERROR(E238+E240+E241+E242+E243+E244+E245+E246+E247+E248+E249+E250+E251+E252+E253+E254+E255+E256+E257+E258+E259+E260+E261+E262, "NA")</f>
        <v>37286.89</v>
      </c>
      <c r="F264" s="18">
        <f>IFERROR(E264/E446, "NA")</f>
        <v>0.06651314507</v>
      </c>
      <c r="G264" s="8"/>
      <c r="H264" s="17">
        <f t="shared" si="69"/>
        <v>-5137.85</v>
      </c>
      <c r="I264" s="18">
        <f>IFERROR(H264/H446, "NA")</f>
        <v>0.07616941177</v>
      </c>
      <c r="J264" s="8"/>
      <c r="K264" s="17">
        <f>IFERROR(K238+K240+K241+K242+K243+K244+K245+K246+K247+K248+K249+K250+K251+K252+K253+K254+K255+K256+K257+K258+K259+K260+K261+K262, "NA")</f>
        <v>33258.5</v>
      </c>
      <c r="L264" s="18">
        <f>IFERROR(K264/K446, "NA")</f>
        <v>0.0645530321</v>
      </c>
      <c r="M264" s="8"/>
      <c r="N264" s="17">
        <f t="shared" si="70"/>
        <v>-9166.24</v>
      </c>
      <c r="O264" s="18">
        <f>IFERROR(N264/N446, "NA")</f>
        <v>0.4153129854</v>
      </c>
      <c r="P264" s="8"/>
      <c r="Q264" s="17">
        <f>IFERROR(Q238+Q240+Q241+Q242+Q243+Q244+Q245+Q246+Q247+Q248+Q249+Q250+Q251+Q252+Q253+Q254+Q255+Q256+Q257+Q258+Q259+Q260+Q261+Q262, "NA")</f>
        <v>401609.72</v>
      </c>
      <c r="R264" s="18">
        <f>IFERROR(Q264/Q446, "NA")</f>
        <v>0.08368534209</v>
      </c>
      <c r="S264" s="8"/>
      <c r="T264" s="17">
        <f>IFERROR(T238+T240+T241+T242+T243+T244+T245+T246+T247+T248+T249+T250+T251+T252+T253+T254+T255+T256+T257+T258+T259+T260+T261+T262, "NA")</f>
        <v>331944.28</v>
      </c>
      <c r="U264" s="18">
        <f>IFERROR(T264/T446, "NA")</f>
        <v>0.06651167166</v>
      </c>
      <c r="V264" s="8"/>
      <c r="W264" s="17">
        <f t="shared" si="71"/>
        <v>-69665.44</v>
      </c>
      <c r="X264" s="18">
        <f>IFERROR(W264/W446, "NA")</f>
        <v>0.3633662193</v>
      </c>
      <c r="Y264" s="8"/>
      <c r="Z264" s="17">
        <f>IFERROR(Z238+Z240+Z241+Z242+Z243+Z244+Z245+Z246+Z247+Z248+Z249+Z250+Z251+Z252+Z253+Z254+Z255+Z256+Z257+Z258+Z259+Z260+Z261+Z262, "NA")</f>
        <v>313043.57</v>
      </c>
      <c r="AA264" s="18">
        <f>IFERROR(Z264/Z446, "NA")</f>
        <v>0.06774533361</v>
      </c>
      <c r="AB264" s="8"/>
      <c r="AC264" s="17">
        <f t="shared" si="72"/>
        <v>-88566.15</v>
      </c>
      <c r="AD264" s="18">
        <f>IFERROR(AC264/AC446, "NA")</f>
        <v>-0.4971230496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13327.339999999998</v>
      </c>
      <c r="C266" s="13">
        <f>IFERROR(B266/B446, "NA")</f>
        <v>0.02702539436</v>
      </c>
      <c r="D266" s="14"/>
      <c r="E266" s="12">
        <v>14542.730000000001</v>
      </c>
      <c r="F266" s="13">
        <f>IFERROR(E266/E446, "NA")</f>
        <v>0.02594163016</v>
      </c>
      <c r="G266" s="14"/>
      <c r="H266" s="15">
        <f t="shared" ref="H266:H268" si="73">IFERROR(-(B266-E266), "NA")</f>
        <v>1215.39</v>
      </c>
      <c r="I266" s="13">
        <f>IFERROR(H266/H446, "NA")</f>
        <v>-0.01801834257</v>
      </c>
      <c r="J266" s="14"/>
      <c r="K266" s="12">
        <v>14869.59</v>
      </c>
      <c r="L266" s="13">
        <f>IFERROR(K266/K446, "NA")</f>
        <v>0.0288611068</v>
      </c>
      <c r="M266" s="14"/>
      <c r="N266" s="15">
        <f t="shared" ref="N266:N268" si="74">IFERROR(-(B266-K266), "NA")</f>
        <v>1542.25</v>
      </c>
      <c r="O266" s="13">
        <f>IFERROR(N266/N446, "NA")</f>
        <v>-0.0698777745</v>
      </c>
      <c r="P266" s="14"/>
      <c r="Q266" s="12">
        <v>129366.44</v>
      </c>
      <c r="R266" s="13">
        <f>IFERROR(Q266/Q446, "NA")</f>
        <v>0.0269567051</v>
      </c>
      <c r="S266" s="14"/>
      <c r="T266" s="12">
        <v>129662.95000000001</v>
      </c>
      <c r="U266" s="13">
        <f>IFERROR(T266/T446, "NA")</f>
        <v>0.02598056384</v>
      </c>
      <c r="V266" s="14"/>
      <c r="W266" s="15">
        <f t="shared" ref="W266:W268" si="75">IFERROR(-(Q266-T266), "NA")</f>
        <v>296.51</v>
      </c>
      <c r="X266" s="13">
        <f>IFERROR(W266/W446, "NA")</f>
        <v>-0.001546559064</v>
      </c>
      <c r="Y266" s="14"/>
      <c r="Z266" s="12">
        <v>120477.88</v>
      </c>
      <c r="AA266" s="13">
        <f>IFERROR(Z266/Z446, "NA")</f>
        <v>0.0260724543</v>
      </c>
      <c r="AB266" s="14"/>
      <c r="AC266" s="15">
        <f t="shared" ref="AC266:AC268" si="76">IFERROR(-(Q266-Z266), "NA")</f>
        <v>-8888.56</v>
      </c>
      <c r="AD266" s="13">
        <f>IFERROR(AC266/AC446, "NA")</f>
        <v>-0.0498916127</v>
      </c>
    </row>
    <row r="267" ht="16.5" customHeight="1">
      <c r="A267" s="11" t="s">
        <v>246</v>
      </c>
      <c r="B267" s="12">
        <v>0.0</v>
      </c>
      <c r="C267" s="13">
        <f>IFERROR(B267/B446, "NA")</f>
        <v>0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82.72</v>
      </c>
      <c r="L267" s="13">
        <f>IFERROR(K267/K446, "NA")</f>
        <v>0.000160555251</v>
      </c>
      <c r="M267" s="14"/>
      <c r="N267" s="15">
        <f t="shared" si="74"/>
        <v>82.72</v>
      </c>
      <c r="O267" s="13">
        <f>IFERROR(N267/N446, "NA")</f>
        <v>-0.00374795883</v>
      </c>
      <c r="P267" s="14"/>
      <c r="Q267" s="12">
        <v>29.97</v>
      </c>
      <c r="R267" s="13">
        <f>IFERROR(Q267/Q446, "NA")</f>
        <v>0.000006244992532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-29.97</v>
      </c>
      <c r="X267" s="13">
        <f>IFERROR(W267/W446, "NA")</f>
        <v>0.0001563197705</v>
      </c>
      <c r="Y267" s="14"/>
      <c r="Z267" s="12">
        <v>691.4200000000001</v>
      </c>
      <c r="AA267" s="13">
        <f>IFERROR(Z267/Z446, "NA")</f>
        <v>0.0001496292627</v>
      </c>
      <c r="AB267" s="14"/>
      <c r="AC267" s="15">
        <f t="shared" si="76"/>
        <v>661.45</v>
      </c>
      <c r="AD267" s="13">
        <f>IFERROR(AC267/AC446, "NA")</f>
        <v>0.003712728183</v>
      </c>
    </row>
    <row r="268" ht="16.5" customHeight="1">
      <c r="A268" s="16" t="s">
        <v>247</v>
      </c>
      <c r="B268" s="17">
        <f>IFERROR(B266+B267, "NA")</f>
        <v>13327.34</v>
      </c>
      <c r="C268" s="18">
        <f>IFERROR(B268/B446, "NA")</f>
        <v>0.02702539436</v>
      </c>
      <c r="D268" s="8"/>
      <c r="E268" s="17">
        <f>IFERROR(E266+E267, "NA")</f>
        <v>14542.73</v>
      </c>
      <c r="F268" s="18">
        <f>IFERROR(E268/E446, "NA")</f>
        <v>0.02594163016</v>
      </c>
      <c r="G268" s="8"/>
      <c r="H268" s="17">
        <f t="shared" si="73"/>
        <v>1215.39</v>
      </c>
      <c r="I268" s="18">
        <f>IFERROR(H268/H446, "NA")</f>
        <v>-0.01801834257</v>
      </c>
      <c r="J268" s="8"/>
      <c r="K268" s="17">
        <f>IFERROR(K266+K267, "NA")</f>
        <v>14952.31</v>
      </c>
      <c r="L268" s="18">
        <f>IFERROR(K268/K446, "NA")</f>
        <v>0.02902166205</v>
      </c>
      <c r="M268" s="8"/>
      <c r="N268" s="17">
        <f t="shared" si="74"/>
        <v>1624.97</v>
      </c>
      <c r="O268" s="18">
        <f>IFERROR(N268/N446, "NA")</f>
        <v>-0.07362573333</v>
      </c>
      <c r="P268" s="8"/>
      <c r="Q268" s="17">
        <f>IFERROR(Q266+Q267, "NA")</f>
        <v>129396.41</v>
      </c>
      <c r="R268" s="18">
        <f>IFERROR(Q268/Q446, "NA")</f>
        <v>0.02696295009</v>
      </c>
      <c r="S268" s="8"/>
      <c r="T268" s="17">
        <f>IFERROR(T266+T267, "NA")</f>
        <v>129662.95</v>
      </c>
      <c r="U268" s="18">
        <f>IFERROR(T268/T446, "NA")</f>
        <v>0.02598056384</v>
      </c>
      <c r="V268" s="8"/>
      <c r="W268" s="17">
        <f t="shared" si="75"/>
        <v>266.54</v>
      </c>
      <c r="X268" s="18">
        <f>IFERROR(W268/W446, "NA")</f>
        <v>-0.001390239293</v>
      </c>
      <c r="Y268" s="8"/>
      <c r="Z268" s="17">
        <f>IFERROR(Z266+Z267, "NA")</f>
        <v>121169.3</v>
      </c>
      <c r="AA268" s="18">
        <f>IFERROR(Z268/Z446, "NA")</f>
        <v>0.02622208356</v>
      </c>
      <c r="AB268" s="8"/>
      <c r="AC268" s="17">
        <f t="shared" si="76"/>
        <v>-8227.11</v>
      </c>
      <c r="AD268" s="18">
        <f>IFERROR(AC268/AC446, "NA")</f>
        <v>-0.04617888451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>
        <f>IFERROR(B270/B446, "NA")</f>
        <v>0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598.9899999999999</v>
      </c>
      <c r="C271" s="13">
        <f>IFERROR(B271/B446, "NA")</f>
        <v>0.001214641554</v>
      </c>
      <c r="D271" s="14"/>
      <c r="E271" s="12">
        <v>1139.06</v>
      </c>
      <c r="F271" s="13">
        <f>IFERROR(E271/E446, "NA")</f>
        <v>0.002031879382</v>
      </c>
      <c r="G271" s="14"/>
      <c r="H271" s="15">
        <f t="shared" si="77"/>
        <v>540.07</v>
      </c>
      <c r="I271" s="13">
        <f>IFERROR(H271/H446, "NA")</f>
        <v>-0.00800662032</v>
      </c>
      <c r="J271" s="14"/>
      <c r="K271" s="12">
        <v>1055.5600000000002</v>
      </c>
      <c r="L271" s="13">
        <f>IFERROR(K271/K446, "NA")</f>
        <v>0.002048787485</v>
      </c>
      <c r="M271" s="14"/>
      <c r="N271" s="15">
        <f t="shared" si="78"/>
        <v>456.57</v>
      </c>
      <c r="O271" s="13">
        <f>IFERROR(N271/N446, "NA")</f>
        <v>-0.02068672103</v>
      </c>
      <c r="P271" s="14"/>
      <c r="Q271" s="12">
        <v>6808.46</v>
      </c>
      <c r="R271" s="13">
        <f>IFERROR(Q271/Q446, "NA")</f>
        <v>0.00141871144</v>
      </c>
      <c r="S271" s="14"/>
      <c r="T271" s="12">
        <v>9112.48</v>
      </c>
      <c r="U271" s="13">
        <f>IFERROR(T271/T446, "NA")</f>
        <v>0.001825867515</v>
      </c>
      <c r="V271" s="14"/>
      <c r="W271" s="15">
        <f t="shared" si="79"/>
        <v>2304.02</v>
      </c>
      <c r="X271" s="13">
        <f>IFERROR(W271/W446, "NA")</f>
        <v>-0.01201748007</v>
      </c>
      <c r="Y271" s="14"/>
      <c r="Z271" s="12">
        <v>9226.429999999998</v>
      </c>
      <c r="AA271" s="13">
        <f>IFERROR(Z271/Z446, "NA")</f>
        <v>0.001996679179</v>
      </c>
      <c r="AB271" s="14"/>
      <c r="AC271" s="15">
        <f t="shared" si="80"/>
        <v>2417.97</v>
      </c>
      <c r="AD271" s="13">
        <f>IFERROR(AC271/AC446, "NA")</f>
        <v>0.01357209973</v>
      </c>
    </row>
    <row r="272" ht="16.5" customHeight="1">
      <c r="A272" s="11" t="s">
        <v>250</v>
      </c>
      <c r="B272" s="12">
        <v>3747.08</v>
      </c>
      <c r="C272" s="13">
        <f>IFERROR(B272/B446, "NA")</f>
        <v>0.007598389079</v>
      </c>
      <c r="D272" s="14"/>
      <c r="E272" s="12">
        <v>5130.219999999999</v>
      </c>
      <c r="F272" s="13">
        <f>IFERROR(E272/E446, "NA")</f>
        <v>0.009151395225</v>
      </c>
      <c r="G272" s="14"/>
      <c r="H272" s="15">
        <f t="shared" si="77"/>
        <v>1383.14</v>
      </c>
      <c r="I272" s="13">
        <f>IFERROR(H272/H446, "NA")</f>
        <v>-0.02050526197</v>
      </c>
      <c r="J272" s="14"/>
      <c r="K272" s="12">
        <v>5247.959999999999</v>
      </c>
      <c r="L272" s="13">
        <f>IFERROR(K272/K446, "NA")</f>
        <v>0.01018601952</v>
      </c>
      <c r="M272" s="14"/>
      <c r="N272" s="15">
        <f t="shared" si="78"/>
        <v>1500.88</v>
      </c>
      <c r="O272" s="13">
        <f>IFERROR(N272/N446, "NA")</f>
        <v>-0.06800334199</v>
      </c>
      <c r="P272" s="14"/>
      <c r="Q272" s="12">
        <v>34461.71</v>
      </c>
      <c r="R272" s="13">
        <f>IFERROR(Q272/Q446, "NA")</f>
        <v>0.007180951672</v>
      </c>
      <c r="S272" s="14"/>
      <c r="T272" s="12">
        <v>41041.759999999995</v>
      </c>
      <c r="U272" s="13">
        <f>IFERROR(T272/T446, "NA")</f>
        <v>0.008223536991</v>
      </c>
      <c r="V272" s="14"/>
      <c r="W272" s="15">
        <f t="shared" si="79"/>
        <v>6580.05</v>
      </c>
      <c r="X272" s="13">
        <f>IFERROR(W272/W446, "NA")</f>
        <v>-0.03432071758</v>
      </c>
      <c r="Y272" s="14"/>
      <c r="Z272" s="12">
        <v>39519.28</v>
      </c>
      <c r="AA272" s="13">
        <f>IFERROR(Z272/Z446, "NA")</f>
        <v>0.008552313685</v>
      </c>
      <c r="AB272" s="14"/>
      <c r="AC272" s="15">
        <f t="shared" si="80"/>
        <v>5057.57</v>
      </c>
      <c r="AD272" s="13">
        <f>IFERROR(AC272/AC446, "NA")</f>
        <v>0.02838821177</v>
      </c>
    </row>
    <row r="273" ht="16.5" customHeight="1">
      <c r="A273" s="11" t="s">
        <v>251</v>
      </c>
      <c r="B273" s="12">
        <v>199.27</v>
      </c>
      <c r="C273" s="13">
        <f>IFERROR(B273/B446, "NA")</f>
        <v>0.0004040829103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-199.27</v>
      </c>
      <c r="I273" s="13">
        <f>IFERROR(H273/H446, "NA")</f>
        <v>0.002954208216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-199.27</v>
      </c>
      <c r="O273" s="13">
        <f>IFERROR(N273/N446, "NA")</f>
        <v>0.009028720456</v>
      </c>
      <c r="P273" s="14"/>
      <c r="Q273" s="12">
        <v>1594.16</v>
      </c>
      <c r="R273" s="13">
        <f>IFERROR(Q273/Q446, "NA")</f>
        <v>0.0003321827593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-1594.16</v>
      </c>
      <c r="X273" s="13">
        <f>IFERROR(W273/W446, "NA")</f>
        <v>0.008314939116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-1594.16</v>
      </c>
      <c r="AD273" s="13">
        <f>IFERROR(AC273/AC446, "NA")</f>
        <v>-0.008948042574</v>
      </c>
    </row>
    <row r="274" ht="16.5" customHeight="1">
      <c r="A274" s="16" t="s">
        <v>252</v>
      </c>
      <c r="B274" s="17">
        <f>IFERROR(B270+B271+B272+B273, "NA")</f>
        <v>4545.34</v>
      </c>
      <c r="C274" s="18">
        <f>IFERROR(B274/B446, "NA")</f>
        <v>0.009217113543</v>
      </c>
      <c r="D274" s="8"/>
      <c r="E274" s="17">
        <f>IFERROR(E270+E271+E272+E273, "NA")</f>
        <v>6269.28</v>
      </c>
      <c r="F274" s="18">
        <f>IFERROR(E274/E446, "NA")</f>
        <v>0.01118327461</v>
      </c>
      <c r="G274" s="8"/>
      <c r="H274" s="17">
        <f t="shared" si="77"/>
        <v>1723.94</v>
      </c>
      <c r="I274" s="18">
        <f>IFERROR(H274/H446, "NA")</f>
        <v>-0.02555767407</v>
      </c>
      <c r="J274" s="8"/>
      <c r="K274" s="17">
        <f>IFERROR(K270+K271+K272+K273, "NA")</f>
        <v>6303.52</v>
      </c>
      <c r="L274" s="18">
        <f>IFERROR(K274/K446, "NA")</f>
        <v>0.01223480701</v>
      </c>
      <c r="M274" s="8"/>
      <c r="N274" s="17">
        <f t="shared" si="78"/>
        <v>1758.18</v>
      </c>
      <c r="O274" s="18">
        <f>IFERROR(N274/N446, "NA")</f>
        <v>-0.07966134256</v>
      </c>
      <c r="P274" s="8"/>
      <c r="Q274" s="17">
        <f>IFERROR(Q270+Q271+Q272+Q273, "NA")</f>
        <v>42864.33</v>
      </c>
      <c r="R274" s="18">
        <f>IFERROR(Q274/Q446, "NA")</f>
        <v>0.008931845871</v>
      </c>
      <c r="S274" s="8"/>
      <c r="T274" s="17">
        <f>IFERROR(T270+T271+T272+T273, "NA")</f>
        <v>50154.24</v>
      </c>
      <c r="U274" s="18">
        <f>IFERROR(T274/T446, "NA")</f>
        <v>0.01004940451</v>
      </c>
      <c r="V274" s="8"/>
      <c r="W274" s="17">
        <f t="shared" si="79"/>
        <v>7289.91</v>
      </c>
      <c r="X274" s="18">
        <f>IFERROR(W274/W446, "NA")</f>
        <v>-0.03802325852</v>
      </c>
      <c r="Y274" s="8"/>
      <c r="Z274" s="17">
        <f>IFERROR(Z270+Z271+Z272+Z273, "NA")</f>
        <v>48745.71</v>
      </c>
      <c r="AA274" s="18">
        <f>IFERROR(Z274/Z446, "NA")</f>
        <v>0.01054899286</v>
      </c>
      <c r="AB274" s="8"/>
      <c r="AC274" s="17">
        <f t="shared" si="80"/>
        <v>5881.38</v>
      </c>
      <c r="AD274" s="18">
        <f>IFERROR(AC274/AC446, "NA")</f>
        <v>0.03301226893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>
        <f>IFERROR(B276/B446, "NA")</f>
        <v>0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>
        <f>IFERROR(B277/B446, "NA")</f>
        <v>0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>
        <f>IFERROR(B278/B446, "NA")</f>
        <v>0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>
        <f>IFERROR(B279/B446, "NA")</f>
        <v>0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>
        <f>IFERROR(B280/B446, "NA")</f>
        <v>0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>
        <f>IFERROR(B281/B446, "NA")</f>
        <v>0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>
        <f>IFERROR(B282/B446, "NA")</f>
        <v>0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>
        <f>IFERROR(B283/B446, "NA")</f>
        <v>0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>
        <f>IFERROR(B284/B446, "NA")</f>
        <v>0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>
        <f>IFERROR(B285/B446, "NA")</f>
        <v>0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>
        <f>IFERROR(B287/B446, "NA")</f>
        <v>0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customHeight="1">
      <c r="A288" s="11" t="s">
        <v>264</v>
      </c>
      <c r="B288" s="12">
        <v>0.0</v>
      </c>
      <c r="C288" s="13">
        <f>IFERROR(B288/B446, "NA")</f>
        <v>0</v>
      </c>
      <c r="D288" s="14"/>
      <c r="E288" s="12">
        <v>971.0</v>
      </c>
      <c r="F288" s="13">
        <f>IFERROR(E288/E446, "NA")</f>
        <v>0.001732090391</v>
      </c>
      <c r="G288" s="14"/>
      <c r="H288" s="15">
        <f t="shared" si="85"/>
        <v>971</v>
      </c>
      <c r="I288" s="13">
        <f>IFERROR(H288/H446, "NA")</f>
        <v>-0.01439522345</v>
      </c>
      <c r="J288" s="14"/>
      <c r="K288" s="12">
        <v>970.53</v>
      </c>
      <c r="L288" s="13">
        <f>IFERROR(K288/K446, "NA")</f>
        <v>0.001883748643</v>
      </c>
      <c r="M288" s="14"/>
      <c r="N288" s="15">
        <f t="shared" si="86"/>
        <v>970.53</v>
      </c>
      <c r="O288" s="13">
        <f>IFERROR(N288/N446, "NA")</f>
        <v>-0.04397372442</v>
      </c>
      <c r="P288" s="14"/>
      <c r="Q288" s="12">
        <v>6405.54</v>
      </c>
      <c r="R288" s="13">
        <f>IFERROR(Q288/Q446, "NA")</f>
        <v>0.001334753069</v>
      </c>
      <c r="S288" s="14"/>
      <c r="T288" s="12">
        <v>7768.0</v>
      </c>
      <c r="U288" s="13">
        <f>IFERROR(T288/T446, "NA")</f>
        <v>0.001556474073</v>
      </c>
      <c r="V288" s="14"/>
      <c r="W288" s="15">
        <f t="shared" si="87"/>
        <v>1362.46</v>
      </c>
      <c r="X288" s="13">
        <f>IFERROR(W288/W446, "NA")</f>
        <v>-0.007106420904</v>
      </c>
      <c r="Y288" s="14"/>
      <c r="Z288" s="12">
        <v>7764.24</v>
      </c>
      <c r="AA288" s="13">
        <f>IFERROR(Z288/Z446, "NA")</f>
        <v>0.001680248628</v>
      </c>
      <c r="AB288" s="14"/>
      <c r="AC288" s="15">
        <f t="shared" si="88"/>
        <v>1358.7</v>
      </c>
      <c r="AD288" s="13">
        <f>IFERROR(AC288/AC446, "NA")</f>
        <v>0.007626402271</v>
      </c>
    </row>
    <row r="289" ht="16.5" customHeight="1">
      <c r="A289" s="11" t="s">
        <v>265</v>
      </c>
      <c r="B289" s="12">
        <v>295.8</v>
      </c>
      <c r="C289" s="13">
        <f>IFERROR(B289/B446, "NA")</f>
        <v>0.0005998279966</v>
      </c>
      <c r="D289" s="14"/>
      <c r="E289" s="12">
        <v>843.0</v>
      </c>
      <c r="F289" s="13">
        <f>IFERROR(E289/E446, "NA")</f>
        <v>0.001503761276</v>
      </c>
      <c r="G289" s="14"/>
      <c r="H289" s="15">
        <f t="shared" si="85"/>
        <v>547.2</v>
      </c>
      <c r="I289" s="13">
        <f>IFERROR(H289/H446, "NA")</f>
        <v>-0.00811232366</v>
      </c>
      <c r="J289" s="14"/>
      <c r="K289" s="12">
        <v>763.7900000000001</v>
      </c>
      <c r="L289" s="13">
        <f>IFERROR(K289/K446, "NA")</f>
        <v>0.001482476972</v>
      </c>
      <c r="M289" s="14"/>
      <c r="N289" s="15">
        <f t="shared" si="86"/>
        <v>467.99</v>
      </c>
      <c r="O289" s="13">
        <f>IFERROR(N289/N446, "NA")</f>
        <v>-0.02120414958</v>
      </c>
      <c r="P289" s="14"/>
      <c r="Q289" s="12">
        <v>5626.98</v>
      </c>
      <c r="R289" s="13">
        <f>IFERROR(Q289/Q446, "NA")</f>
        <v>0.00117252079</v>
      </c>
      <c r="S289" s="14"/>
      <c r="T289" s="12">
        <v>6744.0</v>
      </c>
      <c r="U289" s="13">
        <f>IFERROR(T289/T446, "NA")</f>
        <v>0.001351295204</v>
      </c>
      <c r="V289" s="14"/>
      <c r="W289" s="15">
        <f t="shared" si="87"/>
        <v>1117.02</v>
      </c>
      <c r="X289" s="13">
        <f>IFERROR(W289/W446, "NA")</f>
        <v>-0.00582623657</v>
      </c>
      <c r="Y289" s="14"/>
      <c r="Z289" s="12">
        <v>7045.95</v>
      </c>
      <c r="AA289" s="13">
        <f>IFERROR(Z289/Z446, "NA")</f>
        <v>0.001524804465</v>
      </c>
      <c r="AB289" s="14"/>
      <c r="AC289" s="15">
        <f t="shared" si="88"/>
        <v>1418.97</v>
      </c>
      <c r="AD289" s="13">
        <f>IFERROR(AC289/AC446, "NA")</f>
        <v>0.007964698632</v>
      </c>
    </row>
    <row r="290" ht="16.5" customHeight="1">
      <c r="A290" s="11" t="s">
        <v>266</v>
      </c>
      <c r="B290" s="12">
        <v>992.21</v>
      </c>
      <c r="C290" s="13">
        <f>IFERROR(B290/B446, "NA")</f>
        <v>0.002012019393</v>
      </c>
      <c r="D290" s="14"/>
      <c r="E290" s="12">
        <v>1149.0</v>
      </c>
      <c r="F290" s="13">
        <f>IFERROR(E290/E446, "NA")</f>
        <v>0.002049610565</v>
      </c>
      <c r="G290" s="14"/>
      <c r="H290" s="15">
        <f t="shared" si="85"/>
        <v>156.79</v>
      </c>
      <c r="I290" s="13">
        <f>IFERROR(H290/H446, "NA")</f>
        <v>-0.002324435721</v>
      </c>
      <c r="J290" s="14"/>
      <c r="K290" s="12">
        <v>1098.8</v>
      </c>
      <c r="L290" s="13">
        <f>IFERROR(K290/K446, "NA")</f>
        <v>0.002132714093</v>
      </c>
      <c r="M290" s="14"/>
      <c r="N290" s="15">
        <f t="shared" si="86"/>
        <v>106.59</v>
      </c>
      <c r="O290" s="13">
        <f>IFERROR(N290/N446, "NA")</f>
        <v>-0.004829484184</v>
      </c>
      <c r="P290" s="14"/>
      <c r="Q290" s="12">
        <v>9377.4</v>
      </c>
      <c r="R290" s="13">
        <f>IFERROR(Q290/Q446, "NA")</f>
        <v>0.00195401378</v>
      </c>
      <c r="S290" s="14"/>
      <c r="T290" s="12">
        <v>9192.0</v>
      </c>
      <c r="U290" s="13">
        <f>IFERROR(T290/T446, "NA")</f>
        <v>0.001841800937</v>
      </c>
      <c r="V290" s="14"/>
      <c r="W290" s="15">
        <f t="shared" si="87"/>
        <v>-185.4</v>
      </c>
      <c r="X290" s="13">
        <f>IFERROR(W290/W446, "NA")</f>
        <v>0.0009670232047</v>
      </c>
      <c r="Y290" s="14"/>
      <c r="Z290" s="12">
        <v>8613.59</v>
      </c>
      <c r="AA290" s="13">
        <f>IFERROR(Z290/Z446, "NA")</f>
        <v>0.001864055307</v>
      </c>
      <c r="AB290" s="14"/>
      <c r="AC290" s="15">
        <f t="shared" si="88"/>
        <v>-763.81</v>
      </c>
      <c r="AD290" s="13">
        <f>IFERROR(AC290/AC446, "NA")</f>
        <v>-0.004287276307</v>
      </c>
    </row>
    <row r="291" ht="16.5" customHeight="1">
      <c r="A291" s="11" t="s">
        <v>267</v>
      </c>
      <c r="B291" s="12">
        <v>2387.7999999999997</v>
      </c>
      <c r="C291" s="13">
        <f>IFERROR(B291/B446, "NA")</f>
        <v>0.004842019237</v>
      </c>
      <c r="D291" s="14"/>
      <c r="E291" s="12">
        <v>2990.47</v>
      </c>
      <c r="F291" s="13">
        <f>IFERROR(E291/E446, "NA")</f>
        <v>0.0053344638</v>
      </c>
      <c r="G291" s="14"/>
      <c r="H291" s="15">
        <f t="shared" si="85"/>
        <v>602.67</v>
      </c>
      <c r="I291" s="13">
        <f>IFERROR(H291/H446, "NA")</f>
        <v>-0.008934674891</v>
      </c>
      <c r="J291" s="14"/>
      <c r="K291" s="12">
        <v>5769.23</v>
      </c>
      <c r="L291" s="13">
        <f>IFERROR(K291/K446, "NA")</f>
        <v>0.01119777769</v>
      </c>
      <c r="M291" s="14"/>
      <c r="N291" s="15">
        <f t="shared" si="86"/>
        <v>3381.43</v>
      </c>
      <c r="O291" s="13">
        <f>IFERROR(N291/N446, "NA")</f>
        <v>-0.1532091444</v>
      </c>
      <c r="P291" s="14"/>
      <c r="Q291" s="12">
        <v>24582.809999999998</v>
      </c>
      <c r="R291" s="13">
        <f>IFERROR(Q291/Q446, "NA")</f>
        <v>0.005122437934</v>
      </c>
      <c r="S291" s="14"/>
      <c r="T291" s="12">
        <v>25280.62</v>
      </c>
      <c r="U291" s="13">
        <f>IFERROR(T291/T446, "NA")</f>
        <v>0.005065477546</v>
      </c>
      <c r="V291" s="14"/>
      <c r="W291" s="15">
        <f t="shared" si="87"/>
        <v>697.81</v>
      </c>
      <c r="X291" s="13">
        <f>IFERROR(W291/W446, "NA")</f>
        <v>-0.003639689658</v>
      </c>
      <c r="Y291" s="14"/>
      <c r="Z291" s="12">
        <v>28904.940000000002</v>
      </c>
      <c r="AA291" s="13">
        <f>IFERROR(Z291/Z446, "NA")</f>
        <v>0.006255278788</v>
      </c>
      <c r="AB291" s="14"/>
      <c r="AC291" s="15">
        <f t="shared" si="88"/>
        <v>4322.13</v>
      </c>
      <c r="AD291" s="13">
        <f>IFERROR(AC291/AC446, "NA")</f>
        <v>0.02426017668</v>
      </c>
    </row>
    <row r="292" ht="16.5" customHeight="1">
      <c r="A292" s="11" t="s">
        <v>268</v>
      </c>
      <c r="B292" s="12">
        <v>2819.31</v>
      </c>
      <c r="C292" s="13">
        <f>IFERROR(B292/B446, "NA")</f>
        <v>0.005717042154</v>
      </c>
      <c r="D292" s="14"/>
      <c r="E292" s="12">
        <v>2994.1800000000003</v>
      </c>
      <c r="F292" s="13">
        <f>IFERROR(E292/E446, "NA")</f>
        <v>0.005341081777</v>
      </c>
      <c r="G292" s="14"/>
      <c r="H292" s="15">
        <f t="shared" si="85"/>
        <v>174.87</v>
      </c>
      <c r="I292" s="13">
        <f>IFERROR(H292/H446, "NA")</f>
        <v>-0.002592474486</v>
      </c>
      <c r="J292" s="14"/>
      <c r="K292" s="12">
        <v>2740.95</v>
      </c>
      <c r="L292" s="13">
        <f>IFERROR(K292/K446, "NA")</f>
        <v>0.005320042495</v>
      </c>
      <c r="M292" s="14"/>
      <c r="N292" s="15">
        <f t="shared" si="86"/>
        <v>-78.36</v>
      </c>
      <c r="O292" s="13">
        <f>IFERROR(N292/N446, "NA")</f>
        <v>0.003550411677</v>
      </c>
      <c r="P292" s="14"/>
      <c r="Q292" s="12">
        <v>46337.350000000006</v>
      </c>
      <c r="R292" s="13">
        <f>IFERROR(Q292/Q446, "NA")</f>
        <v>0.009655535693</v>
      </c>
      <c r="S292" s="14"/>
      <c r="T292" s="12">
        <v>26257.989999999998</v>
      </c>
      <c r="U292" s="13">
        <f>IFERROR(T292/T446, "NA")</f>
        <v>0.005261313162</v>
      </c>
      <c r="V292" s="14"/>
      <c r="W292" s="15">
        <f t="shared" si="87"/>
        <v>-20079.36</v>
      </c>
      <c r="X292" s="13">
        <f>IFERROR(W292/W446, "NA")</f>
        <v>0.1047314296</v>
      </c>
      <c r="Y292" s="14"/>
      <c r="Z292" s="12">
        <v>31832.739999999998</v>
      </c>
      <c r="AA292" s="13">
        <f>IFERROR(Z292/Z446, "NA")</f>
        <v>0.006888880008</v>
      </c>
      <c r="AB292" s="14"/>
      <c r="AC292" s="15">
        <f t="shared" si="88"/>
        <v>-14504.61</v>
      </c>
      <c r="AD292" s="13">
        <f>IFERROR(AC292/AC446, "NA")</f>
        <v>-0.08141458059</v>
      </c>
    </row>
    <row r="293" ht="16.5" customHeight="1">
      <c r="A293" s="11" t="s">
        <v>269</v>
      </c>
      <c r="B293" s="12">
        <v>0.0</v>
      </c>
      <c r="C293" s="13">
        <f>IFERROR(B293/B446, "NA")</f>
        <v>0</v>
      </c>
      <c r="D293" s="14"/>
      <c r="E293" s="12">
        <v>823.55</v>
      </c>
      <c r="F293" s="13">
        <f>IFERROR(E293/E446, "NA")</f>
        <v>0.001469065954</v>
      </c>
      <c r="G293" s="14"/>
      <c r="H293" s="15">
        <f t="shared" si="85"/>
        <v>823.55</v>
      </c>
      <c r="I293" s="13">
        <f>IFERROR(H293/H446, "NA")</f>
        <v>-0.01220925466</v>
      </c>
      <c r="J293" s="14"/>
      <c r="K293" s="12">
        <v>336.68</v>
      </c>
      <c r="L293" s="13">
        <f>IFERROR(K293/K446, "NA")</f>
        <v>0.0006534785046</v>
      </c>
      <c r="M293" s="14"/>
      <c r="N293" s="15">
        <f t="shared" si="86"/>
        <v>336.68</v>
      </c>
      <c r="O293" s="13">
        <f>IFERROR(N293/N446, "NA")</f>
        <v>-0.01525462741</v>
      </c>
      <c r="P293" s="14"/>
      <c r="Q293" s="12">
        <v>3174.26</v>
      </c>
      <c r="R293" s="13">
        <f>IFERROR(Q293/Q446, "NA")</f>
        <v>0.000661435769</v>
      </c>
      <c r="S293" s="14"/>
      <c r="T293" s="12">
        <v>7228.34</v>
      </c>
      <c r="U293" s="13">
        <f>IFERROR(T293/T446, "NA")</f>
        <v>0.001448342405</v>
      </c>
      <c r="V293" s="14"/>
      <c r="W293" s="15">
        <f t="shared" si="87"/>
        <v>4054.08</v>
      </c>
      <c r="X293" s="13">
        <f>IFERROR(W293/W446, "NA")</f>
        <v>-0.02114557408</v>
      </c>
      <c r="Y293" s="14"/>
      <c r="Z293" s="12">
        <v>6160.249999999999</v>
      </c>
      <c r="AA293" s="13">
        <f>IFERROR(Z293/Z446, "NA")</f>
        <v>0.001333131332</v>
      </c>
      <c r="AB293" s="14"/>
      <c r="AC293" s="15">
        <f t="shared" si="88"/>
        <v>2985.99</v>
      </c>
      <c r="AD293" s="13">
        <f>IFERROR(AC293/AC446, "NA")</f>
        <v>0.016760404</v>
      </c>
    </row>
    <row r="294" ht="16.5" customHeight="1">
      <c r="A294" s="11" t="s">
        <v>270</v>
      </c>
      <c r="B294" s="12">
        <v>1082.3</v>
      </c>
      <c r="C294" s="13">
        <f>IFERROR(B294/B446, "NA")</f>
        <v>0.002194705344</v>
      </c>
      <c r="D294" s="14"/>
      <c r="E294" s="12">
        <v>785.06</v>
      </c>
      <c r="F294" s="13">
        <f>IFERROR(E294/E446, "NA")</f>
        <v>0.001400406676</v>
      </c>
      <c r="G294" s="14"/>
      <c r="H294" s="15">
        <f t="shared" si="85"/>
        <v>-297.24</v>
      </c>
      <c r="I294" s="13">
        <f>IFERROR(H294/H446, "NA")</f>
        <v>0.004406628444</v>
      </c>
      <c r="J294" s="14"/>
      <c r="K294" s="12">
        <v>3091.48</v>
      </c>
      <c r="L294" s="13">
        <f>IFERROR(K294/K446, "NA")</f>
        <v>0.006000403135</v>
      </c>
      <c r="M294" s="14"/>
      <c r="N294" s="15">
        <f t="shared" si="86"/>
        <v>2009.18</v>
      </c>
      <c r="O294" s="13">
        <f>IFERROR(N294/N446, "NA")</f>
        <v>-0.09103389655</v>
      </c>
      <c r="P294" s="14"/>
      <c r="Q294" s="12">
        <v>4385.219999999999</v>
      </c>
      <c r="R294" s="13">
        <f>IFERROR(Q294/Q446, "NA")</f>
        <v>0.0009137693077</v>
      </c>
      <c r="S294" s="14"/>
      <c r="T294" s="12">
        <v>6916.7</v>
      </c>
      <c r="U294" s="13">
        <f>IFERROR(T294/T446, "NA")</f>
        <v>0.001385899101</v>
      </c>
      <c r="V294" s="14"/>
      <c r="W294" s="15">
        <f t="shared" si="87"/>
        <v>2531.48</v>
      </c>
      <c r="X294" s="13">
        <f>IFERROR(W294/W446, "NA")</f>
        <v>-0.01320388297</v>
      </c>
      <c r="Y294" s="14"/>
      <c r="Z294" s="12">
        <v>7515.01</v>
      </c>
      <c r="AA294" s="13">
        <f>IFERROR(Z294/Z446, "NA")</f>
        <v>0.001626313102</v>
      </c>
      <c r="AB294" s="14"/>
      <c r="AC294" s="15">
        <f t="shared" si="88"/>
        <v>3129.79</v>
      </c>
      <c r="AD294" s="13">
        <f>IFERROR(AC294/AC446, "NA")</f>
        <v>0.01756755543</v>
      </c>
    </row>
    <row r="295" ht="16.5" customHeight="1">
      <c r="A295" s="11" t="s">
        <v>271</v>
      </c>
      <c r="B295" s="12">
        <v>967.99</v>
      </c>
      <c r="C295" s="13">
        <f>IFERROR(B295/B446, "NA")</f>
        <v>0.001962905688</v>
      </c>
      <c r="D295" s="14"/>
      <c r="E295" s="12">
        <v>1784.0</v>
      </c>
      <c r="F295" s="13">
        <f>IFERROR(E295/E446, "NA")</f>
        <v>0.003182337031</v>
      </c>
      <c r="G295" s="14"/>
      <c r="H295" s="15">
        <f t="shared" si="85"/>
        <v>816.01</v>
      </c>
      <c r="I295" s="13">
        <f>IFERROR(H295/H446, "NA")</f>
        <v>-0.01209747301</v>
      </c>
      <c r="J295" s="14"/>
      <c r="K295" s="12">
        <v>1703.23</v>
      </c>
      <c r="L295" s="13">
        <f>IFERROR(K295/K446, "NA")</f>
        <v>0.00330588153</v>
      </c>
      <c r="M295" s="14"/>
      <c r="N295" s="15">
        <f t="shared" si="86"/>
        <v>735.24</v>
      </c>
      <c r="O295" s="13">
        <f>IFERROR(N295/N446, "NA")</f>
        <v>-0.0333129745</v>
      </c>
      <c r="P295" s="14"/>
      <c r="Q295" s="12">
        <v>8325.26</v>
      </c>
      <c r="R295" s="13">
        <f>IFERROR(Q295/Q446, "NA")</f>
        <v>0.001734774325</v>
      </c>
      <c r="S295" s="14"/>
      <c r="T295" s="12">
        <v>14272.0</v>
      </c>
      <c r="U295" s="13">
        <f>IFERROR(T295/T446, "NA")</f>
        <v>0.00285968048</v>
      </c>
      <c r="V295" s="14"/>
      <c r="W295" s="15">
        <f t="shared" si="87"/>
        <v>5946.74</v>
      </c>
      <c r="X295" s="13">
        <f>IFERROR(W295/W446, "NA")</f>
        <v>-0.03101745185</v>
      </c>
      <c r="Y295" s="14"/>
      <c r="Z295" s="12">
        <v>14535.78</v>
      </c>
      <c r="AA295" s="13">
        <f>IFERROR(Z295/Z446, "NA")</f>
        <v>0.003145668398</v>
      </c>
      <c r="AB295" s="14"/>
      <c r="AC295" s="15">
        <f t="shared" si="88"/>
        <v>6210.52</v>
      </c>
      <c r="AD295" s="13">
        <f>IFERROR(AC295/AC446, "NA")</f>
        <v>0.03485973639</v>
      </c>
    </row>
    <row r="296" ht="16.5" customHeight="1">
      <c r="A296" s="16" t="s">
        <v>272</v>
      </c>
      <c r="B296" s="17">
        <f>IFERROR(B287+B288+B289+B290+B291+B292+B293+B294+B295, "NA")</f>
        <v>8545.41</v>
      </c>
      <c r="C296" s="18">
        <f>IFERROR(B296/B446, "NA")</f>
        <v>0.01732851981</v>
      </c>
      <c r="D296" s="8"/>
      <c r="E296" s="17">
        <f>IFERROR(E287+E288+E289+E290+E291+E292+E293+E294+E295, "NA")</f>
        <v>12340.26</v>
      </c>
      <c r="F296" s="18">
        <f>IFERROR(E296/E446, "NA")</f>
        <v>0.02201281747</v>
      </c>
      <c r="G296" s="8"/>
      <c r="H296" s="17">
        <f t="shared" si="85"/>
        <v>3794.85</v>
      </c>
      <c r="I296" s="18">
        <f>IFERROR(H296/H446, "NA")</f>
        <v>-0.05625923144</v>
      </c>
      <c r="J296" s="8"/>
      <c r="K296" s="17">
        <f>IFERROR(K287+K288+K289+K290+K291+K292+K293+K294+K295, "NA")</f>
        <v>16474.69</v>
      </c>
      <c r="L296" s="18">
        <f>IFERROR(K296/K446, "NA")</f>
        <v>0.03197652306</v>
      </c>
      <c r="M296" s="8"/>
      <c r="N296" s="17">
        <f t="shared" si="86"/>
        <v>7929.28</v>
      </c>
      <c r="O296" s="18">
        <f>IFERROR(N296/N446, "NA")</f>
        <v>-0.3592675894</v>
      </c>
      <c r="P296" s="8"/>
      <c r="Q296" s="17">
        <f>IFERROR(Q287+Q288+Q289+Q290+Q291+Q292+Q293+Q294+Q295, "NA")</f>
        <v>108214.82</v>
      </c>
      <c r="R296" s="18">
        <f>IFERROR(Q296/Q446, "NA")</f>
        <v>0.02254924067</v>
      </c>
      <c r="S296" s="8"/>
      <c r="T296" s="17">
        <f>IFERROR(T287+T288+T289+T290+T291+T292+T293+T294+T295, "NA")</f>
        <v>103659.65</v>
      </c>
      <c r="U296" s="18">
        <f>IFERROR(T296/T446, "NA")</f>
        <v>0.02077028291</v>
      </c>
      <c r="V296" s="8"/>
      <c r="W296" s="17">
        <f t="shared" si="87"/>
        <v>-4555.17</v>
      </c>
      <c r="X296" s="18">
        <f>IFERROR(W296/W446, "NA")</f>
        <v>0.02375919683</v>
      </c>
      <c r="Y296" s="8"/>
      <c r="Z296" s="17">
        <f>IFERROR(Z287+Z288+Z289+Z290+Z291+Z292+Z293+Z294+Z295, "NA")</f>
        <v>112372.5</v>
      </c>
      <c r="AA296" s="18">
        <f>IFERROR(Z296/Z446, "NA")</f>
        <v>0.02431838003</v>
      </c>
      <c r="AB296" s="8"/>
      <c r="AC296" s="17">
        <f t="shared" si="88"/>
        <v>4157.68</v>
      </c>
      <c r="AD296" s="18">
        <f>IFERROR(AC296/AC446, "NA")</f>
        <v>0.0233371165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>
        <f>IFERROR(B298/B446, "NA")</f>
        <v>0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>
        <f>IFERROR(B299/B446, "NA")</f>
        <v>0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3066.59</v>
      </c>
      <c r="C300" s="13">
        <f>IFERROR(B300/B446, "NA")</f>
        <v>0.006218480514</v>
      </c>
      <c r="D300" s="14"/>
      <c r="E300" s="12">
        <v>2209.0</v>
      </c>
      <c r="F300" s="13">
        <f>IFERROR(E300/E446, "NA")</f>
        <v>0.003940461043</v>
      </c>
      <c r="G300" s="14"/>
      <c r="H300" s="15">
        <f t="shared" si="89"/>
        <v>-857.59</v>
      </c>
      <c r="I300" s="13">
        <f>IFERROR(H300/H446, "NA")</f>
        <v>0.01271390287</v>
      </c>
      <c r="J300" s="14"/>
      <c r="K300" s="12">
        <v>1905.52</v>
      </c>
      <c r="L300" s="13">
        <f>IFERROR(K300/K446, "NA")</f>
        <v>0.00369851598</v>
      </c>
      <c r="M300" s="14"/>
      <c r="N300" s="15">
        <f t="shared" si="90"/>
        <v>-1161.07</v>
      </c>
      <c r="O300" s="13">
        <f>IFERROR(N300/N446, "NA")</f>
        <v>0.05260689748</v>
      </c>
      <c r="P300" s="14"/>
      <c r="Q300" s="12">
        <v>22486.230000000003</v>
      </c>
      <c r="R300" s="13">
        <f>IFERROR(Q300/Q446, "NA")</f>
        <v>0.004685563511</v>
      </c>
      <c r="S300" s="14"/>
      <c r="T300" s="12">
        <v>17672.0</v>
      </c>
      <c r="U300" s="13">
        <f>IFERROR(T300/T446, "NA")</f>
        <v>0.003540938442</v>
      </c>
      <c r="V300" s="14"/>
      <c r="W300" s="15">
        <f t="shared" si="91"/>
        <v>-4814.23</v>
      </c>
      <c r="X300" s="13">
        <f>IFERROR(W300/W446, "NA")</f>
        <v>0.02511042138</v>
      </c>
      <c r="Y300" s="14"/>
      <c r="Z300" s="12">
        <v>19351.07</v>
      </c>
      <c r="AA300" s="13">
        <f>IFERROR(Z300/Z446, "NA")</f>
        <v>0.004187738764</v>
      </c>
      <c r="AB300" s="14"/>
      <c r="AC300" s="15">
        <f t="shared" si="92"/>
        <v>-3135.16</v>
      </c>
      <c r="AD300" s="13">
        <f>IFERROR(AC300/AC446, "NA")</f>
        <v>-0.01759769732</v>
      </c>
    </row>
    <row r="301" ht="16.5" hidden="1" customHeight="1">
      <c r="A301" s="11" t="s">
        <v>276</v>
      </c>
      <c r="B301" s="12">
        <v>0.0</v>
      </c>
      <c r="C301" s="13">
        <f>IFERROR(B301/B446, "NA")</f>
        <v>0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>
        <f>IFERROR(B302/B446, "NA")</f>
        <v>0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>
        <f>IFERROR(B303/B446, "NA")</f>
        <v>0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>
        <f>IFERROR(B304/B446, "NA")</f>
        <v>0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customHeight="1">
      <c r="A305" s="11" t="s">
        <v>280</v>
      </c>
      <c r="B305" s="12">
        <v>0.0</v>
      </c>
      <c r="C305" s="13">
        <f>IFERROR(B305/B446, "NA")</f>
        <v>0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956.6800000000001</v>
      </c>
      <c r="R305" s="13">
        <f>IFERROR(Q305/Q446, "NA")</f>
        <v>0.0001993479965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-956.68</v>
      </c>
      <c r="X305" s="13">
        <f>IFERROR(W305/W446, "NA")</f>
        <v>0.004989923191</v>
      </c>
      <c r="Y305" s="14"/>
      <c r="Z305" s="12">
        <v>834.6200000000001</v>
      </c>
      <c r="AA305" s="13">
        <f>IFERROR(Z305/Z446, "NA")</f>
        <v>0.0001806189801</v>
      </c>
      <c r="AB305" s="14"/>
      <c r="AC305" s="15">
        <f t="shared" si="92"/>
        <v>-122.06</v>
      </c>
      <c r="AD305" s="13">
        <f>IFERROR(AC305/AC446, "NA")</f>
        <v>-0.0006851245023</v>
      </c>
    </row>
    <row r="306" ht="16.5" customHeight="1">
      <c r="A306" s="11" t="s">
        <v>281</v>
      </c>
      <c r="B306" s="12">
        <v>207.08</v>
      </c>
      <c r="C306" s="13">
        <f>IFERROR(B306/B446, "NA")</f>
        <v>0.0004199201539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-207.08</v>
      </c>
      <c r="I306" s="13">
        <f>IFERROR(H306/H446, "NA")</f>
        <v>0.00306999266</v>
      </c>
      <c r="J306" s="14"/>
      <c r="K306" s="12">
        <v>332.46</v>
      </c>
      <c r="L306" s="13">
        <f>IFERROR(K306/K446, "NA")</f>
        <v>0.0006452877024</v>
      </c>
      <c r="M306" s="14"/>
      <c r="N306" s="15">
        <f t="shared" si="90"/>
        <v>125.38</v>
      </c>
      <c r="O306" s="13">
        <f>IFERROR(N306/N446, "NA")</f>
        <v>-0.00568083992</v>
      </c>
      <c r="P306" s="14"/>
      <c r="Q306" s="12">
        <v>1911.47</v>
      </c>
      <c r="R306" s="13">
        <f>IFERROR(Q306/Q446, "NA")</f>
        <v>0.0003983021647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-1911.47</v>
      </c>
      <c r="X306" s="13">
        <f>IFERROR(W306/W446, "NA")</f>
        <v>0.009969988377</v>
      </c>
      <c r="Y306" s="14"/>
      <c r="Z306" s="12">
        <v>657.73</v>
      </c>
      <c r="AA306" s="13">
        <f>IFERROR(Z306/Z446, "NA")</f>
        <v>0.0001423384556</v>
      </c>
      <c r="AB306" s="14"/>
      <c r="AC306" s="15">
        <f t="shared" si="92"/>
        <v>-1253.74</v>
      </c>
      <c r="AD306" s="13">
        <f>IFERROR(AC306/AC446, "NA")</f>
        <v>-0.00703726031</v>
      </c>
    </row>
    <row r="307" ht="16.5" hidden="1" customHeight="1">
      <c r="A307" s="11" t="s">
        <v>282</v>
      </c>
      <c r="B307" s="12">
        <v>0.0</v>
      </c>
      <c r="C307" s="13">
        <f>IFERROR(B307/B446, "NA")</f>
        <v>0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>
        <f>IFERROR(B308/B446, "NA")</f>
        <v>0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>
        <f>IFERROR(B309/B446, "NA")</f>
        <v>0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>
        <f>IFERROR(B310/B446, "NA")</f>
        <v>0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>
        <f>IFERROR(B311/B446, "NA")</f>
        <v>0</v>
      </c>
      <c r="D311" s="14"/>
      <c r="E311" s="12">
        <v>275.0</v>
      </c>
      <c r="F311" s="13">
        <f>IFERROR(E311/E446, "NA")</f>
        <v>0.0004905508315</v>
      </c>
      <c r="G311" s="14"/>
      <c r="H311" s="15">
        <f t="shared" si="89"/>
        <v>275</v>
      </c>
      <c r="I311" s="13">
        <f>IFERROR(H311/H446, "NA")</f>
        <v>-0.004076917044</v>
      </c>
      <c r="J311" s="14"/>
      <c r="K311" s="12">
        <v>94.38999999999999</v>
      </c>
      <c r="L311" s="13">
        <f>IFERROR(K311/K446, "NA")</f>
        <v>0.0001832061187</v>
      </c>
      <c r="M311" s="14"/>
      <c r="N311" s="15">
        <f t="shared" si="90"/>
        <v>94.39</v>
      </c>
      <c r="O311" s="13">
        <f>IFERROR(N311/N446, "NA")</f>
        <v>-0.004276714628</v>
      </c>
      <c r="P311" s="14"/>
      <c r="Q311" s="12">
        <v>1540.4</v>
      </c>
      <c r="R311" s="13">
        <f>IFERROR(Q311/Q446, "NA")</f>
        <v>0.0003209805304</v>
      </c>
      <c r="S311" s="14"/>
      <c r="T311" s="12">
        <v>2200.0</v>
      </c>
      <c r="U311" s="13">
        <f>IFERROR(T311/T446, "NA")</f>
        <v>0.0004408139753</v>
      </c>
      <c r="V311" s="14"/>
      <c r="W311" s="15">
        <f t="shared" si="91"/>
        <v>659.6</v>
      </c>
      <c r="X311" s="13">
        <f>IFERROR(W311/W446, "NA")</f>
        <v>-0.003440391078</v>
      </c>
      <c r="Y311" s="14"/>
      <c r="Z311" s="12">
        <v>2769.5299999999997</v>
      </c>
      <c r="AA311" s="13">
        <f>IFERROR(Z311/Z446, "NA")</f>
        <v>0.000599350224</v>
      </c>
      <c r="AB311" s="14"/>
      <c r="AC311" s="15">
        <f t="shared" si="92"/>
        <v>1229.13</v>
      </c>
      <c r="AD311" s="13">
        <f>IFERROR(AC311/AC446, "NA")</f>
        <v>0.006899124033</v>
      </c>
    </row>
    <row r="312" ht="16.5" customHeight="1">
      <c r="A312" s="11" t="s">
        <v>287</v>
      </c>
      <c r="B312" s="12">
        <v>0.0</v>
      </c>
      <c r="C312" s="13">
        <f>IFERROR(B312/B446, "NA")</f>
        <v>0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167.48</v>
      </c>
      <c r="AA312" s="13">
        <f>IFERROR(Z312/Z446, "NA")</f>
        <v>0.00003624411922</v>
      </c>
      <c r="AB312" s="14"/>
      <c r="AC312" s="15">
        <f t="shared" si="92"/>
        <v>167.48</v>
      </c>
      <c r="AD312" s="13">
        <f>IFERROR(AC312/AC446, "NA")</f>
        <v>0.0009400676031</v>
      </c>
    </row>
    <row r="313" ht="16.5" customHeight="1">
      <c r="A313" s="11" t="s">
        <v>288</v>
      </c>
      <c r="B313" s="12">
        <v>1928.34</v>
      </c>
      <c r="C313" s="13">
        <f>IFERROR(B313/B446, "NA")</f>
        <v>0.00391031886</v>
      </c>
      <c r="D313" s="14"/>
      <c r="E313" s="12">
        <v>175.0</v>
      </c>
      <c r="F313" s="13">
        <f>IFERROR(E313/E446, "NA")</f>
        <v>0.000312168711</v>
      </c>
      <c r="G313" s="14"/>
      <c r="H313" s="15">
        <f t="shared" si="89"/>
        <v>-1753.34</v>
      </c>
      <c r="I313" s="13">
        <f>IFERROR(H313/H446, "NA")</f>
        <v>0.02599353356</v>
      </c>
      <c r="J313" s="14"/>
      <c r="K313" s="12">
        <v>2452.24</v>
      </c>
      <c r="L313" s="13">
        <f>IFERROR(K313/K446, "NA")</f>
        <v>0.004759671285</v>
      </c>
      <c r="M313" s="14"/>
      <c r="N313" s="15">
        <f t="shared" si="90"/>
        <v>523.9</v>
      </c>
      <c r="O313" s="13">
        <f>IFERROR(N313/N446, "NA")</f>
        <v>-0.02373737465</v>
      </c>
      <c r="P313" s="14"/>
      <c r="Q313" s="12">
        <v>17827.55</v>
      </c>
      <c r="R313" s="13">
        <f>IFERROR(Q313/Q446, "NA")</f>
        <v>0.003714812033</v>
      </c>
      <c r="S313" s="14"/>
      <c r="T313" s="12">
        <v>1400.0</v>
      </c>
      <c r="U313" s="13">
        <f>IFERROR(T313/T446, "NA")</f>
        <v>0.0002805179843</v>
      </c>
      <c r="V313" s="14"/>
      <c r="W313" s="15">
        <f t="shared" si="91"/>
        <v>-16427.55</v>
      </c>
      <c r="X313" s="13">
        <f>IFERROR(W313/W446, "NA")</f>
        <v>0.08568404556</v>
      </c>
      <c r="Y313" s="14"/>
      <c r="Z313" s="12">
        <v>12661.13</v>
      </c>
      <c r="AA313" s="13">
        <f>IFERROR(Z313/Z446, "NA")</f>
        <v>0.002739977939</v>
      </c>
      <c r="AB313" s="14"/>
      <c r="AC313" s="15">
        <f t="shared" si="92"/>
        <v>-5166.42</v>
      </c>
      <c r="AD313" s="13">
        <f>IFERROR(AC313/AC446, "NA")</f>
        <v>-0.02899918836</v>
      </c>
    </row>
    <row r="314" ht="16.5" customHeight="1">
      <c r="A314" s="11" t="s">
        <v>289</v>
      </c>
      <c r="B314" s="12">
        <v>455.42</v>
      </c>
      <c r="C314" s="13">
        <f>IFERROR(B314/B446, "NA")</f>
        <v>0.0009235079993</v>
      </c>
      <c r="D314" s="14"/>
      <c r="E314" s="12">
        <v>310.0</v>
      </c>
      <c r="F314" s="13">
        <f>IFERROR(E314/E446, "NA")</f>
        <v>0.0005529845737</v>
      </c>
      <c r="G314" s="14"/>
      <c r="H314" s="15">
        <f t="shared" si="89"/>
        <v>-145.42</v>
      </c>
      <c r="I314" s="13">
        <f>IFERROR(H314/H446, "NA")</f>
        <v>0.002155873733</v>
      </c>
      <c r="J314" s="14"/>
      <c r="K314" s="12">
        <v>359.05</v>
      </c>
      <c r="L314" s="13">
        <f>IFERROR(K314/K446, "NA")</f>
        <v>0.0006968975202</v>
      </c>
      <c r="M314" s="14"/>
      <c r="N314" s="15">
        <f t="shared" si="90"/>
        <v>-96.37</v>
      </c>
      <c r="O314" s="13">
        <f>IFERROR(N314/N446, "NA")</f>
        <v>0.004366426408</v>
      </c>
      <c r="P314" s="14"/>
      <c r="Q314" s="12">
        <v>3490.58</v>
      </c>
      <c r="R314" s="13">
        <f>IFERROR(Q314/Q446, "NA")</f>
        <v>0.0007273488833</v>
      </c>
      <c r="S314" s="14"/>
      <c r="T314" s="12">
        <v>2490.0</v>
      </c>
      <c r="U314" s="13">
        <f>IFERROR(T314/T446, "NA")</f>
        <v>0.0004989212721</v>
      </c>
      <c r="V314" s="14"/>
      <c r="W314" s="15">
        <f t="shared" si="91"/>
        <v>-1000.58</v>
      </c>
      <c r="X314" s="13">
        <f>IFERROR(W314/W446, "NA")</f>
        <v>0.005218900098</v>
      </c>
      <c r="Y314" s="14"/>
      <c r="Z314" s="12">
        <v>2637.2999999999997</v>
      </c>
      <c r="AA314" s="13">
        <f>IFERROR(Z314/Z446, "NA")</f>
        <v>0.0005707345093</v>
      </c>
      <c r="AB314" s="14"/>
      <c r="AC314" s="15">
        <f t="shared" si="92"/>
        <v>-853.28</v>
      </c>
      <c r="AD314" s="13">
        <f>IFERROR(AC314/AC446, "NA")</f>
        <v>-0.00478947268</v>
      </c>
    </row>
    <row r="315" ht="16.5" hidden="1" customHeight="1">
      <c r="A315" s="11" t="s">
        <v>290</v>
      </c>
      <c r="B315" s="12">
        <v>0.0</v>
      </c>
      <c r="C315" s="13">
        <f>IFERROR(B315/B446, "NA")</f>
        <v>0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customHeight="1">
      <c r="A316" s="11" t="s">
        <v>291</v>
      </c>
      <c r="B316" s="12">
        <v>1585.65</v>
      </c>
      <c r="C316" s="13">
        <f>IFERROR(B316/B446, "NA")</f>
        <v>0.003215406568</v>
      </c>
      <c r="D316" s="14"/>
      <c r="E316" s="12">
        <v>1540.19</v>
      </c>
      <c r="F316" s="13">
        <f>IFERROR(E316/E446, "NA")</f>
        <v>0.002747423582</v>
      </c>
      <c r="G316" s="14"/>
      <c r="H316" s="15">
        <f t="shared" si="89"/>
        <v>-45.46</v>
      </c>
      <c r="I316" s="13">
        <f>IFERROR(H316/H446, "NA")</f>
        <v>0.0006739514503</v>
      </c>
      <c r="J316" s="14"/>
      <c r="K316" s="12">
        <v>1735.52</v>
      </c>
      <c r="L316" s="13">
        <f>IFERROR(K316/K446, "NA")</f>
        <v>0.003368554753</v>
      </c>
      <c r="M316" s="14"/>
      <c r="N316" s="15">
        <f t="shared" si="90"/>
        <v>149.87</v>
      </c>
      <c r="O316" s="13">
        <f>IFERROR(N316/N446, "NA")</f>
        <v>-0.006790456841</v>
      </c>
      <c r="P316" s="14"/>
      <c r="Q316" s="12">
        <v>13318.480000000001</v>
      </c>
      <c r="R316" s="13">
        <f>IFERROR(Q316/Q446, "NA")</f>
        <v>0.002775235507</v>
      </c>
      <c r="S316" s="14"/>
      <c r="T316" s="12">
        <v>13773.970000000001</v>
      </c>
      <c r="U316" s="13">
        <f>IFERROR(T316/T446, "NA")</f>
        <v>0.002759890215</v>
      </c>
      <c r="V316" s="14"/>
      <c r="W316" s="15">
        <f t="shared" si="91"/>
        <v>455.49</v>
      </c>
      <c r="X316" s="13">
        <f>IFERROR(W316/W446, "NA")</f>
        <v>-0.002375778854</v>
      </c>
      <c r="Y316" s="14"/>
      <c r="Z316" s="12">
        <v>13216.369999999999</v>
      </c>
      <c r="AA316" s="13">
        <f>IFERROR(Z316/Z446, "NA")</f>
        <v>0.002860136673</v>
      </c>
      <c r="AB316" s="14"/>
      <c r="AC316" s="15">
        <f t="shared" si="92"/>
        <v>-102.11</v>
      </c>
      <c r="AD316" s="13">
        <f>IFERROR(AC316/AC446, "NA")</f>
        <v>-0.0005731448708</v>
      </c>
    </row>
    <row r="317" ht="16.5" customHeight="1">
      <c r="A317" s="11" t="s">
        <v>292</v>
      </c>
      <c r="B317" s="12">
        <v>47.52</v>
      </c>
      <c r="C317" s="13">
        <f>IFERROR(B317/B446, "NA")</f>
        <v>0.00009636182014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-47.52</v>
      </c>
      <c r="I317" s="13">
        <f>IFERROR(H317/H446, "NA")</f>
        <v>0.0007044912652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-47.52</v>
      </c>
      <c r="O317" s="13">
        <f>IFERROR(N317/N446, "NA")</f>
        <v>0.002153082732</v>
      </c>
      <c r="P317" s="14"/>
      <c r="Q317" s="12">
        <v>1640.27</v>
      </c>
      <c r="R317" s="13">
        <f>IFERROR(Q317/Q446, "NA")</f>
        <v>0.000341790921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-1640.27</v>
      </c>
      <c r="X317" s="13">
        <f>IFERROR(W317/W446, "NA")</f>
        <v>0.008555443107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-1640.27</v>
      </c>
      <c r="AD317" s="13">
        <f>IFERROR(AC317/AC446, "NA")</f>
        <v>-0.009206858654</v>
      </c>
    </row>
    <row r="318" ht="16.5" hidden="1" customHeight="1">
      <c r="A318" s="11" t="s">
        <v>293</v>
      </c>
      <c r="B318" s="12">
        <v>0.0</v>
      </c>
      <c r="C318" s="13">
        <f>IFERROR(B318/B446, "NA")</f>
        <v>0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customHeight="1">
      <c r="A319" s="11" t="s">
        <v>294</v>
      </c>
      <c r="B319" s="12">
        <v>490.6</v>
      </c>
      <c r="C319" s="13">
        <f>IFERROR(B319/B446, "NA")</f>
        <v>0.000994846569</v>
      </c>
      <c r="D319" s="14"/>
      <c r="E319" s="12">
        <v>1321.0</v>
      </c>
      <c r="F319" s="13">
        <f>IFERROR(E319/E446, "NA")</f>
        <v>0.002356427812</v>
      </c>
      <c r="G319" s="14"/>
      <c r="H319" s="15">
        <f t="shared" si="89"/>
        <v>830.4</v>
      </c>
      <c r="I319" s="13">
        <f>IFERROR(H319/H446, "NA")</f>
        <v>-0.01231080696</v>
      </c>
      <c r="J319" s="14"/>
      <c r="K319" s="12">
        <v>1319.75</v>
      </c>
      <c r="L319" s="13">
        <f>IFERROR(K319/K446, "NA")</f>
        <v>0.00256156664</v>
      </c>
      <c r="M319" s="14"/>
      <c r="N319" s="15">
        <f t="shared" si="90"/>
        <v>829.15</v>
      </c>
      <c r="O319" s="13">
        <f>IFERROR(N319/N446, "NA")</f>
        <v>-0.03756794082</v>
      </c>
      <c r="P319" s="14"/>
      <c r="Q319" s="12">
        <v>8070.55</v>
      </c>
      <c r="R319" s="13">
        <f>IFERROR(Q319/Q446, "NA")</f>
        <v>0.001681699182</v>
      </c>
      <c r="S319" s="14"/>
      <c r="T319" s="12">
        <v>10568.0</v>
      </c>
      <c r="U319" s="13">
        <f>IFERROR(T319/T446, "NA")</f>
        <v>0.002117510042</v>
      </c>
      <c r="V319" s="14"/>
      <c r="W319" s="15">
        <f t="shared" si="91"/>
        <v>2497.45</v>
      </c>
      <c r="X319" s="13">
        <f>IFERROR(W319/W446, "NA")</f>
        <v>-0.01302638675</v>
      </c>
      <c r="Y319" s="14"/>
      <c r="Z319" s="12">
        <v>10558.0</v>
      </c>
      <c r="AA319" s="13">
        <f>IFERROR(Z319/Z446, "NA")</f>
        <v>0.002284842433</v>
      </c>
      <c r="AB319" s="14"/>
      <c r="AC319" s="15">
        <f t="shared" si="92"/>
        <v>2487.45</v>
      </c>
      <c r="AD319" s="13">
        <f>IFERROR(AC319/AC446, "NA")</f>
        <v>0.01396209195</v>
      </c>
    </row>
    <row r="320" ht="16.5" customHeight="1">
      <c r="A320" s="11" t="s">
        <v>295</v>
      </c>
      <c r="B320" s="12">
        <v>1199.7800000000002</v>
      </c>
      <c r="C320" s="13">
        <f>IFERROR(B320/B446, "NA")</f>
        <v>0.002432933177</v>
      </c>
      <c r="D320" s="14"/>
      <c r="E320" s="12">
        <v>1241.0</v>
      </c>
      <c r="F320" s="13">
        <f>IFERROR(E320/E446, "NA")</f>
        <v>0.002213722116</v>
      </c>
      <c r="G320" s="14"/>
      <c r="H320" s="15">
        <f t="shared" si="89"/>
        <v>41.22</v>
      </c>
      <c r="I320" s="13">
        <f>IFERROR(H320/H446, "NA")</f>
        <v>-0.000611092802</v>
      </c>
      <c r="J320" s="14"/>
      <c r="K320" s="12">
        <v>1238.82</v>
      </c>
      <c r="L320" s="13">
        <f>IFERROR(K320/K446, "NA")</f>
        <v>0.002404485687</v>
      </c>
      <c r="M320" s="14"/>
      <c r="N320" s="15">
        <f t="shared" si="90"/>
        <v>39.04</v>
      </c>
      <c r="O320" s="13">
        <f>IFERROR(N320/N446, "NA")</f>
        <v>-0.001768862581</v>
      </c>
      <c r="P320" s="14"/>
      <c r="Q320" s="12">
        <v>10324.800000000001</v>
      </c>
      <c r="R320" s="13">
        <f>IFERROR(Q320/Q446, "NA")</f>
        <v>0.002151428058</v>
      </c>
      <c r="S320" s="14"/>
      <c r="T320" s="12">
        <v>9928.0</v>
      </c>
      <c r="U320" s="13">
        <f>IFERROR(T320/T446, "NA")</f>
        <v>0.001989273249</v>
      </c>
      <c r="V320" s="14"/>
      <c r="W320" s="15">
        <f t="shared" si="91"/>
        <v>-396.8</v>
      </c>
      <c r="X320" s="13">
        <f>IFERROR(W320/W446, "NA")</f>
        <v>0.002069659157</v>
      </c>
      <c r="Y320" s="14"/>
      <c r="Z320" s="12">
        <v>9687.73</v>
      </c>
      <c r="AA320" s="13">
        <f>IFERROR(Z320/Z446, "NA")</f>
        <v>0.002096508485</v>
      </c>
      <c r="AB320" s="14"/>
      <c r="AC320" s="15">
        <f t="shared" si="92"/>
        <v>-637.07</v>
      </c>
      <c r="AD320" s="13">
        <f>IFERROR(AC320/AC446, "NA")</f>
        <v>-0.003575882899</v>
      </c>
    </row>
    <row r="321" ht="16.5" customHeight="1">
      <c r="A321" s="11" t="s">
        <v>296</v>
      </c>
      <c r="B321" s="12">
        <v>4331.75</v>
      </c>
      <c r="C321" s="13">
        <f>IFERROR(B321/B446, "NA")</f>
        <v>0.008783992306</v>
      </c>
      <c r="D321" s="14"/>
      <c r="E321" s="12">
        <v>5783.0</v>
      </c>
      <c r="F321" s="13">
        <f>IFERROR(E321/E446, "NA")</f>
        <v>0.01031583803</v>
      </c>
      <c r="G321" s="14"/>
      <c r="H321" s="15">
        <f t="shared" si="89"/>
        <v>1451.25</v>
      </c>
      <c r="I321" s="13">
        <f>IFERROR(H321/H446, "NA")</f>
        <v>-0.02151500313</v>
      </c>
      <c r="J321" s="14"/>
      <c r="K321" s="12">
        <v>5929.869999999999</v>
      </c>
      <c r="L321" s="13">
        <f>IFERROR(K321/K446, "NA")</f>
        <v>0.01150957164</v>
      </c>
      <c r="M321" s="14"/>
      <c r="N321" s="15">
        <f t="shared" si="90"/>
        <v>1598.12</v>
      </c>
      <c r="O321" s="13">
        <f>IFERROR(N321/N446, "NA")</f>
        <v>-0.07240918721</v>
      </c>
      <c r="P321" s="14"/>
      <c r="Q321" s="12">
        <v>42880.02</v>
      </c>
      <c r="R321" s="13">
        <f>IFERROR(Q321/Q446, "NA")</f>
        <v>0.008935115271</v>
      </c>
      <c r="S321" s="14"/>
      <c r="T321" s="12">
        <v>46264.0</v>
      </c>
      <c r="U321" s="13">
        <f>IFERROR(T321/T446, "NA")</f>
        <v>0.009269917162</v>
      </c>
      <c r="V321" s="14"/>
      <c r="W321" s="15">
        <f t="shared" si="91"/>
        <v>3383.98</v>
      </c>
      <c r="X321" s="13">
        <f>IFERROR(W321/W446, "NA")</f>
        <v>-0.01765041631</v>
      </c>
      <c r="Y321" s="14"/>
      <c r="Z321" s="12">
        <v>45647.579999999994</v>
      </c>
      <c r="AA321" s="13">
        <f>IFERROR(Z321/Z446, "NA")</f>
        <v>0.00987853076</v>
      </c>
      <c r="AB321" s="14"/>
      <c r="AC321" s="15">
        <f t="shared" si="92"/>
        <v>2767.56</v>
      </c>
      <c r="AD321" s="13">
        <f>IFERROR(AC321/AC446, "NA")</f>
        <v>0.01553435333</v>
      </c>
    </row>
    <row r="322" ht="16.5" customHeight="1">
      <c r="A322" s="11" t="s">
        <v>297</v>
      </c>
      <c r="B322" s="12">
        <v>5725.25</v>
      </c>
      <c r="C322" s="13">
        <f>IFERROR(B322/B446, "NA")</f>
        <v>0.01160975401</v>
      </c>
      <c r="D322" s="14"/>
      <c r="E322" s="12">
        <v>7255.99</v>
      </c>
      <c r="F322" s="13">
        <f>IFERROR(E322/E446, "NA")</f>
        <v>0.01294338883</v>
      </c>
      <c r="G322" s="14"/>
      <c r="H322" s="15">
        <f t="shared" si="89"/>
        <v>1530.74</v>
      </c>
      <c r="I322" s="13">
        <f>IFERROR(H322/H446, "NA")</f>
        <v>-0.02269345453</v>
      </c>
      <c r="J322" s="14"/>
      <c r="K322" s="12">
        <v>6860.67</v>
      </c>
      <c r="L322" s="13">
        <f>IFERROR(K322/K446, "NA")</f>
        <v>0.0133162064</v>
      </c>
      <c r="M322" s="14"/>
      <c r="N322" s="15">
        <f t="shared" si="90"/>
        <v>1135.42</v>
      </c>
      <c r="O322" s="13">
        <f>IFERROR(N322/N446, "NA")</f>
        <v>-0.05144472214</v>
      </c>
      <c r="P322" s="14"/>
      <c r="Q322" s="12">
        <v>41110.28</v>
      </c>
      <c r="R322" s="13">
        <f>IFERROR(Q322/Q446, "NA")</f>
        <v>0.008566346066</v>
      </c>
      <c r="S322" s="14"/>
      <c r="T322" s="12">
        <v>64309.14</v>
      </c>
      <c r="U322" s="13">
        <f>IFERROR(T322/T446, "NA")</f>
        <v>0.01288562166</v>
      </c>
      <c r="V322" s="14"/>
      <c r="W322" s="15">
        <f t="shared" si="91"/>
        <v>23198.86</v>
      </c>
      <c r="X322" s="13">
        <f>IFERROR(W322/W446, "NA")</f>
        <v>-0.1210023514</v>
      </c>
      <c r="Y322" s="14"/>
      <c r="Z322" s="12">
        <v>77450.8</v>
      </c>
      <c r="AA322" s="13">
        <f>IFERROR(Z322/Z446, "NA")</f>
        <v>0.01676102239</v>
      </c>
      <c r="AB322" s="14"/>
      <c r="AC322" s="15">
        <f t="shared" si="92"/>
        <v>36340.52</v>
      </c>
      <c r="AD322" s="13">
        <f>IFERROR(AC322/AC446, "NA")</f>
        <v>0.2039798515</v>
      </c>
    </row>
    <row r="323" ht="16.5" customHeight="1">
      <c r="A323" s="11" t="s">
        <v>298</v>
      </c>
      <c r="B323" s="12">
        <v>1188.83</v>
      </c>
      <c r="C323" s="13">
        <f>IFERROR(B323/B446, "NA")</f>
        <v>0.002410728591</v>
      </c>
      <c r="D323" s="14"/>
      <c r="E323" s="12">
        <v>1413.0</v>
      </c>
      <c r="F323" s="13">
        <f>IFERROR(E323/E446, "NA")</f>
        <v>0.002520539363</v>
      </c>
      <c r="G323" s="14"/>
      <c r="H323" s="15">
        <f t="shared" si="89"/>
        <v>224.17</v>
      </c>
      <c r="I323" s="13">
        <f>IFERROR(H323/H446, "NA")</f>
        <v>-0.003323354523</v>
      </c>
      <c r="J323" s="14"/>
      <c r="K323" s="12">
        <v>1452.67</v>
      </c>
      <c r="L323" s="13">
        <f>IFERROR(K323/K446, "NA")</f>
        <v>0.002819557501</v>
      </c>
      <c r="M323" s="14"/>
      <c r="N323" s="15">
        <f t="shared" si="90"/>
        <v>263.84</v>
      </c>
      <c r="O323" s="13">
        <f>IFERROR(N323/N446, "NA")</f>
        <v>-0.0119543213</v>
      </c>
      <c r="P323" s="14"/>
      <c r="Q323" s="12">
        <v>13401.29</v>
      </c>
      <c r="R323" s="13">
        <f>IFERROR(Q323/Q446, "NA")</f>
        <v>0.002792491023</v>
      </c>
      <c r="S323" s="14"/>
      <c r="T323" s="12">
        <v>11304.0</v>
      </c>
      <c r="U323" s="13">
        <f>IFERROR(T323/T446, "NA")</f>
        <v>0.002264982353</v>
      </c>
      <c r="V323" s="14"/>
      <c r="W323" s="15">
        <f t="shared" si="91"/>
        <v>-2097.29</v>
      </c>
      <c r="X323" s="13">
        <f>IFERROR(W323/W446, "NA")</f>
        <v>0.01093920225</v>
      </c>
      <c r="Y323" s="14"/>
      <c r="Z323" s="12">
        <v>14206.5</v>
      </c>
      <c r="AA323" s="13">
        <f>IFERROR(Z323/Z446, "NA")</f>
        <v>0.003074409361</v>
      </c>
      <c r="AB323" s="14"/>
      <c r="AC323" s="15">
        <f t="shared" si="92"/>
        <v>805.21</v>
      </c>
      <c r="AD323" s="13">
        <f>IFERROR(AC323/AC446, "NA")</f>
        <v>0.004519655092</v>
      </c>
    </row>
    <row r="324" ht="16.5" customHeight="1">
      <c r="A324" s="11" t="s">
        <v>299</v>
      </c>
      <c r="B324" s="12">
        <v>0.0</v>
      </c>
      <c r="C324" s="13">
        <f>IFERROR(B324/B446, "NA")</f>
        <v>0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13.01</v>
      </c>
      <c r="R324" s="13">
        <f>IFERROR(Q324/Q446, "NA")</f>
        <v>0.000002710956051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-13.01</v>
      </c>
      <c r="X324" s="13">
        <f>IFERROR(W324/W446, "NA")</f>
        <v>0.00006785853233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-13.01</v>
      </c>
      <c r="AD324" s="13">
        <f>IFERROR(AC324/AC446, "NA")</f>
        <v>-0.00007302531357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20226.81</v>
      </c>
      <c r="C325" s="18">
        <f>IFERROR(B325/B446, "NA")</f>
        <v>0.04101625057</v>
      </c>
      <c r="D325" s="8"/>
      <c r="E325" s="17">
        <f>IFERROR(E298+E299+E300+E301+E302+E303+E304+E305+E306+E307+E308+E309+E310+E311+E312+E313+E314+E315+E316+E317+E318+E319+E320+E321+E322+E323+E324, "NA")</f>
        <v>21523.18</v>
      </c>
      <c r="F325" s="18">
        <f>IFERROR(E325/E446, "NA")</f>
        <v>0.03839350489</v>
      </c>
      <c r="G325" s="8"/>
      <c r="H325" s="17">
        <f t="shared" si="89"/>
        <v>1296.37</v>
      </c>
      <c r="I325" s="18">
        <f>IFERROR(H325/H446, "NA")</f>
        <v>-0.01921888345</v>
      </c>
      <c r="J325" s="8"/>
      <c r="K325" s="17">
        <f>IFERROR(K298+K299+K300+K301+K302+K303+K304+K305+K306+K307+K308+K309+K310+K311+K312+K313+K314+K315+K316+K317+K318+K319+K320+K321+K322+K323+K324, "NA")</f>
        <v>23680.96</v>
      </c>
      <c r="L325" s="18">
        <f>IFERROR(K325/K446, "NA")</f>
        <v>0.04596352123</v>
      </c>
      <c r="M325" s="8"/>
      <c r="N325" s="17">
        <f t="shared" si="90"/>
        <v>3454.15</v>
      </c>
      <c r="O325" s="18">
        <f>IFERROR(N325/N446, "NA")</f>
        <v>-0.1565040135</v>
      </c>
      <c r="P325" s="8"/>
      <c r="Q325" s="17">
        <f>IFERROR(Q298+Q299+Q300+Q301+Q302+Q303+Q304+Q305+Q306+Q307+Q308+Q309+Q310+Q311+Q312+Q313+Q314+Q315+Q316+Q317+Q318+Q319+Q320+Q321+Q322+Q323+Q324, "NA")</f>
        <v>178971.61</v>
      </c>
      <c r="R325" s="18">
        <f>IFERROR(Q325/Q446, "NA")</f>
        <v>0.0372931721</v>
      </c>
      <c r="S325" s="8"/>
      <c r="T325" s="17">
        <f>IFERROR(T298+T299+T300+T301+T302+T303+T304+T305+T306+T307+T308+T309+T310+T311+T312+T313+T314+T315+T316+T317+T318+T319+T320+T321+T322+T323+T324, "NA")</f>
        <v>179909.11</v>
      </c>
      <c r="U325" s="18">
        <f>IFERROR(T325/T446, "NA")</f>
        <v>0.03604838635</v>
      </c>
      <c r="V325" s="8"/>
      <c r="W325" s="17">
        <f t="shared" si="91"/>
        <v>937.5</v>
      </c>
      <c r="X325" s="18">
        <f>IFERROR(W325/W446, "NA")</f>
        <v>-0.00488988271</v>
      </c>
      <c r="Y325" s="8"/>
      <c r="Z325" s="17">
        <f>IFERROR(Z298+Z299+Z300+Z301+Z302+Z303+Z304+Z305+Z306+Z307+Z308+Z309+Z310+Z311+Z312+Z313+Z314+Z315+Z316+Z317+Z318+Z319+Z320+Z321+Z322+Z323+Z324, "NA")</f>
        <v>209845.84</v>
      </c>
      <c r="AA325" s="18">
        <f>IFERROR(Z325/Z446, "NA")</f>
        <v>0.04541245309</v>
      </c>
      <c r="AB325" s="8"/>
      <c r="AC325" s="17">
        <f t="shared" si="92"/>
        <v>30874.23</v>
      </c>
      <c r="AD325" s="18">
        <f>IFERROR(AC325/AC446, "NA")</f>
        <v>0.1732974886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128159.56</v>
      </c>
      <c r="C326" s="18">
        <f>IFERROR(B326/B446, "NA")</f>
        <v>0.2598840166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133292.65</v>
      </c>
      <c r="F326" s="18">
        <f>IFERROR(E326/E446, "NA")</f>
        <v>0.2377702556</v>
      </c>
      <c r="G326" s="8"/>
      <c r="H326" s="17">
        <f t="shared" si="89"/>
        <v>5133.09</v>
      </c>
      <c r="I326" s="18">
        <f>IFERROR(H326/H446, "NA")</f>
        <v>-0.07609884404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123022.65</v>
      </c>
      <c r="L326" s="18">
        <f>IFERROR(K326/K446, "NA")</f>
        <v>0.2387806147</v>
      </c>
      <c r="M326" s="8"/>
      <c r="N326" s="17">
        <f t="shared" si="90"/>
        <v>-5136.91</v>
      </c>
      <c r="O326" s="18">
        <f>IFERROR(N326/N446, "NA")</f>
        <v>0.2327481528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1248525.4</v>
      </c>
      <c r="R326" s="18">
        <f>IFERROR(Q326/Q446, "NA")</f>
        <v>0.2601612212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1161390.22</v>
      </c>
      <c r="U326" s="18">
        <f>IFERROR(T326/T446, "NA")</f>
        <v>0.2327077454</v>
      </c>
      <c r="V326" s="8"/>
      <c r="W326" s="17">
        <f t="shared" si="91"/>
        <v>-87135.18</v>
      </c>
      <c r="X326" s="18">
        <f>IFERROR(W326/W446, "NA")</f>
        <v>0.4544861975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1194071.32</v>
      </c>
      <c r="AA326" s="18">
        <f>IFERROR(Z326/Z446, "NA")</f>
        <v>0.2584073518</v>
      </c>
      <c r="AB326" s="8"/>
      <c r="AC326" s="17">
        <f t="shared" si="92"/>
        <v>-54454.08</v>
      </c>
      <c r="AD326" s="18">
        <f>IFERROR(AC326/AC446, "NA")</f>
        <v>-0.3056515194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>
        <f>IFERROR(B329/B446, "NA")</f>
        <v>0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56718.46000000001</v>
      </c>
      <c r="C330" s="13">
        <f>IFERROR(B330/B446, "NA")</f>
        <v>0.1150146052</v>
      </c>
      <c r="D330" s="14"/>
      <c r="E330" s="12">
        <v>61454.16</v>
      </c>
      <c r="F330" s="13">
        <f>IFERROR(E330/E446, "NA")</f>
        <v>0.1096232338</v>
      </c>
      <c r="G330" s="14"/>
      <c r="H330" s="15">
        <f t="shared" si="93"/>
        <v>4735.7</v>
      </c>
      <c r="I330" s="13">
        <f>IFERROR(H330/H446, "NA")</f>
        <v>-0.07020747653</v>
      </c>
      <c r="J330" s="14"/>
      <c r="K330" s="12">
        <v>59761.6</v>
      </c>
      <c r="L330" s="13">
        <f>IFERROR(K330/K446, "NA")</f>
        <v>0.1159941814</v>
      </c>
      <c r="M330" s="14"/>
      <c r="N330" s="15">
        <f t="shared" si="94"/>
        <v>3043.14</v>
      </c>
      <c r="O330" s="13">
        <f>IFERROR(N330/N446, "NA")</f>
        <v>-0.1378815696</v>
      </c>
      <c r="P330" s="14"/>
      <c r="Q330" s="12">
        <v>474157.22</v>
      </c>
      <c r="R330" s="13">
        <f>IFERROR(Q330/Q446, "NA")</f>
        <v>0.09880241235</v>
      </c>
      <c r="S330" s="14"/>
      <c r="T330" s="12">
        <v>483628.62</v>
      </c>
      <c r="U330" s="13">
        <f>IFERROR(T330/T446, "NA")</f>
        <v>0.09690466117</v>
      </c>
      <c r="V330" s="14"/>
      <c r="W330" s="15">
        <f t="shared" si="95"/>
        <v>9471.4</v>
      </c>
      <c r="X330" s="13">
        <f>IFERROR(W330/W446, "NA")</f>
        <v>-0.04940163744</v>
      </c>
      <c r="Y330" s="14"/>
      <c r="Z330" s="12">
        <v>453158.02</v>
      </c>
      <c r="AA330" s="13">
        <f>IFERROR(Z330/Z446, "NA")</f>
        <v>0.09806731134</v>
      </c>
      <c r="AB330" s="14"/>
      <c r="AC330" s="15">
        <f t="shared" si="96"/>
        <v>-20999.2</v>
      </c>
      <c r="AD330" s="13">
        <f>IFERROR(AC330/AC446, "NA")</f>
        <v>-0.1178688059</v>
      </c>
    </row>
    <row r="331" ht="16.5" customHeight="1">
      <c r="A331" s="11" t="s">
        <v>305</v>
      </c>
      <c r="B331" s="12">
        <v>4622.29</v>
      </c>
      <c r="C331" s="13">
        <f>IFERROR(B331/B446, "NA")</f>
        <v>0.00937315399</v>
      </c>
      <c r="D331" s="14"/>
      <c r="E331" s="12">
        <v>6433.13</v>
      </c>
      <c r="F331" s="13">
        <f>IFERROR(E331/E446, "NA")</f>
        <v>0.01147555371</v>
      </c>
      <c r="G331" s="14"/>
      <c r="H331" s="15">
        <f t="shared" si="93"/>
        <v>1810.84</v>
      </c>
      <c r="I331" s="13">
        <f>IFERROR(H331/H446, "NA")</f>
        <v>-0.02684597986</v>
      </c>
      <c r="J331" s="14"/>
      <c r="K331" s="12">
        <v>6355.610000000001</v>
      </c>
      <c r="L331" s="13">
        <f>IFERROR(K331/K446, "NA")</f>
        <v>0.01233591101</v>
      </c>
      <c r="M331" s="14"/>
      <c r="N331" s="15">
        <f t="shared" si="94"/>
        <v>1733.32</v>
      </c>
      <c r="O331" s="13">
        <f>IFERROR(N331/N446, "NA")</f>
        <v>-0.07853496132</v>
      </c>
      <c r="P331" s="14"/>
      <c r="Q331" s="12">
        <v>51863.130000000005</v>
      </c>
      <c r="R331" s="13">
        <f>IFERROR(Q331/Q446, "NA")</f>
        <v>0.01080696895</v>
      </c>
      <c r="S331" s="14"/>
      <c r="T331" s="12">
        <v>51465.04</v>
      </c>
      <c r="U331" s="13">
        <f>IFERROR(T331/T446, "NA")</f>
        <v>0.01031204949</v>
      </c>
      <c r="V331" s="14"/>
      <c r="W331" s="15">
        <f t="shared" si="95"/>
        <v>-398.09</v>
      </c>
      <c r="X331" s="13">
        <f>IFERROR(W331/W446, "NA")</f>
        <v>0.002076387635</v>
      </c>
      <c r="Y331" s="14"/>
      <c r="Z331" s="12">
        <v>48476.05</v>
      </c>
      <c r="AA331" s="13">
        <f>IFERROR(Z331/Z446, "NA")</f>
        <v>0.01049063611</v>
      </c>
      <c r="AB331" s="14"/>
      <c r="AC331" s="15">
        <f t="shared" si="96"/>
        <v>-3387.08</v>
      </c>
      <c r="AD331" s="13">
        <f>IFERROR(AC331/AC446, "NA")</f>
        <v>-0.01901172783</v>
      </c>
    </row>
    <row r="332" ht="16.5" hidden="1" customHeight="1">
      <c r="A332" s="11" t="s">
        <v>306</v>
      </c>
      <c r="B332" s="12">
        <v>0.0</v>
      </c>
      <c r="C332" s="13">
        <f>IFERROR(B332/B446, "NA")</f>
        <v>0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customHeight="1">
      <c r="A333" s="11" t="s">
        <v>307</v>
      </c>
      <c r="B333" s="12">
        <v>195.16</v>
      </c>
      <c r="C333" s="13">
        <f>IFERROR(B333/B446, "NA")</f>
        <v>0.0003957485863</v>
      </c>
      <c r="D333" s="14"/>
      <c r="E333" s="12">
        <v>313.0</v>
      </c>
      <c r="F333" s="13">
        <f>IFERROR(E333/E446, "NA")</f>
        <v>0.0005583360373</v>
      </c>
      <c r="G333" s="14"/>
      <c r="H333" s="15">
        <f t="shared" si="93"/>
        <v>117.84</v>
      </c>
      <c r="I333" s="13">
        <f>IFERROR(H333/H446, "NA")</f>
        <v>-0.001746996016</v>
      </c>
      <c r="J333" s="14"/>
      <c r="K333" s="12">
        <v>195.16</v>
      </c>
      <c r="L333" s="13">
        <f>IFERROR(K333/K446, "NA")</f>
        <v>0.0003787954882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2616.19</v>
      </c>
      <c r="R333" s="13">
        <f>IFERROR(Q333/Q446, "NA")</f>
        <v>0.0005451480485</v>
      </c>
      <c r="S333" s="14"/>
      <c r="T333" s="12">
        <v>2504.0</v>
      </c>
      <c r="U333" s="13">
        <f>IFERROR(T333/T446, "NA")</f>
        <v>0.0005017264519</v>
      </c>
      <c r="V333" s="14"/>
      <c r="W333" s="15">
        <f t="shared" si="95"/>
        <v>-112.19</v>
      </c>
      <c r="X333" s="13">
        <f>IFERROR(W333/W446, "NA")</f>
        <v>0.000585169004</v>
      </c>
      <c r="Y333" s="14"/>
      <c r="Z333" s="12">
        <v>2856.52</v>
      </c>
      <c r="AA333" s="13">
        <f>IFERROR(Z333/Z446, "NA")</f>
        <v>0.0006181756117</v>
      </c>
      <c r="AB333" s="14"/>
      <c r="AC333" s="15">
        <f t="shared" si="96"/>
        <v>240.33</v>
      </c>
      <c r="AD333" s="13">
        <f>IFERROR(AC333/AC446, "NA")</f>
        <v>0.001348975681</v>
      </c>
    </row>
    <row r="334" ht="16.5" customHeight="1">
      <c r="A334" s="11" t="s">
        <v>308</v>
      </c>
      <c r="B334" s="12">
        <v>3847.71</v>
      </c>
      <c r="C334" s="13">
        <f>IFERROR(B334/B446, "NA")</f>
        <v>0.007802448211</v>
      </c>
      <c r="D334" s="14"/>
      <c r="E334" s="12">
        <v>5619.0</v>
      </c>
      <c r="F334" s="13">
        <f>IFERROR(E334/E446, "NA")</f>
        <v>0.01002329135</v>
      </c>
      <c r="G334" s="14"/>
      <c r="H334" s="15">
        <f t="shared" si="93"/>
        <v>1771.29</v>
      </c>
      <c r="I334" s="13">
        <f>IFERROR(H334/H446, "NA")</f>
        <v>-0.02625964506</v>
      </c>
      <c r="J334" s="14"/>
      <c r="K334" s="12">
        <v>5618.900000000001</v>
      </c>
      <c r="L334" s="13">
        <f>IFERROR(K334/K446, "NA")</f>
        <v>0.01090599492</v>
      </c>
      <c r="M334" s="14"/>
      <c r="N334" s="15">
        <f t="shared" si="94"/>
        <v>1771.19</v>
      </c>
      <c r="O334" s="13">
        <f>IFERROR(N334/N446, "NA")</f>
        <v>-0.08025081239</v>
      </c>
      <c r="P334" s="14"/>
      <c r="Q334" s="12">
        <v>40261.06999999999</v>
      </c>
      <c r="R334" s="13">
        <f>IFERROR(Q334/Q446, "NA")</f>
        <v>0.008389392109</v>
      </c>
      <c r="S334" s="14"/>
      <c r="T334" s="12">
        <v>44952.0</v>
      </c>
      <c r="U334" s="13">
        <f>IFERROR(T334/T446, "NA")</f>
        <v>0.009007031736</v>
      </c>
      <c r="V334" s="14"/>
      <c r="W334" s="15">
        <f t="shared" si="95"/>
        <v>4690.93</v>
      </c>
      <c r="X334" s="13">
        <f>IFERROR(W334/W446, "NA")</f>
        <v>-0.024467304</v>
      </c>
      <c r="Y334" s="14"/>
      <c r="Z334" s="12">
        <v>45386.14000000001</v>
      </c>
      <c r="AA334" s="13">
        <f>IFERROR(Z334/Z446, "NA")</f>
        <v>0.009821952885</v>
      </c>
      <c r="AB334" s="14"/>
      <c r="AC334" s="15">
        <f t="shared" si="96"/>
        <v>5125.07</v>
      </c>
      <c r="AD334" s="13">
        <f>IFERROR(AC334/AC446, "NA")</f>
        <v>0.02876709022</v>
      </c>
    </row>
    <row r="335" ht="16.5" customHeight="1">
      <c r="A335" s="11" t="s">
        <v>309</v>
      </c>
      <c r="B335" s="12">
        <v>-4367.32</v>
      </c>
      <c r="C335" s="13">
        <f>IFERROR(B335/B446, "NA")</f>
        <v>-0.008856121724</v>
      </c>
      <c r="D335" s="14"/>
      <c r="E335" s="12">
        <v>-4731.969999999999</v>
      </c>
      <c r="F335" s="13">
        <f>IFERROR(E335/E446, "NA")</f>
        <v>-0.00844098843</v>
      </c>
      <c r="G335" s="14"/>
      <c r="H335" s="15">
        <f t="shared" si="93"/>
        <v>-364.65</v>
      </c>
      <c r="I335" s="13">
        <f>IFERROR(H335/H446, "NA")</f>
        <v>0.005405992001</v>
      </c>
      <c r="J335" s="14"/>
      <c r="K335" s="12">
        <v>-4601.65</v>
      </c>
      <c r="L335" s="13">
        <f>IFERROR(K335/K446, "NA")</f>
        <v>-0.008931565168</v>
      </c>
      <c r="M335" s="14"/>
      <c r="N335" s="15">
        <f t="shared" si="94"/>
        <v>-234.33</v>
      </c>
      <c r="O335" s="13">
        <f>IFERROR(N335/N446, "NA")</f>
        <v>0.0106172533</v>
      </c>
      <c r="P335" s="14"/>
      <c r="Q335" s="12">
        <v>-8696.029999999999</v>
      </c>
      <c r="R335" s="13">
        <f>IFERROR(Q335/Q446, "NA")</f>
        <v>-0.001812033447</v>
      </c>
      <c r="S335" s="14"/>
      <c r="T335" s="12">
        <v>-9425.329999999998</v>
      </c>
      <c r="U335" s="13">
        <f>IFERROR(T335/T446, "NA")</f>
        <v>-0.001888553266</v>
      </c>
      <c r="V335" s="14"/>
      <c r="W335" s="15">
        <f t="shared" si="95"/>
        <v>-729.3</v>
      </c>
      <c r="X335" s="13">
        <f>IFERROR(W335/W446, "NA")</f>
        <v>0.003803937558</v>
      </c>
      <c r="Y335" s="14"/>
      <c r="Z335" s="12">
        <v>-9165.619999999999</v>
      </c>
      <c r="AA335" s="13">
        <f>IFERROR(Z335/Z446, "NA")</f>
        <v>-0.00198351937</v>
      </c>
      <c r="AB335" s="14"/>
      <c r="AC335" s="15">
        <f t="shared" si="96"/>
        <v>-469.59</v>
      </c>
      <c r="AD335" s="13">
        <f>IFERROR(AC335/AC446, "NA")</f>
        <v>-0.002635815296</v>
      </c>
    </row>
    <row r="336" ht="16.5" customHeight="1">
      <c r="A336" s="11" t="s">
        <v>310</v>
      </c>
      <c r="B336" s="12">
        <v>3115.64</v>
      </c>
      <c r="C336" s="13">
        <f>IFERROR(B336/B446, "NA")</f>
        <v>0.006317944893</v>
      </c>
      <c r="D336" s="14"/>
      <c r="E336" s="12">
        <v>259.01</v>
      </c>
      <c r="F336" s="13">
        <f>IFERROR(E336/E446, "NA")</f>
        <v>0.0004620275304</v>
      </c>
      <c r="G336" s="14"/>
      <c r="H336" s="15">
        <f t="shared" si="93"/>
        <v>-2856.63</v>
      </c>
      <c r="I336" s="13">
        <f>IFERROR(H336/H446, "NA")</f>
        <v>0.04234997649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-3115.64</v>
      </c>
      <c r="O336" s="13">
        <f>IFERROR(N336/N446, "NA")</f>
        <v>0.1411664706</v>
      </c>
      <c r="P336" s="14"/>
      <c r="Q336" s="12">
        <v>10983.88</v>
      </c>
      <c r="R336" s="13">
        <f>IFERROR(Q336/Q446, "NA")</f>
        <v>0.002288763716</v>
      </c>
      <c r="S336" s="14"/>
      <c r="T336" s="12">
        <v>2318.74</v>
      </c>
      <c r="U336" s="13">
        <f>IFERROR(T336/T446, "NA")</f>
        <v>0.0004646059078</v>
      </c>
      <c r="V336" s="14"/>
      <c r="W336" s="15">
        <f t="shared" si="95"/>
        <v>-8665.14</v>
      </c>
      <c r="X336" s="13">
        <f>IFERROR(W336/W446, "NA")</f>
        <v>0.04519628615</v>
      </c>
      <c r="Y336" s="14"/>
      <c r="Z336" s="12">
        <v>3309.62</v>
      </c>
      <c r="AA336" s="13">
        <f>IFERROR(Z336/Z446, "NA")</f>
        <v>0.000716230367</v>
      </c>
      <c r="AB336" s="14"/>
      <c r="AC336" s="15">
        <f t="shared" si="96"/>
        <v>-7674.26</v>
      </c>
      <c r="AD336" s="13">
        <f>IFERROR(AC336/AC446, "NA")</f>
        <v>-0.04307572966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>
        <f>IFERROR(B338/B446, "NA")</f>
        <v>0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8536.32</v>
      </c>
      <c r="C339" s="13">
        <f>IFERROR(B339/B446, "NA")</f>
        <v>0.01731008696</v>
      </c>
      <c r="D339" s="14"/>
      <c r="E339" s="12">
        <v>9575.76</v>
      </c>
      <c r="F339" s="13">
        <f>IFERROR(E339/E446, "NA")</f>
        <v>0.01708144375</v>
      </c>
      <c r="G339" s="14"/>
      <c r="H339" s="15">
        <f t="shared" si="97"/>
        <v>1039.44</v>
      </c>
      <c r="I339" s="13">
        <f>IFERROR(H339/H446, "NA")</f>
        <v>-0.01540985692</v>
      </c>
      <c r="J339" s="14"/>
      <c r="K339" s="12">
        <v>11681.78</v>
      </c>
      <c r="L339" s="13">
        <f>IFERROR(K339/K446, "NA")</f>
        <v>0.02267373211</v>
      </c>
      <c r="M339" s="14"/>
      <c r="N339" s="15">
        <f t="shared" si="98"/>
        <v>3145.46</v>
      </c>
      <c r="O339" s="13">
        <f>IFERROR(N339/N446, "NA")</f>
        <v>-0.1425175844</v>
      </c>
      <c r="P339" s="14"/>
      <c r="Q339" s="12">
        <v>74414.76000000001</v>
      </c>
      <c r="R339" s="13">
        <f>IFERROR(Q339/Q446, "NA")</f>
        <v>0.01550616018</v>
      </c>
      <c r="S339" s="14"/>
      <c r="T339" s="12">
        <v>85564.94</v>
      </c>
      <c r="U339" s="13">
        <f>IFERROR(T339/T446, "NA")</f>
        <v>0.01714464607</v>
      </c>
      <c r="V339" s="14"/>
      <c r="W339" s="15">
        <f t="shared" si="99"/>
        <v>11150.18</v>
      </c>
      <c r="X339" s="13">
        <f>IFERROR(W339/W446, "NA")</f>
        <v>-0.05815794389</v>
      </c>
      <c r="Y339" s="14"/>
      <c r="Z339" s="12">
        <v>82255.20999999999</v>
      </c>
      <c r="AA339" s="13">
        <f>IFERROR(Z339/Z446, "NA")</f>
        <v>0.01780073822</v>
      </c>
      <c r="AB339" s="14"/>
      <c r="AC339" s="15">
        <f t="shared" si="100"/>
        <v>7840.45</v>
      </c>
      <c r="AD339" s="13">
        <f>IFERROR(AC339/AC446, "NA")</f>
        <v>0.04400855648</v>
      </c>
    </row>
    <row r="340" ht="16.5" customHeight="1">
      <c r="A340" s="11" t="s">
        <v>313</v>
      </c>
      <c r="B340" s="12">
        <v>1428.57</v>
      </c>
      <c r="C340" s="13">
        <f>IFERROR(B340/B446, "NA")</f>
        <v>0.002896877218</v>
      </c>
      <c r="D340" s="14"/>
      <c r="E340" s="12">
        <v>2189.62</v>
      </c>
      <c r="F340" s="13">
        <f>IFERROR(E340/E446, "NA")</f>
        <v>0.003905890588</v>
      </c>
      <c r="G340" s="14"/>
      <c r="H340" s="15">
        <f t="shared" si="97"/>
        <v>761.05</v>
      </c>
      <c r="I340" s="13">
        <f>IFERROR(H340/H446, "NA")</f>
        <v>-0.01128268261</v>
      </c>
      <c r="J340" s="14"/>
      <c r="K340" s="12">
        <v>1726.0100000000002</v>
      </c>
      <c r="L340" s="13">
        <f>IFERROR(K340/K446, "NA")</f>
        <v>0.003350096334</v>
      </c>
      <c r="M340" s="14"/>
      <c r="N340" s="15">
        <f t="shared" si="98"/>
        <v>297.44</v>
      </c>
      <c r="O340" s="13">
        <f>IFERROR(N340/N446, "NA")</f>
        <v>-0.01347670303</v>
      </c>
      <c r="P340" s="14"/>
      <c r="Q340" s="12">
        <v>19179.35</v>
      </c>
      <c r="R340" s="13">
        <f>IFERROR(Q340/Q446, "NA")</f>
        <v>0.003996493077</v>
      </c>
      <c r="S340" s="14"/>
      <c r="T340" s="12">
        <v>19605.600000000002</v>
      </c>
      <c r="U340" s="13">
        <f>IFERROR(T340/T446, "NA")</f>
        <v>0.003928373852</v>
      </c>
      <c r="V340" s="14"/>
      <c r="W340" s="15">
        <f t="shared" si="99"/>
        <v>426.25</v>
      </c>
      <c r="X340" s="13">
        <f>IFERROR(W340/W446, "NA")</f>
        <v>-0.002223266672</v>
      </c>
      <c r="Y340" s="14"/>
      <c r="Z340" s="12">
        <v>18739.73</v>
      </c>
      <c r="AA340" s="13">
        <f>IFERROR(Z340/Z446, "NA")</f>
        <v>0.004055439505</v>
      </c>
      <c r="AB340" s="14"/>
      <c r="AC340" s="15">
        <f t="shared" si="100"/>
        <v>-439.62</v>
      </c>
      <c r="AD340" s="13">
        <f>IFERROR(AC340/AC446, "NA")</f>
        <v>-0.002467593263</v>
      </c>
    </row>
    <row r="341" ht="16.5" customHeight="1">
      <c r="A341" s="11" t="s">
        <v>314</v>
      </c>
      <c r="B341" s="12">
        <v>4882.04</v>
      </c>
      <c r="C341" s="13">
        <f>IFERROR(B341/B446, "NA")</f>
        <v>0.009899879217</v>
      </c>
      <c r="D341" s="14"/>
      <c r="E341" s="12">
        <v>2438.43</v>
      </c>
      <c r="F341" s="13">
        <f>IFERROR(E341/E446, "NA")</f>
        <v>0.004349723142</v>
      </c>
      <c r="G341" s="14"/>
      <c r="H341" s="15">
        <f t="shared" si="97"/>
        <v>-2443.61</v>
      </c>
      <c r="I341" s="13">
        <f>IFERROR(H341/H446, "NA")</f>
        <v>0.03622689185</v>
      </c>
      <c r="J341" s="14"/>
      <c r="K341" s="12">
        <v>5016.17</v>
      </c>
      <c r="L341" s="13">
        <f>IFERROR(K341/K446, "NA")</f>
        <v>0.009736127096</v>
      </c>
      <c r="M341" s="14"/>
      <c r="N341" s="15">
        <f t="shared" si="98"/>
        <v>134.13</v>
      </c>
      <c r="O341" s="13">
        <f>IFERROR(N341/N446, "NA")</f>
        <v>-0.006077293495</v>
      </c>
      <c r="P341" s="14"/>
      <c r="Q341" s="12">
        <v>28236.010000000002</v>
      </c>
      <c r="R341" s="13">
        <f>IFERROR(Q341/Q446, "NA")</f>
        <v>0.005883672726</v>
      </c>
      <c r="S341" s="14"/>
      <c r="T341" s="12">
        <v>21905.72</v>
      </c>
      <c r="U341" s="13">
        <f>IFERROR(T341/T446, "NA")</f>
        <v>0.004389248871</v>
      </c>
      <c r="V341" s="14"/>
      <c r="W341" s="15">
        <f t="shared" si="99"/>
        <v>-6330.29</v>
      </c>
      <c r="X341" s="13">
        <f>IFERROR(W341/W446, "NA")</f>
        <v>0.03301800066</v>
      </c>
      <c r="Y341" s="14"/>
      <c r="Z341" s="12">
        <v>24800.0</v>
      </c>
      <c r="AA341" s="13">
        <f>IFERROR(Z341/Z446, "NA")</f>
        <v>0.005366934301</v>
      </c>
      <c r="AB341" s="14"/>
      <c r="AC341" s="15">
        <f t="shared" si="100"/>
        <v>-3436.01</v>
      </c>
      <c r="AD341" s="13">
        <f>IFERROR(AC341/AC446, "NA")</f>
        <v>-0.01928637261</v>
      </c>
    </row>
    <row r="342" ht="16.5" customHeight="1">
      <c r="A342" s="11" t="s">
        <v>315</v>
      </c>
      <c r="B342" s="12">
        <v>1950.76</v>
      </c>
      <c r="C342" s="13">
        <f>IFERROR(B342/B446, "NA")</f>
        <v>0.003955782497</v>
      </c>
      <c r="D342" s="14"/>
      <c r="E342" s="12">
        <v>1683.3799999999999</v>
      </c>
      <c r="F342" s="13">
        <f>IFERROR(E342/E446, "NA")</f>
        <v>0.003002848941</v>
      </c>
      <c r="G342" s="14"/>
      <c r="H342" s="15">
        <f t="shared" si="97"/>
        <v>-267.38</v>
      </c>
      <c r="I342" s="13">
        <f>IFERROR(H342/H446, "NA")</f>
        <v>0.003963949379</v>
      </c>
      <c r="J342" s="14"/>
      <c r="K342" s="12">
        <v>1883.3200000000002</v>
      </c>
      <c r="L342" s="13">
        <f>IFERROR(K342/K446, "NA")</f>
        <v>0.003655426926</v>
      </c>
      <c r="M342" s="14"/>
      <c r="N342" s="15">
        <f t="shared" si="98"/>
        <v>-67.44</v>
      </c>
      <c r="O342" s="13">
        <f>IFERROR(N342/N446, "NA")</f>
        <v>0.003055637615</v>
      </c>
      <c r="P342" s="14"/>
      <c r="Q342" s="12">
        <v>15474.460000000001</v>
      </c>
      <c r="R342" s="13">
        <f>IFERROR(Q342/Q446, "NA")</f>
        <v>0.003224487392</v>
      </c>
      <c r="S342" s="14"/>
      <c r="T342" s="12">
        <v>15654.49</v>
      </c>
      <c r="U342" s="13">
        <f>IFERROR(T342/T446, "NA")</f>
        <v>0.003136689986</v>
      </c>
      <c r="V342" s="14"/>
      <c r="W342" s="15">
        <f t="shared" si="99"/>
        <v>180.03</v>
      </c>
      <c r="X342" s="13">
        <f>IFERROR(W342/W446, "NA")</f>
        <v>-0.0009390139566</v>
      </c>
      <c r="Y342" s="14"/>
      <c r="Z342" s="12">
        <v>15031.48</v>
      </c>
      <c r="AA342" s="13">
        <f>IFERROR(Z342/Z446, "NA")</f>
        <v>0.003252942161</v>
      </c>
      <c r="AB342" s="14"/>
      <c r="AC342" s="15">
        <f t="shared" si="100"/>
        <v>-442.98</v>
      </c>
      <c r="AD342" s="13">
        <f>IFERROR(AC342/AC446, "NA")</f>
        <v>-0.00248645299</v>
      </c>
    </row>
    <row r="343" ht="16.5" customHeight="1">
      <c r="A343" s="16" t="s">
        <v>316</v>
      </c>
      <c r="B343" s="17">
        <f>IFERROR(B338+B339+B340+B341+B342, "NA")</f>
        <v>16797.69</v>
      </c>
      <c r="C343" s="18">
        <f>IFERROR(B343/B446, "NA")</f>
        <v>0.0340626259</v>
      </c>
      <c r="D343" s="8"/>
      <c r="E343" s="17">
        <f>IFERROR(E338+E339+E340+E341+E342, "NA")</f>
        <v>15887.19</v>
      </c>
      <c r="F343" s="18">
        <f>IFERROR(E343/E446, "NA")</f>
        <v>0.02833990642</v>
      </c>
      <c r="G343" s="8"/>
      <c r="H343" s="17">
        <f t="shared" si="97"/>
        <v>-910.5</v>
      </c>
      <c r="I343" s="18">
        <f>IFERROR(H343/H446, "NA")</f>
        <v>0.0134983017</v>
      </c>
      <c r="J343" s="8"/>
      <c r="K343" s="17">
        <f>IFERROR(K338+K339+K340+K341+K342, "NA")</f>
        <v>20307.28</v>
      </c>
      <c r="L343" s="18">
        <f>IFERROR(K343/K446, "NA")</f>
        <v>0.03941538246</v>
      </c>
      <c r="M343" s="8"/>
      <c r="N343" s="17">
        <f t="shared" si="98"/>
        <v>3509.59</v>
      </c>
      <c r="O343" s="18">
        <f>IFERROR(N343/N446, "NA")</f>
        <v>-0.1590159433</v>
      </c>
      <c r="P343" s="8"/>
      <c r="Q343" s="17">
        <f>IFERROR(Q338+Q339+Q340+Q341+Q342, "NA")</f>
        <v>137304.58</v>
      </c>
      <c r="R343" s="18">
        <f>IFERROR(Q343/Q446, "NA")</f>
        <v>0.02861081337</v>
      </c>
      <c r="S343" s="8"/>
      <c r="T343" s="17">
        <f>IFERROR(T338+T339+T340+T341+T342, "NA")</f>
        <v>142730.75</v>
      </c>
      <c r="U343" s="18">
        <f>IFERROR(T343/T446, "NA")</f>
        <v>0.02859895878</v>
      </c>
      <c r="V343" s="8"/>
      <c r="W343" s="17">
        <f t="shared" si="99"/>
        <v>5426.17</v>
      </c>
      <c r="X343" s="18">
        <f>IFERROR(W343/W446, "NA")</f>
        <v>-0.02830222386</v>
      </c>
      <c r="Y343" s="8"/>
      <c r="Z343" s="17">
        <f>IFERROR(Z338+Z339+Z340+Z341+Z342, "NA")</f>
        <v>140826.42</v>
      </c>
      <c r="AA343" s="18">
        <f>IFERROR(Z343/Z446, "NA")</f>
        <v>0.03047605419</v>
      </c>
      <c r="AB343" s="8"/>
      <c r="AC343" s="17">
        <f t="shared" si="100"/>
        <v>3521.84</v>
      </c>
      <c r="AD343" s="18">
        <f>IFERROR(AC343/AC446, "NA")</f>
        <v>0.01976813761</v>
      </c>
    </row>
    <row r="344" ht="16.5" customHeight="1">
      <c r="A344" s="16" t="s">
        <v>317</v>
      </c>
      <c r="B344" s="17">
        <f>IFERROR(B329+B330+B331+B332+B333+B334+B335+B336+B338+B339+B340+B341+B342, "NA")</f>
        <v>80929.63</v>
      </c>
      <c r="C344" s="18">
        <f>IFERROR(B344/B446, "NA")</f>
        <v>0.1641104051</v>
      </c>
      <c r="D344" s="8"/>
      <c r="E344" s="17">
        <f>IFERROR(E329+E330+E331+E332+E333+E334+E335+E336+E338+E339+E340+E341+E342, "NA")</f>
        <v>85233.52</v>
      </c>
      <c r="F344" s="18">
        <f>IFERROR(E344/E446, "NA")</f>
        <v>0.1520413604</v>
      </c>
      <c r="G344" s="8"/>
      <c r="H344" s="17">
        <f t="shared" si="97"/>
        <v>4303.89</v>
      </c>
      <c r="I344" s="18">
        <f>IFERROR(H344/H446, "NA")</f>
        <v>-0.06380582726</v>
      </c>
      <c r="J344" s="8"/>
      <c r="K344" s="17">
        <f>IFERROR(K329+K330+K331+K332+K333+K334+K335+K336+K338+K339+K340+K341+K342, "NA")</f>
        <v>87636.9</v>
      </c>
      <c r="L344" s="18">
        <f>IFERROR(K344/K446, "NA")</f>
        <v>0.1700987001</v>
      </c>
      <c r="M344" s="8"/>
      <c r="N344" s="17">
        <f t="shared" si="98"/>
        <v>6707.27</v>
      </c>
      <c r="O344" s="18">
        <f>IFERROR(N344/N446, "NA")</f>
        <v>-0.3038995627</v>
      </c>
      <c r="P344" s="8"/>
      <c r="Q344" s="17">
        <f>IFERROR(Q329+Q330+Q331+Q332+Q333+Q334+Q335+Q336+Q338+Q339+Q340+Q341+Q342, "NA")</f>
        <v>708490.04</v>
      </c>
      <c r="R344" s="18">
        <f>IFERROR(Q344/Q446, "NA")</f>
        <v>0.1476314651</v>
      </c>
      <c r="S344" s="8"/>
      <c r="T344" s="17">
        <f>IFERROR(T329+T330+T331+T332+T333+T334+T335+T336+T338+T339+T340+T341+T342, "NA")</f>
        <v>718173.82</v>
      </c>
      <c r="U344" s="18">
        <f>IFERROR(T344/T446, "NA")</f>
        <v>0.1439004803</v>
      </c>
      <c r="V344" s="8"/>
      <c r="W344" s="17">
        <f t="shared" si="99"/>
        <v>9683.78</v>
      </c>
      <c r="X344" s="18">
        <f>IFERROR(W344/W446, "NA")</f>
        <v>-0.05050938495</v>
      </c>
      <c r="Y344" s="8"/>
      <c r="Z344" s="17">
        <f>IFERROR(Z329+Z330+Z331+Z332+Z333+Z334+Z335+Z336+Z338+Z339+Z340+Z341+Z342, "NA")</f>
        <v>684847.15</v>
      </c>
      <c r="AA344" s="18">
        <f>IFERROR(Z344/Z446, "NA")</f>
        <v>0.1482068411</v>
      </c>
      <c r="AB344" s="8"/>
      <c r="AC344" s="17">
        <f t="shared" si="100"/>
        <v>-23642.89</v>
      </c>
      <c r="AD344" s="18">
        <f>IFERROR(AC344/AC446, "NA")</f>
        <v>-0.1327078752</v>
      </c>
    </row>
    <row r="345" ht="16.5" customHeight="1">
      <c r="A345" s="16" t="s">
        <v>318</v>
      </c>
      <c r="B345" s="17">
        <f>IFERROR(B329+B330+B331+B332+B333+B334+B335+B336+B338+B339+B340+B341+B342, "NA")</f>
        <v>80929.63</v>
      </c>
      <c r="C345" s="18">
        <f>IFERROR(B345/B446, "NA")</f>
        <v>0.1641104051</v>
      </c>
      <c r="D345" s="8"/>
      <c r="E345" s="17">
        <f>IFERROR(E329+E330+E331+E332+E333+E334+E335+E336+E338+E339+E340+E341+E342, "NA")</f>
        <v>85233.52</v>
      </c>
      <c r="F345" s="18">
        <f>IFERROR(E345/E446, "NA")</f>
        <v>0.1520413604</v>
      </c>
      <c r="G345" s="8"/>
      <c r="H345" s="17">
        <f t="shared" si="97"/>
        <v>4303.89</v>
      </c>
      <c r="I345" s="18">
        <f>IFERROR(H345/H446, "NA")</f>
        <v>-0.06380582726</v>
      </c>
      <c r="J345" s="8"/>
      <c r="K345" s="17">
        <f>IFERROR(K329+K330+K331+K332+K333+K334+K335+K336+K338+K339+K340+K341+K342, "NA")</f>
        <v>87636.9</v>
      </c>
      <c r="L345" s="18">
        <f>IFERROR(K345/K446, "NA")</f>
        <v>0.1700987001</v>
      </c>
      <c r="M345" s="8"/>
      <c r="N345" s="17">
        <f t="shared" si="98"/>
        <v>6707.27</v>
      </c>
      <c r="O345" s="18">
        <f>IFERROR(N345/N446, "NA")</f>
        <v>-0.3038995627</v>
      </c>
      <c r="P345" s="8"/>
      <c r="Q345" s="17">
        <f>IFERROR(Q329+Q330+Q331+Q332+Q333+Q334+Q335+Q336+Q338+Q339+Q340+Q341+Q342, "NA")</f>
        <v>708490.04</v>
      </c>
      <c r="R345" s="18">
        <f>IFERROR(Q345/Q446, "NA")</f>
        <v>0.1476314651</v>
      </c>
      <c r="S345" s="8"/>
      <c r="T345" s="17">
        <f>IFERROR(T329+T330+T331+T332+T333+T334+T335+T336+T338+T339+T340+T341+T342, "NA")</f>
        <v>718173.82</v>
      </c>
      <c r="U345" s="18">
        <f>IFERROR(T345/T446, "NA")</f>
        <v>0.1439004803</v>
      </c>
      <c r="V345" s="8"/>
      <c r="W345" s="17">
        <f t="shared" si="99"/>
        <v>9683.78</v>
      </c>
      <c r="X345" s="18">
        <f>IFERROR(W345/W446, "NA")</f>
        <v>-0.05050938495</v>
      </c>
      <c r="Y345" s="8"/>
      <c r="Z345" s="17">
        <f>IFERROR(Z329+Z330+Z331+Z332+Z333+Z334+Z335+Z336+Z338+Z339+Z340+Z341+Z342, "NA")</f>
        <v>684847.15</v>
      </c>
      <c r="AA345" s="18">
        <f>IFERROR(Z345/Z446, "NA")</f>
        <v>0.1482068411</v>
      </c>
      <c r="AB345" s="8"/>
      <c r="AC345" s="17">
        <f t="shared" si="100"/>
        <v>-23642.89</v>
      </c>
      <c r="AD345" s="18">
        <f>IFERROR(AC345/AC446, "NA")</f>
        <v>-0.1327078752</v>
      </c>
    </row>
    <row r="346" ht="16.5" customHeight="1">
      <c r="A346" s="19" t="s">
        <v>319</v>
      </c>
      <c r="B346" s="20">
        <f>IFERROR(B198-B326-B345, "NA")</f>
        <v>22856.79</v>
      </c>
      <c r="C346" s="21">
        <f>IFERROR(B346/B446, "NA")</f>
        <v>0.04634936631</v>
      </c>
      <c r="D346" s="22"/>
      <c r="E346" s="20">
        <f>IFERROR(E198-E326-E345, "NA")</f>
        <v>39779.05</v>
      </c>
      <c r="F346" s="21">
        <f>IFERROR(E346/E446, "NA")</f>
        <v>0.07095871292</v>
      </c>
      <c r="G346" s="22"/>
      <c r="H346" s="20">
        <f>IFERROR(B346-E346, "NA")</f>
        <v>-16922.26</v>
      </c>
      <c r="I346" s="21">
        <f>IFERROR(H346/H446, "NA")</f>
        <v>0.2508750917</v>
      </c>
      <c r="J346" s="22"/>
      <c r="K346" s="20">
        <f>IFERROR(K198-K326-K345, "NA")</f>
        <v>3233.48</v>
      </c>
      <c r="L346" s="21">
        <f>IFERROR(K346/K446, "NA")</f>
        <v>0.006276017807</v>
      </c>
      <c r="M346" s="22"/>
      <c r="N346" s="20">
        <f>IFERROR(B346-K346, "NA")</f>
        <v>19623.31</v>
      </c>
      <c r="O346" s="21">
        <f>IFERROR(N346/N446, "NA")</f>
        <v>-0.8891121615</v>
      </c>
      <c r="P346" s="22"/>
      <c r="Q346" s="20">
        <f>IFERROR(Q198-Q326-Q345, "NA")</f>
        <v>303983.89</v>
      </c>
      <c r="R346" s="21">
        <f>IFERROR(Q346/Q446, "NA")</f>
        <v>0.06334258001</v>
      </c>
      <c r="S346" s="22"/>
      <c r="T346" s="20">
        <f>IFERROR(T198-T326-T345, "NA")</f>
        <v>445918.74</v>
      </c>
      <c r="U346" s="21">
        <f>IFERROR(T346/T446, "NA")</f>
        <v>0.08934873294</v>
      </c>
      <c r="V346" s="22"/>
      <c r="W346" s="20">
        <f>IFERROR(Q346-T346, "NA")</f>
        <v>-141934.85</v>
      </c>
      <c r="X346" s="21">
        <f>IFERROR(W346/W446, "NA")</f>
        <v>0.7403144202</v>
      </c>
      <c r="Y346" s="22"/>
      <c r="Z346" s="20">
        <f>IFERROR(Z198-Z326-Z345, "NA")</f>
        <v>123067.98</v>
      </c>
      <c r="AA346" s="21">
        <f>IFERROR(Z346/Z446, "NA")</f>
        <v>0.02663297432</v>
      </c>
      <c r="AB346" s="22"/>
      <c r="AC346" s="20">
        <f>IFERROR(Q346-Z346, "NA")</f>
        <v>180915.91</v>
      </c>
      <c r="AD346" s="21">
        <f>IFERROR(AC346/AC446, "NA")</f>
        <v>1.015483556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>
        <f>IFERROR(B348/B446, "NA")</f>
        <v>0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>
        <f>IFERROR(B350/B446, "NA")</f>
        <v>0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customHeight="1">
      <c r="A351" s="11" t="s">
        <v>323</v>
      </c>
      <c r="B351" s="12">
        <v>34706.43</v>
      </c>
      <c r="C351" s="13">
        <f>IFERROR(B351/B446, "NA")</f>
        <v>0.07037825685</v>
      </c>
      <c r="D351" s="14"/>
      <c r="E351" s="12">
        <v>43307.69</v>
      </c>
      <c r="F351" s="13">
        <f>IFERROR(E351/E446, "NA")</f>
        <v>0.07725317578</v>
      </c>
      <c r="G351" s="14"/>
      <c r="H351" s="15">
        <f t="shared" si="101"/>
        <v>8601.26</v>
      </c>
      <c r="I351" s="13">
        <f>IFERROR(H351/H446, "NA")</f>
        <v>-0.1275149945</v>
      </c>
      <c r="J351" s="14"/>
      <c r="K351" s="12">
        <v>46769.16</v>
      </c>
      <c r="L351" s="13">
        <f>IFERROR(K351/K446, "NA")</f>
        <v>0.0907765259</v>
      </c>
      <c r="M351" s="14"/>
      <c r="N351" s="15">
        <f t="shared" si="102"/>
        <v>12062.73</v>
      </c>
      <c r="O351" s="13">
        <f>IFERROR(N351/N446, "NA")</f>
        <v>-0.546549993</v>
      </c>
      <c r="P351" s="14"/>
      <c r="Q351" s="12">
        <v>300124.6</v>
      </c>
      <c r="R351" s="13">
        <f>IFERROR(Q351/Q446, "NA")</f>
        <v>0.06253840126</v>
      </c>
      <c r="S351" s="14"/>
      <c r="T351" s="12">
        <v>353884.6</v>
      </c>
      <c r="U351" s="13">
        <f>IFERROR(T351/T446, "NA")</f>
        <v>0.07090785334</v>
      </c>
      <c r="V351" s="14"/>
      <c r="W351" s="15">
        <f t="shared" si="103"/>
        <v>53760</v>
      </c>
      <c r="X351" s="13">
        <f>IFERROR(W351/W446, "NA")</f>
        <v>-0.2804054341</v>
      </c>
      <c r="Y351" s="14"/>
      <c r="Z351" s="12">
        <v>402688.98</v>
      </c>
      <c r="AA351" s="13">
        <f>IFERROR(Z351/Z446, "NA")</f>
        <v>0.08714537497</v>
      </c>
      <c r="AB351" s="14"/>
      <c r="AC351" s="15">
        <f t="shared" si="104"/>
        <v>102564.38</v>
      </c>
      <c r="AD351" s="13">
        <f>IFERROR(AC351/AC446, "NA")</f>
        <v>0.5756953121</v>
      </c>
    </row>
    <row r="352" ht="16.5" hidden="1" customHeight="1">
      <c r="A352" s="11" t="s">
        <v>324</v>
      </c>
      <c r="B352" s="12">
        <v>0.0</v>
      </c>
      <c r="C352" s="13">
        <f>IFERROR(B352/B446, "NA")</f>
        <v>0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customHeight="1">
      <c r="A353" s="11" t="s">
        <v>325</v>
      </c>
      <c r="B353" s="12">
        <v>0.0</v>
      </c>
      <c r="C353" s="13">
        <f>IFERROR(B353/B446, "NA")</f>
        <v>0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5000.0</v>
      </c>
      <c r="U353" s="13">
        <f>IFERROR(T353/T446, "NA")</f>
        <v>0.001001849944</v>
      </c>
      <c r="V353" s="14"/>
      <c r="W353" s="15">
        <f t="shared" si="103"/>
        <v>5000</v>
      </c>
      <c r="X353" s="13">
        <f>IFERROR(W353/W446, "NA")</f>
        <v>-0.02607937445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customHeight="1">
      <c r="A354" s="11" t="s">
        <v>326</v>
      </c>
      <c r="B354" s="12">
        <v>0.0</v>
      </c>
      <c r="C354" s="13">
        <f>IFERROR(B354/B446, "NA")</f>
        <v>0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580.0</v>
      </c>
      <c r="L354" s="13">
        <f>IFERROR(K354/K446, "NA")</f>
        <v>0.001125750067</v>
      </c>
      <c r="M354" s="14"/>
      <c r="N354" s="15">
        <f t="shared" si="102"/>
        <v>580</v>
      </c>
      <c r="O354" s="13">
        <f>IFERROR(N354/N446, "NA")</f>
        <v>-0.02627920843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7499.8</v>
      </c>
      <c r="AA354" s="13">
        <f>IFERROR(Z354/Z446, "NA")</f>
        <v>0.001623021527</v>
      </c>
      <c r="AB354" s="14"/>
      <c r="AC354" s="15">
        <f t="shared" si="104"/>
        <v>7499.8</v>
      </c>
      <c r="AD354" s="13">
        <f>IFERROR(AC354/AC446, "NA")</f>
        <v>0.04209648322</v>
      </c>
    </row>
    <row r="355" ht="16.5" customHeight="1">
      <c r="A355" s="11" t="s">
        <v>327</v>
      </c>
      <c r="B355" s="12">
        <v>2833.67</v>
      </c>
      <c r="C355" s="13">
        <f>IFERROR(B355/B446, "NA")</f>
        <v>0.005746161593</v>
      </c>
      <c r="D355" s="14"/>
      <c r="E355" s="12">
        <v>3594.54</v>
      </c>
      <c r="F355" s="13">
        <f>IFERROR(E355/E446, "NA")</f>
        <v>0.006412016676</v>
      </c>
      <c r="G355" s="14"/>
      <c r="H355" s="15">
        <f t="shared" si="101"/>
        <v>760.87</v>
      </c>
      <c r="I355" s="13">
        <f>IFERROR(H355/H446, "NA")</f>
        <v>-0.01128001408</v>
      </c>
      <c r="J355" s="14"/>
      <c r="K355" s="12">
        <v>4215.27</v>
      </c>
      <c r="L355" s="13">
        <f>IFERROR(K355/K446, "NA")</f>
        <v>0.008181621528</v>
      </c>
      <c r="M355" s="14"/>
      <c r="N355" s="15">
        <f t="shared" si="102"/>
        <v>1381.6</v>
      </c>
      <c r="O355" s="13">
        <f>IFERROR(N355/N446, "NA")</f>
        <v>-0.06259888685</v>
      </c>
      <c r="P355" s="14"/>
      <c r="Q355" s="12">
        <v>24426.6</v>
      </c>
      <c r="R355" s="13">
        <f>IFERROR(Q355/Q446, "NA")</f>
        <v>0.005089887707</v>
      </c>
      <c r="S355" s="14"/>
      <c r="T355" s="12">
        <v>29372.42</v>
      </c>
      <c r="U355" s="13">
        <f>IFERROR(T355/T446, "NA")</f>
        <v>0.005885351466</v>
      </c>
      <c r="V355" s="14"/>
      <c r="W355" s="15">
        <f t="shared" si="103"/>
        <v>4945.82</v>
      </c>
      <c r="X355" s="13">
        <f>IFERROR(W355/W446, "NA")</f>
        <v>-0.02579677835</v>
      </c>
      <c r="Y355" s="14"/>
      <c r="Z355" s="12">
        <v>35602.81</v>
      </c>
      <c r="AA355" s="13">
        <f>IFERROR(Z355/Z446, "NA")</f>
        <v>0.007704755734</v>
      </c>
      <c r="AB355" s="14"/>
      <c r="AC355" s="15">
        <f t="shared" si="104"/>
        <v>11176.21</v>
      </c>
      <c r="AD355" s="13">
        <f>IFERROR(AC355/AC446, "NA")</f>
        <v>0.06273222443</v>
      </c>
    </row>
    <row r="356" ht="16.5" customHeight="1">
      <c r="A356" s="11" t="s">
        <v>328</v>
      </c>
      <c r="B356" s="12">
        <v>135.68</v>
      </c>
      <c r="C356" s="13">
        <f>IFERROR(B356/B446, "NA")</f>
        <v>0.0002751340858</v>
      </c>
      <c r="D356" s="14"/>
      <c r="E356" s="12">
        <v>212.0</v>
      </c>
      <c r="F356" s="13">
        <f>IFERROR(E356/E446, "NA")</f>
        <v>0.0003781700956</v>
      </c>
      <c r="G356" s="14"/>
      <c r="H356" s="15">
        <f t="shared" si="101"/>
        <v>76.32</v>
      </c>
      <c r="I356" s="13">
        <f>IFERROR(H356/H446, "NA")</f>
        <v>-0.001131455668</v>
      </c>
      <c r="J356" s="14"/>
      <c r="K356" s="12">
        <v>212.0</v>
      </c>
      <c r="L356" s="13">
        <f>IFERROR(K356/K446, "NA")</f>
        <v>0.0004114810591</v>
      </c>
      <c r="M356" s="14"/>
      <c r="N356" s="15">
        <f t="shared" si="102"/>
        <v>76.32</v>
      </c>
      <c r="O356" s="13">
        <f>IFERROR(N356/N446, "NA")</f>
        <v>-0.003457981358</v>
      </c>
      <c r="P356" s="14"/>
      <c r="Q356" s="12">
        <v>1040.91</v>
      </c>
      <c r="R356" s="13">
        <f>IFERROR(Q356/Q446, "NA")</f>
        <v>0.0002168994053</v>
      </c>
      <c r="S356" s="14"/>
      <c r="T356" s="12">
        <v>1738.0</v>
      </c>
      <c r="U356" s="13">
        <f>IFERROR(T356/T446, "NA")</f>
        <v>0.0003482430405</v>
      </c>
      <c r="V356" s="14"/>
      <c r="W356" s="15">
        <f t="shared" si="103"/>
        <v>697.09</v>
      </c>
      <c r="X356" s="13">
        <f>IFERROR(W356/W446, "NA")</f>
        <v>-0.003635934228</v>
      </c>
      <c r="Y356" s="14"/>
      <c r="Z356" s="12">
        <v>1812.6</v>
      </c>
      <c r="AA356" s="13">
        <f>IFERROR(Z356/Z446, "NA")</f>
        <v>0.000392262303</v>
      </c>
      <c r="AB356" s="14"/>
      <c r="AC356" s="15">
        <f t="shared" si="104"/>
        <v>771.69</v>
      </c>
      <c r="AD356" s="13">
        <f>IFERROR(AC356/AC446, "NA")</f>
        <v>0.004331506859</v>
      </c>
    </row>
    <row r="357" ht="16.5" customHeight="1">
      <c r="A357" s="11" t="s">
        <v>329</v>
      </c>
      <c r="B357" s="12">
        <v>0.0</v>
      </c>
      <c r="C357" s="13">
        <f>IFERROR(B357/B446, "NA")</f>
        <v>0</v>
      </c>
      <c r="D357" s="14"/>
      <c r="E357" s="12">
        <v>5413.46</v>
      </c>
      <c r="F357" s="13">
        <f>IFERROR(E357/E446, "NA")</f>
        <v>0.009656644743</v>
      </c>
      <c r="G357" s="14"/>
      <c r="H357" s="15">
        <f t="shared" si="101"/>
        <v>5413.46</v>
      </c>
      <c r="I357" s="13">
        <f>IFERROR(H357/H446, "NA")</f>
        <v>-0.08025537215</v>
      </c>
      <c r="J357" s="14"/>
      <c r="K357" s="12">
        <v>6187.5</v>
      </c>
      <c r="L357" s="13">
        <f>IFERROR(K357/K446, "NA")</f>
        <v>0.01200961818</v>
      </c>
      <c r="M357" s="14"/>
      <c r="N357" s="15">
        <f t="shared" si="102"/>
        <v>6187.5</v>
      </c>
      <c r="O357" s="13">
        <f>IFERROR(N357/N446, "NA")</f>
        <v>-0.2803493141</v>
      </c>
      <c r="P357" s="14"/>
      <c r="Q357" s="12">
        <v>0.0</v>
      </c>
      <c r="R357" s="13">
        <f>IFERROR(Q357/Q446, "NA")</f>
        <v>0</v>
      </c>
      <c r="S357" s="14"/>
      <c r="T357" s="12">
        <v>44235.58</v>
      </c>
      <c r="U357" s="13">
        <f>IFERROR(T357/T446, "NA")</f>
        <v>0.008863482669</v>
      </c>
      <c r="V357" s="14"/>
      <c r="W357" s="15">
        <f t="shared" si="103"/>
        <v>44235.58</v>
      </c>
      <c r="X357" s="13">
        <f>IFERROR(W357/W446, "NA")</f>
        <v>-0.230727251</v>
      </c>
      <c r="Y357" s="14"/>
      <c r="Z357" s="12">
        <v>45187.5</v>
      </c>
      <c r="AA357" s="13">
        <f>IFERROR(Z357/Z446, "NA")</f>
        <v>0.009778965473</v>
      </c>
      <c r="AB357" s="14"/>
      <c r="AC357" s="15">
        <f t="shared" si="104"/>
        <v>45187.5</v>
      </c>
      <c r="AD357" s="13">
        <f>IFERROR(AC357/AC446, "NA")</f>
        <v>0.2536380751</v>
      </c>
    </row>
    <row r="358" ht="16.5" customHeight="1">
      <c r="A358" s="11" t="s">
        <v>330</v>
      </c>
      <c r="B358" s="12">
        <v>3665.49</v>
      </c>
      <c r="C358" s="13">
        <f>IFERROR(B358/B446, "NA")</f>
        <v>0.007432939565</v>
      </c>
      <c r="D358" s="14"/>
      <c r="E358" s="12">
        <v>3680.0</v>
      </c>
      <c r="F358" s="13">
        <f>IFERROR(E358/E446, "NA")</f>
        <v>0.006564462036</v>
      </c>
      <c r="G358" s="14"/>
      <c r="H358" s="15">
        <f t="shared" si="101"/>
        <v>14.51</v>
      </c>
      <c r="I358" s="13">
        <f>IFERROR(H358/H446, "NA")</f>
        <v>-0.0002151129684</v>
      </c>
      <c r="J358" s="14"/>
      <c r="K358" s="12">
        <v>3674.43</v>
      </c>
      <c r="L358" s="13">
        <f>IFERROR(K358/K446, "NA")</f>
        <v>0.007131879</v>
      </c>
      <c r="M358" s="14"/>
      <c r="N358" s="15">
        <f t="shared" si="102"/>
        <v>8.94</v>
      </c>
      <c r="O358" s="13">
        <f>IFERROR(N358/N446, "NA")</f>
        <v>-0.0004050622817</v>
      </c>
      <c r="P358" s="14"/>
      <c r="Q358" s="12">
        <v>27115.37</v>
      </c>
      <c r="R358" s="13">
        <f>IFERROR(Q358/Q446, "NA")</f>
        <v>0.005650159598</v>
      </c>
      <c r="S358" s="14"/>
      <c r="T358" s="12">
        <v>29440.0</v>
      </c>
      <c r="U358" s="13">
        <f>IFERROR(T358/T446, "NA")</f>
        <v>0.00589889247</v>
      </c>
      <c r="V358" s="14"/>
      <c r="W358" s="15">
        <f t="shared" si="103"/>
        <v>2324.63</v>
      </c>
      <c r="X358" s="13">
        <f>IFERROR(W358/W446, "NA")</f>
        <v>-0.01212497925</v>
      </c>
      <c r="Y358" s="14"/>
      <c r="Z358" s="12">
        <v>28071.36</v>
      </c>
      <c r="AA358" s="13">
        <f>IFERROR(Z358/Z446, "NA")</f>
        <v>0.006074884873</v>
      </c>
      <c r="AB358" s="14"/>
      <c r="AC358" s="15">
        <f t="shared" si="104"/>
        <v>955.99</v>
      </c>
      <c r="AD358" s="13">
        <f>IFERROR(AC358/AC446, "NA")</f>
        <v>0.005365985359</v>
      </c>
    </row>
    <row r="359" ht="16.5" customHeight="1">
      <c r="A359" s="16" t="s">
        <v>331</v>
      </c>
      <c r="B359" s="17">
        <f>IFERROR(B350+B351+B352+B353+B354+B355+B356+B357+B358, "NA")</f>
        <v>41341.27</v>
      </c>
      <c r="C359" s="18">
        <f>IFERROR(B359/B446, "NA")</f>
        <v>0.08383249209</v>
      </c>
      <c r="D359" s="8"/>
      <c r="E359" s="17">
        <f>IFERROR(E350+E351+E352+E353+E354+E355+E356+E357+E358, "NA")</f>
        <v>56207.69</v>
      </c>
      <c r="F359" s="18">
        <f>IFERROR(E359/E446, "NA")</f>
        <v>0.1002644693</v>
      </c>
      <c r="G359" s="8"/>
      <c r="H359" s="17">
        <f t="shared" si="101"/>
        <v>14866.42</v>
      </c>
      <c r="I359" s="18">
        <f>IFERROR(H359/H446, "NA")</f>
        <v>-0.2203969494</v>
      </c>
      <c r="J359" s="8"/>
      <c r="K359" s="17">
        <f>IFERROR(K350+K351+K352+K353+K354+K355+K356+K357+K358, "NA")</f>
        <v>61638.36</v>
      </c>
      <c r="L359" s="18">
        <f>IFERROR(K359/K446, "NA")</f>
        <v>0.1196368757</v>
      </c>
      <c r="M359" s="8"/>
      <c r="N359" s="17">
        <f t="shared" si="102"/>
        <v>20297.09</v>
      </c>
      <c r="O359" s="18">
        <f>IFERROR(N359/N446, "NA")</f>
        <v>-0.9196404461</v>
      </c>
      <c r="P359" s="8"/>
      <c r="Q359" s="17">
        <f>IFERROR(Q350+Q351+Q352+Q353+Q354+Q355+Q356+Q357+Q358, "NA")</f>
        <v>352707.48</v>
      </c>
      <c r="R359" s="18">
        <f>IFERROR(Q359/Q446, "NA")</f>
        <v>0.07349534797</v>
      </c>
      <c r="S359" s="8"/>
      <c r="T359" s="17">
        <f>IFERROR(T350+T351+T352+T353+T354+T355+T356+T357+T358, "NA")</f>
        <v>463670.6</v>
      </c>
      <c r="U359" s="18">
        <f>IFERROR(T359/T446, "NA")</f>
        <v>0.09290567293</v>
      </c>
      <c r="V359" s="8"/>
      <c r="W359" s="17">
        <f t="shared" si="103"/>
        <v>110963.12</v>
      </c>
      <c r="X359" s="18">
        <f>IFERROR(W359/W446, "NA")</f>
        <v>-0.5787697514</v>
      </c>
      <c r="Y359" s="8"/>
      <c r="Z359" s="17">
        <f>IFERROR(Z350+Z351+Z352+Z353+Z354+Z355+Z356+Z357+Z358, "NA")</f>
        <v>520863.05</v>
      </c>
      <c r="AA359" s="18">
        <f>IFERROR(Z359/Z446, "NA")</f>
        <v>0.1127192649</v>
      </c>
      <c r="AB359" s="8"/>
      <c r="AC359" s="17">
        <f t="shared" si="104"/>
        <v>168155.57</v>
      </c>
      <c r="AD359" s="18">
        <f>IFERROR(AC359/AC446, "NA")</f>
        <v>0.9438595871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>
        <f>IFERROR(B361/B446, "NA")</f>
        <v>0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>
        <f>IFERROR(B362/B446, "NA")</f>
        <v>0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customHeight="1">
      <c r="A363" s="11" t="s">
        <v>334</v>
      </c>
      <c r="B363" s="12">
        <v>145.85</v>
      </c>
      <c r="C363" s="13">
        <f>IFERROR(B363/B446, "NA")</f>
        <v>0.0002957569753</v>
      </c>
      <c r="D363" s="14"/>
      <c r="E363" s="12">
        <v>864.0</v>
      </c>
      <c r="F363" s="13">
        <f>IFERROR(E363/E446, "NA")</f>
        <v>0.001541221522</v>
      </c>
      <c r="G363" s="14"/>
      <c r="H363" s="15">
        <f t="shared" si="105"/>
        <v>718.15</v>
      </c>
      <c r="I363" s="13">
        <f>IFERROR(H363/H446, "NA")</f>
        <v>-0.01064668355</v>
      </c>
      <c r="J363" s="14"/>
      <c r="K363" s="12">
        <v>741.3</v>
      </c>
      <c r="L363" s="13">
        <f>IFERROR(K363/K446, "NA")</f>
        <v>0.001438825043</v>
      </c>
      <c r="M363" s="14"/>
      <c r="N363" s="15">
        <f t="shared" si="106"/>
        <v>595.45</v>
      </c>
      <c r="O363" s="13">
        <f>IFERROR(N363/N446, "NA")</f>
        <v>-0.02697923218</v>
      </c>
      <c r="P363" s="14"/>
      <c r="Q363" s="12">
        <v>2232.92</v>
      </c>
      <c r="R363" s="13">
        <f>IFERROR(Q363/Q446, "NA")</f>
        <v>0.0004652842418</v>
      </c>
      <c r="S363" s="14"/>
      <c r="T363" s="12">
        <v>7344.0</v>
      </c>
      <c r="U363" s="13">
        <f>IFERROR(T363/T446, "NA")</f>
        <v>0.001471517198</v>
      </c>
      <c r="V363" s="14"/>
      <c r="W363" s="15">
        <f t="shared" si="107"/>
        <v>5111.08</v>
      </c>
      <c r="X363" s="13">
        <f>IFERROR(W363/W446, "NA")</f>
        <v>-0.02665875384</v>
      </c>
      <c r="Y363" s="14"/>
      <c r="Z363" s="12">
        <v>6182.1</v>
      </c>
      <c r="AA363" s="13">
        <f>IFERROR(Z363/Z446, "NA")</f>
        <v>0.001337859861</v>
      </c>
      <c r="AB363" s="14"/>
      <c r="AC363" s="15">
        <f t="shared" si="108"/>
        <v>3949.18</v>
      </c>
      <c r="AD363" s="13">
        <f>IFERROR(AC363/AC446, "NA")</f>
        <v>0.02216680306</v>
      </c>
    </row>
    <row r="364" ht="16.5" customHeight="1">
      <c r="A364" s="11" t="s">
        <v>335</v>
      </c>
      <c r="B364" s="12">
        <v>892.03</v>
      </c>
      <c r="C364" s="13">
        <f>IFERROR(B364/B446, "NA")</f>
        <v>0.001808872778</v>
      </c>
      <c r="D364" s="14"/>
      <c r="E364" s="12">
        <v>150.0</v>
      </c>
      <c r="F364" s="13">
        <f>IFERROR(E364/E446, "NA")</f>
        <v>0.0002675731808</v>
      </c>
      <c r="G364" s="14"/>
      <c r="H364" s="15">
        <f t="shared" si="105"/>
        <v>-742.03</v>
      </c>
      <c r="I364" s="13">
        <f>IFERROR(H364/H446, "NA")</f>
        <v>0.0110007082</v>
      </c>
      <c r="J364" s="14"/>
      <c r="K364" s="12">
        <v>778.59</v>
      </c>
      <c r="L364" s="13">
        <f>IFERROR(K364/K446, "NA")</f>
        <v>0.001511203009</v>
      </c>
      <c r="M364" s="14"/>
      <c r="N364" s="15">
        <f t="shared" si="106"/>
        <v>-113.44</v>
      </c>
      <c r="O364" s="13">
        <f>IFERROR(N364/N446, "NA")</f>
        <v>0.005139850698</v>
      </c>
      <c r="P364" s="14"/>
      <c r="Q364" s="12">
        <v>7846.92</v>
      </c>
      <c r="R364" s="13">
        <f>IFERROR(Q364/Q446, "NA")</f>
        <v>0.001635100327</v>
      </c>
      <c r="S364" s="14"/>
      <c r="T364" s="12">
        <v>1350.0</v>
      </c>
      <c r="U364" s="13">
        <f>IFERROR(T364/T446, "NA")</f>
        <v>0.0002704994849</v>
      </c>
      <c r="V364" s="14"/>
      <c r="W364" s="15">
        <f t="shared" si="107"/>
        <v>-6496.92</v>
      </c>
      <c r="X364" s="13">
        <f>IFERROR(W364/W446, "NA")</f>
        <v>0.0338871219</v>
      </c>
      <c r="Y364" s="14"/>
      <c r="Z364" s="12">
        <v>7129.2</v>
      </c>
      <c r="AA364" s="13">
        <f>IFERROR(Z364/Z446, "NA")</f>
        <v>0.001542820485</v>
      </c>
      <c r="AB364" s="14"/>
      <c r="AC364" s="15">
        <f t="shared" si="108"/>
        <v>-717.72</v>
      </c>
      <c r="AD364" s="13">
        <f>IFERROR(AC364/AC446, "NA")</f>
        <v>-0.004028572487</v>
      </c>
    </row>
    <row r="365" ht="16.5" customHeight="1">
      <c r="A365" s="11" t="s">
        <v>336</v>
      </c>
      <c r="B365" s="12">
        <v>218.59</v>
      </c>
      <c r="C365" s="13">
        <f>IFERROR(B365/B446, "NA")</f>
        <v>0.000443260317</v>
      </c>
      <c r="D365" s="14"/>
      <c r="E365" s="12">
        <v>500.0</v>
      </c>
      <c r="F365" s="13">
        <f>IFERROR(E365/E446, "NA")</f>
        <v>0.0008919106027</v>
      </c>
      <c r="G365" s="14"/>
      <c r="H365" s="15">
        <f t="shared" si="105"/>
        <v>281.41</v>
      </c>
      <c r="I365" s="13">
        <f>IFERROR(H365/H446, "NA")</f>
        <v>-0.004171946274</v>
      </c>
      <c r="J365" s="14"/>
      <c r="K365" s="12">
        <v>551.02</v>
      </c>
      <c r="L365" s="13">
        <f>IFERROR(K365/K446, "NA")</f>
        <v>0.001069501383</v>
      </c>
      <c r="M365" s="14"/>
      <c r="N365" s="15">
        <f t="shared" si="106"/>
        <v>332.43</v>
      </c>
      <c r="O365" s="13">
        <f>IFERROR(N365/N446, "NA")</f>
        <v>-0.01506206424</v>
      </c>
      <c r="P365" s="14"/>
      <c r="Q365" s="12">
        <v>1501.8</v>
      </c>
      <c r="R365" s="13">
        <f>IFERROR(Q365/Q446, "NA")</f>
        <v>0.0003129372634</v>
      </c>
      <c r="S365" s="14"/>
      <c r="T365" s="12">
        <v>4650.0</v>
      </c>
      <c r="U365" s="13">
        <f>IFERROR(T365/T446, "NA")</f>
        <v>0.0009317204479</v>
      </c>
      <c r="V365" s="14"/>
      <c r="W365" s="15">
        <f t="shared" si="107"/>
        <v>3148.2</v>
      </c>
      <c r="X365" s="13">
        <f>IFERROR(W365/W446, "NA")</f>
        <v>-0.01642061733</v>
      </c>
      <c r="Y365" s="14"/>
      <c r="Z365" s="12">
        <v>5433.32</v>
      </c>
      <c r="AA365" s="13">
        <f>IFERROR(Z365/Z446, "NA")</f>
        <v>0.001175817398</v>
      </c>
      <c r="AB365" s="14"/>
      <c r="AC365" s="15">
        <f t="shared" si="108"/>
        <v>3931.52</v>
      </c>
      <c r="AD365" s="13">
        <f>IFERROR(AC365/AC446, "NA")</f>
        <v>0.02206767723</v>
      </c>
    </row>
    <row r="366" ht="16.5" customHeight="1">
      <c r="A366" s="11" t="s">
        <v>337</v>
      </c>
      <c r="B366" s="12">
        <v>0.0</v>
      </c>
      <c r="C366" s="13">
        <f>IFERROR(B366/B446, "NA")</f>
        <v>0</v>
      </c>
      <c r="D366" s="14"/>
      <c r="E366" s="12">
        <v>675.0</v>
      </c>
      <c r="F366" s="13">
        <f>IFERROR(E366/E446, "NA")</f>
        <v>0.001204079314</v>
      </c>
      <c r="G366" s="14"/>
      <c r="H366" s="15">
        <f t="shared" si="105"/>
        <v>675</v>
      </c>
      <c r="I366" s="13">
        <f>IFERROR(H366/H446, "NA")</f>
        <v>-0.0100069782</v>
      </c>
      <c r="J366" s="14"/>
      <c r="K366" s="12">
        <v>172.26</v>
      </c>
      <c r="L366" s="13">
        <f>IFERROR(K366/K446, "NA")</f>
        <v>0.00033434777</v>
      </c>
      <c r="M366" s="14"/>
      <c r="N366" s="15">
        <f t="shared" si="106"/>
        <v>172.26</v>
      </c>
      <c r="O366" s="13">
        <f>IFERROR(N366/N446, "NA")</f>
        <v>-0.007804924905</v>
      </c>
      <c r="P366" s="14"/>
      <c r="Q366" s="12">
        <v>4516.58</v>
      </c>
      <c r="R366" s="13">
        <f>IFERROR(Q366/Q446, "NA")</f>
        <v>0.0009411414205</v>
      </c>
      <c r="S366" s="14"/>
      <c r="T366" s="12">
        <v>6075.0</v>
      </c>
      <c r="U366" s="13">
        <f>IFERROR(T366/T446, "NA")</f>
        <v>0.001217247682</v>
      </c>
      <c r="V366" s="14"/>
      <c r="W366" s="15">
        <f t="shared" si="107"/>
        <v>1558.42</v>
      </c>
      <c r="X366" s="13">
        <f>IFERROR(W366/W446, "NA")</f>
        <v>-0.008128523747</v>
      </c>
      <c r="Y366" s="14"/>
      <c r="Z366" s="12">
        <v>4530.64</v>
      </c>
      <c r="AA366" s="13">
        <f>IFERROR(Z366/Z446, "NA")</f>
        <v>0.000980469646</v>
      </c>
      <c r="AB366" s="14"/>
      <c r="AC366" s="15">
        <f t="shared" si="108"/>
        <v>14.06</v>
      </c>
      <c r="AD366" s="13">
        <f>IFERROR(AC366/AC446, "NA")</f>
        <v>0.00007891897839</v>
      </c>
    </row>
    <row r="367" ht="16.5" customHeight="1">
      <c r="A367" s="11" t="s">
        <v>338</v>
      </c>
      <c r="B367" s="12">
        <v>0.0</v>
      </c>
      <c r="C367" s="13">
        <f>IFERROR(B367/B446, "NA")</f>
        <v>0</v>
      </c>
      <c r="D367" s="14"/>
      <c r="E367" s="12">
        <v>450.0</v>
      </c>
      <c r="F367" s="13">
        <f>IFERROR(E367/E446, "NA")</f>
        <v>0.0008027195425</v>
      </c>
      <c r="G367" s="14"/>
      <c r="H367" s="15">
        <f t="shared" si="105"/>
        <v>450</v>
      </c>
      <c r="I367" s="13">
        <f>IFERROR(H367/H446, "NA")</f>
        <v>-0.0066713188</v>
      </c>
      <c r="J367" s="14"/>
      <c r="K367" s="12">
        <v>1016.96</v>
      </c>
      <c r="L367" s="13">
        <f>IFERROR(K367/K446, "NA")</f>
        <v>0.001973866877</v>
      </c>
      <c r="M367" s="14"/>
      <c r="N367" s="15">
        <f t="shared" si="106"/>
        <v>1016.96</v>
      </c>
      <c r="O367" s="13">
        <f>IFERROR(N367/N446, "NA")</f>
        <v>-0.04607742036</v>
      </c>
      <c r="P367" s="14"/>
      <c r="Q367" s="12">
        <v>2844.82</v>
      </c>
      <c r="R367" s="13">
        <f>IFERROR(Q367/Q446, "NA")</f>
        <v>0.0005927887773</v>
      </c>
      <c r="S367" s="14"/>
      <c r="T367" s="12">
        <v>3150.0</v>
      </c>
      <c r="U367" s="13">
        <f>IFERROR(T367/T446, "NA")</f>
        <v>0.0006311654647</v>
      </c>
      <c r="V367" s="14"/>
      <c r="W367" s="15">
        <f t="shared" si="107"/>
        <v>305.18</v>
      </c>
      <c r="X367" s="13">
        <f>IFERROR(W367/W446, "NA")</f>
        <v>-0.001591780699</v>
      </c>
      <c r="Y367" s="14"/>
      <c r="Z367" s="12">
        <v>3885.47</v>
      </c>
      <c r="AA367" s="13">
        <f>IFERROR(Z367/Z446, "NA")</f>
        <v>0.000840849283</v>
      </c>
      <c r="AB367" s="14"/>
      <c r="AC367" s="15">
        <f t="shared" si="108"/>
        <v>1040.65</v>
      </c>
      <c r="AD367" s="13">
        <f>IFERROR(AC367/AC446, "NA")</f>
        <v>0.005841183134</v>
      </c>
    </row>
    <row r="368" ht="16.5" customHeight="1">
      <c r="A368" s="11" t="s">
        <v>339</v>
      </c>
      <c r="B368" s="12">
        <v>0.0</v>
      </c>
      <c r="C368" s="13">
        <f>IFERROR(B368/B446, "NA")</f>
        <v>0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1765.71</v>
      </c>
      <c r="L368" s="13">
        <f>IFERROR(K368/K446, "NA")</f>
        <v>0.003427151985</v>
      </c>
      <c r="M368" s="14"/>
      <c r="N368" s="15">
        <f t="shared" si="106"/>
        <v>1765.71</v>
      </c>
      <c r="O368" s="13">
        <f>IFERROR(N368/N446, "NA")</f>
        <v>-0.08000251918</v>
      </c>
      <c r="P368" s="14"/>
      <c r="Q368" s="12">
        <v>8955.18</v>
      </c>
      <c r="R368" s="13">
        <f>IFERROR(Q368/Q446, "NA")</f>
        <v>0.001866033775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-8955.18</v>
      </c>
      <c r="X368" s="13">
        <f>IFERROR(W368/W446, "NA")</f>
        <v>0.0467090985</v>
      </c>
      <c r="Y368" s="14"/>
      <c r="Z368" s="12">
        <v>8539.77</v>
      </c>
      <c r="AA368" s="13">
        <f>IFERROR(Z368/Z446, "NA")</f>
        <v>0.001848080022</v>
      </c>
      <c r="AB368" s="14"/>
      <c r="AC368" s="15">
        <f t="shared" si="108"/>
        <v>-415.41</v>
      </c>
      <c r="AD368" s="13">
        <f>IFERROR(AC368/AC446, "NA")</f>
        <v>-0.002331702191</v>
      </c>
    </row>
    <row r="369" ht="16.5" customHeight="1">
      <c r="A369" s="16" t="s">
        <v>340</v>
      </c>
      <c r="B369" s="17">
        <f>IFERROR(B361+B362+B363+B364+B365+B366+B367+B368, "NA")</f>
        <v>1256.47</v>
      </c>
      <c r="C369" s="18">
        <f>IFERROR(B369/B446, "NA")</f>
        <v>0.002547890071</v>
      </c>
      <c r="D369" s="8"/>
      <c r="E369" s="17">
        <f>IFERROR(E361+E362+E363+E364+E365+E366+E367+E368, "NA")</f>
        <v>2639</v>
      </c>
      <c r="F369" s="18">
        <f>IFERROR(E369/E446, "NA")</f>
        <v>0.004707504161</v>
      </c>
      <c r="G369" s="8"/>
      <c r="H369" s="17">
        <f t="shared" si="105"/>
        <v>1382.53</v>
      </c>
      <c r="I369" s="18">
        <f>IFERROR(H369/H446, "NA")</f>
        <v>-0.02049621862</v>
      </c>
      <c r="J369" s="8"/>
      <c r="K369" s="17">
        <f>IFERROR(K361+K362+K363+K364+K365+K366+K367+K368, "NA")</f>
        <v>5025.84</v>
      </c>
      <c r="L369" s="18">
        <f>IFERROR(K369/K446, "NA")</f>
        <v>0.009754896067</v>
      </c>
      <c r="M369" s="8"/>
      <c r="N369" s="17">
        <f t="shared" si="106"/>
        <v>3769.37</v>
      </c>
      <c r="O369" s="18">
        <f>IFERROR(N369/N446, "NA")</f>
        <v>-0.1707863102</v>
      </c>
      <c r="P369" s="8"/>
      <c r="Q369" s="17">
        <f>IFERROR(Q361+Q362+Q363+Q364+Q365+Q366+Q367+Q368, "NA")</f>
        <v>27898.22</v>
      </c>
      <c r="R369" s="18">
        <f>IFERROR(Q369/Q446, "NA")</f>
        <v>0.005813285805</v>
      </c>
      <c r="S369" s="8"/>
      <c r="T369" s="17">
        <f>IFERROR(T361+T362+T363+T364+T365+T366+T367+T368, "NA")</f>
        <v>22569</v>
      </c>
      <c r="U369" s="18">
        <f>IFERROR(T369/T446, "NA")</f>
        <v>0.004522150277</v>
      </c>
      <c r="V369" s="8"/>
      <c r="W369" s="17">
        <f t="shared" si="107"/>
        <v>-5329.22</v>
      </c>
      <c r="X369" s="18">
        <f>IFERROR(W369/W446, "NA")</f>
        <v>0.02779654479</v>
      </c>
      <c r="Y369" s="8"/>
      <c r="Z369" s="17">
        <f>IFERROR(Z361+Z362+Z363+Z364+Z365+Z366+Z367+Z368, "NA")</f>
        <v>35700.5</v>
      </c>
      <c r="AA369" s="18">
        <f>IFERROR(Z369/Z446, "NA")</f>
        <v>0.007725896694</v>
      </c>
      <c r="AB369" s="8"/>
      <c r="AC369" s="17">
        <f t="shared" si="108"/>
        <v>7802.28</v>
      </c>
      <c r="AD369" s="18">
        <f>IFERROR(AC369/AC446, "NA")</f>
        <v>0.04379430773</v>
      </c>
    </row>
    <row r="370" ht="16.5" hidden="1" customHeight="1">
      <c r="A370" s="11" t="s">
        <v>341</v>
      </c>
      <c r="B370" s="12">
        <v>0.0</v>
      </c>
      <c r="C370" s="13">
        <f>IFERROR(B370/B446, "NA")</f>
        <v>0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customHeight="1">
      <c r="A371" s="11" t="s">
        <v>342</v>
      </c>
      <c r="B371" s="12">
        <v>110.71</v>
      </c>
      <c r="C371" s="13">
        <f>IFERROR(B371/B446, "NA")</f>
        <v>0.0002244995183</v>
      </c>
      <c r="D371" s="14"/>
      <c r="E371" s="12">
        <v>100.0</v>
      </c>
      <c r="F371" s="13">
        <f>IFERROR(E371/E446, "NA")</f>
        <v>0.0001783821205</v>
      </c>
      <c r="G371" s="14"/>
      <c r="H371" s="15">
        <f t="shared" si="105"/>
        <v>-10.71</v>
      </c>
      <c r="I371" s="13">
        <f>IFERROR(H371/H446, "NA")</f>
        <v>0.0001587773874</v>
      </c>
      <c r="J371" s="14"/>
      <c r="K371" s="12">
        <v>177.35</v>
      </c>
      <c r="L371" s="13">
        <f>IFERROR(K371/K446, "NA")</f>
        <v>0.0003442271973</v>
      </c>
      <c r="M371" s="14"/>
      <c r="N371" s="15">
        <f t="shared" si="106"/>
        <v>66.64</v>
      </c>
      <c r="O371" s="13">
        <f>IFERROR(N371/N446, "NA")</f>
        <v>-0.003019390431</v>
      </c>
      <c r="P371" s="14"/>
      <c r="Q371" s="12">
        <v>889.08</v>
      </c>
      <c r="R371" s="13">
        <f>IFERROR(Q371/Q446, "NA")</f>
        <v>0.0001852618605</v>
      </c>
      <c r="S371" s="14"/>
      <c r="T371" s="12">
        <v>1700.0</v>
      </c>
      <c r="U371" s="13">
        <f>IFERROR(T371/T446, "NA")</f>
        <v>0.000340628981</v>
      </c>
      <c r="V371" s="14"/>
      <c r="W371" s="15">
        <f t="shared" si="107"/>
        <v>810.92</v>
      </c>
      <c r="X371" s="13">
        <f>IFERROR(W371/W446, "NA")</f>
        <v>-0.004229657266</v>
      </c>
      <c r="Y371" s="14"/>
      <c r="Z371" s="12">
        <v>1807.35</v>
      </c>
      <c r="AA371" s="13">
        <f>IFERROR(Z371/Z446, "NA")</f>
        <v>0.0003911261576</v>
      </c>
      <c r="AB371" s="14"/>
      <c r="AC371" s="15">
        <f t="shared" si="108"/>
        <v>918.27</v>
      </c>
      <c r="AD371" s="13">
        <f>IFERROR(AC371/AC446, "NA")</f>
        <v>0.005154262467</v>
      </c>
    </row>
    <row r="372" ht="16.5" customHeight="1">
      <c r="A372" s="11" t="s">
        <v>343</v>
      </c>
      <c r="B372" s="12">
        <v>281.29</v>
      </c>
      <c r="C372" s="13">
        <f>IFERROR(B372/B446, "NA")</f>
        <v>0.0005704043853</v>
      </c>
      <c r="D372" s="14"/>
      <c r="E372" s="12">
        <v>125.0</v>
      </c>
      <c r="F372" s="13">
        <f>IFERROR(E372/E446, "NA")</f>
        <v>0.0002229776507</v>
      </c>
      <c r="G372" s="14"/>
      <c r="H372" s="15">
        <f t="shared" si="105"/>
        <v>-156.29</v>
      </c>
      <c r="I372" s="13">
        <f>IFERROR(H372/H446, "NA")</f>
        <v>0.002317023145</v>
      </c>
      <c r="J372" s="14"/>
      <c r="K372" s="12">
        <v>296.8</v>
      </c>
      <c r="L372" s="13">
        <f>IFERROR(K372/K446, "NA")</f>
        <v>0.0005760734828</v>
      </c>
      <c r="M372" s="14"/>
      <c r="N372" s="15">
        <f t="shared" si="106"/>
        <v>15.51</v>
      </c>
      <c r="O372" s="13">
        <f>IFERROR(N372/N446, "NA")</f>
        <v>-0.0007027422807</v>
      </c>
      <c r="P372" s="14"/>
      <c r="Q372" s="12">
        <v>3154.9</v>
      </c>
      <c r="R372" s="13">
        <f>IFERROR(Q372/Q446, "NA")</f>
        <v>0.000657401633</v>
      </c>
      <c r="S372" s="14"/>
      <c r="T372" s="12">
        <v>1000.0</v>
      </c>
      <c r="U372" s="13">
        <f>IFERROR(T372/T446, "NA")</f>
        <v>0.0002003699888</v>
      </c>
      <c r="V372" s="14"/>
      <c r="W372" s="15">
        <f t="shared" si="107"/>
        <v>-2154.9</v>
      </c>
      <c r="X372" s="13">
        <f>IFERROR(W372/W446, "NA")</f>
        <v>0.0112396888</v>
      </c>
      <c r="Y372" s="14"/>
      <c r="Z372" s="12">
        <v>4446.48</v>
      </c>
      <c r="AA372" s="13">
        <f>IFERROR(Z372/Z446, "NA")</f>
        <v>0.0009622566948</v>
      </c>
      <c r="AB372" s="14"/>
      <c r="AC372" s="15">
        <f t="shared" si="108"/>
        <v>1291.58</v>
      </c>
      <c r="AD372" s="13">
        <f>IFERROR(AC372/AC446, "NA")</f>
        <v>0.007249656764</v>
      </c>
    </row>
    <row r="373" ht="16.5" customHeight="1">
      <c r="A373" s="11" t="s">
        <v>344</v>
      </c>
      <c r="B373" s="12">
        <v>781.8</v>
      </c>
      <c r="C373" s="13">
        <f>IFERROR(B373/B446, "NA")</f>
        <v>0.001585346612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-781.8</v>
      </c>
      <c r="I373" s="13">
        <f>IFERROR(H373/H446, "NA")</f>
        <v>0.01159030453</v>
      </c>
      <c r="J373" s="14"/>
      <c r="K373" s="12">
        <v>297.17</v>
      </c>
      <c r="L373" s="13">
        <f>IFERROR(K373/K446, "NA")</f>
        <v>0.0005767916337</v>
      </c>
      <c r="M373" s="14"/>
      <c r="N373" s="15">
        <f t="shared" si="106"/>
        <v>-484.63</v>
      </c>
      <c r="O373" s="13">
        <f>IFERROR(N373/N446, "NA")</f>
        <v>0.02195809101</v>
      </c>
      <c r="P373" s="14"/>
      <c r="Q373" s="12">
        <v>5198.96</v>
      </c>
      <c r="R373" s="13">
        <f>IFERROR(Q373/Q446, "NA")</f>
        <v>0.001083332211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-5198.96</v>
      </c>
      <c r="X373" s="13">
        <f>IFERROR(W373/W446, "NA")</f>
        <v>0.02711712492</v>
      </c>
      <c r="Y373" s="14"/>
      <c r="Z373" s="12">
        <v>2960.19</v>
      </c>
      <c r="AA373" s="13">
        <f>IFERROR(Z373/Z446, "NA")</f>
        <v>0.0006406106955</v>
      </c>
      <c r="AB373" s="14"/>
      <c r="AC373" s="15">
        <f t="shared" si="108"/>
        <v>-2238.77</v>
      </c>
      <c r="AD373" s="13">
        <f>IFERROR(AC373/AC446, "NA")</f>
        <v>-0.0125662476</v>
      </c>
    </row>
    <row r="374" ht="16.5" customHeight="1">
      <c r="A374" s="11" t="s">
        <v>345</v>
      </c>
      <c r="B374" s="12">
        <v>953.11</v>
      </c>
      <c r="C374" s="13">
        <f>IFERROR(B374/B446, "NA")</f>
        <v>0.001932731784</v>
      </c>
      <c r="D374" s="14"/>
      <c r="E374" s="12">
        <v>629.0</v>
      </c>
      <c r="F374" s="13">
        <f>IFERROR(E374/E446, "NA")</f>
        <v>0.001122023538</v>
      </c>
      <c r="G374" s="14"/>
      <c r="H374" s="15">
        <f t="shared" si="105"/>
        <v>-324.11</v>
      </c>
      <c r="I374" s="13">
        <f>IFERROR(H374/H446, "NA")</f>
        <v>0.004804980303</v>
      </c>
      <c r="J374" s="14"/>
      <c r="K374" s="12">
        <v>627.08</v>
      </c>
      <c r="L374" s="13">
        <f>IFERROR(K374/K446, "NA")</f>
        <v>0.001217129918</v>
      </c>
      <c r="M374" s="14"/>
      <c r="N374" s="15">
        <f t="shared" si="106"/>
        <v>-326.03</v>
      </c>
      <c r="O374" s="13">
        <f>IFERROR(N374/N446, "NA")</f>
        <v>0.01477208677</v>
      </c>
      <c r="P374" s="14"/>
      <c r="Q374" s="12">
        <v>6466.02</v>
      </c>
      <c r="R374" s="13">
        <f>IFERROR(Q374/Q446, "NA")</f>
        <v>0.001347355576</v>
      </c>
      <c r="S374" s="14"/>
      <c r="T374" s="12">
        <v>5032.0</v>
      </c>
      <c r="U374" s="13">
        <f>IFERROR(T374/T446, "NA")</f>
        <v>0.001008261784</v>
      </c>
      <c r="V374" s="14"/>
      <c r="W374" s="15">
        <f t="shared" si="107"/>
        <v>-1434.02</v>
      </c>
      <c r="X374" s="13">
        <f>IFERROR(W374/W446, "NA")</f>
        <v>0.007479668911</v>
      </c>
      <c r="Y374" s="14"/>
      <c r="Z374" s="12">
        <v>5286.82</v>
      </c>
      <c r="AA374" s="13">
        <f>IFERROR(Z374/Z446, "NA")</f>
        <v>0.001144113532</v>
      </c>
      <c r="AB374" s="14"/>
      <c r="AC374" s="15">
        <f t="shared" si="108"/>
        <v>-1179.2</v>
      </c>
      <c r="AD374" s="13">
        <f>IFERROR(AC374/AC446, "NA")</f>
        <v>-0.006618866239</v>
      </c>
    </row>
    <row r="375" ht="16.5" customHeight="1">
      <c r="A375" s="11" t="s">
        <v>346</v>
      </c>
      <c r="B375" s="12">
        <v>1635.64</v>
      </c>
      <c r="C375" s="13">
        <f>IFERROR(B375/B446, "NA")</f>
        <v>0.003316777094</v>
      </c>
      <c r="D375" s="14"/>
      <c r="E375" s="12">
        <v>2150.0</v>
      </c>
      <c r="F375" s="13">
        <f>IFERROR(E375/E446, "NA")</f>
        <v>0.003835215592</v>
      </c>
      <c r="G375" s="14"/>
      <c r="H375" s="15">
        <f t="shared" si="105"/>
        <v>514.36</v>
      </c>
      <c r="I375" s="13">
        <f>IFERROR(H375/H446, "NA")</f>
        <v>-0.00762546564</v>
      </c>
      <c r="J375" s="14"/>
      <c r="K375" s="12">
        <v>2149.53</v>
      </c>
      <c r="L375" s="13">
        <f>IFERROR(K375/K446, "NA")</f>
        <v>0.004172126797</v>
      </c>
      <c r="M375" s="14"/>
      <c r="N375" s="15">
        <f t="shared" si="106"/>
        <v>513.89</v>
      </c>
      <c r="O375" s="13">
        <f>IFERROR(N375/N446, "NA")</f>
        <v>-0.02328383176</v>
      </c>
      <c r="P375" s="14"/>
      <c r="Q375" s="12">
        <v>15388.84</v>
      </c>
      <c r="R375" s="13">
        <f>IFERROR(Q375/Q446, "NA")</f>
        <v>0.003206646342</v>
      </c>
      <c r="S375" s="14"/>
      <c r="T375" s="12">
        <v>17200.0</v>
      </c>
      <c r="U375" s="13">
        <f>IFERROR(T375/T446, "NA")</f>
        <v>0.003446363807</v>
      </c>
      <c r="V375" s="14"/>
      <c r="W375" s="15">
        <f t="shared" si="107"/>
        <v>1811.16</v>
      </c>
      <c r="X375" s="13">
        <f>IFERROR(W375/W446, "NA")</f>
        <v>-0.009446783967</v>
      </c>
      <c r="Y375" s="14"/>
      <c r="Z375" s="12">
        <v>16032.6</v>
      </c>
      <c r="AA375" s="13">
        <f>IFERROR(Z375/Z446, "NA")</f>
        <v>0.00346959318</v>
      </c>
      <c r="AB375" s="14"/>
      <c r="AC375" s="15">
        <f t="shared" si="108"/>
        <v>643.76</v>
      </c>
      <c r="AD375" s="13">
        <f>IFERROR(AC375/AC446, "NA")</f>
        <v>0.003613433963</v>
      </c>
    </row>
    <row r="376" ht="16.5" customHeight="1">
      <c r="A376" s="11" t="s">
        <v>347</v>
      </c>
      <c r="B376" s="12">
        <v>0.0</v>
      </c>
      <c r="C376" s="13">
        <f>IFERROR(B376/B446, "NA")</f>
        <v>0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53.0</v>
      </c>
      <c r="L376" s="13">
        <f>IFERROR(K376/K446, "NA")</f>
        <v>0.0001028702648</v>
      </c>
      <c r="M376" s="14"/>
      <c r="N376" s="15">
        <f t="shared" si="106"/>
        <v>53</v>
      </c>
      <c r="O376" s="13">
        <f>IFERROR(N376/N446, "NA")</f>
        <v>-0.002401375943</v>
      </c>
      <c r="P376" s="14"/>
      <c r="Q376" s="12">
        <v>1498.11</v>
      </c>
      <c r="R376" s="13">
        <f>IFERROR(Q376/Q446, "NA")</f>
        <v>0.0003121683604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-1498.11</v>
      </c>
      <c r="X376" s="13">
        <f>IFERROR(W376/W446, "NA")</f>
        <v>0.007813954333</v>
      </c>
      <c r="Y376" s="14"/>
      <c r="Z376" s="12">
        <v>3934.08</v>
      </c>
      <c r="AA376" s="13">
        <f>IFERROR(Z376/Z446, "NA")</f>
        <v>0.000851368907</v>
      </c>
      <c r="AB376" s="14"/>
      <c r="AC376" s="15">
        <f t="shared" si="108"/>
        <v>2435.97</v>
      </c>
      <c r="AD376" s="13">
        <f>IFERROR(AC376/AC446, "NA")</f>
        <v>0.01367313398</v>
      </c>
    </row>
    <row r="377" ht="16.5" customHeight="1">
      <c r="A377" s="11" t="s">
        <v>348</v>
      </c>
      <c r="B377" s="12">
        <v>39.25</v>
      </c>
      <c r="C377" s="13">
        <f>IFERROR(B377/B446, "NA")</f>
        <v>0.00007959178116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-39.25</v>
      </c>
      <c r="I377" s="13">
        <f>IFERROR(H377/H446, "NA")</f>
        <v>0.0005818872509</v>
      </c>
      <c r="J377" s="14"/>
      <c r="K377" s="12">
        <v>512.12</v>
      </c>
      <c r="L377" s="13">
        <f>IFERROR(K377/K446, "NA")</f>
        <v>0.0009939984905</v>
      </c>
      <c r="M377" s="14"/>
      <c r="N377" s="15">
        <f t="shared" si="106"/>
        <v>472.87</v>
      </c>
      <c r="O377" s="13">
        <f>IFERROR(N377/N446, "NA")</f>
        <v>-0.0214252574</v>
      </c>
      <c r="P377" s="14"/>
      <c r="Q377" s="12">
        <v>295.49</v>
      </c>
      <c r="R377" s="13">
        <f>IFERROR(Q377/Q446, "NA")</f>
        <v>0.00006157266745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-295.49</v>
      </c>
      <c r="X377" s="13">
        <f>IFERROR(W377/W446, "NA")</f>
        <v>0.001541238871</v>
      </c>
      <c r="Y377" s="14"/>
      <c r="Z377" s="12">
        <v>-1900.88</v>
      </c>
      <c r="AA377" s="13">
        <f>IFERROR(Z377/Z446, "NA")</f>
        <v>-0.0004113668578</v>
      </c>
      <c r="AB377" s="14"/>
      <c r="AC377" s="15">
        <f t="shared" si="108"/>
        <v>-2196.37</v>
      </c>
      <c r="AD377" s="13">
        <f>IFERROR(AC377/AC446, "NA")</f>
        <v>-0.0123282558</v>
      </c>
    </row>
    <row r="378" ht="16.5" hidden="1" customHeight="1">
      <c r="A378" s="11" t="s">
        <v>349</v>
      </c>
      <c r="B378" s="12">
        <v>0.0</v>
      </c>
      <c r="C378" s="13">
        <f>IFERROR(B378/B446, "NA")</f>
        <v>0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customHeight="1">
      <c r="A379" s="11" t="s">
        <v>350</v>
      </c>
      <c r="B379" s="12">
        <v>4741.16</v>
      </c>
      <c r="C379" s="13">
        <f>IFERROR(B379/B446, "NA")</f>
        <v>0.009614200488</v>
      </c>
      <c r="D379" s="14"/>
      <c r="E379" s="12">
        <v>6824.0</v>
      </c>
      <c r="F379" s="13">
        <f>IFERROR(E379/E446, "NA")</f>
        <v>0.01217279591</v>
      </c>
      <c r="G379" s="14"/>
      <c r="H379" s="15">
        <f t="shared" si="105"/>
        <v>2082.84</v>
      </c>
      <c r="I379" s="13">
        <f>IFERROR(H379/H446, "NA")</f>
        <v>-0.03087842144</v>
      </c>
      <c r="J379" s="14"/>
      <c r="K379" s="12">
        <v>9201.28</v>
      </c>
      <c r="L379" s="13">
        <f>IFERROR(K379/K446, "NA")</f>
        <v>0.01785920962</v>
      </c>
      <c r="M379" s="14"/>
      <c r="N379" s="15">
        <f t="shared" si="106"/>
        <v>4460.12</v>
      </c>
      <c r="O379" s="13">
        <f>IFERROR(N379/N446, "NA")</f>
        <v>-0.2020834881</v>
      </c>
      <c r="P379" s="14"/>
      <c r="Q379" s="12">
        <v>47112.53</v>
      </c>
      <c r="R379" s="13">
        <f>IFERROR(Q379/Q446, "NA")</f>
        <v>0.009817063665</v>
      </c>
      <c r="S379" s="14"/>
      <c r="T379" s="12">
        <v>59952.0</v>
      </c>
      <c r="U379" s="13">
        <f>IFERROR(T379/T446, "NA")</f>
        <v>0.01201258157</v>
      </c>
      <c r="V379" s="14"/>
      <c r="W379" s="15">
        <f t="shared" si="107"/>
        <v>12839.47</v>
      </c>
      <c r="X379" s="13">
        <f>IFERROR(W379/W446, "NA")</f>
        <v>-0.06696906918</v>
      </c>
      <c r="Y379" s="14"/>
      <c r="Z379" s="12">
        <v>74301.62</v>
      </c>
      <c r="AA379" s="13">
        <f>IFERROR(Z379/Z446, "NA")</f>
        <v>0.01607951262</v>
      </c>
      <c r="AB379" s="14"/>
      <c r="AC379" s="15">
        <f t="shared" si="108"/>
        <v>27189.09</v>
      </c>
      <c r="AD379" s="13">
        <f>IFERROR(AC379/AC446, "NA")</f>
        <v>0.1526127458</v>
      </c>
    </row>
    <row r="380" ht="16.5" customHeight="1">
      <c r="A380" s="11" t="s">
        <v>351</v>
      </c>
      <c r="B380" s="12">
        <v>321.95</v>
      </c>
      <c r="C380" s="13">
        <f>IFERROR(B380/B446, "NA")</f>
        <v>0.0006528553871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-321.95</v>
      </c>
      <c r="I380" s="13">
        <f>IFERROR(H380/H446, "NA")</f>
        <v>0.004772957972</v>
      </c>
      <c r="J380" s="14"/>
      <c r="K380" s="12">
        <v>429.07</v>
      </c>
      <c r="L380" s="13">
        <f>IFERROR(K380/K446, "NA")</f>
        <v>0.0008328027266</v>
      </c>
      <c r="M380" s="14"/>
      <c r="N380" s="15">
        <f t="shared" si="106"/>
        <v>107.12</v>
      </c>
      <c r="O380" s="13">
        <f>IFERROR(N380/N446, "NA")</f>
        <v>-0.004853497944</v>
      </c>
      <c r="P380" s="14"/>
      <c r="Q380" s="12">
        <v>4287.63</v>
      </c>
      <c r="R380" s="13">
        <f>IFERROR(Q380/Q446, "NA")</f>
        <v>0.0008934340117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-4287.63</v>
      </c>
      <c r="X380" s="13">
        <f>IFERROR(W380/W446, "NA")</f>
        <v>0.02236374166</v>
      </c>
      <c r="Y380" s="14"/>
      <c r="Z380" s="12">
        <v>6949.36</v>
      </c>
      <c r="AA380" s="13">
        <f>IFERROR(Z380/Z446, "NA")</f>
        <v>0.001503901555</v>
      </c>
      <c r="AB380" s="14"/>
      <c r="AC380" s="15">
        <f t="shared" si="108"/>
        <v>2661.73</v>
      </c>
      <c r="AD380" s="13">
        <f>IFERROR(AC380/AC446, "NA")</f>
        <v>0.01494032805</v>
      </c>
    </row>
    <row r="381" ht="16.5" customHeight="1">
      <c r="A381" s="11" t="s">
        <v>352</v>
      </c>
      <c r="B381" s="12">
        <v>10900.0</v>
      </c>
      <c r="C381" s="13">
        <f>IFERROR(B381/B446, "NA")</f>
        <v>0.02210319528</v>
      </c>
      <c r="D381" s="14"/>
      <c r="E381" s="12">
        <v>11800.0</v>
      </c>
      <c r="F381" s="13">
        <f>IFERROR(E381/E446, "NA")</f>
        <v>0.02104909022</v>
      </c>
      <c r="G381" s="14"/>
      <c r="H381" s="15">
        <f t="shared" si="105"/>
        <v>900</v>
      </c>
      <c r="I381" s="13">
        <f>IFERROR(H381/H446, "NA")</f>
        <v>-0.0133426376</v>
      </c>
      <c r="J381" s="14"/>
      <c r="K381" s="12">
        <v>11020.0</v>
      </c>
      <c r="L381" s="13">
        <f>IFERROR(K381/K446, "NA")</f>
        <v>0.02138925128</v>
      </c>
      <c r="M381" s="14"/>
      <c r="N381" s="15">
        <f t="shared" si="106"/>
        <v>120</v>
      </c>
      <c r="O381" s="13">
        <f>IFERROR(N381/N446, "NA")</f>
        <v>-0.005437077607</v>
      </c>
      <c r="P381" s="14"/>
      <c r="Q381" s="12">
        <v>93555.67</v>
      </c>
      <c r="R381" s="13">
        <f>IFERROR(Q381/Q446, "NA")</f>
        <v>0.01949464333</v>
      </c>
      <c r="S381" s="14"/>
      <c r="T381" s="12">
        <v>94400.0</v>
      </c>
      <c r="U381" s="13">
        <f>IFERROR(T381/T446, "NA")</f>
        <v>0.01891492694</v>
      </c>
      <c r="V381" s="14"/>
      <c r="W381" s="15">
        <f t="shared" si="107"/>
        <v>844.33</v>
      </c>
      <c r="X381" s="13">
        <f>IFERROR(W381/W446, "NA")</f>
        <v>-0.004403919647</v>
      </c>
      <c r="Y381" s="14"/>
      <c r="Z381" s="12">
        <v>92900.0</v>
      </c>
      <c r="AA381" s="13">
        <f>IFERROR(Z381/Z446, "NA")</f>
        <v>0.02010436276</v>
      </c>
      <c r="AB381" s="14"/>
      <c r="AC381" s="15">
        <f t="shared" si="108"/>
        <v>-655.67</v>
      </c>
      <c r="AD381" s="13">
        <f>IFERROR(AC381/AC446, "NA")</f>
        <v>-0.003680284962</v>
      </c>
    </row>
    <row r="382" ht="16.5" customHeight="1">
      <c r="A382" s="11" t="s">
        <v>353</v>
      </c>
      <c r="B382" s="12">
        <v>1525.0</v>
      </c>
      <c r="C382" s="13">
        <f>IFERROR(B382/B446, "NA")</f>
        <v>0.003092419523</v>
      </c>
      <c r="D382" s="14"/>
      <c r="E382" s="12">
        <v>3000.0</v>
      </c>
      <c r="F382" s="13">
        <f>IFERROR(E382/E446, "NA")</f>
        <v>0.005351463616</v>
      </c>
      <c r="G382" s="14"/>
      <c r="H382" s="15">
        <f t="shared" si="105"/>
        <v>1475</v>
      </c>
      <c r="I382" s="13">
        <f>IFERROR(H382/H446, "NA")</f>
        <v>-0.02186710051</v>
      </c>
      <c r="J382" s="14"/>
      <c r="K382" s="12">
        <v>5153.75</v>
      </c>
      <c r="L382" s="13">
        <f>IFERROR(K382/K446, "NA")</f>
        <v>0.01000316278</v>
      </c>
      <c r="M382" s="14"/>
      <c r="N382" s="15">
        <f t="shared" si="106"/>
        <v>3628.75</v>
      </c>
      <c r="O382" s="13">
        <f>IFERROR(N382/N446, "NA")</f>
        <v>-0.1644149614</v>
      </c>
      <c r="P382" s="14"/>
      <c r="Q382" s="12">
        <v>5655.0</v>
      </c>
      <c r="R382" s="13">
        <f>IFERROR(Q382/Q446, "NA")</f>
        <v>0.001178359452</v>
      </c>
      <c r="S382" s="14"/>
      <c r="T382" s="12">
        <v>22500.0</v>
      </c>
      <c r="U382" s="13">
        <f>IFERROR(T382/T446, "NA")</f>
        <v>0.004508324748</v>
      </c>
      <c r="V382" s="14"/>
      <c r="W382" s="15">
        <f t="shared" si="107"/>
        <v>16845</v>
      </c>
      <c r="X382" s="13">
        <f>IFERROR(W382/W446, "NA")</f>
        <v>-0.08786141254</v>
      </c>
      <c r="Y382" s="14"/>
      <c r="Z382" s="12">
        <v>46365.26</v>
      </c>
      <c r="AA382" s="13">
        <f>IFERROR(Z382/Z446, "NA")</f>
        <v>0.01003384291</v>
      </c>
      <c r="AB382" s="14"/>
      <c r="AC382" s="15">
        <f t="shared" si="108"/>
        <v>40710.26</v>
      </c>
      <c r="AD382" s="13">
        <f>IFERROR(AC382/AC446, "NA")</f>
        <v>0.2285072638</v>
      </c>
    </row>
    <row r="383" ht="16.5" customHeight="1">
      <c r="A383" s="11" t="s">
        <v>354</v>
      </c>
      <c r="B383" s="12">
        <v>0.0</v>
      </c>
      <c r="C383" s="13">
        <f>IFERROR(B383/B446, "NA")</f>
        <v>0</v>
      </c>
      <c r="D383" s="14"/>
      <c r="E383" s="12">
        <v>306.0</v>
      </c>
      <c r="F383" s="13">
        <f>IFERROR(E383/E446, "NA")</f>
        <v>0.0005458492889</v>
      </c>
      <c r="G383" s="14"/>
      <c r="H383" s="15">
        <f t="shared" si="105"/>
        <v>306</v>
      </c>
      <c r="I383" s="13">
        <f>IFERROR(H383/H446, "NA")</f>
        <v>-0.004536496784</v>
      </c>
      <c r="J383" s="14"/>
      <c r="K383" s="12">
        <v>505.62</v>
      </c>
      <c r="L383" s="13">
        <f>IFERROR(K383/K446, "NA")</f>
        <v>0.000981382326</v>
      </c>
      <c r="M383" s="14"/>
      <c r="N383" s="15">
        <f t="shared" si="106"/>
        <v>505.62</v>
      </c>
      <c r="O383" s="13">
        <f>IFERROR(N383/N446, "NA")</f>
        <v>-0.0229091265</v>
      </c>
      <c r="P383" s="14"/>
      <c r="Q383" s="12">
        <v>2741.64</v>
      </c>
      <c r="R383" s="13">
        <f>IFERROR(Q383/Q446, "NA")</f>
        <v>0.0005712886662</v>
      </c>
      <c r="S383" s="14"/>
      <c r="T383" s="12">
        <v>3448.0</v>
      </c>
      <c r="U383" s="13">
        <f>IFERROR(T383/T446, "NA")</f>
        <v>0.0006908757214</v>
      </c>
      <c r="V383" s="14"/>
      <c r="W383" s="15">
        <f t="shared" si="107"/>
        <v>706.36</v>
      </c>
      <c r="X383" s="13">
        <f>IFERROR(W383/W446, "NA")</f>
        <v>-0.003684285388</v>
      </c>
      <c r="Y383" s="14"/>
      <c r="Z383" s="12">
        <v>5208.91</v>
      </c>
      <c r="AA383" s="13">
        <f>IFERROR(Z383/Z446, "NA")</f>
        <v>0.001127253135</v>
      </c>
      <c r="AB383" s="14"/>
      <c r="AC383" s="15">
        <f t="shared" si="108"/>
        <v>2467.27</v>
      </c>
      <c r="AD383" s="13">
        <f>IFERROR(AC383/AC446, "NA")</f>
        <v>0.01384882132</v>
      </c>
    </row>
    <row r="384" ht="16.5" hidden="1" customHeight="1">
      <c r="A384" s="11" t="s">
        <v>355</v>
      </c>
      <c r="B384" s="12">
        <v>0.0</v>
      </c>
      <c r="C384" s="13">
        <f>IFERROR(B384/B446, "NA")</f>
        <v>0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r="A386" s="11" t="s">
        <v>356</v>
      </c>
      <c r="B386" s="12">
        <v>11414.49</v>
      </c>
      <c r="C386" s="13">
        <f>IFERROR(B386/B446, "NA")</f>
        <v>0.02314648637</v>
      </c>
      <c r="D386" s="14"/>
      <c r="E386" s="12">
        <v>750.0</v>
      </c>
      <c r="F386" s="13">
        <f>IFERROR(E386/E446, "NA")</f>
        <v>0.001337865904</v>
      </c>
      <c r="G386" s="14"/>
      <c r="H386" s="15">
        <f t="shared" ref="H386:H387" si="109">IFERROR(-(B386-E386), "NA")</f>
        <v>-10664.49</v>
      </c>
      <c r="I386" s="13">
        <f>IFERROR(H386/H446, "NA")</f>
        <v>0.1581026947</v>
      </c>
      <c r="J386" s="14"/>
      <c r="K386" s="12">
        <v>803.62</v>
      </c>
      <c r="L386" s="13">
        <f>IFERROR(K386/K446, "NA")</f>
        <v>0.001559784947</v>
      </c>
      <c r="M386" s="14"/>
      <c r="N386" s="15">
        <f t="shared" ref="N386:N387" si="110">IFERROR(-(B386-K386), "NA")</f>
        <v>-10610.87</v>
      </c>
      <c r="O386" s="13">
        <f>IFERROR(N386/N446, "NA")</f>
        <v>0.4807676972</v>
      </c>
      <c r="P386" s="14"/>
      <c r="Q386" s="12">
        <v>24346.65</v>
      </c>
      <c r="R386" s="13">
        <f>IFERROR(Q386/Q446, "NA")</f>
        <v>0.005073228143</v>
      </c>
      <c r="S386" s="14"/>
      <c r="T386" s="12">
        <v>7250.0</v>
      </c>
      <c r="U386" s="13">
        <f>IFERROR(T386/T446, "NA")</f>
        <v>0.001452682419</v>
      </c>
      <c r="V386" s="14"/>
      <c r="W386" s="15">
        <f t="shared" ref="W386:W387" si="111">IFERROR(-(Q386-T386), "NA")</f>
        <v>-17096.65</v>
      </c>
      <c r="X386" s="13">
        <f>IFERROR(W386/W446, "NA")</f>
        <v>0.08917398745</v>
      </c>
      <c r="Y386" s="14"/>
      <c r="Z386" s="12">
        <v>21949.46</v>
      </c>
      <c r="AA386" s="13">
        <f>IFERROR(Z386/Z446, "NA")</f>
        <v>0.004750052813</v>
      </c>
      <c r="AB386" s="14"/>
      <c r="AC386" s="15">
        <f t="shared" ref="AC386:AC387" si="112">IFERROR(-(Q386-Z386), "NA")</f>
        <v>-2397.19</v>
      </c>
      <c r="AD386" s="13">
        <f>IFERROR(AC386/AC446, "NA")</f>
        <v>-0.01345546129</v>
      </c>
    </row>
    <row r="387" ht="16.5" customHeight="1">
      <c r="A387" s="11" t="s">
        <v>357</v>
      </c>
      <c r="B387" s="12">
        <v>0.0</v>
      </c>
      <c r="C387" s="13">
        <f>IFERROR(B387/B446, "NA")</f>
        <v>0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100.24</v>
      </c>
      <c r="L387" s="13">
        <f>IFERROR(K387/K446, "NA")</f>
        <v>0.0001945606668</v>
      </c>
      <c r="M387" s="14"/>
      <c r="N387" s="15">
        <f t="shared" si="110"/>
        <v>100.24</v>
      </c>
      <c r="O387" s="13">
        <f>IFERROR(N387/N446, "NA")</f>
        <v>-0.004541772161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151.71</v>
      </c>
      <c r="AA387" s="13">
        <f>IFERROR(Z387/Z446, "NA")</f>
        <v>0.00003283135495</v>
      </c>
      <c r="AB387" s="14"/>
      <c r="AC387" s="15">
        <f t="shared" si="112"/>
        <v>151.71</v>
      </c>
      <c r="AD387" s="13">
        <f>IFERROR(AC387/AC446, "NA")</f>
        <v>0.0008515503706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r="A389" s="11" t="s">
        <v>358</v>
      </c>
      <c r="B389" s="12">
        <v>0.0</v>
      </c>
      <c r="C389" s="13">
        <f>IFERROR(B389/B446, "NA")</f>
        <v>0</v>
      </c>
      <c r="D389" s="14"/>
      <c r="E389" s="12">
        <v>11772.48</v>
      </c>
      <c r="F389" s="13">
        <f>IFERROR(E389/E446, "NA")</f>
        <v>0.02099999946</v>
      </c>
      <c r="G389" s="14"/>
      <c r="H389" s="15">
        <f t="shared" ref="H389:H404" si="113">IFERROR(-(B389-E389), "NA")</f>
        <v>11772.48</v>
      </c>
      <c r="I389" s="13">
        <f>IFERROR(H389/H446, "NA")</f>
        <v>-0.1745288159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104806.11</v>
      </c>
      <c r="U389" s="13">
        <f>IFERROR(T389/T446, "NA")</f>
        <v>0.02099999909</v>
      </c>
      <c r="V389" s="14"/>
      <c r="W389" s="15">
        <f t="shared" ref="W389:W404" si="115">IFERROR(-(Q389-T389), "NA")</f>
        <v>104806.11</v>
      </c>
      <c r="X389" s="13">
        <f>IFERROR(W389/W446, "NA")</f>
        <v>-0.5466555575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customHeight="1">
      <c r="A390" s="11" t="s">
        <v>359</v>
      </c>
      <c r="B390" s="12">
        <v>3783.21</v>
      </c>
      <c r="C390" s="13">
        <f>IFERROR(B390/B446, "NA")</f>
        <v>0.007671654074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-3783.21</v>
      </c>
      <c r="I390" s="13">
        <f>IFERROR(H390/H446, "NA")</f>
        <v>0.05608666666</v>
      </c>
      <c r="J390" s="14"/>
      <c r="K390" s="12">
        <v>3212.19</v>
      </c>
      <c r="L390" s="13">
        <f>IFERROR(K390/K446, "NA")</f>
        <v>0.006234695015</v>
      </c>
      <c r="M390" s="14"/>
      <c r="N390" s="15">
        <f t="shared" si="114"/>
        <v>-571.02</v>
      </c>
      <c r="O390" s="13">
        <f>IFERROR(N390/N446, "NA")</f>
        <v>0.02587233379</v>
      </c>
      <c r="P390" s="14"/>
      <c r="Q390" s="12">
        <v>48682.2</v>
      </c>
      <c r="R390" s="13">
        <f>IFERROR(Q390/Q446, "NA")</f>
        <v>0.01014414333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-48682.2</v>
      </c>
      <c r="X390" s="13">
        <f>IFERROR(W390/W446, "NA")</f>
        <v>0.2539202646</v>
      </c>
      <c r="Y390" s="14"/>
      <c r="Z390" s="12">
        <v>36767.04</v>
      </c>
      <c r="AA390" s="13">
        <f>IFERROR(Z390/Z446, "NA")</f>
        <v>0.007956705166</v>
      </c>
      <c r="AB390" s="14"/>
      <c r="AC390" s="15">
        <f t="shared" si="116"/>
        <v>-11915.16</v>
      </c>
      <c r="AD390" s="13">
        <f>IFERROR(AC390/AC446, "NA")</f>
        <v>-0.0668799612</v>
      </c>
    </row>
    <row r="391" ht="16.5" customHeight="1">
      <c r="A391" s="11" t="s">
        <v>360</v>
      </c>
      <c r="B391" s="12">
        <v>3391.68</v>
      </c>
      <c r="C391" s="13">
        <f>IFERROR(B391/B446, "NA")</f>
        <v>0.006877703244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-3391.68</v>
      </c>
      <c r="I391" s="13">
        <f>IFERROR(H391/H446, "NA")</f>
        <v>0.05028217455</v>
      </c>
      <c r="J391" s="14"/>
      <c r="K391" s="12">
        <v>1783.47</v>
      </c>
      <c r="L391" s="13">
        <f>IFERROR(K391/K446, "NA")</f>
        <v>0.003461623229</v>
      </c>
      <c r="M391" s="14"/>
      <c r="N391" s="15">
        <f t="shared" si="114"/>
        <v>-1608.21</v>
      </c>
      <c r="O391" s="13">
        <f>IFERROR(N391/N446, "NA")</f>
        <v>0.07286635482</v>
      </c>
      <c r="P391" s="14"/>
      <c r="Q391" s="12">
        <v>35181.49</v>
      </c>
      <c r="R391" s="13">
        <f>IFERROR(Q391/Q446, "NA")</f>
        <v>0.00733093568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-35181.49</v>
      </c>
      <c r="X391" s="13">
        <f>IFERROR(W391/W446, "NA")</f>
        <v>0.1835022503</v>
      </c>
      <c r="Y391" s="14"/>
      <c r="Z391" s="12">
        <v>58167.74</v>
      </c>
      <c r="AA391" s="13">
        <f>IFERROR(Z391/Z446, "NA")</f>
        <v>0.01258800157</v>
      </c>
      <c r="AB391" s="14"/>
      <c r="AC391" s="15">
        <f t="shared" si="116"/>
        <v>22986.25</v>
      </c>
      <c r="AD391" s="13">
        <f>IFERROR(AC391/AC446, "NA")</f>
        <v>0.1290221456</v>
      </c>
    </row>
    <row r="392" ht="16.5" hidden="1" customHeight="1">
      <c r="A392" s="11" t="s">
        <v>361</v>
      </c>
      <c r="B392" s="12">
        <v>0.0</v>
      </c>
      <c r="C392" s="13">
        <f>IFERROR(B392/B446, "NA")</f>
        <v>0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customHeight="1">
      <c r="A393" s="11" t="s">
        <v>362</v>
      </c>
      <c r="B393" s="12">
        <v>1933.75</v>
      </c>
      <c r="C393" s="13">
        <f>IFERROR(B393/B446, "NA")</f>
        <v>0.003921289345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-1933.75</v>
      </c>
      <c r="I393" s="13">
        <f>IFERROR(H393/H446, "NA")</f>
        <v>0.0286681394</v>
      </c>
      <c r="J393" s="14"/>
      <c r="K393" s="12">
        <v>3277.7</v>
      </c>
      <c r="L393" s="13">
        <f>IFERROR(K393/K446, "NA")</f>
        <v>0.006361846545</v>
      </c>
      <c r="M393" s="14"/>
      <c r="N393" s="15">
        <f t="shared" si="114"/>
        <v>1343.95</v>
      </c>
      <c r="O393" s="13">
        <f>IFERROR(N393/N446, "NA")</f>
        <v>-0.06089300375</v>
      </c>
      <c r="P393" s="14"/>
      <c r="Q393" s="12">
        <v>25408.58</v>
      </c>
      <c r="R393" s="13">
        <f>IFERROR(Q393/Q446, "NA")</f>
        <v>0.005294507586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-25408.58</v>
      </c>
      <c r="X393" s="13">
        <f>IFERROR(W393/W446, "NA")</f>
        <v>0.1325279744</v>
      </c>
      <c r="Y393" s="14"/>
      <c r="Z393" s="12">
        <v>36489.43</v>
      </c>
      <c r="AA393" s="13">
        <f>IFERROR(Z393/Z446, "NA")</f>
        <v>0.007896627963</v>
      </c>
      <c r="AB393" s="14"/>
      <c r="AC393" s="15">
        <f t="shared" si="116"/>
        <v>11080.85</v>
      </c>
      <c r="AD393" s="13">
        <f>IFERROR(AC393/AC446, "NA")</f>
        <v>0.0621969674</v>
      </c>
    </row>
    <row r="394" ht="16.5" customHeight="1">
      <c r="A394" s="16" t="s">
        <v>363</v>
      </c>
      <c r="B394" s="17">
        <f>IFERROR(B389+B390+B391+B392+B393, "NA")</f>
        <v>9108.64</v>
      </c>
      <c r="C394" s="18">
        <f>IFERROR(B394/B446, "NA")</f>
        <v>0.01847064666</v>
      </c>
      <c r="D394" s="8"/>
      <c r="E394" s="17">
        <f>IFERROR(E389+E390+E391+E392+E393, "NA")</f>
        <v>11772.48</v>
      </c>
      <c r="F394" s="18">
        <f>IFERROR(E394/E446, "NA")</f>
        <v>0.02099999946</v>
      </c>
      <c r="G394" s="8"/>
      <c r="H394" s="17">
        <f t="shared" si="113"/>
        <v>2663.84</v>
      </c>
      <c r="I394" s="18">
        <f>IFERROR(H394/H446, "NA")</f>
        <v>-0.03949183527</v>
      </c>
      <c r="J394" s="8"/>
      <c r="K394" s="17">
        <f>IFERROR(K389+K390+K391+K392+K393, "NA")</f>
        <v>8273.36</v>
      </c>
      <c r="L394" s="18">
        <f>IFERROR(K394/K446, "NA")</f>
        <v>0.01605816479</v>
      </c>
      <c r="M394" s="8"/>
      <c r="N394" s="17">
        <f t="shared" si="114"/>
        <v>-835.28</v>
      </c>
      <c r="O394" s="18">
        <f>IFERROR(N394/N446, "NA")</f>
        <v>0.03784568486</v>
      </c>
      <c r="P394" s="8"/>
      <c r="Q394" s="17">
        <f>IFERROR(Q389+Q390+Q391+Q392+Q393, "NA")</f>
        <v>109272.27</v>
      </c>
      <c r="R394" s="18">
        <f>IFERROR(Q394/Q446, "NA")</f>
        <v>0.02276958659</v>
      </c>
      <c r="S394" s="8"/>
      <c r="T394" s="17">
        <f>IFERROR(T389+T390+T391+T392+T393, "NA")</f>
        <v>104806.11</v>
      </c>
      <c r="U394" s="18">
        <f>IFERROR(T394/T446, "NA")</f>
        <v>0.02099999909</v>
      </c>
      <c r="V394" s="8"/>
      <c r="W394" s="17">
        <f t="shared" si="115"/>
        <v>-4466.16</v>
      </c>
      <c r="X394" s="18">
        <f>IFERROR(W394/W446, "NA")</f>
        <v>0.0232949318</v>
      </c>
      <c r="Y394" s="8"/>
      <c r="Z394" s="17">
        <f>IFERROR(Z389+Z390+Z391+Z392+Z393, "NA")</f>
        <v>131424.21</v>
      </c>
      <c r="AA394" s="18">
        <f>IFERROR(Z394/Z446, "NA")</f>
        <v>0.0284413347</v>
      </c>
      <c r="AB394" s="8"/>
      <c r="AC394" s="17">
        <f t="shared" si="116"/>
        <v>22151.94</v>
      </c>
      <c r="AD394" s="18">
        <f>IFERROR(AC394/AC446, "NA")</f>
        <v>0.1243391518</v>
      </c>
    </row>
    <row r="395" ht="16.5" customHeight="1">
      <c r="A395" s="11" t="s">
        <v>364</v>
      </c>
      <c r="B395" s="12">
        <v>1470.93</v>
      </c>
      <c r="C395" s="13">
        <f>IFERROR(B395/B446, "NA")</f>
        <v>0.002982775507</v>
      </c>
      <c r="D395" s="14"/>
      <c r="E395" s="12">
        <v>4484.75</v>
      </c>
      <c r="F395" s="13">
        <f>IFERROR(E395/E446, "NA")</f>
        <v>0.007999992151</v>
      </c>
      <c r="G395" s="14"/>
      <c r="H395" s="15">
        <f t="shared" si="113"/>
        <v>3013.82</v>
      </c>
      <c r="I395" s="13">
        <f>IFERROR(H395/H446, "NA")</f>
        <v>-0.04468034228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-1470.93</v>
      </c>
      <c r="O395" s="13">
        <f>IFERROR(N395/N446, "NA")</f>
        <v>0.06664633804</v>
      </c>
      <c r="P395" s="14"/>
      <c r="Q395" s="12">
        <v>15658.38</v>
      </c>
      <c r="R395" s="13">
        <f>IFERROR(Q395/Q446, "NA")</f>
        <v>0.003262811684</v>
      </c>
      <c r="S395" s="14"/>
      <c r="T395" s="12">
        <v>33976.3</v>
      </c>
      <c r="U395" s="13">
        <f>IFERROR(T395/T446, "NA")</f>
        <v>0.00680783085</v>
      </c>
      <c r="V395" s="14"/>
      <c r="W395" s="15">
        <f t="shared" si="115"/>
        <v>18317.92</v>
      </c>
      <c r="X395" s="13">
        <f>IFERROR(W395/W446, "NA")</f>
        <v>-0.09554397898</v>
      </c>
      <c r="Y395" s="14"/>
      <c r="Z395" s="12">
        <v>6612.06</v>
      </c>
      <c r="AA395" s="13">
        <f>IFERROR(Z395/Z446, "NA")</f>
        <v>0.00143090692</v>
      </c>
      <c r="AB395" s="14"/>
      <c r="AC395" s="15">
        <f t="shared" si="116"/>
        <v>-9046.32</v>
      </c>
      <c r="AD395" s="13">
        <f>IFERROR(AC395/AC446, "NA")</f>
        <v>-0.0507771218</v>
      </c>
    </row>
    <row r="396" ht="16.5" customHeight="1">
      <c r="A396" s="11" t="s">
        <v>365</v>
      </c>
      <c r="B396" s="12">
        <v>1448.99</v>
      </c>
      <c r="C396" s="13">
        <f>IFERROR(B396/B446, "NA")</f>
        <v>0.002938285222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-1448.99</v>
      </c>
      <c r="I396" s="13">
        <f>IFERROR(H396/H446, "NA")</f>
        <v>0.02148149828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-1448.99</v>
      </c>
      <c r="O396" s="13">
        <f>IFERROR(N396/N446, "NA")</f>
        <v>0.06565225902</v>
      </c>
      <c r="P396" s="14"/>
      <c r="Q396" s="12">
        <v>3164.64</v>
      </c>
      <c r="R396" s="13">
        <f>IFERROR(Q396/Q446, "NA")</f>
        <v>0.0006594312035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-3164.64</v>
      </c>
      <c r="X396" s="13">
        <f>IFERROR(W396/W446, "NA")</f>
        <v>0.01650636631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-3164.64</v>
      </c>
      <c r="AD396" s="13">
        <f>IFERROR(AC396/AC446, "NA")</f>
        <v>-0.01776316897</v>
      </c>
    </row>
    <row r="397" ht="16.5" customHeight="1">
      <c r="A397" s="16" t="s">
        <v>366</v>
      </c>
      <c r="B397" s="17">
        <f>IFERROR(B386+B387+B389+B390+B391+B392+B393+B395+B396, "NA")</f>
        <v>23443.05</v>
      </c>
      <c r="C397" s="18">
        <f>IFERROR(B397/B446, "NA")</f>
        <v>0.04753819376</v>
      </c>
      <c r="D397" s="8"/>
      <c r="E397" s="17">
        <f>IFERROR(E386+E387+E389+E390+E391+E392+E393+E395+E396, "NA")</f>
        <v>17007.23</v>
      </c>
      <c r="F397" s="18">
        <f>IFERROR(E397/E446, "NA")</f>
        <v>0.03033785752</v>
      </c>
      <c r="G397" s="8"/>
      <c r="H397" s="17">
        <f t="shared" si="113"/>
        <v>-6435.82</v>
      </c>
      <c r="I397" s="18">
        <f>IFERROR(H397/H446, "NA")</f>
        <v>0.09541201546</v>
      </c>
      <c r="J397" s="8"/>
      <c r="K397" s="17">
        <f>IFERROR(K386+K387+K389+K390+K391+K392+K393+K395+K396, "NA")</f>
        <v>9177.22</v>
      </c>
      <c r="L397" s="18">
        <f>IFERROR(K397/K446, "NA")</f>
        <v>0.0178125104</v>
      </c>
      <c r="M397" s="8"/>
      <c r="N397" s="17">
        <f t="shared" si="114"/>
        <v>-14265.83</v>
      </c>
      <c r="O397" s="18">
        <f>IFERROR(N397/N446, "NA")</f>
        <v>0.646370207</v>
      </c>
      <c r="P397" s="8"/>
      <c r="Q397" s="17">
        <f>IFERROR(Q386+Q387+Q389+Q390+Q391+Q392+Q393+Q395+Q396, "NA")</f>
        <v>152441.94</v>
      </c>
      <c r="R397" s="18">
        <f>IFERROR(Q397/Q446, "NA")</f>
        <v>0.03176505762</v>
      </c>
      <c r="S397" s="8"/>
      <c r="T397" s="17">
        <f>IFERROR(T386+T387+T389+T390+T391+T392+T393+T395+T396, "NA")</f>
        <v>146032.41</v>
      </c>
      <c r="U397" s="18">
        <f>IFERROR(T397/T446, "NA")</f>
        <v>0.02926051236</v>
      </c>
      <c r="V397" s="8"/>
      <c r="W397" s="17">
        <f t="shared" si="115"/>
        <v>-6409.53</v>
      </c>
      <c r="X397" s="18">
        <f>IFERROR(W397/W446, "NA")</f>
        <v>0.03343130659</v>
      </c>
      <c r="Y397" s="8"/>
      <c r="Z397" s="17">
        <f>IFERROR(Z386+Z387+Z389+Z390+Z391+Z392+Z393+Z395+Z396, "NA")</f>
        <v>160137.44</v>
      </c>
      <c r="AA397" s="18">
        <f>IFERROR(Z397/Z446, "NA")</f>
        <v>0.03465512579</v>
      </c>
      <c r="AB397" s="8"/>
      <c r="AC397" s="17">
        <f t="shared" si="116"/>
        <v>7695.5</v>
      </c>
      <c r="AD397" s="18">
        <f>IFERROR(AC397/AC446, "NA")</f>
        <v>0.04319495008</v>
      </c>
    </row>
    <row r="398" ht="16.5" customHeight="1">
      <c r="A398" s="11" t="s">
        <v>367</v>
      </c>
      <c r="B398" s="12">
        <v>8889.25</v>
      </c>
      <c r="C398" s="13">
        <f>IFERROR(B398/B446, "NA")</f>
        <v>0.01802576409</v>
      </c>
      <c r="D398" s="14"/>
      <c r="E398" s="12">
        <v>9200.0</v>
      </c>
      <c r="F398" s="13">
        <f>IFERROR(E398/E446, "NA")</f>
        <v>0.01641115509</v>
      </c>
      <c r="G398" s="14"/>
      <c r="H398" s="15">
        <f t="shared" si="113"/>
        <v>310.75</v>
      </c>
      <c r="I398" s="13">
        <f>IFERROR(H398/H446, "NA")</f>
        <v>-0.00460691626</v>
      </c>
      <c r="J398" s="14"/>
      <c r="K398" s="12">
        <v>11909.19</v>
      </c>
      <c r="L398" s="13">
        <f>IFERROR(K398/K446, "NA")</f>
        <v>0.02311512318</v>
      </c>
      <c r="M398" s="14"/>
      <c r="N398" s="15">
        <f t="shared" si="114"/>
        <v>3019.94</v>
      </c>
      <c r="O398" s="13">
        <f>IFERROR(N398/N446, "NA")</f>
        <v>-0.1368304012</v>
      </c>
      <c r="P398" s="14"/>
      <c r="Q398" s="12">
        <v>107847.87</v>
      </c>
      <c r="R398" s="13">
        <f>IFERROR(Q398/Q446, "NA")</f>
        <v>0.02247277754</v>
      </c>
      <c r="S398" s="14"/>
      <c r="T398" s="12">
        <v>71600.0</v>
      </c>
      <c r="U398" s="13">
        <f>IFERROR(T398/T446, "NA")</f>
        <v>0.0143464912</v>
      </c>
      <c r="V398" s="14"/>
      <c r="W398" s="15">
        <f t="shared" si="115"/>
        <v>-36247.87</v>
      </c>
      <c r="X398" s="13">
        <f>IFERROR(W398/W446, "NA")</f>
        <v>0.189064355</v>
      </c>
      <c r="Y398" s="14"/>
      <c r="Z398" s="12">
        <v>71924.43</v>
      </c>
      <c r="AA398" s="13">
        <f>IFERROR(Z398/Z446, "NA")</f>
        <v>0.01556506816</v>
      </c>
      <c r="AB398" s="14"/>
      <c r="AC398" s="15">
        <f t="shared" si="116"/>
        <v>-35923.44</v>
      </c>
      <c r="AD398" s="13">
        <f>IFERROR(AC398/AC446, "NA")</f>
        <v>-0.2016387756</v>
      </c>
    </row>
    <row r="399" ht="16.5" customHeight="1">
      <c r="A399" s="11" t="s">
        <v>368</v>
      </c>
      <c r="B399" s="12">
        <v>231.02</v>
      </c>
      <c r="C399" s="13">
        <f>IFERROR(B399/B446, "NA")</f>
        <v>0.0004684660709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-231.02</v>
      </c>
      <c r="I399" s="13">
        <f>IFERROR(H399/H446, "NA")</f>
        <v>0.00342490682</v>
      </c>
      <c r="J399" s="14"/>
      <c r="K399" s="12">
        <v>224.36</v>
      </c>
      <c r="L399" s="13">
        <f>IFERROR(K399/K446, "NA")</f>
        <v>0.0004354711812</v>
      </c>
      <c r="M399" s="14"/>
      <c r="N399" s="15">
        <f t="shared" si="114"/>
        <v>-6.66</v>
      </c>
      <c r="O399" s="13">
        <f>IFERROR(N399/N446, "NA")</f>
        <v>0.0003017578072</v>
      </c>
      <c r="P399" s="14"/>
      <c r="Q399" s="12">
        <v>1958.7</v>
      </c>
      <c r="R399" s="13">
        <f>IFERROR(Q399/Q446, "NA")</f>
        <v>0.0004081437061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-1958.7</v>
      </c>
      <c r="X399" s="13">
        <f>IFERROR(W399/W446, "NA")</f>
        <v>0.01021633415</v>
      </c>
      <c r="Y399" s="14"/>
      <c r="Z399" s="12">
        <v>1234.97</v>
      </c>
      <c r="AA399" s="13">
        <f>IFERROR(Z399/Z446, "NA")</f>
        <v>0.0002672581796</v>
      </c>
      <c r="AB399" s="14"/>
      <c r="AC399" s="15">
        <f t="shared" si="116"/>
        <v>-723.73</v>
      </c>
      <c r="AD399" s="13">
        <f>IFERROR(AC399/AC446, "NA")</f>
        <v>-0.004062306702</v>
      </c>
    </row>
    <row r="400" ht="16.5" customHeight="1">
      <c r="A400" s="11" t="s">
        <v>369</v>
      </c>
      <c r="B400" s="12">
        <v>154.5</v>
      </c>
      <c r="C400" s="13">
        <f>IFERROR(B400/B446, "NA")</f>
        <v>0.0003132975844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-154.5</v>
      </c>
      <c r="I400" s="13">
        <f>IFERROR(H400/H446, "NA")</f>
        <v>0.002290486121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-154.5</v>
      </c>
      <c r="O400" s="13">
        <f>IFERROR(N400/N446, "NA")</f>
        <v>0.007000237419</v>
      </c>
      <c r="P400" s="14"/>
      <c r="Q400" s="12">
        <v>2981.34</v>
      </c>
      <c r="R400" s="13">
        <f>IFERROR(Q400/Q446, "NA")</f>
        <v>0.000621236104</v>
      </c>
      <c r="S400" s="14"/>
      <c r="T400" s="12">
        <v>1600.0</v>
      </c>
      <c r="U400" s="13">
        <f>IFERROR(T400/T446, "NA")</f>
        <v>0.0003205919821</v>
      </c>
      <c r="V400" s="14"/>
      <c r="W400" s="15">
        <f t="shared" si="115"/>
        <v>-1381.34</v>
      </c>
      <c r="X400" s="13">
        <f>IFERROR(W400/W446, "NA")</f>
        <v>0.007204896622</v>
      </c>
      <c r="Y400" s="14"/>
      <c r="Z400" s="12">
        <v>1487.0</v>
      </c>
      <c r="AA400" s="13">
        <f>IFERROR(Z400/Z446, "NA")</f>
        <v>0.0003217996494</v>
      </c>
      <c r="AB400" s="14"/>
      <c r="AC400" s="15">
        <f t="shared" si="116"/>
        <v>-1494.34</v>
      </c>
      <c r="AD400" s="13">
        <f>IFERROR(AC400/AC446, "NA")</f>
        <v>-0.008387751505</v>
      </c>
    </row>
    <row r="401" ht="16.5" hidden="1" customHeight="1">
      <c r="A401" s="11" t="s">
        <v>370</v>
      </c>
      <c r="B401" s="12">
        <v>0.0</v>
      </c>
      <c r="C401" s="13">
        <f>IFERROR(B401/B446, "NA")</f>
        <v>0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>
        <f>IFERROR(B402/B446, "NA")</f>
        <v>0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>
        <f>IFERROR(B403/B446, "NA")</f>
        <v>0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96605.47</v>
      </c>
      <c r="C404" s="18">
        <f>IFERROR(B404/B446, "NA")</f>
        <v>0.1958981255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109987.92</v>
      </c>
      <c r="F404" s="18">
        <f>IFERROR(E404/E446, "NA")</f>
        <v>0.196198784</v>
      </c>
      <c r="G404" s="8"/>
      <c r="H404" s="17">
        <f t="shared" si="113"/>
        <v>13382.45</v>
      </c>
      <c r="I404" s="18">
        <f>IFERROR(H404/H446, "NA")</f>
        <v>-0.1983968673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118397.74</v>
      </c>
      <c r="L404" s="18">
        <f>IFERROR(K404/K446, "NA")</f>
        <v>0.2298039031</v>
      </c>
      <c r="M404" s="8"/>
      <c r="N404" s="17">
        <f t="shared" si="114"/>
        <v>21792.27</v>
      </c>
      <c r="O404" s="18">
        <f>IFERROR(N404/N446, "NA")</f>
        <v>-0.9873855269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832079.42</v>
      </c>
      <c r="R404" s="18">
        <f>IFERROR(Q404/Q446, "NA")</f>
        <v>0.1733843765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910704.01</v>
      </c>
      <c r="U404" s="18">
        <f>IFERROR(T404/T446, "NA")</f>
        <v>0.1824777523</v>
      </c>
      <c r="V404" s="8"/>
      <c r="W404" s="17">
        <f t="shared" si="115"/>
        <v>78624.59</v>
      </c>
      <c r="X404" s="18">
        <f>IFERROR(W404/W446, "NA")</f>
        <v>-0.4100960248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1049639.18</v>
      </c>
      <c r="AA404" s="18">
        <f>IFERROR(Z404/Z446, "NA")</f>
        <v>0.2271509887</v>
      </c>
      <c r="AB404" s="8"/>
      <c r="AC404" s="17">
        <f t="shared" si="116"/>
        <v>217559.76</v>
      </c>
      <c r="AD404" s="18">
        <f>IFERROR(AC404/AC446, "NA")</f>
        <v>1.221166003</v>
      </c>
    </row>
    <row r="405" ht="16.5" customHeight="1">
      <c r="A405" s="19" t="s">
        <v>374</v>
      </c>
      <c r="B405" s="20">
        <f>IFERROR(B346-B404, "NA")</f>
        <v>-73748.68</v>
      </c>
      <c r="C405" s="21">
        <f>IFERROR(B405/B446, "NA")</f>
        <v>-0.1495487592</v>
      </c>
      <c r="D405" s="22"/>
      <c r="E405" s="20">
        <f>IFERROR(E346-E404, "NA")</f>
        <v>-70208.87</v>
      </c>
      <c r="F405" s="21">
        <f>IFERROR(E405/E446, "NA")</f>
        <v>-0.1252400711</v>
      </c>
      <c r="G405" s="22"/>
      <c r="H405" s="20">
        <f>IFERROR(B405-E405, "NA")</f>
        <v>-3539.81</v>
      </c>
      <c r="I405" s="21">
        <f>IFERROR(H405/H446, "NA")</f>
        <v>0.05247822444</v>
      </c>
      <c r="J405" s="22"/>
      <c r="K405" s="20">
        <f>IFERROR(K346-K404, "NA")</f>
        <v>-115164.26</v>
      </c>
      <c r="L405" s="21">
        <f>IFERROR(K405/K446, "NA")</f>
        <v>-0.2235278853</v>
      </c>
      <c r="M405" s="22"/>
      <c r="N405" s="20">
        <f>IFERROR(B405-K405, "NA")</f>
        <v>41415.58</v>
      </c>
      <c r="O405" s="21">
        <f>IFERROR(N405/N446, "NA")</f>
        <v>-1.876497688</v>
      </c>
      <c r="P405" s="22"/>
      <c r="Q405" s="20">
        <f>IFERROR(Q346-Q404, "NA")</f>
        <v>-528095.53</v>
      </c>
      <c r="R405" s="21">
        <f>IFERROR(Q405/Q446, "NA")</f>
        <v>-0.1100417965</v>
      </c>
      <c r="S405" s="22"/>
      <c r="T405" s="20">
        <f>IFERROR(T346-T404, "NA")</f>
        <v>-464785.27</v>
      </c>
      <c r="U405" s="21">
        <f>IFERROR(T405/T446, "NA")</f>
        <v>-0.09312901934</v>
      </c>
      <c r="V405" s="22"/>
      <c r="W405" s="20">
        <f>IFERROR(Q405-T405, "NA")</f>
        <v>-63310.26</v>
      </c>
      <c r="X405" s="21">
        <f>IFERROR(W405/W446, "NA")</f>
        <v>0.3302183955</v>
      </c>
      <c r="Y405" s="22"/>
      <c r="Z405" s="20">
        <f>IFERROR(Z346-Z404, "NA")</f>
        <v>-926571.2</v>
      </c>
      <c r="AA405" s="21">
        <f>IFERROR(Z405/Z446, "NA")</f>
        <v>-0.2005180143</v>
      </c>
      <c r="AB405" s="22"/>
      <c r="AC405" s="20">
        <f>IFERROR(Q405-Z405, "NA")</f>
        <v>398475.67</v>
      </c>
      <c r="AD405" s="21">
        <f>IFERROR(AC405/AC446, "NA")</f>
        <v>2.236649558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>
        <f>IFERROR(B408/B446, "NA")</f>
        <v>0</v>
      </c>
      <c r="D408" s="14"/>
      <c r="E408" s="12">
        <v>19204.42</v>
      </c>
      <c r="F408" s="13">
        <f>IFERROR(E408/E446, "NA")</f>
        <v>0.03425725163</v>
      </c>
      <c r="G408" s="14"/>
      <c r="H408" s="15">
        <f t="shared" ref="H408:H431" si="117">IFERROR(-(B408-E408), "NA")</f>
        <v>19204.42</v>
      </c>
      <c r="I408" s="13">
        <f>IFERROR(H408/H446, "NA")</f>
        <v>-0.2847084626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135759.14</v>
      </c>
      <c r="U408" s="13">
        <f>IFERROR(T408/T446, "NA")</f>
        <v>0.02720205736</v>
      </c>
      <c r="V408" s="14"/>
      <c r="W408" s="15">
        <f t="shared" ref="W408:W431" si="119">IFERROR(-(Q408-T408), "NA")</f>
        <v>135759.14</v>
      </c>
      <c r="X408" s="13">
        <f>IFERROR(W408/W446, "NA")</f>
        <v>-0.7081026895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customHeight="1">
      <c r="A409" s="11" t="s">
        <v>377</v>
      </c>
      <c r="B409" s="12">
        <v>0.0</v>
      </c>
      <c r="C409" s="13">
        <f>IFERROR(B409/B446, "NA")</f>
        <v>0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911.01</v>
      </c>
      <c r="R409" s="13">
        <f>IFERROR(Q409/Q446, "NA")</f>
        <v>0.0001898315197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-911.01</v>
      </c>
      <c r="X409" s="13">
        <f>IFERROR(W409/W446, "NA")</f>
        <v>0.004751714184</v>
      </c>
      <c r="Y409" s="14"/>
      <c r="Z409" s="12">
        <v>250.0</v>
      </c>
      <c r="AA409" s="13">
        <f>IFERROR(Z409/Z446, "NA")</f>
        <v>0.00005410216029</v>
      </c>
      <c r="AB409" s="14"/>
      <c r="AC409" s="15">
        <f t="shared" si="120"/>
        <v>-661.01</v>
      </c>
      <c r="AD409" s="13">
        <f>IFERROR(AC409/AC446, "NA")</f>
        <v>-0.003710258457</v>
      </c>
    </row>
    <row r="410" ht="16.5" hidden="1" customHeight="1">
      <c r="A410" s="11" t="s">
        <v>378</v>
      </c>
      <c r="B410" s="12">
        <v>0.0</v>
      </c>
      <c r="C410" s="13">
        <f>IFERROR(B410/B446, "NA")</f>
        <v>0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28857.199999999997</v>
      </c>
      <c r="C411" s="13">
        <f>IFERROR(B411/B446, "NA")</f>
        <v>0.0585170942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-28857.2</v>
      </c>
      <c r="I411" s="13">
        <f>IFERROR(H411/H446, "NA")</f>
        <v>0.4278124019</v>
      </c>
      <c r="J411" s="14"/>
      <c r="K411" s="12">
        <v>30759.82</v>
      </c>
      <c r="L411" s="13">
        <f>IFERROR(K411/K446, "NA")</f>
        <v>0.05970322317</v>
      </c>
      <c r="M411" s="14"/>
      <c r="N411" s="15">
        <f t="shared" si="118"/>
        <v>1902.62</v>
      </c>
      <c r="O411" s="13">
        <f>IFERROR(N411/N446, "NA")</f>
        <v>-0.08620577164</v>
      </c>
      <c r="P411" s="14"/>
      <c r="Q411" s="12">
        <v>251257.44</v>
      </c>
      <c r="R411" s="13">
        <f>IFERROR(Q411/Q446, "NA")</f>
        <v>0.05235571693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-251257.44</v>
      </c>
      <c r="X411" s="13">
        <f>IFERROR(W411/W446, "NA")</f>
        <v>1.310527372</v>
      </c>
      <c r="Y411" s="14"/>
      <c r="Z411" s="12">
        <v>228758.31</v>
      </c>
      <c r="AA411" s="13">
        <f>IFERROR(Z411/Z446, "NA")</f>
        <v>0.04950527502</v>
      </c>
      <c r="AB411" s="14"/>
      <c r="AC411" s="15">
        <f t="shared" si="120"/>
        <v>-22499.13</v>
      </c>
      <c r="AD411" s="13">
        <f>IFERROR(AC411/AC446, "NA")</f>
        <v>-0.1262879342</v>
      </c>
    </row>
    <row r="412" ht="16.5" customHeight="1">
      <c r="A412" s="11" t="s">
        <v>380</v>
      </c>
      <c r="B412" s="12">
        <v>268.37</v>
      </c>
      <c r="C412" s="13">
        <f>IFERROR(B412/B446, "NA")</f>
        <v>0.0005442050015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-268.37</v>
      </c>
      <c r="I412" s="13">
        <f>IFERROR(H412/H446, "NA")</f>
        <v>0.003978626281</v>
      </c>
      <c r="J412" s="14"/>
      <c r="K412" s="12">
        <v>268.37</v>
      </c>
      <c r="L412" s="13">
        <f>IFERROR(K412/K446, "NA")</f>
        <v>0.00052089232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2146.97</v>
      </c>
      <c r="R412" s="13">
        <f>IFERROR(Q412/Q446, "NA")</f>
        <v>0.0004473744283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-2146.97</v>
      </c>
      <c r="X412" s="13">
        <f>IFERROR(W412/W446, "NA")</f>
        <v>0.01119832691</v>
      </c>
      <c r="Y412" s="14"/>
      <c r="Z412" s="12">
        <v>1878.59</v>
      </c>
      <c r="AA412" s="13">
        <f>IFERROR(Z412/Z446, "NA")</f>
        <v>0.0004065431092</v>
      </c>
      <c r="AB412" s="14"/>
      <c r="AC412" s="15">
        <f t="shared" si="120"/>
        <v>-268.38</v>
      </c>
      <c r="AD412" s="13">
        <f>IFERROR(AC412/AC446, "NA")</f>
        <v>-0.001506420727</v>
      </c>
    </row>
    <row r="413" ht="16.5" hidden="1" customHeight="1">
      <c r="A413" s="11" t="s">
        <v>381</v>
      </c>
      <c r="B413" s="12">
        <v>0.0</v>
      </c>
      <c r="C413" s="13">
        <f>IFERROR(B413/B446, "NA")</f>
        <v>0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>
        <f>IFERROR(B414/B446, "NA")</f>
        <v>0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>
        <f>IFERROR(B415/B446, "NA")</f>
        <v>0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>
        <f>IFERROR(B416/B446, "NA")</f>
        <v>0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-270.18</v>
      </c>
      <c r="C417" s="13">
        <f>IFERROR(B417/B446, "NA")</f>
        <v>-0.0005478753486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270.18</v>
      </c>
      <c r="I417" s="13">
        <f>IFERROR(H417/H446, "NA")</f>
        <v>-0.004005459807</v>
      </c>
      <c r="J417" s="14"/>
      <c r="K417" s="12">
        <v>-122.78999999999999</v>
      </c>
      <c r="L417" s="13">
        <f>IFERROR(K417/K446, "NA")</f>
        <v>-0.0002383290531</v>
      </c>
      <c r="M417" s="14"/>
      <c r="N417" s="15">
        <f t="shared" si="118"/>
        <v>147.39</v>
      </c>
      <c r="O417" s="13">
        <f>IFERROR(N417/N446, "NA")</f>
        <v>-0.006678090571</v>
      </c>
      <c r="P417" s="14"/>
      <c r="Q417" s="12">
        <v>-1684.2</v>
      </c>
      <c r="R417" s="13">
        <f>IFERROR(Q417/Q446, "NA")</f>
        <v>-0.0003509448256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1684.2</v>
      </c>
      <c r="X417" s="13">
        <f>IFERROR(W417/W446, "NA")</f>
        <v>-0.008784576491</v>
      </c>
      <c r="Y417" s="14"/>
      <c r="Z417" s="12">
        <v>-442.9</v>
      </c>
      <c r="AA417" s="13">
        <f>IFERROR(Z417/Z446, "NA")</f>
        <v>-0.00009584738717</v>
      </c>
      <c r="AB417" s="14"/>
      <c r="AC417" s="15">
        <f t="shared" si="120"/>
        <v>1241.3</v>
      </c>
      <c r="AD417" s="13">
        <f>IFERROR(AC417/AC446, "NA")</f>
        <v>0.006967434415</v>
      </c>
    </row>
    <row r="418" ht="16.5" customHeight="1">
      <c r="A418" s="11" t="s">
        <v>386</v>
      </c>
      <c r="B418" s="12">
        <v>-93.13000000000001</v>
      </c>
      <c r="C418" s="13">
        <f>IFERROR(B418/B446, "NA")</f>
        <v>-0.0001888505116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93.13</v>
      </c>
      <c r="I418" s="13">
        <f>IFERROR(H418/H446, "NA")</f>
        <v>-0.001380666488</v>
      </c>
      <c r="J418" s="14"/>
      <c r="K418" s="12">
        <v>-405.44</v>
      </c>
      <c r="L418" s="13">
        <f>IFERROR(K418/K446, "NA")</f>
        <v>-0.0007869381161</v>
      </c>
      <c r="M418" s="14"/>
      <c r="N418" s="15">
        <f t="shared" si="118"/>
        <v>-312.31</v>
      </c>
      <c r="O418" s="13">
        <f>IFERROR(N418/N446, "NA")</f>
        <v>0.01415044756</v>
      </c>
      <c r="P418" s="14"/>
      <c r="Q418" s="12">
        <v>142.74</v>
      </c>
      <c r="R418" s="13">
        <f>IFERROR(Q418/Q446, "NA")</f>
        <v>0.00002974341789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-142.74</v>
      </c>
      <c r="X418" s="13">
        <f>IFERROR(W418/W446, "NA")</f>
        <v>0.0007445139819</v>
      </c>
      <c r="Y418" s="14"/>
      <c r="Z418" s="12">
        <v>-897.27</v>
      </c>
      <c r="AA418" s="13">
        <f>IFERROR(Z418/Z446, "NA")</f>
        <v>-0.0001941769815</v>
      </c>
      <c r="AB418" s="14"/>
      <c r="AC418" s="15">
        <f t="shared" si="120"/>
        <v>-1040.01</v>
      </c>
      <c r="AD418" s="13">
        <f>IFERROR(AC418/AC446, "NA")</f>
        <v>-0.005837590805</v>
      </c>
    </row>
    <row r="419" ht="16.5" customHeight="1">
      <c r="A419" s="11" t="s">
        <v>387</v>
      </c>
      <c r="B419" s="12">
        <v>0.0</v>
      </c>
      <c r="C419" s="13">
        <f>IFERROR(B419/B446, "NA")</f>
        <v>0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-3725.69</v>
      </c>
      <c r="AA419" s="13">
        <f>IFERROR(Z419/Z446, "NA")</f>
        <v>-0.0008062715103</v>
      </c>
      <c r="AB419" s="14"/>
      <c r="AC419" s="15">
        <f t="shared" si="120"/>
        <v>-3725.69</v>
      </c>
      <c r="AD419" s="13">
        <f>IFERROR(AC419/AC446, "NA")</f>
        <v>-0.02091235054</v>
      </c>
    </row>
    <row r="420" ht="16.5" customHeight="1">
      <c r="A420" s="11" t="s">
        <v>388</v>
      </c>
      <c r="B420" s="12">
        <v>0.0</v>
      </c>
      <c r="C420" s="13">
        <f>IFERROR(B420/B446, "NA")</f>
        <v>0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56.25</v>
      </c>
      <c r="AA420" s="13">
        <f>IFERROR(Z420/Z446, "NA")</f>
        <v>0.00001217298607</v>
      </c>
      <c r="AB420" s="14"/>
      <c r="AC420" s="15">
        <f t="shared" si="120"/>
        <v>56.25</v>
      </c>
      <c r="AD420" s="13">
        <f>IFERROR(AC420/AC446, "NA")</f>
        <v>0.0003157320437</v>
      </c>
    </row>
    <row r="421" ht="16.5" hidden="1" customHeight="1">
      <c r="A421" s="11" t="s">
        <v>389</v>
      </c>
      <c r="B421" s="12">
        <v>0.0</v>
      </c>
      <c r="C421" s="13">
        <f>IFERROR(B421/B446, "NA")</f>
        <v>0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customHeight="1">
      <c r="A422" s="11" t="s">
        <v>390</v>
      </c>
      <c r="B422" s="12">
        <v>-10.0</v>
      </c>
      <c r="C422" s="13">
        <f>IFERROR(B422/B446, "NA")</f>
        <v>-0.0000202781608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10</v>
      </c>
      <c r="I422" s="13">
        <f>IFERROR(H422/H446, "NA")</f>
        <v>-0.0001482515289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10</v>
      </c>
      <c r="O422" s="13">
        <f>IFERROR(N422/N446, "NA")</f>
        <v>-0.0004530898006</v>
      </c>
      <c r="P422" s="14"/>
      <c r="Q422" s="12">
        <v>66.0</v>
      </c>
      <c r="R422" s="13">
        <f>IFERROR(Q422/Q446, "NA")</f>
        <v>0.00001375273631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-66</v>
      </c>
      <c r="X422" s="13">
        <f>IFERROR(W422/W446, "NA")</f>
        <v>0.0003442477428</v>
      </c>
      <c r="Y422" s="14"/>
      <c r="Z422" s="12">
        <v>-50.0</v>
      </c>
      <c r="AA422" s="13">
        <f>IFERROR(Z422/Z446, "NA")</f>
        <v>-0.00001082043206</v>
      </c>
      <c r="AB422" s="14"/>
      <c r="AC422" s="15">
        <f t="shared" si="120"/>
        <v>-116</v>
      </c>
      <c r="AD422" s="13">
        <f>IFERROR(AC422/AC446, "NA")</f>
        <v>-0.0006511096368</v>
      </c>
    </row>
    <row r="423" ht="16.5" customHeight="1">
      <c r="A423" s="11" t="s">
        <v>391</v>
      </c>
      <c r="B423" s="12">
        <v>0.0</v>
      </c>
      <c r="C423" s="13">
        <f>IFERROR(B423/B446, "NA")</f>
        <v>0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519.64</v>
      </c>
      <c r="R423" s="13">
        <f>IFERROR(Q423/Q446, "NA")</f>
        <v>0.0001082798772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-519.64</v>
      </c>
      <c r="X423" s="13">
        <f>IFERROR(W423/W446, "NA")</f>
        <v>0.002710377228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-519.64</v>
      </c>
      <c r="AD423" s="13">
        <f>IFERROR(AC423/AC446, "NA")</f>
        <v>-0.002916746652</v>
      </c>
    </row>
    <row r="424" ht="16.5" customHeight="1">
      <c r="A424" s="11" t="s">
        <v>392</v>
      </c>
      <c r="B424" s="12">
        <v>-15779.28</v>
      </c>
      <c r="C424" s="13">
        <f>IFERROR(B424/B446, "NA")</f>
        <v>-0.03199747772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15779.28</v>
      </c>
      <c r="I424" s="13">
        <f>IFERROR(H424/H446, "NA")</f>
        <v>-0.2339302385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15779.28</v>
      </c>
      <c r="O424" s="13">
        <f>IFERROR(N424/N446, "NA")</f>
        <v>-0.7149430829</v>
      </c>
      <c r="P424" s="14"/>
      <c r="Q424" s="12">
        <v>-122204.82</v>
      </c>
      <c r="R424" s="13">
        <f>IFERROR(Q424/Q446, "NA")</f>
        <v>-0.02546440401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122204.82</v>
      </c>
      <c r="X424" s="13">
        <f>IFERROR(W424/W446, "NA")</f>
        <v>-0.6374050522</v>
      </c>
      <c r="Y424" s="14"/>
      <c r="Z424" s="12">
        <v>-6.72</v>
      </c>
      <c r="AA424" s="13">
        <f>IFERROR(Z424/Z446, "NA")</f>
        <v>-0.000001454266069</v>
      </c>
      <c r="AB424" s="14"/>
      <c r="AC424" s="15">
        <f t="shared" si="120"/>
        <v>122198.1</v>
      </c>
      <c r="AD424" s="13">
        <f>IFERROR(AC424/AC446, "NA")</f>
        <v>0.6858996595</v>
      </c>
    </row>
    <row r="425" ht="16.5" customHeight="1">
      <c r="A425" s="11" t="s">
        <v>393</v>
      </c>
      <c r="B425" s="12">
        <v>802.7</v>
      </c>
      <c r="C425" s="13">
        <f>IFERROR(B425/B446, "NA")</f>
        <v>0.001627727968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-802.7</v>
      </c>
      <c r="I425" s="13">
        <f>IFERROR(H425/H446, "NA")</f>
        <v>0.01190015022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-802.7</v>
      </c>
      <c r="O425" s="13">
        <f>IFERROR(N425/N446, "NA")</f>
        <v>0.03636951829</v>
      </c>
      <c r="P425" s="14"/>
      <c r="Q425" s="12">
        <v>21015.64</v>
      </c>
      <c r="R425" s="13">
        <f>IFERROR(Q425/Q446, "NA")</f>
        <v>0.004379129625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-21015.64</v>
      </c>
      <c r="X425" s="13">
        <f>IFERROR(W425/W446, "NA")</f>
        <v>0.109614949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-21015.64</v>
      </c>
      <c r="AD425" s="13">
        <f>IFERROR(AC425/AC446, "NA")</f>
        <v>-0.1179610839</v>
      </c>
    </row>
    <row r="426" ht="16.5" customHeight="1">
      <c r="A426" s="11" t="s">
        <v>394</v>
      </c>
      <c r="B426" s="12">
        <v>0.0</v>
      </c>
      <c r="C426" s="13">
        <f>IFERROR(B426/B446, "NA")</f>
        <v>0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402.48</v>
      </c>
      <c r="R426" s="13">
        <f>IFERROR(Q426/Q446, "NA")</f>
        <v>0.0000838666865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-402.48</v>
      </c>
      <c r="X426" s="13">
        <f>IFERROR(W426/W446, "NA")</f>
        <v>0.002099285326</v>
      </c>
      <c r="Y426" s="14"/>
      <c r="Z426" s="12">
        <v>239.6</v>
      </c>
      <c r="AA426" s="13">
        <f>IFERROR(Z426/Z446, "NA")</f>
        <v>0.00005185151042</v>
      </c>
      <c r="AB426" s="14"/>
      <c r="AC426" s="15">
        <f t="shared" si="120"/>
        <v>-162.88</v>
      </c>
      <c r="AD426" s="13">
        <f>IFERROR(AC426/AC446, "NA")</f>
        <v>-0.0009142477382</v>
      </c>
    </row>
    <row r="427" ht="16.5" customHeight="1">
      <c r="A427" s="11" t="s">
        <v>395</v>
      </c>
      <c r="B427" s="12">
        <v>0.0</v>
      </c>
      <c r="C427" s="13">
        <f>IFERROR(B427/B446, "NA")</f>
        <v>0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258306.55</v>
      </c>
      <c r="R427" s="13">
        <f>IFERROR(Q427/Q446, "NA")</f>
        <v>0.05382457377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-258306.55</v>
      </c>
      <c r="X427" s="13">
        <f>IFERROR(W427/W446, "NA")</f>
        <v>1.347294648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-258306.55</v>
      </c>
      <c r="AD427" s="13">
        <f>IFERROR(AC427/AC446, "NA")</f>
        <v>-1.44987831</v>
      </c>
    </row>
    <row r="428" ht="16.5" customHeight="1">
      <c r="A428" s="11" t="s">
        <v>396</v>
      </c>
      <c r="B428" s="12">
        <v>-870.6099999999999</v>
      </c>
      <c r="C428" s="13">
        <f>IFERROR(B428/B446, "NA")</f>
        <v>-0.001765436958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870.61</v>
      </c>
      <c r="I428" s="13">
        <f>IFERROR(H428/H446, "NA")</f>
        <v>-0.01290692636</v>
      </c>
      <c r="J428" s="14"/>
      <c r="K428" s="12">
        <v>-17246.99</v>
      </c>
      <c r="L428" s="13">
        <f>IFERROR(K428/K446, "NA")</f>
        <v>-0.03347551751</v>
      </c>
      <c r="M428" s="14"/>
      <c r="N428" s="15">
        <f t="shared" si="118"/>
        <v>-16376.38</v>
      </c>
      <c r="O428" s="13">
        <f>IFERROR(N428/N446, "NA")</f>
        <v>0.7419970749</v>
      </c>
      <c r="P428" s="14"/>
      <c r="Q428" s="12">
        <v>-10737.9</v>
      </c>
      <c r="R428" s="13">
        <f>IFERROR(Q428/Q446, "NA")</f>
        <v>-0.002237507685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10737.9</v>
      </c>
      <c r="X428" s="13">
        <f>IFERROR(W428/W446, "NA")</f>
        <v>-0.05600754299</v>
      </c>
      <c r="Y428" s="14"/>
      <c r="Z428" s="12">
        <v>-97560.64</v>
      </c>
      <c r="AA428" s="13">
        <f>IFERROR(Z428/Z446, "NA")</f>
        <v>-0.02111296553</v>
      </c>
      <c r="AB428" s="14"/>
      <c r="AC428" s="15">
        <f t="shared" si="120"/>
        <v>-86822.74</v>
      </c>
      <c r="AD428" s="13">
        <f>IFERROR(AC428/AC446, "NA")</f>
        <v>-0.4873372647</v>
      </c>
    </row>
    <row r="429" ht="16.5" hidden="1" customHeight="1">
      <c r="A429" s="11" t="s">
        <v>397</v>
      </c>
      <c r="B429" s="12">
        <v>0.0</v>
      </c>
      <c r="C429" s="13">
        <f>IFERROR(B429/B446, "NA")</f>
        <v>0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12905.07</v>
      </c>
      <c r="C430" s="18">
        <f>IFERROR(B430/B446, "NA")</f>
        <v>0.02616910846</v>
      </c>
      <c r="D430" s="8"/>
      <c r="E430" s="17">
        <f>IFERROR(E408+E409+E410+E411+E412+E413+E414+E415+E416+E417+E418+E419+E420+E421+E422+E423+E424+E425+E426+E427+E428+E429, "NA")</f>
        <v>19204.42</v>
      </c>
      <c r="F430" s="18">
        <f>IFERROR(E430/E446, "NA")</f>
        <v>0.03425725163</v>
      </c>
      <c r="G430" s="8"/>
      <c r="H430" s="17">
        <f t="shared" si="117"/>
        <v>6299.35</v>
      </c>
      <c r="I430" s="18">
        <f>IFERROR(H430/H446, "NA")</f>
        <v>-0.09338882685</v>
      </c>
      <c r="J430" s="8"/>
      <c r="K430" s="17">
        <f>IFERROR(K408+K409+K410+K411+K412+K413+K414+K415+K416+K417+K418+K419+K420+K421+K422+K423+K424+K425+K426+K427+K428+K429, "NA")</f>
        <v>13252.97</v>
      </c>
      <c r="L430" s="18">
        <f>IFERROR(K430/K446, "NA")</f>
        <v>0.02572333081</v>
      </c>
      <c r="M430" s="8"/>
      <c r="N430" s="17">
        <f t="shared" si="118"/>
        <v>347.9</v>
      </c>
      <c r="O430" s="18">
        <f>IFERROR(N430/N446, "NA")</f>
        <v>-0.01576299416</v>
      </c>
      <c r="P430" s="8"/>
      <c r="Q430" s="17">
        <f>IFERROR(Q408+Q409+Q410+Q411+Q412+Q413+Q414+Q415+Q416+Q417+Q418+Q419+Q420+Q421+Q422+Q423+Q424+Q425+Q426+Q427+Q428+Q429, "NA")</f>
        <v>400141.55</v>
      </c>
      <c r="R430" s="18">
        <f>IFERROR(Q430/Q446, "NA")</f>
        <v>0.08337941247</v>
      </c>
      <c r="S430" s="8"/>
      <c r="T430" s="17">
        <f>IFERROR(T408+T409+T410+T411+T412+T413+T414+T415+T416+T417+T418+T419+T420+T421+T422+T423+T424+T425+T426+T427+T428+T429, "NA")</f>
        <v>135759.14</v>
      </c>
      <c r="U430" s="18">
        <f>IFERROR(T430/T446, "NA")</f>
        <v>0.02720205736</v>
      </c>
      <c r="V430" s="8"/>
      <c r="W430" s="17">
        <f t="shared" si="119"/>
        <v>-264382.41</v>
      </c>
      <c r="X430" s="18">
        <f>IFERROR(W430/W446, "NA")</f>
        <v>1.378985574</v>
      </c>
      <c r="Y430" s="8"/>
      <c r="Z430" s="17">
        <f>IFERROR(Z408+Z409+Z410+Z411+Z412+Z413+Z414+Z415+Z416+Z417+Z418+Z419+Z420+Z421+Z422+Z423+Z424+Z425+Z426+Z427+Z428+Z429, "NA")</f>
        <v>128499.53</v>
      </c>
      <c r="AA430" s="18">
        <f>IFERROR(Z430/Z446, "NA")</f>
        <v>0.02780840868</v>
      </c>
      <c r="AB430" s="8"/>
      <c r="AC430" s="17">
        <f t="shared" si="120"/>
        <v>-271642.02</v>
      </c>
      <c r="AD430" s="18">
        <f>IFERROR(AC430/AC446, "NA")</f>
        <v>-1.524730491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12905.07</v>
      </c>
      <c r="C431" s="18">
        <f>IFERROR(B431/B446, "NA")</f>
        <v>0.02616910846</v>
      </c>
      <c r="D431" s="8"/>
      <c r="E431" s="17">
        <f>IFERROR(E408+E409+E410+E411+E412+E413+E414+E415+E416+E417+E418+E419+E420+E421+E422+E423+E424+E425+E426+E427+E428+E429, "NA")</f>
        <v>19204.42</v>
      </c>
      <c r="F431" s="18">
        <f>IFERROR(E431/E446, "NA")</f>
        <v>0.03425725163</v>
      </c>
      <c r="G431" s="8"/>
      <c r="H431" s="17">
        <f t="shared" si="117"/>
        <v>6299.35</v>
      </c>
      <c r="I431" s="18">
        <f>IFERROR(H431/H446, "NA")</f>
        <v>-0.09338882685</v>
      </c>
      <c r="J431" s="8"/>
      <c r="K431" s="17">
        <f>IFERROR(K408+K409+K410+K411+K412+K413+K414+K415+K416+K417+K418+K419+K420+K421+K422+K423+K424+K425+K426+K427+K428+K429, "NA")</f>
        <v>13252.97</v>
      </c>
      <c r="L431" s="18">
        <f>IFERROR(K431/K446, "NA")</f>
        <v>0.02572333081</v>
      </c>
      <c r="M431" s="8"/>
      <c r="N431" s="17">
        <f t="shared" si="118"/>
        <v>347.9</v>
      </c>
      <c r="O431" s="18">
        <f>IFERROR(N431/N446, "NA")</f>
        <v>-0.01576299416</v>
      </c>
      <c r="P431" s="8"/>
      <c r="Q431" s="17">
        <f>IFERROR(Q408+Q409+Q410+Q411+Q412+Q413+Q414+Q415+Q416+Q417+Q418+Q419+Q420+Q421+Q422+Q423+Q424+Q425+Q426+Q427+Q428+Q429, "NA")</f>
        <v>400141.55</v>
      </c>
      <c r="R431" s="18">
        <f>IFERROR(Q431/Q446, "NA")</f>
        <v>0.08337941247</v>
      </c>
      <c r="S431" s="8"/>
      <c r="T431" s="17">
        <f>IFERROR(T408+T409+T410+T411+T412+T413+T414+T415+T416+T417+T418+T419+T420+T421+T422+T423+T424+T425+T426+T427+T428+T429, "NA")</f>
        <v>135759.14</v>
      </c>
      <c r="U431" s="18">
        <f>IFERROR(T431/T446, "NA")</f>
        <v>0.02720205736</v>
      </c>
      <c r="V431" s="8"/>
      <c r="W431" s="17">
        <f t="shared" si="119"/>
        <v>-264382.41</v>
      </c>
      <c r="X431" s="18">
        <f>IFERROR(W431/W446, "NA")</f>
        <v>1.378985574</v>
      </c>
      <c r="Y431" s="8"/>
      <c r="Z431" s="17">
        <f>IFERROR(Z408+Z409+Z410+Z411+Z412+Z413+Z414+Z415+Z416+Z417+Z418+Z419+Z420+Z421+Z422+Z423+Z424+Z425+Z426+Z427+Z428+Z429, "NA")</f>
        <v>128499.53</v>
      </c>
      <c r="AA431" s="18">
        <f>IFERROR(Z431/Z446, "NA")</f>
        <v>0.02780840868</v>
      </c>
      <c r="AB431" s="8"/>
      <c r="AC431" s="17">
        <f t="shared" si="120"/>
        <v>-271642.02</v>
      </c>
      <c r="AD431" s="18">
        <f>IFERROR(AC431/AC446, "NA")</f>
        <v>-1.524730491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>
        <f>IFERROR(B434/B446, "NA")</f>
        <v>0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>
        <f>IFERROR(B435/B446, "NA")</f>
        <v>0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>
        <f>IFERROR(B436/B446, "NA")</f>
        <v>0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>
        <f>IFERROR(B437/B446, "NA")</f>
        <v>0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>
        <f>IFERROR(B438/B446, "NA")</f>
        <v>0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>
        <f>IFERROR(B439/B446, "NA")</f>
        <v>0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>
        <f>IFERROR(B440/B446, "NA")</f>
        <v>0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>
        <f>IFERROR(B441/B446, "NA")</f>
        <v>0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>
        <f>IFERROR(B442/B446, "NA")</f>
        <v>0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>
        <f>IFERROR(B443/B446, "NA")</f>
        <v>0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>
        <f>IFERROR(B444/B446, "NA")</f>
        <v>0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-86653.75</v>
      </c>
      <c r="C445" s="21">
        <f>IFERROR(B445/B446, "NA")</f>
        <v>-0.1757178677</v>
      </c>
      <c r="D445" s="22"/>
      <c r="E445" s="20">
        <f>IFERROR(E405-E431-E444, "NA")</f>
        <v>-89413.29</v>
      </c>
      <c r="F445" s="21">
        <f>IFERROR(E445/E446, "NA")</f>
        <v>-0.1594973228</v>
      </c>
      <c r="G445" s="22"/>
      <c r="H445" s="20">
        <f t="shared" ref="H445:H446" si="125">IFERROR(B445-E445, "NA")</f>
        <v>2759.54</v>
      </c>
      <c r="I445" s="21">
        <f>IFERROR(H445/H446, "NA")</f>
        <v>-0.0409106024</v>
      </c>
      <c r="J445" s="22"/>
      <c r="K445" s="20">
        <f>IFERROR(K405-K431-K444, "NA")</f>
        <v>-128417.23</v>
      </c>
      <c r="L445" s="21">
        <f>IFERROR(K445/K446, "NA")</f>
        <v>-0.2492512161</v>
      </c>
      <c r="M445" s="22"/>
      <c r="N445" s="20">
        <f t="shared" ref="N445:N446" si="126">IFERROR(B445-K445, "NA")</f>
        <v>41763.48</v>
      </c>
      <c r="O445" s="21">
        <f>IFERROR(N445/N446, "NA")</f>
        <v>-1.892260682</v>
      </c>
      <c r="P445" s="22"/>
      <c r="Q445" s="20">
        <f>IFERROR(Q405-Q431-Q444, "NA")</f>
        <v>-928237.08</v>
      </c>
      <c r="R445" s="21">
        <f>IFERROR(Q445/Q446, "NA")</f>
        <v>-0.193421209</v>
      </c>
      <c r="S445" s="22"/>
      <c r="T445" s="20">
        <f>IFERROR(T405-T431-T444, "NA")</f>
        <v>-600544.41</v>
      </c>
      <c r="U445" s="21">
        <f>IFERROR(T445/T446, "NA")</f>
        <v>-0.1203310767</v>
      </c>
      <c r="V445" s="22"/>
      <c r="W445" s="20">
        <f t="shared" ref="W445:W446" si="127">IFERROR(Q445-T445, "NA")</f>
        <v>-327692.67</v>
      </c>
      <c r="X445" s="21">
        <f>IFERROR(W445/W446, "NA")</f>
        <v>1.709203969</v>
      </c>
      <c r="Y445" s="22"/>
      <c r="Z445" s="20">
        <f>IFERROR(Z405-Z431-Z444, "NA")</f>
        <v>-1055070.73</v>
      </c>
      <c r="AA445" s="21">
        <f>IFERROR(Z445/Z446, "NA")</f>
        <v>-0.228326423</v>
      </c>
      <c r="AB445" s="22"/>
      <c r="AC445" s="20">
        <f t="shared" ref="AC445:AC446" si="128">IFERROR(Q445-Z445, "NA")</f>
        <v>126833.65</v>
      </c>
      <c r="AD445" s="21">
        <f>IFERROR(AC445/AC446, "NA")</f>
        <v>0.7119190671</v>
      </c>
    </row>
    <row r="446" ht="14.25" hidden="1" customHeight="1">
      <c r="A446" s="11" t="s">
        <v>120</v>
      </c>
      <c r="B446" s="12">
        <v>493141.37</v>
      </c>
      <c r="C446" s="23"/>
      <c r="D446" s="14"/>
      <c r="E446" s="12">
        <v>560594.3</v>
      </c>
      <c r="F446" s="23"/>
      <c r="G446" s="14"/>
      <c r="H446" s="15">
        <f t="shared" si="125"/>
        <v>-67452.93</v>
      </c>
      <c r="I446" s="23"/>
      <c r="J446" s="14"/>
      <c r="K446" s="12">
        <v>515212.05000000005</v>
      </c>
      <c r="L446" s="23"/>
      <c r="M446" s="14"/>
      <c r="N446" s="15">
        <f t="shared" si="126"/>
        <v>-22070.68</v>
      </c>
      <c r="O446" s="23"/>
      <c r="P446" s="14"/>
      <c r="Q446" s="12">
        <v>4799044.97</v>
      </c>
      <c r="R446" s="23"/>
      <c r="S446" s="14"/>
      <c r="T446" s="12">
        <v>4990767.359999999</v>
      </c>
      <c r="U446" s="23"/>
      <c r="V446" s="14"/>
      <c r="W446" s="15">
        <f t="shared" si="127"/>
        <v>-191722.39</v>
      </c>
      <c r="X446" s="23"/>
      <c r="Y446" s="14"/>
      <c r="Z446" s="12">
        <v>4620887.57</v>
      </c>
      <c r="AA446" s="23"/>
      <c r="AB446" s="14"/>
      <c r="AC446" s="15">
        <f t="shared" si="128"/>
        <v>178157.4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4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 t="str">
        <f>IFERROR(B8/B446, "NA")</f>
        <v>NA</v>
      </c>
      <c r="D8" s="14"/>
      <c r="E8" s="12">
        <v>0.0</v>
      </c>
      <c r="F8" s="13" t="str">
        <f>IFERROR(E8/E446, "NA")</f>
        <v>NA</v>
      </c>
      <c r="G8" s="14"/>
      <c r="H8" s="15">
        <f>IFERROR(B8-E8, "NA")</f>
        <v>0</v>
      </c>
      <c r="I8" s="13" t="str">
        <f>IFERROR(H8/H446, "NA")</f>
        <v>NA</v>
      </c>
      <c r="J8" s="14"/>
      <c r="K8" s="12">
        <v>0.0</v>
      </c>
      <c r="L8" s="13" t="str">
        <f>IFERROR(K8/K446, "NA")</f>
        <v>NA</v>
      </c>
      <c r="M8" s="14"/>
      <c r="N8" s="15">
        <f>IFERROR(B8-K8, "NA")</f>
        <v>0</v>
      </c>
      <c r="O8" s="13" t="str">
        <f>IFERROR(N8/N446, "NA")</f>
        <v>NA</v>
      </c>
      <c r="P8" s="14"/>
      <c r="Q8" s="12">
        <v>0.0</v>
      </c>
      <c r="R8" s="13" t="str">
        <f>IFERROR(Q8/Q446, "NA")</f>
        <v>NA</v>
      </c>
      <c r="S8" s="14"/>
      <c r="T8" s="12">
        <v>0.0</v>
      </c>
      <c r="U8" s="13" t="str">
        <f>IFERROR(T8/T446, "NA")</f>
        <v>NA</v>
      </c>
      <c r="V8" s="14"/>
      <c r="W8" s="15">
        <f>IFERROR(Q8-T8, "NA")</f>
        <v>0</v>
      </c>
      <c r="X8" s="13" t="str">
        <f>IFERROR(W8/W446, "NA")</f>
        <v>NA</v>
      </c>
      <c r="Y8" s="14"/>
      <c r="Z8" s="12">
        <v>0.0</v>
      </c>
      <c r="AA8" s="13" t="str">
        <f>IFERROR(Z8/Z446, "NA")</f>
        <v>NA</v>
      </c>
      <c r="AB8" s="14"/>
      <c r="AC8" s="15">
        <f>IFERROR(Q8-Z8, "NA")</f>
        <v>0</v>
      </c>
      <c r="AD8" s="13" t="str">
        <f>IFERROR(AC8/AC446, "NA")</f>
        <v>NA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hidden="1" customHeight="1">
      <c r="A10" s="11" t="s">
        <v>15</v>
      </c>
      <c r="B10" s="12">
        <v>0.0</v>
      </c>
      <c r="C10" s="13" t="str">
        <f>IFERROR(B10/B446, "NA")</f>
        <v>NA</v>
      </c>
      <c r="D10" s="14"/>
      <c r="E10" s="12">
        <v>0.0</v>
      </c>
      <c r="F10" s="13" t="str">
        <f>IFERROR(E10/E446, "NA")</f>
        <v>NA</v>
      </c>
      <c r="G10" s="14"/>
      <c r="H10" s="15">
        <f t="shared" ref="H10:H19" si="1">IFERROR(B10-E10, "NA")</f>
        <v>0</v>
      </c>
      <c r="I10" s="13" t="str">
        <f>IFERROR(H10/H446, "NA")</f>
        <v>NA</v>
      </c>
      <c r="J10" s="14"/>
      <c r="K10" s="12">
        <v>0.0</v>
      </c>
      <c r="L10" s="13" t="str">
        <f>IFERROR(K10/K446, "NA")</f>
        <v>NA</v>
      </c>
      <c r="M10" s="14"/>
      <c r="N10" s="15">
        <f t="shared" ref="N10:N19" si="2">IFERROR(B10-K10, "NA")</f>
        <v>0</v>
      </c>
      <c r="O10" s="13" t="str">
        <f>IFERROR(N10/N446, "NA")</f>
        <v>NA</v>
      </c>
      <c r="P10" s="14"/>
      <c r="Q10" s="12">
        <v>0.0</v>
      </c>
      <c r="R10" s="13" t="str">
        <f>IFERROR(Q10/Q446, "NA")</f>
        <v>NA</v>
      </c>
      <c r="S10" s="14"/>
      <c r="T10" s="12">
        <v>0.0</v>
      </c>
      <c r="U10" s="13" t="str">
        <f>IFERROR(T10/T446, "NA")</f>
        <v>NA</v>
      </c>
      <c r="V10" s="14"/>
      <c r="W10" s="15">
        <f t="shared" ref="W10:W19" si="3">IFERROR(Q10-T10, "NA")</f>
        <v>0</v>
      </c>
      <c r="X10" s="13" t="str">
        <f>IFERROR(W10/W446, "NA")</f>
        <v>NA</v>
      </c>
      <c r="Y10" s="14"/>
      <c r="Z10" s="12">
        <v>0.0</v>
      </c>
      <c r="AA10" s="13" t="str">
        <f>IFERROR(Z10/Z446, "NA")</f>
        <v>NA</v>
      </c>
      <c r="AB10" s="14"/>
      <c r="AC10" s="15">
        <f t="shared" ref="AC10:AC19" si="4">IFERROR(Q10-Z10, "NA")</f>
        <v>0</v>
      </c>
      <c r="AD10" s="13" t="str">
        <f>IFERROR(AC10/AC446, "NA")</f>
        <v>NA</v>
      </c>
    </row>
    <row r="11" ht="16.5" hidden="1" customHeight="1">
      <c r="A11" s="11" t="s">
        <v>16</v>
      </c>
      <c r="B11" s="12">
        <v>0.0</v>
      </c>
      <c r="C11" s="13" t="str">
        <f>IFERROR(B11/B446, "NA")</f>
        <v>NA</v>
      </c>
      <c r="D11" s="14"/>
      <c r="E11" s="12">
        <v>0.0</v>
      </c>
      <c r="F11" s="13" t="str">
        <f>IFERROR(E11/E446, "NA")</f>
        <v>NA</v>
      </c>
      <c r="G11" s="14"/>
      <c r="H11" s="15">
        <f t="shared" si="1"/>
        <v>0</v>
      </c>
      <c r="I11" s="13" t="str">
        <f>IFERROR(H11/H446, "NA")</f>
        <v>NA</v>
      </c>
      <c r="J11" s="14"/>
      <c r="K11" s="12">
        <v>0.0</v>
      </c>
      <c r="L11" s="13" t="str">
        <f>IFERROR(K11/K446, "NA")</f>
        <v>NA</v>
      </c>
      <c r="M11" s="14"/>
      <c r="N11" s="15">
        <f t="shared" si="2"/>
        <v>0</v>
      </c>
      <c r="O11" s="13" t="str">
        <f>IFERROR(N11/N446, "NA")</f>
        <v>NA</v>
      </c>
      <c r="P11" s="14"/>
      <c r="Q11" s="12">
        <v>0.0</v>
      </c>
      <c r="R11" s="13" t="str">
        <f>IFERROR(Q11/Q446, "NA")</f>
        <v>NA</v>
      </c>
      <c r="S11" s="14"/>
      <c r="T11" s="12">
        <v>0.0</v>
      </c>
      <c r="U11" s="13" t="str">
        <f>IFERROR(T11/T446, "NA")</f>
        <v>NA</v>
      </c>
      <c r="V11" s="14"/>
      <c r="W11" s="15">
        <f t="shared" si="3"/>
        <v>0</v>
      </c>
      <c r="X11" s="13" t="str">
        <f>IFERROR(W11/W446, "NA")</f>
        <v>NA</v>
      </c>
      <c r="Y11" s="14"/>
      <c r="Z11" s="12">
        <v>0.0</v>
      </c>
      <c r="AA11" s="13" t="str">
        <f>IFERROR(Z11/Z446, "NA")</f>
        <v>NA</v>
      </c>
      <c r="AB11" s="14"/>
      <c r="AC11" s="15">
        <f t="shared" si="4"/>
        <v>0</v>
      </c>
      <c r="AD11" s="13" t="str">
        <f>IFERROR(AC11/AC446, "NA")</f>
        <v>NA</v>
      </c>
    </row>
    <row r="12" ht="16.5" hidden="1" customHeight="1">
      <c r="A12" s="11" t="s">
        <v>17</v>
      </c>
      <c r="B12" s="12">
        <v>0.0</v>
      </c>
      <c r="C12" s="13" t="str">
        <f>IFERROR(B12/B446, "NA")</f>
        <v>NA</v>
      </c>
      <c r="D12" s="14"/>
      <c r="E12" s="12">
        <v>0.0</v>
      </c>
      <c r="F12" s="13" t="str">
        <f>IFERROR(E12/E446, "NA")</f>
        <v>NA</v>
      </c>
      <c r="G12" s="14"/>
      <c r="H12" s="15">
        <f t="shared" si="1"/>
        <v>0</v>
      </c>
      <c r="I12" s="13" t="str">
        <f>IFERROR(H12/H446, "NA")</f>
        <v>NA</v>
      </c>
      <c r="J12" s="14"/>
      <c r="K12" s="12">
        <v>0.0</v>
      </c>
      <c r="L12" s="13" t="str">
        <f>IFERROR(K12/K446, "NA")</f>
        <v>NA</v>
      </c>
      <c r="M12" s="14"/>
      <c r="N12" s="15">
        <f t="shared" si="2"/>
        <v>0</v>
      </c>
      <c r="O12" s="13" t="str">
        <f>IFERROR(N12/N446, "NA")</f>
        <v>NA</v>
      </c>
      <c r="P12" s="14"/>
      <c r="Q12" s="12">
        <v>0.0</v>
      </c>
      <c r="R12" s="13" t="str">
        <f>IFERROR(Q12/Q446, "NA")</f>
        <v>NA</v>
      </c>
      <c r="S12" s="14"/>
      <c r="T12" s="12">
        <v>0.0</v>
      </c>
      <c r="U12" s="13" t="str">
        <f>IFERROR(T12/T446, "NA")</f>
        <v>NA</v>
      </c>
      <c r="V12" s="14"/>
      <c r="W12" s="15">
        <f t="shared" si="3"/>
        <v>0</v>
      </c>
      <c r="X12" s="13" t="str">
        <f>IFERROR(W12/W446, "NA")</f>
        <v>NA</v>
      </c>
      <c r="Y12" s="14"/>
      <c r="Z12" s="12">
        <v>0.0</v>
      </c>
      <c r="AA12" s="13" t="str">
        <f>IFERROR(Z12/Z446, "NA")</f>
        <v>NA</v>
      </c>
      <c r="AB12" s="14"/>
      <c r="AC12" s="15">
        <f t="shared" si="4"/>
        <v>0</v>
      </c>
      <c r="AD12" s="13" t="str">
        <f>IFERROR(AC12/AC446, "NA")</f>
        <v>NA</v>
      </c>
    </row>
    <row r="13" ht="16.5" hidden="1" customHeight="1">
      <c r="A13" s="11" t="s">
        <v>18</v>
      </c>
      <c r="B13" s="12">
        <v>0.0</v>
      </c>
      <c r="C13" s="13" t="str">
        <f>IFERROR(B13/B446, "NA")</f>
        <v>NA</v>
      </c>
      <c r="D13" s="14"/>
      <c r="E13" s="12">
        <v>0.0</v>
      </c>
      <c r="F13" s="13" t="str">
        <f>IFERROR(E13/E446, "NA")</f>
        <v>NA</v>
      </c>
      <c r="G13" s="14"/>
      <c r="H13" s="15">
        <f t="shared" si="1"/>
        <v>0</v>
      </c>
      <c r="I13" s="13" t="str">
        <f>IFERROR(H13/H446, "NA")</f>
        <v>NA</v>
      </c>
      <c r="J13" s="14"/>
      <c r="K13" s="12">
        <v>0.0</v>
      </c>
      <c r="L13" s="13" t="str">
        <f>IFERROR(K13/K446, "NA")</f>
        <v>NA</v>
      </c>
      <c r="M13" s="14"/>
      <c r="N13" s="15">
        <f t="shared" si="2"/>
        <v>0</v>
      </c>
      <c r="O13" s="13" t="str">
        <f>IFERROR(N13/N446, "NA")</f>
        <v>NA</v>
      </c>
      <c r="P13" s="14"/>
      <c r="Q13" s="12">
        <v>0.0</v>
      </c>
      <c r="R13" s="13" t="str">
        <f>IFERROR(Q13/Q446, "NA")</f>
        <v>NA</v>
      </c>
      <c r="S13" s="14"/>
      <c r="T13" s="12">
        <v>0.0</v>
      </c>
      <c r="U13" s="13" t="str">
        <f>IFERROR(T13/T446, "NA")</f>
        <v>NA</v>
      </c>
      <c r="V13" s="14"/>
      <c r="W13" s="15">
        <f t="shared" si="3"/>
        <v>0</v>
      </c>
      <c r="X13" s="13" t="str">
        <f>IFERROR(W13/W446, "NA")</f>
        <v>NA</v>
      </c>
      <c r="Y13" s="14"/>
      <c r="Z13" s="12">
        <v>0.0</v>
      </c>
      <c r="AA13" s="13" t="str">
        <f>IFERROR(Z13/Z446, "NA")</f>
        <v>NA</v>
      </c>
      <c r="AB13" s="14"/>
      <c r="AC13" s="15">
        <f t="shared" si="4"/>
        <v>0</v>
      </c>
      <c r="AD13" s="13" t="str">
        <f>IFERROR(AC13/AC446, "NA")</f>
        <v>NA</v>
      </c>
    </row>
    <row r="14" ht="16.5" hidden="1" customHeight="1">
      <c r="A14" s="11" t="s">
        <v>19</v>
      </c>
      <c r="B14" s="12">
        <v>0.0</v>
      </c>
      <c r="C14" s="13" t="str">
        <f>IFERROR(B14/B446, "NA")</f>
        <v>NA</v>
      </c>
      <c r="D14" s="14"/>
      <c r="E14" s="12">
        <v>0.0</v>
      </c>
      <c r="F14" s="13" t="str">
        <f>IFERROR(E14/E446, "NA")</f>
        <v>NA</v>
      </c>
      <c r="G14" s="14"/>
      <c r="H14" s="15">
        <f t="shared" si="1"/>
        <v>0</v>
      </c>
      <c r="I14" s="13" t="str">
        <f>IFERROR(H14/H446, "NA")</f>
        <v>NA</v>
      </c>
      <c r="J14" s="14"/>
      <c r="K14" s="12">
        <v>0.0</v>
      </c>
      <c r="L14" s="13" t="str">
        <f>IFERROR(K14/K446, "NA")</f>
        <v>NA</v>
      </c>
      <c r="M14" s="14"/>
      <c r="N14" s="15">
        <f t="shared" si="2"/>
        <v>0</v>
      </c>
      <c r="O14" s="13" t="str">
        <f>IFERROR(N14/N446, "NA")</f>
        <v>NA</v>
      </c>
      <c r="P14" s="14"/>
      <c r="Q14" s="12">
        <v>0.0</v>
      </c>
      <c r="R14" s="13" t="str">
        <f>IFERROR(Q14/Q446, "NA")</f>
        <v>NA</v>
      </c>
      <c r="S14" s="14"/>
      <c r="T14" s="12">
        <v>0.0</v>
      </c>
      <c r="U14" s="13" t="str">
        <f>IFERROR(T14/T446, "NA")</f>
        <v>NA</v>
      </c>
      <c r="V14" s="14"/>
      <c r="W14" s="15">
        <f t="shared" si="3"/>
        <v>0</v>
      </c>
      <c r="X14" s="13" t="str">
        <f>IFERROR(W14/W446, "NA")</f>
        <v>NA</v>
      </c>
      <c r="Y14" s="14"/>
      <c r="Z14" s="12">
        <v>0.0</v>
      </c>
      <c r="AA14" s="13" t="str">
        <f>IFERROR(Z14/Z446, "NA")</f>
        <v>NA</v>
      </c>
      <c r="AB14" s="14"/>
      <c r="AC14" s="15">
        <f t="shared" si="4"/>
        <v>0</v>
      </c>
      <c r="AD14" s="13" t="str">
        <f>IFERROR(AC14/AC446, "NA")</f>
        <v>NA</v>
      </c>
    </row>
    <row r="15" ht="16.5" hidden="1" customHeight="1">
      <c r="A15" s="11" t="s">
        <v>20</v>
      </c>
      <c r="B15" s="12">
        <v>0.0</v>
      </c>
      <c r="C15" s="13" t="str">
        <f>IFERROR(B15/B446, "NA")</f>
        <v>NA</v>
      </c>
      <c r="D15" s="14"/>
      <c r="E15" s="12">
        <v>0.0</v>
      </c>
      <c r="F15" s="13" t="str">
        <f>IFERROR(E15/E446, "NA")</f>
        <v>NA</v>
      </c>
      <c r="G15" s="14"/>
      <c r="H15" s="15">
        <f t="shared" si="1"/>
        <v>0</v>
      </c>
      <c r="I15" s="13" t="str">
        <f>IFERROR(H15/H446, "NA")</f>
        <v>NA</v>
      </c>
      <c r="J15" s="14"/>
      <c r="K15" s="12">
        <v>0.0</v>
      </c>
      <c r="L15" s="13" t="str">
        <f>IFERROR(K15/K446, "NA")</f>
        <v>NA</v>
      </c>
      <c r="M15" s="14"/>
      <c r="N15" s="15">
        <f t="shared" si="2"/>
        <v>0</v>
      </c>
      <c r="O15" s="13" t="str">
        <f>IFERROR(N15/N446, "NA")</f>
        <v>NA</v>
      </c>
      <c r="P15" s="14"/>
      <c r="Q15" s="12">
        <v>0.0</v>
      </c>
      <c r="R15" s="13" t="str">
        <f>IFERROR(Q15/Q446, "NA")</f>
        <v>NA</v>
      </c>
      <c r="S15" s="14"/>
      <c r="T15" s="12">
        <v>0.0</v>
      </c>
      <c r="U15" s="13" t="str">
        <f>IFERROR(T15/T446, "NA")</f>
        <v>NA</v>
      </c>
      <c r="V15" s="14"/>
      <c r="W15" s="15">
        <f t="shared" si="3"/>
        <v>0</v>
      </c>
      <c r="X15" s="13" t="str">
        <f>IFERROR(W15/W446, "NA")</f>
        <v>NA</v>
      </c>
      <c r="Y15" s="14"/>
      <c r="Z15" s="12">
        <v>0.0</v>
      </c>
      <c r="AA15" s="13" t="str">
        <f>IFERROR(Z15/Z446, "NA")</f>
        <v>NA</v>
      </c>
      <c r="AB15" s="14"/>
      <c r="AC15" s="15">
        <f t="shared" si="4"/>
        <v>0</v>
      </c>
      <c r="AD15" s="13" t="str">
        <f>IFERROR(AC15/AC446, "NA")</f>
        <v>NA</v>
      </c>
    </row>
    <row r="16" ht="16.5" hidden="1" customHeight="1">
      <c r="A16" s="11" t="s">
        <v>21</v>
      </c>
      <c r="B16" s="12">
        <v>0.0</v>
      </c>
      <c r="C16" s="13" t="str">
        <f>IFERROR(B16/B446, "NA")</f>
        <v>NA</v>
      </c>
      <c r="D16" s="14"/>
      <c r="E16" s="12">
        <v>0.0</v>
      </c>
      <c r="F16" s="13" t="str">
        <f>IFERROR(E16/E446, "NA")</f>
        <v>NA</v>
      </c>
      <c r="G16" s="14"/>
      <c r="H16" s="15">
        <f t="shared" si="1"/>
        <v>0</v>
      </c>
      <c r="I16" s="13" t="str">
        <f>IFERROR(H16/H446, "NA")</f>
        <v>NA</v>
      </c>
      <c r="J16" s="14"/>
      <c r="K16" s="12">
        <v>0.0</v>
      </c>
      <c r="L16" s="13" t="str">
        <f>IFERROR(K16/K446, "NA")</f>
        <v>NA</v>
      </c>
      <c r="M16" s="14"/>
      <c r="N16" s="15">
        <f t="shared" si="2"/>
        <v>0</v>
      </c>
      <c r="O16" s="13" t="str">
        <f>IFERROR(N16/N446, "NA")</f>
        <v>NA</v>
      </c>
      <c r="P16" s="14"/>
      <c r="Q16" s="12">
        <v>0.0</v>
      </c>
      <c r="R16" s="13" t="str">
        <f>IFERROR(Q16/Q446, "NA")</f>
        <v>NA</v>
      </c>
      <c r="S16" s="14"/>
      <c r="T16" s="12">
        <v>0.0</v>
      </c>
      <c r="U16" s="13" t="str">
        <f>IFERROR(T16/T446, "NA")</f>
        <v>NA</v>
      </c>
      <c r="V16" s="14"/>
      <c r="W16" s="15">
        <f t="shared" si="3"/>
        <v>0</v>
      </c>
      <c r="X16" s="13" t="str">
        <f>IFERROR(W16/W446, "NA")</f>
        <v>NA</v>
      </c>
      <c r="Y16" s="14"/>
      <c r="Z16" s="12">
        <v>0.0</v>
      </c>
      <c r="AA16" s="13" t="str">
        <f>IFERROR(Z16/Z446, "NA")</f>
        <v>NA</v>
      </c>
      <c r="AB16" s="14"/>
      <c r="AC16" s="15">
        <f t="shared" si="4"/>
        <v>0</v>
      </c>
      <c r="AD16" s="13" t="str">
        <f>IFERROR(AC16/AC446, "NA")</f>
        <v>NA</v>
      </c>
    </row>
    <row r="17" ht="16.5" hidden="1" customHeight="1">
      <c r="A17" s="11" t="s">
        <v>22</v>
      </c>
      <c r="B17" s="12">
        <v>0.0</v>
      </c>
      <c r="C17" s="13" t="str">
        <f>IFERROR(B17/B446, "NA")</f>
        <v>NA</v>
      </c>
      <c r="D17" s="14"/>
      <c r="E17" s="12">
        <v>0.0</v>
      </c>
      <c r="F17" s="13" t="str">
        <f>IFERROR(E17/E446, "NA")</f>
        <v>NA</v>
      </c>
      <c r="G17" s="14"/>
      <c r="H17" s="15">
        <f t="shared" si="1"/>
        <v>0</v>
      </c>
      <c r="I17" s="13" t="str">
        <f>IFERROR(H17/H446, "NA")</f>
        <v>NA</v>
      </c>
      <c r="J17" s="14"/>
      <c r="K17" s="12">
        <v>0.0</v>
      </c>
      <c r="L17" s="13" t="str">
        <f>IFERROR(K17/K446, "NA")</f>
        <v>NA</v>
      </c>
      <c r="M17" s="14"/>
      <c r="N17" s="15">
        <f t="shared" si="2"/>
        <v>0</v>
      </c>
      <c r="O17" s="13" t="str">
        <f>IFERROR(N17/N446, "NA")</f>
        <v>NA</v>
      </c>
      <c r="P17" s="14"/>
      <c r="Q17" s="12">
        <v>0.0</v>
      </c>
      <c r="R17" s="13" t="str">
        <f>IFERROR(Q17/Q446, "NA")</f>
        <v>NA</v>
      </c>
      <c r="S17" s="14"/>
      <c r="T17" s="12">
        <v>0.0</v>
      </c>
      <c r="U17" s="13" t="str">
        <f>IFERROR(T17/T446, "NA")</f>
        <v>NA</v>
      </c>
      <c r="V17" s="14"/>
      <c r="W17" s="15">
        <f t="shared" si="3"/>
        <v>0</v>
      </c>
      <c r="X17" s="13" t="str">
        <f>IFERROR(W17/W446, "NA")</f>
        <v>NA</v>
      </c>
      <c r="Y17" s="14"/>
      <c r="Z17" s="12">
        <v>0.0</v>
      </c>
      <c r="AA17" s="13" t="str">
        <f>IFERROR(Z17/Z446, "NA")</f>
        <v>NA</v>
      </c>
      <c r="AB17" s="14"/>
      <c r="AC17" s="15">
        <f t="shared" si="4"/>
        <v>0</v>
      </c>
      <c r="AD17" s="13" t="str">
        <f>IFERROR(AC17/AC446, "NA")</f>
        <v>NA</v>
      </c>
    </row>
    <row r="18" ht="16.5" customHeight="1">
      <c r="A18" s="16" t="s">
        <v>23</v>
      </c>
      <c r="B18" s="17">
        <f>IFERROR(B10+B11+B12+B13+B14+B15+B16+B17, "NA")</f>
        <v>0</v>
      </c>
      <c r="C18" s="18" t="str">
        <f>IFERROR(B18/B446, "NA")</f>
        <v>NA</v>
      </c>
      <c r="D18" s="8"/>
      <c r="E18" s="17">
        <f>IFERROR(E10+E11+E12+E13+E14+E15+E16+E17, "NA")</f>
        <v>0</v>
      </c>
      <c r="F18" s="18" t="str">
        <f>IFERROR(E18/E446, "NA")</f>
        <v>NA</v>
      </c>
      <c r="G18" s="8"/>
      <c r="H18" s="17">
        <f t="shared" si="1"/>
        <v>0</v>
      </c>
      <c r="I18" s="18" t="str">
        <f>IFERROR(H18/H446, "NA")</f>
        <v>NA</v>
      </c>
      <c r="J18" s="8"/>
      <c r="K18" s="17">
        <f>IFERROR(K10+K11+K12+K13+K14+K15+K16+K17, "NA")</f>
        <v>0</v>
      </c>
      <c r="L18" s="18" t="str">
        <f>IFERROR(K18/K446, "NA")</f>
        <v>NA</v>
      </c>
      <c r="M18" s="8"/>
      <c r="N18" s="17">
        <f t="shared" si="2"/>
        <v>0</v>
      </c>
      <c r="O18" s="18" t="str">
        <f>IFERROR(N18/N446, "NA")</f>
        <v>NA</v>
      </c>
      <c r="P18" s="8"/>
      <c r="Q18" s="17">
        <f>IFERROR(Q10+Q11+Q12+Q13+Q14+Q15+Q16+Q17, "NA")</f>
        <v>0</v>
      </c>
      <c r="R18" s="18" t="str">
        <f>IFERROR(Q18/Q446, "NA")</f>
        <v>NA</v>
      </c>
      <c r="S18" s="8"/>
      <c r="T18" s="17">
        <f>IFERROR(T10+T11+T12+T13+T14+T15+T16+T17, "NA")</f>
        <v>0</v>
      </c>
      <c r="U18" s="18" t="str">
        <f>IFERROR(T18/T446, "NA")</f>
        <v>NA</v>
      </c>
      <c r="V18" s="8"/>
      <c r="W18" s="17">
        <f t="shared" si="3"/>
        <v>0</v>
      </c>
      <c r="X18" s="18" t="str">
        <f>IFERROR(W18/W446, "NA")</f>
        <v>NA</v>
      </c>
      <c r="Y18" s="8"/>
      <c r="Z18" s="17">
        <f>IFERROR(Z10+Z11+Z12+Z13+Z14+Z15+Z16+Z17, "NA")</f>
        <v>0</v>
      </c>
      <c r="AA18" s="18" t="str">
        <f>IFERROR(Z18/Z446, "NA")</f>
        <v>NA</v>
      </c>
      <c r="AB18" s="8"/>
      <c r="AC18" s="17">
        <f t="shared" si="4"/>
        <v>0</v>
      </c>
      <c r="AD18" s="18" t="str">
        <f>IFERROR(AC18/AC446, "NA")</f>
        <v>NA</v>
      </c>
    </row>
    <row r="19" ht="16.5" hidden="1" customHeight="1">
      <c r="A19" s="11" t="s">
        <v>24</v>
      </c>
      <c r="B19" s="12">
        <v>0.0</v>
      </c>
      <c r="C19" s="13" t="str">
        <f>IFERROR(B19/B446, "NA")</f>
        <v>NA</v>
      </c>
      <c r="D19" s="14"/>
      <c r="E19" s="12">
        <v>0.0</v>
      </c>
      <c r="F19" s="13" t="str">
        <f>IFERROR(E19/E446, "NA")</f>
        <v>NA</v>
      </c>
      <c r="G19" s="14"/>
      <c r="H19" s="15">
        <f t="shared" si="1"/>
        <v>0</v>
      </c>
      <c r="I19" s="13" t="str">
        <f>IFERROR(H19/H446, "NA")</f>
        <v>NA</v>
      </c>
      <c r="J19" s="14"/>
      <c r="K19" s="12">
        <v>0.0</v>
      </c>
      <c r="L19" s="13" t="str">
        <f>IFERROR(K19/K446, "NA")</f>
        <v>NA</v>
      </c>
      <c r="M19" s="14"/>
      <c r="N19" s="15">
        <f t="shared" si="2"/>
        <v>0</v>
      </c>
      <c r="O19" s="13" t="str">
        <f>IFERROR(N19/N446, "NA")</f>
        <v>NA</v>
      </c>
      <c r="P19" s="14"/>
      <c r="Q19" s="12">
        <v>0.0</v>
      </c>
      <c r="R19" s="13" t="str">
        <f>IFERROR(Q19/Q446, "NA")</f>
        <v>NA</v>
      </c>
      <c r="S19" s="14"/>
      <c r="T19" s="12">
        <v>0.0</v>
      </c>
      <c r="U19" s="13" t="str">
        <f>IFERROR(T19/T446, "NA")</f>
        <v>NA</v>
      </c>
      <c r="V19" s="14"/>
      <c r="W19" s="15">
        <f t="shared" si="3"/>
        <v>0</v>
      </c>
      <c r="X19" s="13" t="str">
        <f>IFERROR(W19/W446, "NA")</f>
        <v>NA</v>
      </c>
      <c r="Y19" s="14"/>
      <c r="Z19" s="12">
        <v>0.0</v>
      </c>
      <c r="AA19" s="13" t="str">
        <f>IFERROR(Z19/Z446, "NA")</f>
        <v>NA</v>
      </c>
      <c r="AB19" s="14"/>
      <c r="AC19" s="15">
        <f t="shared" si="4"/>
        <v>0</v>
      </c>
      <c r="AD19" s="13" t="str">
        <f>IFERROR(AC19/AC446, "NA")</f>
        <v>NA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hidden="1" customHeight="1">
      <c r="A21" s="11" t="s">
        <v>25</v>
      </c>
      <c r="B21" s="12">
        <v>0.0</v>
      </c>
      <c r="C21" s="13" t="str">
        <f>IFERROR(B21/B446, "NA")</f>
        <v>NA</v>
      </c>
      <c r="D21" s="14"/>
      <c r="E21" s="12">
        <v>0.0</v>
      </c>
      <c r="F21" s="13" t="str">
        <f>IFERROR(E21/E446, "NA")</f>
        <v>NA</v>
      </c>
      <c r="G21" s="14"/>
      <c r="H21" s="15">
        <f t="shared" ref="H21:H29" si="5">IFERROR(B21-E21, "NA")</f>
        <v>0</v>
      </c>
      <c r="I21" s="13" t="str">
        <f>IFERROR(H21/H446, "NA")</f>
        <v>NA</v>
      </c>
      <c r="J21" s="14"/>
      <c r="K21" s="12">
        <v>0.0</v>
      </c>
      <c r="L21" s="13" t="str">
        <f>IFERROR(K21/K446, "NA")</f>
        <v>NA</v>
      </c>
      <c r="M21" s="14"/>
      <c r="N21" s="15">
        <f t="shared" ref="N21:N29" si="6">IFERROR(B21-K21, "NA")</f>
        <v>0</v>
      </c>
      <c r="O21" s="13" t="str">
        <f>IFERROR(N21/N446, "NA")</f>
        <v>NA</v>
      </c>
      <c r="P21" s="14"/>
      <c r="Q21" s="12">
        <v>0.0</v>
      </c>
      <c r="R21" s="13" t="str">
        <f>IFERROR(Q21/Q446, "NA")</f>
        <v>NA</v>
      </c>
      <c r="S21" s="14"/>
      <c r="T21" s="12">
        <v>0.0</v>
      </c>
      <c r="U21" s="13" t="str">
        <f>IFERROR(T21/T446, "NA")</f>
        <v>NA</v>
      </c>
      <c r="V21" s="14"/>
      <c r="W21" s="15">
        <f t="shared" ref="W21:W29" si="7">IFERROR(Q21-T21, "NA")</f>
        <v>0</v>
      </c>
      <c r="X21" s="13" t="str">
        <f>IFERROR(W21/W446, "NA")</f>
        <v>NA</v>
      </c>
      <c r="Y21" s="14"/>
      <c r="Z21" s="12">
        <v>0.0</v>
      </c>
      <c r="AA21" s="13" t="str">
        <f>IFERROR(Z21/Z446, "NA")</f>
        <v>NA</v>
      </c>
      <c r="AB21" s="14"/>
      <c r="AC21" s="15">
        <f t="shared" ref="AC21:AC29" si="8">IFERROR(Q21-Z21, "NA")</f>
        <v>0</v>
      </c>
      <c r="AD21" s="13" t="str">
        <f>IFERROR(AC21/AC446, "NA")</f>
        <v>NA</v>
      </c>
    </row>
    <row r="22" ht="16.5" hidden="1" customHeight="1">
      <c r="A22" s="11" t="s">
        <v>26</v>
      </c>
      <c r="B22" s="12">
        <v>0.0</v>
      </c>
      <c r="C22" s="13" t="str">
        <f>IFERROR(B22/B446, "NA")</f>
        <v>NA</v>
      </c>
      <c r="D22" s="14"/>
      <c r="E22" s="12">
        <v>0.0</v>
      </c>
      <c r="F22" s="13" t="str">
        <f>IFERROR(E22/E446, "NA")</f>
        <v>NA</v>
      </c>
      <c r="G22" s="14"/>
      <c r="H22" s="15">
        <f t="shared" si="5"/>
        <v>0</v>
      </c>
      <c r="I22" s="13" t="str">
        <f>IFERROR(H22/H446, "NA")</f>
        <v>NA</v>
      </c>
      <c r="J22" s="14"/>
      <c r="K22" s="12">
        <v>0.0</v>
      </c>
      <c r="L22" s="13" t="str">
        <f>IFERROR(K22/K446, "NA")</f>
        <v>NA</v>
      </c>
      <c r="M22" s="14"/>
      <c r="N22" s="15">
        <f t="shared" si="6"/>
        <v>0</v>
      </c>
      <c r="O22" s="13" t="str">
        <f>IFERROR(N22/N446, "NA")</f>
        <v>NA</v>
      </c>
      <c r="P22" s="14"/>
      <c r="Q22" s="12">
        <v>0.0</v>
      </c>
      <c r="R22" s="13" t="str">
        <f>IFERROR(Q22/Q446, "NA")</f>
        <v>NA</v>
      </c>
      <c r="S22" s="14"/>
      <c r="T22" s="12">
        <v>0.0</v>
      </c>
      <c r="U22" s="13" t="str">
        <f>IFERROR(T22/T446, "NA")</f>
        <v>NA</v>
      </c>
      <c r="V22" s="14"/>
      <c r="W22" s="15">
        <f t="shared" si="7"/>
        <v>0</v>
      </c>
      <c r="X22" s="13" t="str">
        <f>IFERROR(W22/W446, "NA")</f>
        <v>NA</v>
      </c>
      <c r="Y22" s="14"/>
      <c r="Z22" s="12">
        <v>0.0</v>
      </c>
      <c r="AA22" s="13" t="str">
        <f>IFERROR(Z22/Z446, "NA")</f>
        <v>NA</v>
      </c>
      <c r="AB22" s="14"/>
      <c r="AC22" s="15">
        <f t="shared" si="8"/>
        <v>0</v>
      </c>
      <c r="AD22" s="13" t="str">
        <f>IFERROR(AC22/AC446, "NA")</f>
        <v>NA</v>
      </c>
    </row>
    <row r="23" ht="16.5" hidden="1" customHeight="1">
      <c r="A23" s="11" t="s">
        <v>27</v>
      </c>
      <c r="B23" s="12">
        <v>0.0</v>
      </c>
      <c r="C23" s="13" t="str">
        <f>IFERROR(B23/B446, "NA")</f>
        <v>NA</v>
      </c>
      <c r="D23" s="14"/>
      <c r="E23" s="12">
        <v>0.0</v>
      </c>
      <c r="F23" s="13" t="str">
        <f>IFERROR(E23/E446, "NA")</f>
        <v>NA</v>
      </c>
      <c r="G23" s="14"/>
      <c r="H23" s="15">
        <f t="shared" si="5"/>
        <v>0</v>
      </c>
      <c r="I23" s="13" t="str">
        <f>IFERROR(H23/H446, "NA")</f>
        <v>NA</v>
      </c>
      <c r="J23" s="14"/>
      <c r="K23" s="12">
        <v>0.0</v>
      </c>
      <c r="L23" s="13" t="str">
        <f>IFERROR(K23/K446, "NA")</f>
        <v>NA</v>
      </c>
      <c r="M23" s="14"/>
      <c r="N23" s="15">
        <f t="shared" si="6"/>
        <v>0</v>
      </c>
      <c r="O23" s="13" t="str">
        <f>IFERROR(N23/N446, "NA")</f>
        <v>NA</v>
      </c>
      <c r="P23" s="14"/>
      <c r="Q23" s="12">
        <v>0.0</v>
      </c>
      <c r="R23" s="13" t="str">
        <f>IFERROR(Q23/Q446, "NA")</f>
        <v>NA</v>
      </c>
      <c r="S23" s="14"/>
      <c r="T23" s="12">
        <v>0.0</v>
      </c>
      <c r="U23" s="13" t="str">
        <f>IFERROR(T23/T446, "NA")</f>
        <v>NA</v>
      </c>
      <c r="V23" s="14"/>
      <c r="W23" s="15">
        <f t="shared" si="7"/>
        <v>0</v>
      </c>
      <c r="X23" s="13" t="str">
        <f>IFERROR(W23/W446, "NA")</f>
        <v>NA</v>
      </c>
      <c r="Y23" s="14"/>
      <c r="Z23" s="12">
        <v>0.0</v>
      </c>
      <c r="AA23" s="13" t="str">
        <f>IFERROR(Z23/Z446, "NA")</f>
        <v>NA</v>
      </c>
      <c r="AB23" s="14"/>
      <c r="AC23" s="15">
        <f t="shared" si="8"/>
        <v>0</v>
      </c>
      <c r="AD23" s="13" t="str">
        <f>IFERROR(AC23/AC446, "NA")</f>
        <v>NA</v>
      </c>
    </row>
    <row r="24" ht="16.5" hidden="1" customHeight="1">
      <c r="A24" s="11" t="s">
        <v>28</v>
      </c>
      <c r="B24" s="12">
        <v>0.0</v>
      </c>
      <c r="C24" s="13" t="str">
        <f>IFERROR(B24/B446, "NA")</f>
        <v>NA</v>
      </c>
      <c r="D24" s="14"/>
      <c r="E24" s="12">
        <v>0.0</v>
      </c>
      <c r="F24" s="13" t="str">
        <f>IFERROR(E24/E446, "NA")</f>
        <v>NA</v>
      </c>
      <c r="G24" s="14"/>
      <c r="H24" s="15">
        <f t="shared" si="5"/>
        <v>0</v>
      </c>
      <c r="I24" s="13" t="str">
        <f>IFERROR(H24/H446, "NA")</f>
        <v>NA</v>
      </c>
      <c r="J24" s="14"/>
      <c r="K24" s="12">
        <v>0.0</v>
      </c>
      <c r="L24" s="13" t="str">
        <f>IFERROR(K24/K446, "NA")</f>
        <v>NA</v>
      </c>
      <c r="M24" s="14"/>
      <c r="N24" s="15">
        <f t="shared" si="6"/>
        <v>0</v>
      </c>
      <c r="O24" s="13" t="str">
        <f>IFERROR(N24/N446, "NA")</f>
        <v>NA</v>
      </c>
      <c r="P24" s="14"/>
      <c r="Q24" s="12">
        <v>0.0</v>
      </c>
      <c r="R24" s="13" t="str">
        <f>IFERROR(Q24/Q446, "NA")</f>
        <v>NA</v>
      </c>
      <c r="S24" s="14"/>
      <c r="T24" s="12">
        <v>0.0</v>
      </c>
      <c r="U24" s="13" t="str">
        <f>IFERROR(T24/T446, "NA")</f>
        <v>NA</v>
      </c>
      <c r="V24" s="14"/>
      <c r="W24" s="15">
        <f t="shared" si="7"/>
        <v>0</v>
      </c>
      <c r="X24" s="13" t="str">
        <f>IFERROR(W24/W446, "NA")</f>
        <v>NA</v>
      </c>
      <c r="Y24" s="14"/>
      <c r="Z24" s="12">
        <v>0.0</v>
      </c>
      <c r="AA24" s="13" t="str">
        <f>IFERROR(Z24/Z446, "NA")</f>
        <v>NA</v>
      </c>
      <c r="AB24" s="14"/>
      <c r="AC24" s="15">
        <f t="shared" si="8"/>
        <v>0</v>
      </c>
      <c r="AD24" s="13" t="str">
        <f>IFERROR(AC24/AC446, "NA")</f>
        <v>NA</v>
      </c>
    </row>
    <row r="25" ht="16.5" hidden="1" customHeight="1">
      <c r="A25" s="11" t="s">
        <v>29</v>
      </c>
      <c r="B25" s="12">
        <v>0.0</v>
      </c>
      <c r="C25" s="13" t="str">
        <f>IFERROR(B25/B446, "NA")</f>
        <v>NA</v>
      </c>
      <c r="D25" s="14"/>
      <c r="E25" s="12">
        <v>0.0</v>
      </c>
      <c r="F25" s="13" t="str">
        <f>IFERROR(E25/E446, "NA")</f>
        <v>NA</v>
      </c>
      <c r="G25" s="14"/>
      <c r="H25" s="15">
        <f t="shared" si="5"/>
        <v>0</v>
      </c>
      <c r="I25" s="13" t="str">
        <f>IFERROR(H25/H446, "NA")</f>
        <v>NA</v>
      </c>
      <c r="J25" s="14"/>
      <c r="K25" s="12">
        <v>0.0</v>
      </c>
      <c r="L25" s="13" t="str">
        <f>IFERROR(K25/K446, "NA")</f>
        <v>NA</v>
      </c>
      <c r="M25" s="14"/>
      <c r="N25" s="15">
        <f t="shared" si="6"/>
        <v>0</v>
      </c>
      <c r="O25" s="13" t="str">
        <f>IFERROR(N25/N446, "NA")</f>
        <v>NA</v>
      </c>
      <c r="P25" s="14"/>
      <c r="Q25" s="12">
        <v>0.0</v>
      </c>
      <c r="R25" s="13" t="str">
        <f>IFERROR(Q25/Q446, "NA")</f>
        <v>NA</v>
      </c>
      <c r="S25" s="14"/>
      <c r="T25" s="12">
        <v>0.0</v>
      </c>
      <c r="U25" s="13" t="str">
        <f>IFERROR(T25/T446, "NA")</f>
        <v>NA</v>
      </c>
      <c r="V25" s="14"/>
      <c r="W25" s="15">
        <f t="shared" si="7"/>
        <v>0</v>
      </c>
      <c r="X25" s="13" t="str">
        <f>IFERROR(W25/W446, "NA")</f>
        <v>NA</v>
      </c>
      <c r="Y25" s="14"/>
      <c r="Z25" s="12">
        <v>0.0</v>
      </c>
      <c r="AA25" s="13" t="str">
        <f>IFERROR(Z25/Z446, "NA")</f>
        <v>NA</v>
      </c>
      <c r="AB25" s="14"/>
      <c r="AC25" s="15">
        <f t="shared" si="8"/>
        <v>0</v>
      </c>
      <c r="AD25" s="13" t="str">
        <f>IFERROR(AC25/AC446, "NA")</f>
        <v>NA</v>
      </c>
    </row>
    <row r="26" ht="16.5" hidden="1" customHeight="1">
      <c r="A26" s="11" t="s">
        <v>30</v>
      </c>
      <c r="B26" s="12">
        <v>0.0</v>
      </c>
      <c r="C26" s="13" t="str">
        <f>IFERROR(B26/B446, "NA")</f>
        <v>NA</v>
      </c>
      <c r="D26" s="14"/>
      <c r="E26" s="12">
        <v>0.0</v>
      </c>
      <c r="F26" s="13" t="str">
        <f>IFERROR(E26/E446, "NA")</f>
        <v>NA</v>
      </c>
      <c r="G26" s="14"/>
      <c r="H26" s="15">
        <f t="shared" si="5"/>
        <v>0</v>
      </c>
      <c r="I26" s="13" t="str">
        <f>IFERROR(H26/H446, "NA")</f>
        <v>NA</v>
      </c>
      <c r="J26" s="14"/>
      <c r="K26" s="12">
        <v>0.0</v>
      </c>
      <c r="L26" s="13" t="str">
        <f>IFERROR(K26/K446, "NA")</f>
        <v>NA</v>
      </c>
      <c r="M26" s="14"/>
      <c r="N26" s="15">
        <f t="shared" si="6"/>
        <v>0</v>
      </c>
      <c r="O26" s="13" t="str">
        <f>IFERROR(N26/N446, "NA")</f>
        <v>NA</v>
      </c>
      <c r="P26" s="14"/>
      <c r="Q26" s="12">
        <v>0.0</v>
      </c>
      <c r="R26" s="13" t="str">
        <f>IFERROR(Q26/Q446, "NA")</f>
        <v>NA</v>
      </c>
      <c r="S26" s="14"/>
      <c r="T26" s="12">
        <v>0.0</v>
      </c>
      <c r="U26" s="13" t="str">
        <f>IFERROR(T26/T446, "NA")</f>
        <v>NA</v>
      </c>
      <c r="V26" s="14"/>
      <c r="W26" s="15">
        <f t="shared" si="7"/>
        <v>0</v>
      </c>
      <c r="X26" s="13" t="str">
        <f>IFERROR(W26/W446, "NA")</f>
        <v>NA</v>
      </c>
      <c r="Y26" s="14"/>
      <c r="Z26" s="12">
        <v>0.0</v>
      </c>
      <c r="AA26" s="13" t="str">
        <f>IFERROR(Z26/Z446, "NA")</f>
        <v>NA</v>
      </c>
      <c r="AB26" s="14"/>
      <c r="AC26" s="15">
        <f t="shared" si="8"/>
        <v>0</v>
      </c>
      <c r="AD26" s="13" t="str">
        <f>IFERROR(AC26/AC446, "NA")</f>
        <v>NA</v>
      </c>
    </row>
    <row r="27" ht="16.5" hidden="1" customHeight="1">
      <c r="A27" s="11" t="s">
        <v>31</v>
      </c>
      <c r="B27" s="12">
        <v>0.0</v>
      </c>
      <c r="C27" s="13" t="str">
        <f>IFERROR(B27/B446, "NA")</f>
        <v>NA</v>
      </c>
      <c r="D27" s="14"/>
      <c r="E27" s="12">
        <v>0.0</v>
      </c>
      <c r="F27" s="13" t="str">
        <f>IFERROR(E27/E446, "NA")</f>
        <v>NA</v>
      </c>
      <c r="G27" s="14"/>
      <c r="H27" s="15">
        <f t="shared" si="5"/>
        <v>0</v>
      </c>
      <c r="I27" s="13" t="str">
        <f>IFERROR(H27/H446, "NA")</f>
        <v>NA</v>
      </c>
      <c r="J27" s="14"/>
      <c r="K27" s="12">
        <v>0.0</v>
      </c>
      <c r="L27" s="13" t="str">
        <f>IFERROR(K27/K446, "NA")</f>
        <v>NA</v>
      </c>
      <c r="M27" s="14"/>
      <c r="N27" s="15">
        <f t="shared" si="6"/>
        <v>0</v>
      </c>
      <c r="O27" s="13" t="str">
        <f>IFERROR(N27/N446, "NA")</f>
        <v>NA</v>
      </c>
      <c r="P27" s="14"/>
      <c r="Q27" s="12">
        <v>0.0</v>
      </c>
      <c r="R27" s="13" t="str">
        <f>IFERROR(Q27/Q446, "NA")</f>
        <v>NA</v>
      </c>
      <c r="S27" s="14"/>
      <c r="T27" s="12">
        <v>0.0</v>
      </c>
      <c r="U27" s="13" t="str">
        <f>IFERROR(T27/T446, "NA")</f>
        <v>NA</v>
      </c>
      <c r="V27" s="14"/>
      <c r="W27" s="15">
        <f t="shared" si="7"/>
        <v>0</v>
      </c>
      <c r="X27" s="13" t="str">
        <f>IFERROR(W27/W446, "NA")</f>
        <v>NA</v>
      </c>
      <c r="Y27" s="14"/>
      <c r="Z27" s="12">
        <v>0.0</v>
      </c>
      <c r="AA27" s="13" t="str">
        <f>IFERROR(Z27/Z446, "NA")</f>
        <v>NA</v>
      </c>
      <c r="AB27" s="14"/>
      <c r="AC27" s="15">
        <f t="shared" si="8"/>
        <v>0</v>
      </c>
      <c r="AD27" s="13" t="str">
        <f>IFERROR(AC27/AC446, "NA")</f>
        <v>NA</v>
      </c>
    </row>
    <row r="28" ht="16.5" hidden="1" customHeight="1">
      <c r="A28" s="11" t="s">
        <v>32</v>
      </c>
      <c r="B28" s="12">
        <v>0.0</v>
      </c>
      <c r="C28" s="13" t="str">
        <f>IFERROR(B28/B446, "NA")</f>
        <v>NA</v>
      </c>
      <c r="D28" s="14"/>
      <c r="E28" s="12">
        <v>0.0</v>
      </c>
      <c r="F28" s="13" t="str">
        <f>IFERROR(E28/E446, "NA")</f>
        <v>NA</v>
      </c>
      <c r="G28" s="14"/>
      <c r="H28" s="15">
        <f t="shared" si="5"/>
        <v>0</v>
      </c>
      <c r="I28" s="13" t="str">
        <f>IFERROR(H28/H446, "NA")</f>
        <v>NA</v>
      </c>
      <c r="J28" s="14"/>
      <c r="K28" s="12">
        <v>0.0</v>
      </c>
      <c r="L28" s="13" t="str">
        <f>IFERROR(K28/K446, "NA")</f>
        <v>NA</v>
      </c>
      <c r="M28" s="14"/>
      <c r="N28" s="15">
        <f t="shared" si="6"/>
        <v>0</v>
      </c>
      <c r="O28" s="13" t="str">
        <f>IFERROR(N28/N446, "NA")</f>
        <v>NA</v>
      </c>
      <c r="P28" s="14"/>
      <c r="Q28" s="12">
        <v>0.0</v>
      </c>
      <c r="R28" s="13" t="str">
        <f>IFERROR(Q28/Q446, "NA")</f>
        <v>NA</v>
      </c>
      <c r="S28" s="14"/>
      <c r="T28" s="12">
        <v>0.0</v>
      </c>
      <c r="U28" s="13" t="str">
        <f>IFERROR(T28/T446, "NA")</f>
        <v>NA</v>
      </c>
      <c r="V28" s="14"/>
      <c r="W28" s="15">
        <f t="shared" si="7"/>
        <v>0</v>
      </c>
      <c r="X28" s="13" t="str">
        <f>IFERROR(W28/W446, "NA")</f>
        <v>NA</v>
      </c>
      <c r="Y28" s="14"/>
      <c r="Z28" s="12">
        <v>0.0</v>
      </c>
      <c r="AA28" s="13" t="str">
        <f>IFERROR(Z28/Z446, "NA")</f>
        <v>NA</v>
      </c>
      <c r="AB28" s="14"/>
      <c r="AC28" s="15">
        <f t="shared" si="8"/>
        <v>0</v>
      </c>
      <c r="AD28" s="13" t="str">
        <f>IFERROR(AC28/AC446, "NA")</f>
        <v>NA</v>
      </c>
    </row>
    <row r="29" ht="16.5" customHeight="1">
      <c r="A29" s="16" t="s">
        <v>33</v>
      </c>
      <c r="B29" s="17">
        <f>IFERROR(B21+B22+B23+B24+B25+B26+B27+B28, "NA")</f>
        <v>0</v>
      </c>
      <c r="C29" s="18" t="str">
        <f>IFERROR(B29/B446, "NA")</f>
        <v>NA</v>
      </c>
      <c r="D29" s="8"/>
      <c r="E29" s="17">
        <f>IFERROR(E21+E22+E23+E24+E25+E26+E27+E28, "NA")</f>
        <v>0</v>
      </c>
      <c r="F29" s="18" t="str">
        <f>IFERROR(E29/E446, "NA")</f>
        <v>NA</v>
      </c>
      <c r="G29" s="8"/>
      <c r="H29" s="17">
        <f t="shared" si="5"/>
        <v>0</v>
      </c>
      <c r="I29" s="18" t="str">
        <f>IFERROR(H29/H446, "NA")</f>
        <v>NA</v>
      </c>
      <c r="J29" s="8"/>
      <c r="K29" s="17">
        <f>IFERROR(K21+K22+K23+K24+K25+K26+K27+K28, "NA")</f>
        <v>0</v>
      </c>
      <c r="L29" s="18" t="str">
        <f>IFERROR(K29/K446, "NA")</f>
        <v>NA</v>
      </c>
      <c r="M29" s="8"/>
      <c r="N29" s="17">
        <f t="shared" si="6"/>
        <v>0</v>
      </c>
      <c r="O29" s="18" t="str">
        <f>IFERROR(N29/N446, "NA")</f>
        <v>NA</v>
      </c>
      <c r="P29" s="8"/>
      <c r="Q29" s="17">
        <f>IFERROR(Q21+Q22+Q23+Q24+Q25+Q26+Q27+Q28, "NA")</f>
        <v>0</v>
      </c>
      <c r="R29" s="18" t="str">
        <f>IFERROR(Q29/Q446, "NA")</f>
        <v>NA</v>
      </c>
      <c r="S29" s="8"/>
      <c r="T29" s="17">
        <f>IFERROR(T21+T22+T23+T24+T25+T26+T27+T28, "NA")</f>
        <v>0</v>
      </c>
      <c r="U29" s="18" t="str">
        <f>IFERROR(T29/T446, "NA")</f>
        <v>NA</v>
      </c>
      <c r="V29" s="8"/>
      <c r="W29" s="17">
        <f t="shared" si="7"/>
        <v>0</v>
      </c>
      <c r="X29" s="18" t="str">
        <f>IFERROR(W29/W446, "NA")</f>
        <v>NA</v>
      </c>
      <c r="Y29" s="8"/>
      <c r="Z29" s="17">
        <f>IFERROR(Z21+Z22+Z23+Z24+Z25+Z26+Z27+Z28, "NA")</f>
        <v>0</v>
      </c>
      <c r="AA29" s="18" t="str">
        <f>IFERROR(Z29/Z446, "NA")</f>
        <v>NA</v>
      </c>
      <c r="AB29" s="8"/>
      <c r="AC29" s="17">
        <f t="shared" si="8"/>
        <v>0</v>
      </c>
      <c r="AD29" s="18" t="str">
        <f>IFERROR(AC29/AC446, "NA")</f>
        <v>NA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hidden="1" customHeight="1">
      <c r="A31" s="11" t="s">
        <v>34</v>
      </c>
      <c r="B31" s="12">
        <v>0.0</v>
      </c>
      <c r="C31" s="13" t="str">
        <f>IFERROR(B31/B446, "NA")</f>
        <v>NA</v>
      </c>
      <c r="D31" s="14"/>
      <c r="E31" s="12">
        <v>0.0</v>
      </c>
      <c r="F31" s="13" t="str">
        <f>IFERROR(E31/E446, "NA")</f>
        <v>NA</v>
      </c>
      <c r="G31" s="14"/>
      <c r="H31" s="15">
        <f t="shared" ref="H31:H40" si="9">IFERROR(B31-E31, "NA")</f>
        <v>0</v>
      </c>
      <c r="I31" s="13" t="str">
        <f>IFERROR(H31/H446, "NA")</f>
        <v>NA</v>
      </c>
      <c r="J31" s="14"/>
      <c r="K31" s="12">
        <v>0.0</v>
      </c>
      <c r="L31" s="13" t="str">
        <f>IFERROR(K31/K446, "NA")</f>
        <v>NA</v>
      </c>
      <c r="M31" s="14"/>
      <c r="N31" s="15">
        <f t="shared" ref="N31:N40" si="10">IFERROR(B31-K31, "NA")</f>
        <v>0</v>
      </c>
      <c r="O31" s="13" t="str">
        <f>IFERROR(N31/N446, "NA")</f>
        <v>NA</v>
      </c>
      <c r="P31" s="14"/>
      <c r="Q31" s="12">
        <v>0.0</v>
      </c>
      <c r="R31" s="13" t="str">
        <f>IFERROR(Q31/Q446, "NA")</f>
        <v>NA</v>
      </c>
      <c r="S31" s="14"/>
      <c r="T31" s="12">
        <v>0.0</v>
      </c>
      <c r="U31" s="13" t="str">
        <f>IFERROR(T31/T446, "NA")</f>
        <v>NA</v>
      </c>
      <c r="V31" s="14"/>
      <c r="W31" s="15">
        <f t="shared" ref="W31:W40" si="11">IFERROR(Q31-T31, "NA")</f>
        <v>0</v>
      </c>
      <c r="X31" s="13" t="str">
        <f>IFERROR(W31/W446, "NA")</f>
        <v>NA</v>
      </c>
      <c r="Y31" s="14"/>
      <c r="Z31" s="12">
        <v>0.0</v>
      </c>
      <c r="AA31" s="13" t="str">
        <f>IFERROR(Z31/Z446, "NA")</f>
        <v>NA</v>
      </c>
      <c r="AB31" s="14"/>
      <c r="AC31" s="15">
        <f t="shared" ref="AC31:AC40" si="12">IFERROR(Q31-Z31, "NA")</f>
        <v>0</v>
      </c>
      <c r="AD31" s="13" t="str">
        <f>IFERROR(AC31/AC446, "NA")</f>
        <v>NA</v>
      </c>
    </row>
    <row r="32" ht="16.5" hidden="1" customHeight="1">
      <c r="A32" s="11" t="s">
        <v>35</v>
      </c>
      <c r="B32" s="12">
        <v>0.0</v>
      </c>
      <c r="C32" s="13" t="str">
        <f>IFERROR(B32/B446, "NA")</f>
        <v>NA</v>
      </c>
      <c r="D32" s="14"/>
      <c r="E32" s="12">
        <v>0.0</v>
      </c>
      <c r="F32" s="13" t="str">
        <f>IFERROR(E32/E446, "NA")</f>
        <v>NA</v>
      </c>
      <c r="G32" s="14"/>
      <c r="H32" s="15">
        <f t="shared" si="9"/>
        <v>0</v>
      </c>
      <c r="I32" s="13" t="str">
        <f>IFERROR(H32/H446, "NA")</f>
        <v>NA</v>
      </c>
      <c r="J32" s="14"/>
      <c r="K32" s="12">
        <v>0.0</v>
      </c>
      <c r="L32" s="13" t="str">
        <f>IFERROR(K32/K446, "NA")</f>
        <v>NA</v>
      </c>
      <c r="M32" s="14"/>
      <c r="N32" s="15">
        <f t="shared" si="10"/>
        <v>0</v>
      </c>
      <c r="O32" s="13" t="str">
        <f>IFERROR(N32/N446, "NA")</f>
        <v>NA</v>
      </c>
      <c r="P32" s="14"/>
      <c r="Q32" s="12">
        <v>0.0</v>
      </c>
      <c r="R32" s="13" t="str">
        <f>IFERROR(Q32/Q446, "NA")</f>
        <v>NA</v>
      </c>
      <c r="S32" s="14"/>
      <c r="T32" s="12">
        <v>0.0</v>
      </c>
      <c r="U32" s="13" t="str">
        <f>IFERROR(T32/T446, "NA")</f>
        <v>NA</v>
      </c>
      <c r="V32" s="14"/>
      <c r="W32" s="15">
        <f t="shared" si="11"/>
        <v>0</v>
      </c>
      <c r="X32" s="13" t="str">
        <f>IFERROR(W32/W446, "NA")</f>
        <v>NA</v>
      </c>
      <c r="Y32" s="14"/>
      <c r="Z32" s="12">
        <v>0.0</v>
      </c>
      <c r="AA32" s="13" t="str">
        <f>IFERROR(Z32/Z446, "NA")</f>
        <v>NA</v>
      </c>
      <c r="AB32" s="14"/>
      <c r="AC32" s="15">
        <f t="shared" si="12"/>
        <v>0</v>
      </c>
      <c r="AD32" s="13" t="str">
        <f>IFERROR(AC32/AC446, "NA")</f>
        <v>NA</v>
      </c>
    </row>
    <row r="33" ht="16.5" hidden="1" customHeight="1">
      <c r="A33" s="11" t="s">
        <v>36</v>
      </c>
      <c r="B33" s="12">
        <v>0.0</v>
      </c>
      <c r="C33" s="13" t="str">
        <f>IFERROR(B33/B446, "NA")</f>
        <v>NA</v>
      </c>
      <c r="D33" s="14"/>
      <c r="E33" s="12">
        <v>0.0</v>
      </c>
      <c r="F33" s="13" t="str">
        <f>IFERROR(E33/E446, "NA")</f>
        <v>NA</v>
      </c>
      <c r="G33" s="14"/>
      <c r="H33" s="15">
        <f t="shared" si="9"/>
        <v>0</v>
      </c>
      <c r="I33" s="13" t="str">
        <f>IFERROR(H33/H446, "NA")</f>
        <v>NA</v>
      </c>
      <c r="J33" s="14"/>
      <c r="K33" s="12">
        <v>0.0</v>
      </c>
      <c r="L33" s="13" t="str">
        <f>IFERROR(K33/K446, "NA")</f>
        <v>NA</v>
      </c>
      <c r="M33" s="14"/>
      <c r="N33" s="15">
        <f t="shared" si="10"/>
        <v>0</v>
      </c>
      <c r="O33" s="13" t="str">
        <f>IFERROR(N33/N446, "NA")</f>
        <v>NA</v>
      </c>
      <c r="P33" s="14"/>
      <c r="Q33" s="12">
        <v>0.0</v>
      </c>
      <c r="R33" s="13" t="str">
        <f>IFERROR(Q33/Q446, "NA")</f>
        <v>NA</v>
      </c>
      <c r="S33" s="14"/>
      <c r="T33" s="12">
        <v>0.0</v>
      </c>
      <c r="U33" s="13" t="str">
        <f>IFERROR(T33/T446, "NA")</f>
        <v>NA</v>
      </c>
      <c r="V33" s="14"/>
      <c r="W33" s="15">
        <f t="shared" si="11"/>
        <v>0</v>
      </c>
      <c r="X33" s="13" t="str">
        <f>IFERROR(W33/W446, "NA")</f>
        <v>NA</v>
      </c>
      <c r="Y33" s="14"/>
      <c r="Z33" s="12">
        <v>0.0</v>
      </c>
      <c r="AA33" s="13" t="str">
        <f>IFERROR(Z33/Z446, "NA")</f>
        <v>NA</v>
      </c>
      <c r="AB33" s="14"/>
      <c r="AC33" s="15">
        <f t="shared" si="12"/>
        <v>0</v>
      </c>
      <c r="AD33" s="13" t="str">
        <f>IFERROR(AC33/AC446, "NA")</f>
        <v>NA</v>
      </c>
    </row>
    <row r="34" ht="16.5" hidden="1" customHeight="1">
      <c r="A34" s="11" t="s">
        <v>37</v>
      </c>
      <c r="B34" s="12">
        <v>0.0</v>
      </c>
      <c r="C34" s="13" t="str">
        <f>IFERROR(B34/B446, "NA")</f>
        <v>NA</v>
      </c>
      <c r="D34" s="14"/>
      <c r="E34" s="12">
        <v>0.0</v>
      </c>
      <c r="F34" s="13" t="str">
        <f>IFERROR(E34/E446, "NA")</f>
        <v>NA</v>
      </c>
      <c r="G34" s="14"/>
      <c r="H34" s="15">
        <f t="shared" si="9"/>
        <v>0</v>
      </c>
      <c r="I34" s="13" t="str">
        <f>IFERROR(H34/H446, "NA")</f>
        <v>NA</v>
      </c>
      <c r="J34" s="14"/>
      <c r="K34" s="12">
        <v>0.0</v>
      </c>
      <c r="L34" s="13" t="str">
        <f>IFERROR(K34/K446, "NA")</f>
        <v>NA</v>
      </c>
      <c r="M34" s="14"/>
      <c r="N34" s="15">
        <f t="shared" si="10"/>
        <v>0</v>
      </c>
      <c r="O34" s="13" t="str">
        <f>IFERROR(N34/N446, "NA")</f>
        <v>NA</v>
      </c>
      <c r="P34" s="14"/>
      <c r="Q34" s="12">
        <v>0.0</v>
      </c>
      <c r="R34" s="13" t="str">
        <f>IFERROR(Q34/Q446, "NA")</f>
        <v>NA</v>
      </c>
      <c r="S34" s="14"/>
      <c r="T34" s="12">
        <v>0.0</v>
      </c>
      <c r="U34" s="13" t="str">
        <f>IFERROR(T34/T446, "NA")</f>
        <v>NA</v>
      </c>
      <c r="V34" s="14"/>
      <c r="W34" s="15">
        <f t="shared" si="11"/>
        <v>0</v>
      </c>
      <c r="X34" s="13" t="str">
        <f>IFERROR(W34/W446, "NA")</f>
        <v>NA</v>
      </c>
      <c r="Y34" s="14"/>
      <c r="Z34" s="12">
        <v>0.0</v>
      </c>
      <c r="AA34" s="13" t="str">
        <f>IFERROR(Z34/Z446, "NA")</f>
        <v>NA</v>
      </c>
      <c r="AB34" s="14"/>
      <c r="AC34" s="15">
        <f t="shared" si="12"/>
        <v>0</v>
      </c>
      <c r="AD34" s="13" t="str">
        <f>IFERROR(AC34/AC446, "NA")</f>
        <v>NA</v>
      </c>
    </row>
    <row r="35" ht="16.5" hidden="1" customHeight="1">
      <c r="A35" s="11" t="s">
        <v>38</v>
      </c>
      <c r="B35" s="12">
        <v>0.0</v>
      </c>
      <c r="C35" s="13" t="str">
        <f>IFERROR(B35/B446, "NA")</f>
        <v>NA</v>
      </c>
      <c r="D35" s="14"/>
      <c r="E35" s="12">
        <v>0.0</v>
      </c>
      <c r="F35" s="13" t="str">
        <f>IFERROR(E35/E446, "NA")</f>
        <v>NA</v>
      </c>
      <c r="G35" s="14"/>
      <c r="H35" s="15">
        <f t="shared" si="9"/>
        <v>0</v>
      </c>
      <c r="I35" s="13" t="str">
        <f>IFERROR(H35/H446, "NA")</f>
        <v>NA</v>
      </c>
      <c r="J35" s="14"/>
      <c r="K35" s="12">
        <v>0.0</v>
      </c>
      <c r="L35" s="13" t="str">
        <f>IFERROR(K35/K446, "NA")</f>
        <v>NA</v>
      </c>
      <c r="M35" s="14"/>
      <c r="N35" s="15">
        <f t="shared" si="10"/>
        <v>0</v>
      </c>
      <c r="O35" s="13" t="str">
        <f>IFERROR(N35/N446, "NA")</f>
        <v>NA</v>
      </c>
      <c r="P35" s="14"/>
      <c r="Q35" s="12">
        <v>0.0</v>
      </c>
      <c r="R35" s="13" t="str">
        <f>IFERROR(Q35/Q446, "NA")</f>
        <v>NA</v>
      </c>
      <c r="S35" s="14"/>
      <c r="T35" s="12">
        <v>0.0</v>
      </c>
      <c r="U35" s="13" t="str">
        <f>IFERROR(T35/T446, "NA")</f>
        <v>NA</v>
      </c>
      <c r="V35" s="14"/>
      <c r="W35" s="15">
        <f t="shared" si="11"/>
        <v>0</v>
      </c>
      <c r="X35" s="13" t="str">
        <f>IFERROR(W35/W446, "NA")</f>
        <v>NA</v>
      </c>
      <c r="Y35" s="14"/>
      <c r="Z35" s="12">
        <v>0.0</v>
      </c>
      <c r="AA35" s="13" t="str">
        <f>IFERROR(Z35/Z446, "NA")</f>
        <v>NA</v>
      </c>
      <c r="AB35" s="14"/>
      <c r="AC35" s="15">
        <f t="shared" si="12"/>
        <v>0</v>
      </c>
      <c r="AD35" s="13" t="str">
        <f>IFERROR(AC35/AC446, "NA")</f>
        <v>NA</v>
      </c>
    </row>
    <row r="36" ht="16.5" hidden="1" customHeight="1">
      <c r="A36" s="11" t="s">
        <v>39</v>
      </c>
      <c r="B36" s="12">
        <v>0.0</v>
      </c>
      <c r="C36" s="13" t="str">
        <f>IFERROR(B36/B446, "NA")</f>
        <v>NA</v>
      </c>
      <c r="D36" s="14"/>
      <c r="E36" s="12">
        <v>0.0</v>
      </c>
      <c r="F36" s="13" t="str">
        <f>IFERROR(E36/E446, "NA")</f>
        <v>NA</v>
      </c>
      <c r="G36" s="14"/>
      <c r="H36" s="15">
        <f t="shared" si="9"/>
        <v>0</v>
      </c>
      <c r="I36" s="13" t="str">
        <f>IFERROR(H36/H446, "NA")</f>
        <v>NA</v>
      </c>
      <c r="J36" s="14"/>
      <c r="K36" s="12">
        <v>0.0</v>
      </c>
      <c r="L36" s="13" t="str">
        <f>IFERROR(K36/K446, "NA")</f>
        <v>NA</v>
      </c>
      <c r="M36" s="14"/>
      <c r="N36" s="15">
        <f t="shared" si="10"/>
        <v>0</v>
      </c>
      <c r="O36" s="13" t="str">
        <f>IFERROR(N36/N446, "NA")</f>
        <v>NA</v>
      </c>
      <c r="P36" s="14"/>
      <c r="Q36" s="12">
        <v>0.0</v>
      </c>
      <c r="R36" s="13" t="str">
        <f>IFERROR(Q36/Q446, "NA")</f>
        <v>NA</v>
      </c>
      <c r="S36" s="14"/>
      <c r="T36" s="12">
        <v>0.0</v>
      </c>
      <c r="U36" s="13" t="str">
        <f>IFERROR(T36/T446, "NA")</f>
        <v>NA</v>
      </c>
      <c r="V36" s="14"/>
      <c r="W36" s="15">
        <f t="shared" si="11"/>
        <v>0</v>
      </c>
      <c r="X36" s="13" t="str">
        <f>IFERROR(W36/W446, "NA")</f>
        <v>NA</v>
      </c>
      <c r="Y36" s="14"/>
      <c r="Z36" s="12">
        <v>0.0</v>
      </c>
      <c r="AA36" s="13" t="str">
        <f>IFERROR(Z36/Z446, "NA")</f>
        <v>NA</v>
      </c>
      <c r="AB36" s="14"/>
      <c r="AC36" s="15">
        <f t="shared" si="12"/>
        <v>0</v>
      </c>
      <c r="AD36" s="13" t="str">
        <f>IFERROR(AC36/AC446, "NA")</f>
        <v>NA</v>
      </c>
    </row>
    <row r="37" ht="16.5" hidden="1" customHeight="1">
      <c r="A37" s="11" t="s">
        <v>40</v>
      </c>
      <c r="B37" s="12">
        <v>0.0</v>
      </c>
      <c r="C37" s="13" t="str">
        <f>IFERROR(B37/B446, "NA")</f>
        <v>NA</v>
      </c>
      <c r="D37" s="14"/>
      <c r="E37" s="12">
        <v>0.0</v>
      </c>
      <c r="F37" s="13" t="str">
        <f>IFERROR(E37/E446, "NA")</f>
        <v>NA</v>
      </c>
      <c r="G37" s="14"/>
      <c r="H37" s="15">
        <f t="shared" si="9"/>
        <v>0</v>
      </c>
      <c r="I37" s="13" t="str">
        <f>IFERROR(H37/H446, "NA")</f>
        <v>NA</v>
      </c>
      <c r="J37" s="14"/>
      <c r="K37" s="12">
        <v>0.0</v>
      </c>
      <c r="L37" s="13" t="str">
        <f>IFERROR(K37/K446, "NA")</f>
        <v>NA</v>
      </c>
      <c r="M37" s="14"/>
      <c r="N37" s="15">
        <f t="shared" si="10"/>
        <v>0</v>
      </c>
      <c r="O37" s="13" t="str">
        <f>IFERROR(N37/N446, "NA")</f>
        <v>NA</v>
      </c>
      <c r="P37" s="14"/>
      <c r="Q37" s="12">
        <v>0.0</v>
      </c>
      <c r="R37" s="13" t="str">
        <f>IFERROR(Q37/Q446, "NA")</f>
        <v>NA</v>
      </c>
      <c r="S37" s="14"/>
      <c r="T37" s="12">
        <v>0.0</v>
      </c>
      <c r="U37" s="13" t="str">
        <f>IFERROR(T37/T446, "NA")</f>
        <v>NA</v>
      </c>
      <c r="V37" s="14"/>
      <c r="W37" s="15">
        <f t="shared" si="11"/>
        <v>0</v>
      </c>
      <c r="X37" s="13" t="str">
        <f>IFERROR(W37/W446, "NA")</f>
        <v>NA</v>
      </c>
      <c r="Y37" s="14"/>
      <c r="Z37" s="12">
        <v>0.0</v>
      </c>
      <c r="AA37" s="13" t="str">
        <f>IFERROR(Z37/Z446, "NA")</f>
        <v>NA</v>
      </c>
      <c r="AB37" s="14"/>
      <c r="AC37" s="15">
        <f t="shared" si="12"/>
        <v>0</v>
      </c>
      <c r="AD37" s="13" t="str">
        <f>IFERROR(AC37/AC446, "NA")</f>
        <v>NA</v>
      </c>
    </row>
    <row r="38" ht="16.5" hidden="1" customHeight="1">
      <c r="A38" s="11" t="s">
        <v>41</v>
      </c>
      <c r="B38" s="12">
        <v>0.0</v>
      </c>
      <c r="C38" s="13" t="str">
        <f>IFERROR(B38/B446, "NA")</f>
        <v>NA</v>
      </c>
      <c r="D38" s="14"/>
      <c r="E38" s="12">
        <v>0.0</v>
      </c>
      <c r="F38" s="13" t="str">
        <f>IFERROR(E38/E446, "NA")</f>
        <v>NA</v>
      </c>
      <c r="G38" s="14"/>
      <c r="H38" s="15">
        <f t="shared" si="9"/>
        <v>0</v>
      </c>
      <c r="I38" s="13" t="str">
        <f>IFERROR(H38/H446, "NA")</f>
        <v>NA</v>
      </c>
      <c r="J38" s="14"/>
      <c r="K38" s="12">
        <v>0.0</v>
      </c>
      <c r="L38" s="13" t="str">
        <f>IFERROR(K38/K446, "NA")</f>
        <v>NA</v>
      </c>
      <c r="M38" s="14"/>
      <c r="N38" s="15">
        <f t="shared" si="10"/>
        <v>0</v>
      </c>
      <c r="O38" s="13" t="str">
        <f>IFERROR(N38/N446, "NA")</f>
        <v>NA</v>
      </c>
      <c r="P38" s="14"/>
      <c r="Q38" s="12">
        <v>0.0</v>
      </c>
      <c r="R38" s="13" t="str">
        <f>IFERROR(Q38/Q446, "NA")</f>
        <v>NA</v>
      </c>
      <c r="S38" s="14"/>
      <c r="T38" s="12">
        <v>0.0</v>
      </c>
      <c r="U38" s="13" t="str">
        <f>IFERROR(T38/T446, "NA")</f>
        <v>NA</v>
      </c>
      <c r="V38" s="14"/>
      <c r="W38" s="15">
        <f t="shared" si="11"/>
        <v>0</v>
      </c>
      <c r="X38" s="13" t="str">
        <f>IFERROR(W38/W446, "NA")</f>
        <v>NA</v>
      </c>
      <c r="Y38" s="14"/>
      <c r="Z38" s="12">
        <v>0.0</v>
      </c>
      <c r="AA38" s="13" t="str">
        <f>IFERROR(Z38/Z446, "NA")</f>
        <v>NA</v>
      </c>
      <c r="AB38" s="14"/>
      <c r="AC38" s="15">
        <f t="shared" si="12"/>
        <v>0</v>
      </c>
      <c r="AD38" s="13" t="str">
        <f>IFERROR(AC38/AC446, "NA")</f>
        <v>NA</v>
      </c>
    </row>
    <row r="39" ht="16.5" hidden="1" customHeight="1">
      <c r="A39" s="11" t="s">
        <v>42</v>
      </c>
      <c r="B39" s="12">
        <v>0.0</v>
      </c>
      <c r="C39" s="13" t="str">
        <f>IFERROR(B39/B446, "NA")</f>
        <v>NA</v>
      </c>
      <c r="D39" s="14"/>
      <c r="E39" s="12">
        <v>0.0</v>
      </c>
      <c r="F39" s="13" t="str">
        <f>IFERROR(E39/E446, "NA")</f>
        <v>NA</v>
      </c>
      <c r="G39" s="14"/>
      <c r="H39" s="15">
        <f t="shared" si="9"/>
        <v>0</v>
      </c>
      <c r="I39" s="13" t="str">
        <f>IFERROR(H39/H446, "NA")</f>
        <v>NA</v>
      </c>
      <c r="J39" s="14"/>
      <c r="K39" s="12">
        <v>0.0</v>
      </c>
      <c r="L39" s="13" t="str">
        <f>IFERROR(K39/K446, "NA")</f>
        <v>NA</v>
      </c>
      <c r="M39" s="14"/>
      <c r="N39" s="15">
        <f t="shared" si="10"/>
        <v>0</v>
      </c>
      <c r="O39" s="13" t="str">
        <f>IFERROR(N39/N446, "NA")</f>
        <v>NA</v>
      </c>
      <c r="P39" s="14"/>
      <c r="Q39" s="12">
        <v>0.0</v>
      </c>
      <c r="R39" s="13" t="str">
        <f>IFERROR(Q39/Q446, "NA")</f>
        <v>NA</v>
      </c>
      <c r="S39" s="14"/>
      <c r="T39" s="12">
        <v>0.0</v>
      </c>
      <c r="U39" s="13" t="str">
        <f>IFERROR(T39/T446, "NA")</f>
        <v>NA</v>
      </c>
      <c r="V39" s="14"/>
      <c r="W39" s="15">
        <f t="shared" si="11"/>
        <v>0</v>
      </c>
      <c r="X39" s="13" t="str">
        <f>IFERROR(W39/W446, "NA")</f>
        <v>NA</v>
      </c>
      <c r="Y39" s="14"/>
      <c r="Z39" s="12">
        <v>0.0</v>
      </c>
      <c r="AA39" s="13" t="str">
        <f>IFERROR(Z39/Z446, "NA")</f>
        <v>NA</v>
      </c>
      <c r="AB39" s="14"/>
      <c r="AC39" s="15">
        <f t="shared" si="12"/>
        <v>0</v>
      </c>
      <c r="AD39" s="13" t="str">
        <f>IFERROR(AC39/AC446, "NA")</f>
        <v>NA</v>
      </c>
    </row>
    <row r="40" ht="16.5" customHeight="1">
      <c r="A40" s="16" t="s">
        <v>43</v>
      </c>
      <c r="B40" s="17">
        <f>IFERROR(B31+B32+B33+B34+B35+B36+B37+B38+B39, "NA")</f>
        <v>0</v>
      </c>
      <c r="C40" s="18" t="str">
        <f>IFERROR(B40/B446, "NA")</f>
        <v>NA</v>
      </c>
      <c r="D40" s="8"/>
      <c r="E40" s="17">
        <f>IFERROR(E31+E32+E33+E34+E35+E36+E37+E38+E39, "NA")</f>
        <v>0</v>
      </c>
      <c r="F40" s="18" t="str">
        <f>IFERROR(E40/E446, "NA")</f>
        <v>NA</v>
      </c>
      <c r="G40" s="8"/>
      <c r="H40" s="17">
        <f t="shared" si="9"/>
        <v>0</v>
      </c>
      <c r="I40" s="18" t="str">
        <f>IFERROR(H40/H446, "NA")</f>
        <v>NA</v>
      </c>
      <c r="J40" s="8"/>
      <c r="K40" s="17">
        <f>IFERROR(K31+K32+K33+K34+K35+K36+K37+K38+K39, "NA")</f>
        <v>0</v>
      </c>
      <c r="L40" s="18" t="str">
        <f>IFERROR(K40/K446, "NA")</f>
        <v>NA</v>
      </c>
      <c r="M40" s="8"/>
      <c r="N40" s="17">
        <f t="shared" si="10"/>
        <v>0</v>
      </c>
      <c r="O40" s="18" t="str">
        <f>IFERROR(N40/N446, "NA")</f>
        <v>NA</v>
      </c>
      <c r="P40" s="8"/>
      <c r="Q40" s="17">
        <f>IFERROR(Q31+Q32+Q33+Q34+Q35+Q36+Q37+Q38+Q39, "NA")</f>
        <v>0</v>
      </c>
      <c r="R40" s="18" t="str">
        <f>IFERROR(Q40/Q446, "NA")</f>
        <v>NA</v>
      </c>
      <c r="S40" s="8"/>
      <c r="T40" s="17">
        <f>IFERROR(T31+T32+T33+T34+T35+T36+T37+T38+T39, "NA")</f>
        <v>0</v>
      </c>
      <c r="U40" s="18" t="str">
        <f>IFERROR(T40/T446, "NA")</f>
        <v>NA</v>
      </c>
      <c r="V40" s="8"/>
      <c r="W40" s="17">
        <f t="shared" si="11"/>
        <v>0</v>
      </c>
      <c r="X40" s="18" t="str">
        <f>IFERROR(W40/W446, "NA")</f>
        <v>NA</v>
      </c>
      <c r="Y40" s="8"/>
      <c r="Z40" s="17">
        <f>IFERROR(Z31+Z32+Z33+Z34+Z35+Z36+Z37+Z38+Z39, "NA")</f>
        <v>0</v>
      </c>
      <c r="AA40" s="18" t="str">
        <f>IFERROR(Z40/Z446, "NA")</f>
        <v>NA</v>
      </c>
      <c r="AB40" s="8"/>
      <c r="AC40" s="17">
        <f t="shared" si="12"/>
        <v>0</v>
      </c>
      <c r="AD40" s="18" t="str">
        <f>IFERROR(AC40/AC446, "NA")</f>
        <v>NA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hidden="1" customHeight="1">
      <c r="A42" s="11" t="s">
        <v>44</v>
      </c>
      <c r="B42" s="12">
        <v>0.0</v>
      </c>
      <c r="C42" s="13" t="str">
        <f>IFERROR(B42/B446, "NA")</f>
        <v>NA</v>
      </c>
      <c r="D42" s="14"/>
      <c r="E42" s="12">
        <v>0.0</v>
      </c>
      <c r="F42" s="13" t="str">
        <f>IFERROR(E42/E446, "NA")</f>
        <v>NA</v>
      </c>
      <c r="G42" s="14"/>
      <c r="H42" s="15">
        <f t="shared" ref="H42:H44" si="13">IFERROR(B42-E42, "NA")</f>
        <v>0</v>
      </c>
      <c r="I42" s="13" t="str">
        <f>IFERROR(H42/H446, "NA")</f>
        <v>NA</v>
      </c>
      <c r="J42" s="14"/>
      <c r="K42" s="12">
        <v>0.0</v>
      </c>
      <c r="L42" s="13" t="str">
        <f>IFERROR(K42/K446, "NA")</f>
        <v>NA</v>
      </c>
      <c r="M42" s="14"/>
      <c r="N42" s="15">
        <f t="shared" ref="N42:N44" si="14">IFERROR(B42-K42, "NA")</f>
        <v>0</v>
      </c>
      <c r="O42" s="13" t="str">
        <f>IFERROR(N42/N446, "NA")</f>
        <v>NA</v>
      </c>
      <c r="P42" s="14"/>
      <c r="Q42" s="12">
        <v>0.0</v>
      </c>
      <c r="R42" s="13" t="str">
        <f>IFERROR(Q42/Q446, "NA")</f>
        <v>NA</v>
      </c>
      <c r="S42" s="14"/>
      <c r="T42" s="12">
        <v>0.0</v>
      </c>
      <c r="U42" s="13" t="str">
        <f>IFERROR(T42/T446, "NA")</f>
        <v>NA</v>
      </c>
      <c r="V42" s="14"/>
      <c r="W42" s="15">
        <f t="shared" ref="W42:W44" si="15">IFERROR(Q42-T42, "NA")</f>
        <v>0</v>
      </c>
      <c r="X42" s="13" t="str">
        <f>IFERROR(W42/W446, "NA")</f>
        <v>NA</v>
      </c>
      <c r="Y42" s="14"/>
      <c r="Z42" s="12">
        <v>0.0</v>
      </c>
      <c r="AA42" s="13" t="str">
        <f>IFERROR(Z42/Z446, "NA")</f>
        <v>NA</v>
      </c>
      <c r="AB42" s="14"/>
      <c r="AC42" s="15">
        <f t="shared" ref="AC42:AC44" si="16">IFERROR(Q42-Z42, "NA")</f>
        <v>0</v>
      </c>
      <c r="AD42" s="13" t="str">
        <f>IFERROR(AC42/AC446, "NA")</f>
        <v>NA</v>
      </c>
    </row>
    <row r="43" ht="16.5" hidden="1" customHeight="1">
      <c r="A43" s="11" t="s">
        <v>45</v>
      </c>
      <c r="B43" s="12">
        <v>0.0</v>
      </c>
      <c r="C43" s="13" t="str">
        <f>IFERROR(B43/B446, "NA")</f>
        <v>NA</v>
      </c>
      <c r="D43" s="14"/>
      <c r="E43" s="12">
        <v>0.0</v>
      </c>
      <c r="F43" s="13" t="str">
        <f>IFERROR(E43/E446, "NA")</f>
        <v>NA</v>
      </c>
      <c r="G43" s="14"/>
      <c r="H43" s="15">
        <f t="shared" si="13"/>
        <v>0</v>
      </c>
      <c r="I43" s="13" t="str">
        <f>IFERROR(H43/H446, "NA")</f>
        <v>NA</v>
      </c>
      <c r="J43" s="14"/>
      <c r="K43" s="12">
        <v>0.0</v>
      </c>
      <c r="L43" s="13" t="str">
        <f>IFERROR(K43/K446, "NA")</f>
        <v>NA</v>
      </c>
      <c r="M43" s="14"/>
      <c r="N43" s="15">
        <f t="shared" si="14"/>
        <v>0</v>
      </c>
      <c r="O43" s="13" t="str">
        <f>IFERROR(N43/N446, "NA")</f>
        <v>NA</v>
      </c>
      <c r="P43" s="14"/>
      <c r="Q43" s="12">
        <v>0.0</v>
      </c>
      <c r="R43" s="13" t="str">
        <f>IFERROR(Q43/Q446, "NA")</f>
        <v>NA</v>
      </c>
      <c r="S43" s="14"/>
      <c r="T43" s="12">
        <v>0.0</v>
      </c>
      <c r="U43" s="13" t="str">
        <f>IFERROR(T43/T446, "NA")</f>
        <v>NA</v>
      </c>
      <c r="V43" s="14"/>
      <c r="W43" s="15">
        <f t="shared" si="15"/>
        <v>0</v>
      </c>
      <c r="X43" s="13" t="str">
        <f>IFERROR(W43/W446, "NA")</f>
        <v>NA</v>
      </c>
      <c r="Y43" s="14"/>
      <c r="Z43" s="12">
        <v>0.0</v>
      </c>
      <c r="AA43" s="13" t="str">
        <f>IFERROR(Z43/Z446, "NA")</f>
        <v>NA</v>
      </c>
      <c r="AB43" s="14"/>
      <c r="AC43" s="15">
        <f t="shared" si="16"/>
        <v>0</v>
      </c>
      <c r="AD43" s="13" t="str">
        <f>IFERROR(AC43/AC446, "NA")</f>
        <v>NA</v>
      </c>
    </row>
    <row r="44" ht="16.5" hidden="1" customHeight="1">
      <c r="A44" s="11" t="s">
        <v>46</v>
      </c>
      <c r="B44" s="12">
        <v>0.0</v>
      </c>
      <c r="C44" s="13" t="str">
        <f>IFERROR(B44/B446, "NA")</f>
        <v>NA</v>
      </c>
      <c r="D44" s="14"/>
      <c r="E44" s="12">
        <v>0.0</v>
      </c>
      <c r="F44" s="13" t="str">
        <f>IFERROR(E44/E446, "NA")</f>
        <v>NA</v>
      </c>
      <c r="G44" s="14"/>
      <c r="H44" s="15">
        <f t="shared" si="13"/>
        <v>0</v>
      </c>
      <c r="I44" s="13" t="str">
        <f>IFERROR(H44/H446, "NA")</f>
        <v>NA</v>
      </c>
      <c r="J44" s="14"/>
      <c r="K44" s="12">
        <v>0.0</v>
      </c>
      <c r="L44" s="13" t="str">
        <f>IFERROR(K44/K446, "NA")</f>
        <v>NA</v>
      </c>
      <c r="M44" s="14"/>
      <c r="N44" s="15">
        <f t="shared" si="14"/>
        <v>0</v>
      </c>
      <c r="O44" s="13" t="str">
        <f>IFERROR(N44/N446, "NA")</f>
        <v>NA</v>
      </c>
      <c r="P44" s="14"/>
      <c r="Q44" s="12">
        <v>0.0</v>
      </c>
      <c r="R44" s="13" t="str">
        <f>IFERROR(Q44/Q446, "NA")</f>
        <v>NA</v>
      </c>
      <c r="S44" s="14"/>
      <c r="T44" s="12">
        <v>0.0</v>
      </c>
      <c r="U44" s="13" t="str">
        <f>IFERROR(T44/T446, "NA")</f>
        <v>NA</v>
      </c>
      <c r="V44" s="14"/>
      <c r="W44" s="15">
        <f t="shared" si="15"/>
        <v>0</v>
      </c>
      <c r="X44" s="13" t="str">
        <f>IFERROR(W44/W446, "NA")</f>
        <v>NA</v>
      </c>
      <c r="Y44" s="14"/>
      <c r="Z44" s="12">
        <v>0.0</v>
      </c>
      <c r="AA44" s="13" t="str">
        <f>IFERROR(Z44/Z446, "NA")</f>
        <v>NA</v>
      </c>
      <c r="AB44" s="14"/>
      <c r="AC44" s="15">
        <f t="shared" si="16"/>
        <v>0</v>
      </c>
      <c r="AD44" s="13" t="str">
        <f>IFERROR(AC44/AC446, "NA")</f>
        <v>NA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 t="str">
        <f>IFERROR(B46/B446, "NA")</f>
        <v>NA</v>
      </c>
      <c r="D46" s="14"/>
      <c r="E46" s="12">
        <v>0.0</v>
      </c>
      <c r="F46" s="13" t="str">
        <f>IFERROR(E46/E446, "NA")</f>
        <v>NA</v>
      </c>
      <c r="G46" s="14"/>
      <c r="H46" s="15">
        <f t="shared" ref="H46:H62" si="17">IFERROR(B46-E46, "NA")</f>
        <v>0</v>
      </c>
      <c r="I46" s="13" t="str">
        <f>IFERROR(H46/H446, "NA")</f>
        <v>NA</v>
      </c>
      <c r="J46" s="14"/>
      <c r="K46" s="12">
        <v>0.0</v>
      </c>
      <c r="L46" s="13" t="str">
        <f>IFERROR(K46/K446, "NA")</f>
        <v>NA</v>
      </c>
      <c r="M46" s="14"/>
      <c r="N46" s="15">
        <f t="shared" ref="N46:N62" si="18">IFERROR(B46-K46, "NA")</f>
        <v>0</v>
      </c>
      <c r="O46" s="13" t="str">
        <f>IFERROR(N46/N446, "NA")</f>
        <v>NA</v>
      </c>
      <c r="P46" s="14"/>
      <c r="Q46" s="12">
        <v>0.0</v>
      </c>
      <c r="R46" s="13" t="str">
        <f>IFERROR(Q46/Q446, "NA")</f>
        <v>NA</v>
      </c>
      <c r="S46" s="14"/>
      <c r="T46" s="12">
        <v>0.0</v>
      </c>
      <c r="U46" s="13" t="str">
        <f>IFERROR(T46/T446, "NA")</f>
        <v>NA</v>
      </c>
      <c r="V46" s="14"/>
      <c r="W46" s="15">
        <f t="shared" ref="W46:W62" si="19">IFERROR(Q46-T46, "NA")</f>
        <v>0</v>
      </c>
      <c r="X46" s="13" t="str">
        <f>IFERROR(W46/W446, "NA")</f>
        <v>NA</v>
      </c>
      <c r="Y46" s="14"/>
      <c r="Z46" s="12">
        <v>0.0</v>
      </c>
      <c r="AA46" s="13" t="str">
        <f>IFERROR(Z46/Z446, "NA")</f>
        <v>NA</v>
      </c>
      <c r="AB46" s="14"/>
      <c r="AC46" s="15">
        <f t="shared" ref="AC46:AC62" si="20">IFERROR(Q46-Z46, "NA")</f>
        <v>0</v>
      </c>
      <c r="AD46" s="13" t="str">
        <f>IFERROR(AC46/AC446, "NA")</f>
        <v>NA</v>
      </c>
    </row>
    <row r="47" ht="16.5" hidden="1" customHeight="1">
      <c r="A47" s="11" t="s">
        <v>48</v>
      </c>
      <c r="B47" s="12">
        <v>0.0</v>
      </c>
      <c r="C47" s="13" t="str">
        <f>IFERROR(B47/B446, "NA")</f>
        <v>NA</v>
      </c>
      <c r="D47" s="14"/>
      <c r="E47" s="12">
        <v>0.0</v>
      </c>
      <c r="F47" s="13" t="str">
        <f>IFERROR(E47/E446, "NA")</f>
        <v>NA</v>
      </c>
      <c r="G47" s="14"/>
      <c r="H47" s="15">
        <f t="shared" si="17"/>
        <v>0</v>
      </c>
      <c r="I47" s="13" t="str">
        <f>IFERROR(H47/H446, "NA")</f>
        <v>NA</v>
      </c>
      <c r="J47" s="14"/>
      <c r="K47" s="12">
        <v>0.0</v>
      </c>
      <c r="L47" s="13" t="str">
        <f>IFERROR(K47/K446, "NA")</f>
        <v>NA</v>
      </c>
      <c r="M47" s="14"/>
      <c r="N47" s="15">
        <f t="shared" si="18"/>
        <v>0</v>
      </c>
      <c r="O47" s="13" t="str">
        <f>IFERROR(N47/N446, "NA")</f>
        <v>NA</v>
      </c>
      <c r="P47" s="14"/>
      <c r="Q47" s="12">
        <v>0.0</v>
      </c>
      <c r="R47" s="13" t="str">
        <f>IFERROR(Q47/Q446, "NA")</f>
        <v>NA</v>
      </c>
      <c r="S47" s="14"/>
      <c r="T47" s="12">
        <v>0.0</v>
      </c>
      <c r="U47" s="13" t="str">
        <f>IFERROR(T47/T446, "NA")</f>
        <v>NA</v>
      </c>
      <c r="V47" s="14"/>
      <c r="W47" s="15">
        <f t="shared" si="19"/>
        <v>0</v>
      </c>
      <c r="X47" s="13" t="str">
        <f>IFERROR(W47/W446, "NA")</f>
        <v>NA</v>
      </c>
      <c r="Y47" s="14"/>
      <c r="Z47" s="12">
        <v>0.0</v>
      </c>
      <c r="AA47" s="13" t="str">
        <f>IFERROR(Z47/Z446, "NA")</f>
        <v>NA</v>
      </c>
      <c r="AB47" s="14"/>
      <c r="AC47" s="15">
        <f t="shared" si="20"/>
        <v>0</v>
      </c>
      <c r="AD47" s="13" t="str">
        <f>IFERROR(AC47/AC446, "NA")</f>
        <v>NA</v>
      </c>
    </row>
    <row r="48" ht="16.5" hidden="1" customHeight="1">
      <c r="A48" s="11" t="s">
        <v>49</v>
      </c>
      <c r="B48" s="12">
        <v>0.0</v>
      </c>
      <c r="C48" s="13" t="str">
        <f>IFERROR(B48/B446, "NA")</f>
        <v>NA</v>
      </c>
      <c r="D48" s="14"/>
      <c r="E48" s="12">
        <v>0.0</v>
      </c>
      <c r="F48" s="13" t="str">
        <f>IFERROR(E48/E446, "NA")</f>
        <v>NA</v>
      </c>
      <c r="G48" s="14"/>
      <c r="H48" s="15">
        <f t="shared" si="17"/>
        <v>0</v>
      </c>
      <c r="I48" s="13" t="str">
        <f>IFERROR(H48/H446, "NA")</f>
        <v>NA</v>
      </c>
      <c r="J48" s="14"/>
      <c r="K48" s="12">
        <v>0.0</v>
      </c>
      <c r="L48" s="13" t="str">
        <f>IFERROR(K48/K446, "NA")</f>
        <v>NA</v>
      </c>
      <c r="M48" s="14"/>
      <c r="N48" s="15">
        <f t="shared" si="18"/>
        <v>0</v>
      </c>
      <c r="O48" s="13" t="str">
        <f>IFERROR(N48/N446, "NA")</f>
        <v>NA</v>
      </c>
      <c r="P48" s="14"/>
      <c r="Q48" s="12">
        <v>0.0</v>
      </c>
      <c r="R48" s="13" t="str">
        <f>IFERROR(Q48/Q446, "NA")</f>
        <v>NA</v>
      </c>
      <c r="S48" s="14"/>
      <c r="T48" s="12">
        <v>0.0</v>
      </c>
      <c r="U48" s="13" t="str">
        <f>IFERROR(T48/T446, "NA")</f>
        <v>NA</v>
      </c>
      <c r="V48" s="14"/>
      <c r="W48" s="15">
        <f t="shared" si="19"/>
        <v>0</v>
      </c>
      <c r="X48" s="13" t="str">
        <f>IFERROR(W48/W446, "NA")</f>
        <v>NA</v>
      </c>
      <c r="Y48" s="14"/>
      <c r="Z48" s="12">
        <v>0.0</v>
      </c>
      <c r="AA48" s="13" t="str">
        <f>IFERROR(Z48/Z446, "NA")</f>
        <v>NA</v>
      </c>
      <c r="AB48" s="14"/>
      <c r="AC48" s="15">
        <f t="shared" si="20"/>
        <v>0</v>
      </c>
      <c r="AD48" s="13" t="str">
        <f>IFERROR(AC48/AC446, "NA")</f>
        <v>NA</v>
      </c>
    </row>
    <row r="49" ht="16.5" hidden="1" customHeight="1">
      <c r="A49" s="11" t="s">
        <v>50</v>
      </c>
      <c r="B49" s="12">
        <v>0.0</v>
      </c>
      <c r="C49" s="13" t="str">
        <f>IFERROR(B49/B446, "NA")</f>
        <v>NA</v>
      </c>
      <c r="D49" s="14"/>
      <c r="E49" s="12">
        <v>0.0</v>
      </c>
      <c r="F49" s="13" t="str">
        <f>IFERROR(E49/E446, "NA")</f>
        <v>NA</v>
      </c>
      <c r="G49" s="14"/>
      <c r="H49" s="15">
        <f t="shared" si="17"/>
        <v>0</v>
      </c>
      <c r="I49" s="13" t="str">
        <f>IFERROR(H49/H446, "NA")</f>
        <v>NA</v>
      </c>
      <c r="J49" s="14"/>
      <c r="K49" s="12">
        <v>0.0</v>
      </c>
      <c r="L49" s="13" t="str">
        <f>IFERROR(K49/K446, "NA")</f>
        <v>NA</v>
      </c>
      <c r="M49" s="14"/>
      <c r="N49" s="15">
        <f t="shared" si="18"/>
        <v>0</v>
      </c>
      <c r="O49" s="13" t="str">
        <f>IFERROR(N49/N446, "NA")</f>
        <v>NA</v>
      </c>
      <c r="P49" s="14"/>
      <c r="Q49" s="12">
        <v>0.0</v>
      </c>
      <c r="R49" s="13" t="str">
        <f>IFERROR(Q49/Q446, "NA")</f>
        <v>NA</v>
      </c>
      <c r="S49" s="14"/>
      <c r="T49" s="12">
        <v>0.0</v>
      </c>
      <c r="U49" s="13" t="str">
        <f>IFERROR(T49/T446, "NA")</f>
        <v>NA</v>
      </c>
      <c r="V49" s="14"/>
      <c r="W49" s="15">
        <f t="shared" si="19"/>
        <v>0</v>
      </c>
      <c r="X49" s="13" t="str">
        <f>IFERROR(W49/W446, "NA")</f>
        <v>NA</v>
      </c>
      <c r="Y49" s="14"/>
      <c r="Z49" s="12">
        <v>0.0</v>
      </c>
      <c r="AA49" s="13" t="str">
        <f>IFERROR(Z49/Z446, "NA")</f>
        <v>NA</v>
      </c>
      <c r="AB49" s="14"/>
      <c r="AC49" s="15">
        <f t="shared" si="20"/>
        <v>0</v>
      </c>
      <c r="AD49" s="13" t="str">
        <f>IFERROR(AC49/AC446, "NA")</f>
        <v>NA</v>
      </c>
    </row>
    <row r="50" ht="16.5" hidden="1" customHeight="1">
      <c r="A50" s="11" t="s">
        <v>51</v>
      </c>
      <c r="B50" s="12">
        <v>0.0</v>
      </c>
      <c r="C50" s="13" t="str">
        <f>IFERROR(B50/B446, "NA")</f>
        <v>NA</v>
      </c>
      <c r="D50" s="14"/>
      <c r="E50" s="12">
        <v>0.0</v>
      </c>
      <c r="F50" s="13" t="str">
        <f>IFERROR(E50/E446, "NA")</f>
        <v>NA</v>
      </c>
      <c r="G50" s="14"/>
      <c r="H50" s="15">
        <f t="shared" si="17"/>
        <v>0</v>
      </c>
      <c r="I50" s="13" t="str">
        <f>IFERROR(H50/H446, "NA")</f>
        <v>NA</v>
      </c>
      <c r="J50" s="14"/>
      <c r="K50" s="12">
        <v>0.0</v>
      </c>
      <c r="L50" s="13" t="str">
        <f>IFERROR(K50/K446, "NA")</f>
        <v>NA</v>
      </c>
      <c r="M50" s="14"/>
      <c r="N50" s="15">
        <f t="shared" si="18"/>
        <v>0</v>
      </c>
      <c r="O50" s="13" t="str">
        <f>IFERROR(N50/N446, "NA")</f>
        <v>NA</v>
      </c>
      <c r="P50" s="14"/>
      <c r="Q50" s="12">
        <v>0.0</v>
      </c>
      <c r="R50" s="13" t="str">
        <f>IFERROR(Q50/Q446, "NA")</f>
        <v>NA</v>
      </c>
      <c r="S50" s="14"/>
      <c r="T50" s="12">
        <v>0.0</v>
      </c>
      <c r="U50" s="13" t="str">
        <f>IFERROR(T50/T446, "NA")</f>
        <v>NA</v>
      </c>
      <c r="V50" s="14"/>
      <c r="W50" s="15">
        <f t="shared" si="19"/>
        <v>0</v>
      </c>
      <c r="X50" s="13" t="str">
        <f>IFERROR(W50/W446, "NA")</f>
        <v>NA</v>
      </c>
      <c r="Y50" s="14"/>
      <c r="Z50" s="12">
        <v>0.0</v>
      </c>
      <c r="AA50" s="13" t="str">
        <f>IFERROR(Z50/Z446, "NA")</f>
        <v>NA</v>
      </c>
      <c r="AB50" s="14"/>
      <c r="AC50" s="15">
        <f t="shared" si="20"/>
        <v>0</v>
      </c>
      <c r="AD50" s="13" t="str">
        <f>IFERROR(AC50/AC446, "NA")</f>
        <v>NA</v>
      </c>
    </row>
    <row r="51" ht="16.5" hidden="1" customHeight="1">
      <c r="A51" s="11" t="s">
        <v>52</v>
      </c>
      <c r="B51" s="12">
        <v>0.0</v>
      </c>
      <c r="C51" s="13" t="str">
        <f>IFERROR(B51/B446, "NA")</f>
        <v>NA</v>
      </c>
      <c r="D51" s="14"/>
      <c r="E51" s="12">
        <v>0.0</v>
      </c>
      <c r="F51" s="13" t="str">
        <f>IFERROR(E51/E446, "NA")</f>
        <v>NA</v>
      </c>
      <c r="G51" s="14"/>
      <c r="H51" s="15">
        <f t="shared" si="17"/>
        <v>0</v>
      </c>
      <c r="I51" s="13" t="str">
        <f>IFERROR(H51/H446, "NA")</f>
        <v>NA</v>
      </c>
      <c r="J51" s="14"/>
      <c r="K51" s="12">
        <v>0.0</v>
      </c>
      <c r="L51" s="13" t="str">
        <f>IFERROR(K51/K446, "NA")</f>
        <v>NA</v>
      </c>
      <c r="M51" s="14"/>
      <c r="N51" s="15">
        <f t="shared" si="18"/>
        <v>0</v>
      </c>
      <c r="O51" s="13" t="str">
        <f>IFERROR(N51/N446, "NA")</f>
        <v>NA</v>
      </c>
      <c r="P51" s="14"/>
      <c r="Q51" s="12">
        <v>0.0</v>
      </c>
      <c r="R51" s="13" t="str">
        <f>IFERROR(Q51/Q446, "NA")</f>
        <v>NA</v>
      </c>
      <c r="S51" s="14"/>
      <c r="T51" s="12">
        <v>0.0</v>
      </c>
      <c r="U51" s="13" t="str">
        <f>IFERROR(T51/T446, "NA")</f>
        <v>NA</v>
      </c>
      <c r="V51" s="14"/>
      <c r="W51" s="15">
        <f t="shared" si="19"/>
        <v>0</v>
      </c>
      <c r="X51" s="13" t="str">
        <f>IFERROR(W51/W446, "NA")</f>
        <v>NA</v>
      </c>
      <c r="Y51" s="14"/>
      <c r="Z51" s="12">
        <v>0.0</v>
      </c>
      <c r="AA51" s="13" t="str">
        <f>IFERROR(Z51/Z446, "NA")</f>
        <v>NA</v>
      </c>
      <c r="AB51" s="14"/>
      <c r="AC51" s="15">
        <f t="shared" si="20"/>
        <v>0</v>
      </c>
      <c r="AD51" s="13" t="str">
        <f>IFERROR(AC51/AC446, "NA")</f>
        <v>NA</v>
      </c>
    </row>
    <row r="52" ht="16.5" hidden="1" customHeight="1">
      <c r="A52" s="11" t="s">
        <v>53</v>
      </c>
      <c r="B52" s="12">
        <v>0.0</v>
      </c>
      <c r="C52" s="13" t="str">
        <f>IFERROR(B52/B446, "NA")</f>
        <v>NA</v>
      </c>
      <c r="D52" s="14"/>
      <c r="E52" s="12">
        <v>0.0</v>
      </c>
      <c r="F52" s="13" t="str">
        <f>IFERROR(E52/E446, "NA")</f>
        <v>NA</v>
      </c>
      <c r="G52" s="14"/>
      <c r="H52" s="15">
        <f t="shared" si="17"/>
        <v>0</v>
      </c>
      <c r="I52" s="13" t="str">
        <f>IFERROR(H52/H446, "NA")</f>
        <v>NA</v>
      </c>
      <c r="J52" s="14"/>
      <c r="K52" s="12">
        <v>0.0</v>
      </c>
      <c r="L52" s="13" t="str">
        <f>IFERROR(K52/K446, "NA")</f>
        <v>NA</v>
      </c>
      <c r="M52" s="14"/>
      <c r="N52" s="15">
        <f t="shared" si="18"/>
        <v>0</v>
      </c>
      <c r="O52" s="13" t="str">
        <f>IFERROR(N52/N446, "NA")</f>
        <v>NA</v>
      </c>
      <c r="P52" s="14"/>
      <c r="Q52" s="12">
        <v>0.0</v>
      </c>
      <c r="R52" s="13" t="str">
        <f>IFERROR(Q52/Q446, "NA")</f>
        <v>NA</v>
      </c>
      <c r="S52" s="14"/>
      <c r="T52" s="12">
        <v>0.0</v>
      </c>
      <c r="U52" s="13" t="str">
        <f>IFERROR(T52/T446, "NA")</f>
        <v>NA</v>
      </c>
      <c r="V52" s="14"/>
      <c r="W52" s="15">
        <f t="shared" si="19"/>
        <v>0</v>
      </c>
      <c r="X52" s="13" t="str">
        <f>IFERROR(W52/W446, "NA")</f>
        <v>NA</v>
      </c>
      <c r="Y52" s="14"/>
      <c r="Z52" s="12">
        <v>0.0</v>
      </c>
      <c r="AA52" s="13" t="str">
        <f>IFERROR(Z52/Z446, "NA")</f>
        <v>NA</v>
      </c>
      <c r="AB52" s="14"/>
      <c r="AC52" s="15">
        <f t="shared" si="20"/>
        <v>0</v>
      </c>
      <c r="AD52" s="13" t="str">
        <f>IFERROR(AC52/AC446, "NA")</f>
        <v>NA</v>
      </c>
    </row>
    <row r="53" ht="16.5" hidden="1" customHeight="1">
      <c r="A53" s="11" t="s">
        <v>54</v>
      </c>
      <c r="B53" s="12">
        <v>0.0</v>
      </c>
      <c r="C53" s="13" t="str">
        <f>IFERROR(B53/B446, "NA")</f>
        <v>NA</v>
      </c>
      <c r="D53" s="14"/>
      <c r="E53" s="12">
        <v>0.0</v>
      </c>
      <c r="F53" s="13" t="str">
        <f>IFERROR(E53/E446, "NA")</f>
        <v>NA</v>
      </c>
      <c r="G53" s="14"/>
      <c r="H53" s="15">
        <f t="shared" si="17"/>
        <v>0</v>
      </c>
      <c r="I53" s="13" t="str">
        <f>IFERROR(H53/H446, "NA")</f>
        <v>NA</v>
      </c>
      <c r="J53" s="14"/>
      <c r="K53" s="12">
        <v>0.0</v>
      </c>
      <c r="L53" s="13" t="str">
        <f>IFERROR(K53/K446, "NA")</f>
        <v>NA</v>
      </c>
      <c r="M53" s="14"/>
      <c r="N53" s="15">
        <f t="shared" si="18"/>
        <v>0</v>
      </c>
      <c r="O53" s="13" t="str">
        <f>IFERROR(N53/N446, "NA")</f>
        <v>NA</v>
      </c>
      <c r="P53" s="14"/>
      <c r="Q53" s="12">
        <v>0.0</v>
      </c>
      <c r="R53" s="13" t="str">
        <f>IFERROR(Q53/Q446, "NA")</f>
        <v>NA</v>
      </c>
      <c r="S53" s="14"/>
      <c r="T53" s="12">
        <v>0.0</v>
      </c>
      <c r="U53" s="13" t="str">
        <f>IFERROR(T53/T446, "NA")</f>
        <v>NA</v>
      </c>
      <c r="V53" s="14"/>
      <c r="W53" s="15">
        <f t="shared" si="19"/>
        <v>0</v>
      </c>
      <c r="X53" s="13" t="str">
        <f>IFERROR(W53/W446, "NA")</f>
        <v>NA</v>
      </c>
      <c r="Y53" s="14"/>
      <c r="Z53" s="12">
        <v>0.0</v>
      </c>
      <c r="AA53" s="13" t="str">
        <f>IFERROR(Z53/Z446, "NA")</f>
        <v>NA</v>
      </c>
      <c r="AB53" s="14"/>
      <c r="AC53" s="15">
        <f t="shared" si="20"/>
        <v>0</v>
      </c>
      <c r="AD53" s="13" t="str">
        <f>IFERROR(AC53/AC446, "NA")</f>
        <v>NA</v>
      </c>
    </row>
    <row r="54" ht="16.5" hidden="1" customHeight="1">
      <c r="A54" s="11" t="s">
        <v>55</v>
      </c>
      <c r="B54" s="12">
        <v>0.0</v>
      </c>
      <c r="C54" s="13" t="str">
        <f>IFERROR(B54/B446, "NA")</f>
        <v>NA</v>
      </c>
      <c r="D54" s="14"/>
      <c r="E54" s="12">
        <v>0.0</v>
      </c>
      <c r="F54" s="13" t="str">
        <f>IFERROR(E54/E446, "NA")</f>
        <v>NA</v>
      </c>
      <c r="G54" s="14"/>
      <c r="H54" s="15">
        <f t="shared" si="17"/>
        <v>0</v>
      </c>
      <c r="I54" s="13" t="str">
        <f>IFERROR(H54/H446, "NA")</f>
        <v>NA</v>
      </c>
      <c r="J54" s="14"/>
      <c r="K54" s="12">
        <v>0.0</v>
      </c>
      <c r="L54" s="13" t="str">
        <f>IFERROR(K54/K446, "NA")</f>
        <v>NA</v>
      </c>
      <c r="M54" s="14"/>
      <c r="N54" s="15">
        <f t="shared" si="18"/>
        <v>0</v>
      </c>
      <c r="O54" s="13" t="str">
        <f>IFERROR(N54/N446, "NA")</f>
        <v>NA</v>
      </c>
      <c r="P54" s="14"/>
      <c r="Q54" s="12">
        <v>0.0</v>
      </c>
      <c r="R54" s="13" t="str">
        <f>IFERROR(Q54/Q446, "NA")</f>
        <v>NA</v>
      </c>
      <c r="S54" s="14"/>
      <c r="T54" s="12">
        <v>0.0</v>
      </c>
      <c r="U54" s="13" t="str">
        <f>IFERROR(T54/T446, "NA")</f>
        <v>NA</v>
      </c>
      <c r="V54" s="14"/>
      <c r="W54" s="15">
        <f t="shared" si="19"/>
        <v>0</v>
      </c>
      <c r="X54" s="13" t="str">
        <f>IFERROR(W54/W446, "NA")</f>
        <v>NA</v>
      </c>
      <c r="Y54" s="14"/>
      <c r="Z54" s="12">
        <v>0.0</v>
      </c>
      <c r="AA54" s="13" t="str">
        <f>IFERROR(Z54/Z446, "NA")</f>
        <v>NA</v>
      </c>
      <c r="AB54" s="14"/>
      <c r="AC54" s="15">
        <f t="shared" si="20"/>
        <v>0</v>
      </c>
      <c r="AD54" s="13" t="str">
        <f>IFERROR(AC54/AC446, "NA")</f>
        <v>NA</v>
      </c>
    </row>
    <row r="55" ht="16.5" hidden="1" customHeight="1">
      <c r="A55" s="11" t="s">
        <v>56</v>
      </c>
      <c r="B55" s="12">
        <v>0.0</v>
      </c>
      <c r="C55" s="13" t="str">
        <f>IFERROR(B55/B446, "NA")</f>
        <v>NA</v>
      </c>
      <c r="D55" s="14"/>
      <c r="E55" s="12">
        <v>0.0</v>
      </c>
      <c r="F55" s="13" t="str">
        <f>IFERROR(E55/E446, "NA")</f>
        <v>NA</v>
      </c>
      <c r="G55" s="14"/>
      <c r="H55" s="15">
        <f t="shared" si="17"/>
        <v>0</v>
      </c>
      <c r="I55" s="13" t="str">
        <f>IFERROR(H55/H446, "NA")</f>
        <v>NA</v>
      </c>
      <c r="J55" s="14"/>
      <c r="K55" s="12">
        <v>0.0</v>
      </c>
      <c r="L55" s="13" t="str">
        <f>IFERROR(K55/K446, "NA")</f>
        <v>NA</v>
      </c>
      <c r="M55" s="14"/>
      <c r="N55" s="15">
        <f t="shared" si="18"/>
        <v>0</v>
      </c>
      <c r="O55" s="13" t="str">
        <f>IFERROR(N55/N446, "NA")</f>
        <v>NA</v>
      </c>
      <c r="P55" s="14"/>
      <c r="Q55" s="12">
        <v>0.0</v>
      </c>
      <c r="R55" s="13" t="str">
        <f>IFERROR(Q55/Q446, "NA")</f>
        <v>NA</v>
      </c>
      <c r="S55" s="14"/>
      <c r="T55" s="12">
        <v>0.0</v>
      </c>
      <c r="U55" s="13" t="str">
        <f>IFERROR(T55/T446, "NA")</f>
        <v>NA</v>
      </c>
      <c r="V55" s="14"/>
      <c r="W55" s="15">
        <f t="shared" si="19"/>
        <v>0</v>
      </c>
      <c r="X55" s="13" t="str">
        <f>IFERROR(W55/W446, "NA")</f>
        <v>NA</v>
      </c>
      <c r="Y55" s="14"/>
      <c r="Z55" s="12">
        <v>0.0</v>
      </c>
      <c r="AA55" s="13" t="str">
        <f>IFERROR(Z55/Z446, "NA")</f>
        <v>NA</v>
      </c>
      <c r="AB55" s="14"/>
      <c r="AC55" s="15">
        <f t="shared" si="20"/>
        <v>0</v>
      </c>
      <c r="AD55" s="13" t="str">
        <f>IFERROR(AC55/AC446, "NA")</f>
        <v>NA</v>
      </c>
    </row>
    <row r="56" ht="16.5" hidden="1" customHeight="1">
      <c r="A56" s="11" t="s">
        <v>57</v>
      </c>
      <c r="B56" s="12">
        <v>0.0</v>
      </c>
      <c r="C56" s="13" t="str">
        <f>IFERROR(B56/B446, "NA")</f>
        <v>NA</v>
      </c>
      <c r="D56" s="14"/>
      <c r="E56" s="12">
        <v>0.0</v>
      </c>
      <c r="F56" s="13" t="str">
        <f>IFERROR(E56/E446, "NA")</f>
        <v>NA</v>
      </c>
      <c r="G56" s="14"/>
      <c r="H56" s="15">
        <f t="shared" si="17"/>
        <v>0</v>
      </c>
      <c r="I56" s="13" t="str">
        <f>IFERROR(H56/H446, "NA")</f>
        <v>NA</v>
      </c>
      <c r="J56" s="14"/>
      <c r="K56" s="12">
        <v>0.0</v>
      </c>
      <c r="L56" s="13" t="str">
        <f>IFERROR(K56/K446, "NA")</f>
        <v>NA</v>
      </c>
      <c r="M56" s="14"/>
      <c r="N56" s="15">
        <f t="shared" si="18"/>
        <v>0</v>
      </c>
      <c r="O56" s="13" t="str">
        <f>IFERROR(N56/N446, "NA")</f>
        <v>NA</v>
      </c>
      <c r="P56" s="14"/>
      <c r="Q56" s="12">
        <v>0.0</v>
      </c>
      <c r="R56" s="13" t="str">
        <f>IFERROR(Q56/Q446, "NA")</f>
        <v>NA</v>
      </c>
      <c r="S56" s="14"/>
      <c r="T56" s="12">
        <v>0.0</v>
      </c>
      <c r="U56" s="13" t="str">
        <f>IFERROR(T56/T446, "NA")</f>
        <v>NA</v>
      </c>
      <c r="V56" s="14"/>
      <c r="W56" s="15">
        <f t="shared" si="19"/>
        <v>0</v>
      </c>
      <c r="X56" s="13" t="str">
        <f>IFERROR(W56/W446, "NA")</f>
        <v>NA</v>
      </c>
      <c r="Y56" s="14"/>
      <c r="Z56" s="12">
        <v>0.0</v>
      </c>
      <c r="AA56" s="13" t="str">
        <f>IFERROR(Z56/Z446, "NA")</f>
        <v>NA</v>
      </c>
      <c r="AB56" s="14"/>
      <c r="AC56" s="15">
        <f t="shared" si="20"/>
        <v>0</v>
      </c>
      <c r="AD56" s="13" t="str">
        <f>IFERROR(AC56/AC446, "NA")</f>
        <v>NA</v>
      </c>
    </row>
    <row r="57" ht="16.5" hidden="1" customHeight="1">
      <c r="A57" s="11" t="s">
        <v>58</v>
      </c>
      <c r="B57" s="12">
        <v>0.0</v>
      </c>
      <c r="C57" s="13" t="str">
        <f>IFERROR(B57/B446, "NA")</f>
        <v>NA</v>
      </c>
      <c r="D57" s="14"/>
      <c r="E57" s="12">
        <v>0.0</v>
      </c>
      <c r="F57" s="13" t="str">
        <f>IFERROR(E57/E446, "NA")</f>
        <v>NA</v>
      </c>
      <c r="G57" s="14"/>
      <c r="H57" s="15">
        <f t="shared" si="17"/>
        <v>0</v>
      </c>
      <c r="I57" s="13" t="str">
        <f>IFERROR(H57/H446, "NA")</f>
        <v>NA</v>
      </c>
      <c r="J57" s="14"/>
      <c r="K57" s="12">
        <v>0.0</v>
      </c>
      <c r="L57" s="13" t="str">
        <f>IFERROR(K57/K446, "NA")</f>
        <v>NA</v>
      </c>
      <c r="M57" s="14"/>
      <c r="N57" s="15">
        <f t="shared" si="18"/>
        <v>0</v>
      </c>
      <c r="O57" s="13" t="str">
        <f>IFERROR(N57/N446, "NA")</f>
        <v>NA</v>
      </c>
      <c r="P57" s="14"/>
      <c r="Q57" s="12">
        <v>0.0</v>
      </c>
      <c r="R57" s="13" t="str">
        <f>IFERROR(Q57/Q446, "NA")</f>
        <v>NA</v>
      </c>
      <c r="S57" s="14"/>
      <c r="T57" s="12">
        <v>0.0</v>
      </c>
      <c r="U57" s="13" t="str">
        <f>IFERROR(T57/T446, "NA")</f>
        <v>NA</v>
      </c>
      <c r="V57" s="14"/>
      <c r="W57" s="15">
        <f t="shared" si="19"/>
        <v>0</v>
      </c>
      <c r="X57" s="13" t="str">
        <f>IFERROR(W57/W446, "NA")</f>
        <v>NA</v>
      </c>
      <c r="Y57" s="14"/>
      <c r="Z57" s="12">
        <v>0.0</v>
      </c>
      <c r="AA57" s="13" t="str">
        <f>IFERROR(Z57/Z446, "NA")</f>
        <v>NA</v>
      </c>
      <c r="AB57" s="14"/>
      <c r="AC57" s="15">
        <f t="shared" si="20"/>
        <v>0</v>
      </c>
      <c r="AD57" s="13" t="str">
        <f>IFERROR(AC57/AC446, "NA")</f>
        <v>NA</v>
      </c>
    </row>
    <row r="58" ht="16.5" hidden="1" customHeight="1">
      <c r="A58" s="11" t="s">
        <v>59</v>
      </c>
      <c r="B58" s="12">
        <v>0.0</v>
      </c>
      <c r="C58" s="13" t="str">
        <f>IFERROR(B58/B446, "NA")</f>
        <v>NA</v>
      </c>
      <c r="D58" s="14"/>
      <c r="E58" s="12">
        <v>0.0</v>
      </c>
      <c r="F58" s="13" t="str">
        <f>IFERROR(E58/E446, "NA")</f>
        <v>NA</v>
      </c>
      <c r="G58" s="14"/>
      <c r="H58" s="15">
        <f t="shared" si="17"/>
        <v>0</v>
      </c>
      <c r="I58" s="13" t="str">
        <f>IFERROR(H58/H446, "NA")</f>
        <v>NA</v>
      </c>
      <c r="J58" s="14"/>
      <c r="K58" s="12">
        <v>0.0</v>
      </c>
      <c r="L58" s="13" t="str">
        <f>IFERROR(K58/K446, "NA")</f>
        <v>NA</v>
      </c>
      <c r="M58" s="14"/>
      <c r="N58" s="15">
        <f t="shared" si="18"/>
        <v>0</v>
      </c>
      <c r="O58" s="13" t="str">
        <f>IFERROR(N58/N446, "NA")</f>
        <v>NA</v>
      </c>
      <c r="P58" s="14"/>
      <c r="Q58" s="12">
        <v>0.0</v>
      </c>
      <c r="R58" s="13" t="str">
        <f>IFERROR(Q58/Q446, "NA")</f>
        <v>NA</v>
      </c>
      <c r="S58" s="14"/>
      <c r="T58" s="12">
        <v>0.0</v>
      </c>
      <c r="U58" s="13" t="str">
        <f>IFERROR(T58/T446, "NA")</f>
        <v>NA</v>
      </c>
      <c r="V58" s="14"/>
      <c r="W58" s="15">
        <f t="shared" si="19"/>
        <v>0</v>
      </c>
      <c r="X58" s="13" t="str">
        <f>IFERROR(W58/W446, "NA")</f>
        <v>NA</v>
      </c>
      <c r="Y58" s="14"/>
      <c r="Z58" s="12">
        <v>0.0</v>
      </c>
      <c r="AA58" s="13" t="str">
        <f>IFERROR(Z58/Z446, "NA")</f>
        <v>NA</v>
      </c>
      <c r="AB58" s="14"/>
      <c r="AC58" s="15">
        <f t="shared" si="20"/>
        <v>0</v>
      </c>
      <c r="AD58" s="13" t="str">
        <f>IFERROR(AC58/AC446, "NA")</f>
        <v>NA</v>
      </c>
    </row>
    <row r="59" ht="16.5" hidden="1" customHeight="1">
      <c r="A59" s="11" t="s">
        <v>60</v>
      </c>
      <c r="B59" s="12">
        <v>0.0</v>
      </c>
      <c r="C59" s="13" t="str">
        <f>IFERROR(B59/B446, "NA")</f>
        <v>NA</v>
      </c>
      <c r="D59" s="14"/>
      <c r="E59" s="12">
        <v>0.0</v>
      </c>
      <c r="F59" s="13" t="str">
        <f>IFERROR(E59/E446, "NA")</f>
        <v>NA</v>
      </c>
      <c r="G59" s="14"/>
      <c r="H59" s="15">
        <f t="shared" si="17"/>
        <v>0</v>
      </c>
      <c r="I59" s="13" t="str">
        <f>IFERROR(H59/H446, "NA")</f>
        <v>NA</v>
      </c>
      <c r="J59" s="14"/>
      <c r="K59" s="12">
        <v>0.0</v>
      </c>
      <c r="L59" s="13" t="str">
        <f>IFERROR(K59/K446, "NA")</f>
        <v>NA</v>
      </c>
      <c r="M59" s="14"/>
      <c r="N59" s="15">
        <f t="shared" si="18"/>
        <v>0</v>
      </c>
      <c r="O59" s="13" t="str">
        <f>IFERROR(N59/N446, "NA")</f>
        <v>NA</v>
      </c>
      <c r="P59" s="14"/>
      <c r="Q59" s="12">
        <v>0.0</v>
      </c>
      <c r="R59" s="13" t="str">
        <f>IFERROR(Q59/Q446, "NA")</f>
        <v>NA</v>
      </c>
      <c r="S59" s="14"/>
      <c r="T59" s="12">
        <v>0.0</v>
      </c>
      <c r="U59" s="13" t="str">
        <f>IFERROR(T59/T446, "NA")</f>
        <v>NA</v>
      </c>
      <c r="V59" s="14"/>
      <c r="W59" s="15">
        <f t="shared" si="19"/>
        <v>0</v>
      </c>
      <c r="X59" s="13" t="str">
        <f>IFERROR(W59/W446, "NA")</f>
        <v>NA</v>
      </c>
      <c r="Y59" s="14"/>
      <c r="Z59" s="12">
        <v>0.0</v>
      </c>
      <c r="AA59" s="13" t="str">
        <f>IFERROR(Z59/Z446, "NA")</f>
        <v>NA</v>
      </c>
      <c r="AB59" s="14"/>
      <c r="AC59" s="15">
        <f t="shared" si="20"/>
        <v>0</v>
      </c>
      <c r="AD59" s="13" t="str">
        <f>IFERROR(AC59/AC446, "NA")</f>
        <v>NA</v>
      </c>
    </row>
    <row r="60" ht="16.5" hidden="1" customHeight="1">
      <c r="A60" s="11" t="s">
        <v>61</v>
      </c>
      <c r="B60" s="12">
        <v>0.0</v>
      </c>
      <c r="C60" s="13" t="str">
        <f>IFERROR(B60/B446, "NA")</f>
        <v>NA</v>
      </c>
      <c r="D60" s="14"/>
      <c r="E60" s="12">
        <v>0.0</v>
      </c>
      <c r="F60" s="13" t="str">
        <f>IFERROR(E60/E446, "NA")</f>
        <v>NA</v>
      </c>
      <c r="G60" s="14"/>
      <c r="H60" s="15">
        <f t="shared" si="17"/>
        <v>0</v>
      </c>
      <c r="I60" s="13" t="str">
        <f>IFERROR(H60/H446, "NA")</f>
        <v>NA</v>
      </c>
      <c r="J60" s="14"/>
      <c r="K60" s="12">
        <v>0.0</v>
      </c>
      <c r="L60" s="13" t="str">
        <f>IFERROR(K60/K446, "NA")</f>
        <v>NA</v>
      </c>
      <c r="M60" s="14"/>
      <c r="N60" s="15">
        <f t="shared" si="18"/>
        <v>0</v>
      </c>
      <c r="O60" s="13" t="str">
        <f>IFERROR(N60/N446, "NA")</f>
        <v>NA</v>
      </c>
      <c r="P60" s="14"/>
      <c r="Q60" s="12">
        <v>0.0</v>
      </c>
      <c r="R60" s="13" t="str">
        <f>IFERROR(Q60/Q446, "NA")</f>
        <v>NA</v>
      </c>
      <c r="S60" s="14"/>
      <c r="T60" s="12">
        <v>0.0</v>
      </c>
      <c r="U60" s="13" t="str">
        <f>IFERROR(T60/T446, "NA")</f>
        <v>NA</v>
      </c>
      <c r="V60" s="14"/>
      <c r="W60" s="15">
        <f t="shared" si="19"/>
        <v>0</v>
      </c>
      <c r="X60" s="13" t="str">
        <f>IFERROR(W60/W446, "NA")</f>
        <v>NA</v>
      </c>
      <c r="Y60" s="14"/>
      <c r="Z60" s="12">
        <v>0.0</v>
      </c>
      <c r="AA60" s="13" t="str">
        <f>IFERROR(Z60/Z446, "NA")</f>
        <v>NA</v>
      </c>
      <c r="AB60" s="14"/>
      <c r="AC60" s="15">
        <f t="shared" si="20"/>
        <v>0</v>
      </c>
      <c r="AD60" s="13" t="str">
        <f>IFERROR(AC60/AC446, "NA")</f>
        <v>NA</v>
      </c>
    </row>
    <row r="61" ht="16.5" customHeight="1">
      <c r="A61" s="16" t="s">
        <v>62</v>
      </c>
      <c r="B61" s="17">
        <f>IFERROR(B46+B47+B48+B49+B50+B51+B52+B53+B54+B55+B56+B57+B58+B59+B60, "NA")</f>
        <v>0</v>
      </c>
      <c r="C61" s="18" t="str">
        <f>IFERROR(B61/B446, "NA")</f>
        <v>NA</v>
      </c>
      <c r="D61" s="8"/>
      <c r="E61" s="17">
        <f>IFERROR(E46+E47+E48+E49+E50+E51+E52+E53+E54+E55+E56+E57+E58+E59+E60, "NA")</f>
        <v>0</v>
      </c>
      <c r="F61" s="18" t="str">
        <f>IFERROR(E61/E446, "NA")</f>
        <v>NA</v>
      </c>
      <c r="G61" s="8"/>
      <c r="H61" s="17">
        <f t="shared" si="17"/>
        <v>0</v>
      </c>
      <c r="I61" s="18" t="str">
        <f>IFERROR(H61/H446, "NA")</f>
        <v>NA</v>
      </c>
      <c r="J61" s="8"/>
      <c r="K61" s="17">
        <f>IFERROR(K46+K47+K48+K49+K50+K51+K52+K53+K54+K55+K56+K57+K58+K59+K60, "NA")</f>
        <v>0</v>
      </c>
      <c r="L61" s="18" t="str">
        <f>IFERROR(K61/K446, "NA")</f>
        <v>NA</v>
      </c>
      <c r="M61" s="8"/>
      <c r="N61" s="17">
        <f t="shared" si="18"/>
        <v>0</v>
      </c>
      <c r="O61" s="18" t="str">
        <f>IFERROR(N61/N446, "NA")</f>
        <v>NA</v>
      </c>
      <c r="P61" s="8"/>
      <c r="Q61" s="17">
        <f>IFERROR(Q46+Q47+Q48+Q49+Q50+Q51+Q52+Q53+Q54+Q55+Q56+Q57+Q58+Q59+Q60, "NA")</f>
        <v>0</v>
      </c>
      <c r="R61" s="18" t="str">
        <f>IFERROR(Q61/Q446, "NA")</f>
        <v>NA</v>
      </c>
      <c r="S61" s="8"/>
      <c r="T61" s="17">
        <f>IFERROR(T46+T47+T48+T49+T50+T51+T52+T53+T54+T55+T56+T57+T58+T59+T60, "NA")</f>
        <v>0</v>
      </c>
      <c r="U61" s="18" t="str">
        <f>IFERROR(T61/T446, "NA")</f>
        <v>NA</v>
      </c>
      <c r="V61" s="8"/>
      <c r="W61" s="17">
        <f t="shared" si="19"/>
        <v>0</v>
      </c>
      <c r="X61" s="18" t="str">
        <f>IFERROR(W61/W446, "NA")</f>
        <v>NA</v>
      </c>
      <c r="Y61" s="8"/>
      <c r="Z61" s="17">
        <f>IFERROR(Z46+Z47+Z48+Z49+Z50+Z51+Z52+Z53+Z54+Z55+Z56+Z57+Z58+Z59+Z60, "NA")</f>
        <v>0</v>
      </c>
      <c r="AA61" s="18" t="str">
        <f>IFERROR(Z61/Z446, "NA")</f>
        <v>NA</v>
      </c>
      <c r="AB61" s="8"/>
      <c r="AC61" s="17">
        <f t="shared" si="20"/>
        <v>0</v>
      </c>
      <c r="AD61" s="18" t="str">
        <f>IFERROR(AC61/AC446, "NA")</f>
        <v>NA</v>
      </c>
    </row>
    <row r="62" ht="16.5" customHeight="1">
      <c r="A62" s="16" t="s">
        <v>63</v>
      </c>
      <c r="B62" s="17">
        <f>IFERROR(B42+B43+B44+B46+B47+B48+B49+B50+B51+B52+B53+B54+B55+B56+B57+B58+B59+B60, "NA")</f>
        <v>0</v>
      </c>
      <c r="C62" s="18" t="str">
        <f>IFERROR(B62/B446, "NA")</f>
        <v>NA</v>
      </c>
      <c r="D62" s="8"/>
      <c r="E62" s="17">
        <f>IFERROR(E42+E43+E44+E46+E47+E48+E49+E50+E51+E52+E53+E54+E55+E56+E57+E58+E59+E60, "NA")</f>
        <v>0</v>
      </c>
      <c r="F62" s="18" t="str">
        <f>IFERROR(E62/E446, "NA")</f>
        <v>NA</v>
      </c>
      <c r="G62" s="8"/>
      <c r="H62" s="17">
        <f t="shared" si="17"/>
        <v>0</v>
      </c>
      <c r="I62" s="18" t="str">
        <f>IFERROR(H62/H446, "NA")</f>
        <v>NA</v>
      </c>
      <c r="J62" s="8"/>
      <c r="K62" s="17">
        <f>IFERROR(K42+K43+K44+K46+K47+K48+K49+K50+K51+K52+K53+K54+K55+K56+K57+K58+K59+K60, "NA")</f>
        <v>0</v>
      </c>
      <c r="L62" s="18" t="str">
        <f>IFERROR(K62/K446, "NA")</f>
        <v>NA</v>
      </c>
      <c r="M62" s="8"/>
      <c r="N62" s="17">
        <f t="shared" si="18"/>
        <v>0</v>
      </c>
      <c r="O62" s="18" t="str">
        <f>IFERROR(N62/N446, "NA")</f>
        <v>NA</v>
      </c>
      <c r="P62" s="8"/>
      <c r="Q62" s="17">
        <f>IFERROR(Q42+Q43+Q44+Q46+Q47+Q48+Q49+Q50+Q51+Q52+Q53+Q54+Q55+Q56+Q57+Q58+Q59+Q60, "NA")</f>
        <v>0</v>
      </c>
      <c r="R62" s="18" t="str">
        <f>IFERROR(Q62/Q446, "NA")</f>
        <v>NA</v>
      </c>
      <c r="S62" s="8"/>
      <c r="T62" s="17">
        <f>IFERROR(T42+T43+T44+T46+T47+T48+T49+T50+T51+T52+T53+T54+T55+T56+T57+T58+T59+T60, "NA")</f>
        <v>0</v>
      </c>
      <c r="U62" s="18" t="str">
        <f>IFERROR(T62/T446, "NA")</f>
        <v>NA</v>
      </c>
      <c r="V62" s="8"/>
      <c r="W62" s="17">
        <f t="shared" si="19"/>
        <v>0</v>
      </c>
      <c r="X62" s="18" t="str">
        <f>IFERROR(W62/W446, "NA")</f>
        <v>NA</v>
      </c>
      <c r="Y62" s="8"/>
      <c r="Z62" s="17">
        <f>IFERROR(Z42+Z43+Z44+Z46+Z47+Z48+Z49+Z50+Z51+Z52+Z53+Z54+Z55+Z56+Z57+Z58+Z59+Z60, "NA")</f>
        <v>0</v>
      </c>
      <c r="AA62" s="18" t="str">
        <f>IFERROR(Z62/Z446, "NA")</f>
        <v>NA</v>
      </c>
      <c r="AB62" s="8"/>
      <c r="AC62" s="17">
        <f t="shared" si="20"/>
        <v>0</v>
      </c>
      <c r="AD62" s="18" t="str">
        <f>IFERROR(AC62/AC446, "NA")</f>
        <v>NA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hidden="1" customHeight="1">
      <c r="A64" s="11" t="s">
        <v>64</v>
      </c>
      <c r="B64" s="12">
        <v>0.0</v>
      </c>
      <c r="C64" s="13" t="str">
        <f>IFERROR(B64/B446, "NA")</f>
        <v>NA</v>
      </c>
      <c r="D64" s="14"/>
      <c r="E64" s="12">
        <v>0.0</v>
      </c>
      <c r="F64" s="13" t="str">
        <f>IFERROR(E64/E446, "NA")</f>
        <v>NA</v>
      </c>
      <c r="G64" s="14"/>
      <c r="H64" s="15">
        <f t="shared" ref="H64:H73" si="21">IFERROR(B64-E64, "NA")</f>
        <v>0</v>
      </c>
      <c r="I64" s="13" t="str">
        <f>IFERROR(H64/H446, "NA")</f>
        <v>NA</v>
      </c>
      <c r="J64" s="14"/>
      <c r="K64" s="12">
        <v>0.0</v>
      </c>
      <c r="L64" s="13" t="str">
        <f>IFERROR(K64/K446, "NA")</f>
        <v>NA</v>
      </c>
      <c r="M64" s="14"/>
      <c r="N64" s="15">
        <f t="shared" ref="N64:N73" si="22">IFERROR(B64-K64, "NA")</f>
        <v>0</v>
      </c>
      <c r="O64" s="13" t="str">
        <f>IFERROR(N64/N446, "NA")</f>
        <v>NA</v>
      </c>
      <c r="P64" s="14"/>
      <c r="Q64" s="12">
        <v>0.0</v>
      </c>
      <c r="R64" s="13" t="str">
        <f>IFERROR(Q64/Q446, "NA")</f>
        <v>NA</v>
      </c>
      <c r="S64" s="14"/>
      <c r="T64" s="12">
        <v>0.0</v>
      </c>
      <c r="U64" s="13" t="str">
        <f>IFERROR(T64/T446, "NA")</f>
        <v>NA</v>
      </c>
      <c r="V64" s="14"/>
      <c r="W64" s="15">
        <f t="shared" ref="W64:W73" si="23">IFERROR(Q64-T64, "NA")</f>
        <v>0</v>
      </c>
      <c r="X64" s="13" t="str">
        <f>IFERROR(W64/W446, "NA")</f>
        <v>NA</v>
      </c>
      <c r="Y64" s="14"/>
      <c r="Z64" s="12">
        <v>0.0</v>
      </c>
      <c r="AA64" s="13" t="str">
        <f>IFERROR(Z64/Z446, "NA")</f>
        <v>NA</v>
      </c>
      <c r="AB64" s="14"/>
      <c r="AC64" s="15">
        <f t="shared" ref="AC64:AC73" si="24">IFERROR(Q64-Z64, "NA")</f>
        <v>0</v>
      </c>
      <c r="AD64" s="13" t="str">
        <f>IFERROR(AC64/AC446, "NA")</f>
        <v>NA</v>
      </c>
    </row>
    <row r="65" ht="16.5" hidden="1" customHeight="1">
      <c r="A65" s="11" t="s">
        <v>65</v>
      </c>
      <c r="B65" s="12">
        <v>0.0</v>
      </c>
      <c r="C65" s="13" t="str">
        <f>IFERROR(B65/B446, "NA")</f>
        <v>NA</v>
      </c>
      <c r="D65" s="14"/>
      <c r="E65" s="12">
        <v>0.0</v>
      </c>
      <c r="F65" s="13" t="str">
        <f>IFERROR(E65/E446, "NA")</f>
        <v>NA</v>
      </c>
      <c r="G65" s="14"/>
      <c r="H65" s="15">
        <f t="shared" si="21"/>
        <v>0</v>
      </c>
      <c r="I65" s="13" t="str">
        <f>IFERROR(H65/H446, "NA")</f>
        <v>NA</v>
      </c>
      <c r="J65" s="14"/>
      <c r="K65" s="12">
        <v>0.0</v>
      </c>
      <c r="L65" s="13" t="str">
        <f>IFERROR(K65/K446, "NA")</f>
        <v>NA</v>
      </c>
      <c r="M65" s="14"/>
      <c r="N65" s="15">
        <f t="shared" si="22"/>
        <v>0</v>
      </c>
      <c r="O65" s="13" t="str">
        <f>IFERROR(N65/N446, "NA")</f>
        <v>NA</v>
      </c>
      <c r="P65" s="14"/>
      <c r="Q65" s="12">
        <v>0.0</v>
      </c>
      <c r="R65" s="13" t="str">
        <f>IFERROR(Q65/Q446, "NA")</f>
        <v>NA</v>
      </c>
      <c r="S65" s="14"/>
      <c r="T65" s="12">
        <v>0.0</v>
      </c>
      <c r="U65" s="13" t="str">
        <f>IFERROR(T65/T446, "NA")</f>
        <v>NA</v>
      </c>
      <c r="V65" s="14"/>
      <c r="W65" s="15">
        <f t="shared" si="23"/>
        <v>0</v>
      </c>
      <c r="X65" s="13" t="str">
        <f>IFERROR(W65/W446, "NA")</f>
        <v>NA</v>
      </c>
      <c r="Y65" s="14"/>
      <c r="Z65" s="12">
        <v>0.0</v>
      </c>
      <c r="AA65" s="13" t="str">
        <f>IFERROR(Z65/Z446, "NA")</f>
        <v>NA</v>
      </c>
      <c r="AB65" s="14"/>
      <c r="AC65" s="15">
        <f t="shared" si="24"/>
        <v>0</v>
      </c>
      <c r="AD65" s="13" t="str">
        <f>IFERROR(AC65/AC446, "NA")</f>
        <v>NA</v>
      </c>
    </row>
    <row r="66" ht="16.5" hidden="1" customHeight="1">
      <c r="A66" s="11" t="s">
        <v>66</v>
      </c>
      <c r="B66" s="12">
        <v>0.0</v>
      </c>
      <c r="C66" s="13" t="str">
        <f>IFERROR(B66/B446, "NA")</f>
        <v>NA</v>
      </c>
      <c r="D66" s="14"/>
      <c r="E66" s="12">
        <v>0.0</v>
      </c>
      <c r="F66" s="13" t="str">
        <f>IFERROR(E66/E446, "NA")</f>
        <v>NA</v>
      </c>
      <c r="G66" s="14"/>
      <c r="H66" s="15">
        <f t="shared" si="21"/>
        <v>0</v>
      </c>
      <c r="I66" s="13" t="str">
        <f>IFERROR(H66/H446, "NA")</f>
        <v>NA</v>
      </c>
      <c r="J66" s="14"/>
      <c r="K66" s="12">
        <v>0.0</v>
      </c>
      <c r="L66" s="13" t="str">
        <f>IFERROR(K66/K446, "NA")</f>
        <v>NA</v>
      </c>
      <c r="M66" s="14"/>
      <c r="N66" s="15">
        <f t="shared" si="22"/>
        <v>0</v>
      </c>
      <c r="O66" s="13" t="str">
        <f>IFERROR(N66/N446, "NA")</f>
        <v>NA</v>
      </c>
      <c r="P66" s="14"/>
      <c r="Q66" s="12">
        <v>0.0</v>
      </c>
      <c r="R66" s="13" t="str">
        <f>IFERROR(Q66/Q446, "NA")</f>
        <v>NA</v>
      </c>
      <c r="S66" s="14"/>
      <c r="T66" s="12">
        <v>0.0</v>
      </c>
      <c r="U66" s="13" t="str">
        <f>IFERROR(T66/T446, "NA")</f>
        <v>NA</v>
      </c>
      <c r="V66" s="14"/>
      <c r="W66" s="15">
        <f t="shared" si="23"/>
        <v>0</v>
      </c>
      <c r="X66" s="13" t="str">
        <f>IFERROR(W66/W446, "NA")</f>
        <v>NA</v>
      </c>
      <c r="Y66" s="14"/>
      <c r="Z66" s="12">
        <v>0.0</v>
      </c>
      <c r="AA66" s="13" t="str">
        <f>IFERROR(Z66/Z446, "NA")</f>
        <v>NA</v>
      </c>
      <c r="AB66" s="14"/>
      <c r="AC66" s="15">
        <f t="shared" si="24"/>
        <v>0</v>
      </c>
      <c r="AD66" s="13" t="str">
        <f>IFERROR(AC66/AC446, "NA")</f>
        <v>NA</v>
      </c>
    </row>
    <row r="67" ht="16.5" hidden="1" customHeight="1">
      <c r="A67" s="11" t="s">
        <v>67</v>
      </c>
      <c r="B67" s="12">
        <v>0.0</v>
      </c>
      <c r="C67" s="13" t="str">
        <f>IFERROR(B67/B446, "NA")</f>
        <v>NA</v>
      </c>
      <c r="D67" s="14"/>
      <c r="E67" s="12">
        <v>0.0</v>
      </c>
      <c r="F67" s="13" t="str">
        <f>IFERROR(E67/E446, "NA")</f>
        <v>NA</v>
      </c>
      <c r="G67" s="14"/>
      <c r="H67" s="15">
        <f t="shared" si="21"/>
        <v>0</v>
      </c>
      <c r="I67" s="13" t="str">
        <f>IFERROR(H67/H446, "NA")</f>
        <v>NA</v>
      </c>
      <c r="J67" s="14"/>
      <c r="K67" s="12">
        <v>0.0</v>
      </c>
      <c r="L67" s="13" t="str">
        <f>IFERROR(K67/K446, "NA")</f>
        <v>NA</v>
      </c>
      <c r="M67" s="14"/>
      <c r="N67" s="15">
        <f t="shared" si="22"/>
        <v>0</v>
      </c>
      <c r="O67" s="13" t="str">
        <f>IFERROR(N67/N446, "NA")</f>
        <v>NA</v>
      </c>
      <c r="P67" s="14"/>
      <c r="Q67" s="12">
        <v>0.0</v>
      </c>
      <c r="R67" s="13" t="str">
        <f>IFERROR(Q67/Q446, "NA")</f>
        <v>NA</v>
      </c>
      <c r="S67" s="14"/>
      <c r="T67" s="12">
        <v>0.0</v>
      </c>
      <c r="U67" s="13" t="str">
        <f>IFERROR(T67/T446, "NA")</f>
        <v>NA</v>
      </c>
      <c r="V67" s="14"/>
      <c r="W67" s="15">
        <f t="shared" si="23"/>
        <v>0</v>
      </c>
      <c r="X67" s="13" t="str">
        <f>IFERROR(W67/W446, "NA")</f>
        <v>NA</v>
      </c>
      <c r="Y67" s="14"/>
      <c r="Z67" s="12">
        <v>0.0</v>
      </c>
      <c r="AA67" s="13" t="str">
        <f>IFERROR(Z67/Z446, "NA")</f>
        <v>NA</v>
      </c>
      <c r="AB67" s="14"/>
      <c r="AC67" s="15">
        <f t="shared" si="24"/>
        <v>0</v>
      </c>
      <c r="AD67" s="13" t="str">
        <f>IFERROR(AC67/AC446, "NA")</f>
        <v>NA</v>
      </c>
    </row>
    <row r="68" ht="16.5" hidden="1" customHeight="1">
      <c r="A68" s="11" t="s">
        <v>68</v>
      </c>
      <c r="B68" s="12">
        <v>0.0</v>
      </c>
      <c r="C68" s="13" t="str">
        <f>IFERROR(B68/B446, "NA")</f>
        <v>NA</v>
      </c>
      <c r="D68" s="14"/>
      <c r="E68" s="12">
        <v>0.0</v>
      </c>
      <c r="F68" s="13" t="str">
        <f>IFERROR(E68/E446, "NA")</f>
        <v>NA</v>
      </c>
      <c r="G68" s="14"/>
      <c r="H68" s="15">
        <f t="shared" si="21"/>
        <v>0</v>
      </c>
      <c r="I68" s="13" t="str">
        <f>IFERROR(H68/H446, "NA")</f>
        <v>NA</v>
      </c>
      <c r="J68" s="14"/>
      <c r="K68" s="12">
        <v>0.0</v>
      </c>
      <c r="L68" s="13" t="str">
        <f>IFERROR(K68/K446, "NA")</f>
        <v>NA</v>
      </c>
      <c r="M68" s="14"/>
      <c r="N68" s="15">
        <f t="shared" si="22"/>
        <v>0</v>
      </c>
      <c r="O68" s="13" t="str">
        <f>IFERROR(N68/N446, "NA")</f>
        <v>NA</v>
      </c>
      <c r="P68" s="14"/>
      <c r="Q68" s="12">
        <v>0.0</v>
      </c>
      <c r="R68" s="13" t="str">
        <f>IFERROR(Q68/Q446, "NA")</f>
        <v>NA</v>
      </c>
      <c r="S68" s="14"/>
      <c r="T68" s="12">
        <v>0.0</v>
      </c>
      <c r="U68" s="13" t="str">
        <f>IFERROR(T68/T446, "NA")</f>
        <v>NA</v>
      </c>
      <c r="V68" s="14"/>
      <c r="W68" s="15">
        <f t="shared" si="23"/>
        <v>0</v>
      </c>
      <c r="X68" s="13" t="str">
        <f>IFERROR(W68/W446, "NA")</f>
        <v>NA</v>
      </c>
      <c r="Y68" s="14"/>
      <c r="Z68" s="12">
        <v>0.0</v>
      </c>
      <c r="AA68" s="13" t="str">
        <f>IFERROR(Z68/Z446, "NA")</f>
        <v>NA</v>
      </c>
      <c r="AB68" s="14"/>
      <c r="AC68" s="15">
        <f t="shared" si="24"/>
        <v>0</v>
      </c>
      <c r="AD68" s="13" t="str">
        <f>IFERROR(AC68/AC446, "NA")</f>
        <v>NA</v>
      </c>
    </row>
    <row r="69" ht="16.5" hidden="1" customHeight="1">
      <c r="A69" s="11" t="s">
        <v>69</v>
      </c>
      <c r="B69" s="12">
        <v>0.0</v>
      </c>
      <c r="C69" s="13" t="str">
        <f>IFERROR(B69/B446, "NA")</f>
        <v>NA</v>
      </c>
      <c r="D69" s="14"/>
      <c r="E69" s="12">
        <v>0.0</v>
      </c>
      <c r="F69" s="13" t="str">
        <f>IFERROR(E69/E446, "NA")</f>
        <v>NA</v>
      </c>
      <c r="G69" s="14"/>
      <c r="H69" s="15">
        <f t="shared" si="21"/>
        <v>0</v>
      </c>
      <c r="I69" s="13" t="str">
        <f>IFERROR(H69/H446, "NA")</f>
        <v>NA</v>
      </c>
      <c r="J69" s="14"/>
      <c r="K69" s="12">
        <v>0.0</v>
      </c>
      <c r="L69" s="13" t="str">
        <f>IFERROR(K69/K446, "NA")</f>
        <v>NA</v>
      </c>
      <c r="M69" s="14"/>
      <c r="N69" s="15">
        <f t="shared" si="22"/>
        <v>0</v>
      </c>
      <c r="O69" s="13" t="str">
        <f>IFERROR(N69/N446, "NA")</f>
        <v>NA</v>
      </c>
      <c r="P69" s="14"/>
      <c r="Q69" s="12">
        <v>0.0</v>
      </c>
      <c r="R69" s="13" t="str">
        <f>IFERROR(Q69/Q446, "NA")</f>
        <v>NA</v>
      </c>
      <c r="S69" s="14"/>
      <c r="T69" s="12">
        <v>0.0</v>
      </c>
      <c r="U69" s="13" t="str">
        <f>IFERROR(T69/T446, "NA")</f>
        <v>NA</v>
      </c>
      <c r="V69" s="14"/>
      <c r="W69" s="15">
        <f t="shared" si="23"/>
        <v>0</v>
      </c>
      <c r="X69" s="13" t="str">
        <f>IFERROR(W69/W446, "NA")</f>
        <v>NA</v>
      </c>
      <c r="Y69" s="14"/>
      <c r="Z69" s="12">
        <v>0.0</v>
      </c>
      <c r="AA69" s="13" t="str">
        <f>IFERROR(Z69/Z446, "NA")</f>
        <v>NA</v>
      </c>
      <c r="AB69" s="14"/>
      <c r="AC69" s="15">
        <f t="shared" si="24"/>
        <v>0</v>
      </c>
      <c r="AD69" s="13" t="str">
        <f>IFERROR(AC69/AC446, "NA")</f>
        <v>NA</v>
      </c>
    </row>
    <row r="70" ht="16.5" hidden="1" customHeight="1">
      <c r="A70" s="11" t="s">
        <v>70</v>
      </c>
      <c r="B70" s="12">
        <v>0.0</v>
      </c>
      <c r="C70" s="13" t="str">
        <f>IFERROR(B70/B446, "NA")</f>
        <v>NA</v>
      </c>
      <c r="D70" s="14"/>
      <c r="E70" s="12">
        <v>0.0</v>
      </c>
      <c r="F70" s="13" t="str">
        <f>IFERROR(E70/E446, "NA")</f>
        <v>NA</v>
      </c>
      <c r="G70" s="14"/>
      <c r="H70" s="15">
        <f t="shared" si="21"/>
        <v>0</v>
      </c>
      <c r="I70" s="13" t="str">
        <f>IFERROR(H70/H446, "NA")</f>
        <v>NA</v>
      </c>
      <c r="J70" s="14"/>
      <c r="K70" s="12">
        <v>0.0</v>
      </c>
      <c r="L70" s="13" t="str">
        <f>IFERROR(K70/K446, "NA")</f>
        <v>NA</v>
      </c>
      <c r="M70" s="14"/>
      <c r="N70" s="15">
        <f t="shared" si="22"/>
        <v>0</v>
      </c>
      <c r="O70" s="13" t="str">
        <f>IFERROR(N70/N446, "NA")</f>
        <v>NA</v>
      </c>
      <c r="P70" s="14"/>
      <c r="Q70" s="12">
        <v>0.0</v>
      </c>
      <c r="R70" s="13" t="str">
        <f>IFERROR(Q70/Q446, "NA")</f>
        <v>NA</v>
      </c>
      <c r="S70" s="14"/>
      <c r="T70" s="12">
        <v>0.0</v>
      </c>
      <c r="U70" s="13" t="str">
        <f>IFERROR(T70/T446, "NA")</f>
        <v>NA</v>
      </c>
      <c r="V70" s="14"/>
      <c r="W70" s="15">
        <f t="shared" si="23"/>
        <v>0</v>
      </c>
      <c r="X70" s="13" t="str">
        <f>IFERROR(W70/W446, "NA")</f>
        <v>NA</v>
      </c>
      <c r="Y70" s="14"/>
      <c r="Z70" s="12">
        <v>0.0</v>
      </c>
      <c r="AA70" s="13" t="str">
        <f>IFERROR(Z70/Z446, "NA")</f>
        <v>NA</v>
      </c>
      <c r="AB70" s="14"/>
      <c r="AC70" s="15">
        <f t="shared" si="24"/>
        <v>0</v>
      </c>
      <c r="AD70" s="13" t="str">
        <f>IFERROR(AC70/AC446, "NA")</f>
        <v>NA</v>
      </c>
    </row>
    <row r="71" ht="16.5" hidden="1" customHeight="1">
      <c r="A71" s="11" t="s">
        <v>71</v>
      </c>
      <c r="B71" s="12">
        <v>0.0</v>
      </c>
      <c r="C71" s="13" t="str">
        <f>IFERROR(B71/B446, "NA")</f>
        <v>NA</v>
      </c>
      <c r="D71" s="14"/>
      <c r="E71" s="12">
        <v>0.0</v>
      </c>
      <c r="F71" s="13" t="str">
        <f>IFERROR(E71/E446, "NA")</f>
        <v>NA</v>
      </c>
      <c r="G71" s="14"/>
      <c r="H71" s="15">
        <f t="shared" si="21"/>
        <v>0</v>
      </c>
      <c r="I71" s="13" t="str">
        <f>IFERROR(H71/H446, "NA")</f>
        <v>NA</v>
      </c>
      <c r="J71" s="14"/>
      <c r="K71" s="12">
        <v>0.0</v>
      </c>
      <c r="L71" s="13" t="str">
        <f>IFERROR(K71/K446, "NA")</f>
        <v>NA</v>
      </c>
      <c r="M71" s="14"/>
      <c r="N71" s="15">
        <f t="shared" si="22"/>
        <v>0</v>
      </c>
      <c r="O71" s="13" t="str">
        <f>IFERROR(N71/N446, "NA")</f>
        <v>NA</v>
      </c>
      <c r="P71" s="14"/>
      <c r="Q71" s="12">
        <v>0.0</v>
      </c>
      <c r="R71" s="13" t="str">
        <f>IFERROR(Q71/Q446, "NA")</f>
        <v>NA</v>
      </c>
      <c r="S71" s="14"/>
      <c r="T71" s="12">
        <v>0.0</v>
      </c>
      <c r="U71" s="13" t="str">
        <f>IFERROR(T71/T446, "NA")</f>
        <v>NA</v>
      </c>
      <c r="V71" s="14"/>
      <c r="W71" s="15">
        <f t="shared" si="23"/>
        <v>0</v>
      </c>
      <c r="X71" s="13" t="str">
        <f>IFERROR(W71/W446, "NA")</f>
        <v>NA</v>
      </c>
      <c r="Y71" s="14"/>
      <c r="Z71" s="12">
        <v>0.0</v>
      </c>
      <c r="AA71" s="13" t="str">
        <f>IFERROR(Z71/Z446, "NA")</f>
        <v>NA</v>
      </c>
      <c r="AB71" s="14"/>
      <c r="AC71" s="15">
        <f t="shared" si="24"/>
        <v>0</v>
      </c>
      <c r="AD71" s="13" t="str">
        <f>IFERROR(AC71/AC446, "NA")</f>
        <v>NA</v>
      </c>
    </row>
    <row r="72" ht="16.5" hidden="1" customHeight="1">
      <c r="A72" s="11" t="s">
        <v>72</v>
      </c>
      <c r="B72" s="12">
        <v>0.0</v>
      </c>
      <c r="C72" s="13" t="str">
        <f>IFERROR(B72/B446, "NA")</f>
        <v>NA</v>
      </c>
      <c r="D72" s="14"/>
      <c r="E72" s="12">
        <v>0.0</v>
      </c>
      <c r="F72" s="13" t="str">
        <f>IFERROR(E72/E446, "NA")</f>
        <v>NA</v>
      </c>
      <c r="G72" s="14"/>
      <c r="H72" s="15">
        <f t="shared" si="21"/>
        <v>0</v>
      </c>
      <c r="I72" s="13" t="str">
        <f>IFERROR(H72/H446, "NA")</f>
        <v>NA</v>
      </c>
      <c r="J72" s="14"/>
      <c r="K72" s="12">
        <v>0.0</v>
      </c>
      <c r="L72" s="13" t="str">
        <f>IFERROR(K72/K446, "NA")</f>
        <v>NA</v>
      </c>
      <c r="M72" s="14"/>
      <c r="N72" s="15">
        <f t="shared" si="22"/>
        <v>0</v>
      </c>
      <c r="O72" s="13" t="str">
        <f>IFERROR(N72/N446, "NA")</f>
        <v>NA</v>
      </c>
      <c r="P72" s="14"/>
      <c r="Q72" s="12">
        <v>0.0</v>
      </c>
      <c r="R72" s="13" t="str">
        <f>IFERROR(Q72/Q446, "NA")</f>
        <v>NA</v>
      </c>
      <c r="S72" s="14"/>
      <c r="T72" s="12">
        <v>0.0</v>
      </c>
      <c r="U72" s="13" t="str">
        <f>IFERROR(T72/T446, "NA")</f>
        <v>NA</v>
      </c>
      <c r="V72" s="14"/>
      <c r="W72" s="15">
        <f t="shared" si="23"/>
        <v>0</v>
      </c>
      <c r="X72" s="13" t="str">
        <f>IFERROR(W72/W446, "NA")</f>
        <v>NA</v>
      </c>
      <c r="Y72" s="14"/>
      <c r="Z72" s="12">
        <v>0.0</v>
      </c>
      <c r="AA72" s="13" t="str">
        <f>IFERROR(Z72/Z446, "NA")</f>
        <v>NA</v>
      </c>
      <c r="AB72" s="14"/>
      <c r="AC72" s="15">
        <f t="shared" si="24"/>
        <v>0</v>
      </c>
      <c r="AD72" s="13" t="str">
        <f>IFERROR(AC72/AC446, "NA")</f>
        <v>NA</v>
      </c>
    </row>
    <row r="73" ht="16.5" customHeight="1">
      <c r="A73" s="16" t="s">
        <v>73</v>
      </c>
      <c r="B73" s="17">
        <f>IFERROR(B64+B65+B66+B67+B68+B69+B70+B71+B72, "NA")</f>
        <v>0</v>
      </c>
      <c r="C73" s="18" t="str">
        <f>IFERROR(B73/B446, "NA")</f>
        <v>NA</v>
      </c>
      <c r="D73" s="8"/>
      <c r="E73" s="17">
        <f>IFERROR(E64+E65+E66+E67+E68+E69+E70+E71+E72, "NA")</f>
        <v>0</v>
      </c>
      <c r="F73" s="18" t="str">
        <f>IFERROR(E73/E446, "NA")</f>
        <v>NA</v>
      </c>
      <c r="G73" s="8"/>
      <c r="H73" s="17">
        <f t="shared" si="21"/>
        <v>0</v>
      </c>
      <c r="I73" s="18" t="str">
        <f>IFERROR(H73/H446, "NA")</f>
        <v>NA</v>
      </c>
      <c r="J73" s="8"/>
      <c r="K73" s="17">
        <f>IFERROR(K64+K65+K66+K67+K68+K69+K70+K71+K72, "NA")</f>
        <v>0</v>
      </c>
      <c r="L73" s="18" t="str">
        <f>IFERROR(K73/K446, "NA")</f>
        <v>NA</v>
      </c>
      <c r="M73" s="8"/>
      <c r="N73" s="17">
        <f t="shared" si="22"/>
        <v>0</v>
      </c>
      <c r="O73" s="18" t="str">
        <f>IFERROR(N73/N446, "NA")</f>
        <v>NA</v>
      </c>
      <c r="P73" s="8"/>
      <c r="Q73" s="17">
        <f>IFERROR(Q64+Q65+Q66+Q67+Q68+Q69+Q70+Q71+Q72, "NA")</f>
        <v>0</v>
      </c>
      <c r="R73" s="18" t="str">
        <f>IFERROR(Q73/Q446, "NA")</f>
        <v>NA</v>
      </c>
      <c r="S73" s="8"/>
      <c r="T73" s="17">
        <f>IFERROR(T64+T65+T66+T67+T68+T69+T70+T71+T72, "NA")</f>
        <v>0</v>
      </c>
      <c r="U73" s="18" t="str">
        <f>IFERROR(T73/T446, "NA")</f>
        <v>NA</v>
      </c>
      <c r="V73" s="8"/>
      <c r="W73" s="17">
        <f t="shared" si="23"/>
        <v>0</v>
      </c>
      <c r="X73" s="18" t="str">
        <f>IFERROR(W73/W446, "NA")</f>
        <v>NA</v>
      </c>
      <c r="Y73" s="8"/>
      <c r="Z73" s="17">
        <f>IFERROR(Z64+Z65+Z66+Z67+Z68+Z69+Z70+Z71+Z72, "NA")</f>
        <v>0</v>
      </c>
      <c r="AA73" s="18" t="str">
        <f>IFERROR(Z73/Z446, "NA")</f>
        <v>NA</v>
      </c>
      <c r="AB73" s="8"/>
      <c r="AC73" s="17">
        <f t="shared" si="24"/>
        <v>0</v>
      </c>
      <c r="AD73" s="18" t="str">
        <f>IFERROR(AC73/AC446, "NA")</f>
        <v>NA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hidden="1" customHeight="1">
      <c r="A75" s="11" t="s">
        <v>74</v>
      </c>
      <c r="B75" s="12">
        <v>0.0</v>
      </c>
      <c r="C75" s="13" t="str">
        <f>IFERROR(B75/B446, "NA")</f>
        <v>NA</v>
      </c>
      <c r="D75" s="14"/>
      <c r="E75" s="12">
        <v>0.0</v>
      </c>
      <c r="F75" s="13" t="str">
        <f>IFERROR(E75/E446, "NA")</f>
        <v>NA</v>
      </c>
      <c r="G75" s="14"/>
      <c r="H75" s="15">
        <f t="shared" ref="H75:H92" si="25">IFERROR(B75-E75, "NA")</f>
        <v>0</v>
      </c>
      <c r="I75" s="13" t="str">
        <f>IFERROR(H75/H446, "NA")</f>
        <v>NA</v>
      </c>
      <c r="J75" s="14"/>
      <c r="K75" s="12">
        <v>0.0</v>
      </c>
      <c r="L75" s="13" t="str">
        <f>IFERROR(K75/K446, "NA")</f>
        <v>NA</v>
      </c>
      <c r="M75" s="14"/>
      <c r="N75" s="15">
        <f t="shared" ref="N75:N92" si="26">IFERROR(B75-K75, "NA")</f>
        <v>0</v>
      </c>
      <c r="O75" s="13" t="str">
        <f>IFERROR(N75/N446, "NA")</f>
        <v>NA</v>
      </c>
      <c r="P75" s="14"/>
      <c r="Q75" s="12">
        <v>0.0</v>
      </c>
      <c r="R75" s="13" t="str">
        <f>IFERROR(Q75/Q446, "NA")</f>
        <v>NA</v>
      </c>
      <c r="S75" s="14"/>
      <c r="T75" s="12">
        <v>0.0</v>
      </c>
      <c r="U75" s="13" t="str">
        <f>IFERROR(T75/T446, "NA")</f>
        <v>NA</v>
      </c>
      <c r="V75" s="14"/>
      <c r="W75" s="15">
        <f t="shared" ref="W75:W92" si="27">IFERROR(Q75-T75, "NA")</f>
        <v>0</v>
      </c>
      <c r="X75" s="13" t="str">
        <f>IFERROR(W75/W446, "NA")</f>
        <v>NA</v>
      </c>
      <c r="Y75" s="14"/>
      <c r="Z75" s="12">
        <v>0.0</v>
      </c>
      <c r="AA75" s="13" t="str">
        <f>IFERROR(Z75/Z446, "NA")</f>
        <v>NA</v>
      </c>
      <c r="AB75" s="14"/>
      <c r="AC75" s="15">
        <f t="shared" ref="AC75:AC92" si="28">IFERROR(Q75-Z75, "NA")</f>
        <v>0</v>
      </c>
      <c r="AD75" s="13" t="str">
        <f>IFERROR(AC75/AC446, "NA")</f>
        <v>NA</v>
      </c>
    </row>
    <row r="76" ht="16.5" hidden="1" customHeight="1">
      <c r="A76" s="11" t="s">
        <v>75</v>
      </c>
      <c r="B76" s="12">
        <v>0.0</v>
      </c>
      <c r="C76" s="13" t="str">
        <f>IFERROR(B76/B446, "NA")</f>
        <v>NA</v>
      </c>
      <c r="D76" s="14"/>
      <c r="E76" s="12">
        <v>0.0</v>
      </c>
      <c r="F76" s="13" t="str">
        <f>IFERROR(E76/E446, "NA")</f>
        <v>NA</v>
      </c>
      <c r="G76" s="14"/>
      <c r="H76" s="15">
        <f t="shared" si="25"/>
        <v>0</v>
      </c>
      <c r="I76" s="13" t="str">
        <f>IFERROR(H76/H446, "NA")</f>
        <v>NA</v>
      </c>
      <c r="J76" s="14"/>
      <c r="K76" s="12">
        <v>0.0</v>
      </c>
      <c r="L76" s="13" t="str">
        <f>IFERROR(K76/K446, "NA")</f>
        <v>NA</v>
      </c>
      <c r="M76" s="14"/>
      <c r="N76" s="15">
        <f t="shared" si="26"/>
        <v>0</v>
      </c>
      <c r="O76" s="13" t="str">
        <f>IFERROR(N76/N446, "NA")</f>
        <v>NA</v>
      </c>
      <c r="P76" s="14"/>
      <c r="Q76" s="12">
        <v>0.0</v>
      </c>
      <c r="R76" s="13" t="str">
        <f>IFERROR(Q76/Q446, "NA")</f>
        <v>NA</v>
      </c>
      <c r="S76" s="14"/>
      <c r="T76" s="12">
        <v>0.0</v>
      </c>
      <c r="U76" s="13" t="str">
        <f>IFERROR(T76/T446, "NA")</f>
        <v>NA</v>
      </c>
      <c r="V76" s="14"/>
      <c r="W76" s="15">
        <f t="shared" si="27"/>
        <v>0</v>
      </c>
      <c r="X76" s="13" t="str">
        <f>IFERROR(W76/W446, "NA")</f>
        <v>NA</v>
      </c>
      <c r="Y76" s="14"/>
      <c r="Z76" s="12">
        <v>0.0</v>
      </c>
      <c r="AA76" s="13" t="str">
        <f>IFERROR(Z76/Z446, "NA")</f>
        <v>NA</v>
      </c>
      <c r="AB76" s="14"/>
      <c r="AC76" s="15">
        <f t="shared" si="28"/>
        <v>0</v>
      </c>
      <c r="AD76" s="13" t="str">
        <f>IFERROR(AC76/AC446, "NA")</f>
        <v>NA</v>
      </c>
    </row>
    <row r="77" ht="16.5" hidden="1" customHeight="1">
      <c r="A77" s="11" t="s">
        <v>76</v>
      </c>
      <c r="B77" s="12">
        <v>0.0</v>
      </c>
      <c r="C77" s="13" t="str">
        <f>IFERROR(B77/B446, "NA")</f>
        <v>NA</v>
      </c>
      <c r="D77" s="14"/>
      <c r="E77" s="12">
        <v>0.0</v>
      </c>
      <c r="F77" s="13" t="str">
        <f>IFERROR(E77/E446, "NA")</f>
        <v>NA</v>
      </c>
      <c r="G77" s="14"/>
      <c r="H77" s="15">
        <f t="shared" si="25"/>
        <v>0</v>
      </c>
      <c r="I77" s="13" t="str">
        <f>IFERROR(H77/H446, "NA")</f>
        <v>NA</v>
      </c>
      <c r="J77" s="14"/>
      <c r="K77" s="12">
        <v>0.0</v>
      </c>
      <c r="L77" s="13" t="str">
        <f>IFERROR(K77/K446, "NA")</f>
        <v>NA</v>
      </c>
      <c r="M77" s="14"/>
      <c r="N77" s="15">
        <f t="shared" si="26"/>
        <v>0</v>
      </c>
      <c r="O77" s="13" t="str">
        <f>IFERROR(N77/N446, "NA")</f>
        <v>NA</v>
      </c>
      <c r="P77" s="14"/>
      <c r="Q77" s="12">
        <v>0.0</v>
      </c>
      <c r="R77" s="13" t="str">
        <f>IFERROR(Q77/Q446, "NA")</f>
        <v>NA</v>
      </c>
      <c r="S77" s="14"/>
      <c r="T77" s="12">
        <v>0.0</v>
      </c>
      <c r="U77" s="13" t="str">
        <f>IFERROR(T77/T446, "NA")</f>
        <v>NA</v>
      </c>
      <c r="V77" s="14"/>
      <c r="W77" s="15">
        <f t="shared" si="27"/>
        <v>0</v>
      </c>
      <c r="X77" s="13" t="str">
        <f>IFERROR(W77/W446, "NA")</f>
        <v>NA</v>
      </c>
      <c r="Y77" s="14"/>
      <c r="Z77" s="12">
        <v>0.0</v>
      </c>
      <c r="AA77" s="13" t="str">
        <f>IFERROR(Z77/Z446, "NA")</f>
        <v>NA</v>
      </c>
      <c r="AB77" s="14"/>
      <c r="AC77" s="15">
        <f t="shared" si="28"/>
        <v>0</v>
      </c>
      <c r="AD77" s="13" t="str">
        <f>IFERROR(AC77/AC446, "NA")</f>
        <v>NA</v>
      </c>
    </row>
    <row r="78" ht="16.5" hidden="1" customHeight="1">
      <c r="A78" s="11" t="s">
        <v>77</v>
      </c>
      <c r="B78" s="12">
        <v>0.0</v>
      </c>
      <c r="C78" s="13" t="str">
        <f>IFERROR(B78/B446, "NA")</f>
        <v>NA</v>
      </c>
      <c r="D78" s="14"/>
      <c r="E78" s="12">
        <v>0.0</v>
      </c>
      <c r="F78" s="13" t="str">
        <f>IFERROR(E78/E446, "NA")</f>
        <v>NA</v>
      </c>
      <c r="G78" s="14"/>
      <c r="H78" s="15">
        <f t="shared" si="25"/>
        <v>0</v>
      </c>
      <c r="I78" s="13" t="str">
        <f>IFERROR(H78/H446, "NA")</f>
        <v>NA</v>
      </c>
      <c r="J78" s="14"/>
      <c r="K78" s="12">
        <v>0.0</v>
      </c>
      <c r="L78" s="13" t="str">
        <f>IFERROR(K78/K446, "NA")</f>
        <v>NA</v>
      </c>
      <c r="M78" s="14"/>
      <c r="N78" s="15">
        <f t="shared" si="26"/>
        <v>0</v>
      </c>
      <c r="O78" s="13" t="str">
        <f>IFERROR(N78/N446, "NA")</f>
        <v>NA</v>
      </c>
      <c r="P78" s="14"/>
      <c r="Q78" s="12">
        <v>0.0</v>
      </c>
      <c r="R78" s="13" t="str">
        <f>IFERROR(Q78/Q446, "NA")</f>
        <v>NA</v>
      </c>
      <c r="S78" s="14"/>
      <c r="T78" s="12">
        <v>0.0</v>
      </c>
      <c r="U78" s="13" t="str">
        <f>IFERROR(T78/T446, "NA")</f>
        <v>NA</v>
      </c>
      <c r="V78" s="14"/>
      <c r="W78" s="15">
        <f t="shared" si="27"/>
        <v>0</v>
      </c>
      <c r="X78" s="13" t="str">
        <f>IFERROR(W78/W446, "NA")</f>
        <v>NA</v>
      </c>
      <c r="Y78" s="14"/>
      <c r="Z78" s="12">
        <v>0.0</v>
      </c>
      <c r="AA78" s="13" t="str">
        <f>IFERROR(Z78/Z446, "NA")</f>
        <v>NA</v>
      </c>
      <c r="AB78" s="14"/>
      <c r="AC78" s="15">
        <f t="shared" si="28"/>
        <v>0</v>
      </c>
      <c r="AD78" s="13" t="str">
        <f>IFERROR(AC78/AC446, "NA")</f>
        <v>NA</v>
      </c>
    </row>
    <row r="79" ht="16.5" hidden="1" customHeight="1">
      <c r="A79" s="11" t="s">
        <v>78</v>
      </c>
      <c r="B79" s="12">
        <v>0.0</v>
      </c>
      <c r="C79" s="13" t="str">
        <f>IFERROR(B79/B446, "NA")</f>
        <v>NA</v>
      </c>
      <c r="D79" s="14"/>
      <c r="E79" s="12">
        <v>0.0</v>
      </c>
      <c r="F79" s="13" t="str">
        <f>IFERROR(E79/E446, "NA")</f>
        <v>NA</v>
      </c>
      <c r="G79" s="14"/>
      <c r="H79" s="15">
        <f t="shared" si="25"/>
        <v>0</v>
      </c>
      <c r="I79" s="13" t="str">
        <f>IFERROR(H79/H446, "NA")</f>
        <v>NA</v>
      </c>
      <c r="J79" s="14"/>
      <c r="K79" s="12">
        <v>0.0</v>
      </c>
      <c r="L79" s="13" t="str">
        <f>IFERROR(K79/K446, "NA")</f>
        <v>NA</v>
      </c>
      <c r="M79" s="14"/>
      <c r="N79" s="15">
        <f t="shared" si="26"/>
        <v>0</v>
      </c>
      <c r="O79" s="13" t="str">
        <f>IFERROR(N79/N446, "NA")</f>
        <v>NA</v>
      </c>
      <c r="P79" s="14"/>
      <c r="Q79" s="12">
        <v>0.0</v>
      </c>
      <c r="R79" s="13" t="str">
        <f>IFERROR(Q79/Q446, "NA")</f>
        <v>NA</v>
      </c>
      <c r="S79" s="14"/>
      <c r="T79" s="12">
        <v>0.0</v>
      </c>
      <c r="U79" s="13" t="str">
        <f>IFERROR(T79/T446, "NA")</f>
        <v>NA</v>
      </c>
      <c r="V79" s="14"/>
      <c r="W79" s="15">
        <f t="shared" si="27"/>
        <v>0</v>
      </c>
      <c r="X79" s="13" t="str">
        <f>IFERROR(W79/W446, "NA")</f>
        <v>NA</v>
      </c>
      <c r="Y79" s="14"/>
      <c r="Z79" s="12">
        <v>0.0</v>
      </c>
      <c r="AA79" s="13" t="str">
        <f>IFERROR(Z79/Z446, "NA")</f>
        <v>NA</v>
      </c>
      <c r="AB79" s="14"/>
      <c r="AC79" s="15">
        <f t="shared" si="28"/>
        <v>0</v>
      </c>
      <c r="AD79" s="13" t="str">
        <f>IFERROR(AC79/AC446, "NA")</f>
        <v>NA</v>
      </c>
    </row>
    <row r="80" ht="16.5" hidden="1" customHeight="1">
      <c r="A80" s="11" t="s">
        <v>79</v>
      </c>
      <c r="B80" s="12">
        <v>0.0</v>
      </c>
      <c r="C80" s="13" t="str">
        <f>IFERROR(B80/B446, "NA")</f>
        <v>NA</v>
      </c>
      <c r="D80" s="14"/>
      <c r="E80" s="12">
        <v>0.0</v>
      </c>
      <c r="F80" s="13" t="str">
        <f>IFERROR(E80/E446, "NA")</f>
        <v>NA</v>
      </c>
      <c r="G80" s="14"/>
      <c r="H80" s="15">
        <f t="shared" si="25"/>
        <v>0</v>
      </c>
      <c r="I80" s="13" t="str">
        <f>IFERROR(H80/H446, "NA")</f>
        <v>NA</v>
      </c>
      <c r="J80" s="14"/>
      <c r="K80" s="12">
        <v>0.0</v>
      </c>
      <c r="L80" s="13" t="str">
        <f>IFERROR(K80/K446, "NA")</f>
        <v>NA</v>
      </c>
      <c r="M80" s="14"/>
      <c r="N80" s="15">
        <f t="shared" si="26"/>
        <v>0</v>
      </c>
      <c r="O80" s="13" t="str">
        <f>IFERROR(N80/N446, "NA")</f>
        <v>NA</v>
      </c>
      <c r="P80" s="14"/>
      <c r="Q80" s="12">
        <v>0.0</v>
      </c>
      <c r="R80" s="13" t="str">
        <f>IFERROR(Q80/Q446, "NA")</f>
        <v>NA</v>
      </c>
      <c r="S80" s="14"/>
      <c r="T80" s="12">
        <v>0.0</v>
      </c>
      <c r="U80" s="13" t="str">
        <f>IFERROR(T80/T446, "NA")</f>
        <v>NA</v>
      </c>
      <c r="V80" s="14"/>
      <c r="W80" s="15">
        <f t="shared" si="27"/>
        <v>0</v>
      </c>
      <c r="X80" s="13" t="str">
        <f>IFERROR(W80/W446, "NA")</f>
        <v>NA</v>
      </c>
      <c r="Y80" s="14"/>
      <c r="Z80" s="12">
        <v>0.0</v>
      </c>
      <c r="AA80" s="13" t="str">
        <f>IFERROR(Z80/Z446, "NA")</f>
        <v>NA</v>
      </c>
      <c r="AB80" s="14"/>
      <c r="AC80" s="15">
        <f t="shared" si="28"/>
        <v>0</v>
      </c>
      <c r="AD80" s="13" t="str">
        <f>IFERROR(AC80/AC446, "NA")</f>
        <v>NA</v>
      </c>
    </row>
    <row r="81" ht="16.5" hidden="1" customHeight="1">
      <c r="A81" s="11" t="s">
        <v>80</v>
      </c>
      <c r="B81" s="12">
        <v>0.0</v>
      </c>
      <c r="C81" s="13" t="str">
        <f>IFERROR(B81/B446, "NA")</f>
        <v>NA</v>
      </c>
      <c r="D81" s="14"/>
      <c r="E81" s="12">
        <v>0.0</v>
      </c>
      <c r="F81" s="13" t="str">
        <f>IFERROR(E81/E446, "NA")</f>
        <v>NA</v>
      </c>
      <c r="G81" s="14"/>
      <c r="H81" s="15">
        <f t="shared" si="25"/>
        <v>0</v>
      </c>
      <c r="I81" s="13" t="str">
        <f>IFERROR(H81/H446, "NA")</f>
        <v>NA</v>
      </c>
      <c r="J81" s="14"/>
      <c r="K81" s="12">
        <v>0.0</v>
      </c>
      <c r="L81" s="13" t="str">
        <f>IFERROR(K81/K446, "NA")</f>
        <v>NA</v>
      </c>
      <c r="M81" s="14"/>
      <c r="N81" s="15">
        <f t="shared" si="26"/>
        <v>0</v>
      </c>
      <c r="O81" s="13" t="str">
        <f>IFERROR(N81/N446, "NA")</f>
        <v>NA</v>
      </c>
      <c r="P81" s="14"/>
      <c r="Q81" s="12">
        <v>0.0</v>
      </c>
      <c r="R81" s="13" t="str">
        <f>IFERROR(Q81/Q446, "NA")</f>
        <v>NA</v>
      </c>
      <c r="S81" s="14"/>
      <c r="T81" s="12">
        <v>0.0</v>
      </c>
      <c r="U81" s="13" t="str">
        <f>IFERROR(T81/T446, "NA")</f>
        <v>NA</v>
      </c>
      <c r="V81" s="14"/>
      <c r="W81" s="15">
        <f t="shared" si="27"/>
        <v>0</v>
      </c>
      <c r="X81" s="13" t="str">
        <f>IFERROR(W81/W446, "NA")</f>
        <v>NA</v>
      </c>
      <c r="Y81" s="14"/>
      <c r="Z81" s="12">
        <v>0.0</v>
      </c>
      <c r="AA81" s="13" t="str">
        <f>IFERROR(Z81/Z446, "NA")</f>
        <v>NA</v>
      </c>
      <c r="AB81" s="14"/>
      <c r="AC81" s="15">
        <f t="shared" si="28"/>
        <v>0</v>
      </c>
      <c r="AD81" s="13" t="str">
        <f>IFERROR(AC81/AC446, "NA")</f>
        <v>NA</v>
      </c>
    </row>
    <row r="82" ht="16.5" hidden="1" customHeight="1">
      <c r="A82" s="11" t="s">
        <v>81</v>
      </c>
      <c r="B82" s="12">
        <v>0.0</v>
      </c>
      <c r="C82" s="13" t="str">
        <f>IFERROR(B82/B446, "NA")</f>
        <v>NA</v>
      </c>
      <c r="D82" s="14"/>
      <c r="E82" s="12">
        <v>0.0</v>
      </c>
      <c r="F82" s="13" t="str">
        <f>IFERROR(E82/E446, "NA")</f>
        <v>NA</v>
      </c>
      <c r="G82" s="14"/>
      <c r="H82" s="15">
        <f t="shared" si="25"/>
        <v>0</v>
      </c>
      <c r="I82" s="13" t="str">
        <f>IFERROR(H82/H446, "NA")</f>
        <v>NA</v>
      </c>
      <c r="J82" s="14"/>
      <c r="K82" s="12">
        <v>0.0</v>
      </c>
      <c r="L82" s="13" t="str">
        <f>IFERROR(K82/K446, "NA")</f>
        <v>NA</v>
      </c>
      <c r="M82" s="14"/>
      <c r="N82" s="15">
        <f t="shared" si="26"/>
        <v>0</v>
      </c>
      <c r="O82" s="13" t="str">
        <f>IFERROR(N82/N446, "NA")</f>
        <v>NA</v>
      </c>
      <c r="P82" s="14"/>
      <c r="Q82" s="12">
        <v>0.0</v>
      </c>
      <c r="R82" s="13" t="str">
        <f>IFERROR(Q82/Q446, "NA")</f>
        <v>NA</v>
      </c>
      <c r="S82" s="14"/>
      <c r="T82" s="12">
        <v>0.0</v>
      </c>
      <c r="U82" s="13" t="str">
        <f>IFERROR(T82/T446, "NA")</f>
        <v>NA</v>
      </c>
      <c r="V82" s="14"/>
      <c r="W82" s="15">
        <f t="shared" si="27"/>
        <v>0</v>
      </c>
      <c r="X82" s="13" t="str">
        <f>IFERROR(W82/W446, "NA")</f>
        <v>NA</v>
      </c>
      <c r="Y82" s="14"/>
      <c r="Z82" s="12">
        <v>0.0</v>
      </c>
      <c r="AA82" s="13" t="str">
        <f>IFERROR(Z82/Z446, "NA")</f>
        <v>NA</v>
      </c>
      <c r="AB82" s="14"/>
      <c r="AC82" s="15">
        <f t="shared" si="28"/>
        <v>0</v>
      </c>
      <c r="AD82" s="13" t="str">
        <f>IFERROR(AC82/AC446, "NA")</f>
        <v>NA</v>
      </c>
    </row>
    <row r="83" ht="16.5" hidden="1" customHeight="1">
      <c r="A83" s="11" t="s">
        <v>82</v>
      </c>
      <c r="B83" s="12">
        <v>0.0</v>
      </c>
      <c r="C83" s="13" t="str">
        <f>IFERROR(B83/B446, "NA")</f>
        <v>NA</v>
      </c>
      <c r="D83" s="14"/>
      <c r="E83" s="12">
        <v>0.0</v>
      </c>
      <c r="F83" s="13" t="str">
        <f>IFERROR(E83/E446, "NA")</f>
        <v>NA</v>
      </c>
      <c r="G83" s="14"/>
      <c r="H83" s="15">
        <f t="shared" si="25"/>
        <v>0</v>
      </c>
      <c r="I83" s="13" t="str">
        <f>IFERROR(H83/H446, "NA")</f>
        <v>NA</v>
      </c>
      <c r="J83" s="14"/>
      <c r="K83" s="12">
        <v>0.0</v>
      </c>
      <c r="L83" s="13" t="str">
        <f>IFERROR(K83/K446, "NA")</f>
        <v>NA</v>
      </c>
      <c r="M83" s="14"/>
      <c r="N83" s="15">
        <f t="shared" si="26"/>
        <v>0</v>
      </c>
      <c r="O83" s="13" t="str">
        <f>IFERROR(N83/N446, "NA")</f>
        <v>NA</v>
      </c>
      <c r="P83" s="14"/>
      <c r="Q83" s="12">
        <v>0.0</v>
      </c>
      <c r="R83" s="13" t="str">
        <f>IFERROR(Q83/Q446, "NA")</f>
        <v>NA</v>
      </c>
      <c r="S83" s="14"/>
      <c r="T83" s="12">
        <v>0.0</v>
      </c>
      <c r="U83" s="13" t="str">
        <f>IFERROR(T83/T446, "NA")</f>
        <v>NA</v>
      </c>
      <c r="V83" s="14"/>
      <c r="W83" s="15">
        <f t="shared" si="27"/>
        <v>0</v>
      </c>
      <c r="X83" s="13" t="str">
        <f>IFERROR(W83/W446, "NA")</f>
        <v>NA</v>
      </c>
      <c r="Y83" s="14"/>
      <c r="Z83" s="12">
        <v>0.0</v>
      </c>
      <c r="AA83" s="13" t="str">
        <f>IFERROR(Z83/Z446, "NA")</f>
        <v>NA</v>
      </c>
      <c r="AB83" s="14"/>
      <c r="AC83" s="15">
        <f t="shared" si="28"/>
        <v>0</v>
      </c>
      <c r="AD83" s="13" t="str">
        <f>IFERROR(AC83/AC446, "NA")</f>
        <v>NA</v>
      </c>
    </row>
    <row r="84" ht="16.5" hidden="1" customHeight="1">
      <c r="A84" s="11" t="s">
        <v>83</v>
      </c>
      <c r="B84" s="12">
        <v>0.0</v>
      </c>
      <c r="C84" s="13" t="str">
        <f>IFERROR(B84/B446, "NA")</f>
        <v>NA</v>
      </c>
      <c r="D84" s="14"/>
      <c r="E84" s="12">
        <v>0.0</v>
      </c>
      <c r="F84" s="13" t="str">
        <f>IFERROR(E84/E446, "NA")</f>
        <v>NA</v>
      </c>
      <c r="G84" s="14"/>
      <c r="H84" s="15">
        <f t="shared" si="25"/>
        <v>0</v>
      </c>
      <c r="I84" s="13" t="str">
        <f>IFERROR(H84/H446, "NA")</f>
        <v>NA</v>
      </c>
      <c r="J84" s="14"/>
      <c r="K84" s="12">
        <v>0.0</v>
      </c>
      <c r="L84" s="13" t="str">
        <f>IFERROR(K84/K446, "NA")</f>
        <v>NA</v>
      </c>
      <c r="M84" s="14"/>
      <c r="N84" s="15">
        <f t="shared" si="26"/>
        <v>0</v>
      </c>
      <c r="O84" s="13" t="str">
        <f>IFERROR(N84/N446, "NA")</f>
        <v>NA</v>
      </c>
      <c r="P84" s="14"/>
      <c r="Q84" s="12">
        <v>0.0</v>
      </c>
      <c r="R84" s="13" t="str">
        <f>IFERROR(Q84/Q446, "NA")</f>
        <v>NA</v>
      </c>
      <c r="S84" s="14"/>
      <c r="T84" s="12">
        <v>0.0</v>
      </c>
      <c r="U84" s="13" t="str">
        <f>IFERROR(T84/T446, "NA")</f>
        <v>NA</v>
      </c>
      <c r="V84" s="14"/>
      <c r="W84" s="15">
        <f t="shared" si="27"/>
        <v>0</v>
      </c>
      <c r="X84" s="13" t="str">
        <f>IFERROR(W84/W446, "NA")</f>
        <v>NA</v>
      </c>
      <c r="Y84" s="14"/>
      <c r="Z84" s="12">
        <v>0.0</v>
      </c>
      <c r="AA84" s="13" t="str">
        <f>IFERROR(Z84/Z446, "NA")</f>
        <v>NA</v>
      </c>
      <c r="AB84" s="14"/>
      <c r="AC84" s="15">
        <f t="shared" si="28"/>
        <v>0</v>
      </c>
      <c r="AD84" s="13" t="str">
        <f>IFERROR(AC84/AC446, "NA")</f>
        <v>NA</v>
      </c>
    </row>
    <row r="85" ht="16.5" hidden="1" customHeight="1">
      <c r="A85" s="11" t="s">
        <v>84</v>
      </c>
      <c r="B85" s="12">
        <v>0.0</v>
      </c>
      <c r="C85" s="13" t="str">
        <f>IFERROR(B85/B446, "NA")</f>
        <v>NA</v>
      </c>
      <c r="D85" s="14"/>
      <c r="E85" s="12">
        <v>0.0</v>
      </c>
      <c r="F85" s="13" t="str">
        <f>IFERROR(E85/E446, "NA")</f>
        <v>NA</v>
      </c>
      <c r="G85" s="14"/>
      <c r="H85" s="15">
        <f t="shared" si="25"/>
        <v>0</v>
      </c>
      <c r="I85" s="13" t="str">
        <f>IFERROR(H85/H446, "NA")</f>
        <v>NA</v>
      </c>
      <c r="J85" s="14"/>
      <c r="K85" s="12">
        <v>0.0</v>
      </c>
      <c r="L85" s="13" t="str">
        <f>IFERROR(K85/K446, "NA")</f>
        <v>NA</v>
      </c>
      <c r="M85" s="14"/>
      <c r="N85" s="15">
        <f t="shared" si="26"/>
        <v>0</v>
      </c>
      <c r="O85" s="13" t="str">
        <f>IFERROR(N85/N446, "NA")</f>
        <v>NA</v>
      </c>
      <c r="P85" s="14"/>
      <c r="Q85" s="12">
        <v>0.0</v>
      </c>
      <c r="R85" s="13" t="str">
        <f>IFERROR(Q85/Q446, "NA")</f>
        <v>NA</v>
      </c>
      <c r="S85" s="14"/>
      <c r="T85" s="12">
        <v>0.0</v>
      </c>
      <c r="U85" s="13" t="str">
        <f>IFERROR(T85/T446, "NA")</f>
        <v>NA</v>
      </c>
      <c r="V85" s="14"/>
      <c r="W85" s="15">
        <f t="shared" si="27"/>
        <v>0</v>
      </c>
      <c r="X85" s="13" t="str">
        <f>IFERROR(W85/W446, "NA")</f>
        <v>NA</v>
      </c>
      <c r="Y85" s="14"/>
      <c r="Z85" s="12">
        <v>0.0</v>
      </c>
      <c r="AA85" s="13" t="str">
        <f>IFERROR(Z85/Z446, "NA")</f>
        <v>NA</v>
      </c>
      <c r="AB85" s="14"/>
      <c r="AC85" s="15">
        <f t="shared" si="28"/>
        <v>0</v>
      </c>
      <c r="AD85" s="13" t="str">
        <f>IFERROR(AC85/AC446, "NA")</f>
        <v>NA</v>
      </c>
    </row>
    <row r="86" ht="16.5" hidden="1" customHeight="1">
      <c r="A86" s="11" t="s">
        <v>85</v>
      </c>
      <c r="B86" s="12">
        <v>0.0</v>
      </c>
      <c r="C86" s="13" t="str">
        <f>IFERROR(B86/B446, "NA")</f>
        <v>NA</v>
      </c>
      <c r="D86" s="14"/>
      <c r="E86" s="12">
        <v>0.0</v>
      </c>
      <c r="F86" s="13" t="str">
        <f>IFERROR(E86/E446, "NA")</f>
        <v>NA</v>
      </c>
      <c r="G86" s="14"/>
      <c r="H86" s="15">
        <f t="shared" si="25"/>
        <v>0</v>
      </c>
      <c r="I86" s="13" t="str">
        <f>IFERROR(H86/H446, "NA")</f>
        <v>NA</v>
      </c>
      <c r="J86" s="14"/>
      <c r="K86" s="12">
        <v>0.0</v>
      </c>
      <c r="L86" s="13" t="str">
        <f>IFERROR(K86/K446, "NA")</f>
        <v>NA</v>
      </c>
      <c r="M86" s="14"/>
      <c r="N86" s="15">
        <f t="shared" si="26"/>
        <v>0</v>
      </c>
      <c r="O86" s="13" t="str">
        <f>IFERROR(N86/N446, "NA")</f>
        <v>NA</v>
      </c>
      <c r="P86" s="14"/>
      <c r="Q86" s="12">
        <v>0.0</v>
      </c>
      <c r="R86" s="13" t="str">
        <f>IFERROR(Q86/Q446, "NA")</f>
        <v>NA</v>
      </c>
      <c r="S86" s="14"/>
      <c r="T86" s="12">
        <v>0.0</v>
      </c>
      <c r="U86" s="13" t="str">
        <f>IFERROR(T86/T446, "NA")</f>
        <v>NA</v>
      </c>
      <c r="V86" s="14"/>
      <c r="W86" s="15">
        <f t="shared" si="27"/>
        <v>0</v>
      </c>
      <c r="X86" s="13" t="str">
        <f>IFERROR(W86/W446, "NA")</f>
        <v>NA</v>
      </c>
      <c r="Y86" s="14"/>
      <c r="Z86" s="12">
        <v>0.0</v>
      </c>
      <c r="AA86" s="13" t="str">
        <f>IFERROR(Z86/Z446, "NA")</f>
        <v>NA</v>
      </c>
      <c r="AB86" s="14"/>
      <c r="AC86" s="15">
        <f t="shared" si="28"/>
        <v>0</v>
      </c>
      <c r="AD86" s="13" t="str">
        <f>IFERROR(AC86/AC446, "NA")</f>
        <v>NA</v>
      </c>
    </row>
    <row r="87" ht="16.5" hidden="1" customHeight="1">
      <c r="A87" s="11" t="s">
        <v>86</v>
      </c>
      <c r="B87" s="12">
        <v>0.0</v>
      </c>
      <c r="C87" s="13" t="str">
        <f>IFERROR(B87/B446, "NA")</f>
        <v>NA</v>
      </c>
      <c r="D87" s="14"/>
      <c r="E87" s="12">
        <v>0.0</v>
      </c>
      <c r="F87" s="13" t="str">
        <f>IFERROR(E87/E446, "NA")</f>
        <v>NA</v>
      </c>
      <c r="G87" s="14"/>
      <c r="H87" s="15">
        <f t="shared" si="25"/>
        <v>0</v>
      </c>
      <c r="I87" s="13" t="str">
        <f>IFERROR(H87/H446, "NA")</f>
        <v>NA</v>
      </c>
      <c r="J87" s="14"/>
      <c r="K87" s="12">
        <v>0.0</v>
      </c>
      <c r="L87" s="13" t="str">
        <f>IFERROR(K87/K446, "NA")</f>
        <v>NA</v>
      </c>
      <c r="M87" s="14"/>
      <c r="N87" s="15">
        <f t="shared" si="26"/>
        <v>0</v>
      </c>
      <c r="O87" s="13" t="str">
        <f>IFERROR(N87/N446, "NA")</f>
        <v>NA</v>
      </c>
      <c r="P87" s="14"/>
      <c r="Q87" s="12">
        <v>0.0</v>
      </c>
      <c r="R87" s="13" t="str">
        <f>IFERROR(Q87/Q446, "NA")</f>
        <v>NA</v>
      </c>
      <c r="S87" s="14"/>
      <c r="T87" s="12">
        <v>0.0</v>
      </c>
      <c r="U87" s="13" t="str">
        <f>IFERROR(T87/T446, "NA")</f>
        <v>NA</v>
      </c>
      <c r="V87" s="14"/>
      <c r="W87" s="15">
        <f t="shared" si="27"/>
        <v>0</v>
      </c>
      <c r="X87" s="13" t="str">
        <f>IFERROR(W87/W446, "NA")</f>
        <v>NA</v>
      </c>
      <c r="Y87" s="14"/>
      <c r="Z87" s="12">
        <v>0.0</v>
      </c>
      <c r="AA87" s="13" t="str">
        <f>IFERROR(Z87/Z446, "NA")</f>
        <v>NA</v>
      </c>
      <c r="AB87" s="14"/>
      <c r="AC87" s="15">
        <f t="shared" si="28"/>
        <v>0</v>
      </c>
      <c r="AD87" s="13" t="str">
        <f>IFERROR(AC87/AC446, "NA")</f>
        <v>NA</v>
      </c>
    </row>
    <row r="88" ht="16.5" customHeight="1">
      <c r="A88" s="16" t="s">
        <v>87</v>
      </c>
      <c r="B88" s="17">
        <f>IFERROR(B75+B76+B77+B78+B79+B80+B81+B82+B83+B84+B85+B86+B87, "NA")</f>
        <v>0</v>
      </c>
      <c r="C88" s="18" t="str">
        <f>IFERROR(B88/B446, "NA")</f>
        <v>NA</v>
      </c>
      <c r="D88" s="8"/>
      <c r="E88" s="17">
        <f>IFERROR(E75+E76+E77+E78+E79+E80+E81+E82+E83+E84+E85+E86+E87, "NA")</f>
        <v>0</v>
      </c>
      <c r="F88" s="18" t="str">
        <f>IFERROR(E88/E446, "NA")</f>
        <v>NA</v>
      </c>
      <c r="G88" s="8"/>
      <c r="H88" s="17">
        <f t="shared" si="25"/>
        <v>0</v>
      </c>
      <c r="I88" s="18" t="str">
        <f>IFERROR(H88/H446, "NA")</f>
        <v>NA</v>
      </c>
      <c r="J88" s="8"/>
      <c r="K88" s="17">
        <f>IFERROR(K75+K76+K77+K78+K79+K80+K81+K82+K83+K84+K85+K86+K87, "NA")</f>
        <v>0</v>
      </c>
      <c r="L88" s="18" t="str">
        <f>IFERROR(K88/K446, "NA")</f>
        <v>NA</v>
      </c>
      <c r="M88" s="8"/>
      <c r="N88" s="17">
        <f t="shared" si="26"/>
        <v>0</v>
      </c>
      <c r="O88" s="18" t="str">
        <f>IFERROR(N88/N446, "NA")</f>
        <v>NA</v>
      </c>
      <c r="P88" s="8"/>
      <c r="Q88" s="17">
        <f>IFERROR(Q75+Q76+Q77+Q78+Q79+Q80+Q81+Q82+Q83+Q84+Q85+Q86+Q87, "NA")</f>
        <v>0</v>
      </c>
      <c r="R88" s="18" t="str">
        <f>IFERROR(Q88/Q446, "NA")</f>
        <v>NA</v>
      </c>
      <c r="S88" s="8"/>
      <c r="T88" s="17">
        <f>IFERROR(T75+T76+T77+T78+T79+T80+T81+T82+T83+T84+T85+T86+T87, "NA")</f>
        <v>0</v>
      </c>
      <c r="U88" s="18" t="str">
        <f>IFERROR(T88/T446, "NA")</f>
        <v>NA</v>
      </c>
      <c r="V88" s="8"/>
      <c r="W88" s="17">
        <f t="shared" si="27"/>
        <v>0</v>
      </c>
      <c r="X88" s="18" t="str">
        <f>IFERROR(W88/W446, "NA")</f>
        <v>NA</v>
      </c>
      <c r="Y88" s="8"/>
      <c r="Z88" s="17">
        <f>IFERROR(Z75+Z76+Z77+Z78+Z79+Z80+Z81+Z82+Z83+Z84+Z85+Z86+Z87, "NA")</f>
        <v>0</v>
      </c>
      <c r="AA88" s="18" t="str">
        <f>IFERROR(Z88/Z446, "NA")</f>
        <v>NA</v>
      </c>
      <c r="AB88" s="8"/>
      <c r="AC88" s="17">
        <f t="shared" si="28"/>
        <v>0</v>
      </c>
      <c r="AD88" s="18" t="str">
        <f>IFERROR(AC88/AC446, "NA")</f>
        <v>NA</v>
      </c>
    </row>
    <row r="89" ht="16.5" hidden="1" customHeight="1">
      <c r="A89" s="11" t="s">
        <v>88</v>
      </c>
      <c r="B89" s="12">
        <v>0.0</v>
      </c>
      <c r="C89" s="13" t="str">
        <f>IFERROR(B89/B446, "NA")</f>
        <v>NA</v>
      </c>
      <c r="D89" s="14"/>
      <c r="E89" s="12">
        <v>0.0</v>
      </c>
      <c r="F89" s="13" t="str">
        <f>IFERROR(E89/E446, "NA")</f>
        <v>NA</v>
      </c>
      <c r="G89" s="14"/>
      <c r="H89" s="15">
        <f t="shared" si="25"/>
        <v>0</v>
      </c>
      <c r="I89" s="13" t="str">
        <f>IFERROR(H89/H446, "NA")</f>
        <v>NA</v>
      </c>
      <c r="J89" s="14"/>
      <c r="K89" s="12">
        <v>0.0</v>
      </c>
      <c r="L89" s="13" t="str">
        <f>IFERROR(K89/K446, "NA")</f>
        <v>NA</v>
      </c>
      <c r="M89" s="14"/>
      <c r="N89" s="15">
        <f t="shared" si="26"/>
        <v>0</v>
      </c>
      <c r="O89" s="13" t="str">
        <f>IFERROR(N89/N446, "NA")</f>
        <v>NA</v>
      </c>
      <c r="P89" s="14"/>
      <c r="Q89" s="12">
        <v>0.0</v>
      </c>
      <c r="R89" s="13" t="str">
        <f>IFERROR(Q89/Q446, "NA")</f>
        <v>NA</v>
      </c>
      <c r="S89" s="14"/>
      <c r="T89" s="12">
        <v>0.0</v>
      </c>
      <c r="U89" s="13" t="str">
        <f>IFERROR(T89/T446, "NA")</f>
        <v>NA</v>
      </c>
      <c r="V89" s="14"/>
      <c r="W89" s="15">
        <f t="shared" si="27"/>
        <v>0</v>
      </c>
      <c r="X89" s="13" t="str">
        <f>IFERROR(W89/W446, "NA")</f>
        <v>NA</v>
      </c>
      <c r="Y89" s="14"/>
      <c r="Z89" s="12">
        <v>0.0</v>
      </c>
      <c r="AA89" s="13" t="str">
        <f>IFERROR(Z89/Z446, "NA")</f>
        <v>NA</v>
      </c>
      <c r="AB89" s="14"/>
      <c r="AC89" s="15">
        <f t="shared" si="28"/>
        <v>0</v>
      </c>
      <c r="AD89" s="13" t="str">
        <f>IFERROR(AC89/AC446, "NA")</f>
        <v>NA</v>
      </c>
    </row>
    <row r="90" ht="16.5" hidden="1" customHeight="1">
      <c r="A90" s="11" t="s">
        <v>89</v>
      </c>
      <c r="B90" s="12">
        <v>0.0</v>
      </c>
      <c r="C90" s="13" t="str">
        <f>IFERROR(B90/B446, "NA")</f>
        <v>NA</v>
      </c>
      <c r="D90" s="14"/>
      <c r="E90" s="12">
        <v>0.0</v>
      </c>
      <c r="F90" s="13" t="str">
        <f>IFERROR(E90/E446, "NA")</f>
        <v>NA</v>
      </c>
      <c r="G90" s="14"/>
      <c r="H90" s="15">
        <f t="shared" si="25"/>
        <v>0</v>
      </c>
      <c r="I90" s="13" t="str">
        <f>IFERROR(H90/H446, "NA")</f>
        <v>NA</v>
      </c>
      <c r="J90" s="14"/>
      <c r="K90" s="12">
        <v>0.0</v>
      </c>
      <c r="L90" s="13" t="str">
        <f>IFERROR(K90/K446, "NA")</f>
        <v>NA</v>
      </c>
      <c r="M90" s="14"/>
      <c r="N90" s="15">
        <f t="shared" si="26"/>
        <v>0</v>
      </c>
      <c r="O90" s="13" t="str">
        <f>IFERROR(N90/N446, "NA")</f>
        <v>NA</v>
      </c>
      <c r="P90" s="14"/>
      <c r="Q90" s="12">
        <v>0.0</v>
      </c>
      <c r="R90" s="13" t="str">
        <f>IFERROR(Q90/Q446, "NA")</f>
        <v>NA</v>
      </c>
      <c r="S90" s="14"/>
      <c r="T90" s="12">
        <v>0.0</v>
      </c>
      <c r="U90" s="13" t="str">
        <f>IFERROR(T90/T446, "NA")</f>
        <v>NA</v>
      </c>
      <c r="V90" s="14"/>
      <c r="W90" s="15">
        <f t="shared" si="27"/>
        <v>0</v>
      </c>
      <c r="X90" s="13" t="str">
        <f>IFERROR(W90/W446, "NA")</f>
        <v>NA</v>
      </c>
      <c r="Y90" s="14"/>
      <c r="Z90" s="12">
        <v>0.0</v>
      </c>
      <c r="AA90" s="13" t="str">
        <f>IFERROR(Z90/Z446, "NA")</f>
        <v>NA</v>
      </c>
      <c r="AB90" s="14"/>
      <c r="AC90" s="15">
        <f t="shared" si="28"/>
        <v>0</v>
      </c>
      <c r="AD90" s="13" t="str">
        <f>IFERROR(AC90/AC446, "NA")</f>
        <v>NA</v>
      </c>
    </row>
    <row r="91" ht="16.5" hidden="1" customHeight="1">
      <c r="A91" s="11" t="s">
        <v>90</v>
      </c>
      <c r="B91" s="12">
        <v>0.0</v>
      </c>
      <c r="C91" s="13" t="str">
        <f>IFERROR(B91/B446, "NA")</f>
        <v>NA</v>
      </c>
      <c r="D91" s="14"/>
      <c r="E91" s="12">
        <v>0.0</v>
      </c>
      <c r="F91" s="13" t="str">
        <f>IFERROR(E91/E446, "NA")</f>
        <v>NA</v>
      </c>
      <c r="G91" s="14"/>
      <c r="H91" s="15">
        <f t="shared" si="25"/>
        <v>0</v>
      </c>
      <c r="I91" s="13" t="str">
        <f>IFERROR(H91/H446, "NA")</f>
        <v>NA</v>
      </c>
      <c r="J91" s="14"/>
      <c r="K91" s="12">
        <v>0.0</v>
      </c>
      <c r="L91" s="13" t="str">
        <f>IFERROR(K91/K446, "NA")</f>
        <v>NA</v>
      </c>
      <c r="M91" s="14"/>
      <c r="N91" s="15">
        <f t="shared" si="26"/>
        <v>0</v>
      </c>
      <c r="O91" s="13" t="str">
        <f>IFERROR(N91/N446, "NA")</f>
        <v>NA</v>
      </c>
      <c r="P91" s="14"/>
      <c r="Q91" s="12">
        <v>0.0</v>
      </c>
      <c r="R91" s="13" t="str">
        <f>IFERROR(Q91/Q446, "NA")</f>
        <v>NA</v>
      </c>
      <c r="S91" s="14"/>
      <c r="T91" s="12">
        <v>0.0</v>
      </c>
      <c r="U91" s="13" t="str">
        <f>IFERROR(T91/T446, "NA")</f>
        <v>NA</v>
      </c>
      <c r="V91" s="14"/>
      <c r="W91" s="15">
        <f t="shared" si="27"/>
        <v>0</v>
      </c>
      <c r="X91" s="13" t="str">
        <f>IFERROR(W91/W446, "NA")</f>
        <v>NA</v>
      </c>
      <c r="Y91" s="14"/>
      <c r="Z91" s="12">
        <v>0.0</v>
      </c>
      <c r="AA91" s="13" t="str">
        <f>IFERROR(Z91/Z446, "NA")</f>
        <v>NA</v>
      </c>
      <c r="AB91" s="14"/>
      <c r="AC91" s="15">
        <f t="shared" si="28"/>
        <v>0</v>
      </c>
      <c r="AD91" s="13" t="str">
        <f>IFERROR(AC91/AC446, "NA")</f>
        <v>NA</v>
      </c>
    </row>
    <row r="92" ht="16.5" hidden="1" customHeight="1">
      <c r="A92" s="11" t="s">
        <v>91</v>
      </c>
      <c r="B92" s="12">
        <v>0.0</v>
      </c>
      <c r="C92" s="13" t="str">
        <f>IFERROR(B92/B446, "NA")</f>
        <v>NA</v>
      </c>
      <c r="D92" s="14"/>
      <c r="E92" s="12">
        <v>0.0</v>
      </c>
      <c r="F92" s="13" t="str">
        <f>IFERROR(E92/E446, "NA")</f>
        <v>NA</v>
      </c>
      <c r="G92" s="14"/>
      <c r="H92" s="15">
        <f t="shared" si="25"/>
        <v>0</v>
      </c>
      <c r="I92" s="13" t="str">
        <f>IFERROR(H92/H446, "NA")</f>
        <v>NA</v>
      </c>
      <c r="J92" s="14"/>
      <c r="K92" s="12">
        <v>0.0</v>
      </c>
      <c r="L92" s="13" t="str">
        <f>IFERROR(K92/K446, "NA")</f>
        <v>NA</v>
      </c>
      <c r="M92" s="14"/>
      <c r="N92" s="15">
        <f t="shared" si="26"/>
        <v>0</v>
      </c>
      <c r="O92" s="13" t="str">
        <f>IFERROR(N92/N446, "NA")</f>
        <v>NA</v>
      </c>
      <c r="P92" s="14"/>
      <c r="Q92" s="12">
        <v>0.0</v>
      </c>
      <c r="R92" s="13" t="str">
        <f>IFERROR(Q92/Q446, "NA")</f>
        <v>NA</v>
      </c>
      <c r="S92" s="14"/>
      <c r="T92" s="12">
        <v>0.0</v>
      </c>
      <c r="U92" s="13" t="str">
        <f>IFERROR(T92/T446, "NA")</f>
        <v>NA</v>
      </c>
      <c r="V92" s="14"/>
      <c r="W92" s="15">
        <f t="shared" si="27"/>
        <v>0</v>
      </c>
      <c r="X92" s="13" t="str">
        <f>IFERROR(W92/W446, "NA")</f>
        <v>NA</v>
      </c>
      <c r="Y92" s="14"/>
      <c r="Z92" s="12">
        <v>0.0</v>
      </c>
      <c r="AA92" s="13" t="str">
        <f>IFERROR(Z92/Z446, "NA")</f>
        <v>NA</v>
      </c>
      <c r="AB92" s="14"/>
      <c r="AC92" s="15">
        <f t="shared" si="28"/>
        <v>0</v>
      </c>
      <c r="AD92" s="13" t="str">
        <f>IFERROR(AC92/AC446, "NA")</f>
        <v>NA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hidden="1" customHeight="1">
      <c r="A94" s="11" t="s">
        <v>92</v>
      </c>
      <c r="B94" s="12">
        <v>0.0</v>
      </c>
      <c r="C94" s="13" t="str">
        <f>IFERROR(B94/B446, "NA")</f>
        <v>NA</v>
      </c>
      <c r="D94" s="14"/>
      <c r="E94" s="12">
        <v>0.0</v>
      </c>
      <c r="F94" s="13" t="str">
        <f>IFERROR(E94/E446, "NA")</f>
        <v>NA</v>
      </c>
      <c r="G94" s="14"/>
      <c r="H94" s="15">
        <f t="shared" ref="H94:H124" si="29">IFERROR(B94-E94, "NA")</f>
        <v>0</v>
      </c>
      <c r="I94" s="13" t="str">
        <f>IFERROR(H94/H446, "NA")</f>
        <v>NA</v>
      </c>
      <c r="J94" s="14"/>
      <c r="K94" s="12">
        <v>0.0</v>
      </c>
      <c r="L94" s="13" t="str">
        <f>IFERROR(K94/K446, "NA")</f>
        <v>NA</v>
      </c>
      <c r="M94" s="14"/>
      <c r="N94" s="15">
        <f t="shared" ref="N94:N124" si="30">IFERROR(B94-K94, "NA")</f>
        <v>0</v>
      </c>
      <c r="O94" s="13" t="str">
        <f>IFERROR(N94/N446, "NA")</f>
        <v>NA</v>
      </c>
      <c r="P94" s="14"/>
      <c r="Q94" s="12">
        <v>0.0</v>
      </c>
      <c r="R94" s="13" t="str">
        <f>IFERROR(Q94/Q446, "NA")</f>
        <v>NA</v>
      </c>
      <c r="S94" s="14"/>
      <c r="T94" s="12">
        <v>0.0</v>
      </c>
      <c r="U94" s="13" t="str">
        <f>IFERROR(T94/T446, "NA")</f>
        <v>NA</v>
      </c>
      <c r="V94" s="14"/>
      <c r="W94" s="15">
        <f t="shared" ref="W94:W124" si="31">IFERROR(Q94-T94, "NA")</f>
        <v>0</v>
      </c>
      <c r="X94" s="13" t="str">
        <f>IFERROR(W94/W446, "NA")</f>
        <v>NA</v>
      </c>
      <c r="Y94" s="14"/>
      <c r="Z94" s="12">
        <v>0.0</v>
      </c>
      <c r="AA94" s="13" t="str">
        <f>IFERROR(Z94/Z446, "NA")</f>
        <v>NA</v>
      </c>
      <c r="AB94" s="14"/>
      <c r="AC94" s="15">
        <f t="shared" ref="AC94:AC124" si="32">IFERROR(Q94-Z94, "NA")</f>
        <v>0</v>
      </c>
      <c r="AD94" s="13" t="str">
        <f>IFERROR(AC94/AC446, "NA")</f>
        <v>NA</v>
      </c>
    </row>
    <row r="95" ht="16.5" hidden="1" customHeight="1">
      <c r="A95" s="11" t="s">
        <v>93</v>
      </c>
      <c r="B95" s="12">
        <v>0.0</v>
      </c>
      <c r="C95" s="13" t="str">
        <f>IFERROR(B95/B446, "NA")</f>
        <v>NA</v>
      </c>
      <c r="D95" s="14"/>
      <c r="E95" s="12">
        <v>0.0</v>
      </c>
      <c r="F95" s="13" t="str">
        <f>IFERROR(E95/E446, "NA")</f>
        <v>NA</v>
      </c>
      <c r="G95" s="14"/>
      <c r="H95" s="15">
        <f t="shared" si="29"/>
        <v>0</v>
      </c>
      <c r="I95" s="13" t="str">
        <f>IFERROR(H95/H446, "NA")</f>
        <v>NA</v>
      </c>
      <c r="J95" s="14"/>
      <c r="K95" s="12">
        <v>0.0</v>
      </c>
      <c r="L95" s="13" t="str">
        <f>IFERROR(K95/K446, "NA")</f>
        <v>NA</v>
      </c>
      <c r="M95" s="14"/>
      <c r="N95" s="15">
        <f t="shared" si="30"/>
        <v>0</v>
      </c>
      <c r="O95" s="13" t="str">
        <f>IFERROR(N95/N446, "NA")</f>
        <v>NA</v>
      </c>
      <c r="P95" s="14"/>
      <c r="Q95" s="12">
        <v>0.0</v>
      </c>
      <c r="R95" s="13" t="str">
        <f>IFERROR(Q95/Q446, "NA")</f>
        <v>NA</v>
      </c>
      <c r="S95" s="14"/>
      <c r="T95" s="12">
        <v>0.0</v>
      </c>
      <c r="U95" s="13" t="str">
        <f>IFERROR(T95/T446, "NA")</f>
        <v>NA</v>
      </c>
      <c r="V95" s="14"/>
      <c r="W95" s="15">
        <f t="shared" si="31"/>
        <v>0</v>
      </c>
      <c r="X95" s="13" t="str">
        <f>IFERROR(W95/W446, "NA")</f>
        <v>NA</v>
      </c>
      <c r="Y95" s="14"/>
      <c r="Z95" s="12">
        <v>0.0</v>
      </c>
      <c r="AA95" s="13" t="str">
        <f>IFERROR(Z95/Z446, "NA")</f>
        <v>NA</v>
      </c>
      <c r="AB95" s="14"/>
      <c r="AC95" s="15">
        <f t="shared" si="32"/>
        <v>0</v>
      </c>
      <c r="AD95" s="13" t="str">
        <f>IFERROR(AC95/AC446, "NA")</f>
        <v>NA</v>
      </c>
    </row>
    <row r="96" ht="16.5" hidden="1" customHeight="1">
      <c r="A96" s="11" t="s">
        <v>94</v>
      </c>
      <c r="B96" s="12">
        <v>0.0</v>
      </c>
      <c r="C96" s="13" t="str">
        <f>IFERROR(B96/B446, "NA")</f>
        <v>NA</v>
      </c>
      <c r="D96" s="14"/>
      <c r="E96" s="12">
        <v>0.0</v>
      </c>
      <c r="F96" s="13" t="str">
        <f>IFERROR(E96/E446, "NA")</f>
        <v>NA</v>
      </c>
      <c r="G96" s="14"/>
      <c r="H96" s="15">
        <f t="shared" si="29"/>
        <v>0</v>
      </c>
      <c r="I96" s="13" t="str">
        <f>IFERROR(H96/H446, "NA")</f>
        <v>NA</v>
      </c>
      <c r="J96" s="14"/>
      <c r="K96" s="12">
        <v>0.0</v>
      </c>
      <c r="L96" s="13" t="str">
        <f>IFERROR(K96/K446, "NA")</f>
        <v>NA</v>
      </c>
      <c r="M96" s="14"/>
      <c r="N96" s="15">
        <f t="shared" si="30"/>
        <v>0</v>
      </c>
      <c r="O96" s="13" t="str">
        <f>IFERROR(N96/N446, "NA")</f>
        <v>NA</v>
      </c>
      <c r="P96" s="14"/>
      <c r="Q96" s="12">
        <v>0.0</v>
      </c>
      <c r="R96" s="13" t="str">
        <f>IFERROR(Q96/Q446, "NA")</f>
        <v>NA</v>
      </c>
      <c r="S96" s="14"/>
      <c r="T96" s="12">
        <v>0.0</v>
      </c>
      <c r="U96" s="13" t="str">
        <f>IFERROR(T96/T446, "NA")</f>
        <v>NA</v>
      </c>
      <c r="V96" s="14"/>
      <c r="W96" s="15">
        <f t="shared" si="31"/>
        <v>0</v>
      </c>
      <c r="X96" s="13" t="str">
        <f>IFERROR(W96/W446, "NA")</f>
        <v>NA</v>
      </c>
      <c r="Y96" s="14"/>
      <c r="Z96" s="12">
        <v>0.0</v>
      </c>
      <c r="AA96" s="13" t="str">
        <f>IFERROR(Z96/Z446, "NA")</f>
        <v>NA</v>
      </c>
      <c r="AB96" s="14"/>
      <c r="AC96" s="15">
        <f t="shared" si="32"/>
        <v>0</v>
      </c>
      <c r="AD96" s="13" t="str">
        <f>IFERROR(AC96/AC446, "NA")</f>
        <v>NA</v>
      </c>
    </row>
    <row r="97" ht="16.5" hidden="1" customHeight="1">
      <c r="A97" s="11" t="s">
        <v>95</v>
      </c>
      <c r="B97" s="12">
        <v>0.0</v>
      </c>
      <c r="C97" s="13" t="str">
        <f>IFERROR(B97/B446, "NA")</f>
        <v>NA</v>
      </c>
      <c r="D97" s="14"/>
      <c r="E97" s="12">
        <v>0.0</v>
      </c>
      <c r="F97" s="13" t="str">
        <f>IFERROR(E97/E446, "NA")</f>
        <v>NA</v>
      </c>
      <c r="G97" s="14"/>
      <c r="H97" s="15">
        <f t="shared" si="29"/>
        <v>0</v>
      </c>
      <c r="I97" s="13" t="str">
        <f>IFERROR(H97/H446, "NA")</f>
        <v>NA</v>
      </c>
      <c r="J97" s="14"/>
      <c r="K97" s="12">
        <v>0.0</v>
      </c>
      <c r="L97" s="13" t="str">
        <f>IFERROR(K97/K446, "NA")</f>
        <v>NA</v>
      </c>
      <c r="M97" s="14"/>
      <c r="N97" s="15">
        <f t="shared" si="30"/>
        <v>0</v>
      </c>
      <c r="O97" s="13" t="str">
        <f>IFERROR(N97/N446, "NA")</f>
        <v>NA</v>
      </c>
      <c r="P97" s="14"/>
      <c r="Q97" s="12">
        <v>0.0</v>
      </c>
      <c r="R97" s="13" t="str">
        <f>IFERROR(Q97/Q446, "NA")</f>
        <v>NA</v>
      </c>
      <c r="S97" s="14"/>
      <c r="T97" s="12">
        <v>0.0</v>
      </c>
      <c r="U97" s="13" t="str">
        <f>IFERROR(T97/T446, "NA")</f>
        <v>NA</v>
      </c>
      <c r="V97" s="14"/>
      <c r="W97" s="15">
        <f t="shared" si="31"/>
        <v>0</v>
      </c>
      <c r="X97" s="13" t="str">
        <f>IFERROR(W97/W446, "NA")</f>
        <v>NA</v>
      </c>
      <c r="Y97" s="14"/>
      <c r="Z97" s="12">
        <v>0.0</v>
      </c>
      <c r="AA97" s="13" t="str">
        <f>IFERROR(Z97/Z446, "NA")</f>
        <v>NA</v>
      </c>
      <c r="AB97" s="14"/>
      <c r="AC97" s="15">
        <f t="shared" si="32"/>
        <v>0</v>
      </c>
      <c r="AD97" s="13" t="str">
        <f>IFERROR(AC97/AC446, "NA")</f>
        <v>NA</v>
      </c>
    </row>
    <row r="98" ht="16.5" hidden="1" customHeight="1">
      <c r="A98" s="11" t="s">
        <v>96</v>
      </c>
      <c r="B98" s="12">
        <v>0.0</v>
      </c>
      <c r="C98" s="13" t="str">
        <f>IFERROR(B98/B446, "NA")</f>
        <v>NA</v>
      </c>
      <c r="D98" s="14"/>
      <c r="E98" s="12">
        <v>0.0</v>
      </c>
      <c r="F98" s="13" t="str">
        <f>IFERROR(E98/E446, "NA")</f>
        <v>NA</v>
      </c>
      <c r="G98" s="14"/>
      <c r="H98" s="15">
        <f t="shared" si="29"/>
        <v>0</v>
      </c>
      <c r="I98" s="13" t="str">
        <f>IFERROR(H98/H446, "NA")</f>
        <v>NA</v>
      </c>
      <c r="J98" s="14"/>
      <c r="K98" s="12">
        <v>0.0</v>
      </c>
      <c r="L98" s="13" t="str">
        <f>IFERROR(K98/K446, "NA")</f>
        <v>NA</v>
      </c>
      <c r="M98" s="14"/>
      <c r="N98" s="15">
        <f t="shared" si="30"/>
        <v>0</v>
      </c>
      <c r="O98" s="13" t="str">
        <f>IFERROR(N98/N446, "NA")</f>
        <v>NA</v>
      </c>
      <c r="P98" s="14"/>
      <c r="Q98" s="12">
        <v>0.0</v>
      </c>
      <c r="R98" s="13" t="str">
        <f>IFERROR(Q98/Q446, "NA")</f>
        <v>NA</v>
      </c>
      <c r="S98" s="14"/>
      <c r="T98" s="12">
        <v>0.0</v>
      </c>
      <c r="U98" s="13" t="str">
        <f>IFERROR(T98/T446, "NA")</f>
        <v>NA</v>
      </c>
      <c r="V98" s="14"/>
      <c r="W98" s="15">
        <f t="shared" si="31"/>
        <v>0</v>
      </c>
      <c r="X98" s="13" t="str">
        <f>IFERROR(W98/W446, "NA")</f>
        <v>NA</v>
      </c>
      <c r="Y98" s="14"/>
      <c r="Z98" s="12">
        <v>0.0</v>
      </c>
      <c r="AA98" s="13" t="str">
        <f>IFERROR(Z98/Z446, "NA")</f>
        <v>NA</v>
      </c>
      <c r="AB98" s="14"/>
      <c r="AC98" s="15">
        <f t="shared" si="32"/>
        <v>0</v>
      </c>
      <c r="AD98" s="13" t="str">
        <f>IFERROR(AC98/AC446, "NA")</f>
        <v>NA</v>
      </c>
    </row>
    <row r="99" ht="16.5" hidden="1" customHeight="1">
      <c r="A99" s="11" t="s">
        <v>97</v>
      </c>
      <c r="B99" s="12">
        <v>0.0</v>
      </c>
      <c r="C99" s="13" t="str">
        <f>IFERROR(B99/B446, "NA")</f>
        <v>NA</v>
      </c>
      <c r="D99" s="14"/>
      <c r="E99" s="12">
        <v>0.0</v>
      </c>
      <c r="F99" s="13" t="str">
        <f>IFERROR(E99/E446, "NA")</f>
        <v>NA</v>
      </c>
      <c r="G99" s="14"/>
      <c r="H99" s="15">
        <f t="shared" si="29"/>
        <v>0</v>
      </c>
      <c r="I99" s="13" t="str">
        <f>IFERROR(H99/H446, "NA")</f>
        <v>NA</v>
      </c>
      <c r="J99" s="14"/>
      <c r="K99" s="12">
        <v>0.0</v>
      </c>
      <c r="L99" s="13" t="str">
        <f>IFERROR(K99/K446, "NA")</f>
        <v>NA</v>
      </c>
      <c r="M99" s="14"/>
      <c r="N99" s="15">
        <f t="shared" si="30"/>
        <v>0</v>
      </c>
      <c r="O99" s="13" t="str">
        <f>IFERROR(N99/N446, "NA")</f>
        <v>NA</v>
      </c>
      <c r="P99" s="14"/>
      <c r="Q99" s="12">
        <v>0.0</v>
      </c>
      <c r="R99" s="13" t="str">
        <f>IFERROR(Q99/Q446, "NA")</f>
        <v>NA</v>
      </c>
      <c r="S99" s="14"/>
      <c r="T99" s="12">
        <v>0.0</v>
      </c>
      <c r="U99" s="13" t="str">
        <f>IFERROR(T99/T446, "NA")</f>
        <v>NA</v>
      </c>
      <c r="V99" s="14"/>
      <c r="W99" s="15">
        <f t="shared" si="31"/>
        <v>0</v>
      </c>
      <c r="X99" s="13" t="str">
        <f>IFERROR(W99/W446, "NA")</f>
        <v>NA</v>
      </c>
      <c r="Y99" s="14"/>
      <c r="Z99" s="12">
        <v>0.0</v>
      </c>
      <c r="AA99" s="13" t="str">
        <f>IFERROR(Z99/Z446, "NA")</f>
        <v>NA</v>
      </c>
      <c r="AB99" s="14"/>
      <c r="AC99" s="15">
        <f t="shared" si="32"/>
        <v>0</v>
      </c>
      <c r="AD99" s="13" t="str">
        <f>IFERROR(AC99/AC446, "NA")</f>
        <v>NA</v>
      </c>
    </row>
    <row r="100" ht="16.5" hidden="1" customHeight="1">
      <c r="A100" s="11" t="s">
        <v>98</v>
      </c>
      <c r="B100" s="12">
        <v>0.0</v>
      </c>
      <c r="C100" s="13" t="str">
        <f>IFERROR(B100/B446, "NA")</f>
        <v>NA</v>
      </c>
      <c r="D100" s="14"/>
      <c r="E100" s="12">
        <v>0.0</v>
      </c>
      <c r="F100" s="13" t="str">
        <f>IFERROR(E100/E446, "NA")</f>
        <v>NA</v>
      </c>
      <c r="G100" s="14"/>
      <c r="H100" s="15">
        <f t="shared" si="29"/>
        <v>0</v>
      </c>
      <c r="I100" s="13" t="str">
        <f>IFERROR(H100/H446, "NA")</f>
        <v>NA</v>
      </c>
      <c r="J100" s="14"/>
      <c r="K100" s="12">
        <v>0.0</v>
      </c>
      <c r="L100" s="13" t="str">
        <f>IFERROR(K100/K446, "NA")</f>
        <v>NA</v>
      </c>
      <c r="M100" s="14"/>
      <c r="N100" s="15">
        <f t="shared" si="30"/>
        <v>0</v>
      </c>
      <c r="O100" s="13" t="str">
        <f>IFERROR(N100/N446, "NA")</f>
        <v>NA</v>
      </c>
      <c r="P100" s="14"/>
      <c r="Q100" s="12">
        <v>0.0</v>
      </c>
      <c r="R100" s="13" t="str">
        <f>IFERROR(Q100/Q446, "NA")</f>
        <v>NA</v>
      </c>
      <c r="S100" s="14"/>
      <c r="T100" s="12">
        <v>0.0</v>
      </c>
      <c r="U100" s="13" t="str">
        <f>IFERROR(T100/T446, "NA")</f>
        <v>NA</v>
      </c>
      <c r="V100" s="14"/>
      <c r="W100" s="15">
        <f t="shared" si="31"/>
        <v>0</v>
      </c>
      <c r="X100" s="13" t="str">
        <f>IFERROR(W100/W446, "NA")</f>
        <v>NA</v>
      </c>
      <c r="Y100" s="14"/>
      <c r="Z100" s="12">
        <v>0.0</v>
      </c>
      <c r="AA100" s="13" t="str">
        <f>IFERROR(Z100/Z446, "NA")</f>
        <v>NA</v>
      </c>
      <c r="AB100" s="14"/>
      <c r="AC100" s="15">
        <f t="shared" si="32"/>
        <v>0</v>
      </c>
      <c r="AD100" s="13" t="str">
        <f>IFERROR(AC100/AC446, "NA")</f>
        <v>NA</v>
      </c>
    </row>
    <row r="101" ht="16.5" hidden="1" customHeight="1">
      <c r="A101" s="11" t="s">
        <v>99</v>
      </c>
      <c r="B101" s="12">
        <v>0.0</v>
      </c>
      <c r="C101" s="13" t="str">
        <f>IFERROR(B101/B446, "NA")</f>
        <v>NA</v>
      </c>
      <c r="D101" s="14"/>
      <c r="E101" s="12">
        <v>0.0</v>
      </c>
      <c r="F101" s="13" t="str">
        <f>IFERROR(E101/E446, "NA")</f>
        <v>NA</v>
      </c>
      <c r="G101" s="14"/>
      <c r="H101" s="15">
        <f t="shared" si="29"/>
        <v>0</v>
      </c>
      <c r="I101" s="13" t="str">
        <f>IFERROR(H101/H446, "NA")</f>
        <v>NA</v>
      </c>
      <c r="J101" s="14"/>
      <c r="K101" s="12">
        <v>0.0</v>
      </c>
      <c r="L101" s="13" t="str">
        <f>IFERROR(K101/K446, "NA")</f>
        <v>NA</v>
      </c>
      <c r="M101" s="14"/>
      <c r="N101" s="15">
        <f t="shared" si="30"/>
        <v>0</v>
      </c>
      <c r="O101" s="13" t="str">
        <f>IFERROR(N101/N446, "NA")</f>
        <v>NA</v>
      </c>
      <c r="P101" s="14"/>
      <c r="Q101" s="12">
        <v>0.0</v>
      </c>
      <c r="R101" s="13" t="str">
        <f>IFERROR(Q101/Q446, "NA")</f>
        <v>NA</v>
      </c>
      <c r="S101" s="14"/>
      <c r="T101" s="12">
        <v>0.0</v>
      </c>
      <c r="U101" s="13" t="str">
        <f>IFERROR(T101/T446, "NA")</f>
        <v>NA</v>
      </c>
      <c r="V101" s="14"/>
      <c r="W101" s="15">
        <f t="shared" si="31"/>
        <v>0</v>
      </c>
      <c r="X101" s="13" t="str">
        <f>IFERROR(W101/W446, "NA")</f>
        <v>NA</v>
      </c>
      <c r="Y101" s="14"/>
      <c r="Z101" s="12">
        <v>0.0</v>
      </c>
      <c r="AA101" s="13" t="str">
        <f>IFERROR(Z101/Z446, "NA")</f>
        <v>NA</v>
      </c>
      <c r="AB101" s="14"/>
      <c r="AC101" s="15">
        <f t="shared" si="32"/>
        <v>0</v>
      </c>
      <c r="AD101" s="13" t="str">
        <f>IFERROR(AC101/AC446, "NA")</f>
        <v>NA</v>
      </c>
    </row>
    <row r="102" ht="16.5" hidden="1" customHeight="1">
      <c r="A102" s="11" t="s">
        <v>100</v>
      </c>
      <c r="B102" s="12">
        <v>0.0</v>
      </c>
      <c r="C102" s="13" t="str">
        <f>IFERROR(B102/B446, "NA")</f>
        <v>NA</v>
      </c>
      <c r="D102" s="14"/>
      <c r="E102" s="12">
        <v>0.0</v>
      </c>
      <c r="F102" s="13" t="str">
        <f>IFERROR(E102/E446, "NA")</f>
        <v>NA</v>
      </c>
      <c r="G102" s="14"/>
      <c r="H102" s="15">
        <f t="shared" si="29"/>
        <v>0</v>
      </c>
      <c r="I102" s="13" t="str">
        <f>IFERROR(H102/H446, "NA")</f>
        <v>NA</v>
      </c>
      <c r="J102" s="14"/>
      <c r="K102" s="12">
        <v>0.0</v>
      </c>
      <c r="L102" s="13" t="str">
        <f>IFERROR(K102/K446, "NA")</f>
        <v>NA</v>
      </c>
      <c r="M102" s="14"/>
      <c r="N102" s="15">
        <f t="shared" si="30"/>
        <v>0</v>
      </c>
      <c r="O102" s="13" t="str">
        <f>IFERROR(N102/N446, "NA")</f>
        <v>NA</v>
      </c>
      <c r="P102" s="14"/>
      <c r="Q102" s="12">
        <v>0.0</v>
      </c>
      <c r="R102" s="13" t="str">
        <f>IFERROR(Q102/Q446, "NA")</f>
        <v>NA</v>
      </c>
      <c r="S102" s="14"/>
      <c r="T102" s="12">
        <v>0.0</v>
      </c>
      <c r="U102" s="13" t="str">
        <f>IFERROR(T102/T446, "NA")</f>
        <v>NA</v>
      </c>
      <c r="V102" s="14"/>
      <c r="W102" s="15">
        <f t="shared" si="31"/>
        <v>0</v>
      </c>
      <c r="X102" s="13" t="str">
        <f>IFERROR(W102/W446, "NA")</f>
        <v>NA</v>
      </c>
      <c r="Y102" s="14"/>
      <c r="Z102" s="12">
        <v>0.0</v>
      </c>
      <c r="AA102" s="13" t="str">
        <f>IFERROR(Z102/Z446, "NA")</f>
        <v>NA</v>
      </c>
      <c r="AB102" s="14"/>
      <c r="AC102" s="15">
        <f t="shared" si="32"/>
        <v>0</v>
      </c>
      <c r="AD102" s="13" t="str">
        <f>IFERROR(AC102/AC446, "NA")</f>
        <v>NA</v>
      </c>
    </row>
    <row r="103" ht="16.5" hidden="1" customHeight="1">
      <c r="A103" s="11" t="s">
        <v>101</v>
      </c>
      <c r="B103" s="12">
        <v>0.0</v>
      </c>
      <c r="C103" s="13" t="str">
        <f>IFERROR(B103/B446, "NA")</f>
        <v>NA</v>
      </c>
      <c r="D103" s="14"/>
      <c r="E103" s="12">
        <v>0.0</v>
      </c>
      <c r="F103" s="13" t="str">
        <f>IFERROR(E103/E446, "NA")</f>
        <v>NA</v>
      </c>
      <c r="G103" s="14"/>
      <c r="H103" s="15">
        <f t="shared" si="29"/>
        <v>0</v>
      </c>
      <c r="I103" s="13" t="str">
        <f>IFERROR(H103/H446, "NA")</f>
        <v>NA</v>
      </c>
      <c r="J103" s="14"/>
      <c r="K103" s="12">
        <v>0.0</v>
      </c>
      <c r="L103" s="13" t="str">
        <f>IFERROR(K103/K446, "NA")</f>
        <v>NA</v>
      </c>
      <c r="M103" s="14"/>
      <c r="N103" s="15">
        <f t="shared" si="30"/>
        <v>0</v>
      </c>
      <c r="O103" s="13" t="str">
        <f>IFERROR(N103/N446, "NA")</f>
        <v>NA</v>
      </c>
      <c r="P103" s="14"/>
      <c r="Q103" s="12">
        <v>0.0</v>
      </c>
      <c r="R103" s="13" t="str">
        <f>IFERROR(Q103/Q446, "NA")</f>
        <v>NA</v>
      </c>
      <c r="S103" s="14"/>
      <c r="T103" s="12">
        <v>0.0</v>
      </c>
      <c r="U103" s="13" t="str">
        <f>IFERROR(T103/T446, "NA")</f>
        <v>NA</v>
      </c>
      <c r="V103" s="14"/>
      <c r="W103" s="15">
        <f t="shared" si="31"/>
        <v>0</v>
      </c>
      <c r="X103" s="13" t="str">
        <f>IFERROR(W103/W446, "NA")</f>
        <v>NA</v>
      </c>
      <c r="Y103" s="14"/>
      <c r="Z103" s="12">
        <v>0.0</v>
      </c>
      <c r="AA103" s="13" t="str">
        <f>IFERROR(Z103/Z446, "NA")</f>
        <v>NA</v>
      </c>
      <c r="AB103" s="14"/>
      <c r="AC103" s="15">
        <f t="shared" si="32"/>
        <v>0</v>
      </c>
      <c r="AD103" s="13" t="str">
        <f>IFERROR(AC103/AC446, "NA")</f>
        <v>NA</v>
      </c>
    </row>
    <row r="104" ht="16.5" hidden="1" customHeight="1">
      <c r="A104" s="11" t="s">
        <v>102</v>
      </c>
      <c r="B104" s="12">
        <v>0.0</v>
      </c>
      <c r="C104" s="13" t="str">
        <f>IFERROR(B104/B446, "NA")</f>
        <v>NA</v>
      </c>
      <c r="D104" s="14"/>
      <c r="E104" s="12">
        <v>0.0</v>
      </c>
      <c r="F104" s="13" t="str">
        <f>IFERROR(E104/E446, "NA")</f>
        <v>NA</v>
      </c>
      <c r="G104" s="14"/>
      <c r="H104" s="15">
        <f t="shared" si="29"/>
        <v>0</v>
      </c>
      <c r="I104" s="13" t="str">
        <f>IFERROR(H104/H446, "NA")</f>
        <v>NA</v>
      </c>
      <c r="J104" s="14"/>
      <c r="K104" s="12">
        <v>0.0</v>
      </c>
      <c r="L104" s="13" t="str">
        <f>IFERROR(K104/K446, "NA")</f>
        <v>NA</v>
      </c>
      <c r="M104" s="14"/>
      <c r="N104" s="15">
        <f t="shared" si="30"/>
        <v>0</v>
      </c>
      <c r="O104" s="13" t="str">
        <f>IFERROR(N104/N446, "NA")</f>
        <v>NA</v>
      </c>
      <c r="P104" s="14"/>
      <c r="Q104" s="12">
        <v>0.0</v>
      </c>
      <c r="R104" s="13" t="str">
        <f>IFERROR(Q104/Q446, "NA")</f>
        <v>NA</v>
      </c>
      <c r="S104" s="14"/>
      <c r="T104" s="12">
        <v>0.0</v>
      </c>
      <c r="U104" s="13" t="str">
        <f>IFERROR(T104/T446, "NA")</f>
        <v>NA</v>
      </c>
      <c r="V104" s="14"/>
      <c r="W104" s="15">
        <f t="shared" si="31"/>
        <v>0</v>
      </c>
      <c r="X104" s="13" t="str">
        <f>IFERROR(W104/W446, "NA")</f>
        <v>NA</v>
      </c>
      <c r="Y104" s="14"/>
      <c r="Z104" s="12">
        <v>0.0</v>
      </c>
      <c r="AA104" s="13" t="str">
        <f>IFERROR(Z104/Z446, "NA")</f>
        <v>NA</v>
      </c>
      <c r="AB104" s="14"/>
      <c r="AC104" s="15">
        <f t="shared" si="32"/>
        <v>0</v>
      </c>
      <c r="AD104" s="13" t="str">
        <f>IFERROR(AC104/AC446, "NA")</f>
        <v>NA</v>
      </c>
    </row>
    <row r="105" ht="16.5" hidden="1" customHeight="1">
      <c r="A105" s="11" t="s">
        <v>103</v>
      </c>
      <c r="B105" s="12">
        <v>0.0</v>
      </c>
      <c r="C105" s="13" t="str">
        <f>IFERROR(B105/B446, "NA")</f>
        <v>NA</v>
      </c>
      <c r="D105" s="14"/>
      <c r="E105" s="12">
        <v>0.0</v>
      </c>
      <c r="F105" s="13" t="str">
        <f>IFERROR(E105/E446, "NA")</f>
        <v>NA</v>
      </c>
      <c r="G105" s="14"/>
      <c r="H105" s="15">
        <f t="shared" si="29"/>
        <v>0</v>
      </c>
      <c r="I105" s="13" t="str">
        <f>IFERROR(H105/H446, "NA")</f>
        <v>NA</v>
      </c>
      <c r="J105" s="14"/>
      <c r="K105" s="12">
        <v>0.0</v>
      </c>
      <c r="L105" s="13" t="str">
        <f>IFERROR(K105/K446, "NA")</f>
        <v>NA</v>
      </c>
      <c r="M105" s="14"/>
      <c r="N105" s="15">
        <f t="shared" si="30"/>
        <v>0</v>
      </c>
      <c r="O105" s="13" t="str">
        <f>IFERROR(N105/N446, "NA")</f>
        <v>NA</v>
      </c>
      <c r="P105" s="14"/>
      <c r="Q105" s="12">
        <v>0.0</v>
      </c>
      <c r="R105" s="13" t="str">
        <f>IFERROR(Q105/Q446, "NA")</f>
        <v>NA</v>
      </c>
      <c r="S105" s="14"/>
      <c r="T105" s="12">
        <v>0.0</v>
      </c>
      <c r="U105" s="13" t="str">
        <f>IFERROR(T105/T446, "NA")</f>
        <v>NA</v>
      </c>
      <c r="V105" s="14"/>
      <c r="W105" s="15">
        <f t="shared" si="31"/>
        <v>0</v>
      </c>
      <c r="X105" s="13" t="str">
        <f>IFERROR(W105/W446, "NA")</f>
        <v>NA</v>
      </c>
      <c r="Y105" s="14"/>
      <c r="Z105" s="12">
        <v>0.0</v>
      </c>
      <c r="AA105" s="13" t="str">
        <f>IFERROR(Z105/Z446, "NA")</f>
        <v>NA</v>
      </c>
      <c r="AB105" s="14"/>
      <c r="AC105" s="15">
        <f t="shared" si="32"/>
        <v>0</v>
      </c>
      <c r="AD105" s="13" t="str">
        <f>IFERROR(AC105/AC446, "NA")</f>
        <v>NA</v>
      </c>
    </row>
    <row r="106" ht="16.5" hidden="1" customHeight="1">
      <c r="A106" s="11" t="s">
        <v>104</v>
      </c>
      <c r="B106" s="12">
        <v>0.0</v>
      </c>
      <c r="C106" s="13" t="str">
        <f>IFERROR(B106/B446, "NA")</f>
        <v>NA</v>
      </c>
      <c r="D106" s="14"/>
      <c r="E106" s="12">
        <v>0.0</v>
      </c>
      <c r="F106" s="13" t="str">
        <f>IFERROR(E106/E446, "NA")</f>
        <v>NA</v>
      </c>
      <c r="G106" s="14"/>
      <c r="H106" s="15">
        <f t="shared" si="29"/>
        <v>0</v>
      </c>
      <c r="I106" s="13" t="str">
        <f>IFERROR(H106/H446, "NA")</f>
        <v>NA</v>
      </c>
      <c r="J106" s="14"/>
      <c r="K106" s="12">
        <v>0.0</v>
      </c>
      <c r="L106" s="13" t="str">
        <f>IFERROR(K106/K446, "NA")</f>
        <v>NA</v>
      </c>
      <c r="M106" s="14"/>
      <c r="N106" s="15">
        <f t="shared" si="30"/>
        <v>0</v>
      </c>
      <c r="O106" s="13" t="str">
        <f>IFERROR(N106/N446, "NA")</f>
        <v>NA</v>
      </c>
      <c r="P106" s="14"/>
      <c r="Q106" s="12">
        <v>0.0</v>
      </c>
      <c r="R106" s="13" t="str">
        <f>IFERROR(Q106/Q446, "NA")</f>
        <v>NA</v>
      </c>
      <c r="S106" s="14"/>
      <c r="T106" s="12">
        <v>0.0</v>
      </c>
      <c r="U106" s="13" t="str">
        <f>IFERROR(T106/T446, "NA")</f>
        <v>NA</v>
      </c>
      <c r="V106" s="14"/>
      <c r="W106" s="15">
        <f t="shared" si="31"/>
        <v>0</v>
      </c>
      <c r="X106" s="13" t="str">
        <f>IFERROR(W106/W446, "NA")</f>
        <v>NA</v>
      </c>
      <c r="Y106" s="14"/>
      <c r="Z106" s="12">
        <v>0.0</v>
      </c>
      <c r="AA106" s="13" t="str">
        <f>IFERROR(Z106/Z446, "NA")</f>
        <v>NA</v>
      </c>
      <c r="AB106" s="14"/>
      <c r="AC106" s="15">
        <f t="shared" si="32"/>
        <v>0</v>
      </c>
      <c r="AD106" s="13" t="str">
        <f>IFERROR(AC106/AC446, "NA")</f>
        <v>NA</v>
      </c>
    </row>
    <row r="107" ht="16.5" hidden="1" customHeight="1">
      <c r="A107" s="11" t="s">
        <v>105</v>
      </c>
      <c r="B107" s="12">
        <v>0.0</v>
      </c>
      <c r="C107" s="13" t="str">
        <f>IFERROR(B107/B446, "NA")</f>
        <v>NA</v>
      </c>
      <c r="D107" s="14"/>
      <c r="E107" s="12">
        <v>0.0</v>
      </c>
      <c r="F107" s="13" t="str">
        <f>IFERROR(E107/E446, "NA")</f>
        <v>NA</v>
      </c>
      <c r="G107" s="14"/>
      <c r="H107" s="15">
        <f t="shared" si="29"/>
        <v>0</v>
      </c>
      <c r="I107" s="13" t="str">
        <f>IFERROR(H107/H446, "NA")</f>
        <v>NA</v>
      </c>
      <c r="J107" s="14"/>
      <c r="K107" s="12">
        <v>0.0</v>
      </c>
      <c r="L107" s="13" t="str">
        <f>IFERROR(K107/K446, "NA")</f>
        <v>NA</v>
      </c>
      <c r="M107" s="14"/>
      <c r="N107" s="15">
        <f t="shared" si="30"/>
        <v>0</v>
      </c>
      <c r="O107" s="13" t="str">
        <f>IFERROR(N107/N446, "NA")</f>
        <v>NA</v>
      </c>
      <c r="P107" s="14"/>
      <c r="Q107" s="12">
        <v>0.0</v>
      </c>
      <c r="R107" s="13" t="str">
        <f>IFERROR(Q107/Q446, "NA")</f>
        <v>NA</v>
      </c>
      <c r="S107" s="14"/>
      <c r="T107" s="12">
        <v>0.0</v>
      </c>
      <c r="U107" s="13" t="str">
        <f>IFERROR(T107/T446, "NA")</f>
        <v>NA</v>
      </c>
      <c r="V107" s="14"/>
      <c r="W107" s="15">
        <f t="shared" si="31"/>
        <v>0</v>
      </c>
      <c r="X107" s="13" t="str">
        <f>IFERROR(W107/W446, "NA")</f>
        <v>NA</v>
      </c>
      <c r="Y107" s="14"/>
      <c r="Z107" s="12">
        <v>0.0</v>
      </c>
      <c r="AA107" s="13" t="str">
        <f>IFERROR(Z107/Z446, "NA")</f>
        <v>NA</v>
      </c>
      <c r="AB107" s="14"/>
      <c r="AC107" s="15">
        <f t="shared" si="32"/>
        <v>0</v>
      </c>
      <c r="AD107" s="13" t="str">
        <f>IFERROR(AC107/AC446, "NA")</f>
        <v>NA</v>
      </c>
    </row>
    <row r="108" ht="16.5" hidden="1" customHeight="1">
      <c r="A108" s="11" t="s">
        <v>106</v>
      </c>
      <c r="B108" s="12">
        <v>0.0</v>
      </c>
      <c r="C108" s="13" t="str">
        <f>IFERROR(B108/B446, "NA")</f>
        <v>NA</v>
      </c>
      <c r="D108" s="14"/>
      <c r="E108" s="12">
        <v>0.0</v>
      </c>
      <c r="F108" s="13" t="str">
        <f>IFERROR(E108/E446, "NA")</f>
        <v>NA</v>
      </c>
      <c r="G108" s="14"/>
      <c r="H108" s="15">
        <f t="shared" si="29"/>
        <v>0</v>
      </c>
      <c r="I108" s="13" t="str">
        <f>IFERROR(H108/H446, "NA")</f>
        <v>NA</v>
      </c>
      <c r="J108" s="14"/>
      <c r="K108" s="12">
        <v>0.0</v>
      </c>
      <c r="L108" s="13" t="str">
        <f>IFERROR(K108/K446, "NA")</f>
        <v>NA</v>
      </c>
      <c r="M108" s="14"/>
      <c r="N108" s="15">
        <f t="shared" si="30"/>
        <v>0</v>
      </c>
      <c r="O108" s="13" t="str">
        <f>IFERROR(N108/N446, "NA")</f>
        <v>NA</v>
      </c>
      <c r="P108" s="14"/>
      <c r="Q108" s="12">
        <v>0.0</v>
      </c>
      <c r="R108" s="13" t="str">
        <f>IFERROR(Q108/Q446, "NA")</f>
        <v>NA</v>
      </c>
      <c r="S108" s="14"/>
      <c r="T108" s="12">
        <v>0.0</v>
      </c>
      <c r="U108" s="13" t="str">
        <f>IFERROR(T108/T446, "NA")</f>
        <v>NA</v>
      </c>
      <c r="V108" s="14"/>
      <c r="W108" s="15">
        <f t="shared" si="31"/>
        <v>0</v>
      </c>
      <c r="X108" s="13" t="str">
        <f>IFERROR(W108/W446, "NA")</f>
        <v>NA</v>
      </c>
      <c r="Y108" s="14"/>
      <c r="Z108" s="12">
        <v>0.0</v>
      </c>
      <c r="AA108" s="13" t="str">
        <f>IFERROR(Z108/Z446, "NA")</f>
        <v>NA</v>
      </c>
      <c r="AB108" s="14"/>
      <c r="AC108" s="15">
        <f t="shared" si="32"/>
        <v>0</v>
      </c>
      <c r="AD108" s="13" t="str">
        <f>IFERROR(AC108/AC446, "NA")</f>
        <v>NA</v>
      </c>
    </row>
    <row r="109" ht="16.5" hidden="1" customHeight="1">
      <c r="A109" s="11" t="s">
        <v>107</v>
      </c>
      <c r="B109" s="12">
        <v>0.0</v>
      </c>
      <c r="C109" s="13" t="str">
        <f>IFERROR(B109/B446, "NA")</f>
        <v>NA</v>
      </c>
      <c r="D109" s="14"/>
      <c r="E109" s="12">
        <v>0.0</v>
      </c>
      <c r="F109" s="13" t="str">
        <f>IFERROR(E109/E446, "NA")</f>
        <v>NA</v>
      </c>
      <c r="G109" s="14"/>
      <c r="H109" s="15">
        <f t="shared" si="29"/>
        <v>0</v>
      </c>
      <c r="I109" s="13" t="str">
        <f>IFERROR(H109/H446, "NA")</f>
        <v>NA</v>
      </c>
      <c r="J109" s="14"/>
      <c r="K109" s="12">
        <v>0.0</v>
      </c>
      <c r="L109" s="13" t="str">
        <f>IFERROR(K109/K446, "NA")</f>
        <v>NA</v>
      </c>
      <c r="M109" s="14"/>
      <c r="N109" s="15">
        <f t="shared" si="30"/>
        <v>0</v>
      </c>
      <c r="O109" s="13" t="str">
        <f>IFERROR(N109/N446, "NA")</f>
        <v>NA</v>
      </c>
      <c r="P109" s="14"/>
      <c r="Q109" s="12">
        <v>0.0</v>
      </c>
      <c r="R109" s="13" t="str">
        <f>IFERROR(Q109/Q446, "NA")</f>
        <v>NA</v>
      </c>
      <c r="S109" s="14"/>
      <c r="T109" s="12">
        <v>0.0</v>
      </c>
      <c r="U109" s="13" t="str">
        <f>IFERROR(T109/T446, "NA")</f>
        <v>NA</v>
      </c>
      <c r="V109" s="14"/>
      <c r="W109" s="15">
        <f t="shared" si="31"/>
        <v>0</v>
      </c>
      <c r="X109" s="13" t="str">
        <f>IFERROR(W109/W446, "NA")</f>
        <v>NA</v>
      </c>
      <c r="Y109" s="14"/>
      <c r="Z109" s="12">
        <v>0.0</v>
      </c>
      <c r="AA109" s="13" t="str">
        <f>IFERROR(Z109/Z446, "NA")</f>
        <v>NA</v>
      </c>
      <c r="AB109" s="14"/>
      <c r="AC109" s="15">
        <f t="shared" si="32"/>
        <v>0</v>
      </c>
      <c r="AD109" s="13" t="str">
        <f>IFERROR(AC109/AC446, "NA")</f>
        <v>NA</v>
      </c>
    </row>
    <row r="110" ht="16.5" hidden="1" customHeight="1">
      <c r="A110" s="11" t="s">
        <v>108</v>
      </c>
      <c r="B110" s="12">
        <v>0.0</v>
      </c>
      <c r="C110" s="13" t="str">
        <f>IFERROR(B110/B446, "NA")</f>
        <v>NA</v>
      </c>
      <c r="D110" s="14"/>
      <c r="E110" s="12">
        <v>0.0</v>
      </c>
      <c r="F110" s="13" t="str">
        <f>IFERROR(E110/E446, "NA")</f>
        <v>NA</v>
      </c>
      <c r="G110" s="14"/>
      <c r="H110" s="15">
        <f t="shared" si="29"/>
        <v>0</v>
      </c>
      <c r="I110" s="13" t="str">
        <f>IFERROR(H110/H446, "NA")</f>
        <v>NA</v>
      </c>
      <c r="J110" s="14"/>
      <c r="K110" s="12">
        <v>0.0</v>
      </c>
      <c r="L110" s="13" t="str">
        <f>IFERROR(K110/K446, "NA")</f>
        <v>NA</v>
      </c>
      <c r="M110" s="14"/>
      <c r="N110" s="15">
        <f t="shared" si="30"/>
        <v>0</v>
      </c>
      <c r="O110" s="13" t="str">
        <f>IFERROR(N110/N446, "NA")</f>
        <v>NA</v>
      </c>
      <c r="P110" s="14"/>
      <c r="Q110" s="12">
        <v>0.0</v>
      </c>
      <c r="R110" s="13" t="str">
        <f>IFERROR(Q110/Q446, "NA")</f>
        <v>NA</v>
      </c>
      <c r="S110" s="14"/>
      <c r="T110" s="12">
        <v>0.0</v>
      </c>
      <c r="U110" s="13" t="str">
        <f>IFERROR(T110/T446, "NA")</f>
        <v>NA</v>
      </c>
      <c r="V110" s="14"/>
      <c r="W110" s="15">
        <f t="shared" si="31"/>
        <v>0</v>
      </c>
      <c r="X110" s="13" t="str">
        <f>IFERROR(W110/W446, "NA")</f>
        <v>NA</v>
      </c>
      <c r="Y110" s="14"/>
      <c r="Z110" s="12">
        <v>0.0</v>
      </c>
      <c r="AA110" s="13" t="str">
        <f>IFERROR(Z110/Z446, "NA")</f>
        <v>NA</v>
      </c>
      <c r="AB110" s="14"/>
      <c r="AC110" s="15">
        <f t="shared" si="32"/>
        <v>0</v>
      </c>
      <c r="AD110" s="13" t="str">
        <f>IFERROR(AC110/AC446, "NA")</f>
        <v>NA</v>
      </c>
    </row>
    <row r="111" ht="16.5" hidden="1" customHeight="1">
      <c r="A111" s="11" t="s">
        <v>109</v>
      </c>
      <c r="B111" s="12">
        <v>0.0</v>
      </c>
      <c r="C111" s="13" t="str">
        <f>IFERROR(B111/B446, "NA")</f>
        <v>NA</v>
      </c>
      <c r="D111" s="14"/>
      <c r="E111" s="12">
        <v>0.0</v>
      </c>
      <c r="F111" s="13" t="str">
        <f>IFERROR(E111/E446, "NA")</f>
        <v>NA</v>
      </c>
      <c r="G111" s="14"/>
      <c r="H111" s="15">
        <f t="shared" si="29"/>
        <v>0</v>
      </c>
      <c r="I111" s="13" t="str">
        <f>IFERROR(H111/H446, "NA")</f>
        <v>NA</v>
      </c>
      <c r="J111" s="14"/>
      <c r="K111" s="12">
        <v>0.0</v>
      </c>
      <c r="L111" s="13" t="str">
        <f>IFERROR(K111/K446, "NA")</f>
        <v>NA</v>
      </c>
      <c r="M111" s="14"/>
      <c r="N111" s="15">
        <f t="shared" si="30"/>
        <v>0</v>
      </c>
      <c r="O111" s="13" t="str">
        <f>IFERROR(N111/N446, "NA")</f>
        <v>NA</v>
      </c>
      <c r="P111" s="14"/>
      <c r="Q111" s="12">
        <v>0.0</v>
      </c>
      <c r="R111" s="13" t="str">
        <f>IFERROR(Q111/Q446, "NA")</f>
        <v>NA</v>
      </c>
      <c r="S111" s="14"/>
      <c r="T111" s="12">
        <v>0.0</v>
      </c>
      <c r="U111" s="13" t="str">
        <f>IFERROR(T111/T446, "NA")</f>
        <v>NA</v>
      </c>
      <c r="V111" s="14"/>
      <c r="W111" s="15">
        <f t="shared" si="31"/>
        <v>0</v>
      </c>
      <c r="X111" s="13" t="str">
        <f>IFERROR(W111/W446, "NA")</f>
        <v>NA</v>
      </c>
      <c r="Y111" s="14"/>
      <c r="Z111" s="12">
        <v>0.0</v>
      </c>
      <c r="AA111" s="13" t="str">
        <f>IFERROR(Z111/Z446, "NA")</f>
        <v>NA</v>
      </c>
      <c r="AB111" s="14"/>
      <c r="AC111" s="15">
        <f t="shared" si="32"/>
        <v>0</v>
      </c>
      <c r="AD111" s="13" t="str">
        <f>IFERROR(AC111/AC446, "NA")</f>
        <v>NA</v>
      </c>
    </row>
    <row r="112" ht="16.5" hidden="1" customHeight="1">
      <c r="A112" s="11" t="s">
        <v>110</v>
      </c>
      <c r="B112" s="12">
        <v>0.0</v>
      </c>
      <c r="C112" s="13" t="str">
        <f>IFERROR(B112/B446, "NA")</f>
        <v>NA</v>
      </c>
      <c r="D112" s="14"/>
      <c r="E112" s="12">
        <v>0.0</v>
      </c>
      <c r="F112" s="13" t="str">
        <f>IFERROR(E112/E446, "NA")</f>
        <v>NA</v>
      </c>
      <c r="G112" s="14"/>
      <c r="H112" s="15">
        <f t="shared" si="29"/>
        <v>0</v>
      </c>
      <c r="I112" s="13" t="str">
        <f>IFERROR(H112/H446, "NA")</f>
        <v>NA</v>
      </c>
      <c r="J112" s="14"/>
      <c r="K112" s="12">
        <v>0.0</v>
      </c>
      <c r="L112" s="13" t="str">
        <f>IFERROR(K112/K446, "NA")</f>
        <v>NA</v>
      </c>
      <c r="M112" s="14"/>
      <c r="N112" s="15">
        <f t="shared" si="30"/>
        <v>0</v>
      </c>
      <c r="O112" s="13" t="str">
        <f>IFERROR(N112/N446, "NA")</f>
        <v>NA</v>
      </c>
      <c r="P112" s="14"/>
      <c r="Q112" s="12">
        <v>0.0</v>
      </c>
      <c r="R112" s="13" t="str">
        <f>IFERROR(Q112/Q446, "NA")</f>
        <v>NA</v>
      </c>
      <c r="S112" s="14"/>
      <c r="T112" s="12">
        <v>0.0</v>
      </c>
      <c r="U112" s="13" t="str">
        <f>IFERROR(T112/T446, "NA")</f>
        <v>NA</v>
      </c>
      <c r="V112" s="14"/>
      <c r="W112" s="15">
        <f t="shared" si="31"/>
        <v>0</v>
      </c>
      <c r="X112" s="13" t="str">
        <f>IFERROR(W112/W446, "NA")</f>
        <v>NA</v>
      </c>
      <c r="Y112" s="14"/>
      <c r="Z112" s="12">
        <v>0.0</v>
      </c>
      <c r="AA112" s="13" t="str">
        <f>IFERROR(Z112/Z446, "NA")</f>
        <v>NA</v>
      </c>
      <c r="AB112" s="14"/>
      <c r="AC112" s="15">
        <f t="shared" si="32"/>
        <v>0</v>
      </c>
      <c r="AD112" s="13" t="str">
        <f>IFERROR(AC112/AC446, "NA")</f>
        <v>NA</v>
      </c>
    </row>
    <row r="113" ht="16.5" hidden="1" customHeight="1">
      <c r="A113" s="11" t="s">
        <v>111</v>
      </c>
      <c r="B113" s="12">
        <v>0.0</v>
      </c>
      <c r="C113" s="13" t="str">
        <f>IFERROR(B113/B446, "NA")</f>
        <v>NA</v>
      </c>
      <c r="D113" s="14"/>
      <c r="E113" s="12">
        <v>0.0</v>
      </c>
      <c r="F113" s="13" t="str">
        <f>IFERROR(E113/E446, "NA")</f>
        <v>NA</v>
      </c>
      <c r="G113" s="14"/>
      <c r="H113" s="15">
        <f t="shared" si="29"/>
        <v>0</v>
      </c>
      <c r="I113" s="13" t="str">
        <f>IFERROR(H113/H446, "NA")</f>
        <v>NA</v>
      </c>
      <c r="J113" s="14"/>
      <c r="K113" s="12">
        <v>0.0</v>
      </c>
      <c r="L113" s="13" t="str">
        <f>IFERROR(K113/K446, "NA")</f>
        <v>NA</v>
      </c>
      <c r="M113" s="14"/>
      <c r="N113" s="15">
        <f t="shared" si="30"/>
        <v>0</v>
      </c>
      <c r="O113" s="13" t="str">
        <f>IFERROR(N113/N446, "NA")</f>
        <v>NA</v>
      </c>
      <c r="P113" s="14"/>
      <c r="Q113" s="12">
        <v>0.0</v>
      </c>
      <c r="R113" s="13" t="str">
        <f>IFERROR(Q113/Q446, "NA")</f>
        <v>NA</v>
      </c>
      <c r="S113" s="14"/>
      <c r="T113" s="12">
        <v>0.0</v>
      </c>
      <c r="U113" s="13" t="str">
        <f>IFERROR(T113/T446, "NA")</f>
        <v>NA</v>
      </c>
      <c r="V113" s="14"/>
      <c r="W113" s="15">
        <f t="shared" si="31"/>
        <v>0</v>
      </c>
      <c r="X113" s="13" t="str">
        <f>IFERROR(W113/W446, "NA")</f>
        <v>NA</v>
      </c>
      <c r="Y113" s="14"/>
      <c r="Z113" s="12">
        <v>0.0</v>
      </c>
      <c r="AA113" s="13" t="str">
        <f>IFERROR(Z113/Z446, "NA")</f>
        <v>NA</v>
      </c>
      <c r="AB113" s="14"/>
      <c r="AC113" s="15">
        <f t="shared" si="32"/>
        <v>0</v>
      </c>
      <c r="AD113" s="13" t="str">
        <f>IFERROR(AC113/AC446, "NA")</f>
        <v>NA</v>
      </c>
    </row>
    <row r="114" ht="16.5" hidden="1" customHeight="1">
      <c r="A114" s="11" t="s">
        <v>112</v>
      </c>
      <c r="B114" s="12">
        <v>0.0</v>
      </c>
      <c r="C114" s="13" t="str">
        <f>IFERROR(B114/B446, "NA")</f>
        <v>NA</v>
      </c>
      <c r="D114" s="14"/>
      <c r="E114" s="12">
        <v>0.0</v>
      </c>
      <c r="F114" s="13" t="str">
        <f>IFERROR(E114/E446, "NA")</f>
        <v>NA</v>
      </c>
      <c r="G114" s="14"/>
      <c r="H114" s="15">
        <f t="shared" si="29"/>
        <v>0</v>
      </c>
      <c r="I114" s="13" t="str">
        <f>IFERROR(H114/H446, "NA")</f>
        <v>NA</v>
      </c>
      <c r="J114" s="14"/>
      <c r="K114" s="12">
        <v>0.0</v>
      </c>
      <c r="L114" s="13" t="str">
        <f>IFERROR(K114/K446, "NA")</f>
        <v>NA</v>
      </c>
      <c r="M114" s="14"/>
      <c r="N114" s="15">
        <f t="shared" si="30"/>
        <v>0</v>
      </c>
      <c r="O114" s="13" t="str">
        <f>IFERROR(N114/N446, "NA")</f>
        <v>NA</v>
      </c>
      <c r="P114" s="14"/>
      <c r="Q114" s="12">
        <v>0.0</v>
      </c>
      <c r="R114" s="13" t="str">
        <f>IFERROR(Q114/Q446, "NA")</f>
        <v>NA</v>
      </c>
      <c r="S114" s="14"/>
      <c r="T114" s="12">
        <v>0.0</v>
      </c>
      <c r="U114" s="13" t="str">
        <f>IFERROR(T114/T446, "NA")</f>
        <v>NA</v>
      </c>
      <c r="V114" s="14"/>
      <c r="W114" s="15">
        <f t="shared" si="31"/>
        <v>0</v>
      </c>
      <c r="X114" s="13" t="str">
        <f>IFERROR(W114/W446, "NA")</f>
        <v>NA</v>
      </c>
      <c r="Y114" s="14"/>
      <c r="Z114" s="12">
        <v>0.0</v>
      </c>
      <c r="AA114" s="13" t="str">
        <f>IFERROR(Z114/Z446, "NA")</f>
        <v>NA</v>
      </c>
      <c r="AB114" s="14"/>
      <c r="AC114" s="15">
        <f t="shared" si="32"/>
        <v>0</v>
      </c>
      <c r="AD114" s="13" t="str">
        <f>IFERROR(AC114/AC446, "NA")</f>
        <v>NA</v>
      </c>
    </row>
    <row r="115" ht="16.5" hidden="1" customHeight="1">
      <c r="A115" s="11" t="s">
        <v>113</v>
      </c>
      <c r="B115" s="12">
        <v>0.0</v>
      </c>
      <c r="C115" s="13" t="str">
        <f>IFERROR(B115/B446, "NA")</f>
        <v>NA</v>
      </c>
      <c r="D115" s="14"/>
      <c r="E115" s="12">
        <v>0.0</v>
      </c>
      <c r="F115" s="13" t="str">
        <f>IFERROR(E115/E446, "NA")</f>
        <v>NA</v>
      </c>
      <c r="G115" s="14"/>
      <c r="H115" s="15">
        <f t="shared" si="29"/>
        <v>0</v>
      </c>
      <c r="I115" s="13" t="str">
        <f>IFERROR(H115/H446, "NA")</f>
        <v>NA</v>
      </c>
      <c r="J115" s="14"/>
      <c r="K115" s="12">
        <v>0.0</v>
      </c>
      <c r="L115" s="13" t="str">
        <f>IFERROR(K115/K446, "NA")</f>
        <v>NA</v>
      </c>
      <c r="M115" s="14"/>
      <c r="N115" s="15">
        <f t="shared" si="30"/>
        <v>0</v>
      </c>
      <c r="O115" s="13" t="str">
        <f>IFERROR(N115/N446, "NA")</f>
        <v>NA</v>
      </c>
      <c r="P115" s="14"/>
      <c r="Q115" s="12">
        <v>0.0</v>
      </c>
      <c r="R115" s="13" t="str">
        <f>IFERROR(Q115/Q446, "NA")</f>
        <v>NA</v>
      </c>
      <c r="S115" s="14"/>
      <c r="T115" s="12">
        <v>0.0</v>
      </c>
      <c r="U115" s="13" t="str">
        <f>IFERROR(T115/T446, "NA")</f>
        <v>NA</v>
      </c>
      <c r="V115" s="14"/>
      <c r="W115" s="15">
        <f t="shared" si="31"/>
        <v>0</v>
      </c>
      <c r="X115" s="13" t="str">
        <f>IFERROR(W115/W446, "NA")</f>
        <v>NA</v>
      </c>
      <c r="Y115" s="14"/>
      <c r="Z115" s="12">
        <v>0.0</v>
      </c>
      <c r="AA115" s="13" t="str">
        <f>IFERROR(Z115/Z446, "NA")</f>
        <v>NA</v>
      </c>
      <c r="AB115" s="14"/>
      <c r="AC115" s="15">
        <f t="shared" si="32"/>
        <v>0</v>
      </c>
      <c r="AD115" s="13" t="str">
        <f>IFERROR(AC115/AC446, "NA")</f>
        <v>NA</v>
      </c>
    </row>
    <row r="116" ht="16.5" hidden="1" customHeight="1">
      <c r="A116" s="11" t="s">
        <v>114</v>
      </c>
      <c r="B116" s="12">
        <v>0.0</v>
      </c>
      <c r="C116" s="13" t="str">
        <f>IFERROR(B116/B446, "NA")</f>
        <v>NA</v>
      </c>
      <c r="D116" s="14"/>
      <c r="E116" s="12">
        <v>0.0</v>
      </c>
      <c r="F116" s="13" t="str">
        <f>IFERROR(E116/E446, "NA")</f>
        <v>NA</v>
      </c>
      <c r="G116" s="14"/>
      <c r="H116" s="15">
        <f t="shared" si="29"/>
        <v>0</v>
      </c>
      <c r="I116" s="13" t="str">
        <f>IFERROR(H116/H446, "NA")</f>
        <v>NA</v>
      </c>
      <c r="J116" s="14"/>
      <c r="K116" s="12">
        <v>0.0</v>
      </c>
      <c r="L116" s="13" t="str">
        <f>IFERROR(K116/K446, "NA")</f>
        <v>NA</v>
      </c>
      <c r="M116" s="14"/>
      <c r="N116" s="15">
        <f t="shared" si="30"/>
        <v>0</v>
      </c>
      <c r="O116" s="13" t="str">
        <f>IFERROR(N116/N446, "NA")</f>
        <v>NA</v>
      </c>
      <c r="P116" s="14"/>
      <c r="Q116" s="12">
        <v>0.0</v>
      </c>
      <c r="R116" s="13" t="str">
        <f>IFERROR(Q116/Q446, "NA")</f>
        <v>NA</v>
      </c>
      <c r="S116" s="14"/>
      <c r="T116" s="12">
        <v>0.0</v>
      </c>
      <c r="U116" s="13" t="str">
        <f>IFERROR(T116/T446, "NA")</f>
        <v>NA</v>
      </c>
      <c r="V116" s="14"/>
      <c r="W116" s="15">
        <f t="shared" si="31"/>
        <v>0</v>
      </c>
      <c r="X116" s="13" t="str">
        <f>IFERROR(W116/W446, "NA")</f>
        <v>NA</v>
      </c>
      <c r="Y116" s="14"/>
      <c r="Z116" s="12">
        <v>0.0</v>
      </c>
      <c r="AA116" s="13" t="str">
        <f>IFERROR(Z116/Z446, "NA")</f>
        <v>NA</v>
      </c>
      <c r="AB116" s="14"/>
      <c r="AC116" s="15">
        <f t="shared" si="32"/>
        <v>0</v>
      </c>
      <c r="AD116" s="13" t="str">
        <f>IFERROR(AC116/AC446, "NA")</f>
        <v>NA</v>
      </c>
    </row>
    <row r="117" ht="16.5" hidden="1" customHeight="1">
      <c r="A117" s="11" t="s">
        <v>115</v>
      </c>
      <c r="B117" s="12">
        <v>0.0</v>
      </c>
      <c r="C117" s="13" t="str">
        <f>IFERROR(B117/B446, "NA")</f>
        <v>NA</v>
      </c>
      <c r="D117" s="14"/>
      <c r="E117" s="12">
        <v>0.0</v>
      </c>
      <c r="F117" s="13" t="str">
        <f>IFERROR(E117/E446, "NA")</f>
        <v>NA</v>
      </c>
      <c r="G117" s="14"/>
      <c r="H117" s="15">
        <f t="shared" si="29"/>
        <v>0</v>
      </c>
      <c r="I117" s="13" t="str">
        <f>IFERROR(H117/H446, "NA")</f>
        <v>NA</v>
      </c>
      <c r="J117" s="14"/>
      <c r="K117" s="12">
        <v>0.0</v>
      </c>
      <c r="L117" s="13" t="str">
        <f>IFERROR(K117/K446, "NA")</f>
        <v>NA</v>
      </c>
      <c r="M117" s="14"/>
      <c r="N117" s="15">
        <f t="shared" si="30"/>
        <v>0</v>
      </c>
      <c r="O117" s="13" t="str">
        <f>IFERROR(N117/N446, "NA")</f>
        <v>NA</v>
      </c>
      <c r="P117" s="14"/>
      <c r="Q117" s="12">
        <v>0.0</v>
      </c>
      <c r="R117" s="13" t="str">
        <f>IFERROR(Q117/Q446, "NA")</f>
        <v>NA</v>
      </c>
      <c r="S117" s="14"/>
      <c r="T117" s="12">
        <v>0.0</v>
      </c>
      <c r="U117" s="13" t="str">
        <f>IFERROR(T117/T446, "NA")</f>
        <v>NA</v>
      </c>
      <c r="V117" s="14"/>
      <c r="W117" s="15">
        <f t="shared" si="31"/>
        <v>0</v>
      </c>
      <c r="X117" s="13" t="str">
        <f>IFERROR(W117/W446, "NA")</f>
        <v>NA</v>
      </c>
      <c r="Y117" s="14"/>
      <c r="Z117" s="12">
        <v>0.0</v>
      </c>
      <c r="AA117" s="13" t="str">
        <f>IFERROR(Z117/Z446, "NA")</f>
        <v>NA</v>
      </c>
      <c r="AB117" s="14"/>
      <c r="AC117" s="15">
        <f t="shared" si="32"/>
        <v>0</v>
      </c>
      <c r="AD117" s="13" t="str">
        <f>IFERROR(AC117/AC446, "NA")</f>
        <v>NA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0</v>
      </c>
      <c r="C118" s="18" t="str">
        <f>IFERROR(B118/B446, "NA")</f>
        <v>NA</v>
      </c>
      <c r="D118" s="8"/>
      <c r="E118" s="17">
        <f>IFERROR(E94+E95+E96+E97+E98+E99+E100+E101+E102+E103+E104+E105+E106+E107+E108+E109+E110+E111+E112+E113+E114+E115+E116+E117, "NA")</f>
        <v>0</v>
      </c>
      <c r="F118" s="18" t="str">
        <f>IFERROR(E118/E446, "NA")</f>
        <v>NA</v>
      </c>
      <c r="G118" s="8"/>
      <c r="H118" s="17">
        <f t="shared" si="29"/>
        <v>0</v>
      </c>
      <c r="I118" s="18" t="str">
        <f>IFERROR(H118/H446, "NA")</f>
        <v>NA</v>
      </c>
      <c r="J118" s="8"/>
      <c r="K118" s="17">
        <f>IFERROR(K94+K95+K96+K97+K98+K99+K100+K101+K102+K103+K104+K105+K106+K107+K108+K109+K110+K111+K112+K113+K114+K115+K116+K117, "NA")</f>
        <v>0</v>
      </c>
      <c r="L118" s="18" t="str">
        <f>IFERROR(K118/K446, "NA")</f>
        <v>NA</v>
      </c>
      <c r="M118" s="8"/>
      <c r="N118" s="17">
        <f t="shared" si="30"/>
        <v>0</v>
      </c>
      <c r="O118" s="18" t="str">
        <f>IFERROR(N118/N446, "NA")</f>
        <v>NA</v>
      </c>
      <c r="P118" s="8"/>
      <c r="Q118" s="17">
        <f>IFERROR(Q94+Q95+Q96+Q97+Q98+Q99+Q100+Q101+Q102+Q103+Q104+Q105+Q106+Q107+Q108+Q109+Q110+Q111+Q112+Q113+Q114+Q115+Q116+Q117, "NA")</f>
        <v>0</v>
      </c>
      <c r="R118" s="18" t="str">
        <f>IFERROR(Q118/Q446, "NA")</f>
        <v>NA</v>
      </c>
      <c r="S118" s="8"/>
      <c r="T118" s="17">
        <f>IFERROR(T94+T95+T96+T97+T98+T99+T100+T101+T102+T103+T104+T105+T106+T107+T108+T109+T110+T111+T112+T113+T114+T115+T116+T117, "NA")</f>
        <v>0</v>
      </c>
      <c r="U118" s="18" t="str">
        <f>IFERROR(T118/T446, "NA")</f>
        <v>NA</v>
      </c>
      <c r="V118" s="8"/>
      <c r="W118" s="17">
        <f t="shared" si="31"/>
        <v>0</v>
      </c>
      <c r="X118" s="18" t="str">
        <f>IFERROR(W118/W446, "NA")</f>
        <v>NA</v>
      </c>
      <c r="Y118" s="8"/>
      <c r="Z118" s="17">
        <f>IFERROR(Z94+Z95+Z96+Z97+Z98+Z99+Z100+Z101+Z102+Z103+Z104+Z105+Z106+Z107+Z108+Z109+Z110+Z111+Z112+Z113+Z114+Z115+Z116+Z117, "NA")</f>
        <v>0</v>
      </c>
      <c r="AA118" s="18" t="str">
        <f>IFERROR(Z118/Z446, "NA")</f>
        <v>NA</v>
      </c>
      <c r="AB118" s="8"/>
      <c r="AC118" s="17">
        <f t="shared" si="32"/>
        <v>0</v>
      </c>
      <c r="AD118" s="18" t="str">
        <f>IFERROR(AC118/AC446, "NA")</f>
        <v>NA</v>
      </c>
    </row>
    <row r="119" ht="16.5" hidden="1" customHeight="1">
      <c r="A119" s="11" t="s">
        <v>117</v>
      </c>
      <c r="B119" s="12">
        <v>0.0</v>
      </c>
      <c r="C119" s="13" t="str">
        <f>IFERROR(B119/B446, "NA")</f>
        <v>NA</v>
      </c>
      <c r="D119" s="14"/>
      <c r="E119" s="12">
        <v>0.0</v>
      </c>
      <c r="F119" s="13" t="str">
        <f>IFERROR(E119/E446, "NA")</f>
        <v>NA</v>
      </c>
      <c r="G119" s="14"/>
      <c r="H119" s="15">
        <f t="shared" si="29"/>
        <v>0</v>
      </c>
      <c r="I119" s="13" t="str">
        <f>IFERROR(H119/H446, "NA")</f>
        <v>NA</v>
      </c>
      <c r="J119" s="14"/>
      <c r="K119" s="12">
        <v>0.0</v>
      </c>
      <c r="L119" s="13" t="str">
        <f>IFERROR(K119/K446, "NA")</f>
        <v>NA</v>
      </c>
      <c r="M119" s="14"/>
      <c r="N119" s="15">
        <f t="shared" si="30"/>
        <v>0</v>
      </c>
      <c r="O119" s="13" t="str">
        <f>IFERROR(N119/N446, "NA")</f>
        <v>NA</v>
      </c>
      <c r="P119" s="14"/>
      <c r="Q119" s="12">
        <v>0.0</v>
      </c>
      <c r="R119" s="13" t="str">
        <f>IFERROR(Q119/Q446, "NA")</f>
        <v>NA</v>
      </c>
      <c r="S119" s="14"/>
      <c r="T119" s="12">
        <v>0.0</v>
      </c>
      <c r="U119" s="13" t="str">
        <f>IFERROR(T119/T446, "NA")</f>
        <v>NA</v>
      </c>
      <c r="V119" s="14"/>
      <c r="W119" s="15">
        <f t="shared" si="31"/>
        <v>0</v>
      </c>
      <c r="X119" s="13" t="str">
        <f>IFERROR(W119/W446, "NA")</f>
        <v>NA</v>
      </c>
      <c r="Y119" s="14"/>
      <c r="Z119" s="12">
        <v>0.0</v>
      </c>
      <c r="AA119" s="13" t="str">
        <f>IFERROR(Z119/Z446, "NA")</f>
        <v>NA</v>
      </c>
      <c r="AB119" s="14"/>
      <c r="AC119" s="15">
        <f t="shared" si="32"/>
        <v>0</v>
      </c>
      <c r="AD119" s="13" t="str">
        <f>IFERROR(AC119/AC446, "NA")</f>
        <v>NA</v>
      </c>
    </row>
    <row r="120" ht="16.5" hidden="1" customHeight="1">
      <c r="A120" s="11" t="s">
        <v>118</v>
      </c>
      <c r="B120" s="12">
        <v>0.0</v>
      </c>
      <c r="C120" s="13" t="str">
        <f>IFERROR(B120/B446, "NA")</f>
        <v>NA</v>
      </c>
      <c r="D120" s="14"/>
      <c r="E120" s="12">
        <v>0.0</v>
      </c>
      <c r="F120" s="13" t="str">
        <f>IFERROR(E120/E446, "NA")</f>
        <v>NA</v>
      </c>
      <c r="G120" s="14"/>
      <c r="H120" s="15">
        <f t="shared" si="29"/>
        <v>0</v>
      </c>
      <c r="I120" s="13" t="str">
        <f>IFERROR(H120/H446, "NA")</f>
        <v>NA</v>
      </c>
      <c r="J120" s="14"/>
      <c r="K120" s="12">
        <v>0.0</v>
      </c>
      <c r="L120" s="13" t="str">
        <f>IFERROR(K120/K446, "NA")</f>
        <v>NA</v>
      </c>
      <c r="M120" s="14"/>
      <c r="N120" s="15">
        <f t="shared" si="30"/>
        <v>0</v>
      </c>
      <c r="O120" s="13" t="str">
        <f>IFERROR(N120/N446, "NA")</f>
        <v>NA</v>
      </c>
      <c r="P120" s="14"/>
      <c r="Q120" s="12">
        <v>0.0</v>
      </c>
      <c r="R120" s="13" t="str">
        <f>IFERROR(Q120/Q446, "NA")</f>
        <v>NA</v>
      </c>
      <c r="S120" s="14"/>
      <c r="T120" s="12">
        <v>0.0</v>
      </c>
      <c r="U120" s="13" t="str">
        <f>IFERROR(T120/T446, "NA")</f>
        <v>NA</v>
      </c>
      <c r="V120" s="14"/>
      <c r="W120" s="15">
        <f t="shared" si="31"/>
        <v>0</v>
      </c>
      <c r="X120" s="13" t="str">
        <f>IFERROR(W120/W446, "NA")</f>
        <v>NA</v>
      </c>
      <c r="Y120" s="14"/>
      <c r="Z120" s="12">
        <v>0.0</v>
      </c>
      <c r="AA120" s="13" t="str">
        <f>IFERROR(Z120/Z446, "NA")</f>
        <v>NA</v>
      </c>
      <c r="AB120" s="14"/>
      <c r="AC120" s="15">
        <f t="shared" si="32"/>
        <v>0</v>
      </c>
      <c r="AD120" s="13" t="str">
        <f>IFERROR(AC120/AC446, "NA")</f>
        <v>NA</v>
      </c>
    </row>
    <row r="121" ht="16.5" hidden="1" customHeight="1">
      <c r="A121" s="11" t="s">
        <v>119</v>
      </c>
      <c r="B121" s="12">
        <v>0.0</v>
      </c>
      <c r="C121" s="13" t="str">
        <f>IFERROR(B121/B446, "NA")</f>
        <v>NA</v>
      </c>
      <c r="D121" s="14"/>
      <c r="E121" s="12">
        <v>0.0</v>
      </c>
      <c r="F121" s="13" t="str">
        <f>IFERROR(E121/E446, "NA")</f>
        <v>NA</v>
      </c>
      <c r="G121" s="14"/>
      <c r="H121" s="15">
        <f t="shared" si="29"/>
        <v>0</v>
      </c>
      <c r="I121" s="13" t="str">
        <f>IFERROR(H121/H446, "NA")</f>
        <v>NA</v>
      </c>
      <c r="J121" s="14"/>
      <c r="K121" s="12">
        <v>0.0</v>
      </c>
      <c r="L121" s="13" t="str">
        <f>IFERROR(K121/K446, "NA")</f>
        <v>NA</v>
      </c>
      <c r="M121" s="14"/>
      <c r="N121" s="15">
        <f t="shared" si="30"/>
        <v>0</v>
      </c>
      <c r="O121" s="13" t="str">
        <f>IFERROR(N121/N446, "NA")</f>
        <v>NA</v>
      </c>
      <c r="P121" s="14"/>
      <c r="Q121" s="12">
        <v>0.0</v>
      </c>
      <c r="R121" s="13" t="str">
        <f>IFERROR(Q121/Q446, "NA")</f>
        <v>NA</v>
      </c>
      <c r="S121" s="14"/>
      <c r="T121" s="12">
        <v>0.0</v>
      </c>
      <c r="U121" s="13" t="str">
        <f>IFERROR(T121/T446, "NA")</f>
        <v>NA</v>
      </c>
      <c r="V121" s="14"/>
      <c r="W121" s="15">
        <f t="shared" si="31"/>
        <v>0</v>
      </c>
      <c r="X121" s="13" t="str">
        <f>IFERROR(W121/W446, "NA")</f>
        <v>NA</v>
      </c>
      <c r="Y121" s="14"/>
      <c r="Z121" s="12">
        <v>0.0</v>
      </c>
      <c r="AA121" s="13" t="str">
        <f>IFERROR(Z121/Z446, "NA")</f>
        <v>NA</v>
      </c>
      <c r="AB121" s="14"/>
      <c r="AC121" s="15">
        <f t="shared" si="32"/>
        <v>0</v>
      </c>
      <c r="AD121" s="13" t="str">
        <f>IFERROR(AC121/AC446, "NA")</f>
        <v>NA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8" t="str">
        <f>IFERROR(B122/B446, "NA")</f>
        <v>NA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8" t="str">
        <f>IFERROR(E122/E446, "NA")</f>
        <v>NA</v>
      </c>
      <c r="G122" s="8"/>
      <c r="H122" s="17">
        <f t="shared" si="29"/>
        <v>0</v>
      </c>
      <c r="I122" s="18" t="str">
        <f>IFERROR(H122/H446, "NA")</f>
        <v>NA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8" t="str">
        <f>IFERROR(K122/K446, "NA")</f>
        <v>NA</v>
      </c>
      <c r="M122" s="8"/>
      <c r="N122" s="17">
        <f t="shared" si="30"/>
        <v>0</v>
      </c>
      <c r="O122" s="18" t="str">
        <f>IFERROR(N122/N446, "NA")</f>
        <v>NA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8" t="str">
        <f>IFERROR(Q122/Q446, "NA")</f>
        <v>NA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8" t="str">
        <f>IFERROR(T122/T446, "NA")</f>
        <v>NA</v>
      </c>
      <c r="V122" s="8"/>
      <c r="W122" s="17">
        <f t="shared" si="31"/>
        <v>0</v>
      </c>
      <c r="X122" s="18" t="str">
        <f>IFERROR(W122/W446, "NA")</f>
        <v>NA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8" t="str">
        <f>IFERROR(Z122/Z446, "NA")</f>
        <v>NA</v>
      </c>
      <c r="AB122" s="8"/>
      <c r="AC122" s="17">
        <f t="shared" si="32"/>
        <v>0</v>
      </c>
      <c r="AD122" s="18" t="str">
        <f>IFERROR(AC122/AC446, "NA")</f>
        <v>NA</v>
      </c>
    </row>
    <row r="123" ht="16.5" hidden="1" customHeight="1">
      <c r="A123" s="11" t="s">
        <v>121</v>
      </c>
      <c r="B123" s="12">
        <v>0.0</v>
      </c>
      <c r="C123" s="13" t="str">
        <f>IFERROR(B123/B446, "NA")</f>
        <v>NA</v>
      </c>
      <c r="D123" s="14"/>
      <c r="E123" s="12">
        <v>0.0</v>
      </c>
      <c r="F123" s="13" t="str">
        <f>IFERROR(E123/E446, "NA")</f>
        <v>NA</v>
      </c>
      <c r="G123" s="14"/>
      <c r="H123" s="15">
        <f t="shared" si="29"/>
        <v>0</v>
      </c>
      <c r="I123" s="13" t="str">
        <f>IFERROR(H123/H446, "NA")</f>
        <v>NA</v>
      </c>
      <c r="J123" s="14"/>
      <c r="K123" s="12">
        <v>0.0</v>
      </c>
      <c r="L123" s="13" t="str">
        <f>IFERROR(K123/K446, "NA")</f>
        <v>NA</v>
      </c>
      <c r="M123" s="14"/>
      <c r="N123" s="15">
        <f t="shared" si="30"/>
        <v>0</v>
      </c>
      <c r="O123" s="13" t="str">
        <f>IFERROR(N123/N446, "NA")</f>
        <v>NA</v>
      </c>
      <c r="P123" s="14"/>
      <c r="Q123" s="12">
        <v>0.0</v>
      </c>
      <c r="R123" s="13" t="str">
        <f>IFERROR(Q123/Q446, "NA")</f>
        <v>NA</v>
      </c>
      <c r="S123" s="14"/>
      <c r="T123" s="12">
        <v>0.0</v>
      </c>
      <c r="U123" s="13" t="str">
        <f>IFERROR(T123/T446, "NA")</f>
        <v>NA</v>
      </c>
      <c r="V123" s="14"/>
      <c r="W123" s="15">
        <f t="shared" si="31"/>
        <v>0</v>
      </c>
      <c r="X123" s="13" t="str">
        <f>IFERROR(W123/W446, "NA")</f>
        <v>NA</v>
      </c>
      <c r="Y123" s="14"/>
      <c r="Z123" s="12">
        <v>0.0</v>
      </c>
      <c r="AA123" s="13" t="str">
        <f>IFERROR(Z123/Z446, "NA")</f>
        <v>NA</v>
      </c>
      <c r="AB123" s="14"/>
      <c r="AC123" s="15">
        <f t="shared" si="32"/>
        <v>0</v>
      </c>
      <c r="AD123" s="13" t="str">
        <f>IFERROR(AC123/AC446, "NA")</f>
        <v>NA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8" t="str">
        <f>IFERROR(B124/B446, "NA")</f>
        <v>NA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8" t="str">
        <f>IFERROR(E124/E446, "NA")</f>
        <v>NA</v>
      </c>
      <c r="G124" s="8"/>
      <c r="H124" s="17">
        <f t="shared" si="29"/>
        <v>0</v>
      </c>
      <c r="I124" s="18" t="str">
        <f>IFERROR(H124/H446, "NA")</f>
        <v>NA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8" t="str">
        <f>IFERROR(K124/K446, "NA")</f>
        <v>NA</v>
      </c>
      <c r="M124" s="8"/>
      <c r="N124" s="17">
        <f t="shared" si="30"/>
        <v>0</v>
      </c>
      <c r="O124" s="18" t="str">
        <f>IFERROR(N124/N446, "NA")</f>
        <v>NA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8" t="str">
        <f>IFERROR(Q124/Q446, "NA")</f>
        <v>NA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8" t="str">
        <f>IFERROR(T124/T446, "NA")</f>
        <v>NA</v>
      </c>
      <c r="V124" s="8"/>
      <c r="W124" s="17">
        <f t="shared" si="31"/>
        <v>0</v>
      </c>
      <c r="X124" s="18" t="str">
        <f>IFERROR(W124/W446, "NA")</f>
        <v>NA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8" t="str">
        <f>IFERROR(Z124/Z446, "NA")</f>
        <v>NA</v>
      </c>
      <c r="AB124" s="8"/>
      <c r="AC124" s="17">
        <f t="shared" si="32"/>
        <v>0</v>
      </c>
      <c r="AD124" s="18" t="str">
        <f>IFERROR(AC124/AC446, "NA")</f>
        <v>NA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 t="str">
        <f>IFERROR(B127/B446, "NA")</f>
        <v>NA</v>
      </c>
      <c r="D127" s="14"/>
      <c r="E127" s="12">
        <v>0.0</v>
      </c>
      <c r="F127" s="13" t="str">
        <f>IFERROR(E127/E446, "NA")</f>
        <v>NA</v>
      </c>
      <c r="G127" s="14"/>
      <c r="H127" s="15">
        <f>IFERROR(-(B127-E127), "NA")</f>
        <v>0</v>
      </c>
      <c r="I127" s="13" t="str">
        <f>IFERROR(H127/H446, "NA")</f>
        <v>NA</v>
      </c>
      <c r="J127" s="14"/>
      <c r="K127" s="12">
        <v>0.0</v>
      </c>
      <c r="L127" s="13" t="str">
        <f>IFERROR(K127/K446, "NA")</f>
        <v>NA</v>
      </c>
      <c r="M127" s="14"/>
      <c r="N127" s="15">
        <f>IFERROR(-(B127-K127), "NA")</f>
        <v>0</v>
      </c>
      <c r="O127" s="13" t="str">
        <f>IFERROR(N127/N446, "NA")</f>
        <v>NA</v>
      </c>
      <c r="P127" s="14"/>
      <c r="Q127" s="12">
        <v>0.0</v>
      </c>
      <c r="R127" s="13" t="str">
        <f>IFERROR(Q127/Q446, "NA")</f>
        <v>NA</v>
      </c>
      <c r="S127" s="14"/>
      <c r="T127" s="12">
        <v>0.0</v>
      </c>
      <c r="U127" s="13" t="str">
        <f>IFERROR(T127/T446, "NA")</f>
        <v>NA</v>
      </c>
      <c r="V127" s="14"/>
      <c r="W127" s="15">
        <f>IFERROR(-(Q127-T127), "NA")</f>
        <v>0</v>
      </c>
      <c r="X127" s="13" t="str">
        <f>IFERROR(W127/W446, "NA")</f>
        <v>NA</v>
      </c>
      <c r="Y127" s="14"/>
      <c r="Z127" s="12">
        <v>0.0</v>
      </c>
      <c r="AA127" s="13" t="str">
        <f>IFERROR(Z127/Z446, "NA")</f>
        <v>NA</v>
      </c>
      <c r="AB127" s="14"/>
      <c r="AC127" s="15">
        <f>IFERROR(-(Q127-Z127), "NA")</f>
        <v>0</v>
      </c>
      <c r="AD127" s="13" t="str">
        <f>IFERROR(AC127/AC446, "NA")</f>
        <v>NA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hidden="1" customHeight="1">
      <c r="A129" s="11" t="s">
        <v>124</v>
      </c>
      <c r="B129" s="12">
        <v>0.0</v>
      </c>
      <c r="C129" s="13" t="str">
        <f>IFERROR(B129/B446, "NA")</f>
        <v>NA</v>
      </c>
      <c r="D129" s="14"/>
      <c r="E129" s="12">
        <v>0.0</v>
      </c>
      <c r="F129" s="13" t="str">
        <f>IFERROR(E129/E446, "NA")</f>
        <v>NA</v>
      </c>
      <c r="G129" s="14"/>
      <c r="H129" s="15">
        <f t="shared" ref="H129:H141" si="33">IFERROR(-(B129-E129), "NA")</f>
        <v>0</v>
      </c>
      <c r="I129" s="13" t="str">
        <f>IFERROR(H129/H446, "NA")</f>
        <v>NA</v>
      </c>
      <c r="J129" s="14"/>
      <c r="K129" s="12">
        <v>0.0</v>
      </c>
      <c r="L129" s="13" t="str">
        <f>IFERROR(K129/K446, "NA")</f>
        <v>NA</v>
      </c>
      <c r="M129" s="14"/>
      <c r="N129" s="15">
        <f t="shared" ref="N129:N141" si="34">IFERROR(-(B129-K129), "NA")</f>
        <v>0</v>
      </c>
      <c r="O129" s="13" t="str">
        <f>IFERROR(N129/N446, "NA")</f>
        <v>NA</v>
      </c>
      <c r="P129" s="14"/>
      <c r="Q129" s="12">
        <v>0.0</v>
      </c>
      <c r="R129" s="13" t="str">
        <f>IFERROR(Q129/Q446, "NA")</f>
        <v>NA</v>
      </c>
      <c r="S129" s="14"/>
      <c r="T129" s="12">
        <v>0.0</v>
      </c>
      <c r="U129" s="13" t="str">
        <f>IFERROR(T129/T446, "NA")</f>
        <v>NA</v>
      </c>
      <c r="V129" s="14"/>
      <c r="W129" s="15">
        <f t="shared" ref="W129:W141" si="35">IFERROR(-(Q129-T129), "NA")</f>
        <v>0</v>
      </c>
      <c r="X129" s="13" t="str">
        <f>IFERROR(W129/W446, "NA")</f>
        <v>NA</v>
      </c>
      <c r="Y129" s="14"/>
      <c r="Z129" s="12">
        <v>0.0</v>
      </c>
      <c r="AA129" s="13" t="str">
        <f>IFERROR(Z129/Z446, "NA")</f>
        <v>NA</v>
      </c>
      <c r="AB129" s="14"/>
      <c r="AC129" s="15">
        <f t="shared" ref="AC129:AC141" si="36">IFERROR(-(Q129-Z129), "NA")</f>
        <v>0</v>
      </c>
      <c r="AD129" s="13" t="str">
        <f>IFERROR(AC129/AC446, "NA")</f>
        <v>NA</v>
      </c>
    </row>
    <row r="130" ht="16.5" hidden="1" customHeight="1">
      <c r="A130" s="11" t="s">
        <v>125</v>
      </c>
      <c r="B130" s="12">
        <v>0.0</v>
      </c>
      <c r="C130" s="13" t="str">
        <f>IFERROR(B130/B446, "NA")</f>
        <v>NA</v>
      </c>
      <c r="D130" s="14"/>
      <c r="E130" s="12">
        <v>0.0</v>
      </c>
      <c r="F130" s="13" t="str">
        <f>IFERROR(E130/E446, "NA")</f>
        <v>NA</v>
      </c>
      <c r="G130" s="14"/>
      <c r="H130" s="15">
        <f t="shared" si="33"/>
        <v>0</v>
      </c>
      <c r="I130" s="13" t="str">
        <f>IFERROR(H130/H446, "NA")</f>
        <v>NA</v>
      </c>
      <c r="J130" s="14"/>
      <c r="K130" s="12">
        <v>0.0</v>
      </c>
      <c r="L130" s="13" t="str">
        <f>IFERROR(K130/K446, "NA")</f>
        <v>NA</v>
      </c>
      <c r="M130" s="14"/>
      <c r="N130" s="15">
        <f t="shared" si="34"/>
        <v>0</v>
      </c>
      <c r="O130" s="13" t="str">
        <f>IFERROR(N130/N446, "NA")</f>
        <v>NA</v>
      </c>
      <c r="P130" s="14"/>
      <c r="Q130" s="12">
        <v>0.0</v>
      </c>
      <c r="R130" s="13" t="str">
        <f>IFERROR(Q130/Q446, "NA")</f>
        <v>NA</v>
      </c>
      <c r="S130" s="14"/>
      <c r="T130" s="12">
        <v>0.0</v>
      </c>
      <c r="U130" s="13" t="str">
        <f>IFERROR(T130/T446, "NA")</f>
        <v>NA</v>
      </c>
      <c r="V130" s="14"/>
      <c r="W130" s="15">
        <f t="shared" si="35"/>
        <v>0</v>
      </c>
      <c r="X130" s="13" t="str">
        <f>IFERROR(W130/W446, "NA")</f>
        <v>NA</v>
      </c>
      <c r="Y130" s="14"/>
      <c r="Z130" s="12">
        <v>0.0</v>
      </c>
      <c r="AA130" s="13" t="str">
        <f>IFERROR(Z130/Z446, "NA")</f>
        <v>NA</v>
      </c>
      <c r="AB130" s="14"/>
      <c r="AC130" s="15">
        <f t="shared" si="36"/>
        <v>0</v>
      </c>
      <c r="AD130" s="13" t="str">
        <f>IFERROR(AC130/AC446, "NA")</f>
        <v>NA</v>
      </c>
    </row>
    <row r="131" ht="16.5" hidden="1" customHeight="1">
      <c r="A131" s="11" t="s">
        <v>126</v>
      </c>
      <c r="B131" s="12">
        <v>0.0</v>
      </c>
      <c r="C131" s="13" t="str">
        <f>IFERROR(B131/B446, "NA")</f>
        <v>NA</v>
      </c>
      <c r="D131" s="14"/>
      <c r="E131" s="12">
        <v>0.0</v>
      </c>
      <c r="F131" s="13" t="str">
        <f>IFERROR(E131/E446, "NA")</f>
        <v>NA</v>
      </c>
      <c r="G131" s="14"/>
      <c r="H131" s="15">
        <f t="shared" si="33"/>
        <v>0</v>
      </c>
      <c r="I131" s="13" t="str">
        <f>IFERROR(H131/H446, "NA")</f>
        <v>NA</v>
      </c>
      <c r="J131" s="14"/>
      <c r="K131" s="12">
        <v>0.0</v>
      </c>
      <c r="L131" s="13" t="str">
        <f>IFERROR(K131/K446, "NA")</f>
        <v>NA</v>
      </c>
      <c r="M131" s="14"/>
      <c r="N131" s="15">
        <f t="shared" si="34"/>
        <v>0</v>
      </c>
      <c r="O131" s="13" t="str">
        <f>IFERROR(N131/N446, "NA")</f>
        <v>NA</v>
      </c>
      <c r="P131" s="14"/>
      <c r="Q131" s="12">
        <v>0.0</v>
      </c>
      <c r="R131" s="13" t="str">
        <f>IFERROR(Q131/Q446, "NA")</f>
        <v>NA</v>
      </c>
      <c r="S131" s="14"/>
      <c r="T131" s="12">
        <v>0.0</v>
      </c>
      <c r="U131" s="13" t="str">
        <f>IFERROR(T131/T446, "NA")</f>
        <v>NA</v>
      </c>
      <c r="V131" s="14"/>
      <c r="W131" s="15">
        <f t="shared" si="35"/>
        <v>0</v>
      </c>
      <c r="X131" s="13" t="str">
        <f>IFERROR(W131/W446, "NA")</f>
        <v>NA</v>
      </c>
      <c r="Y131" s="14"/>
      <c r="Z131" s="12">
        <v>0.0</v>
      </c>
      <c r="AA131" s="13" t="str">
        <f>IFERROR(Z131/Z446, "NA")</f>
        <v>NA</v>
      </c>
      <c r="AB131" s="14"/>
      <c r="AC131" s="15">
        <f t="shared" si="36"/>
        <v>0</v>
      </c>
      <c r="AD131" s="13" t="str">
        <f>IFERROR(AC131/AC446, "NA")</f>
        <v>NA</v>
      </c>
    </row>
    <row r="132" ht="16.5" hidden="1" customHeight="1">
      <c r="A132" s="11" t="s">
        <v>127</v>
      </c>
      <c r="B132" s="12">
        <v>0.0</v>
      </c>
      <c r="C132" s="13" t="str">
        <f>IFERROR(B132/B446, "NA")</f>
        <v>NA</v>
      </c>
      <c r="D132" s="14"/>
      <c r="E132" s="12">
        <v>0.0</v>
      </c>
      <c r="F132" s="13" t="str">
        <f>IFERROR(E132/E446, "NA")</f>
        <v>NA</v>
      </c>
      <c r="G132" s="14"/>
      <c r="H132" s="15">
        <f t="shared" si="33"/>
        <v>0</v>
      </c>
      <c r="I132" s="13" t="str">
        <f>IFERROR(H132/H446, "NA")</f>
        <v>NA</v>
      </c>
      <c r="J132" s="14"/>
      <c r="K132" s="12">
        <v>0.0</v>
      </c>
      <c r="L132" s="13" t="str">
        <f>IFERROR(K132/K446, "NA")</f>
        <v>NA</v>
      </c>
      <c r="M132" s="14"/>
      <c r="N132" s="15">
        <f t="shared" si="34"/>
        <v>0</v>
      </c>
      <c r="O132" s="13" t="str">
        <f>IFERROR(N132/N446, "NA")</f>
        <v>NA</v>
      </c>
      <c r="P132" s="14"/>
      <c r="Q132" s="12">
        <v>0.0</v>
      </c>
      <c r="R132" s="13" t="str">
        <f>IFERROR(Q132/Q446, "NA")</f>
        <v>NA</v>
      </c>
      <c r="S132" s="14"/>
      <c r="T132" s="12">
        <v>0.0</v>
      </c>
      <c r="U132" s="13" t="str">
        <f>IFERROR(T132/T446, "NA")</f>
        <v>NA</v>
      </c>
      <c r="V132" s="14"/>
      <c r="W132" s="15">
        <f t="shared" si="35"/>
        <v>0</v>
      </c>
      <c r="X132" s="13" t="str">
        <f>IFERROR(W132/W446, "NA")</f>
        <v>NA</v>
      </c>
      <c r="Y132" s="14"/>
      <c r="Z132" s="12">
        <v>0.0</v>
      </c>
      <c r="AA132" s="13" t="str">
        <f>IFERROR(Z132/Z446, "NA")</f>
        <v>NA</v>
      </c>
      <c r="AB132" s="14"/>
      <c r="AC132" s="15">
        <f t="shared" si="36"/>
        <v>0</v>
      </c>
      <c r="AD132" s="13" t="str">
        <f>IFERROR(AC132/AC446, "NA")</f>
        <v>NA</v>
      </c>
    </row>
    <row r="133" ht="16.5" hidden="1" customHeight="1">
      <c r="A133" s="11" t="s">
        <v>128</v>
      </c>
      <c r="B133" s="12">
        <v>0.0</v>
      </c>
      <c r="C133" s="13" t="str">
        <f>IFERROR(B133/B446, "NA")</f>
        <v>NA</v>
      </c>
      <c r="D133" s="14"/>
      <c r="E133" s="12">
        <v>0.0</v>
      </c>
      <c r="F133" s="13" t="str">
        <f>IFERROR(E133/E446, "NA")</f>
        <v>NA</v>
      </c>
      <c r="G133" s="14"/>
      <c r="H133" s="15">
        <f t="shared" si="33"/>
        <v>0</v>
      </c>
      <c r="I133" s="13" t="str">
        <f>IFERROR(H133/H446, "NA")</f>
        <v>NA</v>
      </c>
      <c r="J133" s="14"/>
      <c r="K133" s="12">
        <v>0.0</v>
      </c>
      <c r="L133" s="13" t="str">
        <f>IFERROR(K133/K446, "NA")</f>
        <v>NA</v>
      </c>
      <c r="M133" s="14"/>
      <c r="N133" s="15">
        <f t="shared" si="34"/>
        <v>0</v>
      </c>
      <c r="O133" s="13" t="str">
        <f>IFERROR(N133/N446, "NA")</f>
        <v>NA</v>
      </c>
      <c r="P133" s="14"/>
      <c r="Q133" s="12">
        <v>0.0</v>
      </c>
      <c r="R133" s="13" t="str">
        <f>IFERROR(Q133/Q446, "NA")</f>
        <v>NA</v>
      </c>
      <c r="S133" s="14"/>
      <c r="T133" s="12">
        <v>0.0</v>
      </c>
      <c r="U133" s="13" t="str">
        <f>IFERROR(T133/T446, "NA")</f>
        <v>NA</v>
      </c>
      <c r="V133" s="14"/>
      <c r="W133" s="15">
        <f t="shared" si="35"/>
        <v>0</v>
      </c>
      <c r="X133" s="13" t="str">
        <f>IFERROR(W133/W446, "NA")</f>
        <v>NA</v>
      </c>
      <c r="Y133" s="14"/>
      <c r="Z133" s="12">
        <v>0.0</v>
      </c>
      <c r="AA133" s="13" t="str">
        <f>IFERROR(Z133/Z446, "NA")</f>
        <v>NA</v>
      </c>
      <c r="AB133" s="14"/>
      <c r="AC133" s="15">
        <f t="shared" si="36"/>
        <v>0</v>
      </c>
      <c r="AD133" s="13" t="str">
        <f>IFERROR(AC133/AC446, "NA")</f>
        <v>NA</v>
      </c>
    </row>
    <row r="134" ht="16.5" hidden="1" customHeight="1">
      <c r="A134" s="11" t="s">
        <v>129</v>
      </c>
      <c r="B134" s="12">
        <v>0.0</v>
      </c>
      <c r="C134" s="13" t="str">
        <f>IFERROR(B134/B446, "NA")</f>
        <v>NA</v>
      </c>
      <c r="D134" s="14"/>
      <c r="E134" s="12">
        <v>0.0</v>
      </c>
      <c r="F134" s="13" t="str">
        <f>IFERROR(E134/E446, "NA")</f>
        <v>NA</v>
      </c>
      <c r="G134" s="14"/>
      <c r="H134" s="15">
        <f t="shared" si="33"/>
        <v>0</v>
      </c>
      <c r="I134" s="13" t="str">
        <f>IFERROR(H134/H446, "NA")</f>
        <v>NA</v>
      </c>
      <c r="J134" s="14"/>
      <c r="K134" s="12">
        <v>0.0</v>
      </c>
      <c r="L134" s="13" t="str">
        <f>IFERROR(K134/K446, "NA")</f>
        <v>NA</v>
      </c>
      <c r="M134" s="14"/>
      <c r="N134" s="15">
        <f t="shared" si="34"/>
        <v>0</v>
      </c>
      <c r="O134" s="13" t="str">
        <f>IFERROR(N134/N446, "NA")</f>
        <v>NA</v>
      </c>
      <c r="P134" s="14"/>
      <c r="Q134" s="12">
        <v>0.0</v>
      </c>
      <c r="R134" s="13" t="str">
        <f>IFERROR(Q134/Q446, "NA")</f>
        <v>NA</v>
      </c>
      <c r="S134" s="14"/>
      <c r="T134" s="12">
        <v>0.0</v>
      </c>
      <c r="U134" s="13" t="str">
        <f>IFERROR(T134/T446, "NA")</f>
        <v>NA</v>
      </c>
      <c r="V134" s="14"/>
      <c r="W134" s="15">
        <f t="shared" si="35"/>
        <v>0</v>
      </c>
      <c r="X134" s="13" t="str">
        <f>IFERROR(W134/W446, "NA")</f>
        <v>NA</v>
      </c>
      <c r="Y134" s="14"/>
      <c r="Z134" s="12">
        <v>0.0</v>
      </c>
      <c r="AA134" s="13" t="str">
        <f>IFERROR(Z134/Z446, "NA")</f>
        <v>NA</v>
      </c>
      <c r="AB134" s="14"/>
      <c r="AC134" s="15">
        <f t="shared" si="36"/>
        <v>0</v>
      </c>
      <c r="AD134" s="13" t="str">
        <f>IFERROR(AC134/AC446, "NA")</f>
        <v>NA</v>
      </c>
    </row>
    <row r="135" ht="16.5" hidden="1" customHeight="1">
      <c r="A135" s="11" t="s">
        <v>130</v>
      </c>
      <c r="B135" s="12">
        <v>0.0</v>
      </c>
      <c r="C135" s="13" t="str">
        <f>IFERROR(B135/B446, "NA")</f>
        <v>NA</v>
      </c>
      <c r="D135" s="14"/>
      <c r="E135" s="12">
        <v>0.0</v>
      </c>
      <c r="F135" s="13" t="str">
        <f>IFERROR(E135/E446, "NA")</f>
        <v>NA</v>
      </c>
      <c r="G135" s="14"/>
      <c r="H135" s="15">
        <f t="shared" si="33"/>
        <v>0</v>
      </c>
      <c r="I135" s="13" t="str">
        <f>IFERROR(H135/H446, "NA")</f>
        <v>NA</v>
      </c>
      <c r="J135" s="14"/>
      <c r="K135" s="12">
        <v>0.0</v>
      </c>
      <c r="L135" s="13" t="str">
        <f>IFERROR(K135/K446, "NA")</f>
        <v>NA</v>
      </c>
      <c r="M135" s="14"/>
      <c r="N135" s="15">
        <f t="shared" si="34"/>
        <v>0</v>
      </c>
      <c r="O135" s="13" t="str">
        <f>IFERROR(N135/N446, "NA")</f>
        <v>NA</v>
      </c>
      <c r="P135" s="14"/>
      <c r="Q135" s="12">
        <v>0.0</v>
      </c>
      <c r="R135" s="13" t="str">
        <f>IFERROR(Q135/Q446, "NA")</f>
        <v>NA</v>
      </c>
      <c r="S135" s="14"/>
      <c r="T135" s="12">
        <v>0.0</v>
      </c>
      <c r="U135" s="13" t="str">
        <f>IFERROR(T135/T446, "NA")</f>
        <v>NA</v>
      </c>
      <c r="V135" s="14"/>
      <c r="W135" s="15">
        <f t="shared" si="35"/>
        <v>0</v>
      </c>
      <c r="X135" s="13" t="str">
        <f>IFERROR(W135/W446, "NA")</f>
        <v>NA</v>
      </c>
      <c r="Y135" s="14"/>
      <c r="Z135" s="12">
        <v>0.0</v>
      </c>
      <c r="AA135" s="13" t="str">
        <f>IFERROR(Z135/Z446, "NA")</f>
        <v>NA</v>
      </c>
      <c r="AB135" s="14"/>
      <c r="AC135" s="15">
        <f t="shared" si="36"/>
        <v>0</v>
      </c>
      <c r="AD135" s="13" t="str">
        <f>IFERROR(AC135/AC446, "NA")</f>
        <v>NA</v>
      </c>
    </row>
    <row r="136" ht="16.5" hidden="1" customHeight="1">
      <c r="A136" s="11" t="s">
        <v>131</v>
      </c>
      <c r="B136" s="12">
        <v>0.0</v>
      </c>
      <c r="C136" s="13" t="str">
        <f>IFERROR(B136/B446, "NA")</f>
        <v>NA</v>
      </c>
      <c r="D136" s="14"/>
      <c r="E136" s="12">
        <v>0.0</v>
      </c>
      <c r="F136" s="13" t="str">
        <f>IFERROR(E136/E446, "NA")</f>
        <v>NA</v>
      </c>
      <c r="G136" s="14"/>
      <c r="H136" s="15">
        <f t="shared" si="33"/>
        <v>0</v>
      </c>
      <c r="I136" s="13" t="str">
        <f>IFERROR(H136/H446, "NA")</f>
        <v>NA</v>
      </c>
      <c r="J136" s="14"/>
      <c r="K136" s="12">
        <v>0.0</v>
      </c>
      <c r="L136" s="13" t="str">
        <f>IFERROR(K136/K446, "NA")</f>
        <v>NA</v>
      </c>
      <c r="M136" s="14"/>
      <c r="N136" s="15">
        <f t="shared" si="34"/>
        <v>0</v>
      </c>
      <c r="O136" s="13" t="str">
        <f>IFERROR(N136/N446, "NA")</f>
        <v>NA</v>
      </c>
      <c r="P136" s="14"/>
      <c r="Q136" s="12">
        <v>0.0</v>
      </c>
      <c r="R136" s="13" t="str">
        <f>IFERROR(Q136/Q446, "NA")</f>
        <v>NA</v>
      </c>
      <c r="S136" s="14"/>
      <c r="T136" s="12">
        <v>0.0</v>
      </c>
      <c r="U136" s="13" t="str">
        <f>IFERROR(T136/T446, "NA")</f>
        <v>NA</v>
      </c>
      <c r="V136" s="14"/>
      <c r="W136" s="15">
        <f t="shared" si="35"/>
        <v>0</v>
      </c>
      <c r="X136" s="13" t="str">
        <f>IFERROR(W136/W446, "NA")</f>
        <v>NA</v>
      </c>
      <c r="Y136" s="14"/>
      <c r="Z136" s="12">
        <v>0.0</v>
      </c>
      <c r="AA136" s="13" t="str">
        <f>IFERROR(Z136/Z446, "NA")</f>
        <v>NA</v>
      </c>
      <c r="AB136" s="14"/>
      <c r="AC136" s="15">
        <f t="shared" si="36"/>
        <v>0</v>
      </c>
      <c r="AD136" s="13" t="str">
        <f>IFERROR(AC136/AC446, "NA")</f>
        <v>NA</v>
      </c>
    </row>
    <row r="137" ht="16.5" hidden="1" customHeight="1">
      <c r="A137" s="11" t="s">
        <v>132</v>
      </c>
      <c r="B137" s="12">
        <v>0.0</v>
      </c>
      <c r="C137" s="13" t="str">
        <f>IFERROR(B137/B446, "NA")</f>
        <v>NA</v>
      </c>
      <c r="D137" s="14"/>
      <c r="E137" s="12">
        <v>0.0</v>
      </c>
      <c r="F137" s="13" t="str">
        <f>IFERROR(E137/E446, "NA")</f>
        <v>NA</v>
      </c>
      <c r="G137" s="14"/>
      <c r="H137" s="15">
        <f t="shared" si="33"/>
        <v>0</v>
      </c>
      <c r="I137" s="13" t="str">
        <f>IFERROR(H137/H446, "NA")</f>
        <v>NA</v>
      </c>
      <c r="J137" s="14"/>
      <c r="K137" s="12">
        <v>0.0</v>
      </c>
      <c r="L137" s="13" t="str">
        <f>IFERROR(K137/K446, "NA")</f>
        <v>NA</v>
      </c>
      <c r="M137" s="14"/>
      <c r="N137" s="15">
        <f t="shared" si="34"/>
        <v>0</v>
      </c>
      <c r="O137" s="13" t="str">
        <f>IFERROR(N137/N446, "NA")</f>
        <v>NA</v>
      </c>
      <c r="P137" s="14"/>
      <c r="Q137" s="12">
        <v>0.0</v>
      </c>
      <c r="R137" s="13" t="str">
        <f>IFERROR(Q137/Q446, "NA")</f>
        <v>NA</v>
      </c>
      <c r="S137" s="14"/>
      <c r="T137" s="12">
        <v>0.0</v>
      </c>
      <c r="U137" s="13" t="str">
        <f>IFERROR(T137/T446, "NA")</f>
        <v>NA</v>
      </c>
      <c r="V137" s="14"/>
      <c r="W137" s="15">
        <f t="shared" si="35"/>
        <v>0</v>
      </c>
      <c r="X137" s="13" t="str">
        <f>IFERROR(W137/W446, "NA")</f>
        <v>NA</v>
      </c>
      <c r="Y137" s="14"/>
      <c r="Z137" s="12">
        <v>0.0</v>
      </c>
      <c r="AA137" s="13" t="str">
        <f>IFERROR(Z137/Z446, "NA")</f>
        <v>NA</v>
      </c>
      <c r="AB137" s="14"/>
      <c r="AC137" s="15">
        <f t="shared" si="36"/>
        <v>0</v>
      </c>
      <c r="AD137" s="13" t="str">
        <f>IFERROR(AC137/AC446, "NA")</f>
        <v>NA</v>
      </c>
    </row>
    <row r="138" ht="16.5" hidden="1" customHeight="1">
      <c r="A138" s="11" t="s">
        <v>133</v>
      </c>
      <c r="B138" s="12">
        <v>0.0</v>
      </c>
      <c r="C138" s="13" t="str">
        <f>IFERROR(B138/B446, "NA")</f>
        <v>NA</v>
      </c>
      <c r="D138" s="14"/>
      <c r="E138" s="12">
        <v>0.0</v>
      </c>
      <c r="F138" s="13" t="str">
        <f>IFERROR(E138/E446, "NA")</f>
        <v>NA</v>
      </c>
      <c r="G138" s="14"/>
      <c r="H138" s="15">
        <f t="shared" si="33"/>
        <v>0</v>
      </c>
      <c r="I138" s="13" t="str">
        <f>IFERROR(H138/H446, "NA")</f>
        <v>NA</v>
      </c>
      <c r="J138" s="14"/>
      <c r="K138" s="12">
        <v>0.0</v>
      </c>
      <c r="L138" s="13" t="str">
        <f>IFERROR(K138/K446, "NA")</f>
        <v>NA</v>
      </c>
      <c r="M138" s="14"/>
      <c r="N138" s="15">
        <f t="shared" si="34"/>
        <v>0</v>
      </c>
      <c r="O138" s="13" t="str">
        <f>IFERROR(N138/N446, "NA")</f>
        <v>NA</v>
      </c>
      <c r="P138" s="14"/>
      <c r="Q138" s="12">
        <v>0.0</v>
      </c>
      <c r="R138" s="13" t="str">
        <f>IFERROR(Q138/Q446, "NA")</f>
        <v>NA</v>
      </c>
      <c r="S138" s="14"/>
      <c r="T138" s="12">
        <v>0.0</v>
      </c>
      <c r="U138" s="13" t="str">
        <f>IFERROR(T138/T446, "NA")</f>
        <v>NA</v>
      </c>
      <c r="V138" s="14"/>
      <c r="W138" s="15">
        <f t="shared" si="35"/>
        <v>0</v>
      </c>
      <c r="X138" s="13" t="str">
        <f>IFERROR(W138/W446, "NA")</f>
        <v>NA</v>
      </c>
      <c r="Y138" s="14"/>
      <c r="Z138" s="12">
        <v>0.0</v>
      </c>
      <c r="AA138" s="13" t="str">
        <f>IFERROR(Z138/Z446, "NA")</f>
        <v>NA</v>
      </c>
      <c r="AB138" s="14"/>
      <c r="AC138" s="15">
        <f t="shared" si="36"/>
        <v>0</v>
      </c>
      <c r="AD138" s="13" t="str">
        <f>IFERROR(AC138/AC446, "NA")</f>
        <v>NA</v>
      </c>
    </row>
    <row r="139" ht="16.5" hidden="1" customHeight="1">
      <c r="A139" s="11" t="s">
        <v>134</v>
      </c>
      <c r="B139" s="12">
        <v>0.0</v>
      </c>
      <c r="C139" s="13" t="str">
        <f>IFERROR(B139/B446, "NA")</f>
        <v>NA</v>
      </c>
      <c r="D139" s="14"/>
      <c r="E139" s="12">
        <v>0.0</v>
      </c>
      <c r="F139" s="13" t="str">
        <f>IFERROR(E139/E446, "NA")</f>
        <v>NA</v>
      </c>
      <c r="G139" s="14"/>
      <c r="H139" s="15">
        <f t="shared" si="33"/>
        <v>0</v>
      </c>
      <c r="I139" s="13" t="str">
        <f>IFERROR(H139/H446, "NA")</f>
        <v>NA</v>
      </c>
      <c r="J139" s="14"/>
      <c r="K139" s="12">
        <v>0.0</v>
      </c>
      <c r="L139" s="13" t="str">
        <f>IFERROR(K139/K446, "NA")</f>
        <v>NA</v>
      </c>
      <c r="M139" s="14"/>
      <c r="N139" s="15">
        <f t="shared" si="34"/>
        <v>0</v>
      </c>
      <c r="O139" s="13" t="str">
        <f>IFERROR(N139/N446, "NA")</f>
        <v>NA</v>
      </c>
      <c r="P139" s="14"/>
      <c r="Q139" s="12">
        <v>0.0</v>
      </c>
      <c r="R139" s="13" t="str">
        <f>IFERROR(Q139/Q446, "NA")</f>
        <v>NA</v>
      </c>
      <c r="S139" s="14"/>
      <c r="T139" s="12">
        <v>0.0</v>
      </c>
      <c r="U139" s="13" t="str">
        <f>IFERROR(T139/T446, "NA")</f>
        <v>NA</v>
      </c>
      <c r="V139" s="14"/>
      <c r="W139" s="15">
        <f t="shared" si="35"/>
        <v>0</v>
      </c>
      <c r="X139" s="13" t="str">
        <f>IFERROR(W139/W446, "NA")</f>
        <v>NA</v>
      </c>
      <c r="Y139" s="14"/>
      <c r="Z139" s="12">
        <v>0.0</v>
      </c>
      <c r="AA139" s="13" t="str">
        <f>IFERROR(Z139/Z446, "NA")</f>
        <v>NA</v>
      </c>
      <c r="AB139" s="14"/>
      <c r="AC139" s="15">
        <f t="shared" si="36"/>
        <v>0</v>
      </c>
      <c r="AD139" s="13" t="str">
        <f>IFERROR(AC139/AC446, "NA")</f>
        <v>NA</v>
      </c>
    </row>
    <row r="140" ht="16.5" hidden="1" customHeight="1">
      <c r="A140" s="11" t="s">
        <v>135</v>
      </c>
      <c r="B140" s="12">
        <v>0.0</v>
      </c>
      <c r="C140" s="13" t="str">
        <f>IFERROR(B140/B446, "NA")</f>
        <v>NA</v>
      </c>
      <c r="D140" s="14"/>
      <c r="E140" s="12">
        <v>0.0</v>
      </c>
      <c r="F140" s="13" t="str">
        <f>IFERROR(E140/E446, "NA")</f>
        <v>NA</v>
      </c>
      <c r="G140" s="14"/>
      <c r="H140" s="15">
        <f t="shared" si="33"/>
        <v>0</v>
      </c>
      <c r="I140" s="13" t="str">
        <f>IFERROR(H140/H446, "NA")</f>
        <v>NA</v>
      </c>
      <c r="J140" s="14"/>
      <c r="K140" s="12">
        <v>0.0</v>
      </c>
      <c r="L140" s="13" t="str">
        <f>IFERROR(K140/K446, "NA")</f>
        <v>NA</v>
      </c>
      <c r="M140" s="14"/>
      <c r="N140" s="15">
        <f t="shared" si="34"/>
        <v>0</v>
      </c>
      <c r="O140" s="13" t="str">
        <f>IFERROR(N140/N446, "NA")</f>
        <v>NA</v>
      </c>
      <c r="P140" s="14"/>
      <c r="Q140" s="12">
        <v>0.0</v>
      </c>
      <c r="R140" s="13" t="str">
        <f>IFERROR(Q140/Q446, "NA")</f>
        <v>NA</v>
      </c>
      <c r="S140" s="14"/>
      <c r="T140" s="12">
        <v>0.0</v>
      </c>
      <c r="U140" s="13" t="str">
        <f>IFERROR(T140/T446, "NA")</f>
        <v>NA</v>
      </c>
      <c r="V140" s="14"/>
      <c r="W140" s="15">
        <f t="shared" si="35"/>
        <v>0</v>
      </c>
      <c r="X140" s="13" t="str">
        <f>IFERROR(W140/W446, "NA")</f>
        <v>NA</v>
      </c>
      <c r="Y140" s="14"/>
      <c r="Z140" s="12">
        <v>0.0</v>
      </c>
      <c r="AA140" s="13" t="str">
        <f>IFERROR(Z140/Z446, "NA")</f>
        <v>NA</v>
      </c>
      <c r="AB140" s="14"/>
      <c r="AC140" s="15">
        <f t="shared" si="36"/>
        <v>0</v>
      </c>
      <c r="AD140" s="13" t="str">
        <f>IFERROR(AC140/AC446, "NA")</f>
        <v>NA</v>
      </c>
    </row>
    <row r="141" ht="16.5" customHeight="1">
      <c r="A141" s="16" t="s">
        <v>136</v>
      </c>
      <c r="B141" s="17">
        <f>IFERROR(B129+B130+B131+B132+B133+B134+B135+B136+B137+B138+B139+B140, "NA")</f>
        <v>0</v>
      </c>
      <c r="C141" s="18" t="str">
        <f>IFERROR(B141/B446, "NA")</f>
        <v>NA</v>
      </c>
      <c r="D141" s="8"/>
      <c r="E141" s="17">
        <f>IFERROR(E129+E130+E131+E132+E133+E134+E135+E136+E137+E138+E139+E140, "NA")</f>
        <v>0</v>
      </c>
      <c r="F141" s="18" t="str">
        <f>IFERROR(E141/E446, "NA")</f>
        <v>NA</v>
      </c>
      <c r="G141" s="8"/>
      <c r="H141" s="17">
        <f t="shared" si="33"/>
        <v>0</v>
      </c>
      <c r="I141" s="18" t="str">
        <f>IFERROR(H141/H446, "NA")</f>
        <v>NA</v>
      </c>
      <c r="J141" s="8"/>
      <c r="K141" s="17">
        <f>IFERROR(K129+K130+K131+K132+K133+K134+K135+K136+K137+K138+K139+K140, "NA")</f>
        <v>0</v>
      </c>
      <c r="L141" s="18" t="str">
        <f>IFERROR(K141/K446, "NA")</f>
        <v>NA</v>
      </c>
      <c r="M141" s="8"/>
      <c r="N141" s="17">
        <f t="shared" si="34"/>
        <v>0</v>
      </c>
      <c r="O141" s="18" t="str">
        <f>IFERROR(N141/N446, "NA")</f>
        <v>NA</v>
      </c>
      <c r="P141" s="8"/>
      <c r="Q141" s="17">
        <f>IFERROR(Q129+Q130+Q131+Q132+Q133+Q134+Q135+Q136+Q137+Q138+Q139+Q140, "NA")</f>
        <v>0</v>
      </c>
      <c r="R141" s="18" t="str">
        <f>IFERROR(Q141/Q446, "NA")</f>
        <v>NA</v>
      </c>
      <c r="S141" s="8"/>
      <c r="T141" s="17">
        <f>IFERROR(T129+T130+T131+T132+T133+T134+T135+T136+T137+T138+T139+T140, "NA")</f>
        <v>0</v>
      </c>
      <c r="U141" s="18" t="str">
        <f>IFERROR(T141/T446, "NA")</f>
        <v>NA</v>
      </c>
      <c r="V141" s="8"/>
      <c r="W141" s="17">
        <f t="shared" si="35"/>
        <v>0</v>
      </c>
      <c r="X141" s="18" t="str">
        <f>IFERROR(W141/W446, "NA")</f>
        <v>NA</v>
      </c>
      <c r="Y141" s="8"/>
      <c r="Z141" s="17">
        <f>IFERROR(Z129+Z130+Z131+Z132+Z133+Z134+Z135+Z136+Z137+Z138+Z139+Z140, "NA")</f>
        <v>0</v>
      </c>
      <c r="AA141" s="18" t="str">
        <f>IFERROR(Z141/Z446, "NA")</f>
        <v>NA</v>
      </c>
      <c r="AB141" s="8"/>
      <c r="AC141" s="17">
        <f t="shared" si="36"/>
        <v>0</v>
      </c>
      <c r="AD141" s="18" t="str">
        <f>IFERROR(AC141/AC446, "NA")</f>
        <v>NA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hidden="1" customHeight="1">
      <c r="A143" s="11" t="s">
        <v>137</v>
      </c>
      <c r="B143" s="12">
        <v>0.0</v>
      </c>
      <c r="C143" s="13" t="str">
        <f>IFERROR(B143/B446, "NA")</f>
        <v>NA</v>
      </c>
      <c r="D143" s="14"/>
      <c r="E143" s="12">
        <v>0.0</v>
      </c>
      <c r="F143" s="13" t="str">
        <f>IFERROR(E143/E446, "NA")</f>
        <v>NA</v>
      </c>
      <c r="G143" s="14"/>
      <c r="H143" s="15">
        <f t="shared" ref="H143:H149" si="37">IFERROR(-(B143-E143), "NA")</f>
        <v>0</v>
      </c>
      <c r="I143" s="13" t="str">
        <f>IFERROR(H143/H446, "NA")</f>
        <v>NA</v>
      </c>
      <c r="J143" s="14"/>
      <c r="K143" s="12">
        <v>0.0</v>
      </c>
      <c r="L143" s="13" t="str">
        <f>IFERROR(K143/K446, "NA")</f>
        <v>NA</v>
      </c>
      <c r="M143" s="14"/>
      <c r="N143" s="15">
        <f t="shared" ref="N143:N149" si="38">IFERROR(-(B143-K143), "NA")</f>
        <v>0</v>
      </c>
      <c r="O143" s="13" t="str">
        <f>IFERROR(N143/N446, "NA")</f>
        <v>NA</v>
      </c>
      <c r="P143" s="14"/>
      <c r="Q143" s="12">
        <v>0.0</v>
      </c>
      <c r="R143" s="13" t="str">
        <f>IFERROR(Q143/Q446, "NA")</f>
        <v>NA</v>
      </c>
      <c r="S143" s="14"/>
      <c r="T143" s="12">
        <v>0.0</v>
      </c>
      <c r="U143" s="13" t="str">
        <f>IFERROR(T143/T446, "NA")</f>
        <v>NA</v>
      </c>
      <c r="V143" s="14"/>
      <c r="W143" s="15">
        <f t="shared" ref="W143:W149" si="39">IFERROR(-(Q143-T143), "NA")</f>
        <v>0</v>
      </c>
      <c r="X143" s="13" t="str">
        <f>IFERROR(W143/W446, "NA")</f>
        <v>NA</v>
      </c>
      <c r="Y143" s="14"/>
      <c r="Z143" s="12">
        <v>0.0</v>
      </c>
      <c r="AA143" s="13" t="str">
        <f>IFERROR(Z143/Z446, "NA")</f>
        <v>NA</v>
      </c>
      <c r="AB143" s="14"/>
      <c r="AC143" s="15">
        <f t="shared" ref="AC143:AC149" si="40">IFERROR(-(Q143-Z143), "NA")</f>
        <v>0</v>
      </c>
      <c r="AD143" s="13" t="str">
        <f>IFERROR(AC143/AC446, "NA")</f>
        <v>NA</v>
      </c>
    </row>
    <row r="144" ht="16.5" hidden="1" customHeight="1">
      <c r="A144" s="11" t="s">
        <v>138</v>
      </c>
      <c r="B144" s="12">
        <v>0.0</v>
      </c>
      <c r="C144" s="13" t="str">
        <f>IFERROR(B144/B446, "NA")</f>
        <v>NA</v>
      </c>
      <c r="D144" s="14"/>
      <c r="E144" s="12">
        <v>0.0</v>
      </c>
      <c r="F144" s="13" t="str">
        <f>IFERROR(E144/E446, "NA")</f>
        <v>NA</v>
      </c>
      <c r="G144" s="14"/>
      <c r="H144" s="15">
        <f t="shared" si="37"/>
        <v>0</v>
      </c>
      <c r="I144" s="13" t="str">
        <f>IFERROR(H144/H446, "NA")</f>
        <v>NA</v>
      </c>
      <c r="J144" s="14"/>
      <c r="K144" s="12">
        <v>0.0</v>
      </c>
      <c r="L144" s="13" t="str">
        <f>IFERROR(K144/K446, "NA")</f>
        <v>NA</v>
      </c>
      <c r="M144" s="14"/>
      <c r="N144" s="15">
        <f t="shared" si="38"/>
        <v>0</v>
      </c>
      <c r="O144" s="13" t="str">
        <f>IFERROR(N144/N446, "NA")</f>
        <v>NA</v>
      </c>
      <c r="P144" s="14"/>
      <c r="Q144" s="12">
        <v>0.0</v>
      </c>
      <c r="R144" s="13" t="str">
        <f>IFERROR(Q144/Q446, "NA")</f>
        <v>NA</v>
      </c>
      <c r="S144" s="14"/>
      <c r="T144" s="12">
        <v>0.0</v>
      </c>
      <c r="U144" s="13" t="str">
        <f>IFERROR(T144/T446, "NA")</f>
        <v>NA</v>
      </c>
      <c r="V144" s="14"/>
      <c r="W144" s="15">
        <f t="shared" si="39"/>
        <v>0</v>
      </c>
      <c r="X144" s="13" t="str">
        <f>IFERROR(W144/W446, "NA")</f>
        <v>NA</v>
      </c>
      <c r="Y144" s="14"/>
      <c r="Z144" s="12">
        <v>0.0</v>
      </c>
      <c r="AA144" s="13" t="str">
        <f>IFERROR(Z144/Z446, "NA")</f>
        <v>NA</v>
      </c>
      <c r="AB144" s="14"/>
      <c r="AC144" s="15">
        <f t="shared" si="40"/>
        <v>0</v>
      </c>
      <c r="AD144" s="13" t="str">
        <f>IFERROR(AC144/AC446, "NA")</f>
        <v>NA</v>
      </c>
    </row>
    <row r="145" ht="16.5" hidden="1" customHeight="1">
      <c r="A145" s="11" t="s">
        <v>139</v>
      </c>
      <c r="B145" s="12">
        <v>0.0</v>
      </c>
      <c r="C145" s="13" t="str">
        <f>IFERROR(B145/B446, "NA")</f>
        <v>NA</v>
      </c>
      <c r="D145" s="14"/>
      <c r="E145" s="12">
        <v>0.0</v>
      </c>
      <c r="F145" s="13" t="str">
        <f>IFERROR(E145/E446, "NA")</f>
        <v>NA</v>
      </c>
      <c r="G145" s="14"/>
      <c r="H145" s="15">
        <f t="shared" si="37"/>
        <v>0</v>
      </c>
      <c r="I145" s="13" t="str">
        <f>IFERROR(H145/H446, "NA")</f>
        <v>NA</v>
      </c>
      <c r="J145" s="14"/>
      <c r="K145" s="12">
        <v>0.0</v>
      </c>
      <c r="L145" s="13" t="str">
        <f>IFERROR(K145/K446, "NA")</f>
        <v>NA</v>
      </c>
      <c r="M145" s="14"/>
      <c r="N145" s="15">
        <f t="shared" si="38"/>
        <v>0</v>
      </c>
      <c r="O145" s="13" t="str">
        <f>IFERROR(N145/N446, "NA")</f>
        <v>NA</v>
      </c>
      <c r="P145" s="14"/>
      <c r="Q145" s="12">
        <v>0.0</v>
      </c>
      <c r="R145" s="13" t="str">
        <f>IFERROR(Q145/Q446, "NA")</f>
        <v>NA</v>
      </c>
      <c r="S145" s="14"/>
      <c r="T145" s="12">
        <v>0.0</v>
      </c>
      <c r="U145" s="13" t="str">
        <f>IFERROR(T145/T446, "NA")</f>
        <v>NA</v>
      </c>
      <c r="V145" s="14"/>
      <c r="W145" s="15">
        <f t="shared" si="39"/>
        <v>0</v>
      </c>
      <c r="X145" s="13" t="str">
        <f>IFERROR(W145/W446, "NA")</f>
        <v>NA</v>
      </c>
      <c r="Y145" s="14"/>
      <c r="Z145" s="12">
        <v>0.0</v>
      </c>
      <c r="AA145" s="13" t="str">
        <f>IFERROR(Z145/Z446, "NA")</f>
        <v>NA</v>
      </c>
      <c r="AB145" s="14"/>
      <c r="AC145" s="15">
        <f t="shared" si="40"/>
        <v>0</v>
      </c>
      <c r="AD145" s="13" t="str">
        <f>IFERROR(AC145/AC446, "NA")</f>
        <v>NA</v>
      </c>
    </row>
    <row r="146" ht="16.5" hidden="1" customHeight="1">
      <c r="A146" s="11" t="s">
        <v>140</v>
      </c>
      <c r="B146" s="12">
        <v>0.0</v>
      </c>
      <c r="C146" s="13" t="str">
        <f>IFERROR(B146/B446, "NA")</f>
        <v>NA</v>
      </c>
      <c r="D146" s="14"/>
      <c r="E146" s="12">
        <v>0.0</v>
      </c>
      <c r="F146" s="13" t="str">
        <f>IFERROR(E146/E446, "NA")</f>
        <v>NA</v>
      </c>
      <c r="G146" s="14"/>
      <c r="H146" s="15">
        <f t="shared" si="37"/>
        <v>0</v>
      </c>
      <c r="I146" s="13" t="str">
        <f>IFERROR(H146/H446, "NA")</f>
        <v>NA</v>
      </c>
      <c r="J146" s="14"/>
      <c r="K146" s="12">
        <v>0.0</v>
      </c>
      <c r="L146" s="13" t="str">
        <f>IFERROR(K146/K446, "NA")</f>
        <v>NA</v>
      </c>
      <c r="M146" s="14"/>
      <c r="N146" s="15">
        <f t="shared" si="38"/>
        <v>0</v>
      </c>
      <c r="O146" s="13" t="str">
        <f>IFERROR(N146/N446, "NA")</f>
        <v>NA</v>
      </c>
      <c r="P146" s="14"/>
      <c r="Q146" s="12">
        <v>0.0</v>
      </c>
      <c r="R146" s="13" t="str">
        <f>IFERROR(Q146/Q446, "NA")</f>
        <v>NA</v>
      </c>
      <c r="S146" s="14"/>
      <c r="T146" s="12">
        <v>0.0</v>
      </c>
      <c r="U146" s="13" t="str">
        <f>IFERROR(T146/T446, "NA")</f>
        <v>NA</v>
      </c>
      <c r="V146" s="14"/>
      <c r="W146" s="15">
        <f t="shared" si="39"/>
        <v>0</v>
      </c>
      <c r="X146" s="13" t="str">
        <f>IFERROR(W146/W446, "NA")</f>
        <v>NA</v>
      </c>
      <c r="Y146" s="14"/>
      <c r="Z146" s="12">
        <v>0.0</v>
      </c>
      <c r="AA146" s="13" t="str">
        <f>IFERROR(Z146/Z446, "NA")</f>
        <v>NA</v>
      </c>
      <c r="AB146" s="14"/>
      <c r="AC146" s="15">
        <f t="shared" si="40"/>
        <v>0</v>
      </c>
      <c r="AD146" s="13" t="str">
        <f>IFERROR(AC146/AC446, "NA")</f>
        <v>NA</v>
      </c>
    </row>
    <row r="147" ht="16.5" hidden="1" customHeight="1">
      <c r="A147" s="11" t="s">
        <v>141</v>
      </c>
      <c r="B147" s="12">
        <v>0.0</v>
      </c>
      <c r="C147" s="13" t="str">
        <f>IFERROR(B147/B446, "NA")</f>
        <v>NA</v>
      </c>
      <c r="D147" s="14"/>
      <c r="E147" s="12">
        <v>0.0</v>
      </c>
      <c r="F147" s="13" t="str">
        <f>IFERROR(E147/E446, "NA")</f>
        <v>NA</v>
      </c>
      <c r="G147" s="14"/>
      <c r="H147" s="15">
        <f t="shared" si="37"/>
        <v>0</v>
      </c>
      <c r="I147" s="13" t="str">
        <f>IFERROR(H147/H446, "NA")</f>
        <v>NA</v>
      </c>
      <c r="J147" s="14"/>
      <c r="K147" s="12">
        <v>0.0</v>
      </c>
      <c r="L147" s="13" t="str">
        <f>IFERROR(K147/K446, "NA")</f>
        <v>NA</v>
      </c>
      <c r="M147" s="14"/>
      <c r="N147" s="15">
        <f t="shared" si="38"/>
        <v>0</v>
      </c>
      <c r="O147" s="13" t="str">
        <f>IFERROR(N147/N446, "NA")</f>
        <v>NA</v>
      </c>
      <c r="P147" s="14"/>
      <c r="Q147" s="12">
        <v>0.0</v>
      </c>
      <c r="R147" s="13" t="str">
        <f>IFERROR(Q147/Q446, "NA")</f>
        <v>NA</v>
      </c>
      <c r="S147" s="14"/>
      <c r="T147" s="12">
        <v>0.0</v>
      </c>
      <c r="U147" s="13" t="str">
        <f>IFERROR(T147/T446, "NA")</f>
        <v>NA</v>
      </c>
      <c r="V147" s="14"/>
      <c r="W147" s="15">
        <f t="shared" si="39"/>
        <v>0</v>
      </c>
      <c r="X147" s="13" t="str">
        <f>IFERROR(W147/W446, "NA")</f>
        <v>NA</v>
      </c>
      <c r="Y147" s="14"/>
      <c r="Z147" s="12">
        <v>0.0</v>
      </c>
      <c r="AA147" s="13" t="str">
        <f>IFERROR(Z147/Z446, "NA")</f>
        <v>NA</v>
      </c>
      <c r="AB147" s="14"/>
      <c r="AC147" s="15">
        <f t="shared" si="40"/>
        <v>0</v>
      </c>
      <c r="AD147" s="13" t="str">
        <f>IFERROR(AC147/AC446, "NA")</f>
        <v>NA</v>
      </c>
    </row>
    <row r="148" ht="16.5" customHeight="1">
      <c r="A148" s="16" t="s">
        <v>142</v>
      </c>
      <c r="B148" s="17">
        <f>IFERROR(B143+B144+B145+B146+B147, "NA")</f>
        <v>0</v>
      </c>
      <c r="C148" s="18" t="str">
        <f>IFERROR(B148/B446, "NA")</f>
        <v>NA</v>
      </c>
      <c r="D148" s="8"/>
      <c r="E148" s="17">
        <f>IFERROR(E143+E144+E145+E146+E147, "NA")</f>
        <v>0</v>
      </c>
      <c r="F148" s="18" t="str">
        <f>IFERROR(E148/E446, "NA")</f>
        <v>NA</v>
      </c>
      <c r="G148" s="8"/>
      <c r="H148" s="17">
        <f t="shared" si="37"/>
        <v>0</v>
      </c>
      <c r="I148" s="18" t="str">
        <f>IFERROR(H148/H446, "NA")</f>
        <v>NA</v>
      </c>
      <c r="J148" s="8"/>
      <c r="K148" s="17">
        <f>IFERROR(K143+K144+K145+K146+K147, "NA")</f>
        <v>0</v>
      </c>
      <c r="L148" s="18" t="str">
        <f>IFERROR(K148/K446, "NA")</f>
        <v>NA</v>
      </c>
      <c r="M148" s="8"/>
      <c r="N148" s="17">
        <f t="shared" si="38"/>
        <v>0</v>
      </c>
      <c r="O148" s="18" t="str">
        <f>IFERROR(N148/N446, "NA")</f>
        <v>NA</v>
      </c>
      <c r="P148" s="8"/>
      <c r="Q148" s="17">
        <f>IFERROR(Q143+Q144+Q145+Q146+Q147, "NA")</f>
        <v>0</v>
      </c>
      <c r="R148" s="18" t="str">
        <f>IFERROR(Q148/Q446, "NA")</f>
        <v>NA</v>
      </c>
      <c r="S148" s="8"/>
      <c r="T148" s="17">
        <f>IFERROR(T143+T144+T145+T146+T147, "NA")</f>
        <v>0</v>
      </c>
      <c r="U148" s="18" t="str">
        <f>IFERROR(T148/T446, "NA")</f>
        <v>NA</v>
      </c>
      <c r="V148" s="8"/>
      <c r="W148" s="17">
        <f t="shared" si="39"/>
        <v>0</v>
      </c>
      <c r="X148" s="18" t="str">
        <f>IFERROR(W148/W446, "NA")</f>
        <v>NA</v>
      </c>
      <c r="Y148" s="8"/>
      <c r="Z148" s="17">
        <f>IFERROR(Z143+Z144+Z145+Z146+Z147, "NA")</f>
        <v>0</v>
      </c>
      <c r="AA148" s="18" t="str">
        <f>IFERROR(Z148/Z446, "NA")</f>
        <v>NA</v>
      </c>
      <c r="AB148" s="8"/>
      <c r="AC148" s="17">
        <f t="shared" si="40"/>
        <v>0</v>
      </c>
      <c r="AD148" s="18" t="str">
        <f>IFERROR(AC148/AC446, "NA")</f>
        <v>NA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0</v>
      </c>
      <c r="C149" s="18" t="str">
        <f>IFERROR(B149/B446, "NA")</f>
        <v>NA</v>
      </c>
      <c r="D149" s="8"/>
      <c r="E149" s="17">
        <f>IFERROR(E127+E129+E130+E131+E132+E133+E134+E135+E136+E137+E138+E139+E140+E143+E144+E145+E146+E147, "NA")</f>
        <v>0</v>
      </c>
      <c r="F149" s="18" t="str">
        <f>IFERROR(E149/E446, "NA")</f>
        <v>NA</v>
      </c>
      <c r="G149" s="8"/>
      <c r="H149" s="17">
        <f t="shared" si="37"/>
        <v>0</v>
      </c>
      <c r="I149" s="18" t="str">
        <f>IFERROR(H149/H446, "NA")</f>
        <v>NA</v>
      </c>
      <c r="J149" s="8"/>
      <c r="K149" s="17">
        <f>IFERROR(K127+K129+K130+K131+K132+K133+K134+K135+K136+K137+K138+K139+K140+K143+K144+K145+K146+K147, "NA")</f>
        <v>0</v>
      </c>
      <c r="L149" s="18" t="str">
        <f>IFERROR(K149/K446, "NA")</f>
        <v>NA</v>
      </c>
      <c r="M149" s="8"/>
      <c r="N149" s="17">
        <f t="shared" si="38"/>
        <v>0</v>
      </c>
      <c r="O149" s="18" t="str">
        <f>IFERROR(N149/N446, "NA")</f>
        <v>NA</v>
      </c>
      <c r="P149" s="8"/>
      <c r="Q149" s="17">
        <f>IFERROR(Q127+Q129+Q130+Q131+Q132+Q133+Q134+Q135+Q136+Q137+Q138+Q139+Q140+Q143+Q144+Q145+Q146+Q147, "NA")</f>
        <v>0</v>
      </c>
      <c r="R149" s="18" t="str">
        <f>IFERROR(Q149/Q446, "NA")</f>
        <v>NA</v>
      </c>
      <c r="S149" s="8"/>
      <c r="T149" s="17">
        <f>IFERROR(T127+T129+T130+T131+T132+T133+T134+T135+T136+T137+T138+T139+T140+T143+T144+T145+T146+T147, "NA")</f>
        <v>0</v>
      </c>
      <c r="U149" s="18" t="str">
        <f>IFERROR(T149/T446, "NA")</f>
        <v>NA</v>
      </c>
      <c r="V149" s="8"/>
      <c r="W149" s="17">
        <f t="shared" si="39"/>
        <v>0</v>
      </c>
      <c r="X149" s="18" t="str">
        <f>IFERROR(W149/W446, "NA")</f>
        <v>NA</v>
      </c>
      <c r="Y149" s="8"/>
      <c r="Z149" s="17">
        <f>IFERROR(Z127+Z129+Z130+Z131+Z132+Z133+Z134+Z135+Z136+Z137+Z138+Z139+Z140+Z143+Z144+Z145+Z146+Z147, "NA")</f>
        <v>0</v>
      </c>
      <c r="AA149" s="18" t="str">
        <f>IFERROR(Z149/Z446, "NA")</f>
        <v>NA</v>
      </c>
      <c r="AB149" s="8"/>
      <c r="AC149" s="17">
        <f t="shared" si="40"/>
        <v>0</v>
      </c>
      <c r="AD149" s="18" t="str">
        <f>IFERROR(AC149/AC446, "NA")</f>
        <v>NA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 t="str">
        <f>IFERROR(B151/B446, "NA")</f>
        <v>NA</v>
      </c>
      <c r="D151" s="14"/>
      <c r="E151" s="12">
        <v>0.0</v>
      </c>
      <c r="F151" s="13" t="str">
        <f>IFERROR(E151/E446, "NA")</f>
        <v>NA</v>
      </c>
      <c r="G151" s="14"/>
      <c r="H151" s="15">
        <f>IFERROR(-(B151-E151), "NA")</f>
        <v>0</v>
      </c>
      <c r="I151" s="13" t="str">
        <f>IFERROR(H151/H446, "NA")</f>
        <v>NA</v>
      </c>
      <c r="J151" s="14"/>
      <c r="K151" s="12">
        <v>0.0</v>
      </c>
      <c r="L151" s="13" t="str">
        <f>IFERROR(K151/K446, "NA")</f>
        <v>NA</v>
      </c>
      <c r="M151" s="14"/>
      <c r="N151" s="15">
        <f>IFERROR(-(B151-K151), "NA")</f>
        <v>0</v>
      </c>
      <c r="O151" s="13" t="str">
        <f>IFERROR(N151/N446, "NA")</f>
        <v>NA</v>
      </c>
      <c r="P151" s="14"/>
      <c r="Q151" s="12">
        <v>0.0</v>
      </c>
      <c r="R151" s="13" t="str">
        <f>IFERROR(Q151/Q446, "NA")</f>
        <v>NA</v>
      </c>
      <c r="S151" s="14"/>
      <c r="T151" s="12">
        <v>0.0</v>
      </c>
      <c r="U151" s="13" t="str">
        <f>IFERROR(T151/T446, "NA")</f>
        <v>NA</v>
      </c>
      <c r="V151" s="14"/>
      <c r="W151" s="15">
        <f>IFERROR(-(Q151-T151), "NA")</f>
        <v>0</v>
      </c>
      <c r="X151" s="13" t="str">
        <f>IFERROR(W151/W446, "NA")</f>
        <v>NA</v>
      </c>
      <c r="Y151" s="14"/>
      <c r="Z151" s="12">
        <v>0.0</v>
      </c>
      <c r="AA151" s="13" t="str">
        <f>IFERROR(Z151/Z446, "NA")</f>
        <v>NA</v>
      </c>
      <c r="AB151" s="14"/>
      <c r="AC151" s="15">
        <f>IFERROR(-(Q151-Z151), "NA")</f>
        <v>0</v>
      </c>
      <c r="AD151" s="13" t="str">
        <f>IFERROR(AC151/AC446, "NA")</f>
        <v>NA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hidden="1" customHeight="1">
      <c r="A153" s="11" t="s">
        <v>145</v>
      </c>
      <c r="B153" s="12">
        <v>0.0</v>
      </c>
      <c r="C153" s="13" t="str">
        <f>IFERROR(B153/B446, "NA")</f>
        <v>NA</v>
      </c>
      <c r="D153" s="14"/>
      <c r="E153" s="12">
        <v>0.0</v>
      </c>
      <c r="F153" s="13" t="str">
        <f>IFERROR(E153/E446, "NA")</f>
        <v>NA</v>
      </c>
      <c r="G153" s="14"/>
      <c r="H153" s="15">
        <f t="shared" ref="H153:H158" si="41">IFERROR(-(B153-E153), "NA")</f>
        <v>0</v>
      </c>
      <c r="I153" s="13" t="str">
        <f>IFERROR(H153/H446, "NA")</f>
        <v>NA</v>
      </c>
      <c r="J153" s="14"/>
      <c r="K153" s="12">
        <v>0.0</v>
      </c>
      <c r="L153" s="13" t="str">
        <f>IFERROR(K153/K446, "NA")</f>
        <v>NA</v>
      </c>
      <c r="M153" s="14"/>
      <c r="N153" s="15">
        <f t="shared" ref="N153:N158" si="42">IFERROR(-(B153-K153), "NA")</f>
        <v>0</v>
      </c>
      <c r="O153" s="13" t="str">
        <f>IFERROR(N153/N446, "NA")</f>
        <v>NA</v>
      </c>
      <c r="P153" s="14"/>
      <c r="Q153" s="12">
        <v>0.0</v>
      </c>
      <c r="R153" s="13" t="str">
        <f>IFERROR(Q153/Q446, "NA")</f>
        <v>NA</v>
      </c>
      <c r="S153" s="14"/>
      <c r="T153" s="12">
        <v>0.0</v>
      </c>
      <c r="U153" s="13" t="str">
        <f>IFERROR(T153/T446, "NA")</f>
        <v>NA</v>
      </c>
      <c r="V153" s="14"/>
      <c r="W153" s="15">
        <f t="shared" ref="W153:W158" si="43">IFERROR(-(Q153-T153), "NA")</f>
        <v>0</v>
      </c>
      <c r="X153" s="13" t="str">
        <f>IFERROR(W153/W446, "NA")</f>
        <v>NA</v>
      </c>
      <c r="Y153" s="14"/>
      <c r="Z153" s="12">
        <v>0.0</v>
      </c>
      <c r="AA153" s="13" t="str">
        <f>IFERROR(Z153/Z446, "NA")</f>
        <v>NA</v>
      </c>
      <c r="AB153" s="14"/>
      <c r="AC153" s="15">
        <f t="shared" ref="AC153:AC158" si="44">IFERROR(-(Q153-Z153), "NA")</f>
        <v>0</v>
      </c>
      <c r="AD153" s="13" t="str">
        <f>IFERROR(AC153/AC446, "NA")</f>
        <v>NA</v>
      </c>
    </row>
    <row r="154" ht="16.5" hidden="1" customHeight="1">
      <c r="A154" s="11" t="s">
        <v>146</v>
      </c>
      <c r="B154" s="12">
        <v>0.0</v>
      </c>
      <c r="C154" s="13" t="str">
        <f>IFERROR(B154/B446, "NA")</f>
        <v>NA</v>
      </c>
      <c r="D154" s="14"/>
      <c r="E154" s="12">
        <v>0.0</v>
      </c>
      <c r="F154" s="13" t="str">
        <f>IFERROR(E154/E446, "NA")</f>
        <v>NA</v>
      </c>
      <c r="G154" s="14"/>
      <c r="H154" s="15">
        <f t="shared" si="41"/>
        <v>0</v>
      </c>
      <c r="I154" s="13" t="str">
        <f>IFERROR(H154/H446, "NA")</f>
        <v>NA</v>
      </c>
      <c r="J154" s="14"/>
      <c r="K154" s="12">
        <v>0.0</v>
      </c>
      <c r="L154" s="13" t="str">
        <f>IFERROR(K154/K446, "NA")</f>
        <v>NA</v>
      </c>
      <c r="M154" s="14"/>
      <c r="N154" s="15">
        <f t="shared" si="42"/>
        <v>0</v>
      </c>
      <c r="O154" s="13" t="str">
        <f>IFERROR(N154/N446, "NA")</f>
        <v>NA</v>
      </c>
      <c r="P154" s="14"/>
      <c r="Q154" s="12">
        <v>0.0</v>
      </c>
      <c r="R154" s="13" t="str">
        <f>IFERROR(Q154/Q446, "NA")</f>
        <v>NA</v>
      </c>
      <c r="S154" s="14"/>
      <c r="T154" s="12">
        <v>0.0</v>
      </c>
      <c r="U154" s="13" t="str">
        <f>IFERROR(T154/T446, "NA")</f>
        <v>NA</v>
      </c>
      <c r="V154" s="14"/>
      <c r="W154" s="15">
        <f t="shared" si="43"/>
        <v>0</v>
      </c>
      <c r="X154" s="13" t="str">
        <f>IFERROR(W154/W446, "NA")</f>
        <v>NA</v>
      </c>
      <c r="Y154" s="14"/>
      <c r="Z154" s="12">
        <v>0.0</v>
      </c>
      <c r="AA154" s="13" t="str">
        <f>IFERROR(Z154/Z446, "NA")</f>
        <v>NA</v>
      </c>
      <c r="AB154" s="14"/>
      <c r="AC154" s="15">
        <f t="shared" si="44"/>
        <v>0</v>
      </c>
      <c r="AD154" s="13" t="str">
        <f>IFERROR(AC154/AC446, "NA")</f>
        <v>NA</v>
      </c>
    </row>
    <row r="155" ht="16.5" hidden="1" customHeight="1">
      <c r="A155" s="11" t="s">
        <v>147</v>
      </c>
      <c r="B155" s="12">
        <v>0.0</v>
      </c>
      <c r="C155" s="13" t="str">
        <f>IFERROR(B155/B446, "NA")</f>
        <v>NA</v>
      </c>
      <c r="D155" s="14"/>
      <c r="E155" s="12">
        <v>0.0</v>
      </c>
      <c r="F155" s="13" t="str">
        <f>IFERROR(E155/E446, "NA")</f>
        <v>NA</v>
      </c>
      <c r="G155" s="14"/>
      <c r="H155" s="15">
        <f t="shared" si="41"/>
        <v>0</v>
      </c>
      <c r="I155" s="13" t="str">
        <f>IFERROR(H155/H446, "NA")</f>
        <v>NA</v>
      </c>
      <c r="J155" s="14"/>
      <c r="K155" s="12">
        <v>0.0</v>
      </c>
      <c r="L155" s="13" t="str">
        <f>IFERROR(K155/K446, "NA")</f>
        <v>NA</v>
      </c>
      <c r="M155" s="14"/>
      <c r="N155" s="15">
        <f t="shared" si="42"/>
        <v>0</v>
      </c>
      <c r="O155" s="13" t="str">
        <f>IFERROR(N155/N446, "NA")</f>
        <v>NA</v>
      </c>
      <c r="P155" s="14"/>
      <c r="Q155" s="12">
        <v>0.0</v>
      </c>
      <c r="R155" s="13" t="str">
        <f>IFERROR(Q155/Q446, "NA")</f>
        <v>NA</v>
      </c>
      <c r="S155" s="14"/>
      <c r="T155" s="12">
        <v>0.0</v>
      </c>
      <c r="U155" s="13" t="str">
        <f>IFERROR(T155/T446, "NA")</f>
        <v>NA</v>
      </c>
      <c r="V155" s="14"/>
      <c r="W155" s="15">
        <f t="shared" si="43"/>
        <v>0</v>
      </c>
      <c r="X155" s="13" t="str">
        <f>IFERROR(W155/W446, "NA")</f>
        <v>NA</v>
      </c>
      <c r="Y155" s="14"/>
      <c r="Z155" s="12">
        <v>0.0</v>
      </c>
      <c r="AA155" s="13" t="str">
        <f>IFERROR(Z155/Z446, "NA")</f>
        <v>NA</v>
      </c>
      <c r="AB155" s="14"/>
      <c r="AC155" s="15">
        <f t="shared" si="44"/>
        <v>0</v>
      </c>
      <c r="AD155" s="13" t="str">
        <f>IFERROR(AC155/AC446, "NA")</f>
        <v>NA</v>
      </c>
    </row>
    <row r="156" ht="16.5" hidden="1" customHeight="1">
      <c r="A156" s="11" t="s">
        <v>148</v>
      </c>
      <c r="B156" s="12">
        <v>0.0</v>
      </c>
      <c r="C156" s="13" t="str">
        <f>IFERROR(B156/B446, "NA")</f>
        <v>NA</v>
      </c>
      <c r="D156" s="14"/>
      <c r="E156" s="12">
        <v>0.0</v>
      </c>
      <c r="F156" s="13" t="str">
        <f>IFERROR(E156/E446, "NA")</f>
        <v>NA</v>
      </c>
      <c r="G156" s="14"/>
      <c r="H156" s="15">
        <f t="shared" si="41"/>
        <v>0</v>
      </c>
      <c r="I156" s="13" t="str">
        <f>IFERROR(H156/H446, "NA")</f>
        <v>NA</v>
      </c>
      <c r="J156" s="14"/>
      <c r="K156" s="12">
        <v>0.0</v>
      </c>
      <c r="L156" s="13" t="str">
        <f>IFERROR(K156/K446, "NA")</f>
        <v>NA</v>
      </c>
      <c r="M156" s="14"/>
      <c r="N156" s="15">
        <f t="shared" si="42"/>
        <v>0</v>
      </c>
      <c r="O156" s="13" t="str">
        <f>IFERROR(N156/N446, "NA")</f>
        <v>NA</v>
      </c>
      <c r="P156" s="14"/>
      <c r="Q156" s="12">
        <v>0.0</v>
      </c>
      <c r="R156" s="13" t="str">
        <f>IFERROR(Q156/Q446, "NA")</f>
        <v>NA</v>
      </c>
      <c r="S156" s="14"/>
      <c r="T156" s="12">
        <v>0.0</v>
      </c>
      <c r="U156" s="13" t="str">
        <f>IFERROR(T156/T446, "NA")</f>
        <v>NA</v>
      </c>
      <c r="V156" s="14"/>
      <c r="W156" s="15">
        <f t="shared" si="43"/>
        <v>0</v>
      </c>
      <c r="X156" s="13" t="str">
        <f>IFERROR(W156/W446, "NA")</f>
        <v>NA</v>
      </c>
      <c r="Y156" s="14"/>
      <c r="Z156" s="12">
        <v>0.0</v>
      </c>
      <c r="AA156" s="13" t="str">
        <f>IFERROR(Z156/Z446, "NA")</f>
        <v>NA</v>
      </c>
      <c r="AB156" s="14"/>
      <c r="AC156" s="15">
        <f t="shared" si="44"/>
        <v>0</v>
      </c>
      <c r="AD156" s="13" t="str">
        <f>IFERROR(AC156/AC446, "NA")</f>
        <v>NA</v>
      </c>
    </row>
    <row r="157" ht="16.5" hidden="1" customHeight="1">
      <c r="A157" s="11" t="s">
        <v>149</v>
      </c>
      <c r="B157" s="12">
        <v>0.0</v>
      </c>
      <c r="C157" s="13" t="str">
        <f>IFERROR(B157/B446, "NA")</f>
        <v>NA</v>
      </c>
      <c r="D157" s="14"/>
      <c r="E157" s="12">
        <v>0.0</v>
      </c>
      <c r="F157" s="13" t="str">
        <f>IFERROR(E157/E446, "NA")</f>
        <v>NA</v>
      </c>
      <c r="G157" s="14"/>
      <c r="H157" s="15">
        <f t="shared" si="41"/>
        <v>0</v>
      </c>
      <c r="I157" s="13" t="str">
        <f>IFERROR(H157/H446, "NA")</f>
        <v>NA</v>
      </c>
      <c r="J157" s="14"/>
      <c r="K157" s="12">
        <v>0.0</v>
      </c>
      <c r="L157" s="13" t="str">
        <f>IFERROR(K157/K446, "NA")</f>
        <v>NA</v>
      </c>
      <c r="M157" s="14"/>
      <c r="N157" s="15">
        <f t="shared" si="42"/>
        <v>0</v>
      </c>
      <c r="O157" s="13" t="str">
        <f>IFERROR(N157/N446, "NA")</f>
        <v>NA</v>
      </c>
      <c r="P157" s="14"/>
      <c r="Q157" s="12">
        <v>0.0</v>
      </c>
      <c r="R157" s="13" t="str">
        <f>IFERROR(Q157/Q446, "NA")</f>
        <v>NA</v>
      </c>
      <c r="S157" s="14"/>
      <c r="T157" s="12">
        <v>0.0</v>
      </c>
      <c r="U157" s="13" t="str">
        <f>IFERROR(T157/T446, "NA")</f>
        <v>NA</v>
      </c>
      <c r="V157" s="14"/>
      <c r="W157" s="15">
        <f t="shared" si="43"/>
        <v>0</v>
      </c>
      <c r="X157" s="13" t="str">
        <f>IFERROR(W157/W446, "NA")</f>
        <v>NA</v>
      </c>
      <c r="Y157" s="14"/>
      <c r="Z157" s="12">
        <v>0.0</v>
      </c>
      <c r="AA157" s="13" t="str">
        <f>IFERROR(Z157/Z446, "NA")</f>
        <v>NA</v>
      </c>
      <c r="AB157" s="14"/>
      <c r="AC157" s="15">
        <f t="shared" si="44"/>
        <v>0</v>
      </c>
      <c r="AD157" s="13" t="str">
        <f>IFERROR(AC157/AC446, "NA")</f>
        <v>NA</v>
      </c>
    </row>
    <row r="158" ht="16.5" customHeight="1">
      <c r="A158" s="16" t="s">
        <v>150</v>
      </c>
      <c r="B158" s="17">
        <f>IFERROR(B153+B154+B155+B156+B157, "NA")</f>
        <v>0</v>
      </c>
      <c r="C158" s="18" t="str">
        <f>IFERROR(B158/B446, "NA")</f>
        <v>NA</v>
      </c>
      <c r="D158" s="8"/>
      <c r="E158" s="17">
        <f>IFERROR(E153+E154+E155+E156+E157, "NA")</f>
        <v>0</v>
      </c>
      <c r="F158" s="18" t="str">
        <f>IFERROR(E158/E446, "NA")</f>
        <v>NA</v>
      </c>
      <c r="G158" s="8"/>
      <c r="H158" s="17">
        <f t="shared" si="41"/>
        <v>0</v>
      </c>
      <c r="I158" s="18" t="str">
        <f>IFERROR(H158/H446, "NA")</f>
        <v>NA</v>
      </c>
      <c r="J158" s="8"/>
      <c r="K158" s="17">
        <f>IFERROR(K153+K154+K155+K156+K157, "NA")</f>
        <v>0</v>
      </c>
      <c r="L158" s="18" t="str">
        <f>IFERROR(K158/K446, "NA")</f>
        <v>NA</v>
      </c>
      <c r="M158" s="8"/>
      <c r="N158" s="17">
        <f t="shared" si="42"/>
        <v>0</v>
      </c>
      <c r="O158" s="18" t="str">
        <f>IFERROR(N158/N446, "NA")</f>
        <v>NA</v>
      </c>
      <c r="P158" s="8"/>
      <c r="Q158" s="17">
        <f>IFERROR(Q153+Q154+Q155+Q156+Q157, "NA")</f>
        <v>0</v>
      </c>
      <c r="R158" s="18" t="str">
        <f>IFERROR(Q158/Q446, "NA")</f>
        <v>NA</v>
      </c>
      <c r="S158" s="8"/>
      <c r="T158" s="17">
        <f>IFERROR(T153+T154+T155+T156+T157, "NA")</f>
        <v>0</v>
      </c>
      <c r="U158" s="18" t="str">
        <f>IFERROR(T158/T446, "NA")</f>
        <v>NA</v>
      </c>
      <c r="V158" s="8"/>
      <c r="W158" s="17">
        <f t="shared" si="43"/>
        <v>0</v>
      </c>
      <c r="X158" s="18" t="str">
        <f>IFERROR(W158/W446, "NA")</f>
        <v>NA</v>
      </c>
      <c r="Y158" s="8"/>
      <c r="Z158" s="17">
        <f>IFERROR(Z153+Z154+Z155+Z156+Z157, "NA")</f>
        <v>0</v>
      </c>
      <c r="AA158" s="18" t="str">
        <f>IFERROR(Z158/Z446, "NA")</f>
        <v>NA</v>
      </c>
      <c r="AB158" s="8"/>
      <c r="AC158" s="17">
        <f t="shared" si="44"/>
        <v>0</v>
      </c>
      <c r="AD158" s="18" t="str">
        <f>IFERROR(AC158/AC446, "NA")</f>
        <v>NA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 t="str">
        <f>IFERROR(B160/B446, "NA")</f>
        <v>NA</v>
      </c>
      <c r="D160" s="14"/>
      <c r="E160" s="12">
        <v>0.0</v>
      </c>
      <c r="F160" s="13" t="str">
        <f>IFERROR(E160/E446, "NA")</f>
        <v>NA</v>
      </c>
      <c r="G160" s="14"/>
      <c r="H160" s="15">
        <f t="shared" ref="H160:H171" si="45">IFERROR(-(B160-E160), "NA")</f>
        <v>0</v>
      </c>
      <c r="I160" s="13" t="str">
        <f>IFERROR(H160/H446, "NA")</f>
        <v>NA</v>
      </c>
      <c r="J160" s="14"/>
      <c r="K160" s="12">
        <v>0.0</v>
      </c>
      <c r="L160" s="13" t="str">
        <f>IFERROR(K160/K446, "NA")</f>
        <v>NA</v>
      </c>
      <c r="M160" s="14"/>
      <c r="N160" s="15">
        <f t="shared" ref="N160:N171" si="46">IFERROR(-(B160-K160), "NA")</f>
        <v>0</v>
      </c>
      <c r="O160" s="13" t="str">
        <f>IFERROR(N160/N446, "NA")</f>
        <v>NA</v>
      </c>
      <c r="P160" s="14"/>
      <c r="Q160" s="12">
        <v>0.0</v>
      </c>
      <c r="R160" s="13" t="str">
        <f>IFERROR(Q160/Q446, "NA")</f>
        <v>NA</v>
      </c>
      <c r="S160" s="14"/>
      <c r="T160" s="12">
        <v>0.0</v>
      </c>
      <c r="U160" s="13" t="str">
        <f>IFERROR(T160/T446, "NA")</f>
        <v>NA</v>
      </c>
      <c r="V160" s="14"/>
      <c r="W160" s="15">
        <f t="shared" ref="W160:W171" si="47">IFERROR(-(Q160-T160), "NA")</f>
        <v>0</v>
      </c>
      <c r="X160" s="13" t="str">
        <f>IFERROR(W160/W446, "NA")</f>
        <v>NA</v>
      </c>
      <c r="Y160" s="14"/>
      <c r="Z160" s="12">
        <v>0.0</v>
      </c>
      <c r="AA160" s="13" t="str">
        <f>IFERROR(Z160/Z446, "NA")</f>
        <v>NA</v>
      </c>
      <c r="AB160" s="14"/>
      <c r="AC160" s="15">
        <f t="shared" ref="AC160:AC171" si="48">IFERROR(-(Q160-Z160), "NA")</f>
        <v>0</v>
      </c>
      <c r="AD160" s="13" t="str">
        <f>IFERROR(AC160/AC446, "NA")</f>
        <v>NA</v>
      </c>
    </row>
    <row r="161" ht="16.5" hidden="1" customHeight="1">
      <c r="A161" s="11" t="s">
        <v>152</v>
      </c>
      <c r="B161" s="12">
        <v>0.0</v>
      </c>
      <c r="C161" s="13" t="str">
        <f>IFERROR(B161/B446, "NA")</f>
        <v>NA</v>
      </c>
      <c r="D161" s="14"/>
      <c r="E161" s="12">
        <v>0.0</v>
      </c>
      <c r="F161" s="13" t="str">
        <f>IFERROR(E161/E446, "NA")</f>
        <v>NA</v>
      </c>
      <c r="G161" s="14"/>
      <c r="H161" s="15">
        <f t="shared" si="45"/>
        <v>0</v>
      </c>
      <c r="I161" s="13" t="str">
        <f>IFERROR(H161/H446, "NA")</f>
        <v>NA</v>
      </c>
      <c r="J161" s="14"/>
      <c r="K161" s="12">
        <v>0.0</v>
      </c>
      <c r="L161" s="13" t="str">
        <f>IFERROR(K161/K446, "NA")</f>
        <v>NA</v>
      </c>
      <c r="M161" s="14"/>
      <c r="N161" s="15">
        <f t="shared" si="46"/>
        <v>0</v>
      </c>
      <c r="O161" s="13" t="str">
        <f>IFERROR(N161/N446, "NA")</f>
        <v>NA</v>
      </c>
      <c r="P161" s="14"/>
      <c r="Q161" s="12">
        <v>0.0</v>
      </c>
      <c r="R161" s="13" t="str">
        <f>IFERROR(Q161/Q446, "NA")</f>
        <v>NA</v>
      </c>
      <c r="S161" s="14"/>
      <c r="T161" s="12">
        <v>0.0</v>
      </c>
      <c r="U161" s="13" t="str">
        <f>IFERROR(T161/T446, "NA")</f>
        <v>NA</v>
      </c>
      <c r="V161" s="14"/>
      <c r="W161" s="15">
        <f t="shared" si="47"/>
        <v>0</v>
      </c>
      <c r="X161" s="13" t="str">
        <f>IFERROR(W161/W446, "NA")</f>
        <v>NA</v>
      </c>
      <c r="Y161" s="14"/>
      <c r="Z161" s="12">
        <v>0.0</v>
      </c>
      <c r="AA161" s="13" t="str">
        <f>IFERROR(Z161/Z446, "NA")</f>
        <v>NA</v>
      </c>
      <c r="AB161" s="14"/>
      <c r="AC161" s="15">
        <f t="shared" si="48"/>
        <v>0</v>
      </c>
      <c r="AD161" s="13" t="str">
        <f>IFERROR(AC161/AC446, "NA")</f>
        <v>NA</v>
      </c>
    </row>
    <row r="162" ht="16.5" hidden="1" customHeight="1">
      <c r="A162" s="11" t="s">
        <v>153</v>
      </c>
      <c r="B162" s="12">
        <v>0.0</v>
      </c>
      <c r="C162" s="13" t="str">
        <f>IFERROR(B162/B446, "NA")</f>
        <v>NA</v>
      </c>
      <c r="D162" s="14"/>
      <c r="E162" s="12">
        <v>0.0</v>
      </c>
      <c r="F162" s="13" t="str">
        <f>IFERROR(E162/E446, "NA")</f>
        <v>NA</v>
      </c>
      <c r="G162" s="14"/>
      <c r="H162" s="15">
        <f t="shared" si="45"/>
        <v>0</v>
      </c>
      <c r="I162" s="13" t="str">
        <f>IFERROR(H162/H446, "NA")</f>
        <v>NA</v>
      </c>
      <c r="J162" s="14"/>
      <c r="K162" s="12">
        <v>0.0</v>
      </c>
      <c r="L162" s="13" t="str">
        <f>IFERROR(K162/K446, "NA")</f>
        <v>NA</v>
      </c>
      <c r="M162" s="14"/>
      <c r="N162" s="15">
        <f t="shared" si="46"/>
        <v>0</v>
      </c>
      <c r="O162" s="13" t="str">
        <f>IFERROR(N162/N446, "NA")</f>
        <v>NA</v>
      </c>
      <c r="P162" s="14"/>
      <c r="Q162" s="12">
        <v>0.0</v>
      </c>
      <c r="R162" s="13" t="str">
        <f>IFERROR(Q162/Q446, "NA")</f>
        <v>NA</v>
      </c>
      <c r="S162" s="14"/>
      <c r="T162" s="12">
        <v>0.0</v>
      </c>
      <c r="U162" s="13" t="str">
        <f>IFERROR(T162/T446, "NA")</f>
        <v>NA</v>
      </c>
      <c r="V162" s="14"/>
      <c r="W162" s="15">
        <f t="shared" si="47"/>
        <v>0</v>
      </c>
      <c r="X162" s="13" t="str">
        <f>IFERROR(W162/W446, "NA")</f>
        <v>NA</v>
      </c>
      <c r="Y162" s="14"/>
      <c r="Z162" s="12">
        <v>0.0</v>
      </c>
      <c r="AA162" s="13" t="str">
        <f>IFERROR(Z162/Z446, "NA")</f>
        <v>NA</v>
      </c>
      <c r="AB162" s="14"/>
      <c r="AC162" s="15">
        <f t="shared" si="48"/>
        <v>0</v>
      </c>
      <c r="AD162" s="13" t="str">
        <f>IFERROR(AC162/AC446, "NA")</f>
        <v>NA</v>
      </c>
    </row>
    <row r="163" ht="16.5" hidden="1" customHeight="1">
      <c r="A163" s="11" t="s">
        <v>154</v>
      </c>
      <c r="B163" s="12">
        <v>0.0</v>
      </c>
      <c r="C163" s="13" t="str">
        <f>IFERROR(B163/B446, "NA")</f>
        <v>NA</v>
      </c>
      <c r="D163" s="14"/>
      <c r="E163" s="12">
        <v>0.0</v>
      </c>
      <c r="F163" s="13" t="str">
        <f>IFERROR(E163/E446, "NA")</f>
        <v>NA</v>
      </c>
      <c r="G163" s="14"/>
      <c r="H163" s="15">
        <f t="shared" si="45"/>
        <v>0</v>
      </c>
      <c r="I163" s="13" t="str">
        <f>IFERROR(H163/H446, "NA")</f>
        <v>NA</v>
      </c>
      <c r="J163" s="14"/>
      <c r="K163" s="12">
        <v>0.0</v>
      </c>
      <c r="L163" s="13" t="str">
        <f>IFERROR(K163/K446, "NA")</f>
        <v>NA</v>
      </c>
      <c r="M163" s="14"/>
      <c r="N163" s="15">
        <f t="shared" si="46"/>
        <v>0</v>
      </c>
      <c r="O163" s="13" t="str">
        <f>IFERROR(N163/N446, "NA")</f>
        <v>NA</v>
      </c>
      <c r="P163" s="14"/>
      <c r="Q163" s="12">
        <v>0.0</v>
      </c>
      <c r="R163" s="13" t="str">
        <f>IFERROR(Q163/Q446, "NA")</f>
        <v>NA</v>
      </c>
      <c r="S163" s="14"/>
      <c r="T163" s="12">
        <v>0.0</v>
      </c>
      <c r="U163" s="13" t="str">
        <f>IFERROR(T163/T446, "NA")</f>
        <v>NA</v>
      </c>
      <c r="V163" s="14"/>
      <c r="W163" s="15">
        <f t="shared" si="47"/>
        <v>0</v>
      </c>
      <c r="X163" s="13" t="str">
        <f>IFERROR(W163/W446, "NA")</f>
        <v>NA</v>
      </c>
      <c r="Y163" s="14"/>
      <c r="Z163" s="12">
        <v>0.0</v>
      </c>
      <c r="AA163" s="13" t="str">
        <f>IFERROR(Z163/Z446, "NA")</f>
        <v>NA</v>
      </c>
      <c r="AB163" s="14"/>
      <c r="AC163" s="15">
        <f t="shared" si="48"/>
        <v>0</v>
      </c>
      <c r="AD163" s="13" t="str">
        <f>IFERROR(AC163/AC446, "NA")</f>
        <v>NA</v>
      </c>
    </row>
    <row r="164" ht="16.5" hidden="1" customHeight="1">
      <c r="A164" s="11" t="s">
        <v>155</v>
      </c>
      <c r="B164" s="12">
        <v>0.0</v>
      </c>
      <c r="C164" s="13" t="str">
        <f>IFERROR(B164/B446, "NA")</f>
        <v>NA</v>
      </c>
      <c r="D164" s="14"/>
      <c r="E164" s="12">
        <v>0.0</v>
      </c>
      <c r="F164" s="13" t="str">
        <f>IFERROR(E164/E446, "NA")</f>
        <v>NA</v>
      </c>
      <c r="G164" s="14"/>
      <c r="H164" s="15">
        <f t="shared" si="45"/>
        <v>0</v>
      </c>
      <c r="I164" s="13" t="str">
        <f>IFERROR(H164/H446, "NA")</f>
        <v>NA</v>
      </c>
      <c r="J164" s="14"/>
      <c r="K164" s="12">
        <v>0.0</v>
      </c>
      <c r="L164" s="13" t="str">
        <f>IFERROR(K164/K446, "NA")</f>
        <v>NA</v>
      </c>
      <c r="M164" s="14"/>
      <c r="N164" s="15">
        <f t="shared" si="46"/>
        <v>0</v>
      </c>
      <c r="O164" s="13" t="str">
        <f>IFERROR(N164/N446, "NA")</f>
        <v>NA</v>
      </c>
      <c r="P164" s="14"/>
      <c r="Q164" s="12">
        <v>0.0</v>
      </c>
      <c r="R164" s="13" t="str">
        <f>IFERROR(Q164/Q446, "NA")</f>
        <v>NA</v>
      </c>
      <c r="S164" s="14"/>
      <c r="T164" s="12">
        <v>0.0</v>
      </c>
      <c r="U164" s="13" t="str">
        <f>IFERROR(T164/T446, "NA")</f>
        <v>NA</v>
      </c>
      <c r="V164" s="14"/>
      <c r="W164" s="15">
        <f t="shared" si="47"/>
        <v>0</v>
      </c>
      <c r="X164" s="13" t="str">
        <f>IFERROR(W164/W446, "NA")</f>
        <v>NA</v>
      </c>
      <c r="Y164" s="14"/>
      <c r="Z164" s="12">
        <v>0.0</v>
      </c>
      <c r="AA164" s="13" t="str">
        <f>IFERROR(Z164/Z446, "NA")</f>
        <v>NA</v>
      </c>
      <c r="AB164" s="14"/>
      <c r="AC164" s="15">
        <f t="shared" si="48"/>
        <v>0</v>
      </c>
      <c r="AD164" s="13" t="str">
        <f>IFERROR(AC164/AC446, "NA")</f>
        <v>NA</v>
      </c>
    </row>
    <row r="165" ht="16.5" hidden="1" customHeight="1">
      <c r="A165" s="11" t="s">
        <v>156</v>
      </c>
      <c r="B165" s="12">
        <v>0.0</v>
      </c>
      <c r="C165" s="13" t="str">
        <f>IFERROR(B165/B446, "NA")</f>
        <v>NA</v>
      </c>
      <c r="D165" s="14"/>
      <c r="E165" s="12">
        <v>0.0</v>
      </c>
      <c r="F165" s="13" t="str">
        <f>IFERROR(E165/E446, "NA")</f>
        <v>NA</v>
      </c>
      <c r="G165" s="14"/>
      <c r="H165" s="15">
        <f t="shared" si="45"/>
        <v>0</v>
      </c>
      <c r="I165" s="13" t="str">
        <f>IFERROR(H165/H446, "NA")</f>
        <v>NA</v>
      </c>
      <c r="J165" s="14"/>
      <c r="K165" s="12">
        <v>0.0</v>
      </c>
      <c r="L165" s="13" t="str">
        <f>IFERROR(K165/K446, "NA")</f>
        <v>NA</v>
      </c>
      <c r="M165" s="14"/>
      <c r="N165" s="15">
        <f t="shared" si="46"/>
        <v>0</v>
      </c>
      <c r="O165" s="13" t="str">
        <f>IFERROR(N165/N446, "NA")</f>
        <v>NA</v>
      </c>
      <c r="P165" s="14"/>
      <c r="Q165" s="12">
        <v>0.0</v>
      </c>
      <c r="R165" s="13" t="str">
        <f>IFERROR(Q165/Q446, "NA")</f>
        <v>NA</v>
      </c>
      <c r="S165" s="14"/>
      <c r="T165" s="12">
        <v>0.0</v>
      </c>
      <c r="U165" s="13" t="str">
        <f>IFERROR(T165/T446, "NA")</f>
        <v>NA</v>
      </c>
      <c r="V165" s="14"/>
      <c r="W165" s="15">
        <f t="shared" si="47"/>
        <v>0</v>
      </c>
      <c r="X165" s="13" t="str">
        <f>IFERROR(W165/W446, "NA")</f>
        <v>NA</v>
      </c>
      <c r="Y165" s="14"/>
      <c r="Z165" s="12">
        <v>0.0</v>
      </c>
      <c r="AA165" s="13" t="str">
        <f>IFERROR(Z165/Z446, "NA")</f>
        <v>NA</v>
      </c>
      <c r="AB165" s="14"/>
      <c r="AC165" s="15">
        <f t="shared" si="48"/>
        <v>0</v>
      </c>
      <c r="AD165" s="13" t="str">
        <f>IFERROR(AC165/AC446, "NA")</f>
        <v>NA</v>
      </c>
    </row>
    <row r="166" ht="16.5" customHeight="1">
      <c r="A166" s="16" t="s">
        <v>157</v>
      </c>
      <c r="B166" s="17">
        <f>IFERROR(B160+B161+B162+B163+B164+B165, "NA")</f>
        <v>0</v>
      </c>
      <c r="C166" s="18" t="str">
        <f>IFERROR(B166/B446, "NA")</f>
        <v>NA</v>
      </c>
      <c r="D166" s="8"/>
      <c r="E166" s="17">
        <f>IFERROR(E160+E161+E162+E163+E164+E165, "NA")</f>
        <v>0</v>
      </c>
      <c r="F166" s="18" t="str">
        <f>IFERROR(E166/E446, "NA")</f>
        <v>NA</v>
      </c>
      <c r="G166" s="8"/>
      <c r="H166" s="17">
        <f t="shared" si="45"/>
        <v>0</v>
      </c>
      <c r="I166" s="18" t="str">
        <f>IFERROR(H166/H446, "NA")</f>
        <v>NA</v>
      </c>
      <c r="J166" s="8"/>
      <c r="K166" s="17">
        <f>IFERROR(K160+K161+K162+K163+K164+K165, "NA")</f>
        <v>0</v>
      </c>
      <c r="L166" s="18" t="str">
        <f>IFERROR(K166/K446, "NA")</f>
        <v>NA</v>
      </c>
      <c r="M166" s="8"/>
      <c r="N166" s="17">
        <f t="shared" si="46"/>
        <v>0</v>
      </c>
      <c r="O166" s="18" t="str">
        <f>IFERROR(N166/N446, "NA")</f>
        <v>NA</v>
      </c>
      <c r="P166" s="8"/>
      <c r="Q166" s="17">
        <f>IFERROR(Q160+Q161+Q162+Q163+Q164+Q165, "NA")</f>
        <v>0</v>
      </c>
      <c r="R166" s="18" t="str">
        <f>IFERROR(Q166/Q446, "NA")</f>
        <v>NA</v>
      </c>
      <c r="S166" s="8"/>
      <c r="T166" s="17">
        <f>IFERROR(T160+T161+T162+T163+T164+T165, "NA")</f>
        <v>0</v>
      </c>
      <c r="U166" s="18" t="str">
        <f>IFERROR(T166/T446, "NA")</f>
        <v>NA</v>
      </c>
      <c r="V166" s="8"/>
      <c r="W166" s="17">
        <f t="shared" si="47"/>
        <v>0</v>
      </c>
      <c r="X166" s="18" t="str">
        <f>IFERROR(W166/W446, "NA")</f>
        <v>NA</v>
      </c>
      <c r="Y166" s="8"/>
      <c r="Z166" s="17">
        <f>IFERROR(Z160+Z161+Z162+Z163+Z164+Z165, "NA")</f>
        <v>0</v>
      </c>
      <c r="AA166" s="18" t="str">
        <f>IFERROR(Z166/Z446, "NA")</f>
        <v>NA</v>
      </c>
      <c r="AB166" s="8"/>
      <c r="AC166" s="17">
        <f t="shared" si="48"/>
        <v>0</v>
      </c>
      <c r="AD166" s="18" t="str">
        <f>IFERROR(AC166/AC446, "NA")</f>
        <v>NA</v>
      </c>
    </row>
    <row r="167" ht="16.5" hidden="1" customHeight="1">
      <c r="A167" s="11" t="s">
        <v>158</v>
      </c>
      <c r="B167" s="12">
        <v>0.0</v>
      </c>
      <c r="C167" s="13" t="str">
        <f>IFERROR(B167/B446, "NA")</f>
        <v>NA</v>
      </c>
      <c r="D167" s="14"/>
      <c r="E167" s="12">
        <v>0.0</v>
      </c>
      <c r="F167" s="13" t="str">
        <f>IFERROR(E167/E446, "NA")</f>
        <v>NA</v>
      </c>
      <c r="G167" s="14"/>
      <c r="H167" s="15">
        <f t="shared" si="45"/>
        <v>0</v>
      </c>
      <c r="I167" s="13" t="str">
        <f>IFERROR(H167/H446, "NA")</f>
        <v>NA</v>
      </c>
      <c r="J167" s="14"/>
      <c r="K167" s="12">
        <v>0.0</v>
      </c>
      <c r="L167" s="13" t="str">
        <f>IFERROR(K167/K446, "NA")</f>
        <v>NA</v>
      </c>
      <c r="M167" s="14"/>
      <c r="N167" s="15">
        <f t="shared" si="46"/>
        <v>0</v>
      </c>
      <c r="O167" s="13" t="str">
        <f>IFERROR(N167/N446, "NA")</f>
        <v>NA</v>
      </c>
      <c r="P167" s="14"/>
      <c r="Q167" s="12">
        <v>0.0</v>
      </c>
      <c r="R167" s="13" t="str">
        <f>IFERROR(Q167/Q446, "NA")</f>
        <v>NA</v>
      </c>
      <c r="S167" s="14"/>
      <c r="T167" s="12">
        <v>0.0</v>
      </c>
      <c r="U167" s="13" t="str">
        <f>IFERROR(T167/T446, "NA")</f>
        <v>NA</v>
      </c>
      <c r="V167" s="14"/>
      <c r="W167" s="15">
        <f t="shared" si="47"/>
        <v>0</v>
      </c>
      <c r="X167" s="13" t="str">
        <f>IFERROR(W167/W446, "NA")</f>
        <v>NA</v>
      </c>
      <c r="Y167" s="14"/>
      <c r="Z167" s="12">
        <v>0.0</v>
      </c>
      <c r="AA167" s="13" t="str">
        <f>IFERROR(Z167/Z446, "NA")</f>
        <v>NA</v>
      </c>
      <c r="AB167" s="14"/>
      <c r="AC167" s="15">
        <f t="shared" si="48"/>
        <v>0</v>
      </c>
      <c r="AD167" s="13" t="str">
        <f>IFERROR(AC167/AC446, "NA")</f>
        <v>NA</v>
      </c>
    </row>
    <row r="168" ht="16.5" hidden="1" customHeight="1">
      <c r="A168" s="11" t="s">
        <v>159</v>
      </c>
      <c r="B168" s="12">
        <v>0.0</v>
      </c>
      <c r="C168" s="13" t="str">
        <f>IFERROR(B168/B446, "NA")</f>
        <v>NA</v>
      </c>
      <c r="D168" s="14"/>
      <c r="E168" s="12">
        <v>0.0</v>
      </c>
      <c r="F168" s="13" t="str">
        <f>IFERROR(E168/E446, "NA")</f>
        <v>NA</v>
      </c>
      <c r="G168" s="14"/>
      <c r="H168" s="15">
        <f t="shared" si="45"/>
        <v>0</v>
      </c>
      <c r="I168" s="13" t="str">
        <f>IFERROR(H168/H446, "NA")</f>
        <v>NA</v>
      </c>
      <c r="J168" s="14"/>
      <c r="K168" s="12">
        <v>0.0</v>
      </c>
      <c r="L168" s="13" t="str">
        <f>IFERROR(K168/K446, "NA")</f>
        <v>NA</v>
      </c>
      <c r="M168" s="14"/>
      <c r="N168" s="15">
        <f t="shared" si="46"/>
        <v>0</v>
      </c>
      <c r="O168" s="13" t="str">
        <f>IFERROR(N168/N446, "NA")</f>
        <v>NA</v>
      </c>
      <c r="P168" s="14"/>
      <c r="Q168" s="12">
        <v>0.0</v>
      </c>
      <c r="R168" s="13" t="str">
        <f>IFERROR(Q168/Q446, "NA")</f>
        <v>NA</v>
      </c>
      <c r="S168" s="14"/>
      <c r="T168" s="12">
        <v>0.0</v>
      </c>
      <c r="U168" s="13" t="str">
        <f>IFERROR(T168/T446, "NA")</f>
        <v>NA</v>
      </c>
      <c r="V168" s="14"/>
      <c r="W168" s="15">
        <f t="shared" si="47"/>
        <v>0</v>
      </c>
      <c r="X168" s="13" t="str">
        <f>IFERROR(W168/W446, "NA")</f>
        <v>NA</v>
      </c>
      <c r="Y168" s="14"/>
      <c r="Z168" s="12">
        <v>0.0</v>
      </c>
      <c r="AA168" s="13" t="str">
        <f>IFERROR(Z168/Z446, "NA")</f>
        <v>NA</v>
      </c>
      <c r="AB168" s="14"/>
      <c r="AC168" s="15">
        <f t="shared" si="48"/>
        <v>0</v>
      </c>
      <c r="AD168" s="13" t="str">
        <f>IFERROR(AC168/AC446, "NA")</f>
        <v>NA</v>
      </c>
    </row>
    <row r="169" ht="16.5" hidden="1" customHeight="1">
      <c r="A169" s="11" t="s">
        <v>160</v>
      </c>
      <c r="B169" s="12">
        <v>0.0</v>
      </c>
      <c r="C169" s="13" t="str">
        <f>IFERROR(B169/B446, "NA")</f>
        <v>NA</v>
      </c>
      <c r="D169" s="14"/>
      <c r="E169" s="12">
        <v>0.0</v>
      </c>
      <c r="F169" s="13" t="str">
        <f>IFERROR(E169/E446, "NA")</f>
        <v>NA</v>
      </c>
      <c r="G169" s="14"/>
      <c r="H169" s="15">
        <f t="shared" si="45"/>
        <v>0</v>
      </c>
      <c r="I169" s="13" t="str">
        <f>IFERROR(H169/H446, "NA")</f>
        <v>NA</v>
      </c>
      <c r="J169" s="14"/>
      <c r="K169" s="12">
        <v>0.0</v>
      </c>
      <c r="L169" s="13" t="str">
        <f>IFERROR(K169/K446, "NA")</f>
        <v>NA</v>
      </c>
      <c r="M169" s="14"/>
      <c r="N169" s="15">
        <f t="shared" si="46"/>
        <v>0</v>
      </c>
      <c r="O169" s="13" t="str">
        <f>IFERROR(N169/N446, "NA")</f>
        <v>NA</v>
      </c>
      <c r="P169" s="14"/>
      <c r="Q169" s="12">
        <v>0.0</v>
      </c>
      <c r="R169" s="13" t="str">
        <f>IFERROR(Q169/Q446, "NA")</f>
        <v>NA</v>
      </c>
      <c r="S169" s="14"/>
      <c r="T169" s="12">
        <v>0.0</v>
      </c>
      <c r="U169" s="13" t="str">
        <f>IFERROR(T169/T446, "NA")</f>
        <v>NA</v>
      </c>
      <c r="V169" s="14"/>
      <c r="W169" s="15">
        <f t="shared" si="47"/>
        <v>0</v>
      </c>
      <c r="X169" s="13" t="str">
        <f>IFERROR(W169/W446, "NA")</f>
        <v>NA</v>
      </c>
      <c r="Y169" s="14"/>
      <c r="Z169" s="12">
        <v>0.0</v>
      </c>
      <c r="AA169" s="13" t="str">
        <f>IFERROR(Z169/Z446, "NA")</f>
        <v>NA</v>
      </c>
      <c r="AB169" s="14"/>
      <c r="AC169" s="15">
        <f t="shared" si="48"/>
        <v>0</v>
      </c>
      <c r="AD169" s="13" t="str">
        <f>IFERROR(AC169/AC446, "NA")</f>
        <v>NA</v>
      </c>
    </row>
    <row r="170" ht="16.5" customHeight="1">
      <c r="A170" s="16" t="s">
        <v>161</v>
      </c>
      <c r="B170" s="17">
        <f>IFERROR(B151+B153+B154+B155+B156+B157+B160+B161+B162+B163+B164+B165+B167+B168+B169, "NA")</f>
        <v>0</v>
      </c>
      <c r="C170" s="18" t="str">
        <f>IFERROR(B170/B446, "NA")</f>
        <v>NA</v>
      </c>
      <c r="D170" s="8"/>
      <c r="E170" s="17">
        <f>IFERROR(E151+E153+E154+E155+E156+E157+E160+E161+E162+E163+E164+E165+E167+E168+E169, "NA")</f>
        <v>0</v>
      </c>
      <c r="F170" s="18" t="str">
        <f>IFERROR(E170/E446, "NA")</f>
        <v>NA</v>
      </c>
      <c r="G170" s="8"/>
      <c r="H170" s="17">
        <f t="shared" si="45"/>
        <v>0</v>
      </c>
      <c r="I170" s="18" t="str">
        <f>IFERROR(H170/H446, "NA")</f>
        <v>NA</v>
      </c>
      <c r="J170" s="8"/>
      <c r="K170" s="17">
        <f>IFERROR(K151+K153+K154+K155+K156+K157+K160+K161+K162+K163+K164+K165+K167+K168+K169, "NA")</f>
        <v>0</v>
      </c>
      <c r="L170" s="18" t="str">
        <f>IFERROR(K170/K446, "NA")</f>
        <v>NA</v>
      </c>
      <c r="M170" s="8"/>
      <c r="N170" s="17">
        <f t="shared" si="46"/>
        <v>0</v>
      </c>
      <c r="O170" s="18" t="str">
        <f>IFERROR(N170/N446, "NA")</f>
        <v>NA</v>
      </c>
      <c r="P170" s="8"/>
      <c r="Q170" s="17">
        <f>IFERROR(Q151+Q153+Q154+Q155+Q156+Q157+Q160+Q161+Q162+Q163+Q164+Q165+Q167+Q168+Q169, "NA")</f>
        <v>0</v>
      </c>
      <c r="R170" s="18" t="str">
        <f>IFERROR(Q170/Q446, "NA")</f>
        <v>NA</v>
      </c>
      <c r="S170" s="8"/>
      <c r="T170" s="17">
        <f>IFERROR(T151+T153+T154+T155+T156+T157+T160+T161+T162+T163+T164+T165+T167+T168+T169, "NA")</f>
        <v>0</v>
      </c>
      <c r="U170" s="18" t="str">
        <f>IFERROR(T170/T446, "NA")</f>
        <v>NA</v>
      </c>
      <c r="V170" s="8"/>
      <c r="W170" s="17">
        <f t="shared" si="47"/>
        <v>0</v>
      </c>
      <c r="X170" s="18" t="str">
        <f>IFERROR(W170/W446, "NA")</f>
        <v>NA</v>
      </c>
      <c r="Y170" s="8"/>
      <c r="Z170" s="17">
        <f>IFERROR(Z151+Z153+Z154+Z155+Z156+Z157+Z160+Z161+Z162+Z163+Z164+Z165+Z167+Z168+Z169, "NA")</f>
        <v>0</v>
      </c>
      <c r="AA170" s="18" t="str">
        <f>IFERROR(Z170/Z446, "NA")</f>
        <v>NA</v>
      </c>
      <c r="AB170" s="8"/>
      <c r="AC170" s="17">
        <f t="shared" si="48"/>
        <v>0</v>
      </c>
      <c r="AD170" s="18" t="str">
        <f>IFERROR(AC170/AC446, "NA")</f>
        <v>NA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0</v>
      </c>
      <c r="C171" s="18" t="str">
        <f>IFERROR(B171/B446, "NA")</f>
        <v>NA</v>
      </c>
      <c r="D171" s="8"/>
      <c r="E171" s="17">
        <f>IFERROR(E127+E129+E130+E131+E132+E133+E134+E135+E136+E137+E138+E139+E140+E143+E144+E145+E146+E147+E151+E153+E154+E155+E156+E157+E160+E161+E162+E163+E164+E165+E167+E168+E169, "NA")</f>
        <v>0</v>
      </c>
      <c r="F171" s="18" t="str">
        <f>IFERROR(E171/E446, "NA")</f>
        <v>NA</v>
      </c>
      <c r="G171" s="8"/>
      <c r="H171" s="17">
        <f t="shared" si="45"/>
        <v>0</v>
      </c>
      <c r="I171" s="18" t="str">
        <f>IFERROR(H171/H446, "NA")</f>
        <v>NA</v>
      </c>
      <c r="J171" s="8"/>
      <c r="K171" s="17">
        <f>IFERROR(K127+K129+K130+K131+K132+K133+K134+K135+K136+K137+K138+K139+K140+K143+K144+K145+K146+K147+K151+K153+K154+K155+K156+K157+K160+K161+K162+K163+K164+K165+K167+K168+K169, "NA")</f>
        <v>0</v>
      </c>
      <c r="L171" s="18" t="str">
        <f>IFERROR(K171/K446, "NA")</f>
        <v>NA</v>
      </c>
      <c r="M171" s="8"/>
      <c r="N171" s="17">
        <f t="shared" si="46"/>
        <v>0</v>
      </c>
      <c r="O171" s="18" t="str">
        <f>IFERROR(N171/N446, "NA")</f>
        <v>NA</v>
      </c>
      <c r="P171" s="8"/>
      <c r="Q171" s="17">
        <f>IFERROR(Q127+Q129+Q130+Q131+Q132+Q133+Q134+Q135+Q136+Q137+Q138+Q139+Q140+Q143+Q144+Q145+Q146+Q147+Q151+Q153+Q154+Q155+Q156+Q157+Q160+Q161+Q162+Q163+Q164+Q165+Q167+Q168+Q169, "NA")</f>
        <v>0</v>
      </c>
      <c r="R171" s="18" t="str">
        <f>IFERROR(Q171/Q446, "NA")</f>
        <v>NA</v>
      </c>
      <c r="S171" s="8"/>
      <c r="T171" s="17">
        <f>IFERROR(T127+T129+T130+T131+T132+T133+T134+T135+T136+T137+T138+T139+T140+T143+T144+T145+T146+T147+T151+T153+T154+T155+T156+T157+T160+T161+T162+T163+T164+T165+T167+T168+T169, "NA")</f>
        <v>0</v>
      </c>
      <c r="U171" s="18" t="str">
        <f>IFERROR(T171/T446, "NA")</f>
        <v>NA</v>
      </c>
      <c r="V171" s="8"/>
      <c r="W171" s="17">
        <f t="shared" si="47"/>
        <v>0</v>
      </c>
      <c r="X171" s="18" t="str">
        <f>IFERROR(W171/W446, "NA")</f>
        <v>NA</v>
      </c>
      <c r="Y171" s="8"/>
      <c r="Z171" s="17">
        <f>IFERROR(Z127+Z129+Z130+Z131+Z132+Z133+Z134+Z135+Z136+Z137+Z138+Z139+Z140+Z143+Z144+Z145+Z146+Z147+Z151+Z153+Z154+Z155+Z156+Z157+Z160+Z161+Z162+Z163+Z164+Z165+Z167+Z168+Z169, "NA")</f>
        <v>0</v>
      </c>
      <c r="AA171" s="18" t="str">
        <f>IFERROR(Z171/Z446, "NA")</f>
        <v>NA</v>
      </c>
      <c r="AB171" s="8"/>
      <c r="AC171" s="17">
        <f t="shared" si="48"/>
        <v>0</v>
      </c>
      <c r="AD171" s="18" t="str">
        <f>IFERROR(AC171/AC446, "NA")</f>
        <v>NA</v>
      </c>
    </row>
    <row r="172" ht="16.5" customHeight="1">
      <c r="A172" s="19" t="s">
        <v>163</v>
      </c>
      <c r="B172" s="20">
        <f>IFERROR(B124-B171, "NA")</f>
        <v>0</v>
      </c>
      <c r="C172" s="21" t="str">
        <f>IFERROR(B172/B446, "NA")</f>
        <v>NA</v>
      </c>
      <c r="D172" s="22"/>
      <c r="E172" s="20">
        <f>IFERROR(E124-E171, "NA")</f>
        <v>0</v>
      </c>
      <c r="F172" s="21" t="str">
        <f>IFERROR(E172/E446, "NA")</f>
        <v>NA</v>
      </c>
      <c r="G172" s="22"/>
      <c r="H172" s="20">
        <f>IFERROR(B172-E172, "NA")</f>
        <v>0</v>
      </c>
      <c r="I172" s="21" t="str">
        <f>IFERROR(H172/H446, "NA")</f>
        <v>NA</v>
      </c>
      <c r="J172" s="22"/>
      <c r="K172" s="20">
        <f>IFERROR(K124-K171, "NA")</f>
        <v>0</v>
      </c>
      <c r="L172" s="21" t="str">
        <f>IFERROR(K172/K446, "NA")</f>
        <v>NA</v>
      </c>
      <c r="M172" s="22"/>
      <c r="N172" s="20">
        <f>IFERROR(B172-K172, "NA")</f>
        <v>0</v>
      </c>
      <c r="O172" s="21" t="str">
        <f>IFERROR(N172/N446, "NA")</f>
        <v>NA</v>
      </c>
      <c r="P172" s="22"/>
      <c r="Q172" s="20">
        <f>IFERROR(Q124-Q171, "NA")</f>
        <v>0</v>
      </c>
      <c r="R172" s="21" t="str">
        <f>IFERROR(Q172/Q446, "NA")</f>
        <v>NA</v>
      </c>
      <c r="S172" s="22"/>
      <c r="T172" s="20">
        <f>IFERROR(T124-T171, "NA")</f>
        <v>0</v>
      </c>
      <c r="U172" s="21" t="str">
        <f>IFERROR(T172/T446, "NA")</f>
        <v>NA</v>
      </c>
      <c r="V172" s="22"/>
      <c r="W172" s="20">
        <f>IFERROR(Q172-T172, "NA")</f>
        <v>0</v>
      </c>
      <c r="X172" s="21" t="str">
        <f>IFERROR(W172/W446, "NA")</f>
        <v>NA</v>
      </c>
      <c r="Y172" s="22"/>
      <c r="Z172" s="20">
        <f>IFERROR(Z124-Z171, "NA")</f>
        <v>0</v>
      </c>
      <c r="AA172" s="21" t="str">
        <f>IFERROR(Z172/Z446, "NA")</f>
        <v>NA</v>
      </c>
      <c r="AB172" s="22"/>
      <c r="AC172" s="20">
        <f>IFERROR(Q172-Z172, "NA")</f>
        <v>0</v>
      </c>
      <c r="AD172" s="21" t="str">
        <f>IFERROR(AC172/AC446, "NA")</f>
        <v>NA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 t="str">
        <f>IFERROR(B175/B446, "NA")</f>
        <v>NA</v>
      </c>
      <c r="D175" s="14"/>
      <c r="E175" s="12">
        <v>0.0</v>
      </c>
      <c r="F175" s="13" t="str">
        <f>IFERROR(E175/E446, "NA")</f>
        <v>NA</v>
      </c>
      <c r="G175" s="14"/>
      <c r="H175" s="15">
        <f>IFERROR(-(B175-E175), "NA")</f>
        <v>0</v>
      </c>
      <c r="I175" s="13" t="str">
        <f>IFERROR(H175/H446, "NA")</f>
        <v>NA</v>
      </c>
      <c r="J175" s="14"/>
      <c r="K175" s="12">
        <v>0.0</v>
      </c>
      <c r="L175" s="13" t="str">
        <f>IFERROR(K175/K446, "NA")</f>
        <v>NA</v>
      </c>
      <c r="M175" s="14"/>
      <c r="N175" s="15">
        <f>IFERROR(-(B175-K175), "NA")</f>
        <v>0</v>
      </c>
      <c r="O175" s="13" t="str">
        <f>IFERROR(N175/N446, "NA")</f>
        <v>NA</v>
      </c>
      <c r="P175" s="14"/>
      <c r="Q175" s="12">
        <v>0.0</v>
      </c>
      <c r="R175" s="13" t="str">
        <f>IFERROR(Q175/Q446, "NA")</f>
        <v>NA</v>
      </c>
      <c r="S175" s="14"/>
      <c r="T175" s="12">
        <v>0.0</v>
      </c>
      <c r="U175" s="13" t="str">
        <f>IFERROR(T175/T446, "NA")</f>
        <v>NA</v>
      </c>
      <c r="V175" s="14"/>
      <c r="W175" s="15">
        <f>IFERROR(-(Q175-T175), "NA")</f>
        <v>0</v>
      </c>
      <c r="X175" s="13" t="str">
        <f>IFERROR(W175/W446, "NA")</f>
        <v>NA</v>
      </c>
      <c r="Y175" s="14"/>
      <c r="Z175" s="12">
        <v>0.0</v>
      </c>
      <c r="AA175" s="13" t="str">
        <f>IFERROR(Z175/Z446, "NA")</f>
        <v>NA</v>
      </c>
      <c r="AB175" s="14"/>
      <c r="AC175" s="15">
        <f>IFERROR(-(Q175-Z175), "NA")</f>
        <v>0</v>
      </c>
      <c r="AD175" s="13" t="str">
        <f>IFERROR(AC175/AC446, "NA")</f>
        <v>NA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 t="str">
        <f>IFERROR(B177/B446, "NA")</f>
        <v>NA</v>
      </c>
      <c r="D177" s="14"/>
      <c r="E177" s="12">
        <v>0.0</v>
      </c>
      <c r="F177" s="13" t="str">
        <f>IFERROR(E177/E446, "NA")</f>
        <v>NA</v>
      </c>
      <c r="G177" s="14"/>
      <c r="H177" s="15">
        <f t="shared" ref="H177:H184" si="49">IFERROR(-(B177-E177), "NA")</f>
        <v>0</v>
      </c>
      <c r="I177" s="13" t="str">
        <f>IFERROR(H177/H446, "NA")</f>
        <v>NA</v>
      </c>
      <c r="J177" s="14"/>
      <c r="K177" s="12">
        <v>0.0</v>
      </c>
      <c r="L177" s="13" t="str">
        <f>IFERROR(K177/K446, "NA")</f>
        <v>NA</v>
      </c>
      <c r="M177" s="14"/>
      <c r="N177" s="15">
        <f t="shared" ref="N177:N184" si="50">IFERROR(-(B177-K177), "NA")</f>
        <v>0</v>
      </c>
      <c r="O177" s="13" t="str">
        <f>IFERROR(N177/N446, "NA")</f>
        <v>NA</v>
      </c>
      <c r="P177" s="14"/>
      <c r="Q177" s="12">
        <v>0.0</v>
      </c>
      <c r="R177" s="13" t="str">
        <f>IFERROR(Q177/Q446, "NA")</f>
        <v>NA</v>
      </c>
      <c r="S177" s="14"/>
      <c r="T177" s="12">
        <v>0.0</v>
      </c>
      <c r="U177" s="13" t="str">
        <f>IFERROR(T177/T446, "NA")</f>
        <v>NA</v>
      </c>
      <c r="V177" s="14"/>
      <c r="W177" s="15">
        <f t="shared" ref="W177:W184" si="51">IFERROR(-(Q177-T177), "NA")</f>
        <v>0</v>
      </c>
      <c r="X177" s="13" t="str">
        <f>IFERROR(W177/W446, "NA")</f>
        <v>NA</v>
      </c>
      <c r="Y177" s="14"/>
      <c r="Z177" s="12">
        <v>0.0</v>
      </c>
      <c r="AA177" s="13" t="str">
        <f>IFERROR(Z177/Z446, "NA")</f>
        <v>NA</v>
      </c>
      <c r="AB177" s="14"/>
      <c r="AC177" s="15">
        <f t="shared" ref="AC177:AC184" si="52">IFERROR(-(Q177-Z177), "NA")</f>
        <v>0</v>
      </c>
      <c r="AD177" s="13" t="str">
        <f>IFERROR(AC177/AC446, "NA")</f>
        <v>NA</v>
      </c>
    </row>
    <row r="178" ht="16.5" hidden="1" customHeight="1">
      <c r="A178" s="11" t="s">
        <v>166</v>
      </c>
      <c r="B178" s="12">
        <v>0.0</v>
      </c>
      <c r="C178" s="13" t="str">
        <f>IFERROR(B178/B446, "NA")</f>
        <v>NA</v>
      </c>
      <c r="D178" s="14"/>
      <c r="E178" s="12">
        <v>0.0</v>
      </c>
      <c r="F178" s="13" t="str">
        <f>IFERROR(E178/E446, "NA")</f>
        <v>NA</v>
      </c>
      <c r="G178" s="14"/>
      <c r="H178" s="15">
        <f t="shared" si="49"/>
        <v>0</v>
      </c>
      <c r="I178" s="13" t="str">
        <f>IFERROR(H178/H446, "NA")</f>
        <v>NA</v>
      </c>
      <c r="J178" s="14"/>
      <c r="K178" s="12">
        <v>0.0</v>
      </c>
      <c r="L178" s="13" t="str">
        <f>IFERROR(K178/K446, "NA")</f>
        <v>NA</v>
      </c>
      <c r="M178" s="14"/>
      <c r="N178" s="15">
        <f t="shared" si="50"/>
        <v>0</v>
      </c>
      <c r="O178" s="13" t="str">
        <f>IFERROR(N178/N446, "NA")</f>
        <v>NA</v>
      </c>
      <c r="P178" s="14"/>
      <c r="Q178" s="12">
        <v>0.0</v>
      </c>
      <c r="R178" s="13" t="str">
        <f>IFERROR(Q178/Q446, "NA")</f>
        <v>NA</v>
      </c>
      <c r="S178" s="14"/>
      <c r="T178" s="12">
        <v>0.0</v>
      </c>
      <c r="U178" s="13" t="str">
        <f>IFERROR(T178/T446, "NA")</f>
        <v>NA</v>
      </c>
      <c r="V178" s="14"/>
      <c r="W178" s="15">
        <f t="shared" si="51"/>
        <v>0</v>
      </c>
      <c r="X178" s="13" t="str">
        <f>IFERROR(W178/W446, "NA")</f>
        <v>NA</v>
      </c>
      <c r="Y178" s="14"/>
      <c r="Z178" s="12">
        <v>0.0</v>
      </c>
      <c r="AA178" s="13" t="str">
        <f>IFERROR(Z178/Z446, "NA")</f>
        <v>NA</v>
      </c>
      <c r="AB178" s="14"/>
      <c r="AC178" s="15">
        <f t="shared" si="52"/>
        <v>0</v>
      </c>
      <c r="AD178" s="13" t="str">
        <f>IFERROR(AC178/AC446, "NA")</f>
        <v>NA</v>
      </c>
    </row>
    <row r="179" ht="16.5" hidden="1" customHeight="1">
      <c r="A179" s="11" t="s">
        <v>167</v>
      </c>
      <c r="B179" s="12">
        <v>0.0</v>
      </c>
      <c r="C179" s="13" t="str">
        <f>IFERROR(B179/B446, "NA")</f>
        <v>NA</v>
      </c>
      <c r="D179" s="14"/>
      <c r="E179" s="12">
        <v>0.0</v>
      </c>
      <c r="F179" s="13" t="str">
        <f>IFERROR(E179/E446, "NA")</f>
        <v>NA</v>
      </c>
      <c r="G179" s="14"/>
      <c r="H179" s="15">
        <f t="shared" si="49"/>
        <v>0</v>
      </c>
      <c r="I179" s="13" t="str">
        <f>IFERROR(H179/H446, "NA")</f>
        <v>NA</v>
      </c>
      <c r="J179" s="14"/>
      <c r="K179" s="12">
        <v>0.0</v>
      </c>
      <c r="L179" s="13" t="str">
        <f>IFERROR(K179/K446, "NA")</f>
        <v>NA</v>
      </c>
      <c r="M179" s="14"/>
      <c r="N179" s="15">
        <f t="shared" si="50"/>
        <v>0</v>
      </c>
      <c r="O179" s="13" t="str">
        <f>IFERROR(N179/N446, "NA")</f>
        <v>NA</v>
      </c>
      <c r="P179" s="14"/>
      <c r="Q179" s="12">
        <v>0.0</v>
      </c>
      <c r="R179" s="13" t="str">
        <f>IFERROR(Q179/Q446, "NA")</f>
        <v>NA</v>
      </c>
      <c r="S179" s="14"/>
      <c r="T179" s="12">
        <v>0.0</v>
      </c>
      <c r="U179" s="13" t="str">
        <f>IFERROR(T179/T446, "NA")</f>
        <v>NA</v>
      </c>
      <c r="V179" s="14"/>
      <c r="W179" s="15">
        <f t="shared" si="51"/>
        <v>0</v>
      </c>
      <c r="X179" s="13" t="str">
        <f>IFERROR(W179/W446, "NA")</f>
        <v>NA</v>
      </c>
      <c r="Y179" s="14"/>
      <c r="Z179" s="12">
        <v>0.0</v>
      </c>
      <c r="AA179" s="13" t="str">
        <f>IFERROR(Z179/Z446, "NA")</f>
        <v>NA</v>
      </c>
      <c r="AB179" s="14"/>
      <c r="AC179" s="15">
        <f t="shared" si="52"/>
        <v>0</v>
      </c>
      <c r="AD179" s="13" t="str">
        <f>IFERROR(AC179/AC446, "NA")</f>
        <v>NA</v>
      </c>
    </row>
    <row r="180" ht="16.5" hidden="1" customHeight="1">
      <c r="A180" s="11" t="s">
        <v>168</v>
      </c>
      <c r="B180" s="12">
        <v>0.0</v>
      </c>
      <c r="C180" s="13" t="str">
        <f>IFERROR(B180/B446, "NA")</f>
        <v>NA</v>
      </c>
      <c r="D180" s="14"/>
      <c r="E180" s="12">
        <v>0.0</v>
      </c>
      <c r="F180" s="13" t="str">
        <f>IFERROR(E180/E446, "NA")</f>
        <v>NA</v>
      </c>
      <c r="G180" s="14"/>
      <c r="H180" s="15">
        <f t="shared" si="49"/>
        <v>0</v>
      </c>
      <c r="I180" s="13" t="str">
        <f>IFERROR(H180/H446, "NA")</f>
        <v>NA</v>
      </c>
      <c r="J180" s="14"/>
      <c r="K180" s="12">
        <v>0.0</v>
      </c>
      <c r="L180" s="13" t="str">
        <f>IFERROR(K180/K446, "NA")</f>
        <v>NA</v>
      </c>
      <c r="M180" s="14"/>
      <c r="N180" s="15">
        <f t="shared" si="50"/>
        <v>0</v>
      </c>
      <c r="O180" s="13" t="str">
        <f>IFERROR(N180/N446, "NA")</f>
        <v>NA</v>
      </c>
      <c r="P180" s="14"/>
      <c r="Q180" s="12">
        <v>0.0</v>
      </c>
      <c r="R180" s="13" t="str">
        <f>IFERROR(Q180/Q446, "NA")</f>
        <v>NA</v>
      </c>
      <c r="S180" s="14"/>
      <c r="T180" s="12">
        <v>0.0</v>
      </c>
      <c r="U180" s="13" t="str">
        <f>IFERROR(T180/T446, "NA")</f>
        <v>NA</v>
      </c>
      <c r="V180" s="14"/>
      <c r="W180" s="15">
        <f t="shared" si="51"/>
        <v>0</v>
      </c>
      <c r="X180" s="13" t="str">
        <f>IFERROR(W180/W446, "NA")</f>
        <v>NA</v>
      </c>
      <c r="Y180" s="14"/>
      <c r="Z180" s="12">
        <v>0.0</v>
      </c>
      <c r="AA180" s="13" t="str">
        <f>IFERROR(Z180/Z446, "NA")</f>
        <v>NA</v>
      </c>
      <c r="AB180" s="14"/>
      <c r="AC180" s="15">
        <f t="shared" si="52"/>
        <v>0</v>
      </c>
      <c r="AD180" s="13" t="str">
        <f>IFERROR(AC180/AC446, "NA")</f>
        <v>NA</v>
      </c>
    </row>
    <row r="181" ht="16.5" hidden="1" customHeight="1">
      <c r="A181" s="11" t="s">
        <v>169</v>
      </c>
      <c r="B181" s="12">
        <v>0.0</v>
      </c>
      <c r="C181" s="13" t="str">
        <f>IFERROR(B181/B446, "NA")</f>
        <v>NA</v>
      </c>
      <c r="D181" s="14"/>
      <c r="E181" s="12">
        <v>0.0</v>
      </c>
      <c r="F181" s="13" t="str">
        <f>IFERROR(E181/E446, "NA")</f>
        <v>NA</v>
      </c>
      <c r="G181" s="14"/>
      <c r="H181" s="15">
        <f t="shared" si="49"/>
        <v>0</v>
      </c>
      <c r="I181" s="13" t="str">
        <f>IFERROR(H181/H446, "NA")</f>
        <v>NA</v>
      </c>
      <c r="J181" s="14"/>
      <c r="K181" s="12">
        <v>0.0</v>
      </c>
      <c r="L181" s="13" t="str">
        <f>IFERROR(K181/K446, "NA")</f>
        <v>NA</v>
      </c>
      <c r="M181" s="14"/>
      <c r="N181" s="15">
        <f t="shared" si="50"/>
        <v>0</v>
      </c>
      <c r="O181" s="13" t="str">
        <f>IFERROR(N181/N446, "NA")</f>
        <v>NA</v>
      </c>
      <c r="P181" s="14"/>
      <c r="Q181" s="12">
        <v>0.0</v>
      </c>
      <c r="R181" s="13" t="str">
        <f>IFERROR(Q181/Q446, "NA")</f>
        <v>NA</v>
      </c>
      <c r="S181" s="14"/>
      <c r="T181" s="12">
        <v>0.0</v>
      </c>
      <c r="U181" s="13" t="str">
        <f>IFERROR(T181/T446, "NA")</f>
        <v>NA</v>
      </c>
      <c r="V181" s="14"/>
      <c r="W181" s="15">
        <f t="shared" si="51"/>
        <v>0</v>
      </c>
      <c r="X181" s="13" t="str">
        <f>IFERROR(W181/W446, "NA")</f>
        <v>NA</v>
      </c>
      <c r="Y181" s="14"/>
      <c r="Z181" s="12">
        <v>0.0</v>
      </c>
      <c r="AA181" s="13" t="str">
        <f>IFERROR(Z181/Z446, "NA")</f>
        <v>NA</v>
      </c>
      <c r="AB181" s="14"/>
      <c r="AC181" s="15">
        <f t="shared" si="52"/>
        <v>0</v>
      </c>
      <c r="AD181" s="13" t="str">
        <f>IFERROR(AC181/AC446, "NA")</f>
        <v>NA</v>
      </c>
    </row>
    <row r="182" ht="16.5" customHeight="1">
      <c r="A182" s="16" t="s">
        <v>170</v>
      </c>
      <c r="B182" s="17">
        <f>IFERROR(B177+B178+B179+B180+B181, "NA")</f>
        <v>0</v>
      </c>
      <c r="C182" s="18" t="str">
        <f>IFERROR(B182/B446, "NA")</f>
        <v>NA</v>
      </c>
      <c r="D182" s="8"/>
      <c r="E182" s="17">
        <f>IFERROR(E177+E178+E179+E180+E181, "NA")</f>
        <v>0</v>
      </c>
      <c r="F182" s="18" t="str">
        <f>IFERROR(E182/E446, "NA")</f>
        <v>NA</v>
      </c>
      <c r="G182" s="8"/>
      <c r="H182" s="17">
        <f t="shared" si="49"/>
        <v>0</v>
      </c>
      <c r="I182" s="18" t="str">
        <f>IFERROR(H182/H446, "NA")</f>
        <v>NA</v>
      </c>
      <c r="J182" s="8"/>
      <c r="K182" s="17">
        <f>IFERROR(K177+K178+K179+K180+K181, "NA")</f>
        <v>0</v>
      </c>
      <c r="L182" s="18" t="str">
        <f>IFERROR(K182/K446, "NA")</f>
        <v>NA</v>
      </c>
      <c r="M182" s="8"/>
      <c r="N182" s="17">
        <f t="shared" si="50"/>
        <v>0</v>
      </c>
      <c r="O182" s="18" t="str">
        <f>IFERROR(N182/N446, "NA")</f>
        <v>NA</v>
      </c>
      <c r="P182" s="8"/>
      <c r="Q182" s="17">
        <f>IFERROR(Q177+Q178+Q179+Q180+Q181, "NA")</f>
        <v>0</v>
      </c>
      <c r="R182" s="18" t="str">
        <f>IFERROR(Q182/Q446, "NA")</f>
        <v>NA</v>
      </c>
      <c r="S182" s="8"/>
      <c r="T182" s="17">
        <f>IFERROR(T177+T178+T179+T180+T181, "NA")</f>
        <v>0</v>
      </c>
      <c r="U182" s="18" t="str">
        <f>IFERROR(T182/T446, "NA")</f>
        <v>NA</v>
      </c>
      <c r="V182" s="8"/>
      <c r="W182" s="17">
        <f t="shared" si="51"/>
        <v>0</v>
      </c>
      <c r="X182" s="18" t="str">
        <f>IFERROR(W182/W446, "NA")</f>
        <v>NA</v>
      </c>
      <c r="Y182" s="8"/>
      <c r="Z182" s="17">
        <f>IFERROR(Z177+Z178+Z179+Z180+Z181, "NA")</f>
        <v>0</v>
      </c>
      <c r="AA182" s="18" t="str">
        <f>IFERROR(Z182/Z446, "NA")</f>
        <v>NA</v>
      </c>
      <c r="AB182" s="8"/>
      <c r="AC182" s="17">
        <f t="shared" si="52"/>
        <v>0</v>
      </c>
      <c r="AD182" s="18" t="str">
        <f>IFERROR(AC182/AC446, "NA")</f>
        <v>NA</v>
      </c>
    </row>
    <row r="183" ht="16.5" hidden="1" customHeight="1">
      <c r="A183" s="11" t="s">
        <v>171</v>
      </c>
      <c r="B183" s="12">
        <v>0.0</v>
      </c>
      <c r="C183" s="13" t="str">
        <f>IFERROR(B183/B446, "NA")</f>
        <v>NA</v>
      </c>
      <c r="D183" s="14"/>
      <c r="E183" s="12">
        <v>0.0</v>
      </c>
      <c r="F183" s="13" t="str">
        <f>IFERROR(E183/E446, "NA")</f>
        <v>NA</v>
      </c>
      <c r="G183" s="14"/>
      <c r="H183" s="15">
        <f t="shared" si="49"/>
        <v>0</v>
      </c>
      <c r="I183" s="13" t="str">
        <f>IFERROR(H183/H446, "NA")</f>
        <v>NA</v>
      </c>
      <c r="J183" s="14"/>
      <c r="K183" s="12">
        <v>0.0</v>
      </c>
      <c r="L183" s="13" t="str">
        <f>IFERROR(K183/K446, "NA")</f>
        <v>NA</v>
      </c>
      <c r="M183" s="14"/>
      <c r="N183" s="15">
        <f t="shared" si="50"/>
        <v>0</v>
      </c>
      <c r="O183" s="13" t="str">
        <f>IFERROR(N183/N446, "NA")</f>
        <v>NA</v>
      </c>
      <c r="P183" s="14"/>
      <c r="Q183" s="12">
        <v>0.0</v>
      </c>
      <c r="R183" s="13" t="str">
        <f>IFERROR(Q183/Q446, "NA")</f>
        <v>NA</v>
      </c>
      <c r="S183" s="14"/>
      <c r="T183" s="12">
        <v>0.0</v>
      </c>
      <c r="U183" s="13" t="str">
        <f>IFERROR(T183/T446, "NA")</f>
        <v>NA</v>
      </c>
      <c r="V183" s="14"/>
      <c r="W183" s="15">
        <f t="shared" si="51"/>
        <v>0</v>
      </c>
      <c r="X183" s="13" t="str">
        <f>IFERROR(W183/W446, "NA")</f>
        <v>NA</v>
      </c>
      <c r="Y183" s="14"/>
      <c r="Z183" s="12">
        <v>0.0</v>
      </c>
      <c r="AA183" s="13" t="str">
        <f>IFERROR(Z183/Z446, "NA")</f>
        <v>NA</v>
      </c>
      <c r="AB183" s="14"/>
      <c r="AC183" s="15">
        <f t="shared" si="52"/>
        <v>0</v>
      </c>
      <c r="AD183" s="13" t="str">
        <f>IFERROR(AC183/AC446, "NA")</f>
        <v>NA</v>
      </c>
    </row>
    <row r="184" ht="16.5" hidden="1" customHeight="1">
      <c r="A184" s="11" t="s">
        <v>172</v>
      </c>
      <c r="B184" s="12">
        <v>0.0</v>
      </c>
      <c r="C184" s="13" t="str">
        <f>IFERROR(B184/B446, "NA")</f>
        <v>NA</v>
      </c>
      <c r="D184" s="14"/>
      <c r="E184" s="12">
        <v>0.0</v>
      </c>
      <c r="F184" s="13" t="str">
        <f>IFERROR(E184/E446, "NA")</f>
        <v>NA</v>
      </c>
      <c r="G184" s="14"/>
      <c r="H184" s="15">
        <f t="shared" si="49"/>
        <v>0</v>
      </c>
      <c r="I184" s="13" t="str">
        <f>IFERROR(H184/H446, "NA")</f>
        <v>NA</v>
      </c>
      <c r="J184" s="14"/>
      <c r="K184" s="12">
        <v>0.0</v>
      </c>
      <c r="L184" s="13" t="str">
        <f>IFERROR(K184/K446, "NA")</f>
        <v>NA</v>
      </c>
      <c r="M184" s="14"/>
      <c r="N184" s="15">
        <f t="shared" si="50"/>
        <v>0</v>
      </c>
      <c r="O184" s="13" t="str">
        <f>IFERROR(N184/N446, "NA")</f>
        <v>NA</v>
      </c>
      <c r="P184" s="14"/>
      <c r="Q184" s="12">
        <v>0.0</v>
      </c>
      <c r="R184" s="13" t="str">
        <f>IFERROR(Q184/Q446, "NA")</f>
        <v>NA</v>
      </c>
      <c r="S184" s="14"/>
      <c r="T184" s="12">
        <v>0.0</v>
      </c>
      <c r="U184" s="13" t="str">
        <f>IFERROR(T184/T446, "NA")</f>
        <v>NA</v>
      </c>
      <c r="V184" s="14"/>
      <c r="W184" s="15">
        <f t="shared" si="51"/>
        <v>0</v>
      </c>
      <c r="X184" s="13" t="str">
        <f>IFERROR(W184/W446, "NA")</f>
        <v>NA</v>
      </c>
      <c r="Y184" s="14"/>
      <c r="Z184" s="12">
        <v>0.0</v>
      </c>
      <c r="AA184" s="13" t="str">
        <f>IFERROR(Z184/Z446, "NA")</f>
        <v>NA</v>
      </c>
      <c r="AB184" s="14"/>
      <c r="AC184" s="15">
        <f t="shared" si="52"/>
        <v>0</v>
      </c>
      <c r="AD184" s="13" t="str">
        <f>IFERROR(AC184/AC446, "NA")</f>
        <v>NA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hidden="1" customHeight="1">
      <c r="A186" s="11" t="s">
        <v>173</v>
      </c>
      <c r="B186" s="12">
        <v>0.0</v>
      </c>
      <c r="C186" s="13" t="str">
        <f>IFERROR(B186/B446, "NA")</f>
        <v>NA</v>
      </c>
      <c r="D186" s="14"/>
      <c r="E186" s="12">
        <v>0.0</v>
      </c>
      <c r="F186" s="13" t="str">
        <f>IFERROR(E186/E446, "NA")</f>
        <v>NA</v>
      </c>
      <c r="G186" s="14"/>
      <c r="H186" s="15">
        <f t="shared" ref="H186:H197" si="53">IFERROR(-(B186-E186), "NA")</f>
        <v>0</v>
      </c>
      <c r="I186" s="13" t="str">
        <f>IFERROR(H186/H446, "NA")</f>
        <v>NA</v>
      </c>
      <c r="J186" s="14"/>
      <c r="K186" s="12">
        <v>0.0</v>
      </c>
      <c r="L186" s="13" t="str">
        <f>IFERROR(K186/K446, "NA")</f>
        <v>NA</v>
      </c>
      <c r="M186" s="14"/>
      <c r="N186" s="15">
        <f t="shared" ref="N186:N197" si="54">IFERROR(-(B186-K186), "NA")</f>
        <v>0</v>
      </c>
      <c r="O186" s="13" t="str">
        <f>IFERROR(N186/N446, "NA")</f>
        <v>NA</v>
      </c>
      <c r="P186" s="14"/>
      <c r="Q186" s="12">
        <v>0.0</v>
      </c>
      <c r="R186" s="13" t="str">
        <f>IFERROR(Q186/Q446, "NA")</f>
        <v>NA</v>
      </c>
      <c r="S186" s="14"/>
      <c r="T186" s="12">
        <v>0.0</v>
      </c>
      <c r="U186" s="13" t="str">
        <f>IFERROR(T186/T446, "NA")</f>
        <v>NA</v>
      </c>
      <c r="V186" s="14"/>
      <c r="W186" s="15">
        <f t="shared" ref="W186:W197" si="55">IFERROR(-(Q186-T186), "NA")</f>
        <v>0</v>
      </c>
      <c r="X186" s="13" t="str">
        <f>IFERROR(W186/W446, "NA")</f>
        <v>NA</v>
      </c>
      <c r="Y186" s="14"/>
      <c r="Z186" s="12">
        <v>0.0</v>
      </c>
      <c r="AA186" s="13" t="str">
        <f>IFERROR(Z186/Z446, "NA")</f>
        <v>NA</v>
      </c>
      <c r="AB186" s="14"/>
      <c r="AC186" s="15">
        <f t="shared" ref="AC186:AC197" si="56">IFERROR(-(Q186-Z186), "NA")</f>
        <v>0</v>
      </c>
      <c r="AD186" s="13" t="str">
        <f>IFERROR(AC186/AC446, "NA")</f>
        <v>NA</v>
      </c>
    </row>
    <row r="187" ht="16.5" hidden="1" customHeight="1">
      <c r="A187" s="11" t="s">
        <v>174</v>
      </c>
      <c r="B187" s="12">
        <v>0.0</v>
      </c>
      <c r="C187" s="13" t="str">
        <f>IFERROR(B187/B446, "NA")</f>
        <v>NA</v>
      </c>
      <c r="D187" s="14"/>
      <c r="E187" s="12">
        <v>0.0</v>
      </c>
      <c r="F187" s="13" t="str">
        <f>IFERROR(E187/E446, "NA")</f>
        <v>NA</v>
      </c>
      <c r="G187" s="14"/>
      <c r="H187" s="15">
        <f t="shared" si="53"/>
        <v>0</v>
      </c>
      <c r="I187" s="13" t="str">
        <f>IFERROR(H187/H446, "NA")</f>
        <v>NA</v>
      </c>
      <c r="J187" s="14"/>
      <c r="K187" s="12">
        <v>0.0</v>
      </c>
      <c r="L187" s="13" t="str">
        <f>IFERROR(K187/K446, "NA")</f>
        <v>NA</v>
      </c>
      <c r="M187" s="14"/>
      <c r="N187" s="15">
        <f t="shared" si="54"/>
        <v>0</v>
      </c>
      <c r="O187" s="13" t="str">
        <f>IFERROR(N187/N446, "NA")</f>
        <v>NA</v>
      </c>
      <c r="P187" s="14"/>
      <c r="Q187" s="12">
        <v>0.0</v>
      </c>
      <c r="R187" s="13" t="str">
        <f>IFERROR(Q187/Q446, "NA")</f>
        <v>NA</v>
      </c>
      <c r="S187" s="14"/>
      <c r="T187" s="12">
        <v>0.0</v>
      </c>
      <c r="U187" s="13" t="str">
        <f>IFERROR(T187/T446, "NA")</f>
        <v>NA</v>
      </c>
      <c r="V187" s="14"/>
      <c r="W187" s="15">
        <f t="shared" si="55"/>
        <v>0</v>
      </c>
      <c r="X187" s="13" t="str">
        <f>IFERROR(W187/W446, "NA")</f>
        <v>NA</v>
      </c>
      <c r="Y187" s="14"/>
      <c r="Z187" s="12">
        <v>0.0</v>
      </c>
      <c r="AA187" s="13" t="str">
        <f>IFERROR(Z187/Z446, "NA")</f>
        <v>NA</v>
      </c>
      <c r="AB187" s="14"/>
      <c r="AC187" s="15">
        <f t="shared" si="56"/>
        <v>0</v>
      </c>
      <c r="AD187" s="13" t="str">
        <f>IFERROR(AC187/AC446, "NA")</f>
        <v>NA</v>
      </c>
    </row>
    <row r="188" ht="16.5" hidden="1" customHeight="1">
      <c r="A188" s="11" t="s">
        <v>175</v>
      </c>
      <c r="B188" s="12">
        <v>0.0</v>
      </c>
      <c r="C188" s="13" t="str">
        <f>IFERROR(B188/B446, "NA")</f>
        <v>NA</v>
      </c>
      <c r="D188" s="14"/>
      <c r="E188" s="12">
        <v>0.0</v>
      </c>
      <c r="F188" s="13" t="str">
        <f>IFERROR(E188/E446, "NA")</f>
        <v>NA</v>
      </c>
      <c r="G188" s="14"/>
      <c r="H188" s="15">
        <f t="shared" si="53"/>
        <v>0</v>
      </c>
      <c r="I188" s="13" t="str">
        <f>IFERROR(H188/H446, "NA")</f>
        <v>NA</v>
      </c>
      <c r="J188" s="14"/>
      <c r="K188" s="12">
        <v>0.0</v>
      </c>
      <c r="L188" s="13" t="str">
        <f>IFERROR(K188/K446, "NA")</f>
        <v>NA</v>
      </c>
      <c r="M188" s="14"/>
      <c r="N188" s="15">
        <f t="shared" si="54"/>
        <v>0</v>
      </c>
      <c r="O188" s="13" t="str">
        <f>IFERROR(N188/N446, "NA")</f>
        <v>NA</v>
      </c>
      <c r="P188" s="14"/>
      <c r="Q188" s="12">
        <v>0.0</v>
      </c>
      <c r="R188" s="13" t="str">
        <f>IFERROR(Q188/Q446, "NA")</f>
        <v>NA</v>
      </c>
      <c r="S188" s="14"/>
      <c r="T188" s="12">
        <v>0.0</v>
      </c>
      <c r="U188" s="13" t="str">
        <f>IFERROR(T188/T446, "NA")</f>
        <v>NA</v>
      </c>
      <c r="V188" s="14"/>
      <c r="W188" s="15">
        <f t="shared" si="55"/>
        <v>0</v>
      </c>
      <c r="X188" s="13" t="str">
        <f>IFERROR(W188/W446, "NA")</f>
        <v>NA</v>
      </c>
      <c r="Y188" s="14"/>
      <c r="Z188" s="12">
        <v>0.0</v>
      </c>
      <c r="AA188" s="13" t="str">
        <f>IFERROR(Z188/Z446, "NA")</f>
        <v>NA</v>
      </c>
      <c r="AB188" s="14"/>
      <c r="AC188" s="15">
        <f t="shared" si="56"/>
        <v>0</v>
      </c>
      <c r="AD188" s="13" t="str">
        <f>IFERROR(AC188/AC446, "NA")</f>
        <v>NA</v>
      </c>
    </row>
    <row r="189" ht="16.5" hidden="1" customHeight="1">
      <c r="A189" s="11" t="s">
        <v>176</v>
      </c>
      <c r="B189" s="12">
        <v>0.0</v>
      </c>
      <c r="C189" s="13" t="str">
        <f>IFERROR(B189/B446, "NA")</f>
        <v>NA</v>
      </c>
      <c r="D189" s="14"/>
      <c r="E189" s="12">
        <v>0.0</v>
      </c>
      <c r="F189" s="13" t="str">
        <f>IFERROR(E189/E446, "NA")</f>
        <v>NA</v>
      </c>
      <c r="G189" s="14"/>
      <c r="H189" s="15">
        <f t="shared" si="53"/>
        <v>0</v>
      </c>
      <c r="I189" s="13" t="str">
        <f>IFERROR(H189/H446, "NA")</f>
        <v>NA</v>
      </c>
      <c r="J189" s="14"/>
      <c r="K189" s="12">
        <v>0.0</v>
      </c>
      <c r="L189" s="13" t="str">
        <f>IFERROR(K189/K446, "NA")</f>
        <v>NA</v>
      </c>
      <c r="M189" s="14"/>
      <c r="N189" s="15">
        <f t="shared" si="54"/>
        <v>0</v>
      </c>
      <c r="O189" s="13" t="str">
        <f>IFERROR(N189/N446, "NA")</f>
        <v>NA</v>
      </c>
      <c r="P189" s="14"/>
      <c r="Q189" s="12">
        <v>0.0</v>
      </c>
      <c r="R189" s="13" t="str">
        <f>IFERROR(Q189/Q446, "NA")</f>
        <v>NA</v>
      </c>
      <c r="S189" s="14"/>
      <c r="T189" s="12">
        <v>0.0</v>
      </c>
      <c r="U189" s="13" t="str">
        <f>IFERROR(T189/T446, "NA")</f>
        <v>NA</v>
      </c>
      <c r="V189" s="14"/>
      <c r="W189" s="15">
        <f t="shared" si="55"/>
        <v>0</v>
      </c>
      <c r="X189" s="13" t="str">
        <f>IFERROR(W189/W446, "NA")</f>
        <v>NA</v>
      </c>
      <c r="Y189" s="14"/>
      <c r="Z189" s="12">
        <v>0.0</v>
      </c>
      <c r="AA189" s="13" t="str">
        <f>IFERROR(Z189/Z446, "NA")</f>
        <v>NA</v>
      </c>
      <c r="AB189" s="14"/>
      <c r="AC189" s="15">
        <f t="shared" si="56"/>
        <v>0</v>
      </c>
      <c r="AD189" s="13" t="str">
        <f>IFERROR(AC189/AC446, "NA")</f>
        <v>NA</v>
      </c>
    </row>
    <row r="190" ht="16.5" hidden="1" customHeight="1">
      <c r="A190" s="11" t="s">
        <v>177</v>
      </c>
      <c r="B190" s="12">
        <v>0.0</v>
      </c>
      <c r="C190" s="13" t="str">
        <f>IFERROR(B190/B446, "NA")</f>
        <v>NA</v>
      </c>
      <c r="D190" s="14"/>
      <c r="E190" s="12">
        <v>0.0</v>
      </c>
      <c r="F190" s="13" t="str">
        <f>IFERROR(E190/E446, "NA")</f>
        <v>NA</v>
      </c>
      <c r="G190" s="14"/>
      <c r="H190" s="15">
        <f t="shared" si="53"/>
        <v>0</v>
      </c>
      <c r="I190" s="13" t="str">
        <f>IFERROR(H190/H446, "NA")</f>
        <v>NA</v>
      </c>
      <c r="J190" s="14"/>
      <c r="K190" s="12">
        <v>0.0</v>
      </c>
      <c r="L190" s="13" t="str">
        <f>IFERROR(K190/K446, "NA")</f>
        <v>NA</v>
      </c>
      <c r="M190" s="14"/>
      <c r="N190" s="15">
        <f t="shared" si="54"/>
        <v>0</v>
      </c>
      <c r="O190" s="13" t="str">
        <f>IFERROR(N190/N446, "NA")</f>
        <v>NA</v>
      </c>
      <c r="P190" s="14"/>
      <c r="Q190" s="12">
        <v>0.0</v>
      </c>
      <c r="R190" s="13" t="str">
        <f>IFERROR(Q190/Q446, "NA")</f>
        <v>NA</v>
      </c>
      <c r="S190" s="14"/>
      <c r="T190" s="12">
        <v>0.0</v>
      </c>
      <c r="U190" s="13" t="str">
        <f>IFERROR(T190/T446, "NA")</f>
        <v>NA</v>
      </c>
      <c r="V190" s="14"/>
      <c r="W190" s="15">
        <f t="shared" si="55"/>
        <v>0</v>
      </c>
      <c r="X190" s="13" t="str">
        <f>IFERROR(W190/W446, "NA")</f>
        <v>NA</v>
      </c>
      <c r="Y190" s="14"/>
      <c r="Z190" s="12">
        <v>0.0</v>
      </c>
      <c r="AA190" s="13" t="str">
        <f>IFERROR(Z190/Z446, "NA")</f>
        <v>NA</v>
      </c>
      <c r="AB190" s="14"/>
      <c r="AC190" s="15">
        <f t="shared" si="56"/>
        <v>0</v>
      </c>
      <c r="AD190" s="13" t="str">
        <f>IFERROR(AC190/AC446, "NA")</f>
        <v>NA</v>
      </c>
    </row>
    <row r="191" ht="16.5" hidden="1" customHeight="1">
      <c r="A191" s="11" t="s">
        <v>178</v>
      </c>
      <c r="B191" s="12">
        <v>0.0</v>
      </c>
      <c r="C191" s="13" t="str">
        <f>IFERROR(B191/B446, "NA")</f>
        <v>NA</v>
      </c>
      <c r="D191" s="14"/>
      <c r="E191" s="12">
        <v>0.0</v>
      </c>
      <c r="F191" s="13" t="str">
        <f>IFERROR(E191/E446, "NA")</f>
        <v>NA</v>
      </c>
      <c r="G191" s="14"/>
      <c r="H191" s="15">
        <f t="shared" si="53"/>
        <v>0</v>
      </c>
      <c r="I191" s="13" t="str">
        <f>IFERROR(H191/H446, "NA")</f>
        <v>NA</v>
      </c>
      <c r="J191" s="14"/>
      <c r="K191" s="12">
        <v>0.0</v>
      </c>
      <c r="L191" s="13" t="str">
        <f>IFERROR(K191/K446, "NA")</f>
        <v>NA</v>
      </c>
      <c r="M191" s="14"/>
      <c r="N191" s="15">
        <f t="shared" si="54"/>
        <v>0</v>
      </c>
      <c r="O191" s="13" t="str">
        <f>IFERROR(N191/N446, "NA")</f>
        <v>NA</v>
      </c>
      <c r="P191" s="14"/>
      <c r="Q191" s="12">
        <v>0.0</v>
      </c>
      <c r="R191" s="13" t="str">
        <f>IFERROR(Q191/Q446, "NA")</f>
        <v>NA</v>
      </c>
      <c r="S191" s="14"/>
      <c r="T191" s="12">
        <v>0.0</v>
      </c>
      <c r="U191" s="13" t="str">
        <f>IFERROR(T191/T446, "NA")</f>
        <v>NA</v>
      </c>
      <c r="V191" s="14"/>
      <c r="W191" s="15">
        <f t="shared" si="55"/>
        <v>0</v>
      </c>
      <c r="X191" s="13" t="str">
        <f>IFERROR(W191/W446, "NA")</f>
        <v>NA</v>
      </c>
      <c r="Y191" s="14"/>
      <c r="Z191" s="12">
        <v>0.0</v>
      </c>
      <c r="AA191" s="13" t="str">
        <f>IFERROR(Z191/Z446, "NA")</f>
        <v>NA</v>
      </c>
      <c r="AB191" s="14"/>
      <c r="AC191" s="15">
        <f t="shared" si="56"/>
        <v>0</v>
      </c>
      <c r="AD191" s="13" t="str">
        <f>IFERROR(AC191/AC446, "NA")</f>
        <v>NA</v>
      </c>
    </row>
    <row r="192" ht="16.5" hidden="1" customHeight="1">
      <c r="A192" s="11" t="s">
        <v>179</v>
      </c>
      <c r="B192" s="12">
        <v>0.0</v>
      </c>
      <c r="C192" s="13" t="str">
        <f>IFERROR(B192/B446, "NA")</f>
        <v>NA</v>
      </c>
      <c r="D192" s="14"/>
      <c r="E192" s="12">
        <v>0.0</v>
      </c>
      <c r="F192" s="13" t="str">
        <f>IFERROR(E192/E446, "NA")</f>
        <v>NA</v>
      </c>
      <c r="G192" s="14"/>
      <c r="H192" s="15">
        <f t="shared" si="53"/>
        <v>0</v>
      </c>
      <c r="I192" s="13" t="str">
        <f>IFERROR(H192/H446, "NA")</f>
        <v>NA</v>
      </c>
      <c r="J192" s="14"/>
      <c r="K192" s="12">
        <v>0.0</v>
      </c>
      <c r="L192" s="13" t="str">
        <f>IFERROR(K192/K446, "NA")</f>
        <v>NA</v>
      </c>
      <c r="M192" s="14"/>
      <c r="N192" s="15">
        <f t="shared" si="54"/>
        <v>0</v>
      </c>
      <c r="O192" s="13" t="str">
        <f>IFERROR(N192/N446, "NA")</f>
        <v>NA</v>
      </c>
      <c r="P192" s="14"/>
      <c r="Q192" s="12">
        <v>0.0</v>
      </c>
      <c r="R192" s="13" t="str">
        <f>IFERROR(Q192/Q446, "NA")</f>
        <v>NA</v>
      </c>
      <c r="S192" s="14"/>
      <c r="T192" s="12">
        <v>0.0</v>
      </c>
      <c r="U192" s="13" t="str">
        <f>IFERROR(T192/T446, "NA")</f>
        <v>NA</v>
      </c>
      <c r="V192" s="14"/>
      <c r="W192" s="15">
        <f t="shared" si="55"/>
        <v>0</v>
      </c>
      <c r="X192" s="13" t="str">
        <f>IFERROR(W192/W446, "NA")</f>
        <v>NA</v>
      </c>
      <c r="Y192" s="14"/>
      <c r="Z192" s="12">
        <v>0.0</v>
      </c>
      <c r="AA192" s="13" t="str">
        <f>IFERROR(Z192/Z446, "NA")</f>
        <v>NA</v>
      </c>
      <c r="AB192" s="14"/>
      <c r="AC192" s="15">
        <f t="shared" si="56"/>
        <v>0</v>
      </c>
      <c r="AD192" s="13" t="str">
        <f>IFERROR(AC192/AC446, "NA")</f>
        <v>NA</v>
      </c>
    </row>
    <row r="193" ht="16.5" customHeight="1">
      <c r="A193" s="16" t="s">
        <v>180</v>
      </c>
      <c r="B193" s="17">
        <f>IFERROR(B186+B187+B188+B189+B190+B191+B192, "NA")</f>
        <v>0</v>
      </c>
      <c r="C193" s="18" t="str">
        <f>IFERROR(B193/B446, "NA")</f>
        <v>NA</v>
      </c>
      <c r="D193" s="8"/>
      <c r="E193" s="17">
        <f>IFERROR(E186+E187+E188+E189+E190+E191+E192, "NA")</f>
        <v>0</v>
      </c>
      <c r="F193" s="18" t="str">
        <f>IFERROR(E193/E446, "NA")</f>
        <v>NA</v>
      </c>
      <c r="G193" s="8"/>
      <c r="H193" s="17">
        <f t="shared" si="53"/>
        <v>0</v>
      </c>
      <c r="I193" s="18" t="str">
        <f>IFERROR(H193/H446, "NA")</f>
        <v>NA</v>
      </c>
      <c r="J193" s="8"/>
      <c r="K193" s="17">
        <f>IFERROR(K186+K187+K188+K189+K190+K191+K192, "NA")</f>
        <v>0</v>
      </c>
      <c r="L193" s="18" t="str">
        <f>IFERROR(K193/K446, "NA")</f>
        <v>NA</v>
      </c>
      <c r="M193" s="8"/>
      <c r="N193" s="17">
        <f t="shared" si="54"/>
        <v>0</v>
      </c>
      <c r="O193" s="18" t="str">
        <f>IFERROR(N193/N446, "NA")</f>
        <v>NA</v>
      </c>
      <c r="P193" s="8"/>
      <c r="Q193" s="17">
        <f>IFERROR(Q186+Q187+Q188+Q189+Q190+Q191+Q192, "NA")</f>
        <v>0</v>
      </c>
      <c r="R193" s="18" t="str">
        <f>IFERROR(Q193/Q446, "NA")</f>
        <v>NA</v>
      </c>
      <c r="S193" s="8"/>
      <c r="T193" s="17">
        <f>IFERROR(T186+T187+T188+T189+T190+T191+T192, "NA")</f>
        <v>0</v>
      </c>
      <c r="U193" s="18" t="str">
        <f>IFERROR(T193/T446, "NA")</f>
        <v>NA</v>
      </c>
      <c r="V193" s="8"/>
      <c r="W193" s="17">
        <f t="shared" si="55"/>
        <v>0</v>
      </c>
      <c r="X193" s="18" t="str">
        <f>IFERROR(W193/W446, "NA")</f>
        <v>NA</v>
      </c>
      <c r="Y193" s="8"/>
      <c r="Z193" s="17">
        <f>IFERROR(Z186+Z187+Z188+Z189+Z190+Z191+Z192, "NA")</f>
        <v>0</v>
      </c>
      <c r="AA193" s="18" t="str">
        <f>IFERROR(Z193/Z446, "NA")</f>
        <v>NA</v>
      </c>
      <c r="AB193" s="8"/>
      <c r="AC193" s="17">
        <f t="shared" si="56"/>
        <v>0</v>
      </c>
      <c r="AD193" s="18" t="str">
        <f>IFERROR(AC193/AC446, "NA")</f>
        <v>NA</v>
      </c>
    </row>
    <row r="194" ht="16.5" hidden="1" customHeight="1">
      <c r="A194" s="11" t="s">
        <v>181</v>
      </c>
      <c r="B194" s="12">
        <v>0.0</v>
      </c>
      <c r="C194" s="13" t="str">
        <f>IFERROR(B194/B446, "NA")</f>
        <v>NA</v>
      </c>
      <c r="D194" s="14"/>
      <c r="E194" s="12">
        <v>0.0</v>
      </c>
      <c r="F194" s="13" t="str">
        <f>IFERROR(E194/E446, "NA")</f>
        <v>NA</v>
      </c>
      <c r="G194" s="14"/>
      <c r="H194" s="15">
        <f t="shared" si="53"/>
        <v>0</v>
      </c>
      <c r="I194" s="13" t="str">
        <f>IFERROR(H194/H446, "NA")</f>
        <v>NA</v>
      </c>
      <c r="J194" s="14"/>
      <c r="K194" s="12">
        <v>0.0</v>
      </c>
      <c r="L194" s="13" t="str">
        <f>IFERROR(K194/K446, "NA")</f>
        <v>NA</v>
      </c>
      <c r="M194" s="14"/>
      <c r="N194" s="15">
        <f t="shared" si="54"/>
        <v>0</v>
      </c>
      <c r="O194" s="13" t="str">
        <f>IFERROR(N194/N446, "NA")</f>
        <v>NA</v>
      </c>
      <c r="P194" s="14"/>
      <c r="Q194" s="12">
        <v>0.0</v>
      </c>
      <c r="R194" s="13" t="str">
        <f>IFERROR(Q194/Q446, "NA")</f>
        <v>NA</v>
      </c>
      <c r="S194" s="14"/>
      <c r="T194" s="12">
        <v>0.0</v>
      </c>
      <c r="U194" s="13" t="str">
        <f>IFERROR(T194/T446, "NA")</f>
        <v>NA</v>
      </c>
      <c r="V194" s="14"/>
      <c r="W194" s="15">
        <f t="shared" si="55"/>
        <v>0</v>
      </c>
      <c r="X194" s="13" t="str">
        <f>IFERROR(W194/W446, "NA")</f>
        <v>NA</v>
      </c>
      <c r="Y194" s="14"/>
      <c r="Z194" s="12">
        <v>0.0</v>
      </c>
      <c r="AA194" s="13" t="str">
        <f>IFERROR(Z194/Z446, "NA")</f>
        <v>NA</v>
      </c>
      <c r="AB194" s="14"/>
      <c r="AC194" s="15">
        <f t="shared" si="56"/>
        <v>0</v>
      </c>
      <c r="AD194" s="13" t="str">
        <f>IFERROR(AC194/AC446, "NA")</f>
        <v>NA</v>
      </c>
    </row>
    <row r="195" ht="16.5" hidden="1" customHeight="1">
      <c r="A195" s="11" t="s">
        <v>182</v>
      </c>
      <c r="B195" s="12">
        <v>0.0</v>
      </c>
      <c r="C195" s="13" t="str">
        <f>IFERROR(B195/B446, "NA")</f>
        <v>NA</v>
      </c>
      <c r="D195" s="14"/>
      <c r="E195" s="12">
        <v>0.0</v>
      </c>
      <c r="F195" s="13" t="str">
        <f>IFERROR(E195/E446, "NA")</f>
        <v>NA</v>
      </c>
      <c r="G195" s="14"/>
      <c r="H195" s="15">
        <f t="shared" si="53"/>
        <v>0</v>
      </c>
      <c r="I195" s="13" t="str">
        <f>IFERROR(H195/H446, "NA")</f>
        <v>NA</v>
      </c>
      <c r="J195" s="14"/>
      <c r="K195" s="12">
        <v>0.0</v>
      </c>
      <c r="L195" s="13" t="str">
        <f>IFERROR(K195/K446, "NA")</f>
        <v>NA</v>
      </c>
      <c r="M195" s="14"/>
      <c r="N195" s="15">
        <f t="shared" si="54"/>
        <v>0</v>
      </c>
      <c r="O195" s="13" t="str">
        <f>IFERROR(N195/N446, "NA")</f>
        <v>NA</v>
      </c>
      <c r="P195" s="14"/>
      <c r="Q195" s="12">
        <v>0.0</v>
      </c>
      <c r="R195" s="13" t="str">
        <f>IFERROR(Q195/Q446, "NA")</f>
        <v>NA</v>
      </c>
      <c r="S195" s="14"/>
      <c r="T195" s="12">
        <v>0.0</v>
      </c>
      <c r="U195" s="13" t="str">
        <f>IFERROR(T195/T446, "NA")</f>
        <v>NA</v>
      </c>
      <c r="V195" s="14"/>
      <c r="W195" s="15">
        <f t="shared" si="55"/>
        <v>0</v>
      </c>
      <c r="X195" s="13" t="str">
        <f>IFERROR(W195/W446, "NA")</f>
        <v>NA</v>
      </c>
      <c r="Y195" s="14"/>
      <c r="Z195" s="12">
        <v>0.0</v>
      </c>
      <c r="AA195" s="13" t="str">
        <f>IFERROR(Z195/Z446, "NA")</f>
        <v>NA</v>
      </c>
      <c r="AB195" s="14"/>
      <c r="AC195" s="15">
        <f t="shared" si="56"/>
        <v>0</v>
      </c>
      <c r="AD195" s="13" t="str">
        <f>IFERROR(AC195/AC446, "NA")</f>
        <v>NA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0</v>
      </c>
      <c r="C196" s="18" t="str">
        <f>IFERROR(B196/B446, "NA")</f>
        <v>NA</v>
      </c>
      <c r="D196" s="8"/>
      <c r="E196" s="17">
        <f>IFERROR(E175+E177+E178+E179+E180+E181+E183+E184+E186+E187+E188+E189+E190+E191+E192+E194+E195, "NA")</f>
        <v>0</v>
      </c>
      <c r="F196" s="18" t="str">
        <f>IFERROR(E196/E446, "NA")</f>
        <v>NA</v>
      </c>
      <c r="G196" s="8"/>
      <c r="H196" s="17">
        <f t="shared" si="53"/>
        <v>0</v>
      </c>
      <c r="I196" s="18" t="str">
        <f>IFERROR(H196/H446, "NA")</f>
        <v>NA</v>
      </c>
      <c r="J196" s="8"/>
      <c r="K196" s="17">
        <f>IFERROR(K175+K177+K178+K179+K180+K181+K183+K184+K186+K187+K188+K189+K190+K191+K192+K194+K195, "NA")</f>
        <v>0</v>
      </c>
      <c r="L196" s="18" t="str">
        <f>IFERROR(K196/K446, "NA")</f>
        <v>NA</v>
      </c>
      <c r="M196" s="8"/>
      <c r="N196" s="17">
        <f t="shared" si="54"/>
        <v>0</v>
      </c>
      <c r="O196" s="18" t="str">
        <f>IFERROR(N196/N446, "NA")</f>
        <v>NA</v>
      </c>
      <c r="P196" s="8"/>
      <c r="Q196" s="17">
        <f>IFERROR(Q175+Q177+Q178+Q179+Q180+Q181+Q183+Q184+Q186+Q187+Q188+Q189+Q190+Q191+Q192+Q194+Q195, "NA")</f>
        <v>0</v>
      </c>
      <c r="R196" s="18" t="str">
        <f>IFERROR(Q196/Q446, "NA")</f>
        <v>NA</v>
      </c>
      <c r="S196" s="8"/>
      <c r="T196" s="17">
        <f>IFERROR(T175+T177+T178+T179+T180+T181+T183+T184+T186+T187+T188+T189+T190+T191+T192+T194+T195, "NA")</f>
        <v>0</v>
      </c>
      <c r="U196" s="18" t="str">
        <f>IFERROR(T196/T446, "NA")</f>
        <v>NA</v>
      </c>
      <c r="V196" s="8"/>
      <c r="W196" s="17">
        <f t="shared" si="55"/>
        <v>0</v>
      </c>
      <c r="X196" s="18" t="str">
        <f>IFERROR(W196/W446, "NA")</f>
        <v>NA</v>
      </c>
      <c r="Y196" s="8"/>
      <c r="Z196" s="17">
        <f>IFERROR(Z175+Z177+Z178+Z179+Z180+Z181+Z183+Z184+Z186+Z187+Z188+Z189+Z190+Z191+Z192+Z194+Z195, "NA")</f>
        <v>0</v>
      </c>
      <c r="AA196" s="18" t="str">
        <f>IFERROR(Z196/Z446, "NA")</f>
        <v>NA</v>
      </c>
      <c r="AB196" s="8"/>
      <c r="AC196" s="17">
        <f t="shared" si="56"/>
        <v>0</v>
      </c>
      <c r="AD196" s="18" t="str">
        <f>IFERROR(AC196/AC446, "NA")</f>
        <v>NA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0</v>
      </c>
      <c r="C197" s="18" t="str">
        <f>IFERROR(B197/B446, "NA")</f>
        <v>NA</v>
      </c>
      <c r="D197" s="8"/>
      <c r="E197" s="17">
        <f>IFERROR(E175+E177+E178+E179+E180+E181+E183+E184+E186+E187+E188+E189+E190+E191+E192+E194+E195, "NA")</f>
        <v>0</v>
      </c>
      <c r="F197" s="18" t="str">
        <f>IFERROR(E197/E446, "NA")</f>
        <v>NA</v>
      </c>
      <c r="G197" s="8"/>
      <c r="H197" s="17">
        <f t="shared" si="53"/>
        <v>0</v>
      </c>
      <c r="I197" s="18" t="str">
        <f>IFERROR(H197/H446, "NA")</f>
        <v>NA</v>
      </c>
      <c r="J197" s="8"/>
      <c r="K197" s="17">
        <f>IFERROR(K175+K177+K178+K179+K180+K181+K183+K184+K186+K187+K188+K189+K190+K191+K192+K194+K195, "NA")</f>
        <v>0</v>
      </c>
      <c r="L197" s="18" t="str">
        <f>IFERROR(K197/K446, "NA")</f>
        <v>NA</v>
      </c>
      <c r="M197" s="8"/>
      <c r="N197" s="17">
        <f t="shared" si="54"/>
        <v>0</v>
      </c>
      <c r="O197" s="18" t="str">
        <f>IFERROR(N197/N446, "NA")</f>
        <v>NA</v>
      </c>
      <c r="P197" s="8"/>
      <c r="Q197" s="17">
        <f>IFERROR(Q175+Q177+Q178+Q179+Q180+Q181+Q183+Q184+Q186+Q187+Q188+Q189+Q190+Q191+Q192+Q194+Q195, "NA")</f>
        <v>0</v>
      </c>
      <c r="R197" s="18" t="str">
        <f>IFERROR(Q197/Q446, "NA")</f>
        <v>NA</v>
      </c>
      <c r="S197" s="8"/>
      <c r="T197" s="17">
        <f>IFERROR(T175+T177+T178+T179+T180+T181+T183+T184+T186+T187+T188+T189+T190+T191+T192+T194+T195, "NA")</f>
        <v>0</v>
      </c>
      <c r="U197" s="18" t="str">
        <f>IFERROR(T197/T446, "NA")</f>
        <v>NA</v>
      </c>
      <c r="V197" s="8"/>
      <c r="W197" s="17">
        <f t="shared" si="55"/>
        <v>0</v>
      </c>
      <c r="X197" s="18" t="str">
        <f>IFERROR(W197/W446, "NA")</f>
        <v>NA</v>
      </c>
      <c r="Y197" s="8"/>
      <c r="Z197" s="17">
        <f>IFERROR(Z175+Z177+Z178+Z179+Z180+Z181+Z183+Z184+Z186+Z187+Z188+Z189+Z190+Z191+Z192+Z194+Z195, "NA")</f>
        <v>0</v>
      </c>
      <c r="AA197" s="18" t="str">
        <f>IFERROR(Z197/Z446, "NA")</f>
        <v>NA</v>
      </c>
      <c r="AB197" s="8"/>
      <c r="AC197" s="17">
        <f t="shared" si="56"/>
        <v>0</v>
      </c>
      <c r="AD197" s="18" t="str">
        <f>IFERROR(AC197/AC446, "NA")</f>
        <v>NA</v>
      </c>
    </row>
    <row r="198" ht="16.5" customHeight="1">
      <c r="A198" s="19" t="s">
        <v>184</v>
      </c>
      <c r="B198" s="20">
        <f>IFERROR(B172-B197, "NA")</f>
        <v>0</v>
      </c>
      <c r="C198" s="21" t="str">
        <f>IFERROR(B198/B446, "NA")</f>
        <v>NA</v>
      </c>
      <c r="D198" s="22"/>
      <c r="E198" s="20">
        <f>IFERROR(E172-E197, "NA")</f>
        <v>0</v>
      </c>
      <c r="F198" s="21" t="str">
        <f>IFERROR(E198/E446, "NA")</f>
        <v>NA</v>
      </c>
      <c r="G198" s="22"/>
      <c r="H198" s="20">
        <f>IFERROR(B198-E198, "NA")</f>
        <v>0</v>
      </c>
      <c r="I198" s="21" t="str">
        <f>IFERROR(H198/H446, "NA")</f>
        <v>NA</v>
      </c>
      <c r="J198" s="22"/>
      <c r="K198" s="20">
        <f>IFERROR(K172-K197, "NA")</f>
        <v>0</v>
      </c>
      <c r="L198" s="21" t="str">
        <f>IFERROR(K198/K446, "NA")</f>
        <v>NA</v>
      </c>
      <c r="M198" s="22"/>
      <c r="N198" s="20">
        <f>IFERROR(B198-K198, "NA")</f>
        <v>0</v>
      </c>
      <c r="O198" s="21" t="str">
        <f>IFERROR(N198/N446, "NA")</f>
        <v>NA</v>
      </c>
      <c r="P198" s="22"/>
      <c r="Q198" s="20">
        <f>IFERROR(Q172-Q197, "NA")</f>
        <v>0</v>
      </c>
      <c r="R198" s="21" t="str">
        <f>IFERROR(Q198/Q446, "NA")</f>
        <v>NA</v>
      </c>
      <c r="S198" s="22"/>
      <c r="T198" s="20">
        <f>IFERROR(T172-T197, "NA")</f>
        <v>0</v>
      </c>
      <c r="U198" s="21" t="str">
        <f>IFERROR(T198/T446, "NA")</f>
        <v>NA</v>
      </c>
      <c r="V198" s="22"/>
      <c r="W198" s="20">
        <f>IFERROR(Q198-T198, "NA")</f>
        <v>0</v>
      </c>
      <c r="X198" s="21" t="str">
        <f>IFERROR(W198/W446, "NA")</f>
        <v>NA</v>
      </c>
      <c r="Y198" s="22"/>
      <c r="Z198" s="20">
        <f>IFERROR(Z172-Z197, "NA")</f>
        <v>0</v>
      </c>
      <c r="AA198" s="21" t="str">
        <f>IFERROR(Z198/Z446, "NA")</f>
        <v>NA</v>
      </c>
      <c r="AB198" s="22"/>
      <c r="AC198" s="20">
        <f>IFERROR(Q198-Z198, "NA")</f>
        <v>0</v>
      </c>
      <c r="AD198" s="21" t="str">
        <f>IFERROR(AC198/AC446, "NA")</f>
        <v>NA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 t="str">
        <f>IFERROR(B201/B446, "NA")</f>
        <v>NA</v>
      </c>
      <c r="D201" s="14"/>
      <c r="E201" s="12">
        <v>0.0</v>
      </c>
      <c r="F201" s="13" t="str">
        <f>IFERROR(E201/E446, "NA")</f>
        <v>NA</v>
      </c>
      <c r="G201" s="14"/>
      <c r="H201" s="15">
        <f t="shared" ref="H201:H209" si="57">IFERROR(-(B201-E201), "NA")</f>
        <v>0</v>
      </c>
      <c r="I201" s="13" t="str">
        <f>IFERROR(H201/H446, "NA")</f>
        <v>NA</v>
      </c>
      <c r="J201" s="14"/>
      <c r="K201" s="12">
        <v>0.0</v>
      </c>
      <c r="L201" s="13" t="str">
        <f>IFERROR(K201/K446, "NA")</f>
        <v>NA</v>
      </c>
      <c r="M201" s="14"/>
      <c r="N201" s="15">
        <f t="shared" ref="N201:N209" si="58">IFERROR(-(B201-K201), "NA")</f>
        <v>0</v>
      </c>
      <c r="O201" s="13" t="str">
        <f>IFERROR(N201/N446, "NA")</f>
        <v>NA</v>
      </c>
      <c r="P201" s="14"/>
      <c r="Q201" s="12">
        <v>0.0</v>
      </c>
      <c r="R201" s="13" t="str">
        <f>IFERROR(Q201/Q446, "NA")</f>
        <v>NA</v>
      </c>
      <c r="S201" s="14"/>
      <c r="T201" s="12">
        <v>0.0</v>
      </c>
      <c r="U201" s="13" t="str">
        <f>IFERROR(T201/T446, "NA")</f>
        <v>NA</v>
      </c>
      <c r="V201" s="14"/>
      <c r="W201" s="15">
        <f t="shared" ref="W201:W209" si="59">IFERROR(-(Q201-T201), "NA")</f>
        <v>0</v>
      </c>
      <c r="X201" s="13" t="str">
        <f>IFERROR(W201/W446, "NA")</f>
        <v>NA</v>
      </c>
      <c r="Y201" s="14"/>
      <c r="Z201" s="12">
        <v>0.0</v>
      </c>
      <c r="AA201" s="13" t="str">
        <f>IFERROR(Z201/Z446, "NA")</f>
        <v>NA</v>
      </c>
      <c r="AB201" s="14"/>
      <c r="AC201" s="15">
        <f t="shared" ref="AC201:AC209" si="60">IFERROR(-(Q201-Z201), "NA")</f>
        <v>0</v>
      </c>
      <c r="AD201" s="13" t="str">
        <f>IFERROR(AC201/AC446, "NA")</f>
        <v>NA</v>
      </c>
    </row>
    <row r="202" ht="16.5" hidden="1" customHeight="1">
      <c r="A202" s="11" t="s">
        <v>187</v>
      </c>
      <c r="B202" s="12">
        <v>0.0</v>
      </c>
      <c r="C202" s="13" t="str">
        <f>IFERROR(B202/B446, "NA")</f>
        <v>NA</v>
      </c>
      <c r="D202" s="14"/>
      <c r="E202" s="12">
        <v>0.0</v>
      </c>
      <c r="F202" s="13" t="str">
        <f>IFERROR(E202/E446, "NA")</f>
        <v>NA</v>
      </c>
      <c r="G202" s="14"/>
      <c r="H202" s="15">
        <f t="shared" si="57"/>
        <v>0</v>
      </c>
      <c r="I202" s="13" t="str">
        <f>IFERROR(H202/H446, "NA")</f>
        <v>NA</v>
      </c>
      <c r="J202" s="14"/>
      <c r="K202" s="12">
        <v>0.0</v>
      </c>
      <c r="L202" s="13" t="str">
        <f>IFERROR(K202/K446, "NA")</f>
        <v>NA</v>
      </c>
      <c r="M202" s="14"/>
      <c r="N202" s="15">
        <f t="shared" si="58"/>
        <v>0</v>
      </c>
      <c r="O202" s="13" t="str">
        <f>IFERROR(N202/N446, "NA")</f>
        <v>NA</v>
      </c>
      <c r="P202" s="14"/>
      <c r="Q202" s="12">
        <v>0.0</v>
      </c>
      <c r="R202" s="13" t="str">
        <f>IFERROR(Q202/Q446, "NA")</f>
        <v>NA</v>
      </c>
      <c r="S202" s="14"/>
      <c r="T202" s="12">
        <v>0.0</v>
      </c>
      <c r="U202" s="13" t="str">
        <f>IFERROR(T202/T446, "NA")</f>
        <v>NA</v>
      </c>
      <c r="V202" s="14"/>
      <c r="W202" s="15">
        <f t="shared" si="59"/>
        <v>0</v>
      </c>
      <c r="X202" s="13" t="str">
        <f>IFERROR(W202/W446, "NA")</f>
        <v>NA</v>
      </c>
      <c r="Y202" s="14"/>
      <c r="Z202" s="12">
        <v>0.0</v>
      </c>
      <c r="AA202" s="13" t="str">
        <f>IFERROR(Z202/Z446, "NA")</f>
        <v>NA</v>
      </c>
      <c r="AB202" s="14"/>
      <c r="AC202" s="15">
        <f t="shared" si="60"/>
        <v>0</v>
      </c>
      <c r="AD202" s="13" t="str">
        <f>IFERROR(AC202/AC446, "NA")</f>
        <v>NA</v>
      </c>
    </row>
    <row r="203" ht="16.5" hidden="1" customHeight="1">
      <c r="A203" s="11" t="s">
        <v>188</v>
      </c>
      <c r="B203" s="12">
        <v>0.0</v>
      </c>
      <c r="C203" s="13" t="str">
        <f>IFERROR(B203/B446, "NA")</f>
        <v>NA</v>
      </c>
      <c r="D203" s="14"/>
      <c r="E203" s="12">
        <v>0.0</v>
      </c>
      <c r="F203" s="13" t="str">
        <f>IFERROR(E203/E446, "NA")</f>
        <v>NA</v>
      </c>
      <c r="G203" s="14"/>
      <c r="H203" s="15">
        <f t="shared" si="57"/>
        <v>0</v>
      </c>
      <c r="I203" s="13" t="str">
        <f>IFERROR(H203/H446, "NA")</f>
        <v>NA</v>
      </c>
      <c r="J203" s="14"/>
      <c r="K203" s="12">
        <v>0.0</v>
      </c>
      <c r="L203" s="13" t="str">
        <f>IFERROR(K203/K446, "NA")</f>
        <v>NA</v>
      </c>
      <c r="M203" s="14"/>
      <c r="N203" s="15">
        <f t="shared" si="58"/>
        <v>0</v>
      </c>
      <c r="O203" s="13" t="str">
        <f>IFERROR(N203/N446, "NA")</f>
        <v>NA</v>
      </c>
      <c r="P203" s="14"/>
      <c r="Q203" s="12">
        <v>0.0</v>
      </c>
      <c r="R203" s="13" t="str">
        <f>IFERROR(Q203/Q446, "NA")</f>
        <v>NA</v>
      </c>
      <c r="S203" s="14"/>
      <c r="T203" s="12">
        <v>0.0</v>
      </c>
      <c r="U203" s="13" t="str">
        <f>IFERROR(T203/T446, "NA")</f>
        <v>NA</v>
      </c>
      <c r="V203" s="14"/>
      <c r="W203" s="15">
        <f t="shared" si="59"/>
        <v>0</v>
      </c>
      <c r="X203" s="13" t="str">
        <f>IFERROR(W203/W446, "NA")</f>
        <v>NA</v>
      </c>
      <c r="Y203" s="14"/>
      <c r="Z203" s="12">
        <v>0.0</v>
      </c>
      <c r="AA203" s="13" t="str">
        <f>IFERROR(Z203/Z446, "NA")</f>
        <v>NA</v>
      </c>
      <c r="AB203" s="14"/>
      <c r="AC203" s="15">
        <f t="shared" si="60"/>
        <v>0</v>
      </c>
      <c r="AD203" s="13" t="str">
        <f>IFERROR(AC203/AC446, "NA")</f>
        <v>NA</v>
      </c>
    </row>
    <row r="204" ht="16.5" hidden="1" customHeight="1">
      <c r="A204" s="11" t="s">
        <v>189</v>
      </c>
      <c r="B204" s="12">
        <v>0.0</v>
      </c>
      <c r="C204" s="13" t="str">
        <f>IFERROR(B204/B446, "NA")</f>
        <v>NA</v>
      </c>
      <c r="D204" s="14"/>
      <c r="E204" s="12">
        <v>0.0</v>
      </c>
      <c r="F204" s="13" t="str">
        <f>IFERROR(E204/E446, "NA")</f>
        <v>NA</v>
      </c>
      <c r="G204" s="14"/>
      <c r="H204" s="15">
        <f t="shared" si="57"/>
        <v>0</v>
      </c>
      <c r="I204" s="13" t="str">
        <f>IFERROR(H204/H446, "NA")</f>
        <v>NA</v>
      </c>
      <c r="J204" s="14"/>
      <c r="K204" s="12">
        <v>0.0</v>
      </c>
      <c r="L204" s="13" t="str">
        <f>IFERROR(K204/K446, "NA")</f>
        <v>NA</v>
      </c>
      <c r="M204" s="14"/>
      <c r="N204" s="15">
        <f t="shared" si="58"/>
        <v>0</v>
      </c>
      <c r="O204" s="13" t="str">
        <f>IFERROR(N204/N446, "NA")</f>
        <v>NA</v>
      </c>
      <c r="P204" s="14"/>
      <c r="Q204" s="12">
        <v>0.0</v>
      </c>
      <c r="R204" s="13" t="str">
        <f>IFERROR(Q204/Q446, "NA")</f>
        <v>NA</v>
      </c>
      <c r="S204" s="14"/>
      <c r="T204" s="12">
        <v>0.0</v>
      </c>
      <c r="U204" s="13" t="str">
        <f>IFERROR(T204/T446, "NA")</f>
        <v>NA</v>
      </c>
      <c r="V204" s="14"/>
      <c r="W204" s="15">
        <f t="shared" si="59"/>
        <v>0</v>
      </c>
      <c r="X204" s="13" t="str">
        <f>IFERROR(W204/W446, "NA")</f>
        <v>NA</v>
      </c>
      <c r="Y204" s="14"/>
      <c r="Z204" s="12">
        <v>0.0</v>
      </c>
      <c r="AA204" s="13" t="str">
        <f>IFERROR(Z204/Z446, "NA")</f>
        <v>NA</v>
      </c>
      <c r="AB204" s="14"/>
      <c r="AC204" s="15">
        <f t="shared" si="60"/>
        <v>0</v>
      </c>
      <c r="AD204" s="13" t="str">
        <f>IFERROR(AC204/AC446, "NA")</f>
        <v>NA</v>
      </c>
    </row>
    <row r="205" ht="16.5" hidden="1" customHeight="1">
      <c r="A205" s="11" t="s">
        <v>190</v>
      </c>
      <c r="B205" s="12">
        <v>0.0</v>
      </c>
      <c r="C205" s="13" t="str">
        <f>IFERROR(B205/B446, "NA")</f>
        <v>NA</v>
      </c>
      <c r="D205" s="14"/>
      <c r="E205" s="12">
        <v>0.0</v>
      </c>
      <c r="F205" s="13" t="str">
        <f>IFERROR(E205/E446, "NA")</f>
        <v>NA</v>
      </c>
      <c r="G205" s="14"/>
      <c r="H205" s="15">
        <f t="shared" si="57"/>
        <v>0</v>
      </c>
      <c r="I205" s="13" t="str">
        <f>IFERROR(H205/H446, "NA")</f>
        <v>NA</v>
      </c>
      <c r="J205" s="14"/>
      <c r="K205" s="12">
        <v>0.0</v>
      </c>
      <c r="L205" s="13" t="str">
        <f>IFERROR(K205/K446, "NA")</f>
        <v>NA</v>
      </c>
      <c r="M205" s="14"/>
      <c r="N205" s="15">
        <f t="shared" si="58"/>
        <v>0</v>
      </c>
      <c r="O205" s="13" t="str">
        <f>IFERROR(N205/N446, "NA")</f>
        <v>NA</v>
      </c>
      <c r="P205" s="14"/>
      <c r="Q205" s="12">
        <v>0.0</v>
      </c>
      <c r="R205" s="13" t="str">
        <f>IFERROR(Q205/Q446, "NA")</f>
        <v>NA</v>
      </c>
      <c r="S205" s="14"/>
      <c r="T205" s="12">
        <v>0.0</v>
      </c>
      <c r="U205" s="13" t="str">
        <f>IFERROR(T205/T446, "NA")</f>
        <v>NA</v>
      </c>
      <c r="V205" s="14"/>
      <c r="W205" s="15">
        <f t="shared" si="59"/>
        <v>0</v>
      </c>
      <c r="X205" s="13" t="str">
        <f>IFERROR(W205/W446, "NA")</f>
        <v>NA</v>
      </c>
      <c r="Y205" s="14"/>
      <c r="Z205" s="12">
        <v>0.0</v>
      </c>
      <c r="AA205" s="13" t="str">
        <f>IFERROR(Z205/Z446, "NA")</f>
        <v>NA</v>
      </c>
      <c r="AB205" s="14"/>
      <c r="AC205" s="15">
        <f t="shared" si="60"/>
        <v>0</v>
      </c>
      <c r="AD205" s="13" t="str">
        <f>IFERROR(AC205/AC446, "NA")</f>
        <v>NA</v>
      </c>
    </row>
    <row r="206" ht="16.5" hidden="1" customHeight="1">
      <c r="A206" s="11" t="s">
        <v>191</v>
      </c>
      <c r="B206" s="12">
        <v>0.0</v>
      </c>
      <c r="C206" s="13" t="str">
        <f>IFERROR(B206/B446, "NA")</f>
        <v>NA</v>
      </c>
      <c r="D206" s="14"/>
      <c r="E206" s="12">
        <v>0.0</v>
      </c>
      <c r="F206" s="13" t="str">
        <f>IFERROR(E206/E446, "NA")</f>
        <v>NA</v>
      </c>
      <c r="G206" s="14"/>
      <c r="H206" s="15">
        <f t="shared" si="57"/>
        <v>0</v>
      </c>
      <c r="I206" s="13" t="str">
        <f>IFERROR(H206/H446, "NA")</f>
        <v>NA</v>
      </c>
      <c r="J206" s="14"/>
      <c r="K206" s="12">
        <v>0.0</v>
      </c>
      <c r="L206" s="13" t="str">
        <f>IFERROR(K206/K446, "NA")</f>
        <v>NA</v>
      </c>
      <c r="M206" s="14"/>
      <c r="N206" s="15">
        <f t="shared" si="58"/>
        <v>0</v>
      </c>
      <c r="O206" s="13" t="str">
        <f>IFERROR(N206/N446, "NA")</f>
        <v>NA</v>
      </c>
      <c r="P206" s="14"/>
      <c r="Q206" s="12">
        <v>0.0</v>
      </c>
      <c r="R206" s="13" t="str">
        <f>IFERROR(Q206/Q446, "NA")</f>
        <v>NA</v>
      </c>
      <c r="S206" s="14"/>
      <c r="T206" s="12">
        <v>0.0</v>
      </c>
      <c r="U206" s="13" t="str">
        <f>IFERROR(T206/T446, "NA")</f>
        <v>NA</v>
      </c>
      <c r="V206" s="14"/>
      <c r="W206" s="15">
        <f t="shared" si="59"/>
        <v>0</v>
      </c>
      <c r="X206" s="13" t="str">
        <f>IFERROR(W206/W446, "NA")</f>
        <v>NA</v>
      </c>
      <c r="Y206" s="14"/>
      <c r="Z206" s="12">
        <v>0.0</v>
      </c>
      <c r="AA206" s="13" t="str">
        <f>IFERROR(Z206/Z446, "NA")</f>
        <v>NA</v>
      </c>
      <c r="AB206" s="14"/>
      <c r="AC206" s="15">
        <f t="shared" si="60"/>
        <v>0</v>
      </c>
      <c r="AD206" s="13" t="str">
        <f>IFERROR(AC206/AC446, "NA")</f>
        <v>NA</v>
      </c>
    </row>
    <row r="207" ht="16.5" hidden="1" customHeight="1">
      <c r="A207" s="11" t="s">
        <v>192</v>
      </c>
      <c r="B207" s="12">
        <v>0.0</v>
      </c>
      <c r="C207" s="13" t="str">
        <f>IFERROR(B207/B446, "NA")</f>
        <v>NA</v>
      </c>
      <c r="D207" s="14"/>
      <c r="E207" s="12">
        <v>0.0</v>
      </c>
      <c r="F207" s="13" t="str">
        <f>IFERROR(E207/E446, "NA")</f>
        <v>NA</v>
      </c>
      <c r="G207" s="14"/>
      <c r="H207" s="15">
        <f t="shared" si="57"/>
        <v>0</v>
      </c>
      <c r="I207" s="13" t="str">
        <f>IFERROR(H207/H446, "NA")</f>
        <v>NA</v>
      </c>
      <c r="J207" s="14"/>
      <c r="K207" s="12">
        <v>0.0</v>
      </c>
      <c r="L207" s="13" t="str">
        <f>IFERROR(K207/K446, "NA")</f>
        <v>NA</v>
      </c>
      <c r="M207" s="14"/>
      <c r="N207" s="15">
        <f t="shared" si="58"/>
        <v>0</v>
      </c>
      <c r="O207" s="13" t="str">
        <f>IFERROR(N207/N446, "NA")</f>
        <v>NA</v>
      </c>
      <c r="P207" s="14"/>
      <c r="Q207" s="12">
        <v>0.0</v>
      </c>
      <c r="R207" s="13" t="str">
        <f>IFERROR(Q207/Q446, "NA")</f>
        <v>NA</v>
      </c>
      <c r="S207" s="14"/>
      <c r="T207" s="12">
        <v>0.0</v>
      </c>
      <c r="U207" s="13" t="str">
        <f>IFERROR(T207/T446, "NA")</f>
        <v>NA</v>
      </c>
      <c r="V207" s="14"/>
      <c r="W207" s="15">
        <f t="shared" si="59"/>
        <v>0</v>
      </c>
      <c r="X207" s="13" t="str">
        <f>IFERROR(W207/W446, "NA")</f>
        <v>NA</v>
      </c>
      <c r="Y207" s="14"/>
      <c r="Z207" s="12">
        <v>0.0</v>
      </c>
      <c r="AA207" s="13" t="str">
        <f>IFERROR(Z207/Z446, "NA")</f>
        <v>NA</v>
      </c>
      <c r="AB207" s="14"/>
      <c r="AC207" s="15">
        <f t="shared" si="60"/>
        <v>0</v>
      </c>
      <c r="AD207" s="13" t="str">
        <f>IFERROR(AC207/AC446, "NA")</f>
        <v>NA</v>
      </c>
    </row>
    <row r="208" ht="16.5" hidden="1" customHeight="1">
      <c r="A208" s="11" t="s">
        <v>193</v>
      </c>
      <c r="B208" s="12">
        <v>0.0</v>
      </c>
      <c r="C208" s="13" t="str">
        <f>IFERROR(B208/B446, "NA")</f>
        <v>NA</v>
      </c>
      <c r="D208" s="14"/>
      <c r="E208" s="12">
        <v>0.0</v>
      </c>
      <c r="F208" s="13" t="str">
        <f>IFERROR(E208/E446, "NA")</f>
        <v>NA</v>
      </c>
      <c r="G208" s="14"/>
      <c r="H208" s="15">
        <f t="shared" si="57"/>
        <v>0</v>
      </c>
      <c r="I208" s="13" t="str">
        <f>IFERROR(H208/H446, "NA")</f>
        <v>NA</v>
      </c>
      <c r="J208" s="14"/>
      <c r="K208" s="12">
        <v>0.0</v>
      </c>
      <c r="L208" s="13" t="str">
        <f>IFERROR(K208/K446, "NA")</f>
        <v>NA</v>
      </c>
      <c r="M208" s="14"/>
      <c r="N208" s="15">
        <f t="shared" si="58"/>
        <v>0</v>
      </c>
      <c r="O208" s="13" t="str">
        <f>IFERROR(N208/N446, "NA")</f>
        <v>NA</v>
      </c>
      <c r="P208" s="14"/>
      <c r="Q208" s="12">
        <v>0.0</v>
      </c>
      <c r="R208" s="13" t="str">
        <f>IFERROR(Q208/Q446, "NA")</f>
        <v>NA</v>
      </c>
      <c r="S208" s="14"/>
      <c r="T208" s="12">
        <v>0.0</v>
      </c>
      <c r="U208" s="13" t="str">
        <f>IFERROR(T208/T446, "NA")</f>
        <v>NA</v>
      </c>
      <c r="V208" s="14"/>
      <c r="W208" s="15">
        <f t="shared" si="59"/>
        <v>0</v>
      </c>
      <c r="X208" s="13" t="str">
        <f>IFERROR(W208/W446, "NA")</f>
        <v>NA</v>
      </c>
      <c r="Y208" s="14"/>
      <c r="Z208" s="12">
        <v>0.0</v>
      </c>
      <c r="AA208" s="13" t="str">
        <f>IFERROR(Z208/Z446, "NA")</f>
        <v>NA</v>
      </c>
      <c r="AB208" s="14"/>
      <c r="AC208" s="15">
        <f t="shared" si="60"/>
        <v>0</v>
      </c>
      <c r="AD208" s="13" t="str">
        <f>IFERROR(AC208/AC446, "NA")</f>
        <v>NA</v>
      </c>
    </row>
    <row r="209" ht="16.5" customHeight="1">
      <c r="A209" s="16" t="s">
        <v>194</v>
      </c>
      <c r="B209" s="17">
        <f>IFERROR(B201+B202+B203+B204+B205+B206+B207+B208, "NA")</f>
        <v>0</v>
      </c>
      <c r="C209" s="18" t="str">
        <f>IFERROR(B209/B446, "NA")</f>
        <v>NA</v>
      </c>
      <c r="D209" s="8"/>
      <c r="E209" s="17">
        <f>IFERROR(E201+E202+E203+E204+E205+E206+E207+E208, "NA")</f>
        <v>0</v>
      </c>
      <c r="F209" s="18" t="str">
        <f>IFERROR(E209/E446, "NA")</f>
        <v>NA</v>
      </c>
      <c r="G209" s="8"/>
      <c r="H209" s="17">
        <f t="shared" si="57"/>
        <v>0</v>
      </c>
      <c r="I209" s="18" t="str">
        <f>IFERROR(H209/H446, "NA")</f>
        <v>NA</v>
      </c>
      <c r="J209" s="8"/>
      <c r="K209" s="17">
        <f>IFERROR(K201+K202+K203+K204+K205+K206+K207+K208, "NA")</f>
        <v>0</v>
      </c>
      <c r="L209" s="18" t="str">
        <f>IFERROR(K209/K446, "NA")</f>
        <v>NA</v>
      </c>
      <c r="M209" s="8"/>
      <c r="N209" s="17">
        <f t="shared" si="58"/>
        <v>0</v>
      </c>
      <c r="O209" s="18" t="str">
        <f>IFERROR(N209/N446, "NA")</f>
        <v>NA</v>
      </c>
      <c r="P209" s="8"/>
      <c r="Q209" s="17">
        <f>IFERROR(Q201+Q202+Q203+Q204+Q205+Q206+Q207+Q208, "NA")</f>
        <v>0</v>
      </c>
      <c r="R209" s="18" t="str">
        <f>IFERROR(Q209/Q446, "NA")</f>
        <v>NA</v>
      </c>
      <c r="S209" s="8"/>
      <c r="T209" s="17">
        <f>IFERROR(T201+T202+T203+T204+T205+T206+T207+T208, "NA")</f>
        <v>0</v>
      </c>
      <c r="U209" s="18" t="str">
        <f>IFERROR(T209/T446, "NA")</f>
        <v>NA</v>
      </c>
      <c r="V209" s="8"/>
      <c r="W209" s="17">
        <f t="shared" si="59"/>
        <v>0</v>
      </c>
      <c r="X209" s="18" t="str">
        <f>IFERROR(W209/W446, "NA")</f>
        <v>NA</v>
      </c>
      <c r="Y209" s="8"/>
      <c r="Z209" s="17">
        <f>IFERROR(Z201+Z202+Z203+Z204+Z205+Z206+Z207+Z208, "NA")</f>
        <v>0</v>
      </c>
      <c r="AA209" s="18" t="str">
        <f>IFERROR(Z209/Z446, "NA")</f>
        <v>NA</v>
      </c>
      <c r="AB209" s="8"/>
      <c r="AC209" s="17">
        <f t="shared" si="60"/>
        <v>0</v>
      </c>
      <c r="AD209" s="18" t="str">
        <f>IFERROR(AC209/AC446, "NA")</f>
        <v>NA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 t="str">
        <f>IFERROR(B211/B446, "NA")</f>
        <v>NA</v>
      </c>
      <c r="D211" s="14"/>
      <c r="E211" s="12">
        <v>0.0</v>
      </c>
      <c r="F211" s="13" t="str">
        <f>IFERROR(E211/E446, "NA")</f>
        <v>NA</v>
      </c>
      <c r="G211" s="14"/>
      <c r="H211" s="15">
        <f>IFERROR(-(B211-E211), "NA")</f>
        <v>0</v>
      </c>
      <c r="I211" s="13" t="str">
        <f>IFERROR(H211/H446, "NA")</f>
        <v>NA</v>
      </c>
      <c r="J211" s="14"/>
      <c r="K211" s="12">
        <v>0.0</v>
      </c>
      <c r="L211" s="13" t="str">
        <f>IFERROR(K211/K446, "NA")</f>
        <v>NA</v>
      </c>
      <c r="M211" s="14"/>
      <c r="N211" s="15">
        <f>IFERROR(-(B211-K211), "NA")</f>
        <v>0</v>
      </c>
      <c r="O211" s="13" t="str">
        <f>IFERROR(N211/N446, "NA")</f>
        <v>NA</v>
      </c>
      <c r="P211" s="14"/>
      <c r="Q211" s="12">
        <v>0.0</v>
      </c>
      <c r="R211" s="13" t="str">
        <f>IFERROR(Q211/Q446, "NA")</f>
        <v>NA</v>
      </c>
      <c r="S211" s="14"/>
      <c r="T211" s="12">
        <v>0.0</v>
      </c>
      <c r="U211" s="13" t="str">
        <f>IFERROR(T211/T446, "NA")</f>
        <v>NA</v>
      </c>
      <c r="V211" s="14"/>
      <c r="W211" s="15">
        <f>IFERROR(-(Q211-T211), "NA")</f>
        <v>0</v>
      </c>
      <c r="X211" s="13" t="str">
        <f>IFERROR(W211/W446, "NA")</f>
        <v>NA</v>
      </c>
      <c r="Y211" s="14"/>
      <c r="Z211" s="12">
        <v>0.0</v>
      </c>
      <c r="AA211" s="13" t="str">
        <f>IFERROR(Z211/Z446, "NA")</f>
        <v>NA</v>
      </c>
      <c r="AB211" s="14"/>
      <c r="AC211" s="15">
        <f>IFERROR(-(Q211-Z211), "NA")</f>
        <v>0</v>
      </c>
      <c r="AD211" s="13" t="str">
        <f>IFERROR(AC211/AC446, "NA")</f>
        <v>NA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hidden="1" customHeight="1">
      <c r="A213" s="11" t="s">
        <v>196</v>
      </c>
      <c r="B213" s="12">
        <v>0.0</v>
      </c>
      <c r="C213" s="13" t="str">
        <f>IFERROR(B213/B446, "NA")</f>
        <v>NA</v>
      </c>
      <c r="D213" s="14"/>
      <c r="E213" s="12">
        <v>0.0</v>
      </c>
      <c r="F213" s="13" t="str">
        <f>IFERROR(E213/E446, "NA")</f>
        <v>NA</v>
      </c>
      <c r="G213" s="14"/>
      <c r="H213" s="15">
        <f t="shared" ref="H213:H227" si="61">IFERROR(-(B213-E213), "NA")</f>
        <v>0</v>
      </c>
      <c r="I213" s="13" t="str">
        <f>IFERROR(H213/H446, "NA")</f>
        <v>NA</v>
      </c>
      <c r="J213" s="14"/>
      <c r="K213" s="12">
        <v>0.0</v>
      </c>
      <c r="L213" s="13" t="str">
        <f>IFERROR(K213/K446, "NA")</f>
        <v>NA</v>
      </c>
      <c r="M213" s="14"/>
      <c r="N213" s="15">
        <f t="shared" ref="N213:N227" si="62">IFERROR(-(B213-K213), "NA")</f>
        <v>0</v>
      </c>
      <c r="O213" s="13" t="str">
        <f>IFERROR(N213/N446, "NA")</f>
        <v>NA</v>
      </c>
      <c r="P213" s="14"/>
      <c r="Q213" s="12">
        <v>0.0</v>
      </c>
      <c r="R213" s="13" t="str">
        <f>IFERROR(Q213/Q446, "NA")</f>
        <v>NA</v>
      </c>
      <c r="S213" s="14"/>
      <c r="T213" s="12">
        <v>0.0</v>
      </c>
      <c r="U213" s="13" t="str">
        <f>IFERROR(T213/T446, "NA")</f>
        <v>NA</v>
      </c>
      <c r="V213" s="14"/>
      <c r="W213" s="15">
        <f t="shared" ref="W213:W227" si="63">IFERROR(-(Q213-T213), "NA")</f>
        <v>0</v>
      </c>
      <c r="X213" s="13" t="str">
        <f>IFERROR(W213/W446, "NA")</f>
        <v>NA</v>
      </c>
      <c r="Y213" s="14"/>
      <c r="Z213" s="12">
        <v>0.0</v>
      </c>
      <c r="AA213" s="13" t="str">
        <f>IFERROR(Z213/Z446, "NA")</f>
        <v>NA</v>
      </c>
      <c r="AB213" s="14"/>
      <c r="AC213" s="15">
        <f t="shared" ref="AC213:AC227" si="64">IFERROR(-(Q213-Z213), "NA")</f>
        <v>0</v>
      </c>
      <c r="AD213" s="13" t="str">
        <f>IFERROR(AC213/AC446, "NA")</f>
        <v>NA</v>
      </c>
    </row>
    <row r="214" ht="16.5" hidden="1" customHeight="1">
      <c r="A214" s="11" t="s">
        <v>197</v>
      </c>
      <c r="B214" s="12">
        <v>0.0</v>
      </c>
      <c r="C214" s="13" t="str">
        <f>IFERROR(B214/B446, "NA")</f>
        <v>NA</v>
      </c>
      <c r="D214" s="14"/>
      <c r="E214" s="12">
        <v>0.0</v>
      </c>
      <c r="F214" s="13" t="str">
        <f>IFERROR(E214/E446, "NA")</f>
        <v>NA</v>
      </c>
      <c r="G214" s="14"/>
      <c r="H214" s="15">
        <f t="shared" si="61"/>
        <v>0</v>
      </c>
      <c r="I214" s="13" t="str">
        <f>IFERROR(H214/H446, "NA")</f>
        <v>NA</v>
      </c>
      <c r="J214" s="14"/>
      <c r="K214" s="12">
        <v>0.0</v>
      </c>
      <c r="L214" s="13" t="str">
        <f>IFERROR(K214/K446, "NA")</f>
        <v>NA</v>
      </c>
      <c r="M214" s="14"/>
      <c r="N214" s="15">
        <f t="shared" si="62"/>
        <v>0</v>
      </c>
      <c r="O214" s="13" t="str">
        <f>IFERROR(N214/N446, "NA")</f>
        <v>NA</v>
      </c>
      <c r="P214" s="14"/>
      <c r="Q214" s="12">
        <v>0.0</v>
      </c>
      <c r="R214" s="13" t="str">
        <f>IFERROR(Q214/Q446, "NA")</f>
        <v>NA</v>
      </c>
      <c r="S214" s="14"/>
      <c r="T214" s="12">
        <v>0.0</v>
      </c>
      <c r="U214" s="13" t="str">
        <f>IFERROR(T214/T446, "NA")</f>
        <v>NA</v>
      </c>
      <c r="V214" s="14"/>
      <c r="W214" s="15">
        <f t="shared" si="63"/>
        <v>0</v>
      </c>
      <c r="X214" s="13" t="str">
        <f>IFERROR(W214/W446, "NA")</f>
        <v>NA</v>
      </c>
      <c r="Y214" s="14"/>
      <c r="Z214" s="12">
        <v>0.0</v>
      </c>
      <c r="AA214" s="13" t="str">
        <f>IFERROR(Z214/Z446, "NA")</f>
        <v>NA</v>
      </c>
      <c r="AB214" s="14"/>
      <c r="AC214" s="15">
        <f t="shared" si="64"/>
        <v>0</v>
      </c>
      <c r="AD214" s="13" t="str">
        <f>IFERROR(AC214/AC446, "NA")</f>
        <v>NA</v>
      </c>
    </row>
    <row r="215" ht="16.5" hidden="1" customHeight="1">
      <c r="A215" s="11" t="s">
        <v>198</v>
      </c>
      <c r="B215" s="12">
        <v>0.0</v>
      </c>
      <c r="C215" s="13" t="str">
        <f>IFERROR(B215/B446, "NA")</f>
        <v>NA</v>
      </c>
      <c r="D215" s="14"/>
      <c r="E215" s="12">
        <v>0.0</v>
      </c>
      <c r="F215" s="13" t="str">
        <f>IFERROR(E215/E446, "NA")</f>
        <v>NA</v>
      </c>
      <c r="G215" s="14"/>
      <c r="H215" s="15">
        <f t="shared" si="61"/>
        <v>0</v>
      </c>
      <c r="I215" s="13" t="str">
        <f>IFERROR(H215/H446, "NA")</f>
        <v>NA</v>
      </c>
      <c r="J215" s="14"/>
      <c r="K215" s="12">
        <v>0.0</v>
      </c>
      <c r="L215" s="13" t="str">
        <f>IFERROR(K215/K446, "NA")</f>
        <v>NA</v>
      </c>
      <c r="M215" s="14"/>
      <c r="N215" s="15">
        <f t="shared" si="62"/>
        <v>0</v>
      </c>
      <c r="O215" s="13" t="str">
        <f>IFERROR(N215/N446, "NA")</f>
        <v>NA</v>
      </c>
      <c r="P215" s="14"/>
      <c r="Q215" s="12">
        <v>0.0</v>
      </c>
      <c r="R215" s="13" t="str">
        <f>IFERROR(Q215/Q446, "NA")</f>
        <v>NA</v>
      </c>
      <c r="S215" s="14"/>
      <c r="T215" s="12">
        <v>0.0</v>
      </c>
      <c r="U215" s="13" t="str">
        <f>IFERROR(T215/T446, "NA")</f>
        <v>NA</v>
      </c>
      <c r="V215" s="14"/>
      <c r="W215" s="15">
        <f t="shared" si="63"/>
        <v>0</v>
      </c>
      <c r="X215" s="13" t="str">
        <f>IFERROR(W215/W446, "NA")</f>
        <v>NA</v>
      </c>
      <c r="Y215" s="14"/>
      <c r="Z215" s="12">
        <v>0.0</v>
      </c>
      <c r="AA215" s="13" t="str">
        <f>IFERROR(Z215/Z446, "NA")</f>
        <v>NA</v>
      </c>
      <c r="AB215" s="14"/>
      <c r="AC215" s="15">
        <f t="shared" si="64"/>
        <v>0</v>
      </c>
      <c r="AD215" s="13" t="str">
        <f>IFERROR(AC215/AC446, "NA")</f>
        <v>NA</v>
      </c>
    </row>
    <row r="216" ht="16.5" hidden="1" customHeight="1">
      <c r="A216" s="11" t="s">
        <v>199</v>
      </c>
      <c r="B216" s="12">
        <v>0.0</v>
      </c>
      <c r="C216" s="13" t="str">
        <f>IFERROR(B216/B446, "NA")</f>
        <v>NA</v>
      </c>
      <c r="D216" s="14"/>
      <c r="E216" s="12">
        <v>0.0</v>
      </c>
      <c r="F216" s="13" t="str">
        <f>IFERROR(E216/E446, "NA")</f>
        <v>NA</v>
      </c>
      <c r="G216" s="14"/>
      <c r="H216" s="15">
        <f t="shared" si="61"/>
        <v>0</v>
      </c>
      <c r="I216" s="13" t="str">
        <f>IFERROR(H216/H446, "NA")</f>
        <v>NA</v>
      </c>
      <c r="J216" s="14"/>
      <c r="K216" s="12">
        <v>0.0</v>
      </c>
      <c r="L216" s="13" t="str">
        <f>IFERROR(K216/K446, "NA")</f>
        <v>NA</v>
      </c>
      <c r="M216" s="14"/>
      <c r="N216" s="15">
        <f t="shared" si="62"/>
        <v>0</v>
      </c>
      <c r="O216" s="13" t="str">
        <f>IFERROR(N216/N446, "NA")</f>
        <v>NA</v>
      </c>
      <c r="P216" s="14"/>
      <c r="Q216" s="12">
        <v>0.0</v>
      </c>
      <c r="R216" s="13" t="str">
        <f>IFERROR(Q216/Q446, "NA")</f>
        <v>NA</v>
      </c>
      <c r="S216" s="14"/>
      <c r="T216" s="12">
        <v>0.0</v>
      </c>
      <c r="U216" s="13" t="str">
        <f>IFERROR(T216/T446, "NA")</f>
        <v>NA</v>
      </c>
      <c r="V216" s="14"/>
      <c r="W216" s="15">
        <f t="shared" si="63"/>
        <v>0</v>
      </c>
      <c r="X216" s="13" t="str">
        <f>IFERROR(W216/W446, "NA")</f>
        <v>NA</v>
      </c>
      <c r="Y216" s="14"/>
      <c r="Z216" s="12">
        <v>0.0</v>
      </c>
      <c r="AA216" s="13" t="str">
        <f>IFERROR(Z216/Z446, "NA")</f>
        <v>NA</v>
      </c>
      <c r="AB216" s="14"/>
      <c r="AC216" s="15">
        <f t="shared" si="64"/>
        <v>0</v>
      </c>
      <c r="AD216" s="13" t="str">
        <f>IFERROR(AC216/AC446, "NA")</f>
        <v>NA</v>
      </c>
    </row>
    <row r="217" ht="16.5" hidden="1" customHeight="1">
      <c r="A217" s="11" t="s">
        <v>200</v>
      </c>
      <c r="B217" s="12">
        <v>0.0</v>
      </c>
      <c r="C217" s="13" t="str">
        <f>IFERROR(B217/B446, "NA")</f>
        <v>NA</v>
      </c>
      <c r="D217" s="14"/>
      <c r="E217" s="12">
        <v>0.0</v>
      </c>
      <c r="F217" s="13" t="str">
        <f>IFERROR(E217/E446, "NA")</f>
        <v>NA</v>
      </c>
      <c r="G217" s="14"/>
      <c r="H217" s="15">
        <f t="shared" si="61"/>
        <v>0</v>
      </c>
      <c r="I217" s="13" t="str">
        <f>IFERROR(H217/H446, "NA")</f>
        <v>NA</v>
      </c>
      <c r="J217" s="14"/>
      <c r="K217" s="12">
        <v>0.0</v>
      </c>
      <c r="L217" s="13" t="str">
        <f>IFERROR(K217/K446, "NA")</f>
        <v>NA</v>
      </c>
      <c r="M217" s="14"/>
      <c r="N217" s="15">
        <f t="shared" si="62"/>
        <v>0</v>
      </c>
      <c r="O217" s="13" t="str">
        <f>IFERROR(N217/N446, "NA")</f>
        <v>NA</v>
      </c>
      <c r="P217" s="14"/>
      <c r="Q217" s="12">
        <v>0.0</v>
      </c>
      <c r="R217" s="13" t="str">
        <f>IFERROR(Q217/Q446, "NA")</f>
        <v>NA</v>
      </c>
      <c r="S217" s="14"/>
      <c r="T217" s="12">
        <v>0.0</v>
      </c>
      <c r="U217" s="13" t="str">
        <f>IFERROR(T217/T446, "NA")</f>
        <v>NA</v>
      </c>
      <c r="V217" s="14"/>
      <c r="W217" s="15">
        <f t="shared" si="63"/>
        <v>0</v>
      </c>
      <c r="X217" s="13" t="str">
        <f>IFERROR(W217/W446, "NA")</f>
        <v>NA</v>
      </c>
      <c r="Y217" s="14"/>
      <c r="Z217" s="12">
        <v>0.0</v>
      </c>
      <c r="AA217" s="13" t="str">
        <f>IFERROR(Z217/Z446, "NA")</f>
        <v>NA</v>
      </c>
      <c r="AB217" s="14"/>
      <c r="AC217" s="15">
        <f t="shared" si="64"/>
        <v>0</v>
      </c>
      <c r="AD217" s="13" t="str">
        <f>IFERROR(AC217/AC446, "NA")</f>
        <v>NA</v>
      </c>
    </row>
    <row r="218" ht="16.5" customHeight="1">
      <c r="A218" s="16" t="s">
        <v>201</v>
      </c>
      <c r="B218" s="17">
        <f>IFERROR(B213+B214+B215+B216+B217, "NA")</f>
        <v>0</v>
      </c>
      <c r="C218" s="18" t="str">
        <f>IFERROR(B218/B446, "NA")</f>
        <v>NA</v>
      </c>
      <c r="D218" s="8"/>
      <c r="E218" s="17">
        <f>IFERROR(E213+E214+E215+E216+E217, "NA")</f>
        <v>0</v>
      </c>
      <c r="F218" s="18" t="str">
        <f>IFERROR(E218/E446, "NA")</f>
        <v>NA</v>
      </c>
      <c r="G218" s="8"/>
      <c r="H218" s="17">
        <f t="shared" si="61"/>
        <v>0</v>
      </c>
      <c r="I218" s="18" t="str">
        <f>IFERROR(H218/H446, "NA")</f>
        <v>NA</v>
      </c>
      <c r="J218" s="8"/>
      <c r="K218" s="17">
        <f>IFERROR(K213+K214+K215+K216+K217, "NA")</f>
        <v>0</v>
      </c>
      <c r="L218" s="18" t="str">
        <f>IFERROR(K218/K446, "NA")</f>
        <v>NA</v>
      </c>
      <c r="M218" s="8"/>
      <c r="N218" s="17">
        <f t="shared" si="62"/>
        <v>0</v>
      </c>
      <c r="O218" s="18" t="str">
        <f>IFERROR(N218/N446, "NA")</f>
        <v>NA</v>
      </c>
      <c r="P218" s="8"/>
      <c r="Q218" s="17">
        <f>IFERROR(Q213+Q214+Q215+Q216+Q217, "NA")</f>
        <v>0</v>
      </c>
      <c r="R218" s="18" t="str">
        <f>IFERROR(Q218/Q446, "NA")</f>
        <v>NA</v>
      </c>
      <c r="S218" s="8"/>
      <c r="T218" s="17">
        <f>IFERROR(T213+T214+T215+T216+T217, "NA")</f>
        <v>0</v>
      </c>
      <c r="U218" s="18" t="str">
        <f>IFERROR(T218/T446, "NA")</f>
        <v>NA</v>
      </c>
      <c r="V218" s="8"/>
      <c r="W218" s="17">
        <f t="shared" si="63"/>
        <v>0</v>
      </c>
      <c r="X218" s="18" t="str">
        <f>IFERROR(W218/W446, "NA")</f>
        <v>NA</v>
      </c>
      <c r="Y218" s="8"/>
      <c r="Z218" s="17">
        <f>IFERROR(Z213+Z214+Z215+Z216+Z217, "NA")</f>
        <v>0</v>
      </c>
      <c r="AA218" s="18" t="str">
        <f>IFERROR(Z218/Z446, "NA")</f>
        <v>NA</v>
      </c>
      <c r="AB218" s="8"/>
      <c r="AC218" s="17">
        <f t="shared" si="64"/>
        <v>0</v>
      </c>
      <c r="AD218" s="18" t="str">
        <f>IFERROR(AC218/AC446, "NA")</f>
        <v>NA</v>
      </c>
    </row>
    <row r="219" ht="16.5" hidden="1" customHeight="1">
      <c r="A219" s="11" t="s">
        <v>202</v>
      </c>
      <c r="B219" s="12">
        <v>0.0</v>
      </c>
      <c r="C219" s="13" t="str">
        <f>IFERROR(B219/B446, "NA")</f>
        <v>NA</v>
      </c>
      <c r="D219" s="14"/>
      <c r="E219" s="12">
        <v>0.0</v>
      </c>
      <c r="F219" s="13" t="str">
        <f>IFERROR(E219/E446, "NA")</f>
        <v>NA</v>
      </c>
      <c r="G219" s="14"/>
      <c r="H219" s="15">
        <f t="shared" si="61"/>
        <v>0</v>
      </c>
      <c r="I219" s="13" t="str">
        <f>IFERROR(H219/H446, "NA")</f>
        <v>NA</v>
      </c>
      <c r="J219" s="14"/>
      <c r="K219" s="12">
        <v>0.0</v>
      </c>
      <c r="L219" s="13" t="str">
        <f>IFERROR(K219/K446, "NA")</f>
        <v>NA</v>
      </c>
      <c r="M219" s="14"/>
      <c r="N219" s="15">
        <f t="shared" si="62"/>
        <v>0</v>
      </c>
      <c r="O219" s="13" t="str">
        <f>IFERROR(N219/N446, "NA")</f>
        <v>NA</v>
      </c>
      <c r="P219" s="14"/>
      <c r="Q219" s="12">
        <v>0.0</v>
      </c>
      <c r="R219" s="13" t="str">
        <f>IFERROR(Q219/Q446, "NA")</f>
        <v>NA</v>
      </c>
      <c r="S219" s="14"/>
      <c r="T219" s="12">
        <v>0.0</v>
      </c>
      <c r="U219" s="13" t="str">
        <f>IFERROR(T219/T446, "NA")</f>
        <v>NA</v>
      </c>
      <c r="V219" s="14"/>
      <c r="W219" s="15">
        <f t="shared" si="63"/>
        <v>0</v>
      </c>
      <c r="X219" s="13" t="str">
        <f>IFERROR(W219/W446, "NA")</f>
        <v>NA</v>
      </c>
      <c r="Y219" s="14"/>
      <c r="Z219" s="12">
        <v>0.0</v>
      </c>
      <c r="AA219" s="13" t="str">
        <f>IFERROR(Z219/Z446, "NA")</f>
        <v>NA</v>
      </c>
      <c r="AB219" s="14"/>
      <c r="AC219" s="15">
        <f t="shared" si="64"/>
        <v>0</v>
      </c>
      <c r="AD219" s="13" t="str">
        <f>IFERROR(AC219/AC446, "NA")</f>
        <v>NA</v>
      </c>
    </row>
    <row r="220" ht="16.5" hidden="1" customHeight="1">
      <c r="A220" s="11" t="s">
        <v>203</v>
      </c>
      <c r="B220" s="12">
        <v>0.0</v>
      </c>
      <c r="C220" s="13" t="str">
        <f>IFERROR(B220/B446, "NA")</f>
        <v>NA</v>
      </c>
      <c r="D220" s="14"/>
      <c r="E220" s="12">
        <v>0.0</v>
      </c>
      <c r="F220" s="13" t="str">
        <f>IFERROR(E220/E446, "NA")</f>
        <v>NA</v>
      </c>
      <c r="G220" s="14"/>
      <c r="H220" s="15">
        <f t="shared" si="61"/>
        <v>0</v>
      </c>
      <c r="I220" s="13" t="str">
        <f>IFERROR(H220/H446, "NA")</f>
        <v>NA</v>
      </c>
      <c r="J220" s="14"/>
      <c r="K220" s="12">
        <v>0.0</v>
      </c>
      <c r="L220" s="13" t="str">
        <f>IFERROR(K220/K446, "NA")</f>
        <v>NA</v>
      </c>
      <c r="M220" s="14"/>
      <c r="N220" s="15">
        <f t="shared" si="62"/>
        <v>0</v>
      </c>
      <c r="O220" s="13" t="str">
        <f>IFERROR(N220/N446, "NA")</f>
        <v>NA</v>
      </c>
      <c r="P220" s="14"/>
      <c r="Q220" s="12">
        <v>0.0</v>
      </c>
      <c r="R220" s="13" t="str">
        <f>IFERROR(Q220/Q446, "NA")</f>
        <v>NA</v>
      </c>
      <c r="S220" s="14"/>
      <c r="T220" s="12">
        <v>0.0</v>
      </c>
      <c r="U220" s="13" t="str">
        <f>IFERROR(T220/T446, "NA")</f>
        <v>NA</v>
      </c>
      <c r="V220" s="14"/>
      <c r="W220" s="15">
        <f t="shared" si="63"/>
        <v>0</v>
      </c>
      <c r="X220" s="13" t="str">
        <f>IFERROR(W220/W446, "NA")</f>
        <v>NA</v>
      </c>
      <c r="Y220" s="14"/>
      <c r="Z220" s="12">
        <v>0.0</v>
      </c>
      <c r="AA220" s="13" t="str">
        <f>IFERROR(Z220/Z446, "NA")</f>
        <v>NA</v>
      </c>
      <c r="AB220" s="14"/>
      <c r="AC220" s="15">
        <f t="shared" si="64"/>
        <v>0</v>
      </c>
      <c r="AD220" s="13" t="str">
        <f>IFERROR(AC220/AC446, "NA")</f>
        <v>NA</v>
      </c>
    </row>
    <row r="221" ht="16.5" hidden="1" customHeight="1">
      <c r="A221" s="11" t="s">
        <v>204</v>
      </c>
      <c r="B221" s="12">
        <v>0.0</v>
      </c>
      <c r="C221" s="13" t="str">
        <f>IFERROR(B221/B446, "NA")</f>
        <v>NA</v>
      </c>
      <c r="D221" s="14"/>
      <c r="E221" s="12">
        <v>0.0</v>
      </c>
      <c r="F221" s="13" t="str">
        <f>IFERROR(E221/E446, "NA")</f>
        <v>NA</v>
      </c>
      <c r="G221" s="14"/>
      <c r="H221" s="15">
        <f t="shared" si="61"/>
        <v>0</v>
      </c>
      <c r="I221" s="13" t="str">
        <f>IFERROR(H221/H446, "NA")</f>
        <v>NA</v>
      </c>
      <c r="J221" s="14"/>
      <c r="K221" s="12">
        <v>0.0</v>
      </c>
      <c r="L221" s="13" t="str">
        <f>IFERROR(K221/K446, "NA")</f>
        <v>NA</v>
      </c>
      <c r="M221" s="14"/>
      <c r="N221" s="15">
        <f t="shared" si="62"/>
        <v>0</v>
      </c>
      <c r="O221" s="13" t="str">
        <f>IFERROR(N221/N446, "NA")</f>
        <v>NA</v>
      </c>
      <c r="P221" s="14"/>
      <c r="Q221" s="12">
        <v>0.0</v>
      </c>
      <c r="R221" s="13" t="str">
        <f>IFERROR(Q221/Q446, "NA")</f>
        <v>NA</v>
      </c>
      <c r="S221" s="14"/>
      <c r="T221" s="12">
        <v>0.0</v>
      </c>
      <c r="U221" s="13" t="str">
        <f>IFERROR(T221/T446, "NA")</f>
        <v>NA</v>
      </c>
      <c r="V221" s="14"/>
      <c r="W221" s="15">
        <f t="shared" si="63"/>
        <v>0</v>
      </c>
      <c r="X221" s="13" t="str">
        <f>IFERROR(W221/W446, "NA")</f>
        <v>NA</v>
      </c>
      <c r="Y221" s="14"/>
      <c r="Z221" s="12">
        <v>0.0</v>
      </c>
      <c r="AA221" s="13" t="str">
        <f>IFERROR(Z221/Z446, "NA")</f>
        <v>NA</v>
      </c>
      <c r="AB221" s="14"/>
      <c r="AC221" s="15">
        <f t="shared" si="64"/>
        <v>0</v>
      </c>
      <c r="AD221" s="13" t="str">
        <f>IFERROR(AC221/AC446, "NA")</f>
        <v>NA</v>
      </c>
    </row>
    <row r="222" ht="16.5" hidden="1" customHeight="1">
      <c r="A222" s="11" t="s">
        <v>205</v>
      </c>
      <c r="B222" s="12">
        <v>0.0</v>
      </c>
      <c r="C222" s="13" t="str">
        <f>IFERROR(B222/B446, "NA")</f>
        <v>NA</v>
      </c>
      <c r="D222" s="14"/>
      <c r="E222" s="12">
        <v>0.0</v>
      </c>
      <c r="F222" s="13" t="str">
        <f>IFERROR(E222/E446, "NA")</f>
        <v>NA</v>
      </c>
      <c r="G222" s="14"/>
      <c r="H222" s="15">
        <f t="shared" si="61"/>
        <v>0</v>
      </c>
      <c r="I222" s="13" t="str">
        <f>IFERROR(H222/H446, "NA")</f>
        <v>NA</v>
      </c>
      <c r="J222" s="14"/>
      <c r="K222" s="12">
        <v>0.0</v>
      </c>
      <c r="L222" s="13" t="str">
        <f>IFERROR(K222/K446, "NA")</f>
        <v>NA</v>
      </c>
      <c r="M222" s="14"/>
      <c r="N222" s="15">
        <f t="shared" si="62"/>
        <v>0</v>
      </c>
      <c r="O222" s="13" t="str">
        <f>IFERROR(N222/N446, "NA")</f>
        <v>NA</v>
      </c>
      <c r="P222" s="14"/>
      <c r="Q222" s="12">
        <v>0.0</v>
      </c>
      <c r="R222" s="13" t="str">
        <f>IFERROR(Q222/Q446, "NA")</f>
        <v>NA</v>
      </c>
      <c r="S222" s="14"/>
      <c r="T222" s="12">
        <v>0.0</v>
      </c>
      <c r="U222" s="13" t="str">
        <f>IFERROR(T222/T446, "NA")</f>
        <v>NA</v>
      </c>
      <c r="V222" s="14"/>
      <c r="W222" s="15">
        <f t="shared" si="63"/>
        <v>0</v>
      </c>
      <c r="X222" s="13" t="str">
        <f>IFERROR(W222/W446, "NA")</f>
        <v>NA</v>
      </c>
      <c r="Y222" s="14"/>
      <c r="Z222" s="12">
        <v>0.0</v>
      </c>
      <c r="AA222" s="13" t="str">
        <f>IFERROR(Z222/Z446, "NA")</f>
        <v>NA</v>
      </c>
      <c r="AB222" s="14"/>
      <c r="AC222" s="15">
        <f t="shared" si="64"/>
        <v>0</v>
      </c>
      <c r="AD222" s="13" t="str">
        <f>IFERROR(AC222/AC446, "NA")</f>
        <v>NA</v>
      </c>
    </row>
    <row r="223" ht="16.5" hidden="1" customHeight="1">
      <c r="A223" s="11" t="s">
        <v>206</v>
      </c>
      <c r="B223" s="12">
        <v>0.0</v>
      </c>
      <c r="C223" s="13" t="str">
        <f>IFERROR(B223/B446, "NA")</f>
        <v>NA</v>
      </c>
      <c r="D223" s="14"/>
      <c r="E223" s="12">
        <v>0.0</v>
      </c>
      <c r="F223" s="13" t="str">
        <f>IFERROR(E223/E446, "NA")</f>
        <v>NA</v>
      </c>
      <c r="G223" s="14"/>
      <c r="H223" s="15">
        <f t="shared" si="61"/>
        <v>0</v>
      </c>
      <c r="I223" s="13" t="str">
        <f>IFERROR(H223/H446, "NA")</f>
        <v>NA</v>
      </c>
      <c r="J223" s="14"/>
      <c r="K223" s="12">
        <v>0.0</v>
      </c>
      <c r="L223" s="13" t="str">
        <f>IFERROR(K223/K446, "NA")</f>
        <v>NA</v>
      </c>
      <c r="M223" s="14"/>
      <c r="N223" s="15">
        <f t="shared" si="62"/>
        <v>0</v>
      </c>
      <c r="O223" s="13" t="str">
        <f>IFERROR(N223/N446, "NA")</f>
        <v>NA</v>
      </c>
      <c r="P223" s="14"/>
      <c r="Q223" s="12">
        <v>0.0</v>
      </c>
      <c r="R223" s="13" t="str">
        <f>IFERROR(Q223/Q446, "NA")</f>
        <v>NA</v>
      </c>
      <c r="S223" s="14"/>
      <c r="T223" s="12">
        <v>0.0</v>
      </c>
      <c r="U223" s="13" t="str">
        <f>IFERROR(T223/T446, "NA")</f>
        <v>NA</v>
      </c>
      <c r="V223" s="14"/>
      <c r="W223" s="15">
        <f t="shared" si="63"/>
        <v>0</v>
      </c>
      <c r="X223" s="13" t="str">
        <f>IFERROR(W223/W446, "NA")</f>
        <v>NA</v>
      </c>
      <c r="Y223" s="14"/>
      <c r="Z223" s="12">
        <v>0.0</v>
      </c>
      <c r="AA223" s="13" t="str">
        <f>IFERROR(Z223/Z446, "NA")</f>
        <v>NA</v>
      </c>
      <c r="AB223" s="14"/>
      <c r="AC223" s="15">
        <f t="shared" si="64"/>
        <v>0</v>
      </c>
      <c r="AD223" s="13" t="str">
        <f>IFERROR(AC223/AC446, "NA")</f>
        <v>NA</v>
      </c>
    </row>
    <row r="224" ht="16.5" hidden="1" customHeight="1">
      <c r="A224" s="11" t="s">
        <v>207</v>
      </c>
      <c r="B224" s="12">
        <v>0.0</v>
      </c>
      <c r="C224" s="13" t="str">
        <f>IFERROR(B224/B446, "NA")</f>
        <v>NA</v>
      </c>
      <c r="D224" s="14"/>
      <c r="E224" s="12">
        <v>0.0</v>
      </c>
      <c r="F224" s="13" t="str">
        <f>IFERROR(E224/E446, "NA")</f>
        <v>NA</v>
      </c>
      <c r="G224" s="14"/>
      <c r="H224" s="15">
        <f t="shared" si="61"/>
        <v>0</v>
      </c>
      <c r="I224" s="13" t="str">
        <f>IFERROR(H224/H446, "NA")</f>
        <v>NA</v>
      </c>
      <c r="J224" s="14"/>
      <c r="K224" s="12">
        <v>0.0</v>
      </c>
      <c r="L224" s="13" t="str">
        <f>IFERROR(K224/K446, "NA")</f>
        <v>NA</v>
      </c>
      <c r="M224" s="14"/>
      <c r="N224" s="15">
        <f t="shared" si="62"/>
        <v>0</v>
      </c>
      <c r="O224" s="13" t="str">
        <f>IFERROR(N224/N446, "NA")</f>
        <v>NA</v>
      </c>
      <c r="P224" s="14"/>
      <c r="Q224" s="12">
        <v>0.0</v>
      </c>
      <c r="R224" s="13" t="str">
        <f>IFERROR(Q224/Q446, "NA")</f>
        <v>NA</v>
      </c>
      <c r="S224" s="14"/>
      <c r="T224" s="12">
        <v>0.0</v>
      </c>
      <c r="U224" s="13" t="str">
        <f>IFERROR(T224/T446, "NA")</f>
        <v>NA</v>
      </c>
      <c r="V224" s="14"/>
      <c r="W224" s="15">
        <f t="shared" si="63"/>
        <v>0</v>
      </c>
      <c r="X224" s="13" t="str">
        <f>IFERROR(W224/W446, "NA")</f>
        <v>NA</v>
      </c>
      <c r="Y224" s="14"/>
      <c r="Z224" s="12">
        <v>0.0</v>
      </c>
      <c r="AA224" s="13" t="str">
        <f>IFERROR(Z224/Z446, "NA")</f>
        <v>NA</v>
      </c>
      <c r="AB224" s="14"/>
      <c r="AC224" s="15">
        <f t="shared" si="64"/>
        <v>0</v>
      </c>
      <c r="AD224" s="13" t="str">
        <f>IFERROR(AC224/AC446, "NA")</f>
        <v>NA</v>
      </c>
    </row>
    <row r="225" ht="16.5" hidden="1" customHeight="1">
      <c r="A225" s="11" t="s">
        <v>208</v>
      </c>
      <c r="B225" s="12">
        <v>0.0</v>
      </c>
      <c r="C225" s="13" t="str">
        <f>IFERROR(B225/B446, "NA")</f>
        <v>NA</v>
      </c>
      <c r="D225" s="14"/>
      <c r="E225" s="12">
        <v>0.0</v>
      </c>
      <c r="F225" s="13" t="str">
        <f>IFERROR(E225/E446, "NA")</f>
        <v>NA</v>
      </c>
      <c r="G225" s="14"/>
      <c r="H225" s="15">
        <f t="shared" si="61"/>
        <v>0</v>
      </c>
      <c r="I225" s="13" t="str">
        <f>IFERROR(H225/H446, "NA")</f>
        <v>NA</v>
      </c>
      <c r="J225" s="14"/>
      <c r="K225" s="12">
        <v>0.0</v>
      </c>
      <c r="L225" s="13" t="str">
        <f>IFERROR(K225/K446, "NA")</f>
        <v>NA</v>
      </c>
      <c r="M225" s="14"/>
      <c r="N225" s="15">
        <f t="shared" si="62"/>
        <v>0</v>
      </c>
      <c r="O225" s="13" t="str">
        <f>IFERROR(N225/N446, "NA")</f>
        <v>NA</v>
      </c>
      <c r="P225" s="14"/>
      <c r="Q225" s="12">
        <v>0.0</v>
      </c>
      <c r="R225" s="13" t="str">
        <f>IFERROR(Q225/Q446, "NA")</f>
        <v>NA</v>
      </c>
      <c r="S225" s="14"/>
      <c r="T225" s="12">
        <v>0.0</v>
      </c>
      <c r="U225" s="13" t="str">
        <f>IFERROR(T225/T446, "NA")</f>
        <v>NA</v>
      </c>
      <c r="V225" s="14"/>
      <c r="W225" s="15">
        <f t="shared" si="63"/>
        <v>0</v>
      </c>
      <c r="X225" s="13" t="str">
        <f>IFERROR(W225/W446, "NA")</f>
        <v>NA</v>
      </c>
      <c r="Y225" s="14"/>
      <c r="Z225" s="12">
        <v>0.0</v>
      </c>
      <c r="AA225" s="13" t="str">
        <f>IFERROR(Z225/Z446, "NA")</f>
        <v>NA</v>
      </c>
      <c r="AB225" s="14"/>
      <c r="AC225" s="15">
        <f t="shared" si="64"/>
        <v>0</v>
      </c>
      <c r="AD225" s="13" t="str">
        <f>IFERROR(AC225/AC446, "NA")</f>
        <v>NA</v>
      </c>
    </row>
    <row r="226" ht="16.5" hidden="1" customHeight="1">
      <c r="A226" s="11" t="s">
        <v>209</v>
      </c>
      <c r="B226" s="12">
        <v>0.0</v>
      </c>
      <c r="C226" s="13" t="str">
        <f>IFERROR(B226/B446, "NA")</f>
        <v>NA</v>
      </c>
      <c r="D226" s="14"/>
      <c r="E226" s="12">
        <v>0.0</v>
      </c>
      <c r="F226" s="13" t="str">
        <f>IFERROR(E226/E446, "NA")</f>
        <v>NA</v>
      </c>
      <c r="G226" s="14"/>
      <c r="H226" s="15">
        <f t="shared" si="61"/>
        <v>0</v>
      </c>
      <c r="I226" s="13" t="str">
        <f>IFERROR(H226/H446, "NA")</f>
        <v>NA</v>
      </c>
      <c r="J226" s="14"/>
      <c r="K226" s="12">
        <v>0.0</v>
      </c>
      <c r="L226" s="13" t="str">
        <f>IFERROR(K226/K446, "NA")</f>
        <v>NA</v>
      </c>
      <c r="M226" s="14"/>
      <c r="N226" s="15">
        <f t="shared" si="62"/>
        <v>0</v>
      </c>
      <c r="O226" s="13" t="str">
        <f>IFERROR(N226/N446, "NA")</f>
        <v>NA</v>
      </c>
      <c r="P226" s="14"/>
      <c r="Q226" s="12">
        <v>0.0</v>
      </c>
      <c r="R226" s="13" t="str">
        <f>IFERROR(Q226/Q446, "NA")</f>
        <v>NA</v>
      </c>
      <c r="S226" s="14"/>
      <c r="T226" s="12">
        <v>0.0</v>
      </c>
      <c r="U226" s="13" t="str">
        <f>IFERROR(T226/T446, "NA")</f>
        <v>NA</v>
      </c>
      <c r="V226" s="14"/>
      <c r="W226" s="15">
        <f t="shared" si="63"/>
        <v>0</v>
      </c>
      <c r="X226" s="13" t="str">
        <f>IFERROR(W226/W446, "NA")</f>
        <v>NA</v>
      </c>
      <c r="Y226" s="14"/>
      <c r="Z226" s="12">
        <v>0.0</v>
      </c>
      <c r="AA226" s="13" t="str">
        <f>IFERROR(Z226/Z446, "NA")</f>
        <v>NA</v>
      </c>
      <c r="AB226" s="14"/>
      <c r="AC226" s="15">
        <f t="shared" si="64"/>
        <v>0</v>
      </c>
      <c r="AD226" s="13" t="str">
        <f>IFERROR(AC226/AC446, "NA")</f>
        <v>NA</v>
      </c>
    </row>
    <row r="227" ht="16.5" customHeight="1">
      <c r="A227" s="16" t="s">
        <v>210</v>
      </c>
      <c r="B227" s="17">
        <f>IFERROR(B211+B213+B214+B215+B216+B217+B219+B220+B221+B222+B223+B224+B225+B226, "NA")</f>
        <v>0</v>
      </c>
      <c r="C227" s="18" t="str">
        <f>IFERROR(B227/B446, "NA")</f>
        <v>NA</v>
      </c>
      <c r="D227" s="8"/>
      <c r="E227" s="17">
        <f>IFERROR(E211+E213+E214+E215+E216+E217+E219+E220+E221+E222+E223+E224+E225+E226, "NA")</f>
        <v>0</v>
      </c>
      <c r="F227" s="18" t="str">
        <f>IFERROR(E227/E446, "NA")</f>
        <v>NA</v>
      </c>
      <c r="G227" s="8"/>
      <c r="H227" s="17">
        <f t="shared" si="61"/>
        <v>0</v>
      </c>
      <c r="I227" s="18" t="str">
        <f>IFERROR(H227/H446, "NA")</f>
        <v>NA</v>
      </c>
      <c r="J227" s="8"/>
      <c r="K227" s="17">
        <f>IFERROR(K211+K213+K214+K215+K216+K217+K219+K220+K221+K222+K223+K224+K225+K226, "NA")</f>
        <v>0</v>
      </c>
      <c r="L227" s="18" t="str">
        <f>IFERROR(K227/K446, "NA")</f>
        <v>NA</v>
      </c>
      <c r="M227" s="8"/>
      <c r="N227" s="17">
        <f t="shared" si="62"/>
        <v>0</v>
      </c>
      <c r="O227" s="18" t="str">
        <f>IFERROR(N227/N446, "NA")</f>
        <v>NA</v>
      </c>
      <c r="P227" s="8"/>
      <c r="Q227" s="17">
        <f>IFERROR(Q211+Q213+Q214+Q215+Q216+Q217+Q219+Q220+Q221+Q222+Q223+Q224+Q225+Q226, "NA")</f>
        <v>0</v>
      </c>
      <c r="R227" s="18" t="str">
        <f>IFERROR(Q227/Q446, "NA")</f>
        <v>NA</v>
      </c>
      <c r="S227" s="8"/>
      <c r="T227" s="17">
        <f>IFERROR(T211+T213+T214+T215+T216+T217+T219+T220+T221+T222+T223+T224+T225+T226, "NA")</f>
        <v>0</v>
      </c>
      <c r="U227" s="18" t="str">
        <f>IFERROR(T227/T446, "NA")</f>
        <v>NA</v>
      </c>
      <c r="V227" s="8"/>
      <c r="W227" s="17">
        <f t="shared" si="63"/>
        <v>0</v>
      </c>
      <c r="X227" s="18" t="str">
        <f>IFERROR(W227/W446, "NA")</f>
        <v>NA</v>
      </c>
      <c r="Y227" s="8"/>
      <c r="Z227" s="17">
        <f>IFERROR(Z211+Z213+Z214+Z215+Z216+Z217+Z219+Z220+Z221+Z222+Z223+Z224+Z225+Z226, "NA")</f>
        <v>0</v>
      </c>
      <c r="AA227" s="18" t="str">
        <f>IFERROR(Z227/Z446, "NA")</f>
        <v>NA</v>
      </c>
      <c r="AB227" s="8"/>
      <c r="AC227" s="17">
        <f t="shared" si="64"/>
        <v>0</v>
      </c>
      <c r="AD227" s="18" t="str">
        <f>IFERROR(AC227/AC446, "NA")</f>
        <v>NA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hidden="1" customHeight="1">
      <c r="A229" s="11" t="s">
        <v>211</v>
      </c>
      <c r="B229" s="12">
        <v>0.0</v>
      </c>
      <c r="C229" s="13" t="str">
        <f>IFERROR(B229/B446, "NA")</f>
        <v>NA</v>
      </c>
      <c r="D229" s="14"/>
      <c r="E229" s="12">
        <v>0.0</v>
      </c>
      <c r="F229" s="13" t="str">
        <f>IFERROR(E229/E446, "NA")</f>
        <v>NA</v>
      </c>
      <c r="G229" s="14"/>
      <c r="H229" s="15">
        <f t="shared" ref="H229:H236" si="65">IFERROR(-(B229-E229), "NA")</f>
        <v>0</v>
      </c>
      <c r="I229" s="13" t="str">
        <f>IFERROR(H229/H446, "NA")</f>
        <v>NA</v>
      </c>
      <c r="J229" s="14"/>
      <c r="K229" s="12">
        <v>0.0</v>
      </c>
      <c r="L229" s="13" t="str">
        <f>IFERROR(K229/K446, "NA")</f>
        <v>NA</v>
      </c>
      <c r="M229" s="14"/>
      <c r="N229" s="15">
        <f t="shared" ref="N229:N236" si="66">IFERROR(-(B229-K229), "NA")</f>
        <v>0</v>
      </c>
      <c r="O229" s="13" t="str">
        <f>IFERROR(N229/N446, "NA")</f>
        <v>NA</v>
      </c>
      <c r="P229" s="14"/>
      <c r="Q229" s="12">
        <v>0.0</v>
      </c>
      <c r="R229" s="13" t="str">
        <f>IFERROR(Q229/Q446, "NA")</f>
        <v>NA</v>
      </c>
      <c r="S229" s="14"/>
      <c r="T229" s="12">
        <v>0.0</v>
      </c>
      <c r="U229" s="13" t="str">
        <f>IFERROR(T229/T446, "NA")</f>
        <v>NA</v>
      </c>
      <c r="V229" s="14"/>
      <c r="W229" s="15">
        <f t="shared" ref="W229:W236" si="67">IFERROR(-(Q229-T229), "NA")</f>
        <v>0</v>
      </c>
      <c r="X229" s="13" t="str">
        <f>IFERROR(W229/W446, "NA")</f>
        <v>NA</v>
      </c>
      <c r="Y229" s="14"/>
      <c r="Z229" s="12">
        <v>0.0</v>
      </c>
      <c r="AA229" s="13" t="str">
        <f>IFERROR(Z229/Z446, "NA")</f>
        <v>NA</v>
      </c>
      <c r="AB229" s="14"/>
      <c r="AC229" s="15">
        <f t="shared" ref="AC229:AC236" si="68">IFERROR(-(Q229-Z229), "NA")</f>
        <v>0</v>
      </c>
      <c r="AD229" s="13" t="str">
        <f>IFERROR(AC229/AC446, "NA")</f>
        <v>NA</v>
      </c>
    </row>
    <row r="230" ht="16.5" hidden="1" customHeight="1">
      <c r="A230" s="11" t="s">
        <v>212</v>
      </c>
      <c r="B230" s="12">
        <v>0.0</v>
      </c>
      <c r="C230" s="13" t="str">
        <f>IFERROR(B230/B446, "NA")</f>
        <v>NA</v>
      </c>
      <c r="D230" s="14"/>
      <c r="E230" s="12">
        <v>0.0</v>
      </c>
      <c r="F230" s="13" t="str">
        <f>IFERROR(E230/E446, "NA")</f>
        <v>NA</v>
      </c>
      <c r="G230" s="14"/>
      <c r="H230" s="15">
        <f t="shared" si="65"/>
        <v>0</v>
      </c>
      <c r="I230" s="13" t="str">
        <f>IFERROR(H230/H446, "NA")</f>
        <v>NA</v>
      </c>
      <c r="J230" s="14"/>
      <c r="K230" s="12">
        <v>0.0</v>
      </c>
      <c r="L230" s="13" t="str">
        <f>IFERROR(K230/K446, "NA")</f>
        <v>NA</v>
      </c>
      <c r="M230" s="14"/>
      <c r="N230" s="15">
        <f t="shared" si="66"/>
        <v>0</v>
      </c>
      <c r="O230" s="13" t="str">
        <f>IFERROR(N230/N446, "NA")</f>
        <v>NA</v>
      </c>
      <c r="P230" s="14"/>
      <c r="Q230" s="12">
        <v>0.0</v>
      </c>
      <c r="R230" s="13" t="str">
        <f>IFERROR(Q230/Q446, "NA")</f>
        <v>NA</v>
      </c>
      <c r="S230" s="14"/>
      <c r="T230" s="12">
        <v>0.0</v>
      </c>
      <c r="U230" s="13" t="str">
        <f>IFERROR(T230/T446, "NA")</f>
        <v>NA</v>
      </c>
      <c r="V230" s="14"/>
      <c r="W230" s="15">
        <f t="shared" si="67"/>
        <v>0</v>
      </c>
      <c r="X230" s="13" t="str">
        <f>IFERROR(W230/W446, "NA")</f>
        <v>NA</v>
      </c>
      <c r="Y230" s="14"/>
      <c r="Z230" s="12">
        <v>0.0</v>
      </c>
      <c r="AA230" s="13" t="str">
        <f>IFERROR(Z230/Z446, "NA")</f>
        <v>NA</v>
      </c>
      <c r="AB230" s="14"/>
      <c r="AC230" s="15">
        <f t="shared" si="68"/>
        <v>0</v>
      </c>
      <c r="AD230" s="13" t="str">
        <f>IFERROR(AC230/AC446, "NA")</f>
        <v>NA</v>
      </c>
    </row>
    <row r="231" ht="16.5" hidden="1" customHeight="1">
      <c r="A231" s="11" t="s">
        <v>213</v>
      </c>
      <c r="B231" s="12">
        <v>0.0</v>
      </c>
      <c r="C231" s="13" t="str">
        <f>IFERROR(B231/B446, "NA")</f>
        <v>NA</v>
      </c>
      <c r="D231" s="14"/>
      <c r="E231" s="12">
        <v>0.0</v>
      </c>
      <c r="F231" s="13" t="str">
        <f>IFERROR(E231/E446, "NA")</f>
        <v>NA</v>
      </c>
      <c r="G231" s="14"/>
      <c r="H231" s="15">
        <f t="shared" si="65"/>
        <v>0</v>
      </c>
      <c r="I231" s="13" t="str">
        <f>IFERROR(H231/H446, "NA")</f>
        <v>NA</v>
      </c>
      <c r="J231" s="14"/>
      <c r="K231" s="12">
        <v>0.0</v>
      </c>
      <c r="L231" s="13" t="str">
        <f>IFERROR(K231/K446, "NA")</f>
        <v>NA</v>
      </c>
      <c r="M231" s="14"/>
      <c r="N231" s="15">
        <f t="shared" si="66"/>
        <v>0</v>
      </c>
      <c r="O231" s="13" t="str">
        <f>IFERROR(N231/N446, "NA")</f>
        <v>NA</v>
      </c>
      <c r="P231" s="14"/>
      <c r="Q231" s="12">
        <v>0.0</v>
      </c>
      <c r="R231" s="13" t="str">
        <f>IFERROR(Q231/Q446, "NA")</f>
        <v>NA</v>
      </c>
      <c r="S231" s="14"/>
      <c r="T231" s="12">
        <v>0.0</v>
      </c>
      <c r="U231" s="13" t="str">
        <f>IFERROR(T231/T446, "NA")</f>
        <v>NA</v>
      </c>
      <c r="V231" s="14"/>
      <c r="W231" s="15">
        <f t="shared" si="67"/>
        <v>0</v>
      </c>
      <c r="X231" s="13" t="str">
        <f>IFERROR(W231/W446, "NA")</f>
        <v>NA</v>
      </c>
      <c r="Y231" s="14"/>
      <c r="Z231" s="12">
        <v>0.0</v>
      </c>
      <c r="AA231" s="13" t="str">
        <f>IFERROR(Z231/Z446, "NA")</f>
        <v>NA</v>
      </c>
      <c r="AB231" s="14"/>
      <c r="AC231" s="15">
        <f t="shared" si="68"/>
        <v>0</v>
      </c>
      <c r="AD231" s="13" t="str">
        <f>IFERROR(AC231/AC446, "NA")</f>
        <v>NA</v>
      </c>
    </row>
    <row r="232" ht="16.5" hidden="1" customHeight="1">
      <c r="A232" s="11" t="s">
        <v>214</v>
      </c>
      <c r="B232" s="12">
        <v>0.0</v>
      </c>
      <c r="C232" s="13" t="str">
        <f>IFERROR(B232/B446, "NA")</f>
        <v>NA</v>
      </c>
      <c r="D232" s="14"/>
      <c r="E232" s="12">
        <v>0.0</v>
      </c>
      <c r="F232" s="13" t="str">
        <f>IFERROR(E232/E446, "NA")</f>
        <v>NA</v>
      </c>
      <c r="G232" s="14"/>
      <c r="H232" s="15">
        <f t="shared" si="65"/>
        <v>0</v>
      </c>
      <c r="I232" s="13" t="str">
        <f>IFERROR(H232/H446, "NA")</f>
        <v>NA</v>
      </c>
      <c r="J232" s="14"/>
      <c r="K232" s="12">
        <v>0.0</v>
      </c>
      <c r="L232" s="13" t="str">
        <f>IFERROR(K232/K446, "NA")</f>
        <v>NA</v>
      </c>
      <c r="M232" s="14"/>
      <c r="N232" s="15">
        <f t="shared" si="66"/>
        <v>0</v>
      </c>
      <c r="O232" s="13" t="str">
        <f>IFERROR(N232/N446, "NA")</f>
        <v>NA</v>
      </c>
      <c r="P232" s="14"/>
      <c r="Q232" s="12">
        <v>0.0</v>
      </c>
      <c r="R232" s="13" t="str">
        <f>IFERROR(Q232/Q446, "NA")</f>
        <v>NA</v>
      </c>
      <c r="S232" s="14"/>
      <c r="T232" s="12">
        <v>0.0</v>
      </c>
      <c r="U232" s="13" t="str">
        <f>IFERROR(T232/T446, "NA")</f>
        <v>NA</v>
      </c>
      <c r="V232" s="14"/>
      <c r="W232" s="15">
        <f t="shared" si="67"/>
        <v>0</v>
      </c>
      <c r="X232" s="13" t="str">
        <f>IFERROR(W232/W446, "NA")</f>
        <v>NA</v>
      </c>
      <c r="Y232" s="14"/>
      <c r="Z232" s="12">
        <v>0.0</v>
      </c>
      <c r="AA232" s="13" t="str">
        <f>IFERROR(Z232/Z446, "NA")</f>
        <v>NA</v>
      </c>
      <c r="AB232" s="14"/>
      <c r="AC232" s="15">
        <f t="shared" si="68"/>
        <v>0</v>
      </c>
      <c r="AD232" s="13" t="str">
        <f>IFERROR(AC232/AC446, "NA")</f>
        <v>NA</v>
      </c>
    </row>
    <row r="233" ht="16.5" hidden="1" customHeight="1">
      <c r="A233" s="11" t="s">
        <v>215</v>
      </c>
      <c r="B233" s="12">
        <v>0.0</v>
      </c>
      <c r="C233" s="13" t="str">
        <f>IFERROR(B233/B446, "NA")</f>
        <v>NA</v>
      </c>
      <c r="D233" s="14"/>
      <c r="E233" s="12">
        <v>0.0</v>
      </c>
      <c r="F233" s="13" t="str">
        <f>IFERROR(E233/E446, "NA")</f>
        <v>NA</v>
      </c>
      <c r="G233" s="14"/>
      <c r="H233" s="15">
        <f t="shared" si="65"/>
        <v>0</v>
      </c>
      <c r="I233" s="13" t="str">
        <f>IFERROR(H233/H446, "NA")</f>
        <v>NA</v>
      </c>
      <c r="J233" s="14"/>
      <c r="K233" s="12">
        <v>0.0</v>
      </c>
      <c r="L233" s="13" t="str">
        <f>IFERROR(K233/K446, "NA")</f>
        <v>NA</v>
      </c>
      <c r="M233" s="14"/>
      <c r="N233" s="15">
        <f t="shared" si="66"/>
        <v>0</v>
      </c>
      <c r="O233" s="13" t="str">
        <f>IFERROR(N233/N446, "NA")</f>
        <v>NA</v>
      </c>
      <c r="P233" s="14"/>
      <c r="Q233" s="12">
        <v>0.0</v>
      </c>
      <c r="R233" s="13" t="str">
        <f>IFERROR(Q233/Q446, "NA")</f>
        <v>NA</v>
      </c>
      <c r="S233" s="14"/>
      <c r="T233" s="12">
        <v>0.0</v>
      </c>
      <c r="U233" s="13" t="str">
        <f>IFERROR(T233/T446, "NA")</f>
        <v>NA</v>
      </c>
      <c r="V233" s="14"/>
      <c r="W233" s="15">
        <f t="shared" si="67"/>
        <v>0</v>
      </c>
      <c r="X233" s="13" t="str">
        <f>IFERROR(W233/W446, "NA")</f>
        <v>NA</v>
      </c>
      <c r="Y233" s="14"/>
      <c r="Z233" s="12">
        <v>0.0</v>
      </c>
      <c r="AA233" s="13" t="str">
        <f>IFERROR(Z233/Z446, "NA")</f>
        <v>NA</v>
      </c>
      <c r="AB233" s="14"/>
      <c r="AC233" s="15">
        <f t="shared" si="68"/>
        <v>0</v>
      </c>
      <c r="AD233" s="13" t="str">
        <f>IFERROR(AC233/AC446, "NA")</f>
        <v>NA</v>
      </c>
    </row>
    <row r="234" ht="16.5" hidden="1" customHeight="1">
      <c r="A234" s="11" t="s">
        <v>216</v>
      </c>
      <c r="B234" s="12">
        <v>0.0</v>
      </c>
      <c r="C234" s="13" t="str">
        <f>IFERROR(B234/B446, "NA")</f>
        <v>NA</v>
      </c>
      <c r="D234" s="14"/>
      <c r="E234" s="12">
        <v>0.0</v>
      </c>
      <c r="F234" s="13" t="str">
        <f>IFERROR(E234/E446, "NA")</f>
        <v>NA</v>
      </c>
      <c r="G234" s="14"/>
      <c r="H234" s="15">
        <f t="shared" si="65"/>
        <v>0</v>
      </c>
      <c r="I234" s="13" t="str">
        <f>IFERROR(H234/H446, "NA")</f>
        <v>NA</v>
      </c>
      <c r="J234" s="14"/>
      <c r="K234" s="12">
        <v>0.0</v>
      </c>
      <c r="L234" s="13" t="str">
        <f>IFERROR(K234/K446, "NA")</f>
        <v>NA</v>
      </c>
      <c r="M234" s="14"/>
      <c r="N234" s="15">
        <f t="shared" si="66"/>
        <v>0</v>
      </c>
      <c r="O234" s="13" t="str">
        <f>IFERROR(N234/N446, "NA")</f>
        <v>NA</v>
      </c>
      <c r="P234" s="14"/>
      <c r="Q234" s="12">
        <v>0.0</v>
      </c>
      <c r="R234" s="13" t="str">
        <f>IFERROR(Q234/Q446, "NA")</f>
        <v>NA</v>
      </c>
      <c r="S234" s="14"/>
      <c r="T234" s="12">
        <v>0.0</v>
      </c>
      <c r="U234" s="13" t="str">
        <f>IFERROR(T234/T446, "NA")</f>
        <v>NA</v>
      </c>
      <c r="V234" s="14"/>
      <c r="W234" s="15">
        <f t="shared" si="67"/>
        <v>0</v>
      </c>
      <c r="X234" s="13" t="str">
        <f>IFERROR(W234/W446, "NA")</f>
        <v>NA</v>
      </c>
      <c r="Y234" s="14"/>
      <c r="Z234" s="12">
        <v>0.0</v>
      </c>
      <c r="AA234" s="13" t="str">
        <f>IFERROR(Z234/Z446, "NA")</f>
        <v>NA</v>
      </c>
      <c r="AB234" s="14"/>
      <c r="AC234" s="15">
        <f t="shared" si="68"/>
        <v>0</v>
      </c>
      <c r="AD234" s="13" t="str">
        <f>IFERROR(AC234/AC446, "NA")</f>
        <v>NA</v>
      </c>
    </row>
    <row r="235" ht="16.5" hidden="1" customHeight="1">
      <c r="A235" s="11" t="s">
        <v>217</v>
      </c>
      <c r="B235" s="12">
        <v>0.0</v>
      </c>
      <c r="C235" s="13" t="str">
        <f>IFERROR(B235/B446, "NA")</f>
        <v>NA</v>
      </c>
      <c r="D235" s="14"/>
      <c r="E235" s="12">
        <v>0.0</v>
      </c>
      <c r="F235" s="13" t="str">
        <f>IFERROR(E235/E446, "NA")</f>
        <v>NA</v>
      </c>
      <c r="G235" s="14"/>
      <c r="H235" s="15">
        <f t="shared" si="65"/>
        <v>0</v>
      </c>
      <c r="I235" s="13" t="str">
        <f>IFERROR(H235/H446, "NA")</f>
        <v>NA</v>
      </c>
      <c r="J235" s="14"/>
      <c r="K235" s="12">
        <v>0.0</v>
      </c>
      <c r="L235" s="13" t="str">
        <f>IFERROR(K235/K446, "NA")</f>
        <v>NA</v>
      </c>
      <c r="M235" s="14"/>
      <c r="N235" s="15">
        <f t="shared" si="66"/>
        <v>0</v>
      </c>
      <c r="O235" s="13" t="str">
        <f>IFERROR(N235/N446, "NA")</f>
        <v>NA</v>
      </c>
      <c r="P235" s="14"/>
      <c r="Q235" s="12">
        <v>0.0</v>
      </c>
      <c r="R235" s="13" t="str">
        <f>IFERROR(Q235/Q446, "NA")</f>
        <v>NA</v>
      </c>
      <c r="S235" s="14"/>
      <c r="T235" s="12">
        <v>0.0</v>
      </c>
      <c r="U235" s="13" t="str">
        <f>IFERROR(T235/T446, "NA")</f>
        <v>NA</v>
      </c>
      <c r="V235" s="14"/>
      <c r="W235" s="15">
        <f t="shared" si="67"/>
        <v>0</v>
      </c>
      <c r="X235" s="13" t="str">
        <f>IFERROR(W235/W446, "NA")</f>
        <v>NA</v>
      </c>
      <c r="Y235" s="14"/>
      <c r="Z235" s="12">
        <v>0.0</v>
      </c>
      <c r="AA235" s="13" t="str">
        <f>IFERROR(Z235/Z446, "NA")</f>
        <v>NA</v>
      </c>
      <c r="AB235" s="14"/>
      <c r="AC235" s="15">
        <f t="shared" si="68"/>
        <v>0</v>
      </c>
      <c r="AD235" s="13" t="str">
        <f>IFERROR(AC235/AC446, "NA")</f>
        <v>NA</v>
      </c>
    </row>
    <row r="236" ht="16.5" customHeight="1">
      <c r="A236" s="16" t="s">
        <v>218</v>
      </c>
      <c r="B236" s="17">
        <f>IFERROR(B229+B230+B231+B232+B233+B234+B235, "NA")</f>
        <v>0</v>
      </c>
      <c r="C236" s="18" t="str">
        <f>IFERROR(B236/B446, "NA")</f>
        <v>NA</v>
      </c>
      <c r="D236" s="8"/>
      <c r="E236" s="17">
        <f>IFERROR(E229+E230+E231+E232+E233+E234+E235, "NA")</f>
        <v>0</v>
      </c>
      <c r="F236" s="18" t="str">
        <f>IFERROR(E236/E446, "NA")</f>
        <v>NA</v>
      </c>
      <c r="G236" s="8"/>
      <c r="H236" s="17">
        <f t="shared" si="65"/>
        <v>0</v>
      </c>
      <c r="I236" s="18" t="str">
        <f>IFERROR(H236/H446, "NA")</f>
        <v>NA</v>
      </c>
      <c r="J236" s="8"/>
      <c r="K236" s="17">
        <f>IFERROR(K229+K230+K231+K232+K233+K234+K235, "NA")</f>
        <v>0</v>
      </c>
      <c r="L236" s="18" t="str">
        <f>IFERROR(K236/K446, "NA")</f>
        <v>NA</v>
      </c>
      <c r="M236" s="8"/>
      <c r="N236" s="17">
        <f t="shared" si="66"/>
        <v>0</v>
      </c>
      <c r="O236" s="18" t="str">
        <f>IFERROR(N236/N446, "NA")</f>
        <v>NA</v>
      </c>
      <c r="P236" s="8"/>
      <c r="Q236" s="17">
        <f>IFERROR(Q229+Q230+Q231+Q232+Q233+Q234+Q235, "NA")</f>
        <v>0</v>
      </c>
      <c r="R236" s="18" t="str">
        <f>IFERROR(Q236/Q446, "NA")</f>
        <v>NA</v>
      </c>
      <c r="S236" s="8"/>
      <c r="T236" s="17">
        <f>IFERROR(T229+T230+T231+T232+T233+T234+T235, "NA")</f>
        <v>0</v>
      </c>
      <c r="U236" s="18" t="str">
        <f>IFERROR(T236/T446, "NA")</f>
        <v>NA</v>
      </c>
      <c r="V236" s="8"/>
      <c r="W236" s="17">
        <f t="shared" si="67"/>
        <v>0</v>
      </c>
      <c r="X236" s="18" t="str">
        <f>IFERROR(W236/W446, "NA")</f>
        <v>NA</v>
      </c>
      <c r="Y236" s="8"/>
      <c r="Z236" s="17">
        <f>IFERROR(Z229+Z230+Z231+Z232+Z233+Z234+Z235, "NA")</f>
        <v>0</v>
      </c>
      <c r="AA236" s="18" t="str">
        <f>IFERROR(Z236/Z446, "NA")</f>
        <v>NA</v>
      </c>
      <c r="AB236" s="8"/>
      <c r="AC236" s="17">
        <f t="shared" si="68"/>
        <v>0</v>
      </c>
      <c r="AD236" s="18" t="str">
        <f>IFERROR(AC236/AC446, "NA")</f>
        <v>NA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 t="str">
        <f>IFERROR(B238/B446, "NA")</f>
        <v>NA</v>
      </c>
      <c r="D238" s="14"/>
      <c r="E238" s="12">
        <v>0.0</v>
      </c>
      <c r="F238" s="13" t="str">
        <f>IFERROR(E238/E446, "NA")</f>
        <v>NA</v>
      </c>
      <c r="G238" s="14"/>
      <c r="H238" s="15">
        <f>IFERROR(-(B238-E238), "NA")</f>
        <v>0</v>
      </c>
      <c r="I238" s="13" t="str">
        <f>IFERROR(H238/H446, "NA")</f>
        <v>NA</v>
      </c>
      <c r="J238" s="14"/>
      <c r="K238" s="12">
        <v>0.0</v>
      </c>
      <c r="L238" s="13" t="str">
        <f>IFERROR(K238/K446, "NA")</f>
        <v>NA</v>
      </c>
      <c r="M238" s="14"/>
      <c r="N238" s="15">
        <f>IFERROR(-(B238-K238), "NA")</f>
        <v>0</v>
      </c>
      <c r="O238" s="13" t="str">
        <f>IFERROR(N238/N446, "NA")</f>
        <v>NA</v>
      </c>
      <c r="P238" s="14"/>
      <c r="Q238" s="12">
        <v>0.0</v>
      </c>
      <c r="R238" s="13" t="str">
        <f>IFERROR(Q238/Q446, "NA")</f>
        <v>NA</v>
      </c>
      <c r="S238" s="14"/>
      <c r="T238" s="12">
        <v>0.0</v>
      </c>
      <c r="U238" s="13" t="str">
        <f>IFERROR(T238/T446, "NA")</f>
        <v>NA</v>
      </c>
      <c r="V238" s="14"/>
      <c r="W238" s="15">
        <f>IFERROR(-(Q238-T238), "NA")</f>
        <v>0</v>
      </c>
      <c r="X238" s="13" t="str">
        <f>IFERROR(W238/W446, "NA")</f>
        <v>NA</v>
      </c>
      <c r="Y238" s="14"/>
      <c r="Z238" s="12">
        <v>0.0</v>
      </c>
      <c r="AA238" s="13" t="str">
        <f>IFERROR(Z238/Z446, "NA")</f>
        <v>NA</v>
      </c>
      <c r="AB238" s="14"/>
      <c r="AC238" s="15">
        <f>IFERROR(-(Q238-Z238), "NA")</f>
        <v>0</v>
      </c>
      <c r="AD238" s="13" t="str">
        <f>IFERROR(AC238/AC446, "NA")</f>
        <v>NA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hidden="1" customHeight="1">
      <c r="A240" s="11" t="s">
        <v>220</v>
      </c>
      <c r="B240" s="12">
        <v>0.0</v>
      </c>
      <c r="C240" s="13" t="str">
        <f>IFERROR(B240/B446, "NA")</f>
        <v>NA</v>
      </c>
      <c r="D240" s="14"/>
      <c r="E240" s="12">
        <v>0.0</v>
      </c>
      <c r="F240" s="13" t="str">
        <f>IFERROR(E240/E446, "NA")</f>
        <v>NA</v>
      </c>
      <c r="G240" s="14"/>
      <c r="H240" s="15">
        <f t="shared" ref="H240:H264" si="69">IFERROR(-(B240-E240), "NA")</f>
        <v>0</v>
      </c>
      <c r="I240" s="13" t="str">
        <f>IFERROR(H240/H446, "NA")</f>
        <v>NA</v>
      </c>
      <c r="J240" s="14"/>
      <c r="K240" s="12">
        <v>0.0</v>
      </c>
      <c r="L240" s="13" t="str">
        <f>IFERROR(K240/K446, "NA")</f>
        <v>NA</v>
      </c>
      <c r="M240" s="14"/>
      <c r="N240" s="15">
        <f t="shared" ref="N240:N264" si="70">IFERROR(-(B240-K240), "NA")</f>
        <v>0</v>
      </c>
      <c r="O240" s="13" t="str">
        <f>IFERROR(N240/N446, "NA")</f>
        <v>NA</v>
      </c>
      <c r="P240" s="14"/>
      <c r="Q240" s="12">
        <v>0.0</v>
      </c>
      <c r="R240" s="13" t="str">
        <f>IFERROR(Q240/Q446, "NA")</f>
        <v>NA</v>
      </c>
      <c r="S240" s="14"/>
      <c r="T240" s="12">
        <v>0.0</v>
      </c>
      <c r="U240" s="13" t="str">
        <f>IFERROR(T240/T446, "NA")</f>
        <v>NA</v>
      </c>
      <c r="V240" s="14"/>
      <c r="W240" s="15">
        <f t="shared" ref="W240:W264" si="71">IFERROR(-(Q240-T240), "NA")</f>
        <v>0</v>
      </c>
      <c r="X240" s="13" t="str">
        <f>IFERROR(W240/W446, "NA")</f>
        <v>NA</v>
      </c>
      <c r="Y240" s="14"/>
      <c r="Z240" s="12">
        <v>0.0</v>
      </c>
      <c r="AA240" s="13" t="str">
        <f>IFERROR(Z240/Z446, "NA")</f>
        <v>NA</v>
      </c>
      <c r="AB240" s="14"/>
      <c r="AC240" s="15">
        <f t="shared" ref="AC240:AC264" si="72">IFERROR(-(Q240-Z240), "NA")</f>
        <v>0</v>
      </c>
      <c r="AD240" s="13" t="str">
        <f>IFERROR(AC240/AC446, "NA")</f>
        <v>NA</v>
      </c>
    </row>
    <row r="241" ht="16.5" hidden="1" customHeight="1">
      <c r="A241" s="11" t="s">
        <v>221</v>
      </c>
      <c r="B241" s="12">
        <v>0.0</v>
      </c>
      <c r="C241" s="13" t="str">
        <f>IFERROR(B241/B446, "NA")</f>
        <v>NA</v>
      </c>
      <c r="D241" s="14"/>
      <c r="E241" s="12">
        <v>0.0</v>
      </c>
      <c r="F241" s="13" t="str">
        <f>IFERROR(E241/E446, "NA")</f>
        <v>NA</v>
      </c>
      <c r="G241" s="14"/>
      <c r="H241" s="15">
        <f t="shared" si="69"/>
        <v>0</v>
      </c>
      <c r="I241" s="13" t="str">
        <f>IFERROR(H241/H446, "NA")</f>
        <v>NA</v>
      </c>
      <c r="J241" s="14"/>
      <c r="K241" s="12">
        <v>0.0</v>
      </c>
      <c r="L241" s="13" t="str">
        <f>IFERROR(K241/K446, "NA")</f>
        <v>NA</v>
      </c>
      <c r="M241" s="14"/>
      <c r="N241" s="15">
        <f t="shared" si="70"/>
        <v>0</v>
      </c>
      <c r="O241" s="13" t="str">
        <f>IFERROR(N241/N446, "NA")</f>
        <v>NA</v>
      </c>
      <c r="P241" s="14"/>
      <c r="Q241" s="12">
        <v>0.0</v>
      </c>
      <c r="R241" s="13" t="str">
        <f>IFERROR(Q241/Q446, "NA")</f>
        <v>NA</v>
      </c>
      <c r="S241" s="14"/>
      <c r="T241" s="12">
        <v>0.0</v>
      </c>
      <c r="U241" s="13" t="str">
        <f>IFERROR(T241/T446, "NA")</f>
        <v>NA</v>
      </c>
      <c r="V241" s="14"/>
      <c r="W241" s="15">
        <f t="shared" si="71"/>
        <v>0</v>
      </c>
      <c r="X241" s="13" t="str">
        <f>IFERROR(W241/W446, "NA")</f>
        <v>NA</v>
      </c>
      <c r="Y241" s="14"/>
      <c r="Z241" s="12">
        <v>0.0</v>
      </c>
      <c r="AA241" s="13" t="str">
        <f>IFERROR(Z241/Z446, "NA")</f>
        <v>NA</v>
      </c>
      <c r="AB241" s="14"/>
      <c r="AC241" s="15">
        <f t="shared" si="72"/>
        <v>0</v>
      </c>
      <c r="AD241" s="13" t="str">
        <f>IFERROR(AC241/AC446, "NA")</f>
        <v>NA</v>
      </c>
    </row>
    <row r="242" ht="16.5" hidden="1" customHeight="1">
      <c r="A242" s="11" t="s">
        <v>222</v>
      </c>
      <c r="B242" s="12">
        <v>0.0</v>
      </c>
      <c r="C242" s="13" t="str">
        <f>IFERROR(B242/B446, "NA")</f>
        <v>NA</v>
      </c>
      <c r="D242" s="14"/>
      <c r="E242" s="12">
        <v>0.0</v>
      </c>
      <c r="F242" s="13" t="str">
        <f>IFERROR(E242/E446, "NA")</f>
        <v>NA</v>
      </c>
      <c r="G242" s="14"/>
      <c r="H242" s="15">
        <f t="shared" si="69"/>
        <v>0</v>
      </c>
      <c r="I242" s="13" t="str">
        <f>IFERROR(H242/H446, "NA")</f>
        <v>NA</v>
      </c>
      <c r="J242" s="14"/>
      <c r="K242" s="12">
        <v>0.0</v>
      </c>
      <c r="L242" s="13" t="str">
        <f>IFERROR(K242/K446, "NA")</f>
        <v>NA</v>
      </c>
      <c r="M242" s="14"/>
      <c r="N242" s="15">
        <f t="shared" si="70"/>
        <v>0</v>
      </c>
      <c r="O242" s="13" t="str">
        <f>IFERROR(N242/N446, "NA")</f>
        <v>NA</v>
      </c>
      <c r="P242" s="14"/>
      <c r="Q242" s="12">
        <v>0.0</v>
      </c>
      <c r="R242" s="13" t="str">
        <f>IFERROR(Q242/Q446, "NA")</f>
        <v>NA</v>
      </c>
      <c r="S242" s="14"/>
      <c r="T242" s="12">
        <v>0.0</v>
      </c>
      <c r="U242" s="13" t="str">
        <f>IFERROR(T242/T446, "NA")</f>
        <v>NA</v>
      </c>
      <c r="V242" s="14"/>
      <c r="W242" s="15">
        <f t="shared" si="71"/>
        <v>0</v>
      </c>
      <c r="X242" s="13" t="str">
        <f>IFERROR(W242/W446, "NA")</f>
        <v>NA</v>
      </c>
      <c r="Y242" s="14"/>
      <c r="Z242" s="12">
        <v>0.0</v>
      </c>
      <c r="AA242" s="13" t="str">
        <f>IFERROR(Z242/Z446, "NA")</f>
        <v>NA</v>
      </c>
      <c r="AB242" s="14"/>
      <c r="AC242" s="15">
        <f t="shared" si="72"/>
        <v>0</v>
      </c>
      <c r="AD242" s="13" t="str">
        <f>IFERROR(AC242/AC446, "NA")</f>
        <v>NA</v>
      </c>
    </row>
    <row r="243" ht="16.5" hidden="1" customHeight="1">
      <c r="A243" s="11" t="s">
        <v>223</v>
      </c>
      <c r="B243" s="12">
        <v>0.0</v>
      </c>
      <c r="C243" s="13" t="str">
        <f>IFERROR(B243/B446, "NA")</f>
        <v>NA</v>
      </c>
      <c r="D243" s="14"/>
      <c r="E243" s="12">
        <v>0.0</v>
      </c>
      <c r="F243" s="13" t="str">
        <f>IFERROR(E243/E446, "NA")</f>
        <v>NA</v>
      </c>
      <c r="G243" s="14"/>
      <c r="H243" s="15">
        <f t="shared" si="69"/>
        <v>0</v>
      </c>
      <c r="I243" s="13" t="str">
        <f>IFERROR(H243/H446, "NA")</f>
        <v>NA</v>
      </c>
      <c r="J243" s="14"/>
      <c r="K243" s="12">
        <v>0.0</v>
      </c>
      <c r="L243" s="13" t="str">
        <f>IFERROR(K243/K446, "NA")</f>
        <v>NA</v>
      </c>
      <c r="M243" s="14"/>
      <c r="N243" s="15">
        <f t="shared" si="70"/>
        <v>0</v>
      </c>
      <c r="O243" s="13" t="str">
        <f>IFERROR(N243/N446, "NA")</f>
        <v>NA</v>
      </c>
      <c r="P243" s="14"/>
      <c r="Q243" s="12">
        <v>0.0</v>
      </c>
      <c r="R243" s="13" t="str">
        <f>IFERROR(Q243/Q446, "NA")</f>
        <v>NA</v>
      </c>
      <c r="S243" s="14"/>
      <c r="T243" s="12">
        <v>0.0</v>
      </c>
      <c r="U243" s="13" t="str">
        <f>IFERROR(T243/T446, "NA")</f>
        <v>NA</v>
      </c>
      <c r="V243" s="14"/>
      <c r="W243" s="15">
        <f t="shared" si="71"/>
        <v>0</v>
      </c>
      <c r="X243" s="13" t="str">
        <f>IFERROR(W243/W446, "NA")</f>
        <v>NA</v>
      </c>
      <c r="Y243" s="14"/>
      <c r="Z243" s="12">
        <v>0.0</v>
      </c>
      <c r="AA243" s="13" t="str">
        <f>IFERROR(Z243/Z446, "NA")</f>
        <v>NA</v>
      </c>
      <c r="AB243" s="14"/>
      <c r="AC243" s="15">
        <f t="shared" si="72"/>
        <v>0</v>
      </c>
      <c r="AD243" s="13" t="str">
        <f>IFERROR(AC243/AC446, "NA")</f>
        <v>NA</v>
      </c>
    </row>
    <row r="244" ht="16.5" hidden="1" customHeight="1">
      <c r="A244" s="11" t="s">
        <v>224</v>
      </c>
      <c r="B244" s="12">
        <v>0.0</v>
      </c>
      <c r="C244" s="13" t="str">
        <f>IFERROR(B244/B446, "NA")</f>
        <v>NA</v>
      </c>
      <c r="D244" s="14"/>
      <c r="E244" s="12">
        <v>0.0</v>
      </c>
      <c r="F244" s="13" t="str">
        <f>IFERROR(E244/E446, "NA")</f>
        <v>NA</v>
      </c>
      <c r="G244" s="14"/>
      <c r="H244" s="15">
        <f t="shared" si="69"/>
        <v>0</v>
      </c>
      <c r="I244" s="13" t="str">
        <f>IFERROR(H244/H446, "NA")</f>
        <v>NA</v>
      </c>
      <c r="J244" s="14"/>
      <c r="K244" s="12">
        <v>0.0</v>
      </c>
      <c r="L244" s="13" t="str">
        <f>IFERROR(K244/K446, "NA")</f>
        <v>NA</v>
      </c>
      <c r="M244" s="14"/>
      <c r="N244" s="15">
        <f t="shared" si="70"/>
        <v>0</v>
      </c>
      <c r="O244" s="13" t="str">
        <f>IFERROR(N244/N446, "NA")</f>
        <v>NA</v>
      </c>
      <c r="P244" s="14"/>
      <c r="Q244" s="12">
        <v>0.0</v>
      </c>
      <c r="R244" s="13" t="str">
        <f>IFERROR(Q244/Q446, "NA")</f>
        <v>NA</v>
      </c>
      <c r="S244" s="14"/>
      <c r="T244" s="12">
        <v>0.0</v>
      </c>
      <c r="U244" s="13" t="str">
        <f>IFERROR(T244/T446, "NA")</f>
        <v>NA</v>
      </c>
      <c r="V244" s="14"/>
      <c r="W244" s="15">
        <f t="shared" si="71"/>
        <v>0</v>
      </c>
      <c r="X244" s="13" t="str">
        <f>IFERROR(W244/W446, "NA")</f>
        <v>NA</v>
      </c>
      <c r="Y244" s="14"/>
      <c r="Z244" s="12">
        <v>0.0</v>
      </c>
      <c r="AA244" s="13" t="str">
        <f>IFERROR(Z244/Z446, "NA")</f>
        <v>NA</v>
      </c>
      <c r="AB244" s="14"/>
      <c r="AC244" s="15">
        <f t="shared" si="72"/>
        <v>0</v>
      </c>
      <c r="AD244" s="13" t="str">
        <f>IFERROR(AC244/AC446, "NA")</f>
        <v>NA</v>
      </c>
    </row>
    <row r="245" ht="16.5" hidden="1" customHeight="1">
      <c r="A245" s="11" t="s">
        <v>225</v>
      </c>
      <c r="B245" s="12">
        <v>0.0</v>
      </c>
      <c r="C245" s="13" t="str">
        <f>IFERROR(B245/B446, "NA")</f>
        <v>NA</v>
      </c>
      <c r="D245" s="14"/>
      <c r="E245" s="12">
        <v>0.0</v>
      </c>
      <c r="F245" s="13" t="str">
        <f>IFERROR(E245/E446, "NA")</f>
        <v>NA</v>
      </c>
      <c r="G245" s="14"/>
      <c r="H245" s="15">
        <f t="shared" si="69"/>
        <v>0</v>
      </c>
      <c r="I245" s="13" t="str">
        <f>IFERROR(H245/H446, "NA")</f>
        <v>NA</v>
      </c>
      <c r="J245" s="14"/>
      <c r="K245" s="12">
        <v>0.0</v>
      </c>
      <c r="L245" s="13" t="str">
        <f>IFERROR(K245/K446, "NA")</f>
        <v>NA</v>
      </c>
      <c r="M245" s="14"/>
      <c r="N245" s="15">
        <f t="shared" si="70"/>
        <v>0</v>
      </c>
      <c r="O245" s="13" t="str">
        <f>IFERROR(N245/N446, "NA")</f>
        <v>NA</v>
      </c>
      <c r="P245" s="14"/>
      <c r="Q245" s="12">
        <v>0.0</v>
      </c>
      <c r="R245" s="13" t="str">
        <f>IFERROR(Q245/Q446, "NA")</f>
        <v>NA</v>
      </c>
      <c r="S245" s="14"/>
      <c r="T245" s="12">
        <v>0.0</v>
      </c>
      <c r="U245" s="13" t="str">
        <f>IFERROR(T245/T446, "NA")</f>
        <v>NA</v>
      </c>
      <c r="V245" s="14"/>
      <c r="W245" s="15">
        <f t="shared" si="71"/>
        <v>0</v>
      </c>
      <c r="X245" s="13" t="str">
        <f>IFERROR(W245/W446, "NA")</f>
        <v>NA</v>
      </c>
      <c r="Y245" s="14"/>
      <c r="Z245" s="12">
        <v>0.0</v>
      </c>
      <c r="AA245" s="13" t="str">
        <f>IFERROR(Z245/Z446, "NA")</f>
        <v>NA</v>
      </c>
      <c r="AB245" s="14"/>
      <c r="AC245" s="15">
        <f t="shared" si="72"/>
        <v>0</v>
      </c>
      <c r="AD245" s="13" t="str">
        <f>IFERROR(AC245/AC446, "NA")</f>
        <v>NA</v>
      </c>
    </row>
    <row r="246" ht="16.5" hidden="1" customHeight="1">
      <c r="A246" s="11" t="s">
        <v>226</v>
      </c>
      <c r="B246" s="12">
        <v>0.0</v>
      </c>
      <c r="C246" s="13" t="str">
        <f>IFERROR(B246/B446, "NA")</f>
        <v>NA</v>
      </c>
      <c r="D246" s="14"/>
      <c r="E246" s="12">
        <v>0.0</v>
      </c>
      <c r="F246" s="13" t="str">
        <f>IFERROR(E246/E446, "NA")</f>
        <v>NA</v>
      </c>
      <c r="G246" s="14"/>
      <c r="H246" s="15">
        <f t="shared" si="69"/>
        <v>0</v>
      </c>
      <c r="I246" s="13" t="str">
        <f>IFERROR(H246/H446, "NA")</f>
        <v>NA</v>
      </c>
      <c r="J246" s="14"/>
      <c r="K246" s="12">
        <v>0.0</v>
      </c>
      <c r="L246" s="13" t="str">
        <f>IFERROR(K246/K446, "NA")</f>
        <v>NA</v>
      </c>
      <c r="M246" s="14"/>
      <c r="N246" s="15">
        <f t="shared" si="70"/>
        <v>0</v>
      </c>
      <c r="O246" s="13" t="str">
        <f>IFERROR(N246/N446, "NA")</f>
        <v>NA</v>
      </c>
      <c r="P246" s="14"/>
      <c r="Q246" s="12">
        <v>0.0</v>
      </c>
      <c r="R246" s="13" t="str">
        <f>IFERROR(Q246/Q446, "NA")</f>
        <v>NA</v>
      </c>
      <c r="S246" s="14"/>
      <c r="T246" s="12">
        <v>0.0</v>
      </c>
      <c r="U246" s="13" t="str">
        <f>IFERROR(T246/T446, "NA")</f>
        <v>NA</v>
      </c>
      <c r="V246" s="14"/>
      <c r="W246" s="15">
        <f t="shared" si="71"/>
        <v>0</v>
      </c>
      <c r="X246" s="13" t="str">
        <f>IFERROR(W246/W446, "NA")</f>
        <v>NA</v>
      </c>
      <c r="Y246" s="14"/>
      <c r="Z246" s="12">
        <v>0.0</v>
      </c>
      <c r="AA246" s="13" t="str">
        <f>IFERROR(Z246/Z446, "NA")</f>
        <v>NA</v>
      </c>
      <c r="AB246" s="14"/>
      <c r="AC246" s="15">
        <f t="shared" si="72"/>
        <v>0</v>
      </c>
      <c r="AD246" s="13" t="str">
        <f>IFERROR(AC246/AC446, "NA")</f>
        <v>NA</v>
      </c>
    </row>
    <row r="247" ht="16.5" hidden="1" customHeight="1">
      <c r="A247" s="11" t="s">
        <v>227</v>
      </c>
      <c r="B247" s="12">
        <v>0.0</v>
      </c>
      <c r="C247" s="13" t="str">
        <f>IFERROR(B247/B446, "NA")</f>
        <v>NA</v>
      </c>
      <c r="D247" s="14"/>
      <c r="E247" s="12">
        <v>0.0</v>
      </c>
      <c r="F247" s="13" t="str">
        <f>IFERROR(E247/E446, "NA")</f>
        <v>NA</v>
      </c>
      <c r="G247" s="14"/>
      <c r="H247" s="15">
        <f t="shared" si="69"/>
        <v>0</v>
      </c>
      <c r="I247" s="13" t="str">
        <f>IFERROR(H247/H446, "NA")</f>
        <v>NA</v>
      </c>
      <c r="J247" s="14"/>
      <c r="K247" s="12">
        <v>0.0</v>
      </c>
      <c r="L247" s="13" t="str">
        <f>IFERROR(K247/K446, "NA")</f>
        <v>NA</v>
      </c>
      <c r="M247" s="14"/>
      <c r="N247" s="15">
        <f t="shared" si="70"/>
        <v>0</v>
      </c>
      <c r="O247" s="13" t="str">
        <f>IFERROR(N247/N446, "NA")</f>
        <v>NA</v>
      </c>
      <c r="P247" s="14"/>
      <c r="Q247" s="12">
        <v>0.0</v>
      </c>
      <c r="R247" s="13" t="str">
        <f>IFERROR(Q247/Q446, "NA")</f>
        <v>NA</v>
      </c>
      <c r="S247" s="14"/>
      <c r="T247" s="12">
        <v>0.0</v>
      </c>
      <c r="U247" s="13" t="str">
        <f>IFERROR(T247/T446, "NA")</f>
        <v>NA</v>
      </c>
      <c r="V247" s="14"/>
      <c r="W247" s="15">
        <f t="shared" si="71"/>
        <v>0</v>
      </c>
      <c r="X247" s="13" t="str">
        <f>IFERROR(W247/W446, "NA")</f>
        <v>NA</v>
      </c>
      <c r="Y247" s="14"/>
      <c r="Z247" s="12">
        <v>0.0</v>
      </c>
      <c r="AA247" s="13" t="str">
        <f>IFERROR(Z247/Z446, "NA")</f>
        <v>NA</v>
      </c>
      <c r="AB247" s="14"/>
      <c r="AC247" s="15">
        <f t="shared" si="72"/>
        <v>0</v>
      </c>
      <c r="AD247" s="13" t="str">
        <f>IFERROR(AC247/AC446, "NA")</f>
        <v>NA</v>
      </c>
    </row>
    <row r="248" ht="16.5" hidden="1" customHeight="1">
      <c r="A248" s="11" t="s">
        <v>228</v>
      </c>
      <c r="B248" s="12">
        <v>0.0</v>
      </c>
      <c r="C248" s="13" t="str">
        <f>IFERROR(B248/B446, "NA")</f>
        <v>NA</v>
      </c>
      <c r="D248" s="14"/>
      <c r="E248" s="12">
        <v>0.0</v>
      </c>
      <c r="F248" s="13" t="str">
        <f>IFERROR(E248/E446, "NA")</f>
        <v>NA</v>
      </c>
      <c r="G248" s="14"/>
      <c r="H248" s="15">
        <f t="shared" si="69"/>
        <v>0</v>
      </c>
      <c r="I248" s="13" t="str">
        <f>IFERROR(H248/H446, "NA")</f>
        <v>NA</v>
      </c>
      <c r="J248" s="14"/>
      <c r="K248" s="12">
        <v>0.0</v>
      </c>
      <c r="L248" s="13" t="str">
        <f>IFERROR(K248/K446, "NA")</f>
        <v>NA</v>
      </c>
      <c r="M248" s="14"/>
      <c r="N248" s="15">
        <f t="shared" si="70"/>
        <v>0</v>
      </c>
      <c r="O248" s="13" t="str">
        <f>IFERROR(N248/N446, "NA")</f>
        <v>NA</v>
      </c>
      <c r="P248" s="14"/>
      <c r="Q248" s="12">
        <v>0.0</v>
      </c>
      <c r="R248" s="13" t="str">
        <f>IFERROR(Q248/Q446, "NA")</f>
        <v>NA</v>
      </c>
      <c r="S248" s="14"/>
      <c r="T248" s="12">
        <v>0.0</v>
      </c>
      <c r="U248" s="13" t="str">
        <f>IFERROR(T248/T446, "NA")</f>
        <v>NA</v>
      </c>
      <c r="V248" s="14"/>
      <c r="W248" s="15">
        <f t="shared" si="71"/>
        <v>0</v>
      </c>
      <c r="X248" s="13" t="str">
        <f>IFERROR(W248/W446, "NA")</f>
        <v>NA</v>
      </c>
      <c r="Y248" s="14"/>
      <c r="Z248" s="12">
        <v>0.0</v>
      </c>
      <c r="AA248" s="13" t="str">
        <f>IFERROR(Z248/Z446, "NA")</f>
        <v>NA</v>
      </c>
      <c r="AB248" s="14"/>
      <c r="AC248" s="15">
        <f t="shared" si="72"/>
        <v>0</v>
      </c>
      <c r="AD248" s="13" t="str">
        <f>IFERROR(AC248/AC446, "NA")</f>
        <v>NA</v>
      </c>
    </row>
    <row r="249" ht="16.5" hidden="1" customHeight="1">
      <c r="A249" s="11" t="s">
        <v>229</v>
      </c>
      <c r="B249" s="12">
        <v>0.0</v>
      </c>
      <c r="C249" s="13" t="str">
        <f>IFERROR(B249/B446, "NA")</f>
        <v>NA</v>
      </c>
      <c r="D249" s="14"/>
      <c r="E249" s="12">
        <v>0.0</v>
      </c>
      <c r="F249" s="13" t="str">
        <f>IFERROR(E249/E446, "NA")</f>
        <v>NA</v>
      </c>
      <c r="G249" s="14"/>
      <c r="H249" s="15">
        <f t="shared" si="69"/>
        <v>0</v>
      </c>
      <c r="I249" s="13" t="str">
        <f>IFERROR(H249/H446, "NA")</f>
        <v>NA</v>
      </c>
      <c r="J249" s="14"/>
      <c r="K249" s="12">
        <v>0.0</v>
      </c>
      <c r="L249" s="13" t="str">
        <f>IFERROR(K249/K446, "NA")</f>
        <v>NA</v>
      </c>
      <c r="M249" s="14"/>
      <c r="N249" s="15">
        <f t="shared" si="70"/>
        <v>0</v>
      </c>
      <c r="O249" s="13" t="str">
        <f>IFERROR(N249/N446, "NA")</f>
        <v>NA</v>
      </c>
      <c r="P249" s="14"/>
      <c r="Q249" s="12">
        <v>0.0</v>
      </c>
      <c r="R249" s="13" t="str">
        <f>IFERROR(Q249/Q446, "NA")</f>
        <v>NA</v>
      </c>
      <c r="S249" s="14"/>
      <c r="T249" s="12">
        <v>0.0</v>
      </c>
      <c r="U249" s="13" t="str">
        <f>IFERROR(T249/T446, "NA")</f>
        <v>NA</v>
      </c>
      <c r="V249" s="14"/>
      <c r="W249" s="15">
        <f t="shared" si="71"/>
        <v>0</v>
      </c>
      <c r="X249" s="13" t="str">
        <f>IFERROR(W249/W446, "NA")</f>
        <v>NA</v>
      </c>
      <c r="Y249" s="14"/>
      <c r="Z249" s="12">
        <v>0.0</v>
      </c>
      <c r="AA249" s="13" t="str">
        <f>IFERROR(Z249/Z446, "NA")</f>
        <v>NA</v>
      </c>
      <c r="AB249" s="14"/>
      <c r="AC249" s="15">
        <f t="shared" si="72"/>
        <v>0</v>
      </c>
      <c r="AD249" s="13" t="str">
        <f>IFERROR(AC249/AC446, "NA")</f>
        <v>NA</v>
      </c>
    </row>
    <row r="250" ht="16.5" hidden="1" customHeight="1">
      <c r="A250" s="11" t="s">
        <v>230</v>
      </c>
      <c r="B250" s="12">
        <v>0.0</v>
      </c>
      <c r="C250" s="13" t="str">
        <f>IFERROR(B250/B446, "NA")</f>
        <v>NA</v>
      </c>
      <c r="D250" s="14"/>
      <c r="E250" s="12">
        <v>0.0</v>
      </c>
      <c r="F250" s="13" t="str">
        <f>IFERROR(E250/E446, "NA")</f>
        <v>NA</v>
      </c>
      <c r="G250" s="14"/>
      <c r="H250" s="15">
        <f t="shared" si="69"/>
        <v>0</v>
      </c>
      <c r="I250" s="13" t="str">
        <f>IFERROR(H250/H446, "NA")</f>
        <v>NA</v>
      </c>
      <c r="J250" s="14"/>
      <c r="K250" s="12">
        <v>0.0</v>
      </c>
      <c r="L250" s="13" t="str">
        <f>IFERROR(K250/K446, "NA")</f>
        <v>NA</v>
      </c>
      <c r="M250" s="14"/>
      <c r="N250" s="15">
        <f t="shared" si="70"/>
        <v>0</v>
      </c>
      <c r="O250" s="13" t="str">
        <f>IFERROR(N250/N446, "NA")</f>
        <v>NA</v>
      </c>
      <c r="P250" s="14"/>
      <c r="Q250" s="12">
        <v>0.0</v>
      </c>
      <c r="R250" s="13" t="str">
        <f>IFERROR(Q250/Q446, "NA")</f>
        <v>NA</v>
      </c>
      <c r="S250" s="14"/>
      <c r="T250" s="12">
        <v>0.0</v>
      </c>
      <c r="U250" s="13" t="str">
        <f>IFERROR(T250/T446, "NA")</f>
        <v>NA</v>
      </c>
      <c r="V250" s="14"/>
      <c r="W250" s="15">
        <f t="shared" si="71"/>
        <v>0</v>
      </c>
      <c r="X250" s="13" t="str">
        <f>IFERROR(W250/W446, "NA")</f>
        <v>NA</v>
      </c>
      <c r="Y250" s="14"/>
      <c r="Z250" s="12">
        <v>0.0</v>
      </c>
      <c r="AA250" s="13" t="str">
        <f>IFERROR(Z250/Z446, "NA")</f>
        <v>NA</v>
      </c>
      <c r="AB250" s="14"/>
      <c r="AC250" s="15">
        <f t="shared" si="72"/>
        <v>0</v>
      </c>
      <c r="AD250" s="13" t="str">
        <f>IFERROR(AC250/AC446, "NA")</f>
        <v>NA</v>
      </c>
    </row>
    <row r="251" ht="16.5" hidden="1" customHeight="1">
      <c r="A251" s="11" t="s">
        <v>231</v>
      </c>
      <c r="B251" s="12">
        <v>0.0</v>
      </c>
      <c r="C251" s="13" t="str">
        <f>IFERROR(B251/B446, "NA")</f>
        <v>NA</v>
      </c>
      <c r="D251" s="14"/>
      <c r="E251" s="12">
        <v>0.0</v>
      </c>
      <c r="F251" s="13" t="str">
        <f>IFERROR(E251/E446, "NA")</f>
        <v>NA</v>
      </c>
      <c r="G251" s="14"/>
      <c r="H251" s="15">
        <f t="shared" si="69"/>
        <v>0</v>
      </c>
      <c r="I251" s="13" t="str">
        <f>IFERROR(H251/H446, "NA")</f>
        <v>NA</v>
      </c>
      <c r="J251" s="14"/>
      <c r="K251" s="12">
        <v>0.0</v>
      </c>
      <c r="L251" s="13" t="str">
        <f>IFERROR(K251/K446, "NA")</f>
        <v>NA</v>
      </c>
      <c r="M251" s="14"/>
      <c r="N251" s="15">
        <f t="shared" si="70"/>
        <v>0</v>
      </c>
      <c r="O251" s="13" t="str">
        <f>IFERROR(N251/N446, "NA")</f>
        <v>NA</v>
      </c>
      <c r="P251" s="14"/>
      <c r="Q251" s="12">
        <v>0.0</v>
      </c>
      <c r="R251" s="13" t="str">
        <f>IFERROR(Q251/Q446, "NA")</f>
        <v>NA</v>
      </c>
      <c r="S251" s="14"/>
      <c r="T251" s="12">
        <v>0.0</v>
      </c>
      <c r="U251" s="13" t="str">
        <f>IFERROR(T251/T446, "NA")</f>
        <v>NA</v>
      </c>
      <c r="V251" s="14"/>
      <c r="W251" s="15">
        <f t="shared" si="71"/>
        <v>0</v>
      </c>
      <c r="X251" s="13" t="str">
        <f>IFERROR(W251/W446, "NA")</f>
        <v>NA</v>
      </c>
      <c r="Y251" s="14"/>
      <c r="Z251" s="12">
        <v>0.0</v>
      </c>
      <c r="AA251" s="13" t="str">
        <f>IFERROR(Z251/Z446, "NA")</f>
        <v>NA</v>
      </c>
      <c r="AB251" s="14"/>
      <c r="AC251" s="15">
        <f t="shared" si="72"/>
        <v>0</v>
      </c>
      <c r="AD251" s="13" t="str">
        <f>IFERROR(AC251/AC446, "NA")</f>
        <v>NA</v>
      </c>
    </row>
    <row r="252" ht="16.5" hidden="1" customHeight="1">
      <c r="A252" s="11" t="s">
        <v>232</v>
      </c>
      <c r="B252" s="12">
        <v>0.0</v>
      </c>
      <c r="C252" s="13" t="str">
        <f>IFERROR(B252/B446, "NA")</f>
        <v>NA</v>
      </c>
      <c r="D252" s="14"/>
      <c r="E252" s="12">
        <v>0.0</v>
      </c>
      <c r="F252" s="13" t="str">
        <f>IFERROR(E252/E446, "NA")</f>
        <v>NA</v>
      </c>
      <c r="G252" s="14"/>
      <c r="H252" s="15">
        <f t="shared" si="69"/>
        <v>0</v>
      </c>
      <c r="I252" s="13" t="str">
        <f>IFERROR(H252/H446, "NA")</f>
        <v>NA</v>
      </c>
      <c r="J252" s="14"/>
      <c r="K252" s="12">
        <v>0.0</v>
      </c>
      <c r="L252" s="13" t="str">
        <f>IFERROR(K252/K446, "NA")</f>
        <v>NA</v>
      </c>
      <c r="M252" s="14"/>
      <c r="N252" s="15">
        <f t="shared" si="70"/>
        <v>0</v>
      </c>
      <c r="O252" s="13" t="str">
        <f>IFERROR(N252/N446, "NA")</f>
        <v>NA</v>
      </c>
      <c r="P252" s="14"/>
      <c r="Q252" s="12">
        <v>0.0</v>
      </c>
      <c r="R252" s="13" t="str">
        <f>IFERROR(Q252/Q446, "NA")</f>
        <v>NA</v>
      </c>
      <c r="S252" s="14"/>
      <c r="T252" s="12">
        <v>0.0</v>
      </c>
      <c r="U252" s="13" t="str">
        <f>IFERROR(T252/T446, "NA")</f>
        <v>NA</v>
      </c>
      <c r="V252" s="14"/>
      <c r="W252" s="15">
        <f t="shared" si="71"/>
        <v>0</v>
      </c>
      <c r="X252" s="13" t="str">
        <f>IFERROR(W252/W446, "NA")</f>
        <v>NA</v>
      </c>
      <c r="Y252" s="14"/>
      <c r="Z252" s="12">
        <v>0.0</v>
      </c>
      <c r="AA252" s="13" t="str">
        <f>IFERROR(Z252/Z446, "NA")</f>
        <v>NA</v>
      </c>
      <c r="AB252" s="14"/>
      <c r="AC252" s="15">
        <f t="shared" si="72"/>
        <v>0</v>
      </c>
      <c r="AD252" s="13" t="str">
        <f>IFERROR(AC252/AC446, "NA")</f>
        <v>NA</v>
      </c>
    </row>
    <row r="253" ht="16.5" hidden="1" customHeight="1">
      <c r="A253" s="11" t="s">
        <v>233</v>
      </c>
      <c r="B253" s="12">
        <v>0.0</v>
      </c>
      <c r="C253" s="13" t="str">
        <f>IFERROR(B253/B446, "NA")</f>
        <v>NA</v>
      </c>
      <c r="D253" s="14"/>
      <c r="E253" s="12">
        <v>0.0</v>
      </c>
      <c r="F253" s="13" t="str">
        <f>IFERROR(E253/E446, "NA")</f>
        <v>NA</v>
      </c>
      <c r="G253" s="14"/>
      <c r="H253" s="15">
        <f t="shared" si="69"/>
        <v>0</v>
      </c>
      <c r="I253" s="13" t="str">
        <f>IFERROR(H253/H446, "NA")</f>
        <v>NA</v>
      </c>
      <c r="J253" s="14"/>
      <c r="K253" s="12">
        <v>0.0</v>
      </c>
      <c r="L253" s="13" t="str">
        <f>IFERROR(K253/K446, "NA")</f>
        <v>NA</v>
      </c>
      <c r="M253" s="14"/>
      <c r="N253" s="15">
        <f t="shared" si="70"/>
        <v>0</v>
      </c>
      <c r="O253" s="13" t="str">
        <f>IFERROR(N253/N446, "NA")</f>
        <v>NA</v>
      </c>
      <c r="P253" s="14"/>
      <c r="Q253" s="12">
        <v>0.0</v>
      </c>
      <c r="R253" s="13" t="str">
        <f>IFERROR(Q253/Q446, "NA")</f>
        <v>NA</v>
      </c>
      <c r="S253" s="14"/>
      <c r="T253" s="12">
        <v>0.0</v>
      </c>
      <c r="U253" s="13" t="str">
        <f>IFERROR(T253/T446, "NA")</f>
        <v>NA</v>
      </c>
      <c r="V253" s="14"/>
      <c r="W253" s="15">
        <f t="shared" si="71"/>
        <v>0</v>
      </c>
      <c r="X253" s="13" t="str">
        <f>IFERROR(W253/W446, "NA")</f>
        <v>NA</v>
      </c>
      <c r="Y253" s="14"/>
      <c r="Z253" s="12">
        <v>0.0</v>
      </c>
      <c r="AA253" s="13" t="str">
        <f>IFERROR(Z253/Z446, "NA")</f>
        <v>NA</v>
      </c>
      <c r="AB253" s="14"/>
      <c r="AC253" s="15">
        <f t="shared" si="72"/>
        <v>0</v>
      </c>
      <c r="AD253" s="13" t="str">
        <f>IFERROR(AC253/AC446, "NA")</f>
        <v>NA</v>
      </c>
    </row>
    <row r="254" ht="16.5" hidden="1" customHeight="1">
      <c r="A254" s="11" t="s">
        <v>234</v>
      </c>
      <c r="B254" s="12">
        <v>0.0</v>
      </c>
      <c r="C254" s="13" t="str">
        <f>IFERROR(B254/B446, "NA")</f>
        <v>NA</v>
      </c>
      <c r="D254" s="14"/>
      <c r="E254" s="12">
        <v>0.0</v>
      </c>
      <c r="F254" s="13" t="str">
        <f>IFERROR(E254/E446, "NA")</f>
        <v>NA</v>
      </c>
      <c r="G254" s="14"/>
      <c r="H254" s="15">
        <f t="shared" si="69"/>
        <v>0</v>
      </c>
      <c r="I254" s="13" t="str">
        <f>IFERROR(H254/H446, "NA")</f>
        <v>NA</v>
      </c>
      <c r="J254" s="14"/>
      <c r="K254" s="12">
        <v>0.0</v>
      </c>
      <c r="L254" s="13" t="str">
        <f>IFERROR(K254/K446, "NA")</f>
        <v>NA</v>
      </c>
      <c r="M254" s="14"/>
      <c r="N254" s="15">
        <f t="shared" si="70"/>
        <v>0</v>
      </c>
      <c r="O254" s="13" t="str">
        <f>IFERROR(N254/N446, "NA")</f>
        <v>NA</v>
      </c>
      <c r="P254" s="14"/>
      <c r="Q254" s="12">
        <v>0.0</v>
      </c>
      <c r="R254" s="13" t="str">
        <f>IFERROR(Q254/Q446, "NA")</f>
        <v>NA</v>
      </c>
      <c r="S254" s="14"/>
      <c r="T254" s="12">
        <v>0.0</v>
      </c>
      <c r="U254" s="13" t="str">
        <f>IFERROR(T254/T446, "NA")</f>
        <v>NA</v>
      </c>
      <c r="V254" s="14"/>
      <c r="W254" s="15">
        <f t="shared" si="71"/>
        <v>0</v>
      </c>
      <c r="X254" s="13" t="str">
        <f>IFERROR(W254/W446, "NA")</f>
        <v>NA</v>
      </c>
      <c r="Y254" s="14"/>
      <c r="Z254" s="12">
        <v>0.0</v>
      </c>
      <c r="AA254" s="13" t="str">
        <f>IFERROR(Z254/Z446, "NA")</f>
        <v>NA</v>
      </c>
      <c r="AB254" s="14"/>
      <c r="AC254" s="15">
        <f t="shared" si="72"/>
        <v>0</v>
      </c>
      <c r="AD254" s="13" t="str">
        <f>IFERROR(AC254/AC446, "NA")</f>
        <v>NA</v>
      </c>
    </row>
    <row r="255" ht="16.5" hidden="1" customHeight="1">
      <c r="A255" s="11" t="s">
        <v>235</v>
      </c>
      <c r="B255" s="12">
        <v>0.0</v>
      </c>
      <c r="C255" s="13" t="str">
        <f>IFERROR(B255/B446, "NA")</f>
        <v>NA</v>
      </c>
      <c r="D255" s="14"/>
      <c r="E255" s="12">
        <v>0.0</v>
      </c>
      <c r="F255" s="13" t="str">
        <f>IFERROR(E255/E446, "NA")</f>
        <v>NA</v>
      </c>
      <c r="G255" s="14"/>
      <c r="H255" s="15">
        <f t="shared" si="69"/>
        <v>0</v>
      </c>
      <c r="I255" s="13" t="str">
        <f>IFERROR(H255/H446, "NA")</f>
        <v>NA</v>
      </c>
      <c r="J255" s="14"/>
      <c r="K255" s="12">
        <v>0.0</v>
      </c>
      <c r="L255" s="13" t="str">
        <f>IFERROR(K255/K446, "NA")</f>
        <v>NA</v>
      </c>
      <c r="M255" s="14"/>
      <c r="N255" s="15">
        <f t="shared" si="70"/>
        <v>0</v>
      </c>
      <c r="O255" s="13" t="str">
        <f>IFERROR(N255/N446, "NA")</f>
        <v>NA</v>
      </c>
      <c r="P255" s="14"/>
      <c r="Q255" s="12">
        <v>0.0</v>
      </c>
      <c r="R255" s="13" t="str">
        <f>IFERROR(Q255/Q446, "NA")</f>
        <v>NA</v>
      </c>
      <c r="S255" s="14"/>
      <c r="T255" s="12">
        <v>0.0</v>
      </c>
      <c r="U255" s="13" t="str">
        <f>IFERROR(T255/T446, "NA")</f>
        <v>NA</v>
      </c>
      <c r="V255" s="14"/>
      <c r="W255" s="15">
        <f t="shared" si="71"/>
        <v>0</v>
      </c>
      <c r="X255" s="13" t="str">
        <f>IFERROR(W255/W446, "NA")</f>
        <v>NA</v>
      </c>
      <c r="Y255" s="14"/>
      <c r="Z255" s="12">
        <v>0.0</v>
      </c>
      <c r="AA255" s="13" t="str">
        <f>IFERROR(Z255/Z446, "NA")</f>
        <v>NA</v>
      </c>
      <c r="AB255" s="14"/>
      <c r="AC255" s="15">
        <f t="shared" si="72"/>
        <v>0</v>
      </c>
      <c r="AD255" s="13" t="str">
        <f>IFERROR(AC255/AC446, "NA")</f>
        <v>NA</v>
      </c>
    </row>
    <row r="256" ht="16.5" hidden="1" customHeight="1">
      <c r="A256" s="11" t="s">
        <v>236</v>
      </c>
      <c r="B256" s="12">
        <v>0.0</v>
      </c>
      <c r="C256" s="13" t="str">
        <f>IFERROR(B256/B446, "NA")</f>
        <v>NA</v>
      </c>
      <c r="D256" s="14"/>
      <c r="E256" s="12">
        <v>0.0</v>
      </c>
      <c r="F256" s="13" t="str">
        <f>IFERROR(E256/E446, "NA")</f>
        <v>NA</v>
      </c>
      <c r="G256" s="14"/>
      <c r="H256" s="15">
        <f t="shared" si="69"/>
        <v>0</v>
      </c>
      <c r="I256" s="13" t="str">
        <f>IFERROR(H256/H446, "NA")</f>
        <v>NA</v>
      </c>
      <c r="J256" s="14"/>
      <c r="K256" s="12">
        <v>0.0</v>
      </c>
      <c r="L256" s="13" t="str">
        <f>IFERROR(K256/K446, "NA")</f>
        <v>NA</v>
      </c>
      <c r="M256" s="14"/>
      <c r="N256" s="15">
        <f t="shared" si="70"/>
        <v>0</v>
      </c>
      <c r="O256" s="13" t="str">
        <f>IFERROR(N256/N446, "NA")</f>
        <v>NA</v>
      </c>
      <c r="P256" s="14"/>
      <c r="Q256" s="12">
        <v>0.0</v>
      </c>
      <c r="R256" s="13" t="str">
        <f>IFERROR(Q256/Q446, "NA")</f>
        <v>NA</v>
      </c>
      <c r="S256" s="14"/>
      <c r="T256" s="12">
        <v>0.0</v>
      </c>
      <c r="U256" s="13" t="str">
        <f>IFERROR(T256/T446, "NA")</f>
        <v>NA</v>
      </c>
      <c r="V256" s="14"/>
      <c r="W256" s="15">
        <f t="shared" si="71"/>
        <v>0</v>
      </c>
      <c r="X256" s="13" t="str">
        <f>IFERROR(W256/W446, "NA")</f>
        <v>NA</v>
      </c>
      <c r="Y256" s="14"/>
      <c r="Z256" s="12">
        <v>0.0</v>
      </c>
      <c r="AA256" s="13" t="str">
        <f>IFERROR(Z256/Z446, "NA")</f>
        <v>NA</v>
      </c>
      <c r="AB256" s="14"/>
      <c r="AC256" s="15">
        <f t="shared" si="72"/>
        <v>0</v>
      </c>
      <c r="AD256" s="13" t="str">
        <f>IFERROR(AC256/AC446, "NA")</f>
        <v>NA</v>
      </c>
    </row>
    <row r="257" ht="16.5" hidden="1" customHeight="1">
      <c r="A257" s="11" t="s">
        <v>237</v>
      </c>
      <c r="B257" s="12">
        <v>0.0</v>
      </c>
      <c r="C257" s="13" t="str">
        <f>IFERROR(B257/B446, "NA")</f>
        <v>NA</v>
      </c>
      <c r="D257" s="14"/>
      <c r="E257" s="12">
        <v>0.0</v>
      </c>
      <c r="F257" s="13" t="str">
        <f>IFERROR(E257/E446, "NA")</f>
        <v>NA</v>
      </c>
      <c r="G257" s="14"/>
      <c r="H257" s="15">
        <f t="shared" si="69"/>
        <v>0</v>
      </c>
      <c r="I257" s="13" t="str">
        <f>IFERROR(H257/H446, "NA")</f>
        <v>NA</v>
      </c>
      <c r="J257" s="14"/>
      <c r="K257" s="12">
        <v>0.0</v>
      </c>
      <c r="L257" s="13" t="str">
        <f>IFERROR(K257/K446, "NA")</f>
        <v>NA</v>
      </c>
      <c r="M257" s="14"/>
      <c r="N257" s="15">
        <f t="shared" si="70"/>
        <v>0</v>
      </c>
      <c r="O257" s="13" t="str">
        <f>IFERROR(N257/N446, "NA")</f>
        <v>NA</v>
      </c>
      <c r="P257" s="14"/>
      <c r="Q257" s="12">
        <v>0.0</v>
      </c>
      <c r="R257" s="13" t="str">
        <f>IFERROR(Q257/Q446, "NA")</f>
        <v>NA</v>
      </c>
      <c r="S257" s="14"/>
      <c r="T257" s="12">
        <v>0.0</v>
      </c>
      <c r="U257" s="13" t="str">
        <f>IFERROR(T257/T446, "NA")</f>
        <v>NA</v>
      </c>
      <c r="V257" s="14"/>
      <c r="W257" s="15">
        <f t="shared" si="71"/>
        <v>0</v>
      </c>
      <c r="X257" s="13" t="str">
        <f>IFERROR(W257/W446, "NA")</f>
        <v>NA</v>
      </c>
      <c r="Y257" s="14"/>
      <c r="Z257" s="12">
        <v>0.0</v>
      </c>
      <c r="AA257" s="13" t="str">
        <f>IFERROR(Z257/Z446, "NA")</f>
        <v>NA</v>
      </c>
      <c r="AB257" s="14"/>
      <c r="AC257" s="15">
        <f t="shared" si="72"/>
        <v>0</v>
      </c>
      <c r="AD257" s="13" t="str">
        <f>IFERROR(AC257/AC446, "NA")</f>
        <v>NA</v>
      </c>
    </row>
    <row r="258" ht="16.5" hidden="1" customHeight="1">
      <c r="A258" s="11" t="s">
        <v>238</v>
      </c>
      <c r="B258" s="12">
        <v>0.0</v>
      </c>
      <c r="C258" s="13" t="str">
        <f>IFERROR(B258/B446, "NA")</f>
        <v>NA</v>
      </c>
      <c r="D258" s="14"/>
      <c r="E258" s="12">
        <v>0.0</v>
      </c>
      <c r="F258" s="13" t="str">
        <f>IFERROR(E258/E446, "NA")</f>
        <v>NA</v>
      </c>
      <c r="G258" s="14"/>
      <c r="H258" s="15">
        <f t="shared" si="69"/>
        <v>0</v>
      </c>
      <c r="I258" s="13" t="str">
        <f>IFERROR(H258/H446, "NA")</f>
        <v>NA</v>
      </c>
      <c r="J258" s="14"/>
      <c r="K258" s="12">
        <v>0.0</v>
      </c>
      <c r="L258" s="13" t="str">
        <f>IFERROR(K258/K446, "NA")</f>
        <v>NA</v>
      </c>
      <c r="M258" s="14"/>
      <c r="N258" s="15">
        <f t="shared" si="70"/>
        <v>0</v>
      </c>
      <c r="O258" s="13" t="str">
        <f>IFERROR(N258/N446, "NA")</f>
        <v>NA</v>
      </c>
      <c r="P258" s="14"/>
      <c r="Q258" s="12">
        <v>0.0</v>
      </c>
      <c r="R258" s="13" t="str">
        <f>IFERROR(Q258/Q446, "NA")</f>
        <v>NA</v>
      </c>
      <c r="S258" s="14"/>
      <c r="T258" s="12">
        <v>0.0</v>
      </c>
      <c r="U258" s="13" t="str">
        <f>IFERROR(T258/T446, "NA")</f>
        <v>NA</v>
      </c>
      <c r="V258" s="14"/>
      <c r="W258" s="15">
        <f t="shared" si="71"/>
        <v>0</v>
      </c>
      <c r="X258" s="13" t="str">
        <f>IFERROR(W258/W446, "NA")</f>
        <v>NA</v>
      </c>
      <c r="Y258" s="14"/>
      <c r="Z258" s="12">
        <v>0.0</v>
      </c>
      <c r="AA258" s="13" t="str">
        <f>IFERROR(Z258/Z446, "NA")</f>
        <v>NA</v>
      </c>
      <c r="AB258" s="14"/>
      <c r="AC258" s="15">
        <f t="shared" si="72"/>
        <v>0</v>
      </c>
      <c r="AD258" s="13" t="str">
        <f>IFERROR(AC258/AC446, "NA")</f>
        <v>NA</v>
      </c>
    </row>
    <row r="259" ht="16.5" hidden="1" customHeight="1">
      <c r="A259" s="11" t="s">
        <v>239</v>
      </c>
      <c r="B259" s="12">
        <v>0.0</v>
      </c>
      <c r="C259" s="13" t="str">
        <f>IFERROR(B259/B446, "NA")</f>
        <v>NA</v>
      </c>
      <c r="D259" s="14"/>
      <c r="E259" s="12">
        <v>0.0</v>
      </c>
      <c r="F259" s="13" t="str">
        <f>IFERROR(E259/E446, "NA")</f>
        <v>NA</v>
      </c>
      <c r="G259" s="14"/>
      <c r="H259" s="15">
        <f t="shared" si="69"/>
        <v>0</v>
      </c>
      <c r="I259" s="13" t="str">
        <f>IFERROR(H259/H446, "NA")</f>
        <v>NA</v>
      </c>
      <c r="J259" s="14"/>
      <c r="K259" s="12">
        <v>0.0</v>
      </c>
      <c r="L259" s="13" t="str">
        <f>IFERROR(K259/K446, "NA")</f>
        <v>NA</v>
      </c>
      <c r="M259" s="14"/>
      <c r="N259" s="15">
        <f t="shared" si="70"/>
        <v>0</v>
      </c>
      <c r="O259" s="13" t="str">
        <f>IFERROR(N259/N446, "NA")</f>
        <v>NA</v>
      </c>
      <c r="P259" s="14"/>
      <c r="Q259" s="12">
        <v>0.0</v>
      </c>
      <c r="R259" s="13" t="str">
        <f>IFERROR(Q259/Q446, "NA")</f>
        <v>NA</v>
      </c>
      <c r="S259" s="14"/>
      <c r="T259" s="12">
        <v>0.0</v>
      </c>
      <c r="U259" s="13" t="str">
        <f>IFERROR(T259/T446, "NA")</f>
        <v>NA</v>
      </c>
      <c r="V259" s="14"/>
      <c r="W259" s="15">
        <f t="shared" si="71"/>
        <v>0</v>
      </c>
      <c r="X259" s="13" t="str">
        <f>IFERROR(W259/W446, "NA")</f>
        <v>NA</v>
      </c>
      <c r="Y259" s="14"/>
      <c r="Z259" s="12">
        <v>0.0</v>
      </c>
      <c r="AA259" s="13" t="str">
        <f>IFERROR(Z259/Z446, "NA")</f>
        <v>NA</v>
      </c>
      <c r="AB259" s="14"/>
      <c r="AC259" s="15">
        <f t="shared" si="72"/>
        <v>0</v>
      </c>
      <c r="AD259" s="13" t="str">
        <f>IFERROR(AC259/AC446, "NA")</f>
        <v>NA</v>
      </c>
    </row>
    <row r="260" ht="16.5" hidden="1" customHeight="1">
      <c r="A260" s="11" t="s">
        <v>240</v>
      </c>
      <c r="B260" s="12">
        <v>0.0</v>
      </c>
      <c r="C260" s="13" t="str">
        <f>IFERROR(B260/B446, "NA")</f>
        <v>NA</v>
      </c>
      <c r="D260" s="14"/>
      <c r="E260" s="12">
        <v>0.0</v>
      </c>
      <c r="F260" s="13" t="str">
        <f>IFERROR(E260/E446, "NA")</f>
        <v>NA</v>
      </c>
      <c r="G260" s="14"/>
      <c r="H260" s="15">
        <f t="shared" si="69"/>
        <v>0</v>
      </c>
      <c r="I260" s="13" t="str">
        <f>IFERROR(H260/H446, "NA")</f>
        <v>NA</v>
      </c>
      <c r="J260" s="14"/>
      <c r="K260" s="12">
        <v>0.0</v>
      </c>
      <c r="L260" s="13" t="str">
        <f>IFERROR(K260/K446, "NA")</f>
        <v>NA</v>
      </c>
      <c r="M260" s="14"/>
      <c r="N260" s="15">
        <f t="shared" si="70"/>
        <v>0</v>
      </c>
      <c r="O260" s="13" t="str">
        <f>IFERROR(N260/N446, "NA")</f>
        <v>NA</v>
      </c>
      <c r="P260" s="14"/>
      <c r="Q260" s="12">
        <v>0.0</v>
      </c>
      <c r="R260" s="13" t="str">
        <f>IFERROR(Q260/Q446, "NA")</f>
        <v>NA</v>
      </c>
      <c r="S260" s="14"/>
      <c r="T260" s="12">
        <v>0.0</v>
      </c>
      <c r="U260" s="13" t="str">
        <f>IFERROR(T260/T446, "NA")</f>
        <v>NA</v>
      </c>
      <c r="V260" s="14"/>
      <c r="W260" s="15">
        <f t="shared" si="71"/>
        <v>0</v>
      </c>
      <c r="X260" s="13" t="str">
        <f>IFERROR(W260/W446, "NA")</f>
        <v>NA</v>
      </c>
      <c r="Y260" s="14"/>
      <c r="Z260" s="12">
        <v>0.0</v>
      </c>
      <c r="AA260" s="13" t="str">
        <f>IFERROR(Z260/Z446, "NA")</f>
        <v>NA</v>
      </c>
      <c r="AB260" s="14"/>
      <c r="AC260" s="15">
        <f t="shared" si="72"/>
        <v>0</v>
      </c>
      <c r="AD260" s="13" t="str">
        <f>IFERROR(AC260/AC446, "NA")</f>
        <v>NA</v>
      </c>
    </row>
    <row r="261" ht="16.5" hidden="1" customHeight="1">
      <c r="A261" s="11" t="s">
        <v>241</v>
      </c>
      <c r="B261" s="12">
        <v>0.0</v>
      </c>
      <c r="C261" s="13" t="str">
        <f>IFERROR(B261/B446, "NA")</f>
        <v>NA</v>
      </c>
      <c r="D261" s="14"/>
      <c r="E261" s="12">
        <v>0.0</v>
      </c>
      <c r="F261" s="13" t="str">
        <f>IFERROR(E261/E446, "NA")</f>
        <v>NA</v>
      </c>
      <c r="G261" s="14"/>
      <c r="H261" s="15">
        <f t="shared" si="69"/>
        <v>0</v>
      </c>
      <c r="I261" s="13" t="str">
        <f>IFERROR(H261/H446, "NA")</f>
        <v>NA</v>
      </c>
      <c r="J261" s="14"/>
      <c r="K261" s="12">
        <v>0.0</v>
      </c>
      <c r="L261" s="13" t="str">
        <f>IFERROR(K261/K446, "NA")</f>
        <v>NA</v>
      </c>
      <c r="M261" s="14"/>
      <c r="N261" s="15">
        <f t="shared" si="70"/>
        <v>0</v>
      </c>
      <c r="O261" s="13" t="str">
        <f>IFERROR(N261/N446, "NA")</f>
        <v>NA</v>
      </c>
      <c r="P261" s="14"/>
      <c r="Q261" s="12">
        <v>0.0</v>
      </c>
      <c r="R261" s="13" t="str">
        <f>IFERROR(Q261/Q446, "NA")</f>
        <v>NA</v>
      </c>
      <c r="S261" s="14"/>
      <c r="T261" s="12">
        <v>0.0</v>
      </c>
      <c r="U261" s="13" t="str">
        <f>IFERROR(T261/T446, "NA")</f>
        <v>NA</v>
      </c>
      <c r="V261" s="14"/>
      <c r="W261" s="15">
        <f t="shared" si="71"/>
        <v>0</v>
      </c>
      <c r="X261" s="13" t="str">
        <f>IFERROR(W261/W446, "NA")</f>
        <v>NA</v>
      </c>
      <c r="Y261" s="14"/>
      <c r="Z261" s="12">
        <v>0.0</v>
      </c>
      <c r="AA261" s="13" t="str">
        <f>IFERROR(Z261/Z446, "NA")</f>
        <v>NA</v>
      </c>
      <c r="AB261" s="14"/>
      <c r="AC261" s="15">
        <f t="shared" si="72"/>
        <v>0</v>
      </c>
      <c r="AD261" s="13" t="str">
        <f>IFERROR(AC261/AC446, "NA")</f>
        <v>NA</v>
      </c>
    </row>
    <row r="262" ht="16.5" hidden="1" customHeight="1">
      <c r="A262" s="11" t="s">
        <v>242</v>
      </c>
      <c r="B262" s="12">
        <v>0.0</v>
      </c>
      <c r="C262" s="13" t="str">
        <f>IFERROR(B262/B446, "NA")</f>
        <v>NA</v>
      </c>
      <c r="D262" s="14"/>
      <c r="E262" s="12">
        <v>0.0</v>
      </c>
      <c r="F262" s="13" t="str">
        <f>IFERROR(E262/E446, "NA")</f>
        <v>NA</v>
      </c>
      <c r="G262" s="14"/>
      <c r="H262" s="15">
        <f t="shared" si="69"/>
        <v>0</v>
      </c>
      <c r="I262" s="13" t="str">
        <f>IFERROR(H262/H446, "NA")</f>
        <v>NA</v>
      </c>
      <c r="J262" s="14"/>
      <c r="K262" s="12">
        <v>0.0</v>
      </c>
      <c r="L262" s="13" t="str">
        <f>IFERROR(K262/K446, "NA")</f>
        <v>NA</v>
      </c>
      <c r="M262" s="14"/>
      <c r="N262" s="15">
        <f t="shared" si="70"/>
        <v>0</v>
      </c>
      <c r="O262" s="13" t="str">
        <f>IFERROR(N262/N446, "NA")</f>
        <v>NA</v>
      </c>
      <c r="P262" s="14"/>
      <c r="Q262" s="12">
        <v>0.0</v>
      </c>
      <c r="R262" s="13" t="str">
        <f>IFERROR(Q262/Q446, "NA")</f>
        <v>NA</v>
      </c>
      <c r="S262" s="14"/>
      <c r="T262" s="12">
        <v>0.0</v>
      </c>
      <c r="U262" s="13" t="str">
        <f>IFERROR(T262/T446, "NA")</f>
        <v>NA</v>
      </c>
      <c r="V262" s="14"/>
      <c r="W262" s="15">
        <f t="shared" si="71"/>
        <v>0</v>
      </c>
      <c r="X262" s="13" t="str">
        <f>IFERROR(W262/W446, "NA")</f>
        <v>NA</v>
      </c>
      <c r="Y262" s="14"/>
      <c r="Z262" s="12">
        <v>0.0</v>
      </c>
      <c r="AA262" s="13" t="str">
        <f>IFERROR(Z262/Z446, "NA")</f>
        <v>NA</v>
      </c>
      <c r="AB262" s="14"/>
      <c r="AC262" s="15">
        <f t="shared" si="72"/>
        <v>0</v>
      </c>
      <c r="AD262" s="13" t="str">
        <f>IFERROR(AC262/AC446, "NA")</f>
        <v>NA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0</v>
      </c>
      <c r="C263" s="18" t="str">
        <f>IFERROR(B263/B446, "NA")</f>
        <v>NA</v>
      </c>
      <c r="D263" s="8"/>
      <c r="E263" s="17">
        <f>IFERROR(E240+E241+E242+E243+E244+E245+E246+E247+E248+E249+E250+E251+E252+E253+E254+E255+E256+E257+E258+E259+E260+E261+E262, "NA")</f>
        <v>0</v>
      </c>
      <c r="F263" s="18" t="str">
        <f>IFERROR(E263/E446, "NA")</f>
        <v>NA</v>
      </c>
      <c r="G263" s="8"/>
      <c r="H263" s="17">
        <f t="shared" si="69"/>
        <v>0</v>
      </c>
      <c r="I263" s="18" t="str">
        <f>IFERROR(H263/H446, "NA")</f>
        <v>NA</v>
      </c>
      <c r="J263" s="8"/>
      <c r="K263" s="17">
        <f>IFERROR(K240+K241+K242+K243+K244+K245+K246+K247+K248+K249+K250+K251+K252+K253+K254+K255+K256+K257+K258+K259+K260+K261+K262, "NA")</f>
        <v>0</v>
      </c>
      <c r="L263" s="18" t="str">
        <f>IFERROR(K263/K446, "NA")</f>
        <v>NA</v>
      </c>
      <c r="M263" s="8"/>
      <c r="N263" s="17">
        <f t="shared" si="70"/>
        <v>0</v>
      </c>
      <c r="O263" s="18" t="str">
        <f>IFERROR(N263/N446, "NA")</f>
        <v>NA</v>
      </c>
      <c r="P263" s="8"/>
      <c r="Q263" s="17">
        <f>IFERROR(Q240+Q241+Q242+Q243+Q244+Q245+Q246+Q247+Q248+Q249+Q250+Q251+Q252+Q253+Q254+Q255+Q256+Q257+Q258+Q259+Q260+Q261+Q262, "NA")</f>
        <v>0</v>
      </c>
      <c r="R263" s="18" t="str">
        <f>IFERROR(Q263/Q446, "NA")</f>
        <v>NA</v>
      </c>
      <c r="S263" s="8"/>
      <c r="T263" s="17">
        <f>IFERROR(T240+T241+T242+T243+T244+T245+T246+T247+T248+T249+T250+T251+T252+T253+T254+T255+T256+T257+T258+T259+T260+T261+T262, "NA")</f>
        <v>0</v>
      </c>
      <c r="U263" s="18" t="str">
        <f>IFERROR(T263/T446, "NA")</f>
        <v>NA</v>
      </c>
      <c r="V263" s="8"/>
      <c r="W263" s="17">
        <f t="shared" si="71"/>
        <v>0</v>
      </c>
      <c r="X263" s="18" t="str">
        <f>IFERROR(W263/W446, "NA")</f>
        <v>NA</v>
      </c>
      <c r="Y263" s="8"/>
      <c r="Z263" s="17">
        <f>IFERROR(Z240+Z241+Z242+Z243+Z244+Z245+Z246+Z247+Z248+Z249+Z250+Z251+Z252+Z253+Z254+Z255+Z256+Z257+Z258+Z259+Z260+Z261+Z262, "NA")</f>
        <v>0</v>
      </c>
      <c r="AA263" s="18" t="str">
        <f>IFERROR(Z263/Z446, "NA")</f>
        <v>NA</v>
      </c>
      <c r="AB263" s="8"/>
      <c r="AC263" s="17">
        <f t="shared" si="72"/>
        <v>0</v>
      </c>
      <c r="AD263" s="18" t="str">
        <f>IFERROR(AC263/AC446, "NA")</f>
        <v>NA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0</v>
      </c>
      <c r="C264" s="18" t="str">
        <f>IFERROR(B264/B446, "NA")</f>
        <v>NA</v>
      </c>
      <c r="D264" s="8"/>
      <c r="E264" s="17">
        <f>IFERROR(E238+E240+E241+E242+E243+E244+E245+E246+E247+E248+E249+E250+E251+E252+E253+E254+E255+E256+E257+E258+E259+E260+E261+E262, "NA")</f>
        <v>0</v>
      </c>
      <c r="F264" s="18" t="str">
        <f>IFERROR(E264/E446, "NA")</f>
        <v>NA</v>
      </c>
      <c r="G264" s="8"/>
      <c r="H264" s="17">
        <f t="shared" si="69"/>
        <v>0</v>
      </c>
      <c r="I264" s="18" t="str">
        <f>IFERROR(H264/H446, "NA")</f>
        <v>NA</v>
      </c>
      <c r="J264" s="8"/>
      <c r="K264" s="17">
        <f>IFERROR(K238+K240+K241+K242+K243+K244+K245+K246+K247+K248+K249+K250+K251+K252+K253+K254+K255+K256+K257+K258+K259+K260+K261+K262, "NA")</f>
        <v>0</v>
      </c>
      <c r="L264" s="18" t="str">
        <f>IFERROR(K264/K446, "NA")</f>
        <v>NA</v>
      </c>
      <c r="M264" s="8"/>
      <c r="N264" s="17">
        <f t="shared" si="70"/>
        <v>0</v>
      </c>
      <c r="O264" s="18" t="str">
        <f>IFERROR(N264/N446, "NA")</f>
        <v>NA</v>
      </c>
      <c r="P264" s="8"/>
      <c r="Q264" s="17">
        <f>IFERROR(Q238+Q240+Q241+Q242+Q243+Q244+Q245+Q246+Q247+Q248+Q249+Q250+Q251+Q252+Q253+Q254+Q255+Q256+Q257+Q258+Q259+Q260+Q261+Q262, "NA")</f>
        <v>0</v>
      </c>
      <c r="R264" s="18" t="str">
        <f>IFERROR(Q264/Q446, "NA")</f>
        <v>NA</v>
      </c>
      <c r="S264" s="8"/>
      <c r="T264" s="17">
        <f>IFERROR(T238+T240+T241+T242+T243+T244+T245+T246+T247+T248+T249+T250+T251+T252+T253+T254+T255+T256+T257+T258+T259+T260+T261+T262, "NA")</f>
        <v>0</v>
      </c>
      <c r="U264" s="18" t="str">
        <f>IFERROR(T264/T446, "NA")</f>
        <v>NA</v>
      </c>
      <c r="V264" s="8"/>
      <c r="W264" s="17">
        <f t="shared" si="71"/>
        <v>0</v>
      </c>
      <c r="X264" s="18" t="str">
        <f>IFERROR(W264/W446, "NA")</f>
        <v>NA</v>
      </c>
      <c r="Y264" s="8"/>
      <c r="Z264" s="17">
        <f>IFERROR(Z238+Z240+Z241+Z242+Z243+Z244+Z245+Z246+Z247+Z248+Z249+Z250+Z251+Z252+Z253+Z254+Z255+Z256+Z257+Z258+Z259+Z260+Z261+Z262, "NA")</f>
        <v>0</v>
      </c>
      <c r="AA264" s="18" t="str">
        <f>IFERROR(Z264/Z446, "NA")</f>
        <v>NA</v>
      </c>
      <c r="AB264" s="8"/>
      <c r="AC264" s="17">
        <f t="shared" si="72"/>
        <v>0</v>
      </c>
      <c r="AD264" s="18" t="str">
        <f>IFERROR(AC264/AC446, "NA")</f>
        <v>NA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hidden="1" customHeight="1">
      <c r="A266" s="11" t="s">
        <v>245</v>
      </c>
      <c r="B266" s="12">
        <v>0.0</v>
      </c>
      <c r="C266" s="13" t="str">
        <f>IFERROR(B266/B446, "NA")</f>
        <v>NA</v>
      </c>
      <c r="D266" s="14"/>
      <c r="E266" s="12">
        <v>0.0</v>
      </c>
      <c r="F266" s="13" t="str">
        <f>IFERROR(E266/E446, "NA")</f>
        <v>NA</v>
      </c>
      <c r="G266" s="14"/>
      <c r="H266" s="15">
        <f t="shared" ref="H266:H268" si="73">IFERROR(-(B266-E266), "NA")</f>
        <v>0</v>
      </c>
      <c r="I266" s="13" t="str">
        <f>IFERROR(H266/H446, "NA")</f>
        <v>NA</v>
      </c>
      <c r="J266" s="14"/>
      <c r="K266" s="12">
        <v>0.0</v>
      </c>
      <c r="L266" s="13" t="str">
        <f>IFERROR(K266/K446, "NA")</f>
        <v>NA</v>
      </c>
      <c r="M266" s="14"/>
      <c r="N266" s="15">
        <f t="shared" ref="N266:N268" si="74">IFERROR(-(B266-K266), "NA")</f>
        <v>0</v>
      </c>
      <c r="O266" s="13" t="str">
        <f>IFERROR(N266/N446, "NA")</f>
        <v>NA</v>
      </c>
      <c r="P266" s="14"/>
      <c r="Q266" s="12">
        <v>0.0</v>
      </c>
      <c r="R266" s="13" t="str">
        <f>IFERROR(Q266/Q446, "NA")</f>
        <v>NA</v>
      </c>
      <c r="S266" s="14"/>
      <c r="T266" s="12">
        <v>0.0</v>
      </c>
      <c r="U266" s="13" t="str">
        <f>IFERROR(T266/T446, "NA")</f>
        <v>NA</v>
      </c>
      <c r="V266" s="14"/>
      <c r="W266" s="15">
        <f t="shared" ref="W266:W268" si="75">IFERROR(-(Q266-T266), "NA")</f>
        <v>0</v>
      </c>
      <c r="X266" s="13" t="str">
        <f>IFERROR(W266/W446, "NA")</f>
        <v>NA</v>
      </c>
      <c r="Y266" s="14"/>
      <c r="Z266" s="12">
        <v>0.0</v>
      </c>
      <c r="AA266" s="13" t="str">
        <f>IFERROR(Z266/Z446, "NA")</f>
        <v>NA</v>
      </c>
      <c r="AB266" s="14"/>
      <c r="AC266" s="15">
        <f t="shared" ref="AC266:AC268" si="76">IFERROR(-(Q266-Z266), "NA")</f>
        <v>0</v>
      </c>
      <c r="AD266" s="13" t="str">
        <f>IFERROR(AC266/AC446, "NA")</f>
        <v>NA</v>
      </c>
    </row>
    <row r="267" ht="16.5" hidden="1" customHeight="1">
      <c r="A267" s="11" t="s">
        <v>246</v>
      </c>
      <c r="B267" s="12">
        <v>0.0</v>
      </c>
      <c r="C267" s="13" t="str">
        <f>IFERROR(B267/B446, "NA")</f>
        <v>NA</v>
      </c>
      <c r="D267" s="14"/>
      <c r="E267" s="12">
        <v>0.0</v>
      </c>
      <c r="F267" s="13" t="str">
        <f>IFERROR(E267/E446, "NA")</f>
        <v>NA</v>
      </c>
      <c r="G267" s="14"/>
      <c r="H267" s="15">
        <f t="shared" si="73"/>
        <v>0</v>
      </c>
      <c r="I267" s="13" t="str">
        <f>IFERROR(H267/H446, "NA")</f>
        <v>NA</v>
      </c>
      <c r="J267" s="14"/>
      <c r="K267" s="12">
        <v>0.0</v>
      </c>
      <c r="L267" s="13" t="str">
        <f>IFERROR(K267/K446, "NA")</f>
        <v>NA</v>
      </c>
      <c r="M267" s="14"/>
      <c r="N267" s="15">
        <f t="shared" si="74"/>
        <v>0</v>
      </c>
      <c r="O267" s="13" t="str">
        <f>IFERROR(N267/N446, "NA")</f>
        <v>NA</v>
      </c>
      <c r="P267" s="14"/>
      <c r="Q267" s="12">
        <v>0.0</v>
      </c>
      <c r="R267" s="13" t="str">
        <f>IFERROR(Q267/Q446, "NA")</f>
        <v>NA</v>
      </c>
      <c r="S267" s="14"/>
      <c r="T267" s="12">
        <v>0.0</v>
      </c>
      <c r="U267" s="13" t="str">
        <f>IFERROR(T267/T446, "NA")</f>
        <v>NA</v>
      </c>
      <c r="V267" s="14"/>
      <c r="W267" s="15">
        <f t="shared" si="75"/>
        <v>0</v>
      </c>
      <c r="X267" s="13" t="str">
        <f>IFERROR(W267/W446, "NA")</f>
        <v>NA</v>
      </c>
      <c r="Y267" s="14"/>
      <c r="Z267" s="12">
        <v>0.0</v>
      </c>
      <c r="AA267" s="13" t="str">
        <f>IFERROR(Z267/Z446, "NA")</f>
        <v>NA</v>
      </c>
      <c r="AB267" s="14"/>
      <c r="AC267" s="15">
        <f t="shared" si="76"/>
        <v>0</v>
      </c>
      <c r="AD267" s="13" t="str">
        <f>IFERROR(AC267/AC446, "NA")</f>
        <v>NA</v>
      </c>
    </row>
    <row r="268" ht="16.5" customHeight="1">
      <c r="A268" s="16" t="s">
        <v>247</v>
      </c>
      <c r="B268" s="17">
        <f>IFERROR(B266+B267, "NA")</f>
        <v>0</v>
      </c>
      <c r="C268" s="18" t="str">
        <f>IFERROR(B268/B446, "NA")</f>
        <v>NA</v>
      </c>
      <c r="D268" s="8"/>
      <c r="E268" s="17">
        <f>IFERROR(E266+E267, "NA")</f>
        <v>0</v>
      </c>
      <c r="F268" s="18" t="str">
        <f>IFERROR(E268/E446, "NA")</f>
        <v>NA</v>
      </c>
      <c r="G268" s="8"/>
      <c r="H268" s="17">
        <f t="shared" si="73"/>
        <v>0</v>
      </c>
      <c r="I268" s="18" t="str">
        <f>IFERROR(H268/H446, "NA")</f>
        <v>NA</v>
      </c>
      <c r="J268" s="8"/>
      <c r="K268" s="17">
        <f>IFERROR(K266+K267, "NA")</f>
        <v>0</v>
      </c>
      <c r="L268" s="18" t="str">
        <f>IFERROR(K268/K446, "NA")</f>
        <v>NA</v>
      </c>
      <c r="M268" s="8"/>
      <c r="N268" s="17">
        <f t="shared" si="74"/>
        <v>0</v>
      </c>
      <c r="O268" s="18" t="str">
        <f>IFERROR(N268/N446, "NA")</f>
        <v>NA</v>
      </c>
      <c r="P268" s="8"/>
      <c r="Q268" s="17">
        <f>IFERROR(Q266+Q267, "NA")</f>
        <v>0</v>
      </c>
      <c r="R268" s="18" t="str">
        <f>IFERROR(Q268/Q446, "NA")</f>
        <v>NA</v>
      </c>
      <c r="S268" s="8"/>
      <c r="T268" s="17">
        <f>IFERROR(T266+T267, "NA")</f>
        <v>0</v>
      </c>
      <c r="U268" s="18" t="str">
        <f>IFERROR(T268/T446, "NA")</f>
        <v>NA</v>
      </c>
      <c r="V268" s="8"/>
      <c r="W268" s="17">
        <f t="shared" si="75"/>
        <v>0</v>
      </c>
      <c r="X268" s="18" t="str">
        <f>IFERROR(W268/W446, "NA")</f>
        <v>NA</v>
      </c>
      <c r="Y268" s="8"/>
      <c r="Z268" s="17">
        <f>IFERROR(Z266+Z267, "NA")</f>
        <v>0</v>
      </c>
      <c r="AA268" s="18" t="str">
        <f>IFERROR(Z268/Z446, "NA")</f>
        <v>NA</v>
      </c>
      <c r="AB268" s="8"/>
      <c r="AC268" s="17">
        <f t="shared" si="76"/>
        <v>0</v>
      </c>
      <c r="AD268" s="18" t="str">
        <f>IFERROR(AC268/AC446, "NA")</f>
        <v>NA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 t="str">
        <f>IFERROR(B270/B446, "NA")</f>
        <v>NA</v>
      </c>
      <c r="D270" s="14"/>
      <c r="E270" s="12">
        <v>0.0</v>
      </c>
      <c r="F270" s="13" t="str">
        <f>IFERROR(E270/E446, "NA")</f>
        <v>NA</v>
      </c>
      <c r="G270" s="14"/>
      <c r="H270" s="15">
        <f t="shared" ref="H270:H274" si="77">IFERROR(-(B270-E270), "NA")</f>
        <v>0</v>
      </c>
      <c r="I270" s="13" t="str">
        <f>IFERROR(H270/H446, "NA")</f>
        <v>NA</v>
      </c>
      <c r="J270" s="14"/>
      <c r="K270" s="12">
        <v>0.0</v>
      </c>
      <c r="L270" s="13" t="str">
        <f>IFERROR(K270/K446, "NA")</f>
        <v>NA</v>
      </c>
      <c r="M270" s="14"/>
      <c r="N270" s="15">
        <f t="shared" ref="N270:N274" si="78">IFERROR(-(B270-K270), "NA")</f>
        <v>0</v>
      </c>
      <c r="O270" s="13" t="str">
        <f>IFERROR(N270/N446, "NA")</f>
        <v>NA</v>
      </c>
      <c r="P270" s="14"/>
      <c r="Q270" s="12">
        <v>0.0</v>
      </c>
      <c r="R270" s="13" t="str">
        <f>IFERROR(Q270/Q446, "NA")</f>
        <v>NA</v>
      </c>
      <c r="S270" s="14"/>
      <c r="T270" s="12">
        <v>0.0</v>
      </c>
      <c r="U270" s="13" t="str">
        <f>IFERROR(T270/T446, "NA")</f>
        <v>NA</v>
      </c>
      <c r="V270" s="14"/>
      <c r="W270" s="15">
        <f t="shared" ref="W270:W274" si="79">IFERROR(-(Q270-T270), "NA")</f>
        <v>0</v>
      </c>
      <c r="X270" s="13" t="str">
        <f>IFERROR(W270/W446, "NA")</f>
        <v>NA</v>
      </c>
      <c r="Y270" s="14"/>
      <c r="Z270" s="12">
        <v>0.0</v>
      </c>
      <c r="AA270" s="13" t="str">
        <f>IFERROR(Z270/Z446, "NA")</f>
        <v>NA</v>
      </c>
      <c r="AB270" s="14"/>
      <c r="AC270" s="15">
        <f t="shared" ref="AC270:AC274" si="80">IFERROR(-(Q270-Z270), "NA")</f>
        <v>0</v>
      </c>
      <c r="AD270" s="13" t="str">
        <f>IFERROR(AC270/AC446, "NA")</f>
        <v>NA</v>
      </c>
    </row>
    <row r="271" ht="16.5" hidden="1" customHeight="1">
      <c r="A271" s="11" t="s">
        <v>249</v>
      </c>
      <c r="B271" s="12">
        <v>0.0</v>
      </c>
      <c r="C271" s="13" t="str">
        <f>IFERROR(B271/B446, "NA")</f>
        <v>NA</v>
      </c>
      <c r="D271" s="14"/>
      <c r="E271" s="12">
        <v>0.0</v>
      </c>
      <c r="F271" s="13" t="str">
        <f>IFERROR(E271/E446, "NA")</f>
        <v>NA</v>
      </c>
      <c r="G271" s="14"/>
      <c r="H271" s="15">
        <f t="shared" si="77"/>
        <v>0</v>
      </c>
      <c r="I271" s="13" t="str">
        <f>IFERROR(H271/H446, "NA")</f>
        <v>NA</v>
      </c>
      <c r="J271" s="14"/>
      <c r="K271" s="12">
        <v>0.0</v>
      </c>
      <c r="L271" s="13" t="str">
        <f>IFERROR(K271/K446, "NA")</f>
        <v>NA</v>
      </c>
      <c r="M271" s="14"/>
      <c r="N271" s="15">
        <f t="shared" si="78"/>
        <v>0</v>
      </c>
      <c r="O271" s="13" t="str">
        <f>IFERROR(N271/N446, "NA")</f>
        <v>NA</v>
      </c>
      <c r="P271" s="14"/>
      <c r="Q271" s="12">
        <v>0.0</v>
      </c>
      <c r="R271" s="13" t="str">
        <f>IFERROR(Q271/Q446, "NA")</f>
        <v>NA</v>
      </c>
      <c r="S271" s="14"/>
      <c r="T271" s="12">
        <v>0.0</v>
      </c>
      <c r="U271" s="13" t="str">
        <f>IFERROR(T271/T446, "NA")</f>
        <v>NA</v>
      </c>
      <c r="V271" s="14"/>
      <c r="W271" s="15">
        <f t="shared" si="79"/>
        <v>0</v>
      </c>
      <c r="X271" s="13" t="str">
        <f>IFERROR(W271/W446, "NA")</f>
        <v>NA</v>
      </c>
      <c r="Y271" s="14"/>
      <c r="Z271" s="12">
        <v>0.0</v>
      </c>
      <c r="AA271" s="13" t="str">
        <f>IFERROR(Z271/Z446, "NA")</f>
        <v>NA</v>
      </c>
      <c r="AB271" s="14"/>
      <c r="AC271" s="15">
        <f t="shared" si="80"/>
        <v>0</v>
      </c>
      <c r="AD271" s="13" t="str">
        <f>IFERROR(AC271/AC446, "NA")</f>
        <v>NA</v>
      </c>
    </row>
    <row r="272" ht="16.5" hidden="1" customHeight="1">
      <c r="A272" s="11" t="s">
        <v>250</v>
      </c>
      <c r="B272" s="12">
        <v>0.0</v>
      </c>
      <c r="C272" s="13" t="str">
        <f>IFERROR(B272/B446, "NA")</f>
        <v>NA</v>
      </c>
      <c r="D272" s="14"/>
      <c r="E272" s="12">
        <v>0.0</v>
      </c>
      <c r="F272" s="13" t="str">
        <f>IFERROR(E272/E446, "NA")</f>
        <v>NA</v>
      </c>
      <c r="G272" s="14"/>
      <c r="H272" s="15">
        <f t="shared" si="77"/>
        <v>0</v>
      </c>
      <c r="I272" s="13" t="str">
        <f>IFERROR(H272/H446, "NA")</f>
        <v>NA</v>
      </c>
      <c r="J272" s="14"/>
      <c r="K272" s="12">
        <v>0.0</v>
      </c>
      <c r="L272" s="13" t="str">
        <f>IFERROR(K272/K446, "NA")</f>
        <v>NA</v>
      </c>
      <c r="M272" s="14"/>
      <c r="N272" s="15">
        <f t="shared" si="78"/>
        <v>0</v>
      </c>
      <c r="O272" s="13" t="str">
        <f>IFERROR(N272/N446, "NA")</f>
        <v>NA</v>
      </c>
      <c r="P272" s="14"/>
      <c r="Q272" s="12">
        <v>0.0</v>
      </c>
      <c r="R272" s="13" t="str">
        <f>IFERROR(Q272/Q446, "NA")</f>
        <v>NA</v>
      </c>
      <c r="S272" s="14"/>
      <c r="T272" s="12">
        <v>0.0</v>
      </c>
      <c r="U272" s="13" t="str">
        <f>IFERROR(T272/T446, "NA")</f>
        <v>NA</v>
      </c>
      <c r="V272" s="14"/>
      <c r="W272" s="15">
        <f t="shared" si="79"/>
        <v>0</v>
      </c>
      <c r="X272" s="13" t="str">
        <f>IFERROR(W272/W446, "NA")</f>
        <v>NA</v>
      </c>
      <c r="Y272" s="14"/>
      <c r="Z272" s="12">
        <v>0.0</v>
      </c>
      <c r="AA272" s="13" t="str">
        <f>IFERROR(Z272/Z446, "NA")</f>
        <v>NA</v>
      </c>
      <c r="AB272" s="14"/>
      <c r="AC272" s="15">
        <f t="shared" si="80"/>
        <v>0</v>
      </c>
      <c r="AD272" s="13" t="str">
        <f>IFERROR(AC272/AC446, "NA")</f>
        <v>NA</v>
      </c>
    </row>
    <row r="273" ht="16.5" hidden="1" customHeight="1">
      <c r="A273" s="11" t="s">
        <v>251</v>
      </c>
      <c r="B273" s="12">
        <v>0.0</v>
      </c>
      <c r="C273" s="13" t="str">
        <f>IFERROR(B273/B446, "NA")</f>
        <v>NA</v>
      </c>
      <c r="D273" s="14"/>
      <c r="E273" s="12">
        <v>0.0</v>
      </c>
      <c r="F273" s="13" t="str">
        <f>IFERROR(E273/E446, "NA")</f>
        <v>NA</v>
      </c>
      <c r="G273" s="14"/>
      <c r="H273" s="15">
        <f t="shared" si="77"/>
        <v>0</v>
      </c>
      <c r="I273" s="13" t="str">
        <f>IFERROR(H273/H446, "NA")</f>
        <v>NA</v>
      </c>
      <c r="J273" s="14"/>
      <c r="K273" s="12">
        <v>0.0</v>
      </c>
      <c r="L273" s="13" t="str">
        <f>IFERROR(K273/K446, "NA")</f>
        <v>NA</v>
      </c>
      <c r="M273" s="14"/>
      <c r="N273" s="15">
        <f t="shared" si="78"/>
        <v>0</v>
      </c>
      <c r="O273" s="13" t="str">
        <f>IFERROR(N273/N446, "NA")</f>
        <v>NA</v>
      </c>
      <c r="P273" s="14"/>
      <c r="Q273" s="12">
        <v>0.0</v>
      </c>
      <c r="R273" s="13" t="str">
        <f>IFERROR(Q273/Q446, "NA")</f>
        <v>NA</v>
      </c>
      <c r="S273" s="14"/>
      <c r="T273" s="12">
        <v>0.0</v>
      </c>
      <c r="U273" s="13" t="str">
        <f>IFERROR(T273/T446, "NA")</f>
        <v>NA</v>
      </c>
      <c r="V273" s="14"/>
      <c r="W273" s="15">
        <f t="shared" si="79"/>
        <v>0</v>
      </c>
      <c r="X273" s="13" t="str">
        <f>IFERROR(W273/W446, "NA")</f>
        <v>NA</v>
      </c>
      <c r="Y273" s="14"/>
      <c r="Z273" s="12">
        <v>0.0</v>
      </c>
      <c r="AA273" s="13" t="str">
        <f>IFERROR(Z273/Z446, "NA")</f>
        <v>NA</v>
      </c>
      <c r="AB273" s="14"/>
      <c r="AC273" s="15">
        <f t="shared" si="80"/>
        <v>0</v>
      </c>
      <c r="AD273" s="13" t="str">
        <f>IFERROR(AC273/AC446, "NA")</f>
        <v>NA</v>
      </c>
    </row>
    <row r="274" ht="16.5" customHeight="1">
      <c r="A274" s="16" t="s">
        <v>252</v>
      </c>
      <c r="B274" s="17">
        <f>IFERROR(B270+B271+B272+B273, "NA")</f>
        <v>0</v>
      </c>
      <c r="C274" s="18" t="str">
        <f>IFERROR(B274/B446, "NA")</f>
        <v>NA</v>
      </c>
      <c r="D274" s="8"/>
      <c r="E274" s="17">
        <f>IFERROR(E270+E271+E272+E273, "NA")</f>
        <v>0</v>
      </c>
      <c r="F274" s="18" t="str">
        <f>IFERROR(E274/E446, "NA")</f>
        <v>NA</v>
      </c>
      <c r="G274" s="8"/>
      <c r="H274" s="17">
        <f t="shared" si="77"/>
        <v>0</v>
      </c>
      <c r="I274" s="18" t="str">
        <f>IFERROR(H274/H446, "NA")</f>
        <v>NA</v>
      </c>
      <c r="J274" s="8"/>
      <c r="K274" s="17">
        <f>IFERROR(K270+K271+K272+K273, "NA")</f>
        <v>0</v>
      </c>
      <c r="L274" s="18" t="str">
        <f>IFERROR(K274/K446, "NA")</f>
        <v>NA</v>
      </c>
      <c r="M274" s="8"/>
      <c r="N274" s="17">
        <f t="shared" si="78"/>
        <v>0</v>
      </c>
      <c r="O274" s="18" t="str">
        <f>IFERROR(N274/N446, "NA")</f>
        <v>NA</v>
      </c>
      <c r="P274" s="8"/>
      <c r="Q274" s="17">
        <f>IFERROR(Q270+Q271+Q272+Q273, "NA")</f>
        <v>0</v>
      </c>
      <c r="R274" s="18" t="str">
        <f>IFERROR(Q274/Q446, "NA")</f>
        <v>NA</v>
      </c>
      <c r="S274" s="8"/>
      <c r="T274" s="17">
        <f>IFERROR(T270+T271+T272+T273, "NA")</f>
        <v>0</v>
      </c>
      <c r="U274" s="18" t="str">
        <f>IFERROR(T274/T446, "NA")</f>
        <v>NA</v>
      </c>
      <c r="V274" s="8"/>
      <c r="W274" s="17">
        <f t="shared" si="79"/>
        <v>0</v>
      </c>
      <c r="X274" s="18" t="str">
        <f>IFERROR(W274/W446, "NA")</f>
        <v>NA</v>
      </c>
      <c r="Y274" s="8"/>
      <c r="Z274" s="17">
        <f>IFERROR(Z270+Z271+Z272+Z273, "NA")</f>
        <v>0</v>
      </c>
      <c r="AA274" s="18" t="str">
        <f>IFERROR(Z274/Z446, "NA")</f>
        <v>NA</v>
      </c>
      <c r="AB274" s="8"/>
      <c r="AC274" s="17">
        <f t="shared" si="80"/>
        <v>0</v>
      </c>
      <c r="AD274" s="18" t="str">
        <f>IFERROR(AC274/AC446, "NA")</f>
        <v>NA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 t="str">
        <f>IFERROR(B276/B446, "NA")</f>
        <v>NA</v>
      </c>
      <c r="D276" s="14"/>
      <c r="E276" s="12">
        <v>0.0</v>
      </c>
      <c r="F276" s="13" t="str">
        <f>IFERROR(E276/E446, "NA")</f>
        <v>NA</v>
      </c>
      <c r="G276" s="14"/>
      <c r="H276" s="15">
        <f t="shared" ref="H276:H285" si="81">IFERROR(-(B276-E276), "NA")</f>
        <v>0</v>
      </c>
      <c r="I276" s="13" t="str">
        <f>IFERROR(H276/H446, "NA")</f>
        <v>NA</v>
      </c>
      <c r="J276" s="14"/>
      <c r="K276" s="12">
        <v>0.0</v>
      </c>
      <c r="L276" s="13" t="str">
        <f>IFERROR(K276/K446, "NA")</f>
        <v>NA</v>
      </c>
      <c r="M276" s="14"/>
      <c r="N276" s="15">
        <f t="shared" ref="N276:N285" si="82">IFERROR(-(B276-K276), "NA")</f>
        <v>0</v>
      </c>
      <c r="O276" s="13" t="str">
        <f>IFERROR(N276/N446, "NA")</f>
        <v>NA</v>
      </c>
      <c r="P276" s="14"/>
      <c r="Q276" s="12">
        <v>0.0</v>
      </c>
      <c r="R276" s="13" t="str">
        <f>IFERROR(Q276/Q446, "NA")</f>
        <v>NA</v>
      </c>
      <c r="S276" s="14"/>
      <c r="T276" s="12">
        <v>0.0</v>
      </c>
      <c r="U276" s="13" t="str">
        <f>IFERROR(T276/T446, "NA")</f>
        <v>NA</v>
      </c>
      <c r="V276" s="14"/>
      <c r="W276" s="15">
        <f t="shared" ref="W276:W285" si="83">IFERROR(-(Q276-T276), "NA")</f>
        <v>0</v>
      </c>
      <c r="X276" s="13" t="str">
        <f>IFERROR(W276/W446, "NA")</f>
        <v>NA</v>
      </c>
      <c r="Y276" s="14"/>
      <c r="Z276" s="12">
        <v>0.0</v>
      </c>
      <c r="AA276" s="13" t="str">
        <f>IFERROR(Z276/Z446, "NA")</f>
        <v>NA</v>
      </c>
      <c r="AB276" s="14"/>
      <c r="AC276" s="15">
        <f t="shared" ref="AC276:AC285" si="84">IFERROR(-(Q276-Z276), "NA")</f>
        <v>0</v>
      </c>
      <c r="AD276" s="13" t="str">
        <f>IFERROR(AC276/AC446, "NA")</f>
        <v>NA</v>
      </c>
    </row>
    <row r="277" ht="16.5" hidden="1" customHeight="1">
      <c r="A277" s="11" t="s">
        <v>254</v>
      </c>
      <c r="B277" s="12">
        <v>0.0</v>
      </c>
      <c r="C277" s="13" t="str">
        <f>IFERROR(B277/B446, "NA")</f>
        <v>NA</v>
      </c>
      <c r="D277" s="14"/>
      <c r="E277" s="12">
        <v>0.0</v>
      </c>
      <c r="F277" s="13" t="str">
        <f>IFERROR(E277/E446, "NA")</f>
        <v>NA</v>
      </c>
      <c r="G277" s="14"/>
      <c r="H277" s="15">
        <f t="shared" si="81"/>
        <v>0</v>
      </c>
      <c r="I277" s="13" t="str">
        <f>IFERROR(H277/H446, "NA")</f>
        <v>NA</v>
      </c>
      <c r="J277" s="14"/>
      <c r="K277" s="12">
        <v>0.0</v>
      </c>
      <c r="L277" s="13" t="str">
        <f>IFERROR(K277/K446, "NA")</f>
        <v>NA</v>
      </c>
      <c r="M277" s="14"/>
      <c r="N277" s="15">
        <f t="shared" si="82"/>
        <v>0</v>
      </c>
      <c r="O277" s="13" t="str">
        <f>IFERROR(N277/N446, "NA")</f>
        <v>NA</v>
      </c>
      <c r="P277" s="14"/>
      <c r="Q277" s="12">
        <v>0.0</v>
      </c>
      <c r="R277" s="13" t="str">
        <f>IFERROR(Q277/Q446, "NA")</f>
        <v>NA</v>
      </c>
      <c r="S277" s="14"/>
      <c r="T277" s="12">
        <v>0.0</v>
      </c>
      <c r="U277" s="13" t="str">
        <f>IFERROR(T277/T446, "NA")</f>
        <v>NA</v>
      </c>
      <c r="V277" s="14"/>
      <c r="W277" s="15">
        <f t="shared" si="83"/>
        <v>0</v>
      </c>
      <c r="X277" s="13" t="str">
        <f>IFERROR(W277/W446, "NA")</f>
        <v>NA</v>
      </c>
      <c r="Y277" s="14"/>
      <c r="Z277" s="12">
        <v>0.0</v>
      </c>
      <c r="AA277" s="13" t="str">
        <f>IFERROR(Z277/Z446, "NA")</f>
        <v>NA</v>
      </c>
      <c r="AB277" s="14"/>
      <c r="AC277" s="15">
        <f t="shared" si="84"/>
        <v>0</v>
      </c>
      <c r="AD277" s="13" t="str">
        <f>IFERROR(AC277/AC446, "NA")</f>
        <v>NA</v>
      </c>
    </row>
    <row r="278" ht="16.5" hidden="1" customHeight="1">
      <c r="A278" s="11" t="s">
        <v>255</v>
      </c>
      <c r="B278" s="12">
        <v>0.0</v>
      </c>
      <c r="C278" s="13" t="str">
        <f>IFERROR(B278/B446, "NA")</f>
        <v>NA</v>
      </c>
      <c r="D278" s="14"/>
      <c r="E278" s="12">
        <v>0.0</v>
      </c>
      <c r="F278" s="13" t="str">
        <f>IFERROR(E278/E446, "NA")</f>
        <v>NA</v>
      </c>
      <c r="G278" s="14"/>
      <c r="H278" s="15">
        <f t="shared" si="81"/>
        <v>0</v>
      </c>
      <c r="I278" s="13" t="str">
        <f>IFERROR(H278/H446, "NA")</f>
        <v>NA</v>
      </c>
      <c r="J278" s="14"/>
      <c r="K278" s="12">
        <v>0.0</v>
      </c>
      <c r="L278" s="13" t="str">
        <f>IFERROR(K278/K446, "NA")</f>
        <v>NA</v>
      </c>
      <c r="M278" s="14"/>
      <c r="N278" s="15">
        <f t="shared" si="82"/>
        <v>0</v>
      </c>
      <c r="O278" s="13" t="str">
        <f>IFERROR(N278/N446, "NA")</f>
        <v>NA</v>
      </c>
      <c r="P278" s="14"/>
      <c r="Q278" s="12">
        <v>0.0</v>
      </c>
      <c r="R278" s="13" t="str">
        <f>IFERROR(Q278/Q446, "NA")</f>
        <v>NA</v>
      </c>
      <c r="S278" s="14"/>
      <c r="T278" s="12">
        <v>0.0</v>
      </c>
      <c r="U278" s="13" t="str">
        <f>IFERROR(T278/T446, "NA")</f>
        <v>NA</v>
      </c>
      <c r="V278" s="14"/>
      <c r="W278" s="15">
        <f t="shared" si="83"/>
        <v>0</v>
      </c>
      <c r="X278" s="13" t="str">
        <f>IFERROR(W278/W446, "NA")</f>
        <v>NA</v>
      </c>
      <c r="Y278" s="14"/>
      <c r="Z278" s="12">
        <v>0.0</v>
      </c>
      <c r="AA278" s="13" t="str">
        <f>IFERROR(Z278/Z446, "NA")</f>
        <v>NA</v>
      </c>
      <c r="AB278" s="14"/>
      <c r="AC278" s="15">
        <f t="shared" si="84"/>
        <v>0</v>
      </c>
      <c r="AD278" s="13" t="str">
        <f>IFERROR(AC278/AC446, "NA")</f>
        <v>NA</v>
      </c>
    </row>
    <row r="279" ht="16.5" hidden="1" customHeight="1">
      <c r="A279" s="11" t="s">
        <v>256</v>
      </c>
      <c r="B279" s="12">
        <v>0.0</v>
      </c>
      <c r="C279" s="13" t="str">
        <f>IFERROR(B279/B446, "NA")</f>
        <v>NA</v>
      </c>
      <c r="D279" s="14"/>
      <c r="E279" s="12">
        <v>0.0</v>
      </c>
      <c r="F279" s="13" t="str">
        <f>IFERROR(E279/E446, "NA")</f>
        <v>NA</v>
      </c>
      <c r="G279" s="14"/>
      <c r="H279" s="15">
        <f t="shared" si="81"/>
        <v>0</v>
      </c>
      <c r="I279" s="13" t="str">
        <f>IFERROR(H279/H446, "NA")</f>
        <v>NA</v>
      </c>
      <c r="J279" s="14"/>
      <c r="K279" s="12">
        <v>0.0</v>
      </c>
      <c r="L279" s="13" t="str">
        <f>IFERROR(K279/K446, "NA")</f>
        <v>NA</v>
      </c>
      <c r="M279" s="14"/>
      <c r="N279" s="15">
        <f t="shared" si="82"/>
        <v>0</v>
      </c>
      <c r="O279" s="13" t="str">
        <f>IFERROR(N279/N446, "NA")</f>
        <v>NA</v>
      </c>
      <c r="P279" s="14"/>
      <c r="Q279" s="12">
        <v>0.0</v>
      </c>
      <c r="R279" s="13" t="str">
        <f>IFERROR(Q279/Q446, "NA")</f>
        <v>NA</v>
      </c>
      <c r="S279" s="14"/>
      <c r="T279" s="12">
        <v>0.0</v>
      </c>
      <c r="U279" s="13" t="str">
        <f>IFERROR(T279/T446, "NA")</f>
        <v>NA</v>
      </c>
      <c r="V279" s="14"/>
      <c r="W279" s="15">
        <f t="shared" si="83"/>
        <v>0</v>
      </c>
      <c r="X279" s="13" t="str">
        <f>IFERROR(W279/W446, "NA")</f>
        <v>NA</v>
      </c>
      <c r="Y279" s="14"/>
      <c r="Z279" s="12">
        <v>0.0</v>
      </c>
      <c r="AA279" s="13" t="str">
        <f>IFERROR(Z279/Z446, "NA")</f>
        <v>NA</v>
      </c>
      <c r="AB279" s="14"/>
      <c r="AC279" s="15">
        <f t="shared" si="84"/>
        <v>0</v>
      </c>
      <c r="AD279" s="13" t="str">
        <f>IFERROR(AC279/AC446, "NA")</f>
        <v>NA</v>
      </c>
    </row>
    <row r="280" ht="16.5" hidden="1" customHeight="1">
      <c r="A280" s="11" t="s">
        <v>257</v>
      </c>
      <c r="B280" s="12">
        <v>0.0</v>
      </c>
      <c r="C280" s="13" t="str">
        <f>IFERROR(B280/B446, "NA")</f>
        <v>NA</v>
      </c>
      <c r="D280" s="14"/>
      <c r="E280" s="12">
        <v>0.0</v>
      </c>
      <c r="F280" s="13" t="str">
        <f>IFERROR(E280/E446, "NA")</f>
        <v>NA</v>
      </c>
      <c r="G280" s="14"/>
      <c r="H280" s="15">
        <f t="shared" si="81"/>
        <v>0</v>
      </c>
      <c r="I280" s="13" t="str">
        <f>IFERROR(H280/H446, "NA")</f>
        <v>NA</v>
      </c>
      <c r="J280" s="14"/>
      <c r="K280" s="12">
        <v>0.0</v>
      </c>
      <c r="L280" s="13" t="str">
        <f>IFERROR(K280/K446, "NA")</f>
        <v>NA</v>
      </c>
      <c r="M280" s="14"/>
      <c r="N280" s="15">
        <f t="shared" si="82"/>
        <v>0</v>
      </c>
      <c r="O280" s="13" t="str">
        <f>IFERROR(N280/N446, "NA")</f>
        <v>NA</v>
      </c>
      <c r="P280" s="14"/>
      <c r="Q280" s="12">
        <v>0.0</v>
      </c>
      <c r="R280" s="13" t="str">
        <f>IFERROR(Q280/Q446, "NA")</f>
        <v>NA</v>
      </c>
      <c r="S280" s="14"/>
      <c r="T280" s="12">
        <v>0.0</v>
      </c>
      <c r="U280" s="13" t="str">
        <f>IFERROR(T280/T446, "NA")</f>
        <v>NA</v>
      </c>
      <c r="V280" s="14"/>
      <c r="W280" s="15">
        <f t="shared" si="83"/>
        <v>0</v>
      </c>
      <c r="X280" s="13" t="str">
        <f>IFERROR(W280/W446, "NA")</f>
        <v>NA</v>
      </c>
      <c r="Y280" s="14"/>
      <c r="Z280" s="12">
        <v>0.0</v>
      </c>
      <c r="AA280" s="13" t="str">
        <f>IFERROR(Z280/Z446, "NA")</f>
        <v>NA</v>
      </c>
      <c r="AB280" s="14"/>
      <c r="AC280" s="15">
        <f t="shared" si="84"/>
        <v>0</v>
      </c>
      <c r="AD280" s="13" t="str">
        <f>IFERROR(AC280/AC446, "NA")</f>
        <v>NA</v>
      </c>
    </row>
    <row r="281" ht="16.5" hidden="1" customHeight="1">
      <c r="A281" s="11" t="s">
        <v>258</v>
      </c>
      <c r="B281" s="12">
        <v>0.0</v>
      </c>
      <c r="C281" s="13" t="str">
        <f>IFERROR(B281/B446, "NA")</f>
        <v>NA</v>
      </c>
      <c r="D281" s="14"/>
      <c r="E281" s="12">
        <v>0.0</v>
      </c>
      <c r="F281" s="13" t="str">
        <f>IFERROR(E281/E446, "NA")</f>
        <v>NA</v>
      </c>
      <c r="G281" s="14"/>
      <c r="H281" s="15">
        <f t="shared" si="81"/>
        <v>0</v>
      </c>
      <c r="I281" s="13" t="str">
        <f>IFERROR(H281/H446, "NA")</f>
        <v>NA</v>
      </c>
      <c r="J281" s="14"/>
      <c r="K281" s="12">
        <v>0.0</v>
      </c>
      <c r="L281" s="13" t="str">
        <f>IFERROR(K281/K446, "NA")</f>
        <v>NA</v>
      </c>
      <c r="M281" s="14"/>
      <c r="N281" s="15">
        <f t="shared" si="82"/>
        <v>0</v>
      </c>
      <c r="O281" s="13" t="str">
        <f>IFERROR(N281/N446, "NA")</f>
        <v>NA</v>
      </c>
      <c r="P281" s="14"/>
      <c r="Q281" s="12">
        <v>0.0</v>
      </c>
      <c r="R281" s="13" t="str">
        <f>IFERROR(Q281/Q446, "NA")</f>
        <v>NA</v>
      </c>
      <c r="S281" s="14"/>
      <c r="T281" s="12">
        <v>0.0</v>
      </c>
      <c r="U281" s="13" t="str">
        <f>IFERROR(T281/T446, "NA")</f>
        <v>NA</v>
      </c>
      <c r="V281" s="14"/>
      <c r="W281" s="15">
        <f t="shared" si="83"/>
        <v>0</v>
      </c>
      <c r="X281" s="13" t="str">
        <f>IFERROR(W281/W446, "NA")</f>
        <v>NA</v>
      </c>
      <c r="Y281" s="14"/>
      <c r="Z281" s="12">
        <v>0.0</v>
      </c>
      <c r="AA281" s="13" t="str">
        <f>IFERROR(Z281/Z446, "NA")</f>
        <v>NA</v>
      </c>
      <c r="AB281" s="14"/>
      <c r="AC281" s="15">
        <f t="shared" si="84"/>
        <v>0</v>
      </c>
      <c r="AD281" s="13" t="str">
        <f>IFERROR(AC281/AC446, "NA")</f>
        <v>NA</v>
      </c>
    </row>
    <row r="282" ht="16.5" hidden="1" customHeight="1">
      <c r="A282" s="11" t="s">
        <v>259</v>
      </c>
      <c r="B282" s="12">
        <v>0.0</v>
      </c>
      <c r="C282" s="13" t="str">
        <f>IFERROR(B282/B446, "NA")</f>
        <v>NA</v>
      </c>
      <c r="D282" s="14"/>
      <c r="E282" s="12">
        <v>0.0</v>
      </c>
      <c r="F282" s="13" t="str">
        <f>IFERROR(E282/E446, "NA")</f>
        <v>NA</v>
      </c>
      <c r="G282" s="14"/>
      <c r="H282" s="15">
        <f t="shared" si="81"/>
        <v>0</v>
      </c>
      <c r="I282" s="13" t="str">
        <f>IFERROR(H282/H446, "NA")</f>
        <v>NA</v>
      </c>
      <c r="J282" s="14"/>
      <c r="K282" s="12">
        <v>0.0</v>
      </c>
      <c r="L282" s="13" t="str">
        <f>IFERROR(K282/K446, "NA")</f>
        <v>NA</v>
      </c>
      <c r="M282" s="14"/>
      <c r="N282" s="15">
        <f t="shared" si="82"/>
        <v>0</v>
      </c>
      <c r="O282" s="13" t="str">
        <f>IFERROR(N282/N446, "NA")</f>
        <v>NA</v>
      </c>
      <c r="P282" s="14"/>
      <c r="Q282" s="12">
        <v>0.0</v>
      </c>
      <c r="R282" s="13" t="str">
        <f>IFERROR(Q282/Q446, "NA")</f>
        <v>NA</v>
      </c>
      <c r="S282" s="14"/>
      <c r="T282" s="12">
        <v>0.0</v>
      </c>
      <c r="U282" s="13" t="str">
        <f>IFERROR(T282/T446, "NA")</f>
        <v>NA</v>
      </c>
      <c r="V282" s="14"/>
      <c r="W282" s="15">
        <f t="shared" si="83"/>
        <v>0</v>
      </c>
      <c r="X282" s="13" t="str">
        <f>IFERROR(W282/W446, "NA")</f>
        <v>NA</v>
      </c>
      <c r="Y282" s="14"/>
      <c r="Z282" s="12">
        <v>0.0</v>
      </c>
      <c r="AA282" s="13" t="str">
        <f>IFERROR(Z282/Z446, "NA")</f>
        <v>NA</v>
      </c>
      <c r="AB282" s="14"/>
      <c r="AC282" s="15">
        <f t="shared" si="84"/>
        <v>0</v>
      </c>
      <c r="AD282" s="13" t="str">
        <f>IFERROR(AC282/AC446, "NA")</f>
        <v>NA</v>
      </c>
    </row>
    <row r="283" ht="16.5" hidden="1" customHeight="1">
      <c r="A283" s="11" t="s">
        <v>260</v>
      </c>
      <c r="B283" s="12">
        <v>0.0</v>
      </c>
      <c r="C283" s="13" t="str">
        <f>IFERROR(B283/B446, "NA")</f>
        <v>NA</v>
      </c>
      <c r="D283" s="14"/>
      <c r="E283" s="12">
        <v>0.0</v>
      </c>
      <c r="F283" s="13" t="str">
        <f>IFERROR(E283/E446, "NA")</f>
        <v>NA</v>
      </c>
      <c r="G283" s="14"/>
      <c r="H283" s="15">
        <f t="shared" si="81"/>
        <v>0</v>
      </c>
      <c r="I283" s="13" t="str">
        <f>IFERROR(H283/H446, "NA")</f>
        <v>NA</v>
      </c>
      <c r="J283" s="14"/>
      <c r="K283" s="12">
        <v>0.0</v>
      </c>
      <c r="L283" s="13" t="str">
        <f>IFERROR(K283/K446, "NA")</f>
        <v>NA</v>
      </c>
      <c r="M283" s="14"/>
      <c r="N283" s="15">
        <f t="shared" si="82"/>
        <v>0</v>
      </c>
      <c r="O283" s="13" t="str">
        <f>IFERROR(N283/N446, "NA")</f>
        <v>NA</v>
      </c>
      <c r="P283" s="14"/>
      <c r="Q283" s="12">
        <v>0.0</v>
      </c>
      <c r="R283" s="13" t="str">
        <f>IFERROR(Q283/Q446, "NA")</f>
        <v>NA</v>
      </c>
      <c r="S283" s="14"/>
      <c r="T283" s="12">
        <v>0.0</v>
      </c>
      <c r="U283" s="13" t="str">
        <f>IFERROR(T283/T446, "NA")</f>
        <v>NA</v>
      </c>
      <c r="V283" s="14"/>
      <c r="W283" s="15">
        <f t="shared" si="83"/>
        <v>0</v>
      </c>
      <c r="X283" s="13" t="str">
        <f>IFERROR(W283/W446, "NA")</f>
        <v>NA</v>
      </c>
      <c r="Y283" s="14"/>
      <c r="Z283" s="12">
        <v>0.0</v>
      </c>
      <c r="AA283" s="13" t="str">
        <f>IFERROR(Z283/Z446, "NA")</f>
        <v>NA</v>
      </c>
      <c r="AB283" s="14"/>
      <c r="AC283" s="15">
        <f t="shared" si="84"/>
        <v>0</v>
      </c>
      <c r="AD283" s="13" t="str">
        <f>IFERROR(AC283/AC446, "NA")</f>
        <v>NA</v>
      </c>
    </row>
    <row r="284" ht="16.5" hidden="1" customHeight="1">
      <c r="A284" s="11" t="s">
        <v>261</v>
      </c>
      <c r="B284" s="12">
        <v>0.0</v>
      </c>
      <c r="C284" s="13" t="str">
        <f>IFERROR(B284/B446, "NA")</f>
        <v>NA</v>
      </c>
      <c r="D284" s="14"/>
      <c r="E284" s="12">
        <v>0.0</v>
      </c>
      <c r="F284" s="13" t="str">
        <f>IFERROR(E284/E446, "NA")</f>
        <v>NA</v>
      </c>
      <c r="G284" s="14"/>
      <c r="H284" s="15">
        <f t="shared" si="81"/>
        <v>0</v>
      </c>
      <c r="I284" s="13" t="str">
        <f>IFERROR(H284/H446, "NA")</f>
        <v>NA</v>
      </c>
      <c r="J284" s="14"/>
      <c r="K284" s="12">
        <v>0.0</v>
      </c>
      <c r="L284" s="13" t="str">
        <f>IFERROR(K284/K446, "NA")</f>
        <v>NA</v>
      </c>
      <c r="M284" s="14"/>
      <c r="N284" s="15">
        <f t="shared" si="82"/>
        <v>0</v>
      </c>
      <c r="O284" s="13" t="str">
        <f>IFERROR(N284/N446, "NA")</f>
        <v>NA</v>
      </c>
      <c r="P284" s="14"/>
      <c r="Q284" s="12">
        <v>0.0</v>
      </c>
      <c r="R284" s="13" t="str">
        <f>IFERROR(Q284/Q446, "NA")</f>
        <v>NA</v>
      </c>
      <c r="S284" s="14"/>
      <c r="T284" s="12">
        <v>0.0</v>
      </c>
      <c r="U284" s="13" t="str">
        <f>IFERROR(T284/T446, "NA")</f>
        <v>NA</v>
      </c>
      <c r="V284" s="14"/>
      <c r="W284" s="15">
        <f t="shared" si="83"/>
        <v>0</v>
      </c>
      <c r="X284" s="13" t="str">
        <f>IFERROR(W284/W446, "NA")</f>
        <v>NA</v>
      </c>
      <c r="Y284" s="14"/>
      <c r="Z284" s="12">
        <v>0.0</v>
      </c>
      <c r="AA284" s="13" t="str">
        <f>IFERROR(Z284/Z446, "NA")</f>
        <v>NA</v>
      </c>
      <c r="AB284" s="14"/>
      <c r="AC284" s="15">
        <f t="shared" si="84"/>
        <v>0</v>
      </c>
      <c r="AD284" s="13" t="str">
        <f>IFERROR(AC284/AC446, "NA")</f>
        <v>NA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 t="str">
        <f>IFERROR(B285/B446, "NA")</f>
        <v>NA</v>
      </c>
      <c r="D285" s="8"/>
      <c r="E285" s="17">
        <f>IFERROR(E276+E277+E278+E279+E280+E281+E282+E283+E284, "NA")</f>
        <v>0</v>
      </c>
      <c r="F285" s="18" t="str">
        <f>IFERROR(E285/E446, "NA")</f>
        <v>NA</v>
      </c>
      <c r="G285" s="8"/>
      <c r="H285" s="17">
        <f t="shared" si="81"/>
        <v>0</v>
      </c>
      <c r="I285" s="18" t="str">
        <f>IFERROR(H285/H446, "NA")</f>
        <v>NA</v>
      </c>
      <c r="J285" s="8"/>
      <c r="K285" s="17">
        <f>IFERROR(K276+K277+K278+K279+K280+K281+K282+K283+K284, "NA")</f>
        <v>0</v>
      </c>
      <c r="L285" s="18" t="str">
        <f>IFERROR(K285/K446, "NA")</f>
        <v>NA</v>
      </c>
      <c r="M285" s="8"/>
      <c r="N285" s="17">
        <f t="shared" si="82"/>
        <v>0</v>
      </c>
      <c r="O285" s="18" t="str">
        <f>IFERROR(N285/N446, "NA")</f>
        <v>NA</v>
      </c>
      <c r="P285" s="8"/>
      <c r="Q285" s="17">
        <f>IFERROR(Q276+Q277+Q278+Q279+Q280+Q281+Q282+Q283+Q284, "NA")</f>
        <v>0</v>
      </c>
      <c r="R285" s="18" t="str">
        <f>IFERROR(Q285/Q446, "NA")</f>
        <v>NA</v>
      </c>
      <c r="S285" s="8"/>
      <c r="T285" s="17">
        <f>IFERROR(T276+T277+T278+T279+T280+T281+T282+T283+T284, "NA")</f>
        <v>0</v>
      </c>
      <c r="U285" s="18" t="str">
        <f>IFERROR(T285/T446, "NA")</f>
        <v>NA</v>
      </c>
      <c r="V285" s="8"/>
      <c r="W285" s="17">
        <f t="shared" si="83"/>
        <v>0</v>
      </c>
      <c r="X285" s="18" t="str">
        <f>IFERROR(W285/W446, "NA")</f>
        <v>NA</v>
      </c>
      <c r="Y285" s="8"/>
      <c r="Z285" s="17">
        <f>IFERROR(Z276+Z277+Z278+Z279+Z280+Z281+Z282+Z283+Z284, "NA")</f>
        <v>0</v>
      </c>
      <c r="AA285" s="18" t="str">
        <f>IFERROR(Z285/Z446, "NA")</f>
        <v>NA</v>
      </c>
      <c r="AB285" s="8"/>
      <c r="AC285" s="17">
        <f t="shared" si="84"/>
        <v>0</v>
      </c>
      <c r="AD285" s="18" t="str">
        <f>IFERROR(AC285/AC446, "NA")</f>
        <v>NA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 t="str">
        <f>IFERROR(B287/B446, "NA")</f>
        <v>NA</v>
      </c>
      <c r="D287" s="14"/>
      <c r="E287" s="12">
        <v>0.0</v>
      </c>
      <c r="F287" s="13" t="str">
        <f>IFERROR(E287/E446, "NA")</f>
        <v>NA</v>
      </c>
      <c r="G287" s="14"/>
      <c r="H287" s="15">
        <f t="shared" ref="H287:H296" si="85">IFERROR(-(B287-E287), "NA")</f>
        <v>0</v>
      </c>
      <c r="I287" s="13" t="str">
        <f>IFERROR(H287/H446, "NA")</f>
        <v>NA</v>
      </c>
      <c r="J287" s="14"/>
      <c r="K287" s="12">
        <v>0.0</v>
      </c>
      <c r="L287" s="13" t="str">
        <f>IFERROR(K287/K446, "NA")</f>
        <v>NA</v>
      </c>
      <c r="M287" s="14"/>
      <c r="N287" s="15">
        <f t="shared" ref="N287:N296" si="86">IFERROR(-(B287-K287), "NA")</f>
        <v>0</v>
      </c>
      <c r="O287" s="13" t="str">
        <f>IFERROR(N287/N446, "NA")</f>
        <v>NA</v>
      </c>
      <c r="P287" s="14"/>
      <c r="Q287" s="12">
        <v>0.0</v>
      </c>
      <c r="R287" s="13" t="str">
        <f>IFERROR(Q287/Q446, "NA")</f>
        <v>NA</v>
      </c>
      <c r="S287" s="14"/>
      <c r="T287" s="12">
        <v>0.0</v>
      </c>
      <c r="U287" s="13" t="str">
        <f>IFERROR(T287/T446, "NA")</f>
        <v>NA</v>
      </c>
      <c r="V287" s="14"/>
      <c r="W287" s="15">
        <f t="shared" ref="W287:W296" si="87">IFERROR(-(Q287-T287), "NA")</f>
        <v>0</v>
      </c>
      <c r="X287" s="13" t="str">
        <f>IFERROR(W287/W446, "NA")</f>
        <v>NA</v>
      </c>
      <c r="Y287" s="14"/>
      <c r="Z287" s="12">
        <v>0.0</v>
      </c>
      <c r="AA287" s="13" t="str">
        <f>IFERROR(Z287/Z446, "NA")</f>
        <v>NA</v>
      </c>
      <c r="AB287" s="14"/>
      <c r="AC287" s="15">
        <f t="shared" ref="AC287:AC296" si="88">IFERROR(-(Q287-Z287), "NA")</f>
        <v>0</v>
      </c>
      <c r="AD287" s="13" t="str">
        <f>IFERROR(AC287/AC446, "NA")</f>
        <v>NA</v>
      </c>
    </row>
    <row r="288" ht="16.5" hidden="1" customHeight="1">
      <c r="A288" s="11" t="s">
        <v>264</v>
      </c>
      <c r="B288" s="12">
        <v>0.0</v>
      </c>
      <c r="C288" s="13" t="str">
        <f>IFERROR(B288/B446, "NA")</f>
        <v>NA</v>
      </c>
      <c r="D288" s="14"/>
      <c r="E288" s="12">
        <v>0.0</v>
      </c>
      <c r="F288" s="13" t="str">
        <f>IFERROR(E288/E446, "NA")</f>
        <v>NA</v>
      </c>
      <c r="G288" s="14"/>
      <c r="H288" s="15">
        <f t="shared" si="85"/>
        <v>0</v>
      </c>
      <c r="I288" s="13" t="str">
        <f>IFERROR(H288/H446, "NA")</f>
        <v>NA</v>
      </c>
      <c r="J288" s="14"/>
      <c r="K288" s="12">
        <v>0.0</v>
      </c>
      <c r="L288" s="13" t="str">
        <f>IFERROR(K288/K446, "NA")</f>
        <v>NA</v>
      </c>
      <c r="M288" s="14"/>
      <c r="N288" s="15">
        <f t="shared" si="86"/>
        <v>0</v>
      </c>
      <c r="O288" s="13" t="str">
        <f>IFERROR(N288/N446, "NA")</f>
        <v>NA</v>
      </c>
      <c r="P288" s="14"/>
      <c r="Q288" s="12">
        <v>0.0</v>
      </c>
      <c r="R288" s="13" t="str">
        <f>IFERROR(Q288/Q446, "NA")</f>
        <v>NA</v>
      </c>
      <c r="S288" s="14"/>
      <c r="T288" s="12">
        <v>0.0</v>
      </c>
      <c r="U288" s="13" t="str">
        <f>IFERROR(T288/T446, "NA")</f>
        <v>NA</v>
      </c>
      <c r="V288" s="14"/>
      <c r="W288" s="15">
        <f t="shared" si="87"/>
        <v>0</v>
      </c>
      <c r="X288" s="13" t="str">
        <f>IFERROR(W288/W446, "NA")</f>
        <v>NA</v>
      </c>
      <c r="Y288" s="14"/>
      <c r="Z288" s="12">
        <v>0.0</v>
      </c>
      <c r="AA288" s="13" t="str">
        <f>IFERROR(Z288/Z446, "NA")</f>
        <v>NA</v>
      </c>
      <c r="AB288" s="14"/>
      <c r="AC288" s="15">
        <f t="shared" si="88"/>
        <v>0</v>
      </c>
      <c r="AD288" s="13" t="str">
        <f>IFERROR(AC288/AC446, "NA")</f>
        <v>NA</v>
      </c>
    </row>
    <row r="289" ht="16.5" hidden="1" customHeight="1">
      <c r="A289" s="11" t="s">
        <v>265</v>
      </c>
      <c r="B289" s="12">
        <v>0.0</v>
      </c>
      <c r="C289" s="13" t="str">
        <f>IFERROR(B289/B446, "NA")</f>
        <v>NA</v>
      </c>
      <c r="D289" s="14"/>
      <c r="E289" s="12">
        <v>0.0</v>
      </c>
      <c r="F289" s="13" t="str">
        <f>IFERROR(E289/E446, "NA")</f>
        <v>NA</v>
      </c>
      <c r="G289" s="14"/>
      <c r="H289" s="15">
        <f t="shared" si="85"/>
        <v>0</v>
      </c>
      <c r="I289" s="13" t="str">
        <f>IFERROR(H289/H446, "NA")</f>
        <v>NA</v>
      </c>
      <c r="J289" s="14"/>
      <c r="K289" s="12">
        <v>0.0</v>
      </c>
      <c r="L289" s="13" t="str">
        <f>IFERROR(K289/K446, "NA")</f>
        <v>NA</v>
      </c>
      <c r="M289" s="14"/>
      <c r="N289" s="15">
        <f t="shared" si="86"/>
        <v>0</v>
      </c>
      <c r="O289" s="13" t="str">
        <f>IFERROR(N289/N446, "NA")</f>
        <v>NA</v>
      </c>
      <c r="P289" s="14"/>
      <c r="Q289" s="12">
        <v>0.0</v>
      </c>
      <c r="R289" s="13" t="str">
        <f>IFERROR(Q289/Q446, "NA")</f>
        <v>NA</v>
      </c>
      <c r="S289" s="14"/>
      <c r="T289" s="12">
        <v>0.0</v>
      </c>
      <c r="U289" s="13" t="str">
        <f>IFERROR(T289/T446, "NA")</f>
        <v>NA</v>
      </c>
      <c r="V289" s="14"/>
      <c r="W289" s="15">
        <f t="shared" si="87"/>
        <v>0</v>
      </c>
      <c r="X289" s="13" t="str">
        <f>IFERROR(W289/W446, "NA")</f>
        <v>NA</v>
      </c>
      <c r="Y289" s="14"/>
      <c r="Z289" s="12">
        <v>0.0</v>
      </c>
      <c r="AA289" s="13" t="str">
        <f>IFERROR(Z289/Z446, "NA")</f>
        <v>NA</v>
      </c>
      <c r="AB289" s="14"/>
      <c r="AC289" s="15">
        <f t="shared" si="88"/>
        <v>0</v>
      </c>
      <c r="AD289" s="13" t="str">
        <f>IFERROR(AC289/AC446, "NA")</f>
        <v>NA</v>
      </c>
    </row>
    <row r="290" ht="16.5" hidden="1" customHeight="1">
      <c r="A290" s="11" t="s">
        <v>266</v>
      </c>
      <c r="B290" s="12">
        <v>0.0</v>
      </c>
      <c r="C290" s="13" t="str">
        <f>IFERROR(B290/B446, "NA")</f>
        <v>NA</v>
      </c>
      <c r="D290" s="14"/>
      <c r="E290" s="12">
        <v>0.0</v>
      </c>
      <c r="F290" s="13" t="str">
        <f>IFERROR(E290/E446, "NA")</f>
        <v>NA</v>
      </c>
      <c r="G290" s="14"/>
      <c r="H290" s="15">
        <f t="shared" si="85"/>
        <v>0</v>
      </c>
      <c r="I290" s="13" t="str">
        <f>IFERROR(H290/H446, "NA")</f>
        <v>NA</v>
      </c>
      <c r="J290" s="14"/>
      <c r="K290" s="12">
        <v>0.0</v>
      </c>
      <c r="L290" s="13" t="str">
        <f>IFERROR(K290/K446, "NA")</f>
        <v>NA</v>
      </c>
      <c r="M290" s="14"/>
      <c r="N290" s="15">
        <f t="shared" si="86"/>
        <v>0</v>
      </c>
      <c r="O290" s="13" t="str">
        <f>IFERROR(N290/N446, "NA")</f>
        <v>NA</v>
      </c>
      <c r="P290" s="14"/>
      <c r="Q290" s="12">
        <v>0.0</v>
      </c>
      <c r="R290" s="13" t="str">
        <f>IFERROR(Q290/Q446, "NA")</f>
        <v>NA</v>
      </c>
      <c r="S290" s="14"/>
      <c r="T290" s="12">
        <v>0.0</v>
      </c>
      <c r="U290" s="13" t="str">
        <f>IFERROR(T290/T446, "NA")</f>
        <v>NA</v>
      </c>
      <c r="V290" s="14"/>
      <c r="W290" s="15">
        <f t="shared" si="87"/>
        <v>0</v>
      </c>
      <c r="X290" s="13" t="str">
        <f>IFERROR(W290/W446, "NA")</f>
        <v>NA</v>
      </c>
      <c r="Y290" s="14"/>
      <c r="Z290" s="12">
        <v>0.0</v>
      </c>
      <c r="AA290" s="13" t="str">
        <f>IFERROR(Z290/Z446, "NA")</f>
        <v>NA</v>
      </c>
      <c r="AB290" s="14"/>
      <c r="AC290" s="15">
        <f t="shared" si="88"/>
        <v>0</v>
      </c>
      <c r="AD290" s="13" t="str">
        <f>IFERROR(AC290/AC446, "NA")</f>
        <v>NA</v>
      </c>
    </row>
    <row r="291" ht="16.5" hidden="1" customHeight="1">
      <c r="A291" s="11" t="s">
        <v>267</v>
      </c>
      <c r="B291" s="12">
        <v>0.0</v>
      </c>
      <c r="C291" s="13" t="str">
        <f>IFERROR(B291/B446, "NA")</f>
        <v>NA</v>
      </c>
      <c r="D291" s="14"/>
      <c r="E291" s="12">
        <v>0.0</v>
      </c>
      <c r="F291" s="13" t="str">
        <f>IFERROR(E291/E446, "NA")</f>
        <v>NA</v>
      </c>
      <c r="G291" s="14"/>
      <c r="H291" s="15">
        <f t="shared" si="85"/>
        <v>0</v>
      </c>
      <c r="I291" s="13" t="str">
        <f>IFERROR(H291/H446, "NA")</f>
        <v>NA</v>
      </c>
      <c r="J291" s="14"/>
      <c r="K291" s="12">
        <v>0.0</v>
      </c>
      <c r="L291" s="13" t="str">
        <f>IFERROR(K291/K446, "NA")</f>
        <v>NA</v>
      </c>
      <c r="M291" s="14"/>
      <c r="N291" s="15">
        <f t="shared" si="86"/>
        <v>0</v>
      </c>
      <c r="O291" s="13" t="str">
        <f>IFERROR(N291/N446, "NA")</f>
        <v>NA</v>
      </c>
      <c r="P291" s="14"/>
      <c r="Q291" s="12">
        <v>0.0</v>
      </c>
      <c r="R291" s="13" t="str">
        <f>IFERROR(Q291/Q446, "NA")</f>
        <v>NA</v>
      </c>
      <c r="S291" s="14"/>
      <c r="T291" s="12">
        <v>0.0</v>
      </c>
      <c r="U291" s="13" t="str">
        <f>IFERROR(T291/T446, "NA")</f>
        <v>NA</v>
      </c>
      <c r="V291" s="14"/>
      <c r="W291" s="15">
        <f t="shared" si="87"/>
        <v>0</v>
      </c>
      <c r="X291" s="13" t="str">
        <f>IFERROR(W291/W446, "NA")</f>
        <v>NA</v>
      </c>
      <c r="Y291" s="14"/>
      <c r="Z291" s="12">
        <v>0.0</v>
      </c>
      <c r="AA291" s="13" t="str">
        <f>IFERROR(Z291/Z446, "NA")</f>
        <v>NA</v>
      </c>
      <c r="AB291" s="14"/>
      <c r="AC291" s="15">
        <f t="shared" si="88"/>
        <v>0</v>
      </c>
      <c r="AD291" s="13" t="str">
        <f>IFERROR(AC291/AC446, "NA")</f>
        <v>NA</v>
      </c>
    </row>
    <row r="292" ht="16.5" hidden="1" customHeight="1">
      <c r="A292" s="11" t="s">
        <v>268</v>
      </c>
      <c r="B292" s="12">
        <v>0.0</v>
      </c>
      <c r="C292" s="13" t="str">
        <f>IFERROR(B292/B446, "NA")</f>
        <v>NA</v>
      </c>
      <c r="D292" s="14"/>
      <c r="E292" s="12">
        <v>0.0</v>
      </c>
      <c r="F292" s="13" t="str">
        <f>IFERROR(E292/E446, "NA")</f>
        <v>NA</v>
      </c>
      <c r="G292" s="14"/>
      <c r="H292" s="15">
        <f t="shared" si="85"/>
        <v>0</v>
      </c>
      <c r="I292" s="13" t="str">
        <f>IFERROR(H292/H446, "NA")</f>
        <v>NA</v>
      </c>
      <c r="J292" s="14"/>
      <c r="K292" s="12">
        <v>0.0</v>
      </c>
      <c r="L292" s="13" t="str">
        <f>IFERROR(K292/K446, "NA")</f>
        <v>NA</v>
      </c>
      <c r="M292" s="14"/>
      <c r="N292" s="15">
        <f t="shared" si="86"/>
        <v>0</v>
      </c>
      <c r="O292" s="13" t="str">
        <f>IFERROR(N292/N446, "NA")</f>
        <v>NA</v>
      </c>
      <c r="P292" s="14"/>
      <c r="Q292" s="12">
        <v>0.0</v>
      </c>
      <c r="R292" s="13" t="str">
        <f>IFERROR(Q292/Q446, "NA")</f>
        <v>NA</v>
      </c>
      <c r="S292" s="14"/>
      <c r="T292" s="12">
        <v>0.0</v>
      </c>
      <c r="U292" s="13" t="str">
        <f>IFERROR(T292/T446, "NA")</f>
        <v>NA</v>
      </c>
      <c r="V292" s="14"/>
      <c r="W292" s="15">
        <f t="shared" si="87"/>
        <v>0</v>
      </c>
      <c r="X292" s="13" t="str">
        <f>IFERROR(W292/W446, "NA")</f>
        <v>NA</v>
      </c>
      <c r="Y292" s="14"/>
      <c r="Z292" s="12">
        <v>0.0</v>
      </c>
      <c r="AA292" s="13" t="str">
        <f>IFERROR(Z292/Z446, "NA")</f>
        <v>NA</v>
      </c>
      <c r="AB292" s="14"/>
      <c r="AC292" s="15">
        <f t="shared" si="88"/>
        <v>0</v>
      </c>
      <c r="AD292" s="13" t="str">
        <f>IFERROR(AC292/AC446, "NA")</f>
        <v>NA</v>
      </c>
    </row>
    <row r="293" ht="16.5" hidden="1" customHeight="1">
      <c r="A293" s="11" t="s">
        <v>269</v>
      </c>
      <c r="B293" s="12">
        <v>0.0</v>
      </c>
      <c r="C293" s="13" t="str">
        <f>IFERROR(B293/B446, "NA")</f>
        <v>NA</v>
      </c>
      <c r="D293" s="14"/>
      <c r="E293" s="12">
        <v>0.0</v>
      </c>
      <c r="F293" s="13" t="str">
        <f>IFERROR(E293/E446, "NA")</f>
        <v>NA</v>
      </c>
      <c r="G293" s="14"/>
      <c r="H293" s="15">
        <f t="shared" si="85"/>
        <v>0</v>
      </c>
      <c r="I293" s="13" t="str">
        <f>IFERROR(H293/H446, "NA")</f>
        <v>NA</v>
      </c>
      <c r="J293" s="14"/>
      <c r="K293" s="12">
        <v>0.0</v>
      </c>
      <c r="L293" s="13" t="str">
        <f>IFERROR(K293/K446, "NA")</f>
        <v>NA</v>
      </c>
      <c r="M293" s="14"/>
      <c r="N293" s="15">
        <f t="shared" si="86"/>
        <v>0</v>
      </c>
      <c r="O293" s="13" t="str">
        <f>IFERROR(N293/N446, "NA")</f>
        <v>NA</v>
      </c>
      <c r="P293" s="14"/>
      <c r="Q293" s="12">
        <v>0.0</v>
      </c>
      <c r="R293" s="13" t="str">
        <f>IFERROR(Q293/Q446, "NA")</f>
        <v>NA</v>
      </c>
      <c r="S293" s="14"/>
      <c r="T293" s="12">
        <v>0.0</v>
      </c>
      <c r="U293" s="13" t="str">
        <f>IFERROR(T293/T446, "NA")</f>
        <v>NA</v>
      </c>
      <c r="V293" s="14"/>
      <c r="W293" s="15">
        <f t="shared" si="87"/>
        <v>0</v>
      </c>
      <c r="X293" s="13" t="str">
        <f>IFERROR(W293/W446, "NA")</f>
        <v>NA</v>
      </c>
      <c r="Y293" s="14"/>
      <c r="Z293" s="12">
        <v>0.0</v>
      </c>
      <c r="AA293" s="13" t="str">
        <f>IFERROR(Z293/Z446, "NA")</f>
        <v>NA</v>
      </c>
      <c r="AB293" s="14"/>
      <c r="AC293" s="15">
        <f t="shared" si="88"/>
        <v>0</v>
      </c>
      <c r="AD293" s="13" t="str">
        <f>IFERROR(AC293/AC446, "NA")</f>
        <v>NA</v>
      </c>
    </row>
    <row r="294" ht="16.5" hidden="1" customHeight="1">
      <c r="A294" s="11" t="s">
        <v>270</v>
      </c>
      <c r="B294" s="12">
        <v>0.0</v>
      </c>
      <c r="C294" s="13" t="str">
        <f>IFERROR(B294/B446, "NA")</f>
        <v>NA</v>
      </c>
      <c r="D294" s="14"/>
      <c r="E294" s="12">
        <v>0.0</v>
      </c>
      <c r="F294" s="13" t="str">
        <f>IFERROR(E294/E446, "NA")</f>
        <v>NA</v>
      </c>
      <c r="G294" s="14"/>
      <c r="H294" s="15">
        <f t="shared" si="85"/>
        <v>0</v>
      </c>
      <c r="I294" s="13" t="str">
        <f>IFERROR(H294/H446, "NA")</f>
        <v>NA</v>
      </c>
      <c r="J294" s="14"/>
      <c r="K294" s="12">
        <v>0.0</v>
      </c>
      <c r="L294" s="13" t="str">
        <f>IFERROR(K294/K446, "NA")</f>
        <v>NA</v>
      </c>
      <c r="M294" s="14"/>
      <c r="N294" s="15">
        <f t="shared" si="86"/>
        <v>0</v>
      </c>
      <c r="O294" s="13" t="str">
        <f>IFERROR(N294/N446, "NA")</f>
        <v>NA</v>
      </c>
      <c r="P294" s="14"/>
      <c r="Q294" s="12">
        <v>0.0</v>
      </c>
      <c r="R294" s="13" t="str">
        <f>IFERROR(Q294/Q446, "NA")</f>
        <v>NA</v>
      </c>
      <c r="S294" s="14"/>
      <c r="T294" s="12">
        <v>0.0</v>
      </c>
      <c r="U294" s="13" t="str">
        <f>IFERROR(T294/T446, "NA")</f>
        <v>NA</v>
      </c>
      <c r="V294" s="14"/>
      <c r="W294" s="15">
        <f t="shared" si="87"/>
        <v>0</v>
      </c>
      <c r="X294" s="13" t="str">
        <f>IFERROR(W294/W446, "NA")</f>
        <v>NA</v>
      </c>
      <c r="Y294" s="14"/>
      <c r="Z294" s="12">
        <v>0.0</v>
      </c>
      <c r="AA294" s="13" t="str">
        <f>IFERROR(Z294/Z446, "NA")</f>
        <v>NA</v>
      </c>
      <c r="AB294" s="14"/>
      <c r="AC294" s="15">
        <f t="shared" si="88"/>
        <v>0</v>
      </c>
      <c r="AD294" s="13" t="str">
        <f>IFERROR(AC294/AC446, "NA")</f>
        <v>NA</v>
      </c>
    </row>
    <row r="295" ht="16.5" hidden="1" customHeight="1">
      <c r="A295" s="11" t="s">
        <v>271</v>
      </c>
      <c r="B295" s="12">
        <v>0.0</v>
      </c>
      <c r="C295" s="13" t="str">
        <f>IFERROR(B295/B446, "NA")</f>
        <v>NA</v>
      </c>
      <c r="D295" s="14"/>
      <c r="E295" s="12">
        <v>0.0</v>
      </c>
      <c r="F295" s="13" t="str">
        <f>IFERROR(E295/E446, "NA")</f>
        <v>NA</v>
      </c>
      <c r="G295" s="14"/>
      <c r="H295" s="15">
        <f t="shared" si="85"/>
        <v>0</v>
      </c>
      <c r="I295" s="13" t="str">
        <f>IFERROR(H295/H446, "NA")</f>
        <v>NA</v>
      </c>
      <c r="J295" s="14"/>
      <c r="K295" s="12">
        <v>0.0</v>
      </c>
      <c r="L295" s="13" t="str">
        <f>IFERROR(K295/K446, "NA")</f>
        <v>NA</v>
      </c>
      <c r="M295" s="14"/>
      <c r="N295" s="15">
        <f t="shared" si="86"/>
        <v>0</v>
      </c>
      <c r="O295" s="13" t="str">
        <f>IFERROR(N295/N446, "NA")</f>
        <v>NA</v>
      </c>
      <c r="P295" s="14"/>
      <c r="Q295" s="12">
        <v>0.0</v>
      </c>
      <c r="R295" s="13" t="str">
        <f>IFERROR(Q295/Q446, "NA")</f>
        <v>NA</v>
      </c>
      <c r="S295" s="14"/>
      <c r="T295" s="12">
        <v>0.0</v>
      </c>
      <c r="U295" s="13" t="str">
        <f>IFERROR(T295/T446, "NA")</f>
        <v>NA</v>
      </c>
      <c r="V295" s="14"/>
      <c r="W295" s="15">
        <f t="shared" si="87"/>
        <v>0</v>
      </c>
      <c r="X295" s="13" t="str">
        <f>IFERROR(W295/W446, "NA")</f>
        <v>NA</v>
      </c>
      <c r="Y295" s="14"/>
      <c r="Z295" s="12">
        <v>0.0</v>
      </c>
      <c r="AA295" s="13" t="str">
        <f>IFERROR(Z295/Z446, "NA")</f>
        <v>NA</v>
      </c>
      <c r="AB295" s="14"/>
      <c r="AC295" s="15">
        <f t="shared" si="88"/>
        <v>0</v>
      </c>
      <c r="AD295" s="13" t="str">
        <f>IFERROR(AC295/AC446, "NA")</f>
        <v>NA</v>
      </c>
    </row>
    <row r="296" ht="16.5" customHeight="1">
      <c r="A296" s="16" t="s">
        <v>272</v>
      </c>
      <c r="B296" s="17">
        <f>IFERROR(B287+B288+B289+B290+B291+B292+B293+B294+B295, "NA")</f>
        <v>0</v>
      </c>
      <c r="C296" s="18" t="str">
        <f>IFERROR(B296/B446, "NA")</f>
        <v>NA</v>
      </c>
      <c r="D296" s="8"/>
      <c r="E296" s="17">
        <f>IFERROR(E287+E288+E289+E290+E291+E292+E293+E294+E295, "NA")</f>
        <v>0</v>
      </c>
      <c r="F296" s="18" t="str">
        <f>IFERROR(E296/E446, "NA")</f>
        <v>NA</v>
      </c>
      <c r="G296" s="8"/>
      <c r="H296" s="17">
        <f t="shared" si="85"/>
        <v>0</v>
      </c>
      <c r="I296" s="18" t="str">
        <f>IFERROR(H296/H446, "NA")</f>
        <v>NA</v>
      </c>
      <c r="J296" s="8"/>
      <c r="K296" s="17">
        <f>IFERROR(K287+K288+K289+K290+K291+K292+K293+K294+K295, "NA")</f>
        <v>0</v>
      </c>
      <c r="L296" s="18" t="str">
        <f>IFERROR(K296/K446, "NA")</f>
        <v>NA</v>
      </c>
      <c r="M296" s="8"/>
      <c r="N296" s="17">
        <f t="shared" si="86"/>
        <v>0</v>
      </c>
      <c r="O296" s="18" t="str">
        <f>IFERROR(N296/N446, "NA")</f>
        <v>NA</v>
      </c>
      <c r="P296" s="8"/>
      <c r="Q296" s="17">
        <f>IFERROR(Q287+Q288+Q289+Q290+Q291+Q292+Q293+Q294+Q295, "NA")</f>
        <v>0</v>
      </c>
      <c r="R296" s="18" t="str">
        <f>IFERROR(Q296/Q446, "NA")</f>
        <v>NA</v>
      </c>
      <c r="S296" s="8"/>
      <c r="T296" s="17">
        <f>IFERROR(T287+T288+T289+T290+T291+T292+T293+T294+T295, "NA")</f>
        <v>0</v>
      </c>
      <c r="U296" s="18" t="str">
        <f>IFERROR(T296/T446, "NA")</f>
        <v>NA</v>
      </c>
      <c r="V296" s="8"/>
      <c r="W296" s="17">
        <f t="shared" si="87"/>
        <v>0</v>
      </c>
      <c r="X296" s="18" t="str">
        <f>IFERROR(W296/W446, "NA")</f>
        <v>NA</v>
      </c>
      <c r="Y296" s="8"/>
      <c r="Z296" s="17">
        <f>IFERROR(Z287+Z288+Z289+Z290+Z291+Z292+Z293+Z294+Z295, "NA")</f>
        <v>0</v>
      </c>
      <c r="AA296" s="18" t="str">
        <f>IFERROR(Z296/Z446, "NA")</f>
        <v>NA</v>
      </c>
      <c r="AB296" s="8"/>
      <c r="AC296" s="17">
        <f t="shared" si="88"/>
        <v>0</v>
      </c>
      <c r="AD296" s="18" t="str">
        <f>IFERROR(AC296/AC446, "NA")</f>
        <v>NA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 t="str">
        <f>IFERROR(B298/B446, "NA")</f>
        <v>NA</v>
      </c>
      <c r="D298" s="14"/>
      <c r="E298" s="12">
        <v>0.0</v>
      </c>
      <c r="F298" s="13" t="str">
        <f>IFERROR(E298/E446, "NA")</f>
        <v>NA</v>
      </c>
      <c r="G298" s="14"/>
      <c r="H298" s="15">
        <f t="shared" ref="H298:H326" si="89">IFERROR(-(B298-E298), "NA")</f>
        <v>0</v>
      </c>
      <c r="I298" s="13" t="str">
        <f>IFERROR(H298/H446, "NA")</f>
        <v>NA</v>
      </c>
      <c r="J298" s="14"/>
      <c r="K298" s="12">
        <v>0.0</v>
      </c>
      <c r="L298" s="13" t="str">
        <f>IFERROR(K298/K446, "NA")</f>
        <v>NA</v>
      </c>
      <c r="M298" s="14"/>
      <c r="N298" s="15">
        <f t="shared" ref="N298:N326" si="90">IFERROR(-(B298-K298), "NA")</f>
        <v>0</v>
      </c>
      <c r="O298" s="13" t="str">
        <f>IFERROR(N298/N446, "NA")</f>
        <v>NA</v>
      </c>
      <c r="P298" s="14"/>
      <c r="Q298" s="12">
        <v>0.0</v>
      </c>
      <c r="R298" s="13" t="str">
        <f>IFERROR(Q298/Q446, "NA")</f>
        <v>NA</v>
      </c>
      <c r="S298" s="14"/>
      <c r="T298" s="12">
        <v>0.0</v>
      </c>
      <c r="U298" s="13" t="str">
        <f>IFERROR(T298/T446, "NA")</f>
        <v>NA</v>
      </c>
      <c r="V298" s="14"/>
      <c r="W298" s="15">
        <f t="shared" ref="W298:W326" si="91">IFERROR(-(Q298-T298), "NA")</f>
        <v>0</v>
      </c>
      <c r="X298" s="13" t="str">
        <f>IFERROR(W298/W446, "NA")</f>
        <v>NA</v>
      </c>
      <c r="Y298" s="14"/>
      <c r="Z298" s="12">
        <v>0.0</v>
      </c>
      <c r="AA298" s="13" t="str">
        <f>IFERROR(Z298/Z446, "NA")</f>
        <v>NA</v>
      </c>
      <c r="AB298" s="14"/>
      <c r="AC298" s="15">
        <f t="shared" ref="AC298:AC326" si="92">IFERROR(-(Q298-Z298), "NA")</f>
        <v>0</v>
      </c>
      <c r="AD298" s="13" t="str">
        <f>IFERROR(AC298/AC446, "NA")</f>
        <v>NA</v>
      </c>
    </row>
    <row r="299" ht="16.5" hidden="1" customHeight="1">
      <c r="A299" s="11" t="s">
        <v>274</v>
      </c>
      <c r="B299" s="12">
        <v>0.0</v>
      </c>
      <c r="C299" s="13" t="str">
        <f>IFERROR(B299/B446, "NA")</f>
        <v>NA</v>
      </c>
      <c r="D299" s="14"/>
      <c r="E299" s="12">
        <v>0.0</v>
      </c>
      <c r="F299" s="13" t="str">
        <f>IFERROR(E299/E446, "NA")</f>
        <v>NA</v>
      </c>
      <c r="G299" s="14"/>
      <c r="H299" s="15">
        <f t="shared" si="89"/>
        <v>0</v>
      </c>
      <c r="I299" s="13" t="str">
        <f>IFERROR(H299/H446, "NA")</f>
        <v>NA</v>
      </c>
      <c r="J299" s="14"/>
      <c r="K299" s="12">
        <v>0.0</v>
      </c>
      <c r="L299" s="13" t="str">
        <f>IFERROR(K299/K446, "NA")</f>
        <v>NA</v>
      </c>
      <c r="M299" s="14"/>
      <c r="N299" s="15">
        <f t="shared" si="90"/>
        <v>0</v>
      </c>
      <c r="O299" s="13" t="str">
        <f>IFERROR(N299/N446, "NA")</f>
        <v>NA</v>
      </c>
      <c r="P299" s="14"/>
      <c r="Q299" s="12">
        <v>0.0</v>
      </c>
      <c r="R299" s="13" t="str">
        <f>IFERROR(Q299/Q446, "NA")</f>
        <v>NA</v>
      </c>
      <c r="S299" s="14"/>
      <c r="T299" s="12">
        <v>0.0</v>
      </c>
      <c r="U299" s="13" t="str">
        <f>IFERROR(T299/T446, "NA")</f>
        <v>NA</v>
      </c>
      <c r="V299" s="14"/>
      <c r="W299" s="15">
        <f t="shared" si="91"/>
        <v>0</v>
      </c>
      <c r="X299" s="13" t="str">
        <f>IFERROR(W299/W446, "NA")</f>
        <v>NA</v>
      </c>
      <c r="Y299" s="14"/>
      <c r="Z299" s="12">
        <v>0.0</v>
      </c>
      <c r="AA299" s="13" t="str">
        <f>IFERROR(Z299/Z446, "NA")</f>
        <v>NA</v>
      </c>
      <c r="AB299" s="14"/>
      <c r="AC299" s="15">
        <f t="shared" si="92"/>
        <v>0</v>
      </c>
      <c r="AD299" s="13" t="str">
        <f>IFERROR(AC299/AC446, "NA")</f>
        <v>NA</v>
      </c>
    </row>
    <row r="300" ht="16.5" hidden="1" customHeight="1">
      <c r="A300" s="11" t="s">
        <v>275</v>
      </c>
      <c r="B300" s="12">
        <v>0.0</v>
      </c>
      <c r="C300" s="13" t="str">
        <f>IFERROR(B300/B446, "NA")</f>
        <v>NA</v>
      </c>
      <c r="D300" s="14"/>
      <c r="E300" s="12">
        <v>0.0</v>
      </c>
      <c r="F300" s="13" t="str">
        <f>IFERROR(E300/E446, "NA")</f>
        <v>NA</v>
      </c>
      <c r="G300" s="14"/>
      <c r="H300" s="15">
        <f t="shared" si="89"/>
        <v>0</v>
      </c>
      <c r="I300" s="13" t="str">
        <f>IFERROR(H300/H446, "NA")</f>
        <v>NA</v>
      </c>
      <c r="J300" s="14"/>
      <c r="K300" s="12">
        <v>0.0</v>
      </c>
      <c r="L300" s="13" t="str">
        <f>IFERROR(K300/K446, "NA")</f>
        <v>NA</v>
      </c>
      <c r="M300" s="14"/>
      <c r="N300" s="15">
        <f t="shared" si="90"/>
        <v>0</v>
      </c>
      <c r="O300" s="13" t="str">
        <f>IFERROR(N300/N446, "NA")</f>
        <v>NA</v>
      </c>
      <c r="P300" s="14"/>
      <c r="Q300" s="12">
        <v>0.0</v>
      </c>
      <c r="R300" s="13" t="str">
        <f>IFERROR(Q300/Q446, "NA")</f>
        <v>NA</v>
      </c>
      <c r="S300" s="14"/>
      <c r="T300" s="12">
        <v>0.0</v>
      </c>
      <c r="U300" s="13" t="str">
        <f>IFERROR(T300/T446, "NA")</f>
        <v>NA</v>
      </c>
      <c r="V300" s="14"/>
      <c r="W300" s="15">
        <f t="shared" si="91"/>
        <v>0</v>
      </c>
      <c r="X300" s="13" t="str">
        <f>IFERROR(W300/W446, "NA")</f>
        <v>NA</v>
      </c>
      <c r="Y300" s="14"/>
      <c r="Z300" s="12">
        <v>0.0</v>
      </c>
      <c r="AA300" s="13" t="str">
        <f>IFERROR(Z300/Z446, "NA")</f>
        <v>NA</v>
      </c>
      <c r="AB300" s="14"/>
      <c r="AC300" s="15">
        <f t="shared" si="92"/>
        <v>0</v>
      </c>
      <c r="AD300" s="13" t="str">
        <f>IFERROR(AC300/AC446, "NA")</f>
        <v>NA</v>
      </c>
    </row>
    <row r="301" ht="16.5" hidden="1" customHeight="1">
      <c r="A301" s="11" t="s">
        <v>276</v>
      </c>
      <c r="B301" s="12">
        <v>0.0</v>
      </c>
      <c r="C301" s="13" t="str">
        <f>IFERROR(B301/B446, "NA")</f>
        <v>NA</v>
      </c>
      <c r="D301" s="14"/>
      <c r="E301" s="12">
        <v>0.0</v>
      </c>
      <c r="F301" s="13" t="str">
        <f>IFERROR(E301/E446, "NA")</f>
        <v>NA</v>
      </c>
      <c r="G301" s="14"/>
      <c r="H301" s="15">
        <f t="shared" si="89"/>
        <v>0</v>
      </c>
      <c r="I301" s="13" t="str">
        <f>IFERROR(H301/H446, "NA")</f>
        <v>NA</v>
      </c>
      <c r="J301" s="14"/>
      <c r="K301" s="12">
        <v>0.0</v>
      </c>
      <c r="L301" s="13" t="str">
        <f>IFERROR(K301/K446, "NA")</f>
        <v>NA</v>
      </c>
      <c r="M301" s="14"/>
      <c r="N301" s="15">
        <f t="shared" si="90"/>
        <v>0</v>
      </c>
      <c r="O301" s="13" t="str">
        <f>IFERROR(N301/N446, "NA")</f>
        <v>NA</v>
      </c>
      <c r="P301" s="14"/>
      <c r="Q301" s="12">
        <v>0.0</v>
      </c>
      <c r="R301" s="13" t="str">
        <f>IFERROR(Q301/Q446, "NA")</f>
        <v>NA</v>
      </c>
      <c r="S301" s="14"/>
      <c r="T301" s="12">
        <v>0.0</v>
      </c>
      <c r="U301" s="13" t="str">
        <f>IFERROR(T301/T446, "NA")</f>
        <v>NA</v>
      </c>
      <c r="V301" s="14"/>
      <c r="W301" s="15">
        <f t="shared" si="91"/>
        <v>0</v>
      </c>
      <c r="X301" s="13" t="str">
        <f>IFERROR(W301/W446, "NA")</f>
        <v>NA</v>
      </c>
      <c r="Y301" s="14"/>
      <c r="Z301" s="12">
        <v>0.0</v>
      </c>
      <c r="AA301" s="13" t="str">
        <f>IFERROR(Z301/Z446, "NA")</f>
        <v>NA</v>
      </c>
      <c r="AB301" s="14"/>
      <c r="AC301" s="15">
        <f t="shared" si="92"/>
        <v>0</v>
      </c>
      <c r="AD301" s="13" t="str">
        <f>IFERROR(AC301/AC446, "NA")</f>
        <v>NA</v>
      </c>
    </row>
    <row r="302" ht="16.5" hidden="1" customHeight="1">
      <c r="A302" s="11" t="s">
        <v>277</v>
      </c>
      <c r="B302" s="12">
        <v>0.0</v>
      </c>
      <c r="C302" s="13" t="str">
        <f>IFERROR(B302/B446, "NA")</f>
        <v>NA</v>
      </c>
      <c r="D302" s="14"/>
      <c r="E302" s="12">
        <v>0.0</v>
      </c>
      <c r="F302" s="13" t="str">
        <f>IFERROR(E302/E446, "NA")</f>
        <v>NA</v>
      </c>
      <c r="G302" s="14"/>
      <c r="H302" s="15">
        <f t="shared" si="89"/>
        <v>0</v>
      </c>
      <c r="I302" s="13" t="str">
        <f>IFERROR(H302/H446, "NA")</f>
        <v>NA</v>
      </c>
      <c r="J302" s="14"/>
      <c r="K302" s="12">
        <v>0.0</v>
      </c>
      <c r="L302" s="13" t="str">
        <f>IFERROR(K302/K446, "NA")</f>
        <v>NA</v>
      </c>
      <c r="M302" s="14"/>
      <c r="N302" s="15">
        <f t="shared" si="90"/>
        <v>0</v>
      </c>
      <c r="O302" s="13" t="str">
        <f>IFERROR(N302/N446, "NA")</f>
        <v>NA</v>
      </c>
      <c r="P302" s="14"/>
      <c r="Q302" s="12">
        <v>0.0</v>
      </c>
      <c r="R302" s="13" t="str">
        <f>IFERROR(Q302/Q446, "NA")</f>
        <v>NA</v>
      </c>
      <c r="S302" s="14"/>
      <c r="T302" s="12">
        <v>0.0</v>
      </c>
      <c r="U302" s="13" t="str">
        <f>IFERROR(T302/T446, "NA")</f>
        <v>NA</v>
      </c>
      <c r="V302" s="14"/>
      <c r="W302" s="15">
        <f t="shared" si="91"/>
        <v>0</v>
      </c>
      <c r="X302" s="13" t="str">
        <f>IFERROR(W302/W446, "NA")</f>
        <v>NA</v>
      </c>
      <c r="Y302" s="14"/>
      <c r="Z302" s="12">
        <v>0.0</v>
      </c>
      <c r="AA302" s="13" t="str">
        <f>IFERROR(Z302/Z446, "NA")</f>
        <v>NA</v>
      </c>
      <c r="AB302" s="14"/>
      <c r="AC302" s="15">
        <f t="shared" si="92"/>
        <v>0</v>
      </c>
      <c r="AD302" s="13" t="str">
        <f>IFERROR(AC302/AC446, "NA")</f>
        <v>NA</v>
      </c>
    </row>
    <row r="303" ht="16.5" hidden="1" customHeight="1">
      <c r="A303" s="11" t="s">
        <v>278</v>
      </c>
      <c r="B303" s="12">
        <v>0.0</v>
      </c>
      <c r="C303" s="13" t="str">
        <f>IFERROR(B303/B446, "NA")</f>
        <v>NA</v>
      </c>
      <c r="D303" s="14"/>
      <c r="E303" s="12">
        <v>0.0</v>
      </c>
      <c r="F303" s="13" t="str">
        <f>IFERROR(E303/E446, "NA")</f>
        <v>NA</v>
      </c>
      <c r="G303" s="14"/>
      <c r="H303" s="15">
        <f t="shared" si="89"/>
        <v>0</v>
      </c>
      <c r="I303" s="13" t="str">
        <f>IFERROR(H303/H446, "NA")</f>
        <v>NA</v>
      </c>
      <c r="J303" s="14"/>
      <c r="K303" s="12">
        <v>0.0</v>
      </c>
      <c r="L303" s="13" t="str">
        <f>IFERROR(K303/K446, "NA")</f>
        <v>NA</v>
      </c>
      <c r="M303" s="14"/>
      <c r="N303" s="15">
        <f t="shared" si="90"/>
        <v>0</v>
      </c>
      <c r="O303" s="13" t="str">
        <f>IFERROR(N303/N446, "NA")</f>
        <v>NA</v>
      </c>
      <c r="P303" s="14"/>
      <c r="Q303" s="12">
        <v>0.0</v>
      </c>
      <c r="R303" s="13" t="str">
        <f>IFERROR(Q303/Q446, "NA")</f>
        <v>NA</v>
      </c>
      <c r="S303" s="14"/>
      <c r="T303" s="12">
        <v>0.0</v>
      </c>
      <c r="U303" s="13" t="str">
        <f>IFERROR(T303/T446, "NA")</f>
        <v>NA</v>
      </c>
      <c r="V303" s="14"/>
      <c r="W303" s="15">
        <f t="shared" si="91"/>
        <v>0</v>
      </c>
      <c r="X303" s="13" t="str">
        <f>IFERROR(W303/W446, "NA")</f>
        <v>NA</v>
      </c>
      <c r="Y303" s="14"/>
      <c r="Z303" s="12">
        <v>0.0</v>
      </c>
      <c r="AA303" s="13" t="str">
        <f>IFERROR(Z303/Z446, "NA")</f>
        <v>NA</v>
      </c>
      <c r="AB303" s="14"/>
      <c r="AC303" s="15">
        <f t="shared" si="92"/>
        <v>0</v>
      </c>
      <c r="AD303" s="13" t="str">
        <f>IFERROR(AC303/AC446, "NA")</f>
        <v>NA</v>
      </c>
    </row>
    <row r="304" ht="16.5" hidden="1" customHeight="1">
      <c r="A304" s="11" t="s">
        <v>279</v>
      </c>
      <c r="B304" s="12">
        <v>0.0</v>
      </c>
      <c r="C304" s="13" t="str">
        <f>IFERROR(B304/B446, "NA")</f>
        <v>NA</v>
      </c>
      <c r="D304" s="14"/>
      <c r="E304" s="12">
        <v>0.0</v>
      </c>
      <c r="F304" s="13" t="str">
        <f>IFERROR(E304/E446, "NA")</f>
        <v>NA</v>
      </c>
      <c r="G304" s="14"/>
      <c r="H304" s="15">
        <f t="shared" si="89"/>
        <v>0</v>
      </c>
      <c r="I304" s="13" t="str">
        <f>IFERROR(H304/H446, "NA")</f>
        <v>NA</v>
      </c>
      <c r="J304" s="14"/>
      <c r="K304" s="12">
        <v>0.0</v>
      </c>
      <c r="L304" s="13" t="str">
        <f>IFERROR(K304/K446, "NA")</f>
        <v>NA</v>
      </c>
      <c r="M304" s="14"/>
      <c r="N304" s="15">
        <f t="shared" si="90"/>
        <v>0</v>
      </c>
      <c r="O304" s="13" t="str">
        <f>IFERROR(N304/N446, "NA")</f>
        <v>NA</v>
      </c>
      <c r="P304" s="14"/>
      <c r="Q304" s="12">
        <v>0.0</v>
      </c>
      <c r="R304" s="13" t="str">
        <f>IFERROR(Q304/Q446, "NA")</f>
        <v>NA</v>
      </c>
      <c r="S304" s="14"/>
      <c r="T304" s="12">
        <v>0.0</v>
      </c>
      <c r="U304" s="13" t="str">
        <f>IFERROR(T304/T446, "NA")</f>
        <v>NA</v>
      </c>
      <c r="V304" s="14"/>
      <c r="W304" s="15">
        <f t="shared" si="91"/>
        <v>0</v>
      </c>
      <c r="X304" s="13" t="str">
        <f>IFERROR(W304/W446, "NA")</f>
        <v>NA</v>
      </c>
      <c r="Y304" s="14"/>
      <c r="Z304" s="12">
        <v>0.0</v>
      </c>
      <c r="AA304" s="13" t="str">
        <f>IFERROR(Z304/Z446, "NA")</f>
        <v>NA</v>
      </c>
      <c r="AB304" s="14"/>
      <c r="AC304" s="15">
        <f t="shared" si="92"/>
        <v>0</v>
      </c>
      <c r="AD304" s="13" t="str">
        <f>IFERROR(AC304/AC446, "NA")</f>
        <v>NA</v>
      </c>
    </row>
    <row r="305" ht="16.5" hidden="1" customHeight="1">
      <c r="A305" s="11" t="s">
        <v>280</v>
      </c>
      <c r="B305" s="12">
        <v>0.0</v>
      </c>
      <c r="C305" s="13" t="str">
        <f>IFERROR(B305/B446, "NA")</f>
        <v>NA</v>
      </c>
      <c r="D305" s="14"/>
      <c r="E305" s="12">
        <v>0.0</v>
      </c>
      <c r="F305" s="13" t="str">
        <f>IFERROR(E305/E446, "NA")</f>
        <v>NA</v>
      </c>
      <c r="G305" s="14"/>
      <c r="H305" s="15">
        <f t="shared" si="89"/>
        <v>0</v>
      </c>
      <c r="I305" s="13" t="str">
        <f>IFERROR(H305/H446, "NA")</f>
        <v>NA</v>
      </c>
      <c r="J305" s="14"/>
      <c r="K305" s="12">
        <v>0.0</v>
      </c>
      <c r="L305" s="13" t="str">
        <f>IFERROR(K305/K446, "NA")</f>
        <v>NA</v>
      </c>
      <c r="M305" s="14"/>
      <c r="N305" s="15">
        <f t="shared" si="90"/>
        <v>0</v>
      </c>
      <c r="O305" s="13" t="str">
        <f>IFERROR(N305/N446, "NA")</f>
        <v>NA</v>
      </c>
      <c r="P305" s="14"/>
      <c r="Q305" s="12">
        <v>0.0</v>
      </c>
      <c r="R305" s="13" t="str">
        <f>IFERROR(Q305/Q446, "NA")</f>
        <v>NA</v>
      </c>
      <c r="S305" s="14"/>
      <c r="T305" s="12">
        <v>0.0</v>
      </c>
      <c r="U305" s="13" t="str">
        <f>IFERROR(T305/T446, "NA")</f>
        <v>NA</v>
      </c>
      <c r="V305" s="14"/>
      <c r="W305" s="15">
        <f t="shared" si="91"/>
        <v>0</v>
      </c>
      <c r="X305" s="13" t="str">
        <f>IFERROR(W305/W446, "NA")</f>
        <v>NA</v>
      </c>
      <c r="Y305" s="14"/>
      <c r="Z305" s="12">
        <v>0.0</v>
      </c>
      <c r="AA305" s="13" t="str">
        <f>IFERROR(Z305/Z446, "NA")</f>
        <v>NA</v>
      </c>
      <c r="AB305" s="14"/>
      <c r="AC305" s="15">
        <f t="shared" si="92"/>
        <v>0</v>
      </c>
      <c r="AD305" s="13" t="str">
        <f>IFERROR(AC305/AC446, "NA")</f>
        <v>NA</v>
      </c>
    </row>
    <row r="306" ht="16.5" hidden="1" customHeight="1">
      <c r="A306" s="11" t="s">
        <v>281</v>
      </c>
      <c r="B306" s="12">
        <v>0.0</v>
      </c>
      <c r="C306" s="13" t="str">
        <f>IFERROR(B306/B446, "NA")</f>
        <v>NA</v>
      </c>
      <c r="D306" s="14"/>
      <c r="E306" s="12">
        <v>0.0</v>
      </c>
      <c r="F306" s="13" t="str">
        <f>IFERROR(E306/E446, "NA")</f>
        <v>NA</v>
      </c>
      <c r="G306" s="14"/>
      <c r="H306" s="15">
        <f t="shared" si="89"/>
        <v>0</v>
      </c>
      <c r="I306" s="13" t="str">
        <f>IFERROR(H306/H446, "NA")</f>
        <v>NA</v>
      </c>
      <c r="J306" s="14"/>
      <c r="K306" s="12">
        <v>0.0</v>
      </c>
      <c r="L306" s="13" t="str">
        <f>IFERROR(K306/K446, "NA")</f>
        <v>NA</v>
      </c>
      <c r="M306" s="14"/>
      <c r="N306" s="15">
        <f t="shared" si="90"/>
        <v>0</v>
      </c>
      <c r="O306" s="13" t="str">
        <f>IFERROR(N306/N446, "NA")</f>
        <v>NA</v>
      </c>
      <c r="P306" s="14"/>
      <c r="Q306" s="12">
        <v>0.0</v>
      </c>
      <c r="R306" s="13" t="str">
        <f>IFERROR(Q306/Q446, "NA")</f>
        <v>NA</v>
      </c>
      <c r="S306" s="14"/>
      <c r="T306" s="12">
        <v>0.0</v>
      </c>
      <c r="U306" s="13" t="str">
        <f>IFERROR(T306/T446, "NA")</f>
        <v>NA</v>
      </c>
      <c r="V306" s="14"/>
      <c r="W306" s="15">
        <f t="shared" si="91"/>
        <v>0</v>
      </c>
      <c r="X306" s="13" t="str">
        <f>IFERROR(W306/W446, "NA")</f>
        <v>NA</v>
      </c>
      <c r="Y306" s="14"/>
      <c r="Z306" s="12">
        <v>0.0</v>
      </c>
      <c r="AA306" s="13" t="str">
        <f>IFERROR(Z306/Z446, "NA")</f>
        <v>NA</v>
      </c>
      <c r="AB306" s="14"/>
      <c r="AC306" s="15">
        <f t="shared" si="92"/>
        <v>0</v>
      </c>
      <c r="AD306" s="13" t="str">
        <f>IFERROR(AC306/AC446, "NA")</f>
        <v>NA</v>
      </c>
    </row>
    <row r="307" ht="16.5" hidden="1" customHeight="1">
      <c r="A307" s="11" t="s">
        <v>282</v>
      </c>
      <c r="B307" s="12">
        <v>0.0</v>
      </c>
      <c r="C307" s="13" t="str">
        <f>IFERROR(B307/B446, "NA")</f>
        <v>NA</v>
      </c>
      <c r="D307" s="14"/>
      <c r="E307" s="12">
        <v>0.0</v>
      </c>
      <c r="F307" s="13" t="str">
        <f>IFERROR(E307/E446, "NA")</f>
        <v>NA</v>
      </c>
      <c r="G307" s="14"/>
      <c r="H307" s="15">
        <f t="shared" si="89"/>
        <v>0</v>
      </c>
      <c r="I307" s="13" t="str">
        <f>IFERROR(H307/H446, "NA")</f>
        <v>NA</v>
      </c>
      <c r="J307" s="14"/>
      <c r="K307" s="12">
        <v>0.0</v>
      </c>
      <c r="L307" s="13" t="str">
        <f>IFERROR(K307/K446, "NA")</f>
        <v>NA</v>
      </c>
      <c r="M307" s="14"/>
      <c r="N307" s="15">
        <f t="shared" si="90"/>
        <v>0</v>
      </c>
      <c r="O307" s="13" t="str">
        <f>IFERROR(N307/N446, "NA")</f>
        <v>NA</v>
      </c>
      <c r="P307" s="14"/>
      <c r="Q307" s="12">
        <v>0.0</v>
      </c>
      <c r="R307" s="13" t="str">
        <f>IFERROR(Q307/Q446, "NA")</f>
        <v>NA</v>
      </c>
      <c r="S307" s="14"/>
      <c r="T307" s="12">
        <v>0.0</v>
      </c>
      <c r="U307" s="13" t="str">
        <f>IFERROR(T307/T446, "NA")</f>
        <v>NA</v>
      </c>
      <c r="V307" s="14"/>
      <c r="W307" s="15">
        <f t="shared" si="91"/>
        <v>0</v>
      </c>
      <c r="X307" s="13" t="str">
        <f>IFERROR(W307/W446, "NA")</f>
        <v>NA</v>
      </c>
      <c r="Y307" s="14"/>
      <c r="Z307" s="12">
        <v>0.0</v>
      </c>
      <c r="AA307" s="13" t="str">
        <f>IFERROR(Z307/Z446, "NA")</f>
        <v>NA</v>
      </c>
      <c r="AB307" s="14"/>
      <c r="AC307" s="15">
        <f t="shared" si="92"/>
        <v>0</v>
      </c>
      <c r="AD307" s="13" t="str">
        <f>IFERROR(AC307/AC446, "NA")</f>
        <v>NA</v>
      </c>
    </row>
    <row r="308" ht="16.5" hidden="1" customHeight="1">
      <c r="A308" s="11" t="s">
        <v>283</v>
      </c>
      <c r="B308" s="12">
        <v>0.0</v>
      </c>
      <c r="C308" s="13" t="str">
        <f>IFERROR(B308/B446, "NA")</f>
        <v>NA</v>
      </c>
      <c r="D308" s="14"/>
      <c r="E308" s="12">
        <v>0.0</v>
      </c>
      <c r="F308" s="13" t="str">
        <f>IFERROR(E308/E446, "NA")</f>
        <v>NA</v>
      </c>
      <c r="G308" s="14"/>
      <c r="H308" s="15">
        <f t="shared" si="89"/>
        <v>0</v>
      </c>
      <c r="I308" s="13" t="str">
        <f>IFERROR(H308/H446, "NA")</f>
        <v>NA</v>
      </c>
      <c r="J308" s="14"/>
      <c r="K308" s="12">
        <v>0.0</v>
      </c>
      <c r="L308" s="13" t="str">
        <f>IFERROR(K308/K446, "NA")</f>
        <v>NA</v>
      </c>
      <c r="M308" s="14"/>
      <c r="N308" s="15">
        <f t="shared" si="90"/>
        <v>0</v>
      </c>
      <c r="O308" s="13" t="str">
        <f>IFERROR(N308/N446, "NA")</f>
        <v>NA</v>
      </c>
      <c r="P308" s="14"/>
      <c r="Q308" s="12">
        <v>0.0</v>
      </c>
      <c r="R308" s="13" t="str">
        <f>IFERROR(Q308/Q446, "NA")</f>
        <v>NA</v>
      </c>
      <c r="S308" s="14"/>
      <c r="T308" s="12">
        <v>0.0</v>
      </c>
      <c r="U308" s="13" t="str">
        <f>IFERROR(T308/T446, "NA")</f>
        <v>NA</v>
      </c>
      <c r="V308" s="14"/>
      <c r="W308" s="15">
        <f t="shared" si="91"/>
        <v>0</v>
      </c>
      <c r="X308" s="13" t="str">
        <f>IFERROR(W308/W446, "NA")</f>
        <v>NA</v>
      </c>
      <c r="Y308" s="14"/>
      <c r="Z308" s="12">
        <v>0.0</v>
      </c>
      <c r="AA308" s="13" t="str">
        <f>IFERROR(Z308/Z446, "NA")</f>
        <v>NA</v>
      </c>
      <c r="AB308" s="14"/>
      <c r="AC308" s="15">
        <f t="shared" si="92"/>
        <v>0</v>
      </c>
      <c r="AD308" s="13" t="str">
        <f>IFERROR(AC308/AC446, "NA")</f>
        <v>NA</v>
      </c>
    </row>
    <row r="309" ht="16.5" hidden="1" customHeight="1">
      <c r="A309" s="11" t="s">
        <v>284</v>
      </c>
      <c r="B309" s="12">
        <v>0.0</v>
      </c>
      <c r="C309" s="13" t="str">
        <f>IFERROR(B309/B446, "NA")</f>
        <v>NA</v>
      </c>
      <c r="D309" s="14"/>
      <c r="E309" s="12">
        <v>0.0</v>
      </c>
      <c r="F309" s="13" t="str">
        <f>IFERROR(E309/E446, "NA")</f>
        <v>NA</v>
      </c>
      <c r="G309" s="14"/>
      <c r="H309" s="15">
        <f t="shared" si="89"/>
        <v>0</v>
      </c>
      <c r="I309" s="13" t="str">
        <f>IFERROR(H309/H446, "NA")</f>
        <v>NA</v>
      </c>
      <c r="J309" s="14"/>
      <c r="K309" s="12">
        <v>0.0</v>
      </c>
      <c r="L309" s="13" t="str">
        <f>IFERROR(K309/K446, "NA")</f>
        <v>NA</v>
      </c>
      <c r="M309" s="14"/>
      <c r="N309" s="15">
        <f t="shared" si="90"/>
        <v>0</v>
      </c>
      <c r="O309" s="13" t="str">
        <f>IFERROR(N309/N446, "NA")</f>
        <v>NA</v>
      </c>
      <c r="P309" s="14"/>
      <c r="Q309" s="12">
        <v>0.0</v>
      </c>
      <c r="R309" s="13" t="str">
        <f>IFERROR(Q309/Q446, "NA")</f>
        <v>NA</v>
      </c>
      <c r="S309" s="14"/>
      <c r="T309" s="12">
        <v>0.0</v>
      </c>
      <c r="U309" s="13" t="str">
        <f>IFERROR(T309/T446, "NA")</f>
        <v>NA</v>
      </c>
      <c r="V309" s="14"/>
      <c r="W309" s="15">
        <f t="shared" si="91"/>
        <v>0</v>
      </c>
      <c r="X309" s="13" t="str">
        <f>IFERROR(W309/W446, "NA")</f>
        <v>NA</v>
      </c>
      <c r="Y309" s="14"/>
      <c r="Z309" s="12">
        <v>0.0</v>
      </c>
      <c r="AA309" s="13" t="str">
        <f>IFERROR(Z309/Z446, "NA")</f>
        <v>NA</v>
      </c>
      <c r="AB309" s="14"/>
      <c r="AC309" s="15">
        <f t="shared" si="92"/>
        <v>0</v>
      </c>
      <c r="AD309" s="13" t="str">
        <f>IFERROR(AC309/AC446, "NA")</f>
        <v>NA</v>
      </c>
    </row>
    <row r="310" ht="16.5" hidden="1" customHeight="1">
      <c r="A310" s="11" t="s">
        <v>285</v>
      </c>
      <c r="B310" s="12">
        <v>0.0</v>
      </c>
      <c r="C310" s="13" t="str">
        <f>IFERROR(B310/B446, "NA")</f>
        <v>NA</v>
      </c>
      <c r="D310" s="14"/>
      <c r="E310" s="12">
        <v>0.0</v>
      </c>
      <c r="F310" s="13" t="str">
        <f>IFERROR(E310/E446, "NA")</f>
        <v>NA</v>
      </c>
      <c r="G310" s="14"/>
      <c r="H310" s="15">
        <f t="shared" si="89"/>
        <v>0</v>
      </c>
      <c r="I310" s="13" t="str">
        <f>IFERROR(H310/H446, "NA")</f>
        <v>NA</v>
      </c>
      <c r="J310" s="14"/>
      <c r="K310" s="12">
        <v>0.0</v>
      </c>
      <c r="L310" s="13" t="str">
        <f>IFERROR(K310/K446, "NA")</f>
        <v>NA</v>
      </c>
      <c r="M310" s="14"/>
      <c r="N310" s="15">
        <f t="shared" si="90"/>
        <v>0</v>
      </c>
      <c r="O310" s="13" t="str">
        <f>IFERROR(N310/N446, "NA")</f>
        <v>NA</v>
      </c>
      <c r="P310" s="14"/>
      <c r="Q310" s="12">
        <v>0.0</v>
      </c>
      <c r="R310" s="13" t="str">
        <f>IFERROR(Q310/Q446, "NA")</f>
        <v>NA</v>
      </c>
      <c r="S310" s="14"/>
      <c r="T310" s="12">
        <v>0.0</v>
      </c>
      <c r="U310" s="13" t="str">
        <f>IFERROR(T310/T446, "NA")</f>
        <v>NA</v>
      </c>
      <c r="V310" s="14"/>
      <c r="W310" s="15">
        <f t="shared" si="91"/>
        <v>0</v>
      </c>
      <c r="X310" s="13" t="str">
        <f>IFERROR(W310/W446, "NA")</f>
        <v>NA</v>
      </c>
      <c r="Y310" s="14"/>
      <c r="Z310" s="12">
        <v>0.0</v>
      </c>
      <c r="AA310" s="13" t="str">
        <f>IFERROR(Z310/Z446, "NA")</f>
        <v>NA</v>
      </c>
      <c r="AB310" s="14"/>
      <c r="AC310" s="15">
        <f t="shared" si="92"/>
        <v>0</v>
      </c>
      <c r="AD310" s="13" t="str">
        <f>IFERROR(AC310/AC446, "NA")</f>
        <v>NA</v>
      </c>
    </row>
    <row r="311" ht="16.5" hidden="1" customHeight="1">
      <c r="A311" s="11" t="s">
        <v>286</v>
      </c>
      <c r="B311" s="12">
        <v>0.0</v>
      </c>
      <c r="C311" s="13" t="str">
        <f>IFERROR(B311/B446, "NA")</f>
        <v>NA</v>
      </c>
      <c r="D311" s="14"/>
      <c r="E311" s="12">
        <v>0.0</v>
      </c>
      <c r="F311" s="13" t="str">
        <f>IFERROR(E311/E446, "NA")</f>
        <v>NA</v>
      </c>
      <c r="G311" s="14"/>
      <c r="H311" s="15">
        <f t="shared" si="89"/>
        <v>0</v>
      </c>
      <c r="I311" s="13" t="str">
        <f>IFERROR(H311/H446, "NA")</f>
        <v>NA</v>
      </c>
      <c r="J311" s="14"/>
      <c r="K311" s="12">
        <v>0.0</v>
      </c>
      <c r="L311" s="13" t="str">
        <f>IFERROR(K311/K446, "NA")</f>
        <v>NA</v>
      </c>
      <c r="M311" s="14"/>
      <c r="N311" s="15">
        <f t="shared" si="90"/>
        <v>0</v>
      </c>
      <c r="O311" s="13" t="str">
        <f>IFERROR(N311/N446, "NA")</f>
        <v>NA</v>
      </c>
      <c r="P311" s="14"/>
      <c r="Q311" s="12">
        <v>0.0</v>
      </c>
      <c r="R311" s="13" t="str">
        <f>IFERROR(Q311/Q446, "NA")</f>
        <v>NA</v>
      </c>
      <c r="S311" s="14"/>
      <c r="T311" s="12">
        <v>0.0</v>
      </c>
      <c r="U311" s="13" t="str">
        <f>IFERROR(T311/T446, "NA")</f>
        <v>NA</v>
      </c>
      <c r="V311" s="14"/>
      <c r="W311" s="15">
        <f t="shared" si="91"/>
        <v>0</v>
      </c>
      <c r="X311" s="13" t="str">
        <f>IFERROR(W311/W446, "NA")</f>
        <v>NA</v>
      </c>
      <c r="Y311" s="14"/>
      <c r="Z311" s="12">
        <v>0.0</v>
      </c>
      <c r="AA311" s="13" t="str">
        <f>IFERROR(Z311/Z446, "NA")</f>
        <v>NA</v>
      </c>
      <c r="AB311" s="14"/>
      <c r="AC311" s="15">
        <f t="shared" si="92"/>
        <v>0</v>
      </c>
      <c r="AD311" s="13" t="str">
        <f>IFERROR(AC311/AC446, "NA")</f>
        <v>NA</v>
      </c>
    </row>
    <row r="312" ht="16.5" hidden="1" customHeight="1">
      <c r="A312" s="11" t="s">
        <v>287</v>
      </c>
      <c r="B312" s="12">
        <v>0.0</v>
      </c>
      <c r="C312" s="13" t="str">
        <f>IFERROR(B312/B446, "NA")</f>
        <v>NA</v>
      </c>
      <c r="D312" s="14"/>
      <c r="E312" s="12">
        <v>0.0</v>
      </c>
      <c r="F312" s="13" t="str">
        <f>IFERROR(E312/E446, "NA")</f>
        <v>NA</v>
      </c>
      <c r="G312" s="14"/>
      <c r="H312" s="15">
        <f t="shared" si="89"/>
        <v>0</v>
      </c>
      <c r="I312" s="13" t="str">
        <f>IFERROR(H312/H446, "NA")</f>
        <v>NA</v>
      </c>
      <c r="J312" s="14"/>
      <c r="K312" s="12">
        <v>0.0</v>
      </c>
      <c r="L312" s="13" t="str">
        <f>IFERROR(K312/K446, "NA")</f>
        <v>NA</v>
      </c>
      <c r="M312" s="14"/>
      <c r="N312" s="15">
        <f t="shared" si="90"/>
        <v>0</v>
      </c>
      <c r="O312" s="13" t="str">
        <f>IFERROR(N312/N446, "NA")</f>
        <v>NA</v>
      </c>
      <c r="P312" s="14"/>
      <c r="Q312" s="12">
        <v>0.0</v>
      </c>
      <c r="R312" s="13" t="str">
        <f>IFERROR(Q312/Q446, "NA")</f>
        <v>NA</v>
      </c>
      <c r="S312" s="14"/>
      <c r="T312" s="12">
        <v>0.0</v>
      </c>
      <c r="U312" s="13" t="str">
        <f>IFERROR(T312/T446, "NA")</f>
        <v>NA</v>
      </c>
      <c r="V312" s="14"/>
      <c r="W312" s="15">
        <f t="shared" si="91"/>
        <v>0</v>
      </c>
      <c r="X312" s="13" t="str">
        <f>IFERROR(W312/W446, "NA")</f>
        <v>NA</v>
      </c>
      <c r="Y312" s="14"/>
      <c r="Z312" s="12">
        <v>0.0</v>
      </c>
      <c r="AA312" s="13" t="str">
        <f>IFERROR(Z312/Z446, "NA")</f>
        <v>NA</v>
      </c>
      <c r="AB312" s="14"/>
      <c r="AC312" s="15">
        <f t="shared" si="92"/>
        <v>0</v>
      </c>
      <c r="AD312" s="13" t="str">
        <f>IFERROR(AC312/AC446, "NA")</f>
        <v>NA</v>
      </c>
    </row>
    <row r="313" ht="16.5" hidden="1" customHeight="1">
      <c r="A313" s="11" t="s">
        <v>288</v>
      </c>
      <c r="B313" s="12">
        <v>0.0</v>
      </c>
      <c r="C313" s="13" t="str">
        <f>IFERROR(B313/B446, "NA")</f>
        <v>NA</v>
      </c>
      <c r="D313" s="14"/>
      <c r="E313" s="12">
        <v>0.0</v>
      </c>
      <c r="F313" s="13" t="str">
        <f>IFERROR(E313/E446, "NA")</f>
        <v>NA</v>
      </c>
      <c r="G313" s="14"/>
      <c r="H313" s="15">
        <f t="shared" si="89"/>
        <v>0</v>
      </c>
      <c r="I313" s="13" t="str">
        <f>IFERROR(H313/H446, "NA")</f>
        <v>NA</v>
      </c>
      <c r="J313" s="14"/>
      <c r="K313" s="12">
        <v>0.0</v>
      </c>
      <c r="L313" s="13" t="str">
        <f>IFERROR(K313/K446, "NA")</f>
        <v>NA</v>
      </c>
      <c r="M313" s="14"/>
      <c r="N313" s="15">
        <f t="shared" si="90"/>
        <v>0</v>
      </c>
      <c r="O313" s="13" t="str">
        <f>IFERROR(N313/N446, "NA")</f>
        <v>NA</v>
      </c>
      <c r="P313" s="14"/>
      <c r="Q313" s="12">
        <v>0.0</v>
      </c>
      <c r="R313" s="13" t="str">
        <f>IFERROR(Q313/Q446, "NA")</f>
        <v>NA</v>
      </c>
      <c r="S313" s="14"/>
      <c r="T313" s="12">
        <v>0.0</v>
      </c>
      <c r="U313" s="13" t="str">
        <f>IFERROR(T313/T446, "NA")</f>
        <v>NA</v>
      </c>
      <c r="V313" s="14"/>
      <c r="W313" s="15">
        <f t="shared" si="91"/>
        <v>0</v>
      </c>
      <c r="X313" s="13" t="str">
        <f>IFERROR(W313/W446, "NA")</f>
        <v>NA</v>
      </c>
      <c r="Y313" s="14"/>
      <c r="Z313" s="12">
        <v>0.0</v>
      </c>
      <c r="AA313" s="13" t="str">
        <f>IFERROR(Z313/Z446, "NA")</f>
        <v>NA</v>
      </c>
      <c r="AB313" s="14"/>
      <c r="AC313" s="15">
        <f t="shared" si="92"/>
        <v>0</v>
      </c>
      <c r="AD313" s="13" t="str">
        <f>IFERROR(AC313/AC446, "NA")</f>
        <v>NA</v>
      </c>
    </row>
    <row r="314" ht="16.5" hidden="1" customHeight="1">
      <c r="A314" s="11" t="s">
        <v>289</v>
      </c>
      <c r="B314" s="12">
        <v>0.0</v>
      </c>
      <c r="C314" s="13" t="str">
        <f>IFERROR(B314/B446, "NA")</f>
        <v>NA</v>
      </c>
      <c r="D314" s="14"/>
      <c r="E314" s="12">
        <v>0.0</v>
      </c>
      <c r="F314" s="13" t="str">
        <f>IFERROR(E314/E446, "NA")</f>
        <v>NA</v>
      </c>
      <c r="G314" s="14"/>
      <c r="H314" s="15">
        <f t="shared" si="89"/>
        <v>0</v>
      </c>
      <c r="I314" s="13" t="str">
        <f>IFERROR(H314/H446, "NA")</f>
        <v>NA</v>
      </c>
      <c r="J314" s="14"/>
      <c r="K314" s="12">
        <v>0.0</v>
      </c>
      <c r="L314" s="13" t="str">
        <f>IFERROR(K314/K446, "NA")</f>
        <v>NA</v>
      </c>
      <c r="M314" s="14"/>
      <c r="N314" s="15">
        <f t="shared" si="90"/>
        <v>0</v>
      </c>
      <c r="O314" s="13" t="str">
        <f>IFERROR(N314/N446, "NA")</f>
        <v>NA</v>
      </c>
      <c r="P314" s="14"/>
      <c r="Q314" s="12">
        <v>0.0</v>
      </c>
      <c r="R314" s="13" t="str">
        <f>IFERROR(Q314/Q446, "NA")</f>
        <v>NA</v>
      </c>
      <c r="S314" s="14"/>
      <c r="T314" s="12">
        <v>0.0</v>
      </c>
      <c r="U314" s="13" t="str">
        <f>IFERROR(T314/T446, "NA")</f>
        <v>NA</v>
      </c>
      <c r="V314" s="14"/>
      <c r="W314" s="15">
        <f t="shared" si="91"/>
        <v>0</v>
      </c>
      <c r="X314" s="13" t="str">
        <f>IFERROR(W314/W446, "NA")</f>
        <v>NA</v>
      </c>
      <c r="Y314" s="14"/>
      <c r="Z314" s="12">
        <v>0.0</v>
      </c>
      <c r="AA314" s="13" t="str">
        <f>IFERROR(Z314/Z446, "NA")</f>
        <v>NA</v>
      </c>
      <c r="AB314" s="14"/>
      <c r="AC314" s="15">
        <f t="shared" si="92"/>
        <v>0</v>
      </c>
      <c r="AD314" s="13" t="str">
        <f>IFERROR(AC314/AC446, "NA")</f>
        <v>NA</v>
      </c>
    </row>
    <row r="315" ht="16.5" hidden="1" customHeight="1">
      <c r="A315" s="11" t="s">
        <v>290</v>
      </c>
      <c r="B315" s="12">
        <v>0.0</v>
      </c>
      <c r="C315" s="13" t="str">
        <f>IFERROR(B315/B446, "NA")</f>
        <v>NA</v>
      </c>
      <c r="D315" s="14"/>
      <c r="E315" s="12">
        <v>0.0</v>
      </c>
      <c r="F315" s="13" t="str">
        <f>IFERROR(E315/E446, "NA")</f>
        <v>NA</v>
      </c>
      <c r="G315" s="14"/>
      <c r="H315" s="15">
        <f t="shared" si="89"/>
        <v>0</v>
      </c>
      <c r="I315" s="13" t="str">
        <f>IFERROR(H315/H446, "NA")</f>
        <v>NA</v>
      </c>
      <c r="J315" s="14"/>
      <c r="K315" s="12">
        <v>0.0</v>
      </c>
      <c r="L315" s="13" t="str">
        <f>IFERROR(K315/K446, "NA")</f>
        <v>NA</v>
      </c>
      <c r="M315" s="14"/>
      <c r="N315" s="15">
        <f t="shared" si="90"/>
        <v>0</v>
      </c>
      <c r="O315" s="13" t="str">
        <f>IFERROR(N315/N446, "NA")</f>
        <v>NA</v>
      </c>
      <c r="P315" s="14"/>
      <c r="Q315" s="12">
        <v>0.0</v>
      </c>
      <c r="R315" s="13" t="str">
        <f>IFERROR(Q315/Q446, "NA")</f>
        <v>NA</v>
      </c>
      <c r="S315" s="14"/>
      <c r="T315" s="12">
        <v>0.0</v>
      </c>
      <c r="U315" s="13" t="str">
        <f>IFERROR(T315/T446, "NA")</f>
        <v>NA</v>
      </c>
      <c r="V315" s="14"/>
      <c r="W315" s="15">
        <f t="shared" si="91"/>
        <v>0</v>
      </c>
      <c r="X315" s="13" t="str">
        <f>IFERROR(W315/W446, "NA")</f>
        <v>NA</v>
      </c>
      <c r="Y315" s="14"/>
      <c r="Z315" s="12">
        <v>0.0</v>
      </c>
      <c r="AA315" s="13" t="str">
        <f>IFERROR(Z315/Z446, "NA")</f>
        <v>NA</v>
      </c>
      <c r="AB315" s="14"/>
      <c r="AC315" s="15">
        <f t="shared" si="92"/>
        <v>0</v>
      </c>
      <c r="AD315" s="13" t="str">
        <f>IFERROR(AC315/AC446, "NA")</f>
        <v>NA</v>
      </c>
    </row>
    <row r="316" ht="16.5" hidden="1" customHeight="1">
      <c r="A316" s="11" t="s">
        <v>291</v>
      </c>
      <c r="B316" s="12">
        <v>0.0</v>
      </c>
      <c r="C316" s="13" t="str">
        <f>IFERROR(B316/B446, "NA")</f>
        <v>NA</v>
      </c>
      <c r="D316" s="14"/>
      <c r="E316" s="12">
        <v>0.0</v>
      </c>
      <c r="F316" s="13" t="str">
        <f>IFERROR(E316/E446, "NA")</f>
        <v>NA</v>
      </c>
      <c r="G316" s="14"/>
      <c r="H316" s="15">
        <f t="shared" si="89"/>
        <v>0</v>
      </c>
      <c r="I316" s="13" t="str">
        <f>IFERROR(H316/H446, "NA")</f>
        <v>NA</v>
      </c>
      <c r="J316" s="14"/>
      <c r="K316" s="12">
        <v>0.0</v>
      </c>
      <c r="L316" s="13" t="str">
        <f>IFERROR(K316/K446, "NA")</f>
        <v>NA</v>
      </c>
      <c r="M316" s="14"/>
      <c r="N316" s="15">
        <f t="shared" si="90"/>
        <v>0</v>
      </c>
      <c r="O316" s="13" t="str">
        <f>IFERROR(N316/N446, "NA")</f>
        <v>NA</v>
      </c>
      <c r="P316" s="14"/>
      <c r="Q316" s="12">
        <v>0.0</v>
      </c>
      <c r="R316" s="13" t="str">
        <f>IFERROR(Q316/Q446, "NA")</f>
        <v>NA</v>
      </c>
      <c r="S316" s="14"/>
      <c r="T316" s="12">
        <v>0.0</v>
      </c>
      <c r="U316" s="13" t="str">
        <f>IFERROR(T316/T446, "NA")</f>
        <v>NA</v>
      </c>
      <c r="V316" s="14"/>
      <c r="W316" s="15">
        <f t="shared" si="91"/>
        <v>0</v>
      </c>
      <c r="X316" s="13" t="str">
        <f>IFERROR(W316/W446, "NA")</f>
        <v>NA</v>
      </c>
      <c r="Y316" s="14"/>
      <c r="Z316" s="12">
        <v>0.0</v>
      </c>
      <c r="AA316" s="13" t="str">
        <f>IFERROR(Z316/Z446, "NA")</f>
        <v>NA</v>
      </c>
      <c r="AB316" s="14"/>
      <c r="AC316" s="15">
        <f t="shared" si="92"/>
        <v>0</v>
      </c>
      <c r="AD316" s="13" t="str">
        <f>IFERROR(AC316/AC446, "NA")</f>
        <v>NA</v>
      </c>
    </row>
    <row r="317" ht="16.5" hidden="1" customHeight="1">
      <c r="A317" s="11" t="s">
        <v>292</v>
      </c>
      <c r="B317" s="12">
        <v>0.0</v>
      </c>
      <c r="C317" s="13" t="str">
        <f>IFERROR(B317/B446, "NA")</f>
        <v>NA</v>
      </c>
      <c r="D317" s="14"/>
      <c r="E317" s="12">
        <v>0.0</v>
      </c>
      <c r="F317" s="13" t="str">
        <f>IFERROR(E317/E446, "NA")</f>
        <v>NA</v>
      </c>
      <c r="G317" s="14"/>
      <c r="H317" s="15">
        <f t="shared" si="89"/>
        <v>0</v>
      </c>
      <c r="I317" s="13" t="str">
        <f>IFERROR(H317/H446, "NA")</f>
        <v>NA</v>
      </c>
      <c r="J317" s="14"/>
      <c r="K317" s="12">
        <v>0.0</v>
      </c>
      <c r="L317" s="13" t="str">
        <f>IFERROR(K317/K446, "NA")</f>
        <v>NA</v>
      </c>
      <c r="M317" s="14"/>
      <c r="N317" s="15">
        <f t="shared" si="90"/>
        <v>0</v>
      </c>
      <c r="O317" s="13" t="str">
        <f>IFERROR(N317/N446, "NA")</f>
        <v>NA</v>
      </c>
      <c r="P317" s="14"/>
      <c r="Q317" s="12">
        <v>0.0</v>
      </c>
      <c r="R317" s="13" t="str">
        <f>IFERROR(Q317/Q446, "NA")</f>
        <v>NA</v>
      </c>
      <c r="S317" s="14"/>
      <c r="T317" s="12">
        <v>0.0</v>
      </c>
      <c r="U317" s="13" t="str">
        <f>IFERROR(T317/T446, "NA")</f>
        <v>NA</v>
      </c>
      <c r="V317" s="14"/>
      <c r="W317" s="15">
        <f t="shared" si="91"/>
        <v>0</v>
      </c>
      <c r="X317" s="13" t="str">
        <f>IFERROR(W317/W446, "NA")</f>
        <v>NA</v>
      </c>
      <c r="Y317" s="14"/>
      <c r="Z317" s="12">
        <v>0.0</v>
      </c>
      <c r="AA317" s="13" t="str">
        <f>IFERROR(Z317/Z446, "NA")</f>
        <v>NA</v>
      </c>
      <c r="AB317" s="14"/>
      <c r="AC317" s="15">
        <f t="shared" si="92"/>
        <v>0</v>
      </c>
      <c r="AD317" s="13" t="str">
        <f>IFERROR(AC317/AC446, "NA")</f>
        <v>NA</v>
      </c>
    </row>
    <row r="318" ht="16.5" hidden="1" customHeight="1">
      <c r="A318" s="11" t="s">
        <v>293</v>
      </c>
      <c r="B318" s="12">
        <v>0.0</v>
      </c>
      <c r="C318" s="13" t="str">
        <f>IFERROR(B318/B446, "NA")</f>
        <v>NA</v>
      </c>
      <c r="D318" s="14"/>
      <c r="E318" s="12">
        <v>0.0</v>
      </c>
      <c r="F318" s="13" t="str">
        <f>IFERROR(E318/E446, "NA")</f>
        <v>NA</v>
      </c>
      <c r="G318" s="14"/>
      <c r="H318" s="15">
        <f t="shared" si="89"/>
        <v>0</v>
      </c>
      <c r="I318" s="13" t="str">
        <f>IFERROR(H318/H446, "NA")</f>
        <v>NA</v>
      </c>
      <c r="J318" s="14"/>
      <c r="K318" s="12">
        <v>0.0</v>
      </c>
      <c r="L318" s="13" t="str">
        <f>IFERROR(K318/K446, "NA")</f>
        <v>NA</v>
      </c>
      <c r="M318" s="14"/>
      <c r="N318" s="15">
        <f t="shared" si="90"/>
        <v>0</v>
      </c>
      <c r="O318" s="13" t="str">
        <f>IFERROR(N318/N446, "NA")</f>
        <v>NA</v>
      </c>
      <c r="P318" s="14"/>
      <c r="Q318" s="12">
        <v>0.0</v>
      </c>
      <c r="R318" s="13" t="str">
        <f>IFERROR(Q318/Q446, "NA")</f>
        <v>NA</v>
      </c>
      <c r="S318" s="14"/>
      <c r="T318" s="12">
        <v>0.0</v>
      </c>
      <c r="U318" s="13" t="str">
        <f>IFERROR(T318/T446, "NA")</f>
        <v>NA</v>
      </c>
      <c r="V318" s="14"/>
      <c r="W318" s="15">
        <f t="shared" si="91"/>
        <v>0</v>
      </c>
      <c r="X318" s="13" t="str">
        <f>IFERROR(W318/W446, "NA")</f>
        <v>NA</v>
      </c>
      <c r="Y318" s="14"/>
      <c r="Z318" s="12">
        <v>0.0</v>
      </c>
      <c r="AA318" s="13" t="str">
        <f>IFERROR(Z318/Z446, "NA")</f>
        <v>NA</v>
      </c>
      <c r="AB318" s="14"/>
      <c r="AC318" s="15">
        <f t="shared" si="92"/>
        <v>0</v>
      </c>
      <c r="AD318" s="13" t="str">
        <f>IFERROR(AC318/AC446, "NA")</f>
        <v>NA</v>
      </c>
    </row>
    <row r="319" ht="16.5" hidden="1" customHeight="1">
      <c r="A319" s="11" t="s">
        <v>294</v>
      </c>
      <c r="B319" s="12">
        <v>0.0</v>
      </c>
      <c r="C319" s="13" t="str">
        <f>IFERROR(B319/B446, "NA")</f>
        <v>NA</v>
      </c>
      <c r="D319" s="14"/>
      <c r="E319" s="12">
        <v>0.0</v>
      </c>
      <c r="F319" s="13" t="str">
        <f>IFERROR(E319/E446, "NA")</f>
        <v>NA</v>
      </c>
      <c r="G319" s="14"/>
      <c r="H319" s="15">
        <f t="shared" si="89"/>
        <v>0</v>
      </c>
      <c r="I319" s="13" t="str">
        <f>IFERROR(H319/H446, "NA")</f>
        <v>NA</v>
      </c>
      <c r="J319" s="14"/>
      <c r="K319" s="12">
        <v>0.0</v>
      </c>
      <c r="L319" s="13" t="str">
        <f>IFERROR(K319/K446, "NA")</f>
        <v>NA</v>
      </c>
      <c r="M319" s="14"/>
      <c r="N319" s="15">
        <f t="shared" si="90"/>
        <v>0</v>
      </c>
      <c r="O319" s="13" t="str">
        <f>IFERROR(N319/N446, "NA")</f>
        <v>NA</v>
      </c>
      <c r="P319" s="14"/>
      <c r="Q319" s="12">
        <v>0.0</v>
      </c>
      <c r="R319" s="13" t="str">
        <f>IFERROR(Q319/Q446, "NA")</f>
        <v>NA</v>
      </c>
      <c r="S319" s="14"/>
      <c r="T319" s="12">
        <v>0.0</v>
      </c>
      <c r="U319" s="13" t="str">
        <f>IFERROR(T319/T446, "NA")</f>
        <v>NA</v>
      </c>
      <c r="V319" s="14"/>
      <c r="W319" s="15">
        <f t="shared" si="91"/>
        <v>0</v>
      </c>
      <c r="X319" s="13" t="str">
        <f>IFERROR(W319/W446, "NA")</f>
        <v>NA</v>
      </c>
      <c r="Y319" s="14"/>
      <c r="Z319" s="12">
        <v>0.0</v>
      </c>
      <c r="AA319" s="13" t="str">
        <f>IFERROR(Z319/Z446, "NA")</f>
        <v>NA</v>
      </c>
      <c r="AB319" s="14"/>
      <c r="AC319" s="15">
        <f t="shared" si="92"/>
        <v>0</v>
      </c>
      <c r="AD319" s="13" t="str">
        <f>IFERROR(AC319/AC446, "NA")</f>
        <v>NA</v>
      </c>
    </row>
    <row r="320" ht="16.5" hidden="1" customHeight="1">
      <c r="A320" s="11" t="s">
        <v>295</v>
      </c>
      <c r="B320" s="12">
        <v>0.0</v>
      </c>
      <c r="C320" s="13" t="str">
        <f>IFERROR(B320/B446, "NA")</f>
        <v>NA</v>
      </c>
      <c r="D320" s="14"/>
      <c r="E320" s="12">
        <v>0.0</v>
      </c>
      <c r="F320" s="13" t="str">
        <f>IFERROR(E320/E446, "NA")</f>
        <v>NA</v>
      </c>
      <c r="G320" s="14"/>
      <c r="H320" s="15">
        <f t="shared" si="89"/>
        <v>0</v>
      </c>
      <c r="I320" s="13" t="str">
        <f>IFERROR(H320/H446, "NA")</f>
        <v>NA</v>
      </c>
      <c r="J320" s="14"/>
      <c r="K320" s="12">
        <v>0.0</v>
      </c>
      <c r="L320" s="13" t="str">
        <f>IFERROR(K320/K446, "NA")</f>
        <v>NA</v>
      </c>
      <c r="M320" s="14"/>
      <c r="N320" s="15">
        <f t="shared" si="90"/>
        <v>0</v>
      </c>
      <c r="O320" s="13" t="str">
        <f>IFERROR(N320/N446, "NA")</f>
        <v>NA</v>
      </c>
      <c r="P320" s="14"/>
      <c r="Q320" s="12">
        <v>0.0</v>
      </c>
      <c r="R320" s="13" t="str">
        <f>IFERROR(Q320/Q446, "NA")</f>
        <v>NA</v>
      </c>
      <c r="S320" s="14"/>
      <c r="T320" s="12">
        <v>0.0</v>
      </c>
      <c r="U320" s="13" t="str">
        <f>IFERROR(T320/T446, "NA")</f>
        <v>NA</v>
      </c>
      <c r="V320" s="14"/>
      <c r="W320" s="15">
        <f t="shared" si="91"/>
        <v>0</v>
      </c>
      <c r="X320" s="13" t="str">
        <f>IFERROR(W320/W446, "NA")</f>
        <v>NA</v>
      </c>
      <c r="Y320" s="14"/>
      <c r="Z320" s="12">
        <v>0.0</v>
      </c>
      <c r="AA320" s="13" t="str">
        <f>IFERROR(Z320/Z446, "NA")</f>
        <v>NA</v>
      </c>
      <c r="AB320" s="14"/>
      <c r="AC320" s="15">
        <f t="shared" si="92"/>
        <v>0</v>
      </c>
      <c r="AD320" s="13" t="str">
        <f>IFERROR(AC320/AC446, "NA")</f>
        <v>NA</v>
      </c>
    </row>
    <row r="321" ht="16.5" hidden="1" customHeight="1">
      <c r="A321" s="11" t="s">
        <v>296</v>
      </c>
      <c r="B321" s="12">
        <v>0.0</v>
      </c>
      <c r="C321" s="13" t="str">
        <f>IFERROR(B321/B446, "NA")</f>
        <v>NA</v>
      </c>
      <c r="D321" s="14"/>
      <c r="E321" s="12">
        <v>0.0</v>
      </c>
      <c r="F321" s="13" t="str">
        <f>IFERROR(E321/E446, "NA")</f>
        <v>NA</v>
      </c>
      <c r="G321" s="14"/>
      <c r="H321" s="15">
        <f t="shared" si="89"/>
        <v>0</v>
      </c>
      <c r="I321" s="13" t="str">
        <f>IFERROR(H321/H446, "NA")</f>
        <v>NA</v>
      </c>
      <c r="J321" s="14"/>
      <c r="K321" s="12">
        <v>0.0</v>
      </c>
      <c r="L321" s="13" t="str">
        <f>IFERROR(K321/K446, "NA")</f>
        <v>NA</v>
      </c>
      <c r="M321" s="14"/>
      <c r="N321" s="15">
        <f t="shared" si="90"/>
        <v>0</v>
      </c>
      <c r="O321" s="13" t="str">
        <f>IFERROR(N321/N446, "NA")</f>
        <v>NA</v>
      </c>
      <c r="P321" s="14"/>
      <c r="Q321" s="12">
        <v>0.0</v>
      </c>
      <c r="R321" s="13" t="str">
        <f>IFERROR(Q321/Q446, "NA")</f>
        <v>NA</v>
      </c>
      <c r="S321" s="14"/>
      <c r="T321" s="12">
        <v>0.0</v>
      </c>
      <c r="U321" s="13" t="str">
        <f>IFERROR(T321/T446, "NA")</f>
        <v>NA</v>
      </c>
      <c r="V321" s="14"/>
      <c r="W321" s="15">
        <f t="shared" si="91"/>
        <v>0</v>
      </c>
      <c r="X321" s="13" t="str">
        <f>IFERROR(W321/W446, "NA")</f>
        <v>NA</v>
      </c>
      <c r="Y321" s="14"/>
      <c r="Z321" s="12">
        <v>0.0</v>
      </c>
      <c r="AA321" s="13" t="str">
        <f>IFERROR(Z321/Z446, "NA")</f>
        <v>NA</v>
      </c>
      <c r="AB321" s="14"/>
      <c r="AC321" s="15">
        <f t="shared" si="92"/>
        <v>0</v>
      </c>
      <c r="AD321" s="13" t="str">
        <f>IFERROR(AC321/AC446, "NA")</f>
        <v>NA</v>
      </c>
    </row>
    <row r="322" ht="16.5" hidden="1" customHeight="1">
      <c r="A322" s="11" t="s">
        <v>297</v>
      </c>
      <c r="B322" s="12">
        <v>0.0</v>
      </c>
      <c r="C322" s="13" t="str">
        <f>IFERROR(B322/B446, "NA")</f>
        <v>NA</v>
      </c>
      <c r="D322" s="14"/>
      <c r="E322" s="12">
        <v>0.0</v>
      </c>
      <c r="F322" s="13" t="str">
        <f>IFERROR(E322/E446, "NA")</f>
        <v>NA</v>
      </c>
      <c r="G322" s="14"/>
      <c r="H322" s="15">
        <f t="shared" si="89"/>
        <v>0</v>
      </c>
      <c r="I322" s="13" t="str">
        <f>IFERROR(H322/H446, "NA")</f>
        <v>NA</v>
      </c>
      <c r="J322" s="14"/>
      <c r="K322" s="12">
        <v>0.0</v>
      </c>
      <c r="L322" s="13" t="str">
        <f>IFERROR(K322/K446, "NA")</f>
        <v>NA</v>
      </c>
      <c r="M322" s="14"/>
      <c r="N322" s="15">
        <f t="shared" si="90"/>
        <v>0</v>
      </c>
      <c r="O322" s="13" t="str">
        <f>IFERROR(N322/N446, "NA")</f>
        <v>NA</v>
      </c>
      <c r="P322" s="14"/>
      <c r="Q322" s="12">
        <v>0.0</v>
      </c>
      <c r="R322" s="13" t="str">
        <f>IFERROR(Q322/Q446, "NA")</f>
        <v>NA</v>
      </c>
      <c r="S322" s="14"/>
      <c r="T322" s="12">
        <v>0.0</v>
      </c>
      <c r="U322" s="13" t="str">
        <f>IFERROR(T322/T446, "NA")</f>
        <v>NA</v>
      </c>
      <c r="V322" s="14"/>
      <c r="W322" s="15">
        <f t="shared" si="91"/>
        <v>0</v>
      </c>
      <c r="X322" s="13" t="str">
        <f>IFERROR(W322/W446, "NA")</f>
        <v>NA</v>
      </c>
      <c r="Y322" s="14"/>
      <c r="Z322" s="12">
        <v>0.0</v>
      </c>
      <c r="AA322" s="13" t="str">
        <f>IFERROR(Z322/Z446, "NA")</f>
        <v>NA</v>
      </c>
      <c r="AB322" s="14"/>
      <c r="AC322" s="15">
        <f t="shared" si="92"/>
        <v>0</v>
      </c>
      <c r="AD322" s="13" t="str">
        <f>IFERROR(AC322/AC446, "NA")</f>
        <v>NA</v>
      </c>
    </row>
    <row r="323" ht="16.5" hidden="1" customHeight="1">
      <c r="A323" s="11" t="s">
        <v>298</v>
      </c>
      <c r="B323" s="12">
        <v>0.0</v>
      </c>
      <c r="C323" s="13" t="str">
        <f>IFERROR(B323/B446, "NA")</f>
        <v>NA</v>
      </c>
      <c r="D323" s="14"/>
      <c r="E323" s="12">
        <v>0.0</v>
      </c>
      <c r="F323" s="13" t="str">
        <f>IFERROR(E323/E446, "NA")</f>
        <v>NA</v>
      </c>
      <c r="G323" s="14"/>
      <c r="H323" s="15">
        <f t="shared" si="89"/>
        <v>0</v>
      </c>
      <c r="I323" s="13" t="str">
        <f>IFERROR(H323/H446, "NA")</f>
        <v>NA</v>
      </c>
      <c r="J323" s="14"/>
      <c r="K323" s="12">
        <v>0.0</v>
      </c>
      <c r="L323" s="13" t="str">
        <f>IFERROR(K323/K446, "NA")</f>
        <v>NA</v>
      </c>
      <c r="M323" s="14"/>
      <c r="N323" s="15">
        <f t="shared" si="90"/>
        <v>0</v>
      </c>
      <c r="O323" s="13" t="str">
        <f>IFERROR(N323/N446, "NA")</f>
        <v>NA</v>
      </c>
      <c r="P323" s="14"/>
      <c r="Q323" s="12">
        <v>0.0</v>
      </c>
      <c r="R323" s="13" t="str">
        <f>IFERROR(Q323/Q446, "NA")</f>
        <v>NA</v>
      </c>
      <c r="S323" s="14"/>
      <c r="T323" s="12">
        <v>0.0</v>
      </c>
      <c r="U323" s="13" t="str">
        <f>IFERROR(T323/T446, "NA")</f>
        <v>NA</v>
      </c>
      <c r="V323" s="14"/>
      <c r="W323" s="15">
        <f t="shared" si="91"/>
        <v>0</v>
      </c>
      <c r="X323" s="13" t="str">
        <f>IFERROR(W323/W446, "NA")</f>
        <v>NA</v>
      </c>
      <c r="Y323" s="14"/>
      <c r="Z323" s="12">
        <v>0.0</v>
      </c>
      <c r="AA323" s="13" t="str">
        <f>IFERROR(Z323/Z446, "NA")</f>
        <v>NA</v>
      </c>
      <c r="AB323" s="14"/>
      <c r="AC323" s="15">
        <f t="shared" si="92"/>
        <v>0</v>
      </c>
      <c r="AD323" s="13" t="str">
        <f>IFERROR(AC323/AC446, "NA")</f>
        <v>NA</v>
      </c>
    </row>
    <row r="324" ht="16.5" hidden="1" customHeight="1">
      <c r="A324" s="11" t="s">
        <v>299</v>
      </c>
      <c r="B324" s="12">
        <v>0.0</v>
      </c>
      <c r="C324" s="13" t="str">
        <f>IFERROR(B324/B446, "NA")</f>
        <v>NA</v>
      </c>
      <c r="D324" s="14"/>
      <c r="E324" s="12">
        <v>0.0</v>
      </c>
      <c r="F324" s="13" t="str">
        <f>IFERROR(E324/E446, "NA")</f>
        <v>NA</v>
      </c>
      <c r="G324" s="14"/>
      <c r="H324" s="15">
        <f t="shared" si="89"/>
        <v>0</v>
      </c>
      <c r="I324" s="13" t="str">
        <f>IFERROR(H324/H446, "NA")</f>
        <v>NA</v>
      </c>
      <c r="J324" s="14"/>
      <c r="K324" s="12">
        <v>0.0</v>
      </c>
      <c r="L324" s="13" t="str">
        <f>IFERROR(K324/K446, "NA")</f>
        <v>NA</v>
      </c>
      <c r="M324" s="14"/>
      <c r="N324" s="15">
        <f t="shared" si="90"/>
        <v>0</v>
      </c>
      <c r="O324" s="13" t="str">
        <f>IFERROR(N324/N446, "NA")</f>
        <v>NA</v>
      </c>
      <c r="P324" s="14"/>
      <c r="Q324" s="12">
        <v>0.0</v>
      </c>
      <c r="R324" s="13" t="str">
        <f>IFERROR(Q324/Q446, "NA")</f>
        <v>NA</v>
      </c>
      <c r="S324" s="14"/>
      <c r="T324" s="12">
        <v>0.0</v>
      </c>
      <c r="U324" s="13" t="str">
        <f>IFERROR(T324/T446, "NA")</f>
        <v>NA</v>
      </c>
      <c r="V324" s="14"/>
      <c r="W324" s="15">
        <f t="shared" si="91"/>
        <v>0</v>
      </c>
      <c r="X324" s="13" t="str">
        <f>IFERROR(W324/W446, "NA")</f>
        <v>NA</v>
      </c>
      <c r="Y324" s="14"/>
      <c r="Z324" s="12">
        <v>0.0</v>
      </c>
      <c r="AA324" s="13" t="str">
        <f>IFERROR(Z324/Z446, "NA")</f>
        <v>NA</v>
      </c>
      <c r="AB324" s="14"/>
      <c r="AC324" s="15">
        <f t="shared" si="92"/>
        <v>0</v>
      </c>
      <c r="AD324" s="13" t="str">
        <f>IFERROR(AC324/AC446, "NA")</f>
        <v>NA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0</v>
      </c>
      <c r="C325" s="18" t="str">
        <f>IFERROR(B325/B446, "NA")</f>
        <v>NA</v>
      </c>
      <c r="D325" s="8"/>
      <c r="E325" s="17">
        <f>IFERROR(E298+E299+E300+E301+E302+E303+E304+E305+E306+E307+E308+E309+E310+E311+E312+E313+E314+E315+E316+E317+E318+E319+E320+E321+E322+E323+E324, "NA")</f>
        <v>0</v>
      </c>
      <c r="F325" s="18" t="str">
        <f>IFERROR(E325/E446, "NA")</f>
        <v>NA</v>
      </c>
      <c r="G325" s="8"/>
      <c r="H325" s="17">
        <f t="shared" si="89"/>
        <v>0</v>
      </c>
      <c r="I325" s="18" t="str">
        <f>IFERROR(H325/H446, "NA")</f>
        <v>NA</v>
      </c>
      <c r="J325" s="8"/>
      <c r="K325" s="17">
        <f>IFERROR(K298+K299+K300+K301+K302+K303+K304+K305+K306+K307+K308+K309+K310+K311+K312+K313+K314+K315+K316+K317+K318+K319+K320+K321+K322+K323+K324, "NA")</f>
        <v>0</v>
      </c>
      <c r="L325" s="18" t="str">
        <f>IFERROR(K325/K446, "NA")</f>
        <v>NA</v>
      </c>
      <c r="M325" s="8"/>
      <c r="N325" s="17">
        <f t="shared" si="90"/>
        <v>0</v>
      </c>
      <c r="O325" s="18" t="str">
        <f>IFERROR(N325/N446, "NA")</f>
        <v>NA</v>
      </c>
      <c r="P325" s="8"/>
      <c r="Q325" s="17">
        <f>IFERROR(Q298+Q299+Q300+Q301+Q302+Q303+Q304+Q305+Q306+Q307+Q308+Q309+Q310+Q311+Q312+Q313+Q314+Q315+Q316+Q317+Q318+Q319+Q320+Q321+Q322+Q323+Q324, "NA")</f>
        <v>0</v>
      </c>
      <c r="R325" s="18" t="str">
        <f>IFERROR(Q325/Q446, "NA")</f>
        <v>NA</v>
      </c>
      <c r="S325" s="8"/>
      <c r="T325" s="17">
        <f>IFERROR(T298+T299+T300+T301+T302+T303+T304+T305+T306+T307+T308+T309+T310+T311+T312+T313+T314+T315+T316+T317+T318+T319+T320+T321+T322+T323+T324, "NA")</f>
        <v>0</v>
      </c>
      <c r="U325" s="18" t="str">
        <f>IFERROR(T325/T446, "NA")</f>
        <v>NA</v>
      </c>
      <c r="V325" s="8"/>
      <c r="W325" s="17">
        <f t="shared" si="91"/>
        <v>0</v>
      </c>
      <c r="X325" s="18" t="str">
        <f>IFERROR(W325/W446, "NA")</f>
        <v>NA</v>
      </c>
      <c r="Y325" s="8"/>
      <c r="Z325" s="17">
        <f>IFERROR(Z298+Z299+Z300+Z301+Z302+Z303+Z304+Z305+Z306+Z307+Z308+Z309+Z310+Z311+Z312+Z313+Z314+Z315+Z316+Z317+Z318+Z319+Z320+Z321+Z322+Z323+Z324, "NA")</f>
        <v>0</v>
      </c>
      <c r="AA325" s="18" t="str">
        <f>IFERROR(Z325/Z446, "NA")</f>
        <v>NA</v>
      </c>
      <c r="AB325" s="8"/>
      <c r="AC325" s="17">
        <f t="shared" si="92"/>
        <v>0</v>
      </c>
      <c r="AD325" s="18" t="str">
        <f>IFERROR(AC325/AC446, "NA")</f>
        <v>NA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0</v>
      </c>
      <c r="C326" s="18" t="str">
        <f>IFERROR(B326/B446, "NA")</f>
        <v>NA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0</v>
      </c>
      <c r="F326" s="18" t="str">
        <f>IFERROR(E326/E446, "NA")</f>
        <v>NA</v>
      </c>
      <c r="G326" s="8"/>
      <c r="H326" s="17">
        <f t="shared" si="89"/>
        <v>0</v>
      </c>
      <c r="I326" s="18" t="str">
        <f>IFERROR(H326/H446, "NA")</f>
        <v>NA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0</v>
      </c>
      <c r="L326" s="18" t="str">
        <f>IFERROR(K326/K446, "NA")</f>
        <v>NA</v>
      </c>
      <c r="M326" s="8"/>
      <c r="N326" s="17">
        <f t="shared" si="90"/>
        <v>0</v>
      </c>
      <c r="O326" s="18" t="str">
        <f>IFERROR(N326/N446, "NA")</f>
        <v>NA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0</v>
      </c>
      <c r="R326" s="18" t="str">
        <f>IFERROR(Q326/Q446, "NA")</f>
        <v>NA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0</v>
      </c>
      <c r="U326" s="18" t="str">
        <f>IFERROR(T326/T446, "NA")</f>
        <v>NA</v>
      </c>
      <c r="V326" s="8"/>
      <c r="W326" s="17">
        <f t="shared" si="91"/>
        <v>0</v>
      </c>
      <c r="X326" s="18" t="str">
        <f>IFERROR(W326/W446, "NA")</f>
        <v>NA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0</v>
      </c>
      <c r="AA326" s="18" t="str">
        <f>IFERROR(Z326/Z446, "NA")</f>
        <v>NA</v>
      </c>
      <c r="AB326" s="8"/>
      <c r="AC326" s="17">
        <f t="shared" si="92"/>
        <v>0</v>
      </c>
      <c r="AD326" s="18" t="str">
        <f>IFERROR(AC326/AC446, "NA")</f>
        <v>NA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 t="str">
        <f>IFERROR(B329/B446, "NA")</f>
        <v>NA</v>
      </c>
      <c r="D329" s="14"/>
      <c r="E329" s="12">
        <v>0.0</v>
      </c>
      <c r="F329" s="13" t="str">
        <f>IFERROR(E329/E446, "NA")</f>
        <v>NA</v>
      </c>
      <c r="G329" s="14"/>
      <c r="H329" s="15">
        <f t="shared" ref="H329:H336" si="93">IFERROR(-(B329-E329), "NA")</f>
        <v>0</v>
      </c>
      <c r="I329" s="13" t="str">
        <f>IFERROR(H329/H446, "NA")</f>
        <v>NA</v>
      </c>
      <c r="J329" s="14"/>
      <c r="K329" s="12">
        <v>0.0</v>
      </c>
      <c r="L329" s="13" t="str">
        <f>IFERROR(K329/K446, "NA")</f>
        <v>NA</v>
      </c>
      <c r="M329" s="14"/>
      <c r="N329" s="15">
        <f t="shared" ref="N329:N336" si="94">IFERROR(-(B329-K329), "NA")</f>
        <v>0</v>
      </c>
      <c r="O329" s="13" t="str">
        <f>IFERROR(N329/N446, "NA")</f>
        <v>NA</v>
      </c>
      <c r="P329" s="14"/>
      <c r="Q329" s="12">
        <v>0.0</v>
      </c>
      <c r="R329" s="13" t="str">
        <f>IFERROR(Q329/Q446, "NA")</f>
        <v>NA</v>
      </c>
      <c r="S329" s="14"/>
      <c r="T329" s="12">
        <v>0.0</v>
      </c>
      <c r="U329" s="13" t="str">
        <f>IFERROR(T329/T446, "NA")</f>
        <v>NA</v>
      </c>
      <c r="V329" s="14"/>
      <c r="W329" s="15">
        <f t="shared" ref="W329:W336" si="95">IFERROR(-(Q329-T329), "NA")</f>
        <v>0</v>
      </c>
      <c r="X329" s="13" t="str">
        <f>IFERROR(W329/W446, "NA")</f>
        <v>NA</v>
      </c>
      <c r="Y329" s="14"/>
      <c r="Z329" s="12">
        <v>0.0</v>
      </c>
      <c r="AA329" s="13" t="str">
        <f>IFERROR(Z329/Z446, "NA")</f>
        <v>NA</v>
      </c>
      <c r="AB329" s="14"/>
      <c r="AC329" s="15">
        <f t="shared" ref="AC329:AC336" si="96">IFERROR(-(Q329-Z329), "NA")</f>
        <v>0</v>
      </c>
      <c r="AD329" s="13" t="str">
        <f>IFERROR(AC329/AC446, "NA")</f>
        <v>NA</v>
      </c>
    </row>
    <row r="330" ht="16.5" hidden="1" customHeight="1">
      <c r="A330" s="11" t="s">
        <v>304</v>
      </c>
      <c r="B330" s="12">
        <v>0.0</v>
      </c>
      <c r="C330" s="13" t="str">
        <f>IFERROR(B330/B446, "NA")</f>
        <v>NA</v>
      </c>
      <c r="D330" s="14"/>
      <c r="E330" s="12">
        <v>0.0</v>
      </c>
      <c r="F330" s="13" t="str">
        <f>IFERROR(E330/E446, "NA")</f>
        <v>NA</v>
      </c>
      <c r="G330" s="14"/>
      <c r="H330" s="15">
        <f t="shared" si="93"/>
        <v>0</v>
      </c>
      <c r="I330" s="13" t="str">
        <f>IFERROR(H330/H446, "NA")</f>
        <v>NA</v>
      </c>
      <c r="J330" s="14"/>
      <c r="K330" s="12">
        <v>0.0</v>
      </c>
      <c r="L330" s="13" t="str">
        <f>IFERROR(K330/K446, "NA")</f>
        <v>NA</v>
      </c>
      <c r="M330" s="14"/>
      <c r="N330" s="15">
        <f t="shared" si="94"/>
        <v>0</v>
      </c>
      <c r="O330" s="13" t="str">
        <f>IFERROR(N330/N446, "NA")</f>
        <v>NA</v>
      </c>
      <c r="P330" s="14"/>
      <c r="Q330" s="12">
        <v>0.0</v>
      </c>
      <c r="R330" s="13" t="str">
        <f>IFERROR(Q330/Q446, "NA")</f>
        <v>NA</v>
      </c>
      <c r="S330" s="14"/>
      <c r="T330" s="12">
        <v>0.0</v>
      </c>
      <c r="U330" s="13" t="str">
        <f>IFERROR(T330/T446, "NA")</f>
        <v>NA</v>
      </c>
      <c r="V330" s="14"/>
      <c r="W330" s="15">
        <f t="shared" si="95"/>
        <v>0</v>
      </c>
      <c r="X330" s="13" t="str">
        <f>IFERROR(W330/W446, "NA")</f>
        <v>NA</v>
      </c>
      <c r="Y330" s="14"/>
      <c r="Z330" s="12">
        <v>0.0</v>
      </c>
      <c r="AA330" s="13" t="str">
        <f>IFERROR(Z330/Z446, "NA")</f>
        <v>NA</v>
      </c>
      <c r="AB330" s="14"/>
      <c r="AC330" s="15">
        <f t="shared" si="96"/>
        <v>0</v>
      </c>
      <c r="AD330" s="13" t="str">
        <f>IFERROR(AC330/AC446, "NA")</f>
        <v>NA</v>
      </c>
    </row>
    <row r="331" ht="16.5" hidden="1" customHeight="1">
      <c r="A331" s="11" t="s">
        <v>305</v>
      </c>
      <c r="B331" s="12">
        <v>0.0</v>
      </c>
      <c r="C331" s="13" t="str">
        <f>IFERROR(B331/B446, "NA")</f>
        <v>NA</v>
      </c>
      <c r="D331" s="14"/>
      <c r="E331" s="12">
        <v>0.0</v>
      </c>
      <c r="F331" s="13" t="str">
        <f>IFERROR(E331/E446, "NA")</f>
        <v>NA</v>
      </c>
      <c r="G331" s="14"/>
      <c r="H331" s="15">
        <f t="shared" si="93"/>
        <v>0</v>
      </c>
      <c r="I331" s="13" t="str">
        <f>IFERROR(H331/H446, "NA")</f>
        <v>NA</v>
      </c>
      <c r="J331" s="14"/>
      <c r="K331" s="12">
        <v>0.0</v>
      </c>
      <c r="L331" s="13" t="str">
        <f>IFERROR(K331/K446, "NA")</f>
        <v>NA</v>
      </c>
      <c r="M331" s="14"/>
      <c r="N331" s="15">
        <f t="shared" si="94"/>
        <v>0</v>
      </c>
      <c r="O331" s="13" t="str">
        <f>IFERROR(N331/N446, "NA")</f>
        <v>NA</v>
      </c>
      <c r="P331" s="14"/>
      <c r="Q331" s="12">
        <v>0.0</v>
      </c>
      <c r="R331" s="13" t="str">
        <f>IFERROR(Q331/Q446, "NA")</f>
        <v>NA</v>
      </c>
      <c r="S331" s="14"/>
      <c r="T331" s="12">
        <v>0.0</v>
      </c>
      <c r="U331" s="13" t="str">
        <f>IFERROR(T331/T446, "NA")</f>
        <v>NA</v>
      </c>
      <c r="V331" s="14"/>
      <c r="W331" s="15">
        <f t="shared" si="95"/>
        <v>0</v>
      </c>
      <c r="X331" s="13" t="str">
        <f>IFERROR(W331/W446, "NA")</f>
        <v>NA</v>
      </c>
      <c r="Y331" s="14"/>
      <c r="Z331" s="12">
        <v>0.0</v>
      </c>
      <c r="AA331" s="13" t="str">
        <f>IFERROR(Z331/Z446, "NA")</f>
        <v>NA</v>
      </c>
      <c r="AB331" s="14"/>
      <c r="AC331" s="15">
        <f t="shared" si="96"/>
        <v>0</v>
      </c>
      <c r="AD331" s="13" t="str">
        <f>IFERROR(AC331/AC446, "NA")</f>
        <v>NA</v>
      </c>
    </row>
    <row r="332" ht="16.5" hidden="1" customHeight="1">
      <c r="A332" s="11" t="s">
        <v>306</v>
      </c>
      <c r="B332" s="12">
        <v>0.0</v>
      </c>
      <c r="C332" s="13" t="str">
        <f>IFERROR(B332/B446, "NA")</f>
        <v>NA</v>
      </c>
      <c r="D332" s="14"/>
      <c r="E332" s="12">
        <v>0.0</v>
      </c>
      <c r="F332" s="13" t="str">
        <f>IFERROR(E332/E446, "NA")</f>
        <v>NA</v>
      </c>
      <c r="G332" s="14"/>
      <c r="H332" s="15">
        <f t="shared" si="93"/>
        <v>0</v>
      </c>
      <c r="I332" s="13" t="str">
        <f>IFERROR(H332/H446, "NA")</f>
        <v>NA</v>
      </c>
      <c r="J332" s="14"/>
      <c r="K332" s="12">
        <v>0.0</v>
      </c>
      <c r="L332" s="13" t="str">
        <f>IFERROR(K332/K446, "NA")</f>
        <v>NA</v>
      </c>
      <c r="M332" s="14"/>
      <c r="N332" s="15">
        <f t="shared" si="94"/>
        <v>0</v>
      </c>
      <c r="O332" s="13" t="str">
        <f>IFERROR(N332/N446, "NA")</f>
        <v>NA</v>
      </c>
      <c r="P332" s="14"/>
      <c r="Q332" s="12">
        <v>0.0</v>
      </c>
      <c r="R332" s="13" t="str">
        <f>IFERROR(Q332/Q446, "NA")</f>
        <v>NA</v>
      </c>
      <c r="S332" s="14"/>
      <c r="T332" s="12">
        <v>0.0</v>
      </c>
      <c r="U332" s="13" t="str">
        <f>IFERROR(T332/T446, "NA")</f>
        <v>NA</v>
      </c>
      <c r="V332" s="14"/>
      <c r="W332" s="15">
        <f t="shared" si="95"/>
        <v>0</v>
      </c>
      <c r="X332" s="13" t="str">
        <f>IFERROR(W332/W446, "NA")</f>
        <v>NA</v>
      </c>
      <c r="Y332" s="14"/>
      <c r="Z332" s="12">
        <v>0.0</v>
      </c>
      <c r="AA332" s="13" t="str">
        <f>IFERROR(Z332/Z446, "NA")</f>
        <v>NA</v>
      </c>
      <c r="AB332" s="14"/>
      <c r="AC332" s="15">
        <f t="shared" si="96"/>
        <v>0</v>
      </c>
      <c r="AD332" s="13" t="str">
        <f>IFERROR(AC332/AC446, "NA")</f>
        <v>NA</v>
      </c>
    </row>
    <row r="333" ht="16.5" hidden="1" customHeight="1">
      <c r="A333" s="11" t="s">
        <v>307</v>
      </c>
      <c r="B333" s="12">
        <v>0.0</v>
      </c>
      <c r="C333" s="13" t="str">
        <f>IFERROR(B333/B446, "NA")</f>
        <v>NA</v>
      </c>
      <c r="D333" s="14"/>
      <c r="E333" s="12">
        <v>0.0</v>
      </c>
      <c r="F333" s="13" t="str">
        <f>IFERROR(E333/E446, "NA")</f>
        <v>NA</v>
      </c>
      <c r="G333" s="14"/>
      <c r="H333" s="15">
        <f t="shared" si="93"/>
        <v>0</v>
      </c>
      <c r="I333" s="13" t="str">
        <f>IFERROR(H333/H446, "NA")</f>
        <v>NA</v>
      </c>
      <c r="J333" s="14"/>
      <c r="K333" s="12">
        <v>0.0</v>
      </c>
      <c r="L333" s="13" t="str">
        <f>IFERROR(K333/K446, "NA")</f>
        <v>NA</v>
      </c>
      <c r="M333" s="14"/>
      <c r="N333" s="15">
        <f t="shared" si="94"/>
        <v>0</v>
      </c>
      <c r="O333" s="13" t="str">
        <f>IFERROR(N333/N446, "NA")</f>
        <v>NA</v>
      </c>
      <c r="P333" s="14"/>
      <c r="Q333" s="12">
        <v>0.0</v>
      </c>
      <c r="R333" s="13" t="str">
        <f>IFERROR(Q333/Q446, "NA")</f>
        <v>NA</v>
      </c>
      <c r="S333" s="14"/>
      <c r="T333" s="12">
        <v>0.0</v>
      </c>
      <c r="U333" s="13" t="str">
        <f>IFERROR(T333/T446, "NA")</f>
        <v>NA</v>
      </c>
      <c r="V333" s="14"/>
      <c r="W333" s="15">
        <f t="shared" si="95"/>
        <v>0</v>
      </c>
      <c r="X333" s="13" t="str">
        <f>IFERROR(W333/W446, "NA")</f>
        <v>NA</v>
      </c>
      <c r="Y333" s="14"/>
      <c r="Z333" s="12">
        <v>0.0</v>
      </c>
      <c r="AA333" s="13" t="str">
        <f>IFERROR(Z333/Z446, "NA")</f>
        <v>NA</v>
      </c>
      <c r="AB333" s="14"/>
      <c r="AC333" s="15">
        <f t="shared" si="96"/>
        <v>0</v>
      </c>
      <c r="AD333" s="13" t="str">
        <f>IFERROR(AC333/AC446, "NA")</f>
        <v>NA</v>
      </c>
    </row>
    <row r="334" ht="16.5" hidden="1" customHeight="1">
      <c r="A334" s="11" t="s">
        <v>308</v>
      </c>
      <c r="B334" s="12">
        <v>0.0</v>
      </c>
      <c r="C334" s="13" t="str">
        <f>IFERROR(B334/B446, "NA")</f>
        <v>NA</v>
      </c>
      <c r="D334" s="14"/>
      <c r="E334" s="12">
        <v>0.0</v>
      </c>
      <c r="F334" s="13" t="str">
        <f>IFERROR(E334/E446, "NA")</f>
        <v>NA</v>
      </c>
      <c r="G334" s="14"/>
      <c r="H334" s="15">
        <f t="shared" si="93"/>
        <v>0</v>
      </c>
      <c r="I334" s="13" t="str">
        <f>IFERROR(H334/H446, "NA")</f>
        <v>NA</v>
      </c>
      <c r="J334" s="14"/>
      <c r="K334" s="12">
        <v>0.0</v>
      </c>
      <c r="L334" s="13" t="str">
        <f>IFERROR(K334/K446, "NA")</f>
        <v>NA</v>
      </c>
      <c r="M334" s="14"/>
      <c r="N334" s="15">
        <f t="shared" si="94"/>
        <v>0</v>
      </c>
      <c r="O334" s="13" t="str">
        <f>IFERROR(N334/N446, "NA")</f>
        <v>NA</v>
      </c>
      <c r="P334" s="14"/>
      <c r="Q334" s="12">
        <v>0.0</v>
      </c>
      <c r="R334" s="13" t="str">
        <f>IFERROR(Q334/Q446, "NA")</f>
        <v>NA</v>
      </c>
      <c r="S334" s="14"/>
      <c r="T334" s="12">
        <v>0.0</v>
      </c>
      <c r="U334" s="13" t="str">
        <f>IFERROR(T334/T446, "NA")</f>
        <v>NA</v>
      </c>
      <c r="V334" s="14"/>
      <c r="W334" s="15">
        <f t="shared" si="95"/>
        <v>0</v>
      </c>
      <c r="X334" s="13" t="str">
        <f>IFERROR(W334/W446, "NA")</f>
        <v>NA</v>
      </c>
      <c r="Y334" s="14"/>
      <c r="Z334" s="12">
        <v>0.0</v>
      </c>
      <c r="AA334" s="13" t="str">
        <f>IFERROR(Z334/Z446, "NA")</f>
        <v>NA</v>
      </c>
      <c r="AB334" s="14"/>
      <c r="AC334" s="15">
        <f t="shared" si="96"/>
        <v>0</v>
      </c>
      <c r="AD334" s="13" t="str">
        <f>IFERROR(AC334/AC446, "NA")</f>
        <v>NA</v>
      </c>
    </row>
    <row r="335" ht="16.5" hidden="1" customHeight="1">
      <c r="A335" s="11" t="s">
        <v>309</v>
      </c>
      <c r="B335" s="12">
        <v>0.0</v>
      </c>
      <c r="C335" s="13" t="str">
        <f>IFERROR(B335/B446, "NA")</f>
        <v>NA</v>
      </c>
      <c r="D335" s="14"/>
      <c r="E335" s="12">
        <v>0.0</v>
      </c>
      <c r="F335" s="13" t="str">
        <f>IFERROR(E335/E446, "NA")</f>
        <v>NA</v>
      </c>
      <c r="G335" s="14"/>
      <c r="H335" s="15">
        <f t="shared" si="93"/>
        <v>0</v>
      </c>
      <c r="I335" s="13" t="str">
        <f>IFERROR(H335/H446, "NA")</f>
        <v>NA</v>
      </c>
      <c r="J335" s="14"/>
      <c r="K335" s="12">
        <v>0.0</v>
      </c>
      <c r="L335" s="13" t="str">
        <f>IFERROR(K335/K446, "NA")</f>
        <v>NA</v>
      </c>
      <c r="M335" s="14"/>
      <c r="N335" s="15">
        <f t="shared" si="94"/>
        <v>0</v>
      </c>
      <c r="O335" s="13" t="str">
        <f>IFERROR(N335/N446, "NA")</f>
        <v>NA</v>
      </c>
      <c r="P335" s="14"/>
      <c r="Q335" s="12">
        <v>0.0</v>
      </c>
      <c r="R335" s="13" t="str">
        <f>IFERROR(Q335/Q446, "NA")</f>
        <v>NA</v>
      </c>
      <c r="S335" s="14"/>
      <c r="T335" s="12">
        <v>0.0</v>
      </c>
      <c r="U335" s="13" t="str">
        <f>IFERROR(T335/T446, "NA")</f>
        <v>NA</v>
      </c>
      <c r="V335" s="14"/>
      <c r="W335" s="15">
        <f t="shared" si="95"/>
        <v>0</v>
      </c>
      <c r="X335" s="13" t="str">
        <f>IFERROR(W335/W446, "NA")</f>
        <v>NA</v>
      </c>
      <c r="Y335" s="14"/>
      <c r="Z335" s="12">
        <v>0.0</v>
      </c>
      <c r="AA335" s="13" t="str">
        <f>IFERROR(Z335/Z446, "NA")</f>
        <v>NA</v>
      </c>
      <c r="AB335" s="14"/>
      <c r="AC335" s="15">
        <f t="shared" si="96"/>
        <v>0</v>
      </c>
      <c r="AD335" s="13" t="str">
        <f>IFERROR(AC335/AC446, "NA")</f>
        <v>NA</v>
      </c>
    </row>
    <row r="336" ht="16.5" hidden="1" customHeight="1">
      <c r="A336" s="11" t="s">
        <v>310</v>
      </c>
      <c r="B336" s="12">
        <v>0.0</v>
      </c>
      <c r="C336" s="13" t="str">
        <f>IFERROR(B336/B446, "NA")</f>
        <v>NA</v>
      </c>
      <c r="D336" s="14"/>
      <c r="E336" s="12">
        <v>0.0</v>
      </c>
      <c r="F336" s="13" t="str">
        <f>IFERROR(E336/E446, "NA")</f>
        <v>NA</v>
      </c>
      <c r="G336" s="14"/>
      <c r="H336" s="15">
        <f t="shared" si="93"/>
        <v>0</v>
      </c>
      <c r="I336" s="13" t="str">
        <f>IFERROR(H336/H446, "NA")</f>
        <v>NA</v>
      </c>
      <c r="J336" s="14"/>
      <c r="K336" s="12">
        <v>0.0</v>
      </c>
      <c r="L336" s="13" t="str">
        <f>IFERROR(K336/K446, "NA")</f>
        <v>NA</v>
      </c>
      <c r="M336" s="14"/>
      <c r="N336" s="15">
        <f t="shared" si="94"/>
        <v>0</v>
      </c>
      <c r="O336" s="13" t="str">
        <f>IFERROR(N336/N446, "NA")</f>
        <v>NA</v>
      </c>
      <c r="P336" s="14"/>
      <c r="Q336" s="12">
        <v>0.0</v>
      </c>
      <c r="R336" s="13" t="str">
        <f>IFERROR(Q336/Q446, "NA")</f>
        <v>NA</v>
      </c>
      <c r="S336" s="14"/>
      <c r="T336" s="12">
        <v>0.0</v>
      </c>
      <c r="U336" s="13" t="str">
        <f>IFERROR(T336/T446, "NA")</f>
        <v>NA</v>
      </c>
      <c r="V336" s="14"/>
      <c r="W336" s="15">
        <f t="shared" si="95"/>
        <v>0</v>
      </c>
      <c r="X336" s="13" t="str">
        <f>IFERROR(W336/W446, "NA")</f>
        <v>NA</v>
      </c>
      <c r="Y336" s="14"/>
      <c r="Z336" s="12">
        <v>0.0</v>
      </c>
      <c r="AA336" s="13" t="str">
        <f>IFERROR(Z336/Z446, "NA")</f>
        <v>NA</v>
      </c>
      <c r="AB336" s="14"/>
      <c r="AC336" s="15">
        <f t="shared" si="96"/>
        <v>0</v>
      </c>
      <c r="AD336" s="13" t="str">
        <f>IFERROR(AC336/AC446, "NA")</f>
        <v>NA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 t="str">
        <f>IFERROR(B338/B446, "NA")</f>
        <v>NA</v>
      </c>
      <c r="D338" s="14"/>
      <c r="E338" s="12">
        <v>0.0</v>
      </c>
      <c r="F338" s="13" t="str">
        <f>IFERROR(E338/E446, "NA")</f>
        <v>NA</v>
      </c>
      <c r="G338" s="14"/>
      <c r="H338" s="15">
        <f t="shared" ref="H338:H345" si="97">IFERROR(-(B338-E338), "NA")</f>
        <v>0</v>
      </c>
      <c r="I338" s="13" t="str">
        <f>IFERROR(H338/H446, "NA")</f>
        <v>NA</v>
      </c>
      <c r="J338" s="14"/>
      <c r="K338" s="12">
        <v>0.0</v>
      </c>
      <c r="L338" s="13" t="str">
        <f>IFERROR(K338/K446, "NA")</f>
        <v>NA</v>
      </c>
      <c r="M338" s="14"/>
      <c r="N338" s="15">
        <f t="shared" ref="N338:N345" si="98">IFERROR(-(B338-K338), "NA")</f>
        <v>0</v>
      </c>
      <c r="O338" s="13" t="str">
        <f>IFERROR(N338/N446, "NA")</f>
        <v>NA</v>
      </c>
      <c r="P338" s="14"/>
      <c r="Q338" s="12">
        <v>0.0</v>
      </c>
      <c r="R338" s="13" t="str">
        <f>IFERROR(Q338/Q446, "NA")</f>
        <v>NA</v>
      </c>
      <c r="S338" s="14"/>
      <c r="T338" s="12">
        <v>0.0</v>
      </c>
      <c r="U338" s="13" t="str">
        <f>IFERROR(T338/T446, "NA")</f>
        <v>NA</v>
      </c>
      <c r="V338" s="14"/>
      <c r="W338" s="15">
        <f t="shared" ref="W338:W345" si="99">IFERROR(-(Q338-T338), "NA")</f>
        <v>0</v>
      </c>
      <c r="X338" s="13" t="str">
        <f>IFERROR(W338/W446, "NA")</f>
        <v>NA</v>
      </c>
      <c r="Y338" s="14"/>
      <c r="Z338" s="12">
        <v>0.0</v>
      </c>
      <c r="AA338" s="13" t="str">
        <f>IFERROR(Z338/Z446, "NA")</f>
        <v>NA</v>
      </c>
      <c r="AB338" s="14"/>
      <c r="AC338" s="15">
        <f t="shared" ref="AC338:AC345" si="100">IFERROR(-(Q338-Z338), "NA")</f>
        <v>0</v>
      </c>
      <c r="AD338" s="13" t="str">
        <f>IFERROR(AC338/AC446, "NA")</f>
        <v>NA</v>
      </c>
    </row>
    <row r="339" ht="16.5" hidden="1" customHeight="1">
      <c r="A339" s="11" t="s">
        <v>312</v>
      </c>
      <c r="B339" s="12">
        <v>0.0</v>
      </c>
      <c r="C339" s="13" t="str">
        <f>IFERROR(B339/B446, "NA")</f>
        <v>NA</v>
      </c>
      <c r="D339" s="14"/>
      <c r="E339" s="12">
        <v>0.0</v>
      </c>
      <c r="F339" s="13" t="str">
        <f>IFERROR(E339/E446, "NA")</f>
        <v>NA</v>
      </c>
      <c r="G339" s="14"/>
      <c r="H339" s="15">
        <f t="shared" si="97"/>
        <v>0</v>
      </c>
      <c r="I339" s="13" t="str">
        <f>IFERROR(H339/H446, "NA")</f>
        <v>NA</v>
      </c>
      <c r="J339" s="14"/>
      <c r="K339" s="12">
        <v>0.0</v>
      </c>
      <c r="L339" s="13" t="str">
        <f>IFERROR(K339/K446, "NA")</f>
        <v>NA</v>
      </c>
      <c r="M339" s="14"/>
      <c r="N339" s="15">
        <f t="shared" si="98"/>
        <v>0</v>
      </c>
      <c r="O339" s="13" t="str">
        <f>IFERROR(N339/N446, "NA")</f>
        <v>NA</v>
      </c>
      <c r="P339" s="14"/>
      <c r="Q339" s="12">
        <v>0.0</v>
      </c>
      <c r="R339" s="13" t="str">
        <f>IFERROR(Q339/Q446, "NA")</f>
        <v>NA</v>
      </c>
      <c r="S339" s="14"/>
      <c r="T339" s="12">
        <v>0.0</v>
      </c>
      <c r="U339" s="13" t="str">
        <f>IFERROR(T339/T446, "NA")</f>
        <v>NA</v>
      </c>
      <c r="V339" s="14"/>
      <c r="W339" s="15">
        <f t="shared" si="99"/>
        <v>0</v>
      </c>
      <c r="X339" s="13" t="str">
        <f>IFERROR(W339/W446, "NA")</f>
        <v>NA</v>
      </c>
      <c r="Y339" s="14"/>
      <c r="Z339" s="12">
        <v>0.0</v>
      </c>
      <c r="AA339" s="13" t="str">
        <f>IFERROR(Z339/Z446, "NA")</f>
        <v>NA</v>
      </c>
      <c r="AB339" s="14"/>
      <c r="AC339" s="15">
        <f t="shared" si="100"/>
        <v>0</v>
      </c>
      <c r="AD339" s="13" t="str">
        <f>IFERROR(AC339/AC446, "NA")</f>
        <v>NA</v>
      </c>
    </row>
    <row r="340" ht="16.5" hidden="1" customHeight="1">
      <c r="A340" s="11" t="s">
        <v>313</v>
      </c>
      <c r="B340" s="12">
        <v>0.0</v>
      </c>
      <c r="C340" s="13" t="str">
        <f>IFERROR(B340/B446, "NA")</f>
        <v>NA</v>
      </c>
      <c r="D340" s="14"/>
      <c r="E340" s="12">
        <v>0.0</v>
      </c>
      <c r="F340" s="13" t="str">
        <f>IFERROR(E340/E446, "NA")</f>
        <v>NA</v>
      </c>
      <c r="G340" s="14"/>
      <c r="H340" s="15">
        <f t="shared" si="97"/>
        <v>0</v>
      </c>
      <c r="I340" s="13" t="str">
        <f>IFERROR(H340/H446, "NA")</f>
        <v>NA</v>
      </c>
      <c r="J340" s="14"/>
      <c r="K340" s="12">
        <v>0.0</v>
      </c>
      <c r="L340" s="13" t="str">
        <f>IFERROR(K340/K446, "NA")</f>
        <v>NA</v>
      </c>
      <c r="M340" s="14"/>
      <c r="N340" s="15">
        <f t="shared" si="98"/>
        <v>0</v>
      </c>
      <c r="O340" s="13" t="str">
        <f>IFERROR(N340/N446, "NA")</f>
        <v>NA</v>
      </c>
      <c r="P340" s="14"/>
      <c r="Q340" s="12">
        <v>0.0</v>
      </c>
      <c r="R340" s="13" t="str">
        <f>IFERROR(Q340/Q446, "NA")</f>
        <v>NA</v>
      </c>
      <c r="S340" s="14"/>
      <c r="T340" s="12">
        <v>0.0</v>
      </c>
      <c r="U340" s="13" t="str">
        <f>IFERROR(T340/T446, "NA")</f>
        <v>NA</v>
      </c>
      <c r="V340" s="14"/>
      <c r="W340" s="15">
        <f t="shared" si="99"/>
        <v>0</v>
      </c>
      <c r="X340" s="13" t="str">
        <f>IFERROR(W340/W446, "NA")</f>
        <v>NA</v>
      </c>
      <c r="Y340" s="14"/>
      <c r="Z340" s="12">
        <v>0.0</v>
      </c>
      <c r="AA340" s="13" t="str">
        <f>IFERROR(Z340/Z446, "NA")</f>
        <v>NA</v>
      </c>
      <c r="AB340" s="14"/>
      <c r="AC340" s="15">
        <f t="shared" si="100"/>
        <v>0</v>
      </c>
      <c r="AD340" s="13" t="str">
        <f>IFERROR(AC340/AC446, "NA")</f>
        <v>NA</v>
      </c>
    </row>
    <row r="341" ht="16.5" hidden="1" customHeight="1">
      <c r="A341" s="11" t="s">
        <v>314</v>
      </c>
      <c r="B341" s="12">
        <v>0.0</v>
      </c>
      <c r="C341" s="13" t="str">
        <f>IFERROR(B341/B446, "NA")</f>
        <v>NA</v>
      </c>
      <c r="D341" s="14"/>
      <c r="E341" s="12">
        <v>0.0</v>
      </c>
      <c r="F341" s="13" t="str">
        <f>IFERROR(E341/E446, "NA")</f>
        <v>NA</v>
      </c>
      <c r="G341" s="14"/>
      <c r="H341" s="15">
        <f t="shared" si="97"/>
        <v>0</v>
      </c>
      <c r="I341" s="13" t="str">
        <f>IFERROR(H341/H446, "NA")</f>
        <v>NA</v>
      </c>
      <c r="J341" s="14"/>
      <c r="K341" s="12">
        <v>0.0</v>
      </c>
      <c r="L341" s="13" t="str">
        <f>IFERROR(K341/K446, "NA")</f>
        <v>NA</v>
      </c>
      <c r="M341" s="14"/>
      <c r="N341" s="15">
        <f t="shared" si="98"/>
        <v>0</v>
      </c>
      <c r="O341" s="13" t="str">
        <f>IFERROR(N341/N446, "NA")</f>
        <v>NA</v>
      </c>
      <c r="P341" s="14"/>
      <c r="Q341" s="12">
        <v>0.0</v>
      </c>
      <c r="R341" s="13" t="str">
        <f>IFERROR(Q341/Q446, "NA")</f>
        <v>NA</v>
      </c>
      <c r="S341" s="14"/>
      <c r="T341" s="12">
        <v>0.0</v>
      </c>
      <c r="U341" s="13" t="str">
        <f>IFERROR(T341/T446, "NA")</f>
        <v>NA</v>
      </c>
      <c r="V341" s="14"/>
      <c r="W341" s="15">
        <f t="shared" si="99"/>
        <v>0</v>
      </c>
      <c r="X341" s="13" t="str">
        <f>IFERROR(W341/W446, "NA")</f>
        <v>NA</v>
      </c>
      <c r="Y341" s="14"/>
      <c r="Z341" s="12">
        <v>0.0</v>
      </c>
      <c r="AA341" s="13" t="str">
        <f>IFERROR(Z341/Z446, "NA")</f>
        <v>NA</v>
      </c>
      <c r="AB341" s="14"/>
      <c r="AC341" s="15">
        <f t="shared" si="100"/>
        <v>0</v>
      </c>
      <c r="AD341" s="13" t="str">
        <f>IFERROR(AC341/AC446, "NA")</f>
        <v>NA</v>
      </c>
    </row>
    <row r="342" ht="16.5" hidden="1" customHeight="1">
      <c r="A342" s="11" t="s">
        <v>315</v>
      </c>
      <c r="B342" s="12">
        <v>0.0</v>
      </c>
      <c r="C342" s="13" t="str">
        <f>IFERROR(B342/B446, "NA")</f>
        <v>NA</v>
      </c>
      <c r="D342" s="14"/>
      <c r="E342" s="12">
        <v>0.0</v>
      </c>
      <c r="F342" s="13" t="str">
        <f>IFERROR(E342/E446, "NA")</f>
        <v>NA</v>
      </c>
      <c r="G342" s="14"/>
      <c r="H342" s="15">
        <f t="shared" si="97"/>
        <v>0</v>
      </c>
      <c r="I342" s="13" t="str">
        <f>IFERROR(H342/H446, "NA")</f>
        <v>NA</v>
      </c>
      <c r="J342" s="14"/>
      <c r="K342" s="12">
        <v>0.0</v>
      </c>
      <c r="L342" s="13" t="str">
        <f>IFERROR(K342/K446, "NA")</f>
        <v>NA</v>
      </c>
      <c r="M342" s="14"/>
      <c r="N342" s="15">
        <f t="shared" si="98"/>
        <v>0</v>
      </c>
      <c r="O342" s="13" t="str">
        <f>IFERROR(N342/N446, "NA")</f>
        <v>NA</v>
      </c>
      <c r="P342" s="14"/>
      <c r="Q342" s="12">
        <v>0.0</v>
      </c>
      <c r="R342" s="13" t="str">
        <f>IFERROR(Q342/Q446, "NA")</f>
        <v>NA</v>
      </c>
      <c r="S342" s="14"/>
      <c r="T342" s="12">
        <v>0.0</v>
      </c>
      <c r="U342" s="13" t="str">
        <f>IFERROR(T342/T446, "NA")</f>
        <v>NA</v>
      </c>
      <c r="V342" s="14"/>
      <c r="W342" s="15">
        <f t="shared" si="99"/>
        <v>0</v>
      </c>
      <c r="X342" s="13" t="str">
        <f>IFERROR(W342/W446, "NA")</f>
        <v>NA</v>
      </c>
      <c r="Y342" s="14"/>
      <c r="Z342" s="12">
        <v>0.0</v>
      </c>
      <c r="AA342" s="13" t="str">
        <f>IFERROR(Z342/Z446, "NA")</f>
        <v>NA</v>
      </c>
      <c r="AB342" s="14"/>
      <c r="AC342" s="15">
        <f t="shared" si="100"/>
        <v>0</v>
      </c>
      <c r="AD342" s="13" t="str">
        <f>IFERROR(AC342/AC446, "NA")</f>
        <v>NA</v>
      </c>
    </row>
    <row r="343" ht="16.5" customHeight="1">
      <c r="A343" s="16" t="s">
        <v>316</v>
      </c>
      <c r="B343" s="17">
        <f>IFERROR(B338+B339+B340+B341+B342, "NA")</f>
        <v>0</v>
      </c>
      <c r="C343" s="18" t="str">
        <f>IFERROR(B343/B446, "NA")</f>
        <v>NA</v>
      </c>
      <c r="D343" s="8"/>
      <c r="E343" s="17">
        <f>IFERROR(E338+E339+E340+E341+E342, "NA")</f>
        <v>0</v>
      </c>
      <c r="F343" s="18" t="str">
        <f>IFERROR(E343/E446, "NA")</f>
        <v>NA</v>
      </c>
      <c r="G343" s="8"/>
      <c r="H343" s="17">
        <f t="shared" si="97"/>
        <v>0</v>
      </c>
      <c r="I343" s="18" t="str">
        <f>IFERROR(H343/H446, "NA")</f>
        <v>NA</v>
      </c>
      <c r="J343" s="8"/>
      <c r="K343" s="17">
        <f>IFERROR(K338+K339+K340+K341+K342, "NA")</f>
        <v>0</v>
      </c>
      <c r="L343" s="18" t="str">
        <f>IFERROR(K343/K446, "NA")</f>
        <v>NA</v>
      </c>
      <c r="M343" s="8"/>
      <c r="N343" s="17">
        <f t="shared" si="98"/>
        <v>0</v>
      </c>
      <c r="O343" s="18" t="str">
        <f>IFERROR(N343/N446, "NA")</f>
        <v>NA</v>
      </c>
      <c r="P343" s="8"/>
      <c r="Q343" s="17">
        <f>IFERROR(Q338+Q339+Q340+Q341+Q342, "NA")</f>
        <v>0</v>
      </c>
      <c r="R343" s="18" t="str">
        <f>IFERROR(Q343/Q446, "NA")</f>
        <v>NA</v>
      </c>
      <c r="S343" s="8"/>
      <c r="T343" s="17">
        <f>IFERROR(T338+T339+T340+T341+T342, "NA")</f>
        <v>0</v>
      </c>
      <c r="U343" s="18" t="str">
        <f>IFERROR(T343/T446, "NA")</f>
        <v>NA</v>
      </c>
      <c r="V343" s="8"/>
      <c r="W343" s="17">
        <f t="shared" si="99"/>
        <v>0</v>
      </c>
      <c r="X343" s="18" t="str">
        <f>IFERROR(W343/W446, "NA")</f>
        <v>NA</v>
      </c>
      <c r="Y343" s="8"/>
      <c r="Z343" s="17">
        <f>IFERROR(Z338+Z339+Z340+Z341+Z342, "NA")</f>
        <v>0</v>
      </c>
      <c r="AA343" s="18" t="str">
        <f>IFERROR(Z343/Z446, "NA")</f>
        <v>NA</v>
      </c>
      <c r="AB343" s="8"/>
      <c r="AC343" s="17">
        <f t="shared" si="100"/>
        <v>0</v>
      </c>
      <c r="AD343" s="18" t="str">
        <f>IFERROR(AC343/AC446, "NA")</f>
        <v>NA</v>
      </c>
    </row>
    <row r="344" ht="16.5" customHeight="1">
      <c r="A344" s="16" t="s">
        <v>317</v>
      </c>
      <c r="B344" s="17">
        <f>IFERROR(B329+B330+B331+B332+B333+B334+B335+B336+B338+B339+B340+B341+B342, "NA")</f>
        <v>0</v>
      </c>
      <c r="C344" s="18" t="str">
        <f>IFERROR(B344/B446, "NA")</f>
        <v>NA</v>
      </c>
      <c r="D344" s="8"/>
      <c r="E344" s="17">
        <f>IFERROR(E329+E330+E331+E332+E333+E334+E335+E336+E338+E339+E340+E341+E342, "NA")</f>
        <v>0</v>
      </c>
      <c r="F344" s="18" t="str">
        <f>IFERROR(E344/E446, "NA")</f>
        <v>NA</v>
      </c>
      <c r="G344" s="8"/>
      <c r="H344" s="17">
        <f t="shared" si="97"/>
        <v>0</v>
      </c>
      <c r="I344" s="18" t="str">
        <f>IFERROR(H344/H446, "NA")</f>
        <v>NA</v>
      </c>
      <c r="J344" s="8"/>
      <c r="K344" s="17">
        <f>IFERROR(K329+K330+K331+K332+K333+K334+K335+K336+K338+K339+K340+K341+K342, "NA")</f>
        <v>0</v>
      </c>
      <c r="L344" s="18" t="str">
        <f>IFERROR(K344/K446, "NA")</f>
        <v>NA</v>
      </c>
      <c r="M344" s="8"/>
      <c r="N344" s="17">
        <f t="shared" si="98"/>
        <v>0</v>
      </c>
      <c r="O344" s="18" t="str">
        <f>IFERROR(N344/N446, "NA")</f>
        <v>NA</v>
      </c>
      <c r="P344" s="8"/>
      <c r="Q344" s="17">
        <f>IFERROR(Q329+Q330+Q331+Q332+Q333+Q334+Q335+Q336+Q338+Q339+Q340+Q341+Q342, "NA")</f>
        <v>0</v>
      </c>
      <c r="R344" s="18" t="str">
        <f>IFERROR(Q344/Q446, "NA")</f>
        <v>NA</v>
      </c>
      <c r="S344" s="8"/>
      <c r="T344" s="17">
        <f>IFERROR(T329+T330+T331+T332+T333+T334+T335+T336+T338+T339+T340+T341+T342, "NA")</f>
        <v>0</v>
      </c>
      <c r="U344" s="18" t="str">
        <f>IFERROR(T344/T446, "NA")</f>
        <v>NA</v>
      </c>
      <c r="V344" s="8"/>
      <c r="W344" s="17">
        <f t="shared" si="99"/>
        <v>0</v>
      </c>
      <c r="X344" s="18" t="str">
        <f>IFERROR(W344/W446, "NA")</f>
        <v>NA</v>
      </c>
      <c r="Y344" s="8"/>
      <c r="Z344" s="17">
        <f>IFERROR(Z329+Z330+Z331+Z332+Z333+Z334+Z335+Z336+Z338+Z339+Z340+Z341+Z342, "NA")</f>
        <v>0</v>
      </c>
      <c r="AA344" s="18" t="str">
        <f>IFERROR(Z344/Z446, "NA")</f>
        <v>NA</v>
      </c>
      <c r="AB344" s="8"/>
      <c r="AC344" s="17">
        <f t="shared" si="100"/>
        <v>0</v>
      </c>
      <c r="AD344" s="18" t="str">
        <f>IFERROR(AC344/AC446, "NA")</f>
        <v>NA</v>
      </c>
    </row>
    <row r="345" ht="16.5" customHeight="1">
      <c r="A345" s="16" t="s">
        <v>318</v>
      </c>
      <c r="B345" s="17">
        <f>IFERROR(B329+B330+B331+B332+B333+B334+B335+B336+B338+B339+B340+B341+B342, "NA")</f>
        <v>0</v>
      </c>
      <c r="C345" s="18" t="str">
        <f>IFERROR(B345/B446, "NA")</f>
        <v>NA</v>
      </c>
      <c r="D345" s="8"/>
      <c r="E345" s="17">
        <f>IFERROR(E329+E330+E331+E332+E333+E334+E335+E336+E338+E339+E340+E341+E342, "NA")</f>
        <v>0</v>
      </c>
      <c r="F345" s="18" t="str">
        <f>IFERROR(E345/E446, "NA")</f>
        <v>NA</v>
      </c>
      <c r="G345" s="8"/>
      <c r="H345" s="17">
        <f t="shared" si="97"/>
        <v>0</v>
      </c>
      <c r="I345" s="18" t="str">
        <f>IFERROR(H345/H446, "NA")</f>
        <v>NA</v>
      </c>
      <c r="J345" s="8"/>
      <c r="K345" s="17">
        <f>IFERROR(K329+K330+K331+K332+K333+K334+K335+K336+K338+K339+K340+K341+K342, "NA")</f>
        <v>0</v>
      </c>
      <c r="L345" s="18" t="str">
        <f>IFERROR(K345/K446, "NA")</f>
        <v>NA</v>
      </c>
      <c r="M345" s="8"/>
      <c r="N345" s="17">
        <f t="shared" si="98"/>
        <v>0</v>
      </c>
      <c r="O345" s="18" t="str">
        <f>IFERROR(N345/N446, "NA")</f>
        <v>NA</v>
      </c>
      <c r="P345" s="8"/>
      <c r="Q345" s="17">
        <f>IFERROR(Q329+Q330+Q331+Q332+Q333+Q334+Q335+Q336+Q338+Q339+Q340+Q341+Q342, "NA")</f>
        <v>0</v>
      </c>
      <c r="R345" s="18" t="str">
        <f>IFERROR(Q345/Q446, "NA")</f>
        <v>NA</v>
      </c>
      <c r="S345" s="8"/>
      <c r="T345" s="17">
        <f>IFERROR(T329+T330+T331+T332+T333+T334+T335+T336+T338+T339+T340+T341+T342, "NA")</f>
        <v>0</v>
      </c>
      <c r="U345" s="18" t="str">
        <f>IFERROR(T345/T446, "NA")</f>
        <v>NA</v>
      </c>
      <c r="V345" s="8"/>
      <c r="W345" s="17">
        <f t="shared" si="99"/>
        <v>0</v>
      </c>
      <c r="X345" s="18" t="str">
        <f>IFERROR(W345/W446, "NA")</f>
        <v>NA</v>
      </c>
      <c r="Y345" s="8"/>
      <c r="Z345" s="17">
        <f>IFERROR(Z329+Z330+Z331+Z332+Z333+Z334+Z335+Z336+Z338+Z339+Z340+Z341+Z342, "NA")</f>
        <v>0</v>
      </c>
      <c r="AA345" s="18" t="str">
        <f>IFERROR(Z345/Z446, "NA")</f>
        <v>NA</v>
      </c>
      <c r="AB345" s="8"/>
      <c r="AC345" s="17">
        <f t="shared" si="100"/>
        <v>0</v>
      </c>
      <c r="AD345" s="18" t="str">
        <f>IFERROR(AC345/AC446, "NA")</f>
        <v>NA</v>
      </c>
    </row>
    <row r="346" ht="16.5" customHeight="1">
      <c r="A346" s="19" t="s">
        <v>319</v>
      </c>
      <c r="B346" s="20">
        <f>IFERROR(B198-B326-B345, "NA")</f>
        <v>0</v>
      </c>
      <c r="C346" s="21" t="str">
        <f>IFERROR(B346/B446, "NA")</f>
        <v>NA</v>
      </c>
      <c r="D346" s="22"/>
      <c r="E346" s="20">
        <f>IFERROR(E198-E326-E345, "NA")</f>
        <v>0</v>
      </c>
      <c r="F346" s="21" t="str">
        <f>IFERROR(E346/E446, "NA")</f>
        <v>NA</v>
      </c>
      <c r="G346" s="22"/>
      <c r="H346" s="20">
        <f>IFERROR(B346-E346, "NA")</f>
        <v>0</v>
      </c>
      <c r="I346" s="21" t="str">
        <f>IFERROR(H346/H446, "NA")</f>
        <v>NA</v>
      </c>
      <c r="J346" s="22"/>
      <c r="K346" s="20">
        <f>IFERROR(K198-K326-K345, "NA")</f>
        <v>0</v>
      </c>
      <c r="L346" s="21" t="str">
        <f>IFERROR(K346/K446, "NA")</f>
        <v>NA</v>
      </c>
      <c r="M346" s="22"/>
      <c r="N346" s="20">
        <f>IFERROR(B346-K346, "NA")</f>
        <v>0</v>
      </c>
      <c r="O346" s="21" t="str">
        <f>IFERROR(N346/N446, "NA")</f>
        <v>NA</v>
      </c>
      <c r="P346" s="22"/>
      <c r="Q346" s="20">
        <f>IFERROR(Q198-Q326-Q345, "NA")</f>
        <v>0</v>
      </c>
      <c r="R346" s="21" t="str">
        <f>IFERROR(Q346/Q446, "NA")</f>
        <v>NA</v>
      </c>
      <c r="S346" s="22"/>
      <c r="T346" s="20">
        <f>IFERROR(T198-T326-T345, "NA")</f>
        <v>0</v>
      </c>
      <c r="U346" s="21" t="str">
        <f>IFERROR(T346/T446, "NA")</f>
        <v>NA</v>
      </c>
      <c r="V346" s="22"/>
      <c r="W346" s="20">
        <f>IFERROR(Q346-T346, "NA")</f>
        <v>0</v>
      </c>
      <c r="X346" s="21" t="str">
        <f>IFERROR(W346/W446, "NA")</f>
        <v>NA</v>
      </c>
      <c r="Y346" s="22"/>
      <c r="Z346" s="20">
        <f>IFERROR(Z198-Z326-Z345, "NA")</f>
        <v>0</v>
      </c>
      <c r="AA346" s="21" t="str">
        <f>IFERROR(Z346/Z446, "NA")</f>
        <v>NA</v>
      </c>
      <c r="AB346" s="22"/>
      <c r="AC346" s="20">
        <f>IFERROR(Q346-Z346, "NA")</f>
        <v>0</v>
      </c>
      <c r="AD346" s="21" t="str">
        <f>IFERROR(AC346/AC446, "NA")</f>
        <v>NA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 t="str">
        <f>IFERROR(B348/B446, "NA")</f>
        <v>NA</v>
      </c>
      <c r="D348" s="14"/>
      <c r="E348" s="12">
        <v>0.0</v>
      </c>
      <c r="F348" s="13" t="str">
        <f>IFERROR(E348/E446, "NA")</f>
        <v>NA</v>
      </c>
      <c r="G348" s="14"/>
      <c r="H348" s="15">
        <f>IFERROR(-(B348-E348), "NA")</f>
        <v>0</v>
      </c>
      <c r="I348" s="13" t="str">
        <f>IFERROR(H348/H446, "NA")</f>
        <v>NA</v>
      </c>
      <c r="J348" s="14"/>
      <c r="K348" s="12">
        <v>0.0</v>
      </c>
      <c r="L348" s="13" t="str">
        <f>IFERROR(K348/K446, "NA")</f>
        <v>NA</v>
      </c>
      <c r="M348" s="14"/>
      <c r="N348" s="15">
        <f>IFERROR(-(B348-K348), "NA")</f>
        <v>0</v>
      </c>
      <c r="O348" s="13" t="str">
        <f>IFERROR(N348/N446, "NA")</f>
        <v>NA</v>
      </c>
      <c r="P348" s="14"/>
      <c r="Q348" s="12">
        <v>0.0</v>
      </c>
      <c r="R348" s="13" t="str">
        <f>IFERROR(Q348/Q446, "NA")</f>
        <v>NA</v>
      </c>
      <c r="S348" s="14"/>
      <c r="T348" s="12">
        <v>0.0</v>
      </c>
      <c r="U348" s="13" t="str">
        <f>IFERROR(T348/T446, "NA")</f>
        <v>NA</v>
      </c>
      <c r="V348" s="14"/>
      <c r="W348" s="15">
        <f>IFERROR(-(Q348-T348), "NA")</f>
        <v>0</v>
      </c>
      <c r="X348" s="13" t="str">
        <f>IFERROR(W348/W446, "NA")</f>
        <v>NA</v>
      </c>
      <c r="Y348" s="14"/>
      <c r="Z348" s="12">
        <v>0.0</v>
      </c>
      <c r="AA348" s="13" t="str">
        <f>IFERROR(Z348/Z446, "NA")</f>
        <v>NA</v>
      </c>
      <c r="AB348" s="14"/>
      <c r="AC348" s="15">
        <f>IFERROR(-(Q348-Z348), "NA")</f>
        <v>0</v>
      </c>
      <c r="AD348" s="13" t="str">
        <f>IFERROR(AC348/AC446, "NA")</f>
        <v>NA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 t="str">
        <f>IFERROR(B350/B446, "NA")</f>
        <v>NA</v>
      </c>
      <c r="D350" s="14"/>
      <c r="E350" s="12">
        <v>0.0</v>
      </c>
      <c r="F350" s="13" t="str">
        <f>IFERROR(E350/E446, "NA")</f>
        <v>NA</v>
      </c>
      <c r="G350" s="14"/>
      <c r="H350" s="15">
        <f t="shared" ref="H350:H359" si="101">IFERROR(-(B350-E350), "NA")</f>
        <v>0</v>
      </c>
      <c r="I350" s="13" t="str">
        <f>IFERROR(H350/H446, "NA")</f>
        <v>NA</v>
      </c>
      <c r="J350" s="14"/>
      <c r="K350" s="12">
        <v>0.0</v>
      </c>
      <c r="L350" s="13" t="str">
        <f>IFERROR(K350/K446, "NA")</f>
        <v>NA</v>
      </c>
      <c r="M350" s="14"/>
      <c r="N350" s="15">
        <f t="shared" ref="N350:N359" si="102">IFERROR(-(B350-K350), "NA")</f>
        <v>0</v>
      </c>
      <c r="O350" s="13" t="str">
        <f>IFERROR(N350/N446, "NA")</f>
        <v>NA</v>
      </c>
      <c r="P350" s="14"/>
      <c r="Q350" s="12">
        <v>0.0</v>
      </c>
      <c r="R350" s="13" t="str">
        <f>IFERROR(Q350/Q446, "NA")</f>
        <v>NA</v>
      </c>
      <c r="S350" s="14"/>
      <c r="T350" s="12">
        <v>0.0</v>
      </c>
      <c r="U350" s="13" t="str">
        <f>IFERROR(T350/T446, "NA")</f>
        <v>NA</v>
      </c>
      <c r="V350" s="14"/>
      <c r="W350" s="15">
        <f t="shared" ref="W350:W359" si="103">IFERROR(-(Q350-T350), "NA")</f>
        <v>0</v>
      </c>
      <c r="X350" s="13" t="str">
        <f>IFERROR(W350/W446, "NA")</f>
        <v>NA</v>
      </c>
      <c r="Y350" s="14"/>
      <c r="Z350" s="12">
        <v>0.0</v>
      </c>
      <c r="AA350" s="13" t="str">
        <f>IFERROR(Z350/Z446, "NA")</f>
        <v>NA</v>
      </c>
      <c r="AB350" s="14"/>
      <c r="AC350" s="15">
        <f t="shared" ref="AC350:AC359" si="104">IFERROR(-(Q350-Z350), "NA")</f>
        <v>0</v>
      </c>
      <c r="AD350" s="13" t="str">
        <f>IFERROR(AC350/AC446, "NA")</f>
        <v>NA</v>
      </c>
    </row>
    <row r="351" ht="16.5" customHeight="1">
      <c r="A351" s="11" t="s">
        <v>323</v>
      </c>
      <c r="B351" s="12">
        <v>34706.43</v>
      </c>
      <c r="C351" s="13" t="str">
        <f>IFERROR(B351/B446, "NA")</f>
        <v>NA</v>
      </c>
      <c r="D351" s="14"/>
      <c r="E351" s="12">
        <v>43307.69</v>
      </c>
      <c r="F351" s="13" t="str">
        <f>IFERROR(E351/E446, "NA")</f>
        <v>NA</v>
      </c>
      <c r="G351" s="14"/>
      <c r="H351" s="15">
        <f t="shared" si="101"/>
        <v>8601.26</v>
      </c>
      <c r="I351" s="13" t="str">
        <f>IFERROR(H351/H446, "NA")</f>
        <v>NA</v>
      </c>
      <c r="J351" s="14"/>
      <c r="K351" s="12">
        <v>46769.16</v>
      </c>
      <c r="L351" s="13" t="str">
        <f>IFERROR(K351/K446, "NA")</f>
        <v>NA</v>
      </c>
      <c r="M351" s="14"/>
      <c r="N351" s="15">
        <f t="shared" si="102"/>
        <v>12062.73</v>
      </c>
      <c r="O351" s="13" t="str">
        <f>IFERROR(N351/N446, "NA")</f>
        <v>NA</v>
      </c>
      <c r="P351" s="14"/>
      <c r="Q351" s="12">
        <v>300124.6</v>
      </c>
      <c r="R351" s="13" t="str">
        <f>IFERROR(Q351/Q446, "NA")</f>
        <v>NA</v>
      </c>
      <c r="S351" s="14"/>
      <c r="T351" s="12">
        <v>353884.6</v>
      </c>
      <c r="U351" s="13" t="str">
        <f>IFERROR(T351/T446, "NA")</f>
        <v>NA</v>
      </c>
      <c r="V351" s="14"/>
      <c r="W351" s="15">
        <f t="shared" si="103"/>
        <v>53760</v>
      </c>
      <c r="X351" s="13" t="str">
        <f>IFERROR(W351/W446, "NA")</f>
        <v>NA</v>
      </c>
      <c r="Y351" s="14"/>
      <c r="Z351" s="12">
        <v>402688.98</v>
      </c>
      <c r="AA351" s="13" t="str">
        <f>IFERROR(Z351/Z446, "NA")</f>
        <v>NA</v>
      </c>
      <c r="AB351" s="14"/>
      <c r="AC351" s="15">
        <f t="shared" si="104"/>
        <v>102564.38</v>
      </c>
      <c r="AD351" s="13" t="str">
        <f>IFERROR(AC351/AC446, "NA")</f>
        <v>NA</v>
      </c>
    </row>
    <row r="352" ht="16.5" hidden="1" customHeight="1">
      <c r="A352" s="11" t="s">
        <v>324</v>
      </c>
      <c r="B352" s="12">
        <v>0.0</v>
      </c>
      <c r="C352" s="13" t="str">
        <f>IFERROR(B352/B446, "NA")</f>
        <v>NA</v>
      </c>
      <c r="D352" s="14"/>
      <c r="E352" s="12">
        <v>0.0</v>
      </c>
      <c r="F352" s="13" t="str">
        <f>IFERROR(E352/E446, "NA")</f>
        <v>NA</v>
      </c>
      <c r="G352" s="14"/>
      <c r="H352" s="15">
        <f t="shared" si="101"/>
        <v>0</v>
      </c>
      <c r="I352" s="13" t="str">
        <f>IFERROR(H352/H446, "NA")</f>
        <v>NA</v>
      </c>
      <c r="J352" s="14"/>
      <c r="K352" s="12">
        <v>0.0</v>
      </c>
      <c r="L352" s="13" t="str">
        <f>IFERROR(K352/K446, "NA")</f>
        <v>NA</v>
      </c>
      <c r="M352" s="14"/>
      <c r="N352" s="15">
        <f t="shared" si="102"/>
        <v>0</v>
      </c>
      <c r="O352" s="13" t="str">
        <f>IFERROR(N352/N446, "NA")</f>
        <v>NA</v>
      </c>
      <c r="P352" s="14"/>
      <c r="Q352" s="12">
        <v>0.0</v>
      </c>
      <c r="R352" s="13" t="str">
        <f>IFERROR(Q352/Q446, "NA")</f>
        <v>NA</v>
      </c>
      <c r="S352" s="14"/>
      <c r="T352" s="12">
        <v>0.0</v>
      </c>
      <c r="U352" s="13" t="str">
        <f>IFERROR(T352/T446, "NA")</f>
        <v>NA</v>
      </c>
      <c r="V352" s="14"/>
      <c r="W352" s="15">
        <f t="shared" si="103"/>
        <v>0</v>
      </c>
      <c r="X352" s="13" t="str">
        <f>IFERROR(W352/W446, "NA")</f>
        <v>NA</v>
      </c>
      <c r="Y352" s="14"/>
      <c r="Z352" s="12">
        <v>0.0</v>
      </c>
      <c r="AA352" s="13" t="str">
        <f>IFERROR(Z352/Z446, "NA")</f>
        <v>NA</v>
      </c>
      <c r="AB352" s="14"/>
      <c r="AC352" s="15">
        <f t="shared" si="104"/>
        <v>0</v>
      </c>
      <c r="AD352" s="13" t="str">
        <f>IFERROR(AC352/AC446, "NA")</f>
        <v>NA</v>
      </c>
    </row>
    <row r="353" ht="16.5" customHeight="1">
      <c r="A353" s="11" t="s">
        <v>325</v>
      </c>
      <c r="B353" s="12">
        <v>0.0</v>
      </c>
      <c r="C353" s="13" t="str">
        <f>IFERROR(B353/B446, "NA")</f>
        <v>NA</v>
      </c>
      <c r="D353" s="14"/>
      <c r="E353" s="12">
        <v>0.0</v>
      </c>
      <c r="F353" s="13" t="str">
        <f>IFERROR(E353/E446, "NA")</f>
        <v>NA</v>
      </c>
      <c r="G353" s="14"/>
      <c r="H353" s="15">
        <f t="shared" si="101"/>
        <v>0</v>
      </c>
      <c r="I353" s="13" t="str">
        <f>IFERROR(H353/H446, "NA")</f>
        <v>NA</v>
      </c>
      <c r="J353" s="14"/>
      <c r="K353" s="12">
        <v>0.0</v>
      </c>
      <c r="L353" s="13" t="str">
        <f>IFERROR(K353/K446, "NA")</f>
        <v>NA</v>
      </c>
      <c r="M353" s="14"/>
      <c r="N353" s="15">
        <f t="shared" si="102"/>
        <v>0</v>
      </c>
      <c r="O353" s="13" t="str">
        <f>IFERROR(N353/N446, "NA")</f>
        <v>NA</v>
      </c>
      <c r="P353" s="14"/>
      <c r="Q353" s="12">
        <v>0.0</v>
      </c>
      <c r="R353" s="13" t="str">
        <f>IFERROR(Q353/Q446, "NA")</f>
        <v>NA</v>
      </c>
      <c r="S353" s="14"/>
      <c r="T353" s="12">
        <v>5000.0</v>
      </c>
      <c r="U353" s="13" t="str">
        <f>IFERROR(T353/T446, "NA")</f>
        <v>NA</v>
      </c>
      <c r="V353" s="14"/>
      <c r="W353" s="15">
        <f t="shared" si="103"/>
        <v>5000</v>
      </c>
      <c r="X353" s="13" t="str">
        <f>IFERROR(W353/W446, "NA")</f>
        <v>NA</v>
      </c>
      <c r="Y353" s="14"/>
      <c r="Z353" s="12">
        <v>0.0</v>
      </c>
      <c r="AA353" s="13" t="str">
        <f>IFERROR(Z353/Z446, "NA")</f>
        <v>NA</v>
      </c>
      <c r="AB353" s="14"/>
      <c r="AC353" s="15">
        <f t="shared" si="104"/>
        <v>0</v>
      </c>
      <c r="AD353" s="13" t="str">
        <f>IFERROR(AC353/AC446, "NA")</f>
        <v>NA</v>
      </c>
    </row>
    <row r="354" ht="16.5" customHeight="1">
      <c r="A354" s="11" t="s">
        <v>326</v>
      </c>
      <c r="B354" s="12">
        <v>0.0</v>
      </c>
      <c r="C354" s="13" t="str">
        <f>IFERROR(B354/B446, "NA")</f>
        <v>NA</v>
      </c>
      <c r="D354" s="14"/>
      <c r="E354" s="12">
        <v>0.0</v>
      </c>
      <c r="F354" s="13" t="str">
        <f>IFERROR(E354/E446, "NA")</f>
        <v>NA</v>
      </c>
      <c r="G354" s="14"/>
      <c r="H354" s="15">
        <f t="shared" si="101"/>
        <v>0</v>
      </c>
      <c r="I354" s="13" t="str">
        <f>IFERROR(H354/H446, "NA")</f>
        <v>NA</v>
      </c>
      <c r="J354" s="14"/>
      <c r="K354" s="12">
        <v>580.0</v>
      </c>
      <c r="L354" s="13" t="str">
        <f>IFERROR(K354/K446, "NA")</f>
        <v>NA</v>
      </c>
      <c r="M354" s="14"/>
      <c r="N354" s="15">
        <f t="shared" si="102"/>
        <v>580</v>
      </c>
      <c r="O354" s="13" t="str">
        <f>IFERROR(N354/N446, "NA")</f>
        <v>NA</v>
      </c>
      <c r="P354" s="14"/>
      <c r="Q354" s="12">
        <v>0.0</v>
      </c>
      <c r="R354" s="13" t="str">
        <f>IFERROR(Q354/Q446, "NA")</f>
        <v>NA</v>
      </c>
      <c r="S354" s="14"/>
      <c r="T354" s="12">
        <v>0.0</v>
      </c>
      <c r="U354" s="13" t="str">
        <f>IFERROR(T354/T446, "NA")</f>
        <v>NA</v>
      </c>
      <c r="V354" s="14"/>
      <c r="W354" s="15">
        <f t="shared" si="103"/>
        <v>0</v>
      </c>
      <c r="X354" s="13" t="str">
        <f>IFERROR(W354/W446, "NA")</f>
        <v>NA</v>
      </c>
      <c r="Y354" s="14"/>
      <c r="Z354" s="12">
        <v>7499.8</v>
      </c>
      <c r="AA354" s="13" t="str">
        <f>IFERROR(Z354/Z446, "NA")</f>
        <v>NA</v>
      </c>
      <c r="AB354" s="14"/>
      <c r="AC354" s="15">
        <f t="shared" si="104"/>
        <v>7499.8</v>
      </c>
      <c r="AD354" s="13" t="str">
        <f>IFERROR(AC354/AC446, "NA")</f>
        <v>NA</v>
      </c>
    </row>
    <row r="355" ht="16.5" customHeight="1">
      <c r="A355" s="11" t="s">
        <v>327</v>
      </c>
      <c r="B355" s="12">
        <v>2833.67</v>
      </c>
      <c r="C355" s="13" t="str">
        <f>IFERROR(B355/B446, "NA")</f>
        <v>NA</v>
      </c>
      <c r="D355" s="14"/>
      <c r="E355" s="12">
        <v>3594.54</v>
      </c>
      <c r="F355" s="13" t="str">
        <f>IFERROR(E355/E446, "NA")</f>
        <v>NA</v>
      </c>
      <c r="G355" s="14"/>
      <c r="H355" s="15">
        <f t="shared" si="101"/>
        <v>760.87</v>
      </c>
      <c r="I355" s="13" t="str">
        <f>IFERROR(H355/H446, "NA")</f>
        <v>NA</v>
      </c>
      <c r="J355" s="14"/>
      <c r="K355" s="12">
        <v>4215.27</v>
      </c>
      <c r="L355" s="13" t="str">
        <f>IFERROR(K355/K446, "NA")</f>
        <v>NA</v>
      </c>
      <c r="M355" s="14"/>
      <c r="N355" s="15">
        <f t="shared" si="102"/>
        <v>1381.6</v>
      </c>
      <c r="O355" s="13" t="str">
        <f>IFERROR(N355/N446, "NA")</f>
        <v>NA</v>
      </c>
      <c r="P355" s="14"/>
      <c r="Q355" s="12">
        <v>24426.6</v>
      </c>
      <c r="R355" s="13" t="str">
        <f>IFERROR(Q355/Q446, "NA")</f>
        <v>NA</v>
      </c>
      <c r="S355" s="14"/>
      <c r="T355" s="12">
        <v>29372.42</v>
      </c>
      <c r="U355" s="13" t="str">
        <f>IFERROR(T355/T446, "NA")</f>
        <v>NA</v>
      </c>
      <c r="V355" s="14"/>
      <c r="W355" s="15">
        <f t="shared" si="103"/>
        <v>4945.82</v>
      </c>
      <c r="X355" s="13" t="str">
        <f>IFERROR(W355/W446, "NA")</f>
        <v>NA</v>
      </c>
      <c r="Y355" s="14"/>
      <c r="Z355" s="12">
        <v>35602.81</v>
      </c>
      <c r="AA355" s="13" t="str">
        <f>IFERROR(Z355/Z446, "NA")</f>
        <v>NA</v>
      </c>
      <c r="AB355" s="14"/>
      <c r="AC355" s="15">
        <f t="shared" si="104"/>
        <v>11176.21</v>
      </c>
      <c r="AD355" s="13" t="str">
        <f>IFERROR(AC355/AC446, "NA")</f>
        <v>NA</v>
      </c>
    </row>
    <row r="356" ht="16.5" customHeight="1">
      <c r="A356" s="11" t="s">
        <v>328</v>
      </c>
      <c r="B356" s="12">
        <v>135.68</v>
      </c>
      <c r="C356" s="13" t="str">
        <f>IFERROR(B356/B446, "NA")</f>
        <v>NA</v>
      </c>
      <c r="D356" s="14"/>
      <c r="E356" s="12">
        <v>212.0</v>
      </c>
      <c r="F356" s="13" t="str">
        <f>IFERROR(E356/E446, "NA")</f>
        <v>NA</v>
      </c>
      <c r="G356" s="14"/>
      <c r="H356" s="15">
        <f t="shared" si="101"/>
        <v>76.32</v>
      </c>
      <c r="I356" s="13" t="str">
        <f>IFERROR(H356/H446, "NA")</f>
        <v>NA</v>
      </c>
      <c r="J356" s="14"/>
      <c r="K356" s="12">
        <v>212.0</v>
      </c>
      <c r="L356" s="13" t="str">
        <f>IFERROR(K356/K446, "NA")</f>
        <v>NA</v>
      </c>
      <c r="M356" s="14"/>
      <c r="N356" s="15">
        <f t="shared" si="102"/>
        <v>76.32</v>
      </c>
      <c r="O356" s="13" t="str">
        <f>IFERROR(N356/N446, "NA")</f>
        <v>NA</v>
      </c>
      <c r="P356" s="14"/>
      <c r="Q356" s="12">
        <v>1040.91</v>
      </c>
      <c r="R356" s="13" t="str">
        <f>IFERROR(Q356/Q446, "NA")</f>
        <v>NA</v>
      </c>
      <c r="S356" s="14"/>
      <c r="T356" s="12">
        <v>1738.0</v>
      </c>
      <c r="U356" s="13" t="str">
        <f>IFERROR(T356/T446, "NA")</f>
        <v>NA</v>
      </c>
      <c r="V356" s="14"/>
      <c r="W356" s="15">
        <f t="shared" si="103"/>
        <v>697.09</v>
      </c>
      <c r="X356" s="13" t="str">
        <f>IFERROR(W356/W446, "NA")</f>
        <v>NA</v>
      </c>
      <c r="Y356" s="14"/>
      <c r="Z356" s="12">
        <v>1812.6</v>
      </c>
      <c r="AA356" s="13" t="str">
        <f>IFERROR(Z356/Z446, "NA")</f>
        <v>NA</v>
      </c>
      <c r="AB356" s="14"/>
      <c r="AC356" s="15">
        <f t="shared" si="104"/>
        <v>771.69</v>
      </c>
      <c r="AD356" s="13" t="str">
        <f>IFERROR(AC356/AC446, "NA")</f>
        <v>NA</v>
      </c>
    </row>
    <row r="357" ht="16.5" customHeight="1">
      <c r="A357" s="11" t="s">
        <v>329</v>
      </c>
      <c r="B357" s="12">
        <v>0.0</v>
      </c>
      <c r="C357" s="13" t="str">
        <f>IFERROR(B357/B446, "NA")</f>
        <v>NA</v>
      </c>
      <c r="D357" s="14"/>
      <c r="E357" s="12">
        <v>5413.46</v>
      </c>
      <c r="F357" s="13" t="str">
        <f>IFERROR(E357/E446, "NA")</f>
        <v>NA</v>
      </c>
      <c r="G357" s="14"/>
      <c r="H357" s="15">
        <f t="shared" si="101"/>
        <v>5413.46</v>
      </c>
      <c r="I357" s="13" t="str">
        <f>IFERROR(H357/H446, "NA")</f>
        <v>NA</v>
      </c>
      <c r="J357" s="14"/>
      <c r="K357" s="12">
        <v>6187.5</v>
      </c>
      <c r="L357" s="13" t="str">
        <f>IFERROR(K357/K446, "NA")</f>
        <v>NA</v>
      </c>
      <c r="M357" s="14"/>
      <c r="N357" s="15">
        <f t="shared" si="102"/>
        <v>6187.5</v>
      </c>
      <c r="O357" s="13" t="str">
        <f>IFERROR(N357/N446, "NA")</f>
        <v>NA</v>
      </c>
      <c r="P357" s="14"/>
      <c r="Q357" s="12">
        <v>0.0</v>
      </c>
      <c r="R357" s="13" t="str">
        <f>IFERROR(Q357/Q446, "NA")</f>
        <v>NA</v>
      </c>
      <c r="S357" s="14"/>
      <c r="T357" s="12">
        <v>44235.58</v>
      </c>
      <c r="U357" s="13" t="str">
        <f>IFERROR(T357/T446, "NA")</f>
        <v>NA</v>
      </c>
      <c r="V357" s="14"/>
      <c r="W357" s="15">
        <f t="shared" si="103"/>
        <v>44235.58</v>
      </c>
      <c r="X357" s="13" t="str">
        <f>IFERROR(W357/W446, "NA")</f>
        <v>NA</v>
      </c>
      <c r="Y357" s="14"/>
      <c r="Z357" s="12">
        <v>45187.5</v>
      </c>
      <c r="AA357" s="13" t="str">
        <f>IFERROR(Z357/Z446, "NA")</f>
        <v>NA</v>
      </c>
      <c r="AB357" s="14"/>
      <c r="AC357" s="15">
        <f t="shared" si="104"/>
        <v>45187.5</v>
      </c>
      <c r="AD357" s="13" t="str">
        <f>IFERROR(AC357/AC446, "NA")</f>
        <v>NA</v>
      </c>
    </row>
    <row r="358" ht="16.5" customHeight="1">
      <c r="A358" s="11" t="s">
        <v>330</v>
      </c>
      <c r="B358" s="12">
        <v>3665.49</v>
      </c>
      <c r="C358" s="13" t="str">
        <f>IFERROR(B358/B446, "NA")</f>
        <v>NA</v>
      </c>
      <c r="D358" s="14"/>
      <c r="E358" s="12">
        <v>3680.0</v>
      </c>
      <c r="F358" s="13" t="str">
        <f>IFERROR(E358/E446, "NA")</f>
        <v>NA</v>
      </c>
      <c r="G358" s="14"/>
      <c r="H358" s="15">
        <f t="shared" si="101"/>
        <v>14.51</v>
      </c>
      <c r="I358" s="13" t="str">
        <f>IFERROR(H358/H446, "NA")</f>
        <v>NA</v>
      </c>
      <c r="J358" s="14"/>
      <c r="K358" s="12">
        <v>3674.43</v>
      </c>
      <c r="L358" s="13" t="str">
        <f>IFERROR(K358/K446, "NA")</f>
        <v>NA</v>
      </c>
      <c r="M358" s="14"/>
      <c r="N358" s="15">
        <f t="shared" si="102"/>
        <v>8.94</v>
      </c>
      <c r="O358" s="13" t="str">
        <f>IFERROR(N358/N446, "NA")</f>
        <v>NA</v>
      </c>
      <c r="P358" s="14"/>
      <c r="Q358" s="12">
        <v>27115.37</v>
      </c>
      <c r="R358" s="13" t="str">
        <f>IFERROR(Q358/Q446, "NA")</f>
        <v>NA</v>
      </c>
      <c r="S358" s="14"/>
      <c r="T358" s="12">
        <v>29440.0</v>
      </c>
      <c r="U358" s="13" t="str">
        <f>IFERROR(T358/T446, "NA")</f>
        <v>NA</v>
      </c>
      <c r="V358" s="14"/>
      <c r="W358" s="15">
        <f t="shared" si="103"/>
        <v>2324.63</v>
      </c>
      <c r="X358" s="13" t="str">
        <f>IFERROR(W358/W446, "NA")</f>
        <v>NA</v>
      </c>
      <c r="Y358" s="14"/>
      <c r="Z358" s="12">
        <v>28071.36</v>
      </c>
      <c r="AA358" s="13" t="str">
        <f>IFERROR(Z358/Z446, "NA")</f>
        <v>NA</v>
      </c>
      <c r="AB358" s="14"/>
      <c r="AC358" s="15">
        <f t="shared" si="104"/>
        <v>955.99</v>
      </c>
      <c r="AD358" s="13" t="str">
        <f>IFERROR(AC358/AC446, "NA")</f>
        <v>NA</v>
      </c>
    </row>
    <row r="359" ht="16.5" customHeight="1">
      <c r="A359" s="16" t="s">
        <v>331</v>
      </c>
      <c r="B359" s="17">
        <f>IFERROR(B350+B351+B352+B353+B354+B355+B356+B357+B358, "NA")</f>
        <v>41341.27</v>
      </c>
      <c r="C359" s="18" t="str">
        <f>IFERROR(B359/B446, "NA")</f>
        <v>NA</v>
      </c>
      <c r="D359" s="8"/>
      <c r="E359" s="17">
        <f>IFERROR(E350+E351+E352+E353+E354+E355+E356+E357+E358, "NA")</f>
        <v>56207.69</v>
      </c>
      <c r="F359" s="18" t="str">
        <f>IFERROR(E359/E446, "NA")</f>
        <v>NA</v>
      </c>
      <c r="G359" s="8"/>
      <c r="H359" s="17">
        <f t="shared" si="101"/>
        <v>14866.42</v>
      </c>
      <c r="I359" s="18" t="str">
        <f>IFERROR(H359/H446, "NA")</f>
        <v>NA</v>
      </c>
      <c r="J359" s="8"/>
      <c r="K359" s="17">
        <f>IFERROR(K350+K351+K352+K353+K354+K355+K356+K357+K358, "NA")</f>
        <v>61638.36</v>
      </c>
      <c r="L359" s="18" t="str">
        <f>IFERROR(K359/K446, "NA")</f>
        <v>NA</v>
      </c>
      <c r="M359" s="8"/>
      <c r="N359" s="17">
        <f t="shared" si="102"/>
        <v>20297.09</v>
      </c>
      <c r="O359" s="18" t="str">
        <f>IFERROR(N359/N446, "NA")</f>
        <v>NA</v>
      </c>
      <c r="P359" s="8"/>
      <c r="Q359" s="17">
        <f>IFERROR(Q350+Q351+Q352+Q353+Q354+Q355+Q356+Q357+Q358, "NA")</f>
        <v>352707.48</v>
      </c>
      <c r="R359" s="18" t="str">
        <f>IFERROR(Q359/Q446, "NA")</f>
        <v>NA</v>
      </c>
      <c r="S359" s="8"/>
      <c r="T359" s="17">
        <f>IFERROR(T350+T351+T352+T353+T354+T355+T356+T357+T358, "NA")</f>
        <v>463670.6</v>
      </c>
      <c r="U359" s="18" t="str">
        <f>IFERROR(T359/T446, "NA")</f>
        <v>NA</v>
      </c>
      <c r="V359" s="8"/>
      <c r="W359" s="17">
        <f t="shared" si="103"/>
        <v>110963.12</v>
      </c>
      <c r="X359" s="18" t="str">
        <f>IFERROR(W359/W446, "NA")</f>
        <v>NA</v>
      </c>
      <c r="Y359" s="8"/>
      <c r="Z359" s="17">
        <f>IFERROR(Z350+Z351+Z352+Z353+Z354+Z355+Z356+Z357+Z358, "NA")</f>
        <v>520863.05</v>
      </c>
      <c r="AA359" s="18" t="str">
        <f>IFERROR(Z359/Z446, "NA")</f>
        <v>NA</v>
      </c>
      <c r="AB359" s="8"/>
      <c r="AC359" s="17">
        <f t="shared" si="104"/>
        <v>168155.57</v>
      </c>
      <c r="AD359" s="18" t="str">
        <f>IFERROR(AC359/AC446, "NA")</f>
        <v>NA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 t="str">
        <f>IFERROR(B361/B446, "NA")</f>
        <v>NA</v>
      </c>
      <c r="D361" s="14"/>
      <c r="E361" s="12">
        <v>0.0</v>
      </c>
      <c r="F361" s="13" t="str">
        <f>IFERROR(E361/E446, "NA")</f>
        <v>NA</v>
      </c>
      <c r="G361" s="14"/>
      <c r="H361" s="15">
        <f t="shared" ref="H361:H384" si="105">IFERROR(-(B361-E361), "NA")</f>
        <v>0</v>
      </c>
      <c r="I361" s="13" t="str">
        <f>IFERROR(H361/H446, "NA")</f>
        <v>NA</v>
      </c>
      <c r="J361" s="14"/>
      <c r="K361" s="12">
        <v>0.0</v>
      </c>
      <c r="L361" s="13" t="str">
        <f>IFERROR(K361/K446, "NA")</f>
        <v>NA</v>
      </c>
      <c r="M361" s="14"/>
      <c r="N361" s="15">
        <f t="shared" ref="N361:N384" si="106">IFERROR(-(B361-K361), "NA")</f>
        <v>0</v>
      </c>
      <c r="O361" s="13" t="str">
        <f>IFERROR(N361/N446, "NA")</f>
        <v>NA</v>
      </c>
      <c r="P361" s="14"/>
      <c r="Q361" s="12">
        <v>0.0</v>
      </c>
      <c r="R361" s="13" t="str">
        <f>IFERROR(Q361/Q446, "NA")</f>
        <v>NA</v>
      </c>
      <c r="S361" s="14"/>
      <c r="T361" s="12">
        <v>0.0</v>
      </c>
      <c r="U361" s="13" t="str">
        <f>IFERROR(T361/T446, "NA")</f>
        <v>NA</v>
      </c>
      <c r="V361" s="14"/>
      <c r="W361" s="15">
        <f t="shared" ref="W361:W384" si="107">IFERROR(-(Q361-T361), "NA")</f>
        <v>0</v>
      </c>
      <c r="X361" s="13" t="str">
        <f>IFERROR(W361/W446, "NA")</f>
        <v>NA</v>
      </c>
      <c r="Y361" s="14"/>
      <c r="Z361" s="12">
        <v>0.0</v>
      </c>
      <c r="AA361" s="13" t="str">
        <f>IFERROR(Z361/Z446, "NA")</f>
        <v>NA</v>
      </c>
      <c r="AB361" s="14"/>
      <c r="AC361" s="15">
        <f t="shared" ref="AC361:AC384" si="108">IFERROR(-(Q361-Z361), "NA")</f>
        <v>0</v>
      </c>
      <c r="AD361" s="13" t="str">
        <f>IFERROR(AC361/AC446, "NA")</f>
        <v>NA</v>
      </c>
    </row>
    <row r="362" ht="16.5" hidden="1" customHeight="1">
      <c r="A362" s="11" t="s">
        <v>333</v>
      </c>
      <c r="B362" s="12">
        <v>0.0</v>
      </c>
      <c r="C362" s="13" t="str">
        <f>IFERROR(B362/B446, "NA")</f>
        <v>NA</v>
      </c>
      <c r="D362" s="14"/>
      <c r="E362" s="12">
        <v>0.0</v>
      </c>
      <c r="F362" s="13" t="str">
        <f>IFERROR(E362/E446, "NA")</f>
        <v>NA</v>
      </c>
      <c r="G362" s="14"/>
      <c r="H362" s="15">
        <f t="shared" si="105"/>
        <v>0</v>
      </c>
      <c r="I362" s="13" t="str">
        <f>IFERROR(H362/H446, "NA")</f>
        <v>NA</v>
      </c>
      <c r="J362" s="14"/>
      <c r="K362" s="12">
        <v>0.0</v>
      </c>
      <c r="L362" s="13" t="str">
        <f>IFERROR(K362/K446, "NA")</f>
        <v>NA</v>
      </c>
      <c r="M362" s="14"/>
      <c r="N362" s="15">
        <f t="shared" si="106"/>
        <v>0</v>
      </c>
      <c r="O362" s="13" t="str">
        <f>IFERROR(N362/N446, "NA")</f>
        <v>NA</v>
      </c>
      <c r="P362" s="14"/>
      <c r="Q362" s="12">
        <v>0.0</v>
      </c>
      <c r="R362" s="13" t="str">
        <f>IFERROR(Q362/Q446, "NA")</f>
        <v>NA</v>
      </c>
      <c r="S362" s="14"/>
      <c r="T362" s="12">
        <v>0.0</v>
      </c>
      <c r="U362" s="13" t="str">
        <f>IFERROR(T362/T446, "NA")</f>
        <v>NA</v>
      </c>
      <c r="V362" s="14"/>
      <c r="W362" s="15">
        <f t="shared" si="107"/>
        <v>0</v>
      </c>
      <c r="X362" s="13" t="str">
        <f>IFERROR(W362/W446, "NA")</f>
        <v>NA</v>
      </c>
      <c r="Y362" s="14"/>
      <c r="Z362" s="12">
        <v>0.0</v>
      </c>
      <c r="AA362" s="13" t="str">
        <f>IFERROR(Z362/Z446, "NA")</f>
        <v>NA</v>
      </c>
      <c r="AB362" s="14"/>
      <c r="AC362" s="15">
        <f t="shared" si="108"/>
        <v>0</v>
      </c>
      <c r="AD362" s="13" t="str">
        <f>IFERROR(AC362/AC446, "NA")</f>
        <v>NA</v>
      </c>
    </row>
    <row r="363" ht="16.5" customHeight="1">
      <c r="A363" s="11" t="s">
        <v>334</v>
      </c>
      <c r="B363" s="12">
        <v>145.85</v>
      </c>
      <c r="C363" s="13" t="str">
        <f>IFERROR(B363/B446, "NA")</f>
        <v>NA</v>
      </c>
      <c r="D363" s="14"/>
      <c r="E363" s="12">
        <v>864.0</v>
      </c>
      <c r="F363" s="13" t="str">
        <f>IFERROR(E363/E446, "NA")</f>
        <v>NA</v>
      </c>
      <c r="G363" s="14"/>
      <c r="H363" s="15">
        <f t="shared" si="105"/>
        <v>718.15</v>
      </c>
      <c r="I363" s="13" t="str">
        <f>IFERROR(H363/H446, "NA")</f>
        <v>NA</v>
      </c>
      <c r="J363" s="14"/>
      <c r="K363" s="12">
        <v>741.3</v>
      </c>
      <c r="L363" s="13" t="str">
        <f>IFERROR(K363/K446, "NA")</f>
        <v>NA</v>
      </c>
      <c r="M363" s="14"/>
      <c r="N363" s="15">
        <f t="shared" si="106"/>
        <v>595.45</v>
      </c>
      <c r="O363" s="13" t="str">
        <f>IFERROR(N363/N446, "NA")</f>
        <v>NA</v>
      </c>
      <c r="P363" s="14"/>
      <c r="Q363" s="12">
        <v>2232.92</v>
      </c>
      <c r="R363" s="13" t="str">
        <f>IFERROR(Q363/Q446, "NA")</f>
        <v>NA</v>
      </c>
      <c r="S363" s="14"/>
      <c r="T363" s="12">
        <v>7344.0</v>
      </c>
      <c r="U363" s="13" t="str">
        <f>IFERROR(T363/T446, "NA")</f>
        <v>NA</v>
      </c>
      <c r="V363" s="14"/>
      <c r="W363" s="15">
        <f t="shared" si="107"/>
        <v>5111.08</v>
      </c>
      <c r="X363" s="13" t="str">
        <f>IFERROR(W363/W446, "NA")</f>
        <v>NA</v>
      </c>
      <c r="Y363" s="14"/>
      <c r="Z363" s="12">
        <v>6182.1</v>
      </c>
      <c r="AA363" s="13" t="str">
        <f>IFERROR(Z363/Z446, "NA")</f>
        <v>NA</v>
      </c>
      <c r="AB363" s="14"/>
      <c r="AC363" s="15">
        <f t="shared" si="108"/>
        <v>3949.18</v>
      </c>
      <c r="AD363" s="13" t="str">
        <f>IFERROR(AC363/AC446, "NA")</f>
        <v>NA</v>
      </c>
    </row>
    <row r="364" ht="16.5" customHeight="1">
      <c r="A364" s="11" t="s">
        <v>335</v>
      </c>
      <c r="B364" s="12">
        <v>892.03</v>
      </c>
      <c r="C364" s="13" t="str">
        <f>IFERROR(B364/B446, "NA")</f>
        <v>NA</v>
      </c>
      <c r="D364" s="14"/>
      <c r="E364" s="12">
        <v>150.0</v>
      </c>
      <c r="F364" s="13" t="str">
        <f>IFERROR(E364/E446, "NA")</f>
        <v>NA</v>
      </c>
      <c r="G364" s="14"/>
      <c r="H364" s="15">
        <f t="shared" si="105"/>
        <v>-742.03</v>
      </c>
      <c r="I364" s="13" t="str">
        <f>IFERROR(H364/H446, "NA")</f>
        <v>NA</v>
      </c>
      <c r="J364" s="14"/>
      <c r="K364" s="12">
        <v>778.59</v>
      </c>
      <c r="L364" s="13" t="str">
        <f>IFERROR(K364/K446, "NA")</f>
        <v>NA</v>
      </c>
      <c r="M364" s="14"/>
      <c r="N364" s="15">
        <f t="shared" si="106"/>
        <v>-113.44</v>
      </c>
      <c r="O364" s="13" t="str">
        <f>IFERROR(N364/N446, "NA")</f>
        <v>NA</v>
      </c>
      <c r="P364" s="14"/>
      <c r="Q364" s="12">
        <v>7846.92</v>
      </c>
      <c r="R364" s="13" t="str">
        <f>IFERROR(Q364/Q446, "NA")</f>
        <v>NA</v>
      </c>
      <c r="S364" s="14"/>
      <c r="T364" s="12">
        <v>1350.0</v>
      </c>
      <c r="U364" s="13" t="str">
        <f>IFERROR(T364/T446, "NA")</f>
        <v>NA</v>
      </c>
      <c r="V364" s="14"/>
      <c r="W364" s="15">
        <f t="shared" si="107"/>
        <v>-6496.92</v>
      </c>
      <c r="X364" s="13" t="str">
        <f>IFERROR(W364/W446, "NA")</f>
        <v>NA</v>
      </c>
      <c r="Y364" s="14"/>
      <c r="Z364" s="12">
        <v>7129.2</v>
      </c>
      <c r="AA364" s="13" t="str">
        <f>IFERROR(Z364/Z446, "NA")</f>
        <v>NA</v>
      </c>
      <c r="AB364" s="14"/>
      <c r="AC364" s="15">
        <f t="shared" si="108"/>
        <v>-717.72</v>
      </c>
      <c r="AD364" s="13" t="str">
        <f>IFERROR(AC364/AC446, "NA")</f>
        <v>NA</v>
      </c>
    </row>
    <row r="365" ht="16.5" customHeight="1">
      <c r="A365" s="11" t="s">
        <v>336</v>
      </c>
      <c r="B365" s="12">
        <v>218.59</v>
      </c>
      <c r="C365" s="13" t="str">
        <f>IFERROR(B365/B446, "NA")</f>
        <v>NA</v>
      </c>
      <c r="D365" s="14"/>
      <c r="E365" s="12">
        <v>500.0</v>
      </c>
      <c r="F365" s="13" t="str">
        <f>IFERROR(E365/E446, "NA")</f>
        <v>NA</v>
      </c>
      <c r="G365" s="14"/>
      <c r="H365" s="15">
        <f t="shared" si="105"/>
        <v>281.41</v>
      </c>
      <c r="I365" s="13" t="str">
        <f>IFERROR(H365/H446, "NA")</f>
        <v>NA</v>
      </c>
      <c r="J365" s="14"/>
      <c r="K365" s="12">
        <v>551.02</v>
      </c>
      <c r="L365" s="13" t="str">
        <f>IFERROR(K365/K446, "NA")</f>
        <v>NA</v>
      </c>
      <c r="M365" s="14"/>
      <c r="N365" s="15">
        <f t="shared" si="106"/>
        <v>332.43</v>
      </c>
      <c r="O365" s="13" t="str">
        <f>IFERROR(N365/N446, "NA")</f>
        <v>NA</v>
      </c>
      <c r="P365" s="14"/>
      <c r="Q365" s="12">
        <v>1501.8</v>
      </c>
      <c r="R365" s="13" t="str">
        <f>IFERROR(Q365/Q446, "NA")</f>
        <v>NA</v>
      </c>
      <c r="S365" s="14"/>
      <c r="T365" s="12">
        <v>4650.0</v>
      </c>
      <c r="U365" s="13" t="str">
        <f>IFERROR(T365/T446, "NA")</f>
        <v>NA</v>
      </c>
      <c r="V365" s="14"/>
      <c r="W365" s="15">
        <f t="shared" si="107"/>
        <v>3148.2</v>
      </c>
      <c r="X365" s="13" t="str">
        <f>IFERROR(W365/W446, "NA")</f>
        <v>NA</v>
      </c>
      <c r="Y365" s="14"/>
      <c r="Z365" s="12">
        <v>5433.32</v>
      </c>
      <c r="AA365" s="13" t="str">
        <f>IFERROR(Z365/Z446, "NA")</f>
        <v>NA</v>
      </c>
      <c r="AB365" s="14"/>
      <c r="AC365" s="15">
        <f t="shared" si="108"/>
        <v>3931.52</v>
      </c>
      <c r="AD365" s="13" t="str">
        <f>IFERROR(AC365/AC446, "NA")</f>
        <v>NA</v>
      </c>
    </row>
    <row r="366" ht="16.5" customHeight="1">
      <c r="A366" s="11" t="s">
        <v>337</v>
      </c>
      <c r="B366" s="12">
        <v>0.0</v>
      </c>
      <c r="C366" s="13" t="str">
        <f>IFERROR(B366/B446, "NA")</f>
        <v>NA</v>
      </c>
      <c r="D366" s="14"/>
      <c r="E366" s="12">
        <v>675.0</v>
      </c>
      <c r="F366" s="13" t="str">
        <f>IFERROR(E366/E446, "NA")</f>
        <v>NA</v>
      </c>
      <c r="G366" s="14"/>
      <c r="H366" s="15">
        <f t="shared" si="105"/>
        <v>675</v>
      </c>
      <c r="I366" s="13" t="str">
        <f>IFERROR(H366/H446, "NA")</f>
        <v>NA</v>
      </c>
      <c r="J366" s="14"/>
      <c r="K366" s="12">
        <v>172.26</v>
      </c>
      <c r="L366" s="13" t="str">
        <f>IFERROR(K366/K446, "NA")</f>
        <v>NA</v>
      </c>
      <c r="M366" s="14"/>
      <c r="N366" s="15">
        <f t="shared" si="106"/>
        <v>172.26</v>
      </c>
      <c r="O366" s="13" t="str">
        <f>IFERROR(N366/N446, "NA")</f>
        <v>NA</v>
      </c>
      <c r="P366" s="14"/>
      <c r="Q366" s="12">
        <v>4516.58</v>
      </c>
      <c r="R366" s="13" t="str">
        <f>IFERROR(Q366/Q446, "NA")</f>
        <v>NA</v>
      </c>
      <c r="S366" s="14"/>
      <c r="T366" s="12">
        <v>6075.0</v>
      </c>
      <c r="U366" s="13" t="str">
        <f>IFERROR(T366/T446, "NA")</f>
        <v>NA</v>
      </c>
      <c r="V366" s="14"/>
      <c r="W366" s="15">
        <f t="shared" si="107"/>
        <v>1558.42</v>
      </c>
      <c r="X366" s="13" t="str">
        <f>IFERROR(W366/W446, "NA")</f>
        <v>NA</v>
      </c>
      <c r="Y366" s="14"/>
      <c r="Z366" s="12">
        <v>4530.64</v>
      </c>
      <c r="AA366" s="13" t="str">
        <f>IFERROR(Z366/Z446, "NA")</f>
        <v>NA</v>
      </c>
      <c r="AB366" s="14"/>
      <c r="AC366" s="15">
        <f t="shared" si="108"/>
        <v>14.06</v>
      </c>
      <c r="AD366" s="13" t="str">
        <f>IFERROR(AC366/AC446, "NA")</f>
        <v>NA</v>
      </c>
    </row>
    <row r="367" ht="16.5" customHeight="1">
      <c r="A367" s="11" t="s">
        <v>338</v>
      </c>
      <c r="B367" s="12">
        <v>0.0</v>
      </c>
      <c r="C367" s="13" t="str">
        <f>IFERROR(B367/B446, "NA")</f>
        <v>NA</v>
      </c>
      <c r="D367" s="14"/>
      <c r="E367" s="12">
        <v>450.0</v>
      </c>
      <c r="F367" s="13" t="str">
        <f>IFERROR(E367/E446, "NA")</f>
        <v>NA</v>
      </c>
      <c r="G367" s="14"/>
      <c r="H367" s="15">
        <f t="shared" si="105"/>
        <v>450</v>
      </c>
      <c r="I367" s="13" t="str">
        <f>IFERROR(H367/H446, "NA")</f>
        <v>NA</v>
      </c>
      <c r="J367" s="14"/>
      <c r="K367" s="12">
        <v>1016.96</v>
      </c>
      <c r="L367" s="13" t="str">
        <f>IFERROR(K367/K446, "NA")</f>
        <v>NA</v>
      </c>
      <c r="M367" s="14"/>
      <c r="N367" s="15">
        <f t="shared" si="106"/>
        <v>1016.96</v>
      </c>
      <c r="O367" s="13" t="str">
        <f>IFERROR(N367/N446, "NA")</f>
        <v>NA</v>
      </c>
      <c r="P367" s="14"/>
      <c r="Q367" s="12">
        <v>2844.82</v>
      </c>
      <c r="R367" s="13" t="str">
        <f>IFERROR(Q367/Q446, "NA")</f>
        <v>NA</v>
      </c>
      <c r="S367" s="14"/>
      <c r="T367" s="12">
        <v>3150.0</v>
      </c>
      <c r="U367" s="13" t="str">
        <f>IFERROR(T367/T446, "NA")</f>
        <v>NA</v>
      </c>
      <c r="V367" s="14"/>
      <c r="W367" s="15">
        <f t="shared" si="107"/>
        <v>305.18</v>
      </c>
      <c r="X367" s="13" t="str">
        <f>IFERROR(W367/W446, "NA")</f>
        <v>NA</v>
      </c>
      <c r="Y367" s="14"/>
      <c r="Z367" s="12">
        <v>3885.47</v>
      </c>
      <c r="AA367" s="13" t="str">
        <f>IFERROR(Z367/Z446, "NA")</f>
        <v>NA</v>
      </c>
      <c r="AB367" s="14"/>
      <c r="AC367" s="15">
        <f t="shared" si="108"/>
        <v>1040.65</v>
      </c>
      <c r="AD367" s="13" t="str">
        <f>IFERROR(AC367/AC446, "NA")</f>
        <v>NA</v>
      </c>
    </row>
    <row r="368" ht="16.5" customHeight="1">
      <c r="A368" s="11" t="s">
        <v>339</v>
      </c>
      <c r="B368" s="12">
        <v>0.0</v>
      </c>
      <c r="C368" s="13" t="str">
        <f>IFERROR(B368/B446, "NA")</f>
        <v>NA</v>
      </c>
      <c r="D368" s="14"/>
      <c r="E368" s="12">
        <v>0.0</v>
      </c>
      <c r="F368" s="13" t="str">
        <f>IFERROR(E368/E446, "NA")</f>
        <v>NA</v>
      </c>
      <c r="G368" s="14"/>
      <c r="H368" s="15">
        <f t="shared" si="105"/>
        <v>0</v>
      </c>
      <c r="I368" s="13" t="str">
        <f>IFERROR(H368/H446, "NA")</f>
        <v>NA</v>
      </c>
      <c r="J368" s="14"/>
      <c r="K368" s="12">
        <v>1765.71</v>
      </c>
      <c r="L368" s="13" t="str">
        <f>IFERROR(K368/K446, "NA")</f>
        <v>NA</v>
      </c>
      <c r="M368" s="14"/>
      <c r="N368" s="15">
        <f t="shared" si="106"/>
        <v>1765.71</v>
      </c>
      <c r="O368" s="13" t="str">
        <f>IFERROR(N368/N446, "NA")</f>
        <v>NA</v>
      </c>
      <c r="P368" s="14"/>
      <c r="Q368" s="12">
        <v>8955.18</v>
      </c>
      <c r="R368" s="13" t="str">
        <f>IFERROR(Q368/Q446, "NA")</f>
        <v>NA</v>
      </c>
      <c r="S368" s="14"/>
      <c r="T368" s="12">
        <v>0.0</v>
      </c>
      <c r="U368" s="13" t="str">
        <f>IFERROR(T368/T446, "NA")</f>
        <v>NA</v>
      </c>
      <c r="V368" s="14"/>
      <c r="W368" s="15">
        <f t="shared" si="107"/>
        <v>-8955.18</v>
      </c>
      <c r="X368" s="13" t="str">
        <f>IFERROR(W368/W446, "NA")</f>
        <v>NA</v>
      </c>
      <c r="Y368" s="14"/>
      <c r="Z368" s="12">
        <v>8539.77</v>
      </c>
      <c r="AA368" s="13" t="str">
        <f>IFERROR(Z368/Z446, "NA")</f>
        <v>NA</v>
      </c>
      <c r="AB368" s="14"/>
      <c r="AC368" s="15">
        <f t="shared" si="108"/>
        <v>-415.41</v>
      </c>
      <c r="AD368" s="13" t="str">
        <f>IFERROR(AC368/AC446, "NA")</f>
        <v>NA</v>
      </c>
    </row>
    <row r="369" ht="16.5" customHeight="1">
      <c r="A369" s="16" t="s">
        <v>340</v>
      </c>
      <c r="B369" s="17">
        <f>IFERROR(B361+B362+B363+B364+B365+B366+B367+B368, "NA")</f>
        <v>1256.47</v>
      </c>
      <c r="C369" s="18" t="str">
        <f>IFERROR(B369/B446, "NA")</f>
        <v>NA</v>
      </c>
      <c r="D369" s="8"/>
      <c r="E369" s="17">
        <f>IFERROR(E361+E362+E363+E364+E365+E366+E367+E368, "NA")</f>
        <v>2639</v>
      </c>
      <c r="F369" s="18" t="str">
        <f>IFERROR(E369/E446, "NA")</f>
        <v>NA</v>
      </c>
      <c r="G369" s="8"/>
      <c r="H369" s="17">
        <f t="shared" si="105"/>
        <v>1382.53</v>
      </c>
      <c r="I369" s="18" t="str">
        <f>IFERROR(H369/H446, "NA")</f>
        <v>NA</v>
      </c>
      <c r="J369" s="8"/>
      <c r="K369" s="17">
        <f>IFERROR(K361+K362+K363+K364+K365+K366+K367+K368, "NA")</f>
        <v>5025.84</v>
      </c>
      <c r="L369" s="18" t="str">
        <f>IFERROR(K369/K446, "NA")</f>
        <v>NA</v>
      </c>
      <c r="M369" s="8"/>
      <c r="N369" s="17">
        <f t="shared" si="106"/>
        <v>3769.37</v>
      </c>
      <c r="O369" s="18" t="str">
        <f>IFERROR(N369/N446, "NA")</f>
        <v>NA</v>
      </c>
      <c r="P369" s="8"/>
      <c r="Q369" s="17">
        <f>IFERROR(Q361+Q362+Q363+Q364+Q365+Q366+Q367+Q368, "NA")</f>
        <v>27898.22</v>
      </c>
      <c r="R369" s="18" t="str">
        <f>IFERROR(Q369/Q446, "NA")</f>
        <v>NA</v>
      </c>
      <c r="S369" s="8"/>
      <c r="T369" s="17">
        <f>IFERROR(T361+T362+T363+T364+T365+T366+T367+T368, "NA")</f>
        <v>22569</v>
      </c>
      <c r="U369" s="18" t="str">
        <f>IFERROR(T369/T446, "NA")</f>
        <v>NA</v>
      </c>
      <c r="V369" s="8"/>
      <c r="W369" s="17">
        <f t="shared" si="107"/>
        <v>-5329.22</v>
      </c>
      <c r="X369" s="18" t="str">
        <f>IFERROR(W369/W446, "NA")</f>
        <v>NA</v>
      </c>
      <c r="Y369" s="8"/>
      <c r="Z369" s="17">
        <f>IFERROR(Z361+Z362+Z363+Z364+Z365+Z366+Z367+Z368, "NA")</f>
        <v>35700.5</v>
      </c>
      <c r="AA369" s="18" t="str">
        <f>IFERROR(Z369/Z446, "NA")</f>
        <v>NA</v>
      </c>
      <c r="AB369" s="8"/>
      <c r="AC369" s="17">
        <f t="shared" si="108"/>
        <v>7802.28</v>
      </c>
      <c r="AD369" s="18" t="str">
        <f>IFERROR(AC369/AC446, "NA")</f>
        <v>NA</v>
      </c>
    </row>
    <row r="370" ht="16.5" hidden="1" customHeight="1">
      <c r="A370" s="11" t="s">
        <v>341</v>
      </c>
      <c r="B370" s="12">
        <v>0.0</v>
      </c>
      <c r="C370" s="13" t="str">
        <f>IFERROR(B370/B446, "NA")</f>
        <v>NA</v>
      </c>
      <c r="D370" s="14"/>
      <c r="E370" s="12">
        <v>0.0</v>
      </c>
      <c r="F370" s="13" t="str">
        <f>IFERROR(E370/E446, "NA")</f>
        <v>NA</v>
      </c>
      <c r="G370" s="14"/>
      <c r="H370" s="15">
        <f t="shared" si="105"/>
        <v>0</v>
      </c>
      <c r="I370" s="13" t="str">
        <f>IFERROR(H370/H446, "NA")</f>
        <v>NA</v>
      </c>
      <c r="J370" s="14"/>
      <c r="K370" s="12">
        <v>0.0</v>
      </c>
      <c r="L370" s="13" t="str">
        <f>IFERROR(K370/K446, "NA")</f>
        <v>NA</v>
      </c>
      <c r="M370" s="14"/>
      <c r="N370" s="15">
        <f t="shared" si="106"/>
        <v>0</v>
      </c>
      <c r="O370" s="13" t="str">
        <f>IFERROR(N370/N446, "NA")</f>
        <v>NA</v>
      </c>
      <c r="P370" s="14"/>
      <c r="Q370" s="12">
        <v>0.0</v>
      </c>
      <c r="R370" s="13" t="str">
        <f>IFERROR(Q370/Q446, "NA")</f>
        <v>NA</v>
      </c>
      <c r="S370" s="14"/>
      <c r="T370" s="12">
        <v>0.0</v>
      </c>
      <c r="U370" s="13" t="str">
        <f>IFERROR(T370/T446, "NA")</f>
        <v>NA</v>
      </c>
      <c r="V370" s="14"/>
      <c r="W370" s="15">
        <f t="shared" si="107"/>
        <v>0</v>
      </c>
      <c r="X370" s="13" t="str">
        <f>IFERROR(W370/W446, "NA")</f>
        <v>NA</v>
      </c>
      <c r="Y370" s="14"/>
      <c r="Z370" s="12">
        <v>0.0</v>
      </c>
      <c r="AA370" s="13" t="str">
        <f>IFERROR(Z370/Z446, "NA")</f>
        <v>NA</v>
      </c>
      <c r="AB370" s="14"/>
      <c r="AC370" s="15">
        <f t="shared" si="108"/>
        <v>0</v>
      </c>
      <c r="AD370" s="13" t="str">
        <f>IFERROR(AC370/AC446, "NA")</f>
        <v>NA</v>
      </c>
    </row>
    <row r="371" ht="16.5" customHeight="1">
      <c r="A371" s="11" t="s">
        <v>342</v>
      </c>
      <c r="B371" s="12">
        <v>110.71</v>
      </c>
      <c r="C371" s="13" t="str">
        <f>IFERROR(B371/B446, "NA")</f>
        <v>NA</v>
      </c>
      <c r="D371" s="14"/>
      <c r="E371" s="12">
        <v>100.0</v>
      </c>
      <c r="F371" s="13" t="str">
        <f>IFERROR(E371/E446, "NA")</f>
        <v>NA</v>
      </c>
      <c r="G371" s="14"/>
      <c r="H371" s="15">
        <f t="shared" si="105"/>
        <v>-10.71</v>
      </c>
      <c r="I371" s="13" t="str">
        <f>IFERROR(H371/H446, "NA")</f>
        <v>NA</v>
      </c>
      <c r="J371" s="14"/>
      <c r="K371" s="12">
        <v>177.35</v>
      </c>
      <c r="L371" s="13" t="str">
        <f>IFERROR(K371/K446, "NA")</f>
        <v>NA</v>
      </c>
      <c r="M371" s="14"/>
      <c r="N371" s="15">
        <f t="shared" si="106"/>
        <v>66.64</v>
      </c>
      <c r="O371" s="13" t="str">
        <f>IFERROR(N371/N446, "NA")</f>
        <v>NA</v>
      </c>
      <c r="P371" s="14"/>
      <c r="Q371" s="12">
        <v>889.08</v>
      </c>
      <c r="R371" s="13" t="str">
        <f>IFERROR(Q371/Q446, "NA")</f>
        <v>NA</v>
      </c>
      <c r="S371" s="14"/>
      <c r="T371" s="12">
        <v>1700.0</v>
      </c>
      <c r="U371" s="13" t="str">
        <f>IFERROR(T371/T446, "NA")</f>
        <v>NA</v>
      </c>
      <c r="V371" s="14"/>
      <c r="W371" s="15">
        <f t="shared" si="107"/>
        <v>810.92</v>
      </c>
      <c r="X371" s="13" t="str">
        <f>IFERROR(W371/W446, "NA")</f>
        <v>NA</v>
      </c>
      <c r="Y371" s="14"/>
      <c r="Z371" s="12">
        <v>1807.35</v>
      </c>
      <c r="AA371" s="13" t="str">
        <f>IFERROR(Z371/Z446, "NA")</f>
        <v>NA</v>
      </c>
      <c r="AB371" s="14"/>
      <c r="AC371" s="15">
        <f t="shared" si="108"/>
        <v>918.27</v>
      </c>
      <c r="AD371" s="13" t="str">
        <f>IFERROR(AC371/AC446, "NA")</f>
        <v>NA</v>
      </c>
    </row>
    <row r="372" ht="16.5" customHeight="1">
      <c r="A372" s="11" t="s">
        <v>343</v>
      </c>
      <c r="B372" s="12">
        <v>281.29</v>
      </c>
      <c r="C372" s="13" t="str">
        <f>IFERROR(B372/B446, "NA")</f>
        <v>NA</v>
      </c>
      <c r="D372" s="14"/>
      <c r="E372" s="12">
        <v>125.0</v>
      </c>
      <c r="F372" s="13" t="str">
        <f>IFERROR(E372/E446, "NA")</f>
        <v>NA</v>
      </c>
      <c r="G372" s="14"/>
      <c r="H372" s="15">
        <f t="shared" si="105"/>
        <v>-156.29</v>
      </c>
      <c r="I372" s="13" t="str">
        <f>IFERROR(H372/H446, "NA")</f>
        <v>NA</v>
      </c>
      <c r="J372" s="14"/>
      <c r="K372" s="12">
        <v>296.8</v>
      </c>
      <c r="L372" s="13" t="str">
        <f>IFERROR(K372/K446, "NA")</f>
        <v>NA</v>
      </c>
      <c r="M372" s="14"/>
      <c r="N372" s="15">
        <f t="shared" si="106"/>
        <v>15.51</v>
      </c>
      <c r="O372" s="13" t="str">
        <f>IFERROR(N372/N446, "NA")</f>
        <v>NA</v>
      </c>
      <c r="P372" s="14"/>
      <c r="Q372" s="12">
        <v>3154.9</v>
      </c>
      <c r="R372" s="13" t="str">
        <f>IFERROR(Q372/Q446, "NA")</f>
        <v>NA</v>
      </c>
      <c r="S372" s="14"/>
      <c r="T372" s="12">
        <v>1000.0</v>
      </c>
      <c r="U372" s="13" t="str">
        <f>IFERROR(T372/T446, "NA")</f>
        <v>NA</v>
      </c>
      <c r="V372" s="14"/>
      <c r="W372" s="15">
        <f t="shared" si="107"/>
        <v>-2154.9</v>
      </c>
      <c r="X372" s="13" t="str">
        <f>IFERROR(W372/W446, "NA")</f>
        <v>NA</v>
      </c>
      <c r="Y372" s="14"/>
      <c r="Z372" s="12">
        <v>4446.48</v>
      </c>
      <c r="AA372" s="13" t="str">
        <f>IFERROR(Z372/Z446, "NA")</f>
        <v>NA</v>
      </c>
      <c r="AB372" s="14"/>
      <c r="AC372" s="15">
        <f t="shared" si="108"/>
        <v>1291.58</v>
      </c>
      <c r="AD372" s="13" t="str">
        <f>IFERROR(AC372/AC446, "NA")</f>
        <v>NA</v>
      </c>
    </row>
    <row r="373" ht="16.5" customHeight="1">
      <c r="A373" s="11" t="s">
        <v>344</v>
      </c>
      <c r="B373" s="12">
        <v>781.8</v>
      </c>
      <c r="C373" s="13" t="str">
        <f>IFERROR(B373/B446, "NA")</f>
        <v>NA</v>
      </c>
      <c r="D373" s="14"/>
      <c r="E373" s="12">
        <v>0.0</v>
      </c>
      <c r="F373" s="13" t="str">
        <f>IFERROR(E373/E446, "NA")</f>
        <v>NA</v>
      </c>
      <c r="G373" s="14"/>
      <c r="H373" s="15">
        <f t="shared" si="105"/>
        <v>-781.8</v>
      </c>
      <c r="I373" s="13" t="str">
        <f>IFERROR(H373/H446, "NA")</f>
        <v>NA</v>
      </c>
      <c r="J373" s="14"/>
      <c r="K373" s="12">
        <v>297.17</v>
      </c>
      <c r="L373" s="13" t="str">
        <f>IFERROR(K373/K446, "NA")</f>
        <v>NA</v>
      </c>
      <c r="M373" s="14"/>
      <c r="N373" s="15">
        <f t="shared" si="106"/>
        <v>-484.63</v>
      </c>
      <c r="O373" s="13" t="str">
        <f>IFERROR(N373/N446, "NA")</f>
        <v>NA</v>
      </c>
      <c r="P373" s="14"/>
      <c r="Q373" s="12">
        <v>5198.96</v>
      </c>
      <c r="R373" s="13" t="str">
        <f>IFERROR(Q373/Q446, "NA")</f>
        <v>NA</v>
      </c>
      <c r="S373" s="14"/>
      <c r="T373" s="12">
        <v>0.0</v>
      </c>
      <c r="U373" s="13" t="str">
        <f>IFERROR(T373/T446, "NA")</f>
        <v>NA</v>
      </c>
      <c r="V373" s="14"/>
      <c r="W373" s="15">
        <f t="shared" si="107"/>
        <v>-5198.96</v>
      </c>
      <c r="X373" s="13" t="str">
        <f>IFERROR(W373/W446, "NA")</f>
        <v>NA</v>
      </c>
      <c r="Y373" s="14"/>
      <c r="Z373" s="12">
        <v>2960.19</v>
      </c>
      <c r="AA373" s="13" t="str">
        <f>IFERROR(Z373/Z446, "NA")</f>
        <v>NA</v>
      </c>
      <c r="AB373" s="14"/>
      <c r="AC373" s="15">
        <f t="shared" si="108"/>
        <v>-2238.77</v>
      </c>
      <c r="AD373" s="13" t="str">
        <f>IFERROR(AC373/AC446, "NA")</f>
        <v>NA</v>
      </c>
    </row>
    <row r="374" ht="16.5" customHeight="1">
      <c r="A374" s="11" t="s">
        <v>345</v>
      </c>
      <c r="B374" s="12">
        <v>953.11</v>
      </c>
      <c r="C374" s="13" t="str">
        <f>IFERROR(B374/B446, "NA")</f>
        <v>NA</v>
      </c>
      <c r="D374" s="14"/>
      <c r="E374" s="12">
        <v>629.0</v>
      </c>
      <c r="F374" s="13" t="str">
        <f>IFERROR(E374/E446, "NA")</f>
        <v>NA</v>
      </c>
      <c r="G374" s="14"/>
      <c r="H374" s="15">
        <f t="shared" si="105"/>
        <v>-324.11</v>
      </c>
      <c r="I374" s="13" t="str">
        <f>IFERROR(H374/H446, "NA")</f>
        <v>NA</v>
      </c>
      <c r="J374" s="14"/>
      <c r="K374" s="12">
        <v>627.08</v>
      </c>
      <c r="L374" s="13" t="str">
        <f>IFERROR(K374/K446, "NA")</f>
        <v>NA</v>
      </c>
      <c r="M374" s="14"/>
      <c r="N374" s="15">
        <f t="shared" si="106"/>
        <v>-326.03</v>
      </c>
      <c r="O374" s="13" t="str">
        <f>IFERROR(N374/N446, "NA")</f>
        <v>NA</v>
      </c>
      <c r="P374" s="14"/>
      <c r="Q374" s="12">
        <v>6466.02</v>
      </c>
      <c r="R374" s="13" t="str">
        <f>IFERROR(Q374/Q446, "NA")</f>
        <v>NA</v>
      </c>
      <c r="S374" s="14"/>
      <c r="T374" s="12">
        <v>5032.0</v>
      </c>
      <c r="U374" s="13" t="str">
        <f>IFERROR(T374/T446, "NA")</f>
        <v>NA</v>
      </c>
      <c r="V374" s="14"/>
      <c r="W374" s="15">
        <f t="shared" si="107"/>
        <v>-1434.02</v>
      </c>
      <c r="X374" s="13" t="str">
        <f>IFERROR(W374/W446, "NA")</f>
        <v>NA</v>
      </c>
      <c r="Y374" s="14"/>
      <c r="Z374" s="12">
        <v>5286.82</v>
      </c>
      <c r="AA374" s="13" t="str">
        <f>IFERROR(Z374/Z446, "NA")</f>
        <v>NA</v>
      </c>
      <c r="AB374" s="14"/>
      <c r="AC374" s="15">
        <f t="shared" si="108"/>
        <v>-1179.2</v>
      </c>
      <c r="AD374" s="13" t="str">
        <f>IFERROR(AC374/AC446, "NA")</f>
        <v>NA</v>
      </c>
    </row>
    <row r="375" ht="16.5" customHeight="1">
      <c r="A375" s="11" t="s">
        <v>346</v>
      </c>
      <c r="B375" s="12">
        <v>1635.64</v>
      </c>
      <c r="C375" s="13" t="str">
        <f>IFERROR(B375/B446, "NA")</f>
        <v>NA</v>
      </c>
      <c r="D375" s="14"/>
      <c r="E375" s="12">
        <v>2150.0</v>
      </c>
      <c r="F375" s="13" t="str">
        <f>IFERROR(E375/E446, "NA")</f>
        <v>NA</v>
      </c>
      <c r="G375" s="14"/>
      <c r="H375" s="15">
        <f t="shared" si="105"/>
        <v>514.36</v>
      </c>
      <c r="I375" s="13" t="str">
        <f>IFERROR(H375/H446, "NA")</f>
        <v>NA</v>
      </c>
      <c r="J375" s="14"/>
      <c r="K375" s="12">
        <v>2149.53</v>
      </c>
      <c r="L375" s="13" t="str">
        <f>IFERROR(K375/K446, "NA")</f>
        <v>NA</v>
      </c>
      <c r="M375" s="14"/>
      <c r="N375" s="15">
        <f t="shared" si="106"/>
        <v>513.89</v>
      </c>
      <c r="O375" s="13" t="str">
        <f>IFERROR(N375/N446, "NA")</f>
        <v>NA</v>
      </c>
      <c r="P375" s="14"/>
      <c r="Q375" s="12">
        <v>15388.84</v>
      </c>
      <c r="R375" s="13" t="str">
        <f>IFERROR(Q375/Q446, "NA")</f>
        <v>NA</v>
      </c>
      <c r="S375" s="14"/>
      <c r="T375" s="12">
        <v>17200.0</v>
      </c>
      <c r="U375" s="13" t="str">
        <f>IFERROR(T375/T446, "NA")</f>
        <v>NA</v>
      </c>
      <c r="V375" s="14"/>
      <c r="W375" s="15">
        <f t="shared" si="107"/>
        <v>1811.16</v>
      </c>
      <c r="X375" s="13" t="str">
        <f>IFERROR(W375/W446, "NA")</f>
        <v>NA</v>
      </c>
      <c r="Y375" s="14"/>
      <c r="Z375" s="12">
        <v>16032.6</v>
      </c>
      <c r="AA375" s="13" t="str">
        <f>IFERROR(Z375/Z446, "NA")</f>
        <v>NA</v>
      </c>
      <c r="AB375" s="14"/>
      <c r="AC375" s="15">
        <f t="shared" si="108"/>
        <v>643.76</v>
      </c>
      <c r="AD375" s="13" t="str">
        <f>IFERROR(AC375/AC446, "NA")</f>
        <v>NA</v>
      </c>
    </row>
    <row r="376" ht="16.5" customHeight="1">
      <c r="A376" s="11" t="s">
        <v>347</v>
      </c>
      <c r="B376" s="12">
        <v>0.0</v>
      </c>
      <c r="C376" s="13" t="str">
        <f>IFERROR(B376/B446, "NA")</f>
        <v>NA</v>
      </c>
      <c r="D376" s="14"/>
      <c r="E376" s="12">
        <v>0.0</v>
      </c>
      <c r="F376" s="13" t="str">
        <f>IFERROR(E376/E446, "NA")</f>
        <v>NA</v>
      </c>
      <c r="G376" s="14"/>
      <c r="H376" s="15">
        <f t="shared" si="105"/>
        <v>0</v>
      </c>
      <c r="I376" s="13" t="str">
        <f>IFERROR(H376/H446, "NA")</f>
        <v>NA</v>
      </c>
      <c r="J376" s="14"/>
      <c r="K376" s="12">
        <v>53.0</v>
      </c>
      <c r="L376" s="13" t="str">
        <f>IFERROR(K376/K446, "NA")</f>
        <v>NA</v>
      </c>
      <c r="M376" s="14"/>
      <c r="N376" s="15">
        <f t="shared" si="106"/>
        <v>53</v>
      </c>
      <c r="O376" s="13" t="str">
        <f>IFERROR(N376/N446, "NA")</f>
        <v>NA</v>
      </c>
      <c r="P376" s="14"/>
      <c r="Q376" s="12">
        <v>1498.11</v>
      </c>
      <c r="R376" s="13" t="str">
        <f>IFERROR(Q376/Q446, "NA")</f>
        <v>NA</v>
      </c>
      <c r="S376" s="14"/>
      <c r="T376" s="12">
        <v>0.0</v>
      </c>
      <c r="U376" s="13" t="str">
        <f>IFERROR(T376/T446, "NA")</f>
        <v>NA</v>
      </c>
      <c r="V376" s="14"/>
      <c r="W376" s="15">
        <f t="shared" si="107"/>
        <v>-1498.11</v>
      </c>
      <c r="X376" s="13" t="str">
        <f>IFERROR(W376/W446, "NA")</f>
        <v>NA</v>
      </c>
      <c r="Y376" s="14"/>
      <c r="Z376" s="12">
        <v>3934.08</v>
      </c>
      <c r="AA376" s="13" t="str">
        <f>IFERROR(Z376/Z446, "NA")</f>
        <v>NA</v>
      </c>
      <c r="AB376" s="14"/>
      <c r="AC376" s="15">
        <f t="shared" si="108"/>
        <v>2435.97</v>
      </c>
      <c r="AD376" s="13" t="str">
        <f>IFERROR(AC376/AC446, "NA")</f>
        <v>NA</v>
      </c>
    </row>
    <row r="377" ht="16.5" customHeight="1">
      <c r="A377" s="11" t="s">
        <v>348</v>
      </c>
      <c r="B377" s="12">
        <v>39.25</v>
      </c>
      <c r="C377" s="13" t="str">
        <f>IFERROR(B377/B446, "NA")</f>
        <v>NA</v>
      </c>
      <c r="D377" s="14"/>
      <c r="E377" s="12">
        <v>0.0</v>
      </c>
      <c r="F377" s="13" t="str">
        <f>IFERROR(E377/E446, "NA")</f>
        <v>NA</v>
      </c>
      <c r="G377" s="14"/>
      <c r="H377" s="15">
        <f t="shared" si="105"/>
        <v>-39.25</v>
      </c>
      <c r="I377" s="13" t="str">
        <f>IFERROR(H377/H446, "NA")</f>
        <v>NA</v>
      </c>
      <c r="J377" s="14"/>
      <c r="K377" s="12">
        <v>512.12</v>
      </c>
      <c r="L377" s="13" t="str">
        <f>IFERROR(K377/K446, "NA")</f>
        <v>NA</v>
      </c>
      <c r="M377" s="14"/>
      <c r="N377" s="15">
        <f t="shared" si="106"/>
        <v>472.87</v>
      </c>
      <c r="O377" s="13" t="str">
        <f>IFERROR(N377/N446, "NA")</f>
        <v>NA</v>
      </c>
      <c r="P377" s="14"/>
      <c r="Q377" s="12">
        <v>295.49</v>
      </c>
      <c r="R377" s="13" t="str">
        <f>IFERROR(Q377/Q446, "NA")</f>
        <v>NA</v>
      </c>
      <c r="S377" s="14"/>
      <c r="T377" s="12">
        <v>0.0</v>
      </c>
      <c r="U377" s="13" t="str">
        <f>IFERROR(T377/T446, "NA")</f>
        <v>NA</v>
      </c>
      <c r="V377" s="14"/>
      <c r="W377" s="15">
        <f t="shared" si="107"/>
        <v>-295.49</v>
      </c>
      <c r="X377" s="13" t="str">
        <f>IFERROR(W377/W446, "NA")</f>
        <v>NA</v>
      </c>
      <c r="Y377" s="14"/>
      <c r="Z377" s="12">
        <v>-1900.88</v>
      </c>
      <c r="AA377" s="13" t="str">
        <f>IFERROR(Z377/Z446, "NA")</f>
        <v>NA</v>
      </c>
      <c r="AB377" s="14"/>
      <c r="AC377" s="15">
        <f t="shared" si="108"/>
        <v>-2196.37</v>
      </c>
      <c r="AD377" s="13" t="str">
        <f>IFERROR(AC377/AC446, "NA")</f>
        <v>NA</v>
      </c>
    </row>
    <row r="378" ht="16.5" hidden="1" customHeight="1">
      <c r="A378" s="11" t="s">
        <v>349</v>
      </c>
      <c r="B378" s="12">
        <v>0.0</v>
      </c>
      <c r="C378" s="13" t="str">
        <f>IFERROR(B378/B446, "NA")</f>
        <v>NA</v>
      </c>
      <c r="D378" s="14"/>
      <c r="E378" s="12">
        <v>0.0</v>
      </c>
      <c r="F378" s="13" t="str">
        <f>IFERROR(E378/E446, "NA")</f>
        <v>NA</v>
      </c>
      <c r="G378" s="14"/>
      <c r="H378" s="15">
        <f t="shared" si="105"/>
        <v>0</v>
      </c>
      <c r="I378" s="13" t="str">
        <f>IFERROR(H378/H446, "NA")</f>
        <v>NA</v>
      </c>
      <c r="J378" s="14"/>
      <c r="K378" s="12">
        <v>0.0</v>
      </c>
      <c r="L378" s="13" t="str">
        <f>IFERROR(K378/K446, "NA")</f>
        <v>NA</v>
      </c>
      <c r="M378" s="14"/>
      <c r="N378" s="15">
        <f t="shared" si="106"/>
        <v>0</v>
      </c>
      <c r="O378" s="13" t="str">
        <f>IFERROR(N378/N446, "NA")</f>
        <v>NA</v>
      </c>
      <c r="P378" s="14"/>
      <c r="Q378" s="12">
        <v>0.0</v>
      </c>
      <c r="R378" s="13" t="str">
        <f>IFERROR(Q378/Q446, "NA")</f>
        <v>NA</v>
      </c>
      <c r="S378" s="14"/>
      <c r="T378" s="12">
        <v>0.0</v>
      </c>
      <c r="U378" s="13" t="str">
        <f>IFERROR(T378/T446, "NA")</f>
        <v>NA</v>
      </c>
      <c r="V378" s="14"/>
      <c r="W378" s="15">
        <f t="shared" si="107"/>
        <v>0</v>
      </c>
      <c r="X378" s="13" t="str">
        <f>IFERROR(W378/W446, "NA")</f>
        <v>NA</v>
      </c>
      <c r="Y378" s="14"/>
      <c r="Z378" s="12">
        <v>0.0</v>
      </c>
      <c r="AA378" s="13" t="str">
        <f>IFERROR(Z378/Z446, "NA")</f>
        <v>NA</v>
      </c>
      <c r="AB378" s="14"/>
      <c r="AC378" s="15">
        <f t="shared" si="108"/>
        <v>0</v>
      </c>
      <c r="AD378" s="13" t="str">
        <f>IFERROR(AC378/AC446, "NA")</f>
        <v>NA</v>
      </c>
    </row>
    <row r="379" ht="16.5" customHeight="1">
      <c r="A379" s="11" t="s">
        <v>350</v>
      </c>
      <c r="B379" s="12">
        <v>4741.16</v>
      </c>
      <c r="C379" s="13" t="str">
        <f>IFERROR(B379/B446, "NA")</f>
        <v>NA</v>
      </c>
      <c r="D379" s="14"/>
      <c r="E379" s="12">
        <v>6824.0</v>
      </c>
      <c r="F379" s="13" t="str">
        <f>IFERROR(E379/E446, "NA")</f>
        <v>NA</v>
      </c>
      <c r="G379" s="14"/>
      <c r="H379" s="15">
        <f t="shared" si="105"/>
        <v>2082.84</v>
      </c>
      <c r="I379" s="13" t="str">
        <f>IFERROR(H379/H446, "NA")</f>
        <v>NA</v>
      </c>
      <c r="J379" s="14"/>
      <c r="K379" s="12">
        <v>9201.28</v>
      </c>
      <c r="L379" s="13" t="str">
        <f>IFERROR(K379/K446, "NA")</f>
        <v>NA</v>
      </c>
      <c r="M379" s="14"/>
      <c r="N379" s="15">
        <f t="shared" si="106"/>
        <v>4460.12</v>
      </c>
      <c r="O379" s="13" t="str">
        <f>IFERROR(N379/N446, "NA")</f>
        <v>NA</v>
      </c>
      <c r="P379" s="14"/>
      <c r="Q379" s="12">
        <v>47112.53</v>
      </c>
      <c r="R379" s="13" t="str">
        <f>IFERROR(Q379/Q446, "NA")</f>
        <v>NA</v>
      </c>
      <c r="S379" s="14"/>
      <c r="T379" s="12">
        <v>59952.0</v>
      </c>
      <c r="U379" s="13" t="str">
        <f>IFERROR(T379/T446, "NA")</f>
        <v>NA</v>
      </c>
      <c r="V379" s="14"/>
      <c r="W379" s="15">
        <f t="shared" si="107"/>
        <v>12839.47</v>
      </c>
      <c r="X379" s="13" t="str">
        <f>IFERROR(W379/W446, "NA")</f>
        <v>NA</v>
      </c>
      <c r="Y379" s="14"/>
      <c r="Z379" s="12">
        <v>74301.62</v>
      </c>
      <c r="AA379" s="13" t="str">
        <f>IFERROR(Z379/Z446, "NA")</f>
        <v>NA</v>
      </c>
      <c r="AB379" s="14"/>
      <c r="AC379" s="15">
        <f t="shared" si="108"/>
        <v>27189.09</v>
      </c>
      <c r="AD379" s="13" t="str">
        <f>IFERROR(AC379/AC446, "NA")</f>
        <v>NA</v>
      </c>
    </row>
    <row r="380" ht="16.5" customHeight="1">
      <c r="A380" s="11" t="s">
        <v>351</v>
      </c>
      <c r="B380" s="12">
        <v>321.95</v>
      </c>
      <c r="C380" s="13" t="str">
        <f>IFERROR(B380/B446, "NA")</f>
        <v>NA</v>
      </c>
      <c r="D380" s="14"/>
      <c r="E380" s="12">
        <v>0.0</v>
      </c>
      <c r="F380" s="13" t="str">
        <f>IFERROR(E380/E446, "NA")</f>
        <v>NA</v>
      </c>
      <c r="G380" s="14"/>
      <c r="H380" s="15">
        <f t="shared" si="105"/>
        <v>-321.95</v>
      </c>
      <c r="I380" s="13" t="str">
        <f>IFERROR(H380/H446, "NA")</f>
        <v>NA</v>
      </c>
      <c r="J380" s="14"/>
      <c r="K380" s="12">
        <v>429.07</v>
      </c>
      <c r="L380" s="13" t="str">
        <f>IFERROR(K380/K446, "NA")</f>
        <v>NA</v>
      </c>
      <c r="M380" s="14"/>
      <c r="N380" s="15">
        <f t="shared" si="106"/>
        <v>107.12</v>
      </c>
      <c r="O380" s="13" t="str">
        <f>IFERROR(N380/N446, "NA")</f>
        <v>NA</v>
      </c>
      <c r="P380" s="14"/>
      <c r="Q380" s="12">
        <v>4287.63</v>
      </c>
      <c r="R380" s="13" t="str">
        <f>IFERROR(Q380/Q446, "NA")</f>
        <v>NA</v>
      </c>
      <c r="S380" s="14"/>
      <c r="T380" s="12">
        <v>0.0</v>
      </c>
      <c r="U380" s="13" t="str">
        <f>IFERROR(T380/T446, "NA")</f>
        <v>NA</v>
      </c>
      <c r="V380" s="14"/>
      <c r="W380" s="15">
        <f t="shared" si="107"/>
        <v>-4287.63</v>
      </c>
      <c r="X380" s="13" t="str">
        <f>IFERROR(W380/W446, "NA")</f>
        <v>NA</v>
      </c>
      <c r="Y380" s="14"/>
      <c r="Z380" s="12">
        <v>6949.36</v>
      </c>
      <c r="AA380" s="13" t="str">
        <f>IFERROR(Z380/Z446, "NA")</f>
        <v>NA</v>
      </c>
      <c r="AB380" s="14"/>
      <c r="AC380" s="15">
        <f t="shared" si="108"/>
        <v>2661.73</v>
      </c>
      <c r="AD380" s="13" t="str">
        <f>IFERROR(AC380/AC446, "NA")</f>
        <v>NA</v>
      </c>
    </row>
    <row r="381" ht="16.5" customHeight="1">
      <c r="A381" s="11" t="s">
        <v>352</v>
      </c>
      <c r="B381" s="12">
        <v>10900.0</v>
      </c>
      <c r="C381" s="13" t="str">
        <f>IFERROR(B381/B446, "NA")</f>
        <v>NA</v>
      </c>
      <c r="D381" s="14"/>
      <c r="E381" s="12">
        <v>11800.0</v>
      </c>
      <c r="F381" s="13" t="str">
        <f>IFERROR(E381/E446, "NA")</f>
        <v>NA</v>
      </c>
      <c r="G381" s="14"/>
      <c r="H381" s="15">
        <f t="shared" si="105"/>
        <v>900</v>
      </c>
      <c r="I381" s="13" t="str">
        <f>IFERROR(H381/H446, "NA")</f>
        <v>NA</v>
      </c>
      <c r="J381" s="14"/>
      <c r="K381" s="12">
        <v>11020.0</v>
      </c>
      <c r="L381" s="13" t="str">
        <f>IFERROR(K381/K446, "NA")</f>
        <v>NA</v>
      </c>
      <c r="M381" s="14"/>
      <c r="N381" s="15">
        <f t="shared" si="106"/>
        <v>120</v>
      </c>
      <c r="O381" s="13" t="str">
        <f>IFERROR(N381/N446, "NA")</f>
        <v>NA</v>
      </c>
      <c r="P381" s="14"/>
      <c r="Q381" s="12">
        <v>93555.67</v>
      </c>
      <c r="R381" s="13" t="str">
        <f>IFERROR(Q381/Q446, "NA")</f>
        <v>NA</v>
      </c>
      <c r="S381" s="14"/>
      <c r="T381" s="12">
        <v>94400.0</v>
      </c>
      <c r="U381" s="13" t="str">
        <f>IFERROR(T381/T446, "NA")</f>
        <v>NA</v>
      </c>
      <c r="V381" s="14"/>
      <c r="W381" s="15">
        <f t="shared" si="107"/>
        <v>844.33</v>
      </c>
      <c r="X381" s="13" t="str">
        <f>IFERROR(W381/W446, "NA")</f>
        <v>NA</v>
      </c>
      <c r="Y381" s="14"/>
      <c r="Z381" s="12">
        <v>92900.0</v>
      </c>
      <c r="AA381" s="13" t="str">
        <f>IFERROR(Z381/Z446, "NA")</f>
        <v>NA</v>
      </c>
      <c r="AB381" s="14"/>
      <c r="AC381" s="15">
        <f t="shared" si="108"/>
        <v>-655.67</v>
      </c>
      <c r="AD381" s="13" t="str">
        <f>IFERROR(AC381/AC446, "NA")</f>
        <v>NA</v>
      </c>
    </row>
    <row r="382" ht="16.5" customHeight="1">
      <c r="A382" s="11" t="s">
        <v>353</v>
      </c>
      <c r="B382" s="12">
        <v>1525.0</v>
      </c>
      <c r="C382" s="13" t="str">
        <f>IFERROR(B382/B446, "NA")</f>
        <v>NA</v>
      </c>
      <c r="D382" s="14"/>
      <c r="E382" s="12">
        <v>3000.0</v>
      </c>
      <c r="F382" s="13" t="str">
        <f>IFERROR(E382/E446, "NA")</f>
        <v>NA</v>
      </c>
      <c r="G382" s="14"/>
      <c r="H382" s="15">
        <f t="shared" si="105"/>
        <v>1475</v>
      </c>
      <c r="I382" s="13" t="str">
        <f>IFERROR(H382/H446, "NA")</f>
        <v>NA</v>
      </c>
      <c r="J382" s="14"/>
      <c r="K382" s="12">
        <v>5153.75</v>
      </c>
      <c r="L382" s="13" t="str">
        <f>IFERROR(K382/K446, "NA")</f>
        <v>NA</v>
      </c>
      <c r="M382" s="14"/>
      <c r="N382" s="15">
        <f t="shared" si="106"/>
        <v>3628.75</v>
      </c>
      <c r="O382" s="13" t="str">
        <f>IFERROR(N382/N446, "NA")</f>
        <v>NA</v>
      </c>
      <c r="P382" s="14"/>
      <c r="Q382" s="12">
        <v>5655.0</v>
      </c>
      <c r="R382" s="13" t="str">
        <f>IFERROR(Q382/Q446, "NA")</f>
        <v>NA</v>
      </c>
      <c r="S382" s="14"/>
      <c r="T382" s="12">
        <v>22500.0</v>
      </c>
      <c r="U382" s="13" t="str">
        <f>IFERROR(T382/T446, "NA")</f>
        <v>NA</v>
      </c>
      <c r="V382" s="14"/>
      <c r="W382" s="15">
        <f t="shared" si="107"/>
        <v>16845</v>
      </c>
      <c r="X382" s="13" t="str">
        <f>IFERROR(W382/W446, "NA")</f>
        <v>NA</v>
      </c>
      <c r="Y382" s="14"/>
      <c r="Z382" s="12">
        <v>46365.26</v>
      </c>
      <c r="AA382" s="13" t="str">
        <f>IFERROR(Z382/Z446, "NA")</f>
        <v>NA</v>
      </c>
      <c r="AB382" s="14"/>
      <c r="AC382" s="15">
        <f t="shared" si="108"/>
        <v>40710.26</v>
      </c>
      <c r="AD382" s="13" t="str">
        <f>IFERROR(AC382/AC446, "NA")</f>
        <v>NA</v>
      </c>
    </row>
    <row r="383" ht="16.5" customHeight="1">
      <c r="A383" s="11" t="s">
        <v>354</v>
      </c>
      <c r="B383" s="12">
        <v>0.0</v>
      </c>
      <c r="C383" s="13" t="str">
        <f>IFERROR(B383/B446, "NA")</f>
        <v>NA</v>
      </c>
      <c r="D383" s="14"/>
      <c r="E383" s="12">
        <v>306.0</v>
      </c>
      <c r="F383" s="13" t="str">
        <f>IFERROR(E383/E446, "NA")</f>
        <v>NA</v>
      </c>
      <c r="G383" s="14"/>
      <c r="H383" s="15">
        <f t="shared" si="105"/>
        <v>306</v>
      </c>
      <c r="I383" s="13" t="str">
        <f>IFERROR(H383/H446, "NA")</f>
        <v>NA</v>
      </c>
      <c r="J383" s="14"/>
      <c r="K383" s="12">
        <v>505.62</v>
      </c>
      <c r="L383" s="13" t="str">
        <f>IFERROR(K383/K446, "NA")</f>
        <v>NA</v>
      </c>
      <c r="M383" s="14"/>
      <c r="N383" s="15">
        <f t="shared" si="106"/>
        <v>505.62</v>
      </c>
      <c r="O383" s="13" t="str">
        <f>IFERROR(N383/N446, "NA")</f>
        <v>NA</v>
      </c>
      <c r="P383" s="14"/>
      <c r="Q383" s="12">
        <v>2741.64</v>
      </c>
      <c r="R383" s="13" t="str">
        <f>IFERROR(Q383/Q446, "NA")</f>
        <v>NA</v>
      </c>
      <c r="S383" s="14"/>
      <c r="T383" s="12">
        <v>3448.0</v>
      </c>
      <c r="U383" s="13" t="str">
        <f>IFERROR(T383/T446, "NA")</f>
        <v>NA</v>
      </c>
      <c r="V383" s="14"/>
      <c r="W383" s="15">
        <f t="shared" si="107"/>
        <v>706.36</v>
      </c>
      <c r="X383" s="13" t="str">
        <f>IFERROR(W383/W446, "NA")</f>
        <v>NA</v>
      </c>
      <c r="Y383" s="14"/>
      <c r="Z383" s="12">
        <v>5208.91</v>
      </c>
      <c r="AA383" s="13" t="str">
        <f>IFERROR(Z383/Z446, "NA")</f>
        <v>NA</v>
      </c>
      <c r="AB383" s="14"/>
      <c r="AC383" s="15">
        <f t="shared" si="108"/>
        <v>2467.27</v>
      </c>
      <c r="AD383" s="13" t="str">
        <f>IFERROR(AC383/AC446, "NA")</f>
        <v>NA</v>
      </c>
    </row>
    <row r="384" ht="16.5" hidden="1" customHeight="1">
      <c r="A384" s="11" t="s">
        <v>355</v>
      </c>
      <c r="B384" s="12">
        <v>0.0</v>
      </c>
      <c r="C384" s="13" t="str">
        <f>IFERROR(B384/B446, "NA")</f>
        <v>NA</v>
      </c>
      <c r="D384" s="14"/>
      <c r="E384" s="12">
        <v>0.0</v>
      </c>
      <c r="F384" s="13" t="str">
        <f>IFERROR(E384/E446, "NA")</f>
        <v>NA</v>
      </c>
      <c r="G384" s="14"/>
      <c r="H384" s="15">
        <f t="shared" si="105"/>
        <v>0</v>
      </c>
      <c r="I384" s="13" t="str">
        <f>IFERROR(H384/H446, "NA")</f>
        <v>NA</v>
      </c>
      <c r="J384" s="14"/>
      <c r="K384" s="12">
        <v>0.0</v>
      </c>
      <c r="L384" s="13" t="str">
        <f>IFERROR(K384/K446, "NA")</f>
        <v>NA</v>
      </c>
      <c r="M384" s="14"/>
      <c r="N384" s="15">
        <f t="shared" si="106"/>
        <v>0</v>
      </c>
      <c r="O384" s="13" t="str">
        <f>IFERROR(N384/N446, "NA")</f>
        <v>NA</v>
      </c>
      <c r="P384" s="14"/>
      <c r="Q384" s="12">
        <v>0.0</v>
      </c>
      <c r="R384" s="13" t="str">
        <f>IFERROR(Q384/Q446, "NA")</f>
        <v>NA</v>
      </c>
      <c r="S384" s="14"/>
      <c r="T384" s="12">
        <v>0.0</v>
      </c>
      <c r="U384" s="13" t="str">
        <f>IFERROR(T384/T446, "NA")</f>
        <v>NA</v>
      </c>
      <c r="V384" s="14"/>
      <c r="W384" s="15">
        <f t="shared" si="107"/>
        <v>0</v>
      </c>
      <c r="X384" s="13" t="str">
        <f>IFERROR(W384/W446, "NA")</f>
        <v>NA</v>
      </c>
      <c r="Y384" s="14"/>
      <c r="Z384" s="12">
        <v>0.0</v>
      </c>
      <c r="AA384" s="13" t="str">
        <f>IFERROR(Z384/Z446, "NA")</f>
        <v>NA</v>
      </c>
      <c r="AB384" s="14"/>
      <c r="AC384" s="15">
        <f t="shared" si="108"/>
        <v>0</v>
      </c>
      <c r="AD384" s="13" t="str">
        <f>IFERROR(AC384/AC446, "NA")</f>
        <v>NA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r="A386" s="11" t="s">
        <v>356</v>
      </c>
      <c r="B386" s="12">
        <v>11414.49</v>
      </c>
      <c r="C386" s="13" t="str">
        <f>IFERROR(B386/B446, "NA")</f>
        <v>NA</v>
      </c>
      <c r="D386" s="14"/>
      <c r="E386" s="12">
        <v>750.0</v>
      </c>
      <c r="F386" s="13" t="str">
        <f>IFERROR(E386/E446, "NA")</f>
        <v>NA</v>
      </c>
      <c r="G386" s="14"/>
      <c r="H386" s="15">
        <f t="shared" ref="H386:H387" si="109">IFERROR(-(B386-E386), "NA")</f>
        <v>-10664.49</v>
      </c>
      <c r="I386" s="13" t="str">
        <f>IFERROR(H386/H446, "NA")</f>
        <v>NA</v>
      </c>
      <c r="J386" s="14"/>
      <c r="K386" s="12">
        <v>803.62</v>
      </c>
      <c r="L386" s="13" t="str">
        <f>IFERROR(K386/K446, "NA")</f>
        <v>NA</v>
      </c>
      <c r="M386" s="14"/>
      <c r="N386" s="15">
        <f t="shared" ref="N386:N387" si="110">IFERROR(-(B386-K386), "NA")</f>
        <v>-10610.87</v>
      </c>
      <c r="O386" s="13" t="str">
        <f>IFERROR(N386/N446, "NA")</f>
        <v>NA</v>
      </c>
      <c r="P386" s="14"/>
      <c r="Q386" s="12">
        <v>24346.65</v>
      </c>
      <c r="R386" s="13" t="str">
        <f>IFERROR(Q386/Q446, "NA")</f>
        <v>NA</v>
      </c>
      <c r="S386" s="14"/>
      <c r="T386" s="12">
        <v>7250.0</v>
      </c>
      <c r="U386" s="13" t="str">
        <f>IFERROR(T386/T446, "NA")</f>
        <v>NA</v>
      </c>
      <c r="V386" s="14"/>
      <c r="W386" s="15">
        <f t="shared" ref="W386:W387" si="111">IFERROR(-(Q386-T386), "NA")</f>
        <v>-17096.65</v>
      </c>
      <c r="X386" s="13" t="str">
        <f>IFERROR(W386/W446, "NA")</f>
        <v>NA</v>
      </c>
      <c r="Y386" s="14"/>
      <c r="Z386" s="12">
        <v>21949.46</v>
      </c>
      <c r="AA386" s="13" t="str">
        <f>IFERROR(Z386/Z446, "NA")</f>
        <v>NA</v>
      </c>
      <c r="AB386" s="14"/>
      <c r="AC386" s="15">
        <f t="shared" ref="AC386:AC387" si="112">IFERROR(-(Q386-Z386), "NA")</f>
        <v>-2397.19</v>
      </c>
      <c r="AD386" s="13" t="str">
        <f>IFERROR(AC386/AC446, "NA")</f>
        <v>NA</v>
      </c>
    </row>
    <row r="387" ht="16.5" customHeight="1">
      <c r="A387" s="11" t="s">
        <v>357</v>
      </c>
      <c r="B387" s="12">
        <v>0.0</v>
      </c>
      <c r="C387" s="13" t="str">
        <f>IFERROR(B387/B446, "NA")</f>
        <v>NA</v>
      </c>
      <c r="D387" s="14"/>
      <c r="E387" s="12">
        <v>0.0</v>
      </c>
      <c r="F387" s="13" t="str">
        <f>IFERROR(E387/E446, "NA")</f>
        <v>NA</v>
      </c>
      <c r="G387" s="14"/>
      <c r="H387" s="15">
        <f t="shared" si="109"/>
        <v>0</v>
      </c>
      <c r="I387" s="13" t="str">
        <f>IFERROR(H387/H446, "NA")</f>
        <v>NA</v>
      </c>
      <c r="J387" s="14"/>
      <c r="K387" s="12">
        <v>100.24</v>
      </c>
      <c r="L387" s="13" t="str">
        <f>IFERROR(K387/K446, "NA")</f>
        <v>NA</v>
      </c>
      <c r="M387" s="14"/>
      <c r="N387" s="15">
        <f t="shared" si="110"/>
        <v>100.24</v>
      </c>
      <c r="O387" s="13" t="str">
        <f>IFERROR(N387/N446, "NA")</f>
        <v>NA</v>
      </c>
      <c r="P387" s="14"/>
      <c r="Q387" s="12">
        <v>0.0</v>
      </c>
      <c r="R387" s="13" t="str">
        <f>IFERROR(Q387/Q446, "NA")</f>
        <v>NA</v>
      </c>
      <c r="S387" s="14"/>
      <c r="T387" s="12">
        <v>0.0</v>
      </c>
      <c r="U387" s="13" t="str">
        <f>IFERROR(T387/T446, "NA")</f>
        <v>NA</v>
      </c>
      <c r="V387" s="14"/>
      <c r="W387" s="15">
        <f t="shared" si="111"/>
        <v>0</v>
      </c>
      <c r="X387" s="13" t="str">
        <f>IFERROR(W387/W446, "NA")</f>
        <v>NA</v>
      </c>
      <c r="Y387" s="14"/>
      <c r="Z387" s="12">
        <v>151.71</v>
      </c>
      <c r="AA387" s="13" t="str">
        <f>IFERROR(Z387/Z446, "NA")</f>
        <v>NA</v>
      </c>
      <c r="AB387" s="14"/>
      <c r="AC387" s="15">
        <f t="shared" si="112"/>
        <v>151.71</v>
      </c>
      <c r="AD387" s="13" t="str">
        <f>IFERROR(AC387/AC446, "NA")</f>
        <v>NA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r="A389" s="11" t="s">
        <v>358</v>
      </c>
      <c r="B389" s="12">
        <v>0.0</v>
      </c>
      <c r="C389" s="13" t="str">
        <f>IFERROR(B389/B446, "NA")</f>
        <v>NA</v>
      </c>
      <c r="D389" s="14"/>
      <c r="E389" s="12">
        <v>11772.48</v>
      </c>
      <c r="F389" s="13" t="str">
        <f>IFERROR(E389/E446, "NA")</f>
        <v>NA</v>
      </c>
      <c r="G389" s="14"/>
      <c r="H389" s="15">
        <f t="shared" ref="H389:H404" si="113">IFERROR(-(B389-E389), "NA")</f>
        <v>11772.48</v>
      </c>
      <c r="I389" s="13" t="str">
        <f>IFERROR(H389/H446, "NA")</f>
        <v>NA</v>
      </c>
      <c r="J389" s="14"/>
      <c r="K389" s="12">
        <v>0.0</v>
      </c>
      <c r="L389" s="13" t="str">
        <f>IFERROR(K389/K446, "NA")</f>
        <v>NA</v>
      </c>
      <c r="M389" s="14"/>
      <c r="N389" s="15">
        <f t="shared" ref="N389:N404" si="114">IFERROR(-(B389-K389), "NA")</f>
        <v>0</v>
      </c>
      <c r="O389" s="13" t="str">
        <f>IFERROR(N389/N446, "NA")</f>
        <v>NA</v>
      </c>
      <c r="P389" s="14"/>
      <c r="Q389" s="12">
        <v>0.0</v>
      </c>
      <c r="R389" s="13" t="str">
        <f>IFERROR(Q389/Q446, "NA")</f>
        <v>NA</v>
      </c>
      <c r="S389" s="14"/>
      <c r="T389" s="12">
        <v>104806.11</v>
      </c>
      <c r="U389" s="13" t="str">
        <f>IFERROR(T389/T446, "NA")</f>
        <v>NA</v>
      </c>
      <c r="V389" s="14"/>
      <c r="W389" s="15">
        <f t="shared" ref="W389:W404" si="115">IFERROR(-(Q389-T389), "NA")</f>
        <v>104806.11</v>
      </c>
      <c r="X389" s="13" t="str">
        <f>IFERROR(W389/W446, "NA")</f>
        <v>NA</v>
      </c>
      <c r="Y389" s="14"/>
      <c r="Z389" s="12">
        <v>0.0</v>
      </c>
      <c r="AA389" s="13" t="str">
        <f>IFERROR(Z389/Z446, "NA")</f>
        <v>NA</v>
      </c>
      <c r="AB389" s="14"/>
      <c r="AC389" s="15">
        <f t="shared" ref="AC389:AC404" si="116">IFERROR(-(Q389-Z389), "NA")</f>
        <v>0</v>
      </c>
      <c r="AD389" s="13" t="str">
        <f>IFERROR(AC389/AC446, "NA")</f>
        <v>NA</v>
      </c>
    </row>
    <row r="390" ht="16.5" customHeight="1">
      <c r="A390" s="11" t="s">
        <v>359</v>
      </c>
      <c r="B390" s="12">
        <v>3783.21</v>
      </c>
      <c r="C390" s="13" t="str">
        <f>IFERROR(B390/B446, "NA")</f>
        <v>NA</v>
      </c>
      <c r="D390" s="14"/>
      <c r="E390" s="12">
        <v>0.0</v>
      </c>
      <c r="F390" s="13" t="str">
        <f>IFERROR(E390/E446, "NA")</f>
        <v>NA</v>
      </c>
      <c r="G390" s="14"/>
      <c r="H390" s="15">
        <f t="shared" si="113"/>
        <v>-3783.21</v>
      </c>
      <c r="I390" s="13" t="str">
        <f>IFERROR(H390/H446, "NA")</f>
        <v>NA</v>
      </c>
      <c r="J390" s="14"/>
      <c r="K390" s="12">
        <v>3212.19</v>
      </c>
      <c r="L390" s="13" t="str">
        <f>IFERROR(K390/K446, "NA")</f>
        <v>NA</v>
      </c>
      <c r="M390" s="14"/>
      <c r="N390" s="15">
        <f t="shared" si="114"/>
        <v>-571.02</v>
      </c>
      <c r="O390" s="13" t="str">
        <f>IFERROR(N390/N446, "NA")</f>
        <v>NA</v>
      </c>
      <c r="P390" s="14"/>
      <c r="Q390" s="12">
        <v>48682.2</v>
      </c>
      <c r="R390" s="13" t="str">
        <f>IFERROR(Q390/Q446, "NA")</f>
        <v>NA</v>
      </c>
      <c r="S390" s="14"/>
      <c r="T390" s="12">
        <v>0.0</v>
      </c>
      <c r="U390" s="13" t="str">
        <f>IFERROR(T390/T446, "NA")</f>
        <v>NA</v>
      </c>
      <c r="V390" s="14"/>
      <c r="W390" s="15">
        <f t="shared" si="115"/>
        <v>-48682.2</v>
      </c>
      <c r="X390" s="13" t="str">
        <f>IFERROR(W390/W446, "NA")</f>
        <v>NA</v>
      </c>
      <c r="Y390" s="14"/>
      <c r="Z390" s="12">
        <v>36767.04</v>
      </c>
      <c r="AA390" s="13" t="str">
        <f>IFERROR(Z390/Z446, "NA")</f>
        <v>NA</v>
      </c>
      <c r="AB390" s="14"/>
      <c r="AC390" s="15">
        <f t="shared" si="116"/>
        <v>-11915.16</v>
      </c>
      <c r="AD390" s="13" t="str">
        <f>IFERROR(AC390/AC446, "NA")</f>
        <v>NA</v>
      </c>
    </row>
    <row r="391" ht="16.5" customHeight="1">
      <c r="A391" s="11" t="s">
        <v>360</v>
      </c>
      <c r="B391" s="12">
        <v>3391.68</v>
      </c>
      <c r="C391" s="13" t="str">
        <f>IFERROR(B391/B446, "NA")</f>
        <v>NA</v>
      </c>
      <c r="D391" s="14"/>
      <c r="E391" s="12">
        <v>0.0</v>
      </c>
      <c r="F391" s="13" t="str">
        <f>IFERROR(E391/E446, "NA")</f>
        <v>NA</v>
      </c>
      <c r="G391" s="14"/>
      <c r="H391" s="15">
        <f t="shared" si="113"/>
        <v>-3391.68</v>
      </c>
      <c r="I391" s="13" t="str">
        <f>IFERROR(H391/H446, "NA")</f>
        <v>NA</v>
      </c>
      <c r="J391" s="14"/>
      <c r="K391" s="12">
        <v>1783.47</v>
      </c>
      <c r="L391" s="13" t="str">
        <f>IFERROR(K391/K446, "NA")</f>
        <v>NA</v>
      </c>
      <c r="M391" s="14"/>
      <c r="N391" s="15">
        <f t="shared" si="114"/>
        <v>-1608.21</v>
      </c>
      <c r="O391" s="13" t="str">
        <f>IFERROR(N391/N446, "NA")</f>
        <v>NA</v>
      </c>
      <c r="P391" s="14"/>
      <c r="Q391" s="12">
        <v>35181.49</v>
      </c>
      <c r="R391" s="13" t="str">
        <f>IFERROR(Q391/Q446, "NA")</f>
        <v>NA</v>
      </c>
      <c r="S391" s="14"/>
      <c r="T391" s="12">
        <v>0.0</v>
      </c>
      <c r="U391" s="13" t="str">
        <f>IFERROR(T391/T446, "NA")</f>
        <v>NA</v>
      </c>
      <c r="V391" s="14"/>
      <c r="W391" s="15">
        <f t="shared" si="115"/>
        <v>-35181.49</v>
      </c>
      <c r="X391" s="13" t="str">
        <f>IFERROR(W391/W446, "NA")</f>
        <v>NA</v>
      </c>
      <c r="Y391" s="14"/>
      <c r="Z391" s="12">
        <v>58167.74</v>
      </c>
      <c r="AA391" s="13" t="str">
        <f>IFERROR(Z391/Z446, "NA")</f>
        <v>NA</v>
      </c>
      <c r="AB391" s="14"/>
      <c r="AC391" s="15">
        <f t="shared" si="116"/>
        <v>22986.25</v>
      </c>
      <c r="AD391" s="13" t="str">
        <f>IFERROR(AC391/AC446, "NA")</f>
        <v>NA</v>
      </c>
    </row>
    <row r="392" ht="16.5" hidden="1" customHeight="1">
      <c r="A392" s="11" t="s">
        <v>361</v>
      </c>
      <c r="B392" s="12">
        <v>0.0</v>
      </c>
      <c r="C392" s="13" t="str">
        <f>IFERROR(B392/B446, "NA")</f>
        <v>NA</v>
      </c>
      <c r="D392" s="14"/>
      <c r="E392" s="12">
        <v>0.0</v>
      </c>
      <c r="F392" s="13" t="str">
        <f>IFERROR(E392/E446, "NA")</f>
        <v>NA</v>
      </c>
      <c r="G392" s="14"/>
      <c r="H392" s="15">
        <f t="shared" si="113"/>
        <v>0</v>
      </c>
      <c r="I392" s="13" t="str">
        <f>IFERROR(H392/H446, "NA")</f>
        <v>NA</v>
      </c>
      <c r="J392" s="14"/>
      <c r="K392" s="12">
        <v>0.0</v>
      </c>
      <c r="L392" s="13" t="str">
        <f>IFERROR(K392/K446, "NA")</f>
        <v>NA</v>
      </c>
      <c r="M392" s="14"/>
      <c r="N392" s="15">
        <f t="shared" si="114"/>
        <v>0</v>
      </c>
      <c r="O392" s="13" t="str">
        <f>IFERROR(N392/N446, "NA")</f>
        <v>NA</v>
      </c>
      <c r="P392" s="14"/>
      <c r="Q392" s="12">
        <v>0.0</v>
      </c>
      <c r="R392" s="13" t="str">
        <f>IFERROR(Q392/Q446, "NA")</f>
        <v>NA</v>
      </c>
      <c r="S392" s="14"/>
      <c r="T392" s="12">
        <v>0.0</v>
      </c>
      <c r="U392" s="13" t="str">
        <f>IFERROR(T392/T446, "NA")</f>
        <v>NA</v>
      </c>
      <c r="V392" s="14"/>
      <c r="W392" s="15">
        <f t="shared" si="115"/>
        <v>0</v>
      </c>
      <c r="X392" s="13" t="str">
        <f>IFERROR(W392/W446, "NA")</f>
        <v>NA</v>
      </c>
      <c r="Y392" s="14"/>
      <c r="Z392" s="12">
        <v>0.0</v>
      </c>
      <c r="AA392" s="13" t="str">
        <f>IFERROR(Z392/Z446, "NA")</f>
        <v>NA</v>
      </c>
      <c r="AB392" s="14"/>
      <c r="AC392" s="15">
        <f t="shared" si="116"/>
        <v>0</v>
      </c>
      <c r="AD392" s="13" t="str">
        <f>IFERROR(AC392/AC446, "NA")</f>
        <v>NA</v>
      </c>
    </row>
    <row r="393" ht="16.5" customHeight="1">
      <c r="A393" s="11" t="s">
        <v>362</v>
      </c>
      <c r="B393" s="12">
        <v>1933.75</v>
      </c>
      <c r="C393" s="13" t="str">
        <f>IFERROR(B393/B446, "NA")</f>
        <v>NA</v>
      </c>
      <c r="D393" s="14"/>
      <c r="E393" s="12">
        <v>0.0</v>
      </c>
      <c r="F393" s="13" t="str">
        <f>IFERROR(E393/E446, "NA")</f>
        <v>NA</v>
      </c>
      <c r="G393" s="14"/>
      <c r="H393" s="15">
        <f t="shared" si="113"/>
        <v>-1933.75</v>
      </c>
      <c r="I393" s="13" t="str">
        <f>IFERROR(H393/H446, "NA")</f>
        <v>NA</v>
      </c>
      <c r="J393" s="14"/>
      <c r="K393" s="12">
        <v>3277.7</v>
      </c>
      <c r="L393" s="13" t="str">
        <f>IFERROR(K393/K446, "NA")</f>
        <v>NA</v>
      </c>
      <c r="M393" s="14"/>
      <c r="N393" s="15">
        <f t="shared" si="114"/>
        <v>1343.95</v>
      </c>
      <c r="O393" s="13" t="str">
        <f>IFERROR(N393/N446, "NA")</f>
        <v>NA</v>
      </c>
      <c r="P393" s="14"/>
      <c r="Q393" s="12">
        <v>25408.58</v>
      </c>
      <c r="R393" s="13" t="str">
        <f>IFERROR(Q393/Q446, "NA")</f>
        <v>NA</v>
      </c>
      <c r="S393" s="14"/>
      <c r="T393" s="12">
        <v>0.0</v>
      </c>
      <c r="U393" s="13" t="str">
        <f>IFERROR(T393/T446, "NA")</f>
        <v>NA</v>
      </c>
      <c r="V393" s="14"/>
      <c r="W393" s="15">
        <f t="shared" si="115"/>
        <v>-25408.58</v>
      </c>
      <c r="X393" s="13" t="str">
        <f>IFERROR(W393/W446, "NA")</f>
        <v>NA</v>
      </c>
      <c r="Y393" s="14"/>
      <c r="Z393" s="12">
        <v>36489.43</v>
      </c>
      <c r="AA393" s="13" t="str">
        <f>IFERROR(Z393/Z446, "NA")</f>
        <v>NA</v>
      </c>
      <c r="AB393" s="14"/>
      <c r="AC393" s="15">
        <f t="shared" si="116"/>
        <v>11080.85</v>
      </c>
      <c r="AD393" s="13" t="str">
        <f>IFERROR(AC393/AC446, "NA")</f>
        <v>NA</v>
      </c>
    </row>
    <row r="394" ht="16.5" customHeight="1">
      <c r="A394" s="16" t="s">
        <v>363</v>
      </c>
      <c r="B394" s="17">
        <f>IFERROR(B389+B390+B391+B392+B393, "NA")</f>
        <v>9108.64</v>
      </c>
      <c r="C394" s="18" t="str">
        <f>IFERROR(B394/B446, "NA")</f>
        <v>NA</v>
      </c>
      <c r="D394" s="8"/>
      <c r="E394" s="17">
        <f>IFERROR(E389+E390+E391+E392+E393, "NA")</f>
        <v>11772.48</v>
      </c>
      <c r="F394" s="18" t="str">
        <f>IFERROR(E394/E446, "NA")</f>
        <v>NA</v>
      </c>
      <c r="G394" s="8"/>
      <c r="H394" s="17">
        <f t="shared" si="113"/>
        <v>2663.84</v>
      </c>
      <c r="I394" s="18" t="str">
        <f>IFERROR(H394/H446, "NA")</f>
        <v>NA</v>
      </c>
      <c r="J394" s="8"/>
      <c r="K394" s="17">
        <f>IFERROR(K389+K390+K391+K392+K393, "NA")</f>
        <v>8273.36</v>
      </c>
      <c r="L394" s="18" t="str">
        <f>IFERROR(K394/K446, "NA")</f>
        <v>NA</v>
      </c>
      <c r="M394" s="8"/>
      <c r="N394" s="17">
        <f t="shared" si="114"/>
        <v>-835.28</v>
      </c>
      <c r="O394" s="18" t="str">
        <f>IFERROR(N394/N446, "NA")</f>
        <v>NA</v>
      </c>
      <c r="P394" s="8"/>
      <c r="Q394" s="17">
        <f>IFERROR(Q389+Q390+Q391+Q392+Q393, "NA")</f>
        <v>109272.27</v>
      </c>
      <c r="R394" s="18" t="str">
        <f>IFERROR(Q394/Q446, "NA")</f>
        <v>NA</v>
      </c>
      <c r="S394" s="8"/>
      <c r="T394" s="17">
        <f>IFERROR(T389+T390+T391+T392+T393, "NA")</f>
        <v>104806.11</v>
      </c>
      <c r="U394" s="18" t="str">
        <f>IFERROR(T394/T446, "NA")</f>
        <v>NA</v>
      </c>
      <c r="V394" s="8"/>
      <c r="W394" s="17">
        <f t="shared" si="115"/>
        <v>-4466.16</v>
      </c>
      <c r="X394" s="18" t="str">
        <f>IFERROR(W394/W446, "NA")</f>
        <v>NA</v>
      </c>
      <c r="Y394" s="8"/>
      <c r="Z394" s="17">
        <f>IFERROR(Z389+Z390+Z391+Z392+Z393, "NA")</f>
        <v>131424.21</v>
      </c>
      <c r="AA394" s="18" t="str">
        <f>IFERROR(Z394/Z446, "NA")</f>
        <v>NA</v>
      </c>
      <c r="AB394" s="8"/>
      <c r="AC394" s="17">
        <f t="shared" si="116"/>
        <v>22151.94</v>
      </c>
      <c r="AD394" s="18" t="str">
        <f>IFERROR(AC394/AC446, "NA")</f>
        <v>NA</v>
      </c>
    </row>
    <row r="395" ht="16.5" customHeight="1">
      <c r="A395" s="11" t="s">
        <v>364</v>
      </c>
      <c r="B395" s="12">
        <v>1470.93</v>
      </c>
      <c r="C395" s="13" t="str">
        <f>IFERROR(B395/B446, "NA")</f>
        <v>NA</v>
      </c>
      <c r="D395" s="14"/>
      <c r="E395" s="12">
        <v>4484.75</v>
      </c>
      <c r="F395" s="13" t="str">
        <f>IFERROR(E395/E446, "NA")</f>
        <v>NA</v>
      </c>
      <c r="G395" s="14"/>
      <c r="H395" s="15">
        <f t="shared" si="113"/>
        <v>3013.82</v>
      </c>
      <c r="I395" s="13" t="str">
        <f>IFERROR(H395/H446, "NA")</f>
        <v>NA</v>
      </c>
      <c r="J395" s="14"/>
      <c r="K395" s="12">
        <v>0.0</v>
      </c>
      <c r="L395" s="13" t="str">
        <f>IFERROR(K395/K446, "NA")</f>
        <v>NA</v>
      </c>
      <c r="M395" s="14"/>
      <c r="N395" s="15">
        <f t="shared" si="114"/>
        <v>-1470.93</v>
      </c>
      <c r="O395" s="13" t="str">
        <f>IFERROR(N395/N446, "NA")</f>
        <v>NA</v>
      </c>
      <c r="P395" s="14"/>
      <c r="Q395" s="12">
        <v>15658.38</v>
      </c>
      <c r="R395" s="13" t="str">
        <f>IFERROR(Q395/Q446, "NA")</f>
        <v>NA</v>
      </c>
      <c r="S395" s="14"/>
      <c r="T395" s="12">
        <v>33976.3</v>
      </c>
      <c r="U395" s="13" t="str">
        <f>IFERROR(T395/T446, "NA")</f>
        <v>NA</v>
      </c>
      <c r="V395" s="14"/>
      <c r="W395" s="15">
        <f t="shared" si="115"/>
        <v>18317.92</v>
      </c>
      <c r="X395" s="13" t="str">
        <f>IFERROR(W395/W446, "NA")</f>
        <v>NA</v>
      </c>
      <c r="Y395" s="14"/>
      <c r="Z395" s="12">
        <v>6612.06</v>
      </c>
      <c r="AA395" s="13" t="str">
        <f>IFERROR(Z395/Z446, "NA")</f>
        <v>NA</v>
      </c>
      <c r="AB395" s="14"/>
      <c r="AC395" s="15">
        <f t="shared" si="116"/>
        <v>-9046.32</v>
      </c>
      <c r="AD395" s="13" t="str">
        <f>IFERROR(AC395/AC446, "NA")</f>
        <v>NA</v>
      </c>
    </row>
    <row r="396" ht="16.5" customHeight="1">
      <c r="A396" s="11" t="s">
        <v>365</v>
      </c>
      <c r="B396" s="12">
        <v>1448.99</v>
      </c>
      <c r="C396" s="13" t="str">
        <f>IFERROR(B396/B446, "NA")</f>
        <v>NA</v>
      </c>
      <c r="D396" s="14"/>
      <c r="E396" s="12">
        <v>0.0</v>
      </c>
      <c r="F396" s="13" t="str">
        <f>IFERROR(E396/E446, "NA")</f>
        <v>NA</v>
      </c>
      <c r="G396" s="14"/>
      <c r="H396" s="15">
        <f t="shared" si="113"/>
        <v>-1448.99</v>
      </c>
      <c r="I396" s="13" t="str">
        <f>IFERROR(H396/H446, "NA")</f>
        <v>NA</v>
      </c>
      <c r="J396" s="14"/>
      <c r="K396" s="12">
        <v>0.0</v>
      </c>
      <c r="L396" s="13" t="str">
        <f>IFERROR(K396/K446, "NA")</f>
        <v>NA</v>
      </c>
      <c r="M396" s="14"/>
      <c r="N396" s="15">
        <f t="shared" si="114"/>
        <v>-1448.99</v>
      </c>
      <c r="O396" s="13" t="str">
        <f>IFERROR(N396/N446, "NA")</f>
        <v>NA</v>
      </c>
      <c r="P396" s="14"/>
      <c r="Q396" s="12">
        <v>3164.64</v>
      </c>
      <c r="R396" s="13" t="str">
        <f>IFERROR(Q396/Q446, "NA")</f>
        <v>NA</v>
      </c>
      <c r="S396" s="14"/>
      <c r="T396" s="12">
        <v>0.0</v>
      </c>
      <c r="U396" s="13" t="str">
        <f>IFERROR(T396/T446, "NA")</f>
        <v>NA</v>
      </c>
      <c r="V396" s="14"/>
      <c r="W396" s="15">
        <f t="shared" si="115"/>
        <v>-3164.64</v>
      </c>
      <c r="X396" s="13" t="str">
        <f>IFERROR(W396/W446, "NA")</f>
        <v>NA</v>
      </c>
      <c r="Y396" s="14"/>
      <c r="Z396" s="12">
        <v>0.0</v>
      </c>
      <c r="AA396" s="13" t="str">
        <f>IFERROR(Z396/Z446, "NA")</f>
        <v>NA</v>
      </c>
      <c r="AB396" s="14"/>
      <c r="AC396" s="15">
        <f t="shared" si="116"/>
        <v>-3164.64</v>
      </c>
      <c r="AD396" s="13" t="str">
        <f>IFERROR(AC396/AC446, "NA")</f>
        <v>NA</v>
      </c>
    </row>
    <row r="397" ht="16.5" customHeight="1">
      <c r="A397" s="16" t="s">
        <v>366</v>
      </c>
      <c r="B397" s="17">
        <f>IFERROR(B386+B387+B389+B390+B391+B392+B393+B395+B396, "NA")</f>
        <v>23443.05</v>
      </c>
      <c r="C397" s="18" t="str">
        <f>IFERROR(B397/B446, "NA")</f>
        <v>NA</v>
      </c>
      <c r="D397" s="8"/>
      <c r="E397" s="17">
        <f>IFERROR(E386+E387+E389+E390+E391+E392+E393+E395+E396, "NA")</f>
        <v>17007.23</v>
      </c>
      <c r="F397" s="18" t="str">
        <f>IFERROR(E397/E446, "NA")</f>
        <v>NA</v>
      </c>
      <c r="G397" s="8"/>
      <c r="H397" s="17">
        <f t="shared" si="113"/>
        <v>-6435.82</v>
      </c>
      <c r="I397" s="18" t="str">
        <f>IFERROR(H397/H446, "NA")</f>
        <v>NA</v>
      </c>
      <c r="J397" s="8"/>
      <c r="K397" s="17">
        <f>IFERROR(K386+K387+K389+K390+K391+K392+K393+K395+K396, "NA")</f>
        <v>9177.22</v>
      </c>
      <c r="L397" s="18" t="str">
        <f>IFERROR(K397/K446, "NA")</f>
        <v>NA</v>
      </c>
      <c r="M397" s="8"/>
      <c r="N397" s="17">
        <f t="shared" si="114"/>
        <v>-14265.83</v>
      </c>
      <c r="O397" s="18" t="str">
        <f>IFERROR(N397/N446, "NA")</f>
        <v>NA</v>
      </c>
      <c r="P397" s="8"/>
      <c r="Q397" s="17">
        <f>IFERROR(Q386+Q387+Q389+Q390+Q391+Q392+Q393+Q395+Q396, "NA")</f>
        <v>152441.94</v>
      </c>
      <c r="R397" s="18" t="str">
        <f>IFERROR(Q397/Q446, "NA")</f>
        <v>NA</v>
      </c>
      <c r="S397" s="8"/>
      <c r="T397" s="17">
        <f>IFERROR(T386+T387+T389+T390+T391+T392+T393+T395+T396, "NA")</f>
        <v>146032.41</v>
      </c>
      <c r="U397" s="18" t="str">
        <f>IFERROR(T397/T446, "NA")</f>
        <v>NA</v>
      </c>
      <c r="V397" s="8"/>
      <c r="W397" s="17">
        <f t="shared" si="115"/>
        <v>-6409.53</v>
      </c>
      <c r="X397" s="18" t="str">
        <f>IFERROR(W397/W446, "NA")</f>
        <v>NA</v>
      </c>
      <c r="Y397" s="8"/>
      <c r="Z397" s="17">
        <f>IFERROR(Z386+Z387+Z389+Z390+Z391+Z392+Z393+Z395+Z396, "NA")</f>
        <v>160137.44</v>
      </c>
      <c r="AA397" s="18" t="str">
        <f>IFERROR(Z397/Z446, "NA")</f>
        <v>NA</v>
      </c>
      <c r="AB397" s="8"/>
      <c r="AC397" s="17">
        <f t="shared" si="116"/>
        <v>7695.5</v>
      </c>
      <c r="AD397" s="18" t="str">
        <f>IFERROR(AC397/AC446, "NA")</f>
        <v>NA</v>
      </c>
    </row>
    <row r="398" ht="16.5" customHeight="1">
      <c r="A398" s="11" t="s">
        <v>367</v>
      </c>
      <c r="B398" s="12">
        <v>8889.25</v>
      </c>
      <c r="C398" s="13" t="str">
        <f>IFERROR(B398/B446, "NA")</f>
        <v>NA</v>
      </c>
      <c r="D398" s="14"/>
      <c r="E398" s="12">
        <v>9200.0</v>
      </c>
      <c r="F398" s="13" t="str">
        <f>IFERROR(E398/E446, "NA")</f>
        <v>NA</v>
      </c>
      <c r="G398" s="14"/>
      <c r="H398" s="15">
        <f t="shared" si="113"/>
        <v>310.75</v>
      </c>
      <c r="I398" s="13" t="str">
        <f>IFERROR(H398/H446, "NA")</f>
        <v>NA</v>
      </c>
      <c r="J398" s="14"/>
      <c r="K398" s="12">
        <v>11909.19</v>
      </c>
      <c r="L398" s="13" t="str">
        <f>IFERROR(K398/K446, "NA")</f>
        <v>NA</v>
      </c>
      <c r="M398" s="14"/>
      <c r="N398" s="15">
        <f t="shared" si="114"/>
        <v>3019.94</v>
      </c>
      <c r="O398" s="13" t="str">
        <f>IFERROR(N398/N446, "NA")</f>
        <v>NA</v>
      </c>
      <c r="P398" s="14"/>
      <c r="Q398" s="12">
        <v>107847.87</v>
      </c>
      <c r="R398" s="13" t="str">
        <f>IFERROR(Q398/Q446, "NA")</f>
        <v>NA</v>
      </c>
      <c r="S398" s="14"/>
      <c r="T398" s="12">
        <v>71600.0</v>
      </c>
      <c r="U398" s="13" t="str">
        <f>IFERROR(T398/T446, "NA")</f>
        <v>NA</v>
      </c>
      <c r="V398" s="14"/>
      <c r="W398" s="15">
        <f t="shared" si="115"/>
        <v>-36247.87</v>
      </c>
      <c r="X398" s="13" t="str">
        <f>IFERROR(W398/W446, "NA")</f>
        <v>NA</v>
      </c>
      <c r="Y398" s="14"/>
      <c r="Z398" s="12">
        <v>71924.43</v>
      </c>
      <c r="AA398" s="13" t="str">
        <f>IFERROR(Z398/Z446, "NA")</f>
        <v>NA</v>
      </c>
      <c r="AB398" s="14"/>
      <c r="AC398" s="15">
        <f t="shared" si="116"/>
        <v>-35923.44</v>
      </c>
      <c r="AD398" s="13" t="str">
        <f>IFERROR(AC398/AC446, "NA")</f>
        <v>NA</v>
      </c>
    </row>
    <row r="399" ht="16.5" customHeight="1">
      <c r="A399" s="11" t="s">
        <v>368</v>
      </c>
      <c r="B399" s="12">
        <v>231.02</v>
      </c>
      <c r="C399" s="13" t="str">
        <f>IFERROR(B399/B446, "NA")</f>
        <v>NA</v>
      </c>
      <c r="D399" s="14"/>
      <c r="E399" s="12">
        <v>0.0</v>
      </c>
      <c r="F399" s="13" t="str">
        <f>IFERROR(E399/E446, "NA")</f>
        <v>NA</v>
      </c>
      <c r="G399" s="14"/>
      <c r="H399" s="15">
        <f t="shared" si="113"/>
        <v>-231.02</v>
      </c>
      <c r="I399" s="13" t="str">
        <f>IFERROR(H399/H446, "NA")</f>
        <v>NA</v>
      </c>
      <c r="J399" s="14"/>
      <c r="K399" s="12">
        <v>224.36</v>
      </c>
      <c r="L399" s="13" t="str">
        <f>IFERROR(K399/K446, "NA")</f>
        <v>NA</v>
      </c>
      <c r="M399" s="14"/>
      <c r="N399" s="15">
        <f t="shared" si="114"/>
        <v>-6.66</v>
      </c>
      <c r="O399" s="13" t="str">
        <f>IFERROR(N399/N446, "NA")</f>
        <v>NA</v>
      </c>
      <c r="P399" s="14"/>
      <c r="Q399" s="12">
        <v>1958.7</v>
      </c>
      <c r="R399" s="13" t="str">
        <f>IFERROR(Q399/Q446, "NA")</f>
        <v>NA</v>
      </c>
      <c r="S399" s="14"/>
      <c r="T399" s="12">
        <v>0.0</v>
      </c>
      <c r="U399" s="13" t="str">
        <f>IFERROR(T399/T446, "NA")</f>
        <v>NA</v>
      </c>
      <c r="V399" s="14"/>
      <c r="W399" s="15">
        <f t="shared" si="115"/>
        <v>-1958.7</v>
      </c>
      <c r="X399" s="13" t="str">
        <f>IFERROR(W399/W446, "NA")</f>
        <v>NA</v>
      </c>
      <c r="Y399" s="14"/>
      <c r="Z399" s="12">
        <v>1234.97</v>
      </c>
      <c r="AA399" s="13" t="str">
        <f>IFERROR(Z399/Z446, "NA")</f>
        <v>NA</v>
      </c>
      <c r="AB399" s="14"/>
      <c r="AC399" s="15">
        <f t="shared" si="116"/>
        <v>-723.73</v>
      </c>
      <c r="AD399" s="13" t="str">
        <f>IFERROR(AC399/AC446, "NA")</f>
        <v>NA</v>
      </c>
    </row>
    <row r="400" ht="16.5" customHeight="1">
      <c r="A400" s="11" t="s">
        <v>369</v>
      </c>
      <c r="B400" s="12">
        <v>154.5</v>
      </c>
      <c r="C400" s="13" t="str">
        <f>IFERROR(B400/B446, "NA")</f>
        <v>NA</v>
      </c>
      <c r="D400" s="14"/>
      <c r="E400" s="12">
        <v>0.0</v>
      </c>
      <c r="F400" s="13" t="str">
        <f>IFERROR(E400/E446, "NA")</f>
        <v>NA</v>
      </c>
      <c r="G400" s="14"/>
      <c r="H400" s="15">
        <f t="shared" si="113"/>
        <v>-154.5</v>
      </c>
      <c r="I400" s="13" t="str">
        <f>IFERROR(H400/H446, "NA")</f>
        <v>NA</v>
      </c>
      <c r="J400" s="14"/>
      <c r="K400" s="12">
        <v>0.0</v>
      </c>
      <c r="L400" s="13" t="str">
        <f>IFERROR(K400/K446, "NA")</f>
        <v>NA</v>
      </c>
      <c r="M400" s="14"/>
      <c r="N400" s="15">
        <f t="shared" si="114"/>
        <v>-154.5</v>
      </c>
      <c r="O400" s="13" t="str">
        <f>IFERROR(N400/N446, "NA")</f>
        <v>NA</v>
      </c>
      <c r="P400" s="14"/>
      <c r="Q400" s="12">
        <v>2981.34</v>
      </c>
      <c r="R400" s="13" t="str">
        <f>IFERROR(Q400/Q446, "NA")</f>
        <v>NA</v>
      </c>
      <c r="S400" s="14"/>
      <c r="T400" s="12">
        <v>1600.0</v>
      </c>
      <c r="U400" s="13" t="str">
        <f>IFERROR(T400/T446, "NA")</f>
        <v>NA</v>
      </c>
      <c r="V400" s="14"/>
      <c r="W400" s="15">
        <f t="shared" si="115"/>
        <v>-1381.34</v>
      </c>
      <c r="X400" s="13" t="str">
        <f>IFERROR(W400/W446, "NA")</f>
        <v>NA</v>
      </c>
      <c r="Y400" s="14"/>
      <c r="Z400" s="12">
        <v>1487.0</v>
      </c>
      <c r="AA400" s="13" t="str">
        <f>IFERROR(Z400/Z446, "NA")</f>
        <v>NA</v>
      </c>
      <c r="AB400" s="14"/>
      <c r="AC400" s="15">
        <f t="shared" si="116"/>
        <v>-1494.34</v>
      </c>
      <c r="AD400" s="13" t="str">
        <f>IFERROR(AC400/AC446, "NA")</f>
        <v>NA</v>
      </c>
    </row>
    <row r="401" ht="16.5" hidden="1" customHeight="1">
      <c r="A401" s="11" t="s">
        <v>370</v>
      </c>
      <c r="B401" s="12">
        <v>0.0</v>
      </c>
      <c r="C401" s="13" t="str">
        <f>IFERROR(B401/B446, "NA")</f>
        <v>NA</v>
      </c>
      <c r="D401" s="14"/>
      <c r="E401" s="12">
        <v>0.0</v>
      </c>
      <c r="F401" s="13" t="str">
        <f>IFERROR(E401/E446, "NA")</f>
        <v>NA</v>
      </c>
      <c r="G401" s="14"/>
      <c r="H401" s="15">
        <f t="shared" si="113"/>
        <v>0</v>
      </c>
      <c r="I401" s="13" t="str">
        <f>IFERROR(H401/H446, "NA")</f>
        <v>NA</v>
      </c>
      <c r="J401" s="14"/>
      <c r="K401" s="12">
        <v>0.0</v>
      </c>
      <c r="L401" s="13" t="str">
        <f>IFERROR(K401/K446, "NA")</f>
        <v>NA</v>
      </c>
      <c r="M401" s="14"/>
      <c r="N401" s="15">
        <f t="shared" si="114"/>
        <v>0</v>
      </c>
      <c r="O401" s="13" t="str">
        <f>IFERROR(N401/N446, "NA")</f>
        <v>NA</v>
      </c>
      <c r="P401" s="14"/>
      <c r="Q401" s="12">
        <v>0.0</v>
      </c>
      <c r="R401" s="13" t="str">
        <f>IFERROR(Q401/Q446, "NA")</f>
        <v>NA</v>
      </c>
      <c r="S401" s="14"/>
      <c r="T401" s="12">
        <v>0.0</v>
      </c>
      <c r="U401" s="13" t="str">
        <f>IFERROR(T401/T446, "NA")</f>
        <v>NA</v>
      </c>
      <c r="V401" s="14"/>
      <c r="W401" s="15">
        <f t="shared" si="115"/>
        <v>0</v>
      </c>
      <c r="X401" s="13" t="str">
        <f>IFERROR(W401/W446, "NA")</f>
        <v>NA</v>
      </c>
      <c r="Y401" s="14"/>
      <c r="Z401" s="12">
        <v>0.0</v>
      </c>
      <c r="AA401" s="13" t="str">
        <f>IFERROR(Z401/Z446, "NA")</f>
        <v>NA</v>
      </c>
      <c r="AB401" s="14"/>
      <c r="AC401" s="15">
        <f t="shared" si="116"/>
        <v>0</v>
      </c>
      <c r="AD401" s="13" t="str">
        <f>IFERROR(AC401/AC446, "NA")</f>
        <v>NA</v>
      </c>
    </row>
    <row r="402" ht="16.5" hidden="1" customHeight="1">
      <c r="A402" s="11" t="s">
        <v>371</v>
      </c>
      <c r="B402" s="12">
        <v>0.0</v>
      </c>
      <c r="C402" s="13" t="str">
        <f>IFERROR(B402/B446, "NA")</f>
        <v>NA</v>
      </c>
      <c r="D402" s="14"/>
      <c r="E402" s="12">
        <v>0.0</v>
      </c>
      <c r="F402" s="13" t="str">
        <f>IFERROR(E402/E446, "NA")</f>
        <v>NA</v>
      </c>
      <c r="G402" s="14"/>
      <c r="H402" s="15">
        <f t="shared" si="113"/>
        <v>0</v>
      </c>
      <c r="I402" s="13" t="str">
        <f>IFERROR(H402/H446, "NA")</f>
        <v>NA</v>
      </c>
      <c r="J402" s="14"/>
      <c r="K402" s="12">
        <v>0.0</v>
      </c>
      <c r="L402" s="13" t="str">
        <f>IFERROR(K402/K446, "NA")</f>
        <v>NA</v>
      </c>
      <c r="M402" s="14"/>
      <c r="N402" s="15">
        <f t="shared" si="114"/>
        <v>0</v>
      </c>
      <c r="O402" s="13" t="str">
        <f>IFERROR(N402/N446, "NA")</f>
        <v>NA</v>
      </c>
      <c r="P402" s="14"/>
      <c r="Q402" s="12">
        <v>0.0</v>
      </c>
      <c r="R402" s="13" t="str">
        <f>IFERROR(Q402/Q446, "NA")</f>
        <v>NA</v>
      </c>
      <c r="S402" s="14"/>
      <c r="T402" s="12">
        <v>0.0</v>
      </c>
      <c r="U402" s="13" t="str">
        <f>IFERROR(T402/T446, "NA")</f>
        <v>NA</v>
      </c>
      <c r="V402" s="14"/>
      <c r="W402" s="15">
        <f t="shared" si="115"/>
        <v>0</v>
      </c>
      <c r="X402" s="13" t="str">
        <f>IFERROR(W402/W446, "NA")</f>
        <v>NA</v>
      </c>
      <c r="Y402" s="14"/>
      <c r="Z402" s="12">
        <v>0.0</v>
      </c>
      <c r="AA402" s="13" t="str">
        <f>IFERROR(Z402/Z446, "NA")</f>
        <v>NA</v>
      </c>
      <c r="AB402" s="14"/>
      <c r="AC402" s="15">
        <f t="shared" si="116"/>
        <v>0</v>
      </c>
      <c r="AD402" s="13" t="str">
        <f>IFERROR(AC402/AC446, "NA")</f>
        <v>NA</v>
      </c>
    </row>
    <row r="403" ht="16.5" hidden="1" customHeight="1">
      <c r="A403" s="11" t="s">
        <v>372</v>
      </c>
      <c r="B403" s="12">
        <v>0.0</v>
      </c>
      <c r="C403" s="13" t="str">
        <f>IFERROR(B403/B446, "NA")</f>
        <v>NA</v>
      </c>
      <c r="D403" s="14"/>
      <c r="E403" s="12">
        <v>0.0</v>
      </c>
      <c r="F403" s="13" t="str">
        <f>IFERROR(E403/E446, "NA")</f>
        <v>NA</v>
      </c>
      <c r="G403" s="14"/>
      <c r="H403" s="15">
        <f t="shared" si="113"/>
        <v>0</v>
      </c>
      <c r="I403" s="13" t="str">
        <f>IFERROR(H403/H446, "NA")</f>
        <v>NA</v>
      </c>
      <c r="J403" s="14"/>
      <c r="K403" s="12">
        <v>0.0</v>
      </c>
      <c r="L403" s="13" t="str">
        <f>IFERROR(K403/K446, "NA")</f>
        <v>NA</v>
      </c>
      <c r="M403" s="14"/>
      <c r="N403" s="15">
        <f t="shared" si="114"/>
        <v>0</v>
      </c>
      <c r="O403" s="13" t="str">
        <f>IFERROR(N403/N446, "NA")</f>
        <v>NA</v>
      </c>
      <c r="P403" s="14"/>
      <c r="Q403" s="12">
        <v>0.0</v>
      </c>
      <c r="R403" s="13" t="str">
        <f>IFERROR(Q403/Q446, "NA")</f>
        <v>NA</v>
      </c>
      <c r="S403" s="14"/>
      <c r="T403" s="12">
        <v>0.0</v>
      </c>
      <c r="U403" s="13" t="str">
        <f>IFERROR(T403/T446, "NA")</f>
        <v>NA</v>
      </c>
      <c r="V403" s="14"/>
      <c r="W403" s="15">
        <f t="shared" si="115"/>
        <v>0</v>
      </c>
      <c r="X403" s="13" t="str">
        <f>IFERROR(W403/W446, "NA")</f>
        <v>NA</v>
      </c>
      <c r="Y403" s="14"/>
      <c r="Z403" s="12">
        <v>0.0</v>
      </c>
      <c r="AA403" s="13" t="str">
        <f>IFERROR(Z403/Z446, "NA")</f>
        <v>NA</v>
      </c>
      <c r="AB403" s="14"/>
      <c r="AC403" s="15">
        <f t="shared" si="116"/>
        <v>0</v>
      </c>
      <c r="AD403" s="13" t="str">
        <f>IFERROR(AC403/AC446, "NA")</f>
        <v>NA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96605.47</v>
      </c>
      <c r="C404" s="18" t="str">
        <f>IFERROR(B404/B446, "NA")</f>
        <v>NA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109987.92</v>
      </c>
      <c r="F404" s="18" t="str">
        <f>IFERROR(E404/E446, "NA")</f>
        <v>NA</v>
      </c>
      <c r="G404" s="8"/>
      <c r="H404" s="17">
        <f t="shared" si="113"/>
        <v>13382.45</v>
      </c>
      <c r="I404" s="18" t="str">
        <f>IFERROR(H404/H446, "NA")</f>
        <v>NA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118397.74</v>
      </c>
      <c r="L404" s="18" t="str">
        <f>IFERROR(K404/K446, "NA")</f>
        <v>NA</v>
      </c>
      <c r="M404" s="8"/>
      <c r="N404" s="17">
        <f t="shared" si="114"/>
        <v>21792.27</v>
      </c>
      <c r="O404" s="18" t="str">
        <f>IFERROR(N404/N446, "NA")</f>
        <v>NA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832079.42</v>
      </c>
      <c r="R404" s="18" t="str">
        <f>IFERROR(Q404/Q446, "NA")</f>
        <v>NA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910704.01</v>
      </c>
      <c r="U404" s="18" t="str">
        <f>IFERROR(T404/T446, "NA")</f>
        <v>NA</v>
      </c>
      <c r="V404" s="8"/>
      <c r="W404" s="17">
        <f t="shared" si="115"/>
        <v>78624.59</v>
      </c>
      <c r="X404" s="18" t="str">
        <f>IFERROR(W404/W446, "NA")</f>
        <v>NA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1049639.18</v>
      </c>
      <c r="AA404" s="18" t="str">
        <f>IFERROR(Z404/Z446, "NA")</f>
        <v>NA</v>
      </c>
      <c r="AB404" s="8"/>
      <c r="AC404" s="17">
        <f t="shared" si="116"/>
        <v>217559.76</v>
      </c>
      <c r="AD404" s="18" t="str">
        <f>IFERROR(AC404/AC446, "NA")</f>
        <v>NA</v>
      </c>
    </row>
    <row r="405" ht="16.5" customHeight="1">
      <c r="A405" s="19" t="s">
        <v>374</v>
      </c>
      <c r="B405" s="20">
        <f>IFERROR(B346-B404, "NA")</f>
        <v>-96605.47</v>
      </c>
      <c r="C405" s="21" t="str">
        <f>IFERROR(B405/B446, "NA")</f>
        <v>NA</v>
      </c>
      <c r="D405" s="22"/>
      <c r="E405" s="20">
        <f>IFERROR(E346-E404, "NA")</f>
        <v>-109987.92</v>
      </c>
      <c r="F405" s="21" t="str">
        <f>IFERROR(E405/E446, "NA")</f>
        <v>NA</v>
      </c>
      <c r="G405" s="22"/>
      <c r="H405" s="20">
        <f>IFERROR(B405-E405, "NA")</f>
        <v>13382.45</v>
      </c>
      <c r="I405" s="21" t="str">
        <f>IFERROR(H405/H446, "NA")</f>
        <v>NA</v>
      </c>
      <c r="J405" s="22"/>
      <c r="K405" s="20">
        <f>IFERROR(K346-K404, "NA")</f>
        <v>-118397.74</v>
      </c>
      <c r="L405" s="21" t="str">
        <f>IFERROR(K405/K446, "NA")</f>
        <v>NA</v>
      </c>
      <c r="M405" s="22"/>
      <c r="N405" s="20">
        <f>IFERROR(B405-K405, "NA")</f>
        <v>21792.27</v>
      </c>
      <c r="O405" s="21" t="str">
        <f>IFERROR(N405/N446, "NA")</f>
        <v>NA</v>
      </c>
      <c r="P405" s="22"/>
      <c r="Q405" s="20">
        <f>IFERROR(Q346-Q404, "NA")</f>
        <v>-832079.42</v>
      </c>
      <c r="R405" s="21" t="str">
        <f>IFERROR(Q405/Q446, "NA")</f>
        <v>NA</v>
      </c>
      <c r="S405" s="22"/>
      <c r="T405" s="20">
        <f>IFERROR(T346-T404, "NA")</f>
        <v>-910704.01</v>
      </c>
      <c r="U405" s="21" t="str">
        <f>IFERROR(T405/T446, "NA")</f>
        <v>NA</v>
      </c>
      <c r="V405" s="22"/>
      <c r="W405" s="20">
        <f>IFERROR(Q405-T405, "NA")</f>
        <v>78624.59</v>
      </c>
      <c r="X405" s="21" t="str">
        <f>IFERROR(W405/W446, "NA")</f>
        <v>NA</v>
      </c>
      <c r="Y405" s="22"/>
      <c r="Z405" s="20">
        <f>IFERROR(Z346-Z404, "NA")</f>
        <v>-1049639.18</v>
      </c>
      <c r="AA405" s="21" t="str">
        <f>IFERROR(Z405/Z446, "NA")</f>
        <v>NA</v>
      </c>
      <c r="AB405" s="22"/>
      <c r="AC405" s="20">
        <f>IFERROR(Q405-Z405, "NA")</f>
        <v>217559.76</v>
      </c>
      <c r="AD405" s="21" t="str">
        <f>IFERROR(AC405/AC446, "NA")</f>
        <v>NA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 t="str">
        <f>IFERROR(B408/B446, "NA")</f>
        <v>NA</v>
      </c>
      <c r="D408" s="14"/>
      <c r="E408" s="12">
        <v>-13500.0</v>
      </c>
      <c r="F408" s="13" t="str">
        <f>IFERROR(E408/E446, "NA")</f>
        <v>NA</v>
      </c>
      <c r="G408" s="14"/>
      <c r="H408" s="15">
        <f t="shared" ref="H408:H431" si="117">IFERROR(-(B408-E408), "NA")</f>
        <v>-13500</v>
      </c>
      <c r="I408" s="13" t="str">
        <f>IFERROR(H408/H446, "NA")</f>
        <v>NA</v>
      </c>
      <c r="J408" s="14"/>
      <c r="K408" s="12">
        <v>0.0</v>
      </c>
      <c r="L408" s="13" t="str">
        <f>IFERROR(K408/K446, "NA")</f>
        <v>NA</v>
      </c>
      <c r="M408" s="14"/>
      <c r="N408" s="15">
        <f t="shared" ref="N408:N431" si="118">IFERROR(-(B408-K408), "NA")</f>
        <v>0</v>
      </c>
      <c r="O408" s="13" t="str">
        <f>IFERROR(N408/N446, "NA")</f>
        <v>NA</v>
      </c>
      <c r="P408" s="14"/>
      <c r="Q408" s="12">
        <v>0.0</v>
      </c>
      <c r="R408" s="13" t="str">
        <f>IFERROR(Q408/Q446, "NA")</f>
        <v>NA</v>
      </c>
      <c r="S408" s="14"/>
      <c r="T408" s="12">
        <v>-108000.0</v>
      </c>
      <c r="U408" s="13" t="str">
        <f>IFERROR(T408/T446, "NA")</f>
        <v>NA</v>
      </c>
      <c r="V408" s="14"/>
      <c r="W408" s="15">
        <f t="shared" ref="W408:W431" si="119">IFERROR(-(Q408-T408), "NA")</f>
        <v>-108000</v>
      </c>
      <c r="X408" s="13" t="str">
        <f>IFERROR(W408/W446, "NA")</f>
        <v>NA</v>
      </c>
      <c r="Y408" s="14"/>
      <c r="Z408" s="12">
        <v>0.0</v>
      </c>
      <c r="AA408" s="13" t="str">
        <f>IFERROR(Z408/Z446, "NA")</f>
        <v>NA</v>
      </c>
      <c r="AB408" s="14"/>
      <c r="AC408" s="15">
        <f t="shared" ref="AC408:AC431" si="120">IFERROR(-(Q408-Z408), "NA")</f>
        <v>0</v>
      </c>
      <c r="AD408" s="13" t="str">
        <f>IFERROR(AC408/AC446, "NA")</f>
        <v>NA</v>
      </c>
    </row>
    <row r="409" ht="16.5" hidden="1" customHeight="1">
      <c r="A409" s="11" t="s">
        <v>377</v>
      </c>
      <c r="B409" s="12">
        <v>0.0</v>
      </c>
      <c r="C409" s="13" t="str">
        <f>IFERROR(B409/B446, "NA")</f>
        <v>NA</v>
      </c>
      <c r="D409" s="14"/>
      <c r="E409" s="12">
        <v>0.0</v>
      </c>
      <c r="F409" s="13" t="str">
        <f>IFERROR(E409/E446, "NA")</f>
        <v>NA</v>
      </c>
      <c r="G409" s="14"/>
      <c r="H409" s="15">
        <f t="shared" si="117"/>
        <v>0</v>
      </c>
      <c r="I409" s="13" t="str">
        <f>IFERROR(H409/H446, "NA")</f>
        <v>NA</v>
      </c>
      <c r="J409" s="14"/>
      <c r="K409" s="12">
        <v>0.0</v>
      </c>
      <c r="L409" s="13" t="str">
        <f>IFERROR(K409/K446, "NA")</f>
        <v>NA</v>
      </c>
      <c r="M409" s="14"/>
      <c r="N409" s="15">
        <f t="shared" si="118"/>
        <v>0</v>
      </c>
      <c r="O409" s="13" t="str">
        <f>IFERROR(N409/N446, "NA")</f>
        <v>NA</v>
      </c>
      <c r="P409" s="14"/>
      <c r="Q409" s="12">
        <v>0.0</v>
      </c>
      <c r="R409" s="13" t="str">
        <f>IFERROR(Q409/Q446, "NA")</f>
        <v>NA</v>
      </c>
      <c r="S409" s="14"/>
      <c r="T409" s="12">
        <v>0.0</v>
      </c>
      <c r="U409" s="13" t="str">
        <f>IFERROR(T409/T446, "NA")</f>
        <v>NA</v>
      </c>
      <c r="V409" s="14"/>
      <c r="W409" s="15">
        <f t="shared" si="119"/>
        <v>0</v>
      </c>
      <c r="X409" s="13" t="str">
        <f>IFERROR(W409/W446, "NA")</f>
        <v>NA</v>
      </c>
      <c r="Y409" s="14"/>
      <c r="Z409" s="12">
        <v>0.0</v>
      </c>
      <c r="AA409" s="13" t="str">
        <f>IFERROR(Z409/Z446, "NA")</f>
        <v>NA</v>
      </c>
      <c r="AB409" s="14"/>
      <c r="AC409" s="15">
        <f t="shared" si="120"/>
        <v>0</v>
      </c>
      <c r="AD409" s="13" t="str">
        <f>IFERROR(AC409/AC446, "NA")</f>
        <v>NA</v>
      </c>
    </row>
    <row r="410" ht="16.5" hidden="1" customHeight="1">
      <c r="A410" s="11" t="s">
        <v>378</v>
      </c>
      <c r="B410" s="12">
        <v>0.0</v>
      </c>
      <c r="C410" s="13" t="str">
        <f>IFERROR(B410/B446, "NA")</f>
        <v>NA</v>
      </c>
      <c r="D410" s="14"/>
      <c r="E410" s="12">
        <v>0.0</v>
      </c>
      <c r="F410" s="13" t="str">
        <f>IFERROR(E410/E446, "NA")</f>
        <v>NA</v>
      </c>
      <c r="G410" s="14"/>
      <c r="H410" s="15">
        <f t="shared" si="117"/>
        <v>0</v>
      </c>
      <c r="I410" s="13" t="str">
        <f>IFERROR(H410/H446, "NA")</f>
        <v>NA</v>
      </c>
      <c r="J410" s="14"/>
      <c r="K410" s="12">
        <v>0.0</v>
      </c>
      <c r="L410" s="13" t="str">
        <f>IFERROR(K410/K446, "NA")</f>
        <v>NA</v>
      </c>
      <c r="M410" s="14"/>
      <c r="N410" s="15">
        <f t="shared" si="118"/>
        <v>0</v>
      </c>
      <c r="O410" s="13" t="str">
        <f>IFERROR(N410/N446, "NA")</f>
        <v>NA</v>
      </c>
      <c r="P410" s="14"/>
      <c r="Q410" s="12">
        <v>0.0</v>
      </c>
      <c r="R410" s="13" t="str">
        <f>IFERROR(Q410/Q446, "NA")</f>
        <v>NA</v>
      </c>
      <c r="S410" s="14"/>
      <c r="T410" s="12">
        <v>0.0</v>
      </c>
      <c r="U410" s="13" t="str">
        <f>IFERROR(T410/T446, "NA")</f>
        <v>NA</v>
      </c>
      <c r="V410" s="14"/>
      <c r="W410" s="15">
        <f t="shared" si="119"/>
        <v>0</v>
      </c>
      <c r="X410" s="13" t="str">
        <f>IFERROR(W410/W446, "NA")</f>
        <v>NA</v>
      </c>
      <c r="Y410" s="14"/>
      <c r="Z410" s="12">
        <v>0.0</v>
      </c>
      <c r="AA410" s="13" t="str">
        <f>IFERROR(Z410/Z446, "NA")</f>
        <v>NA</v>
      </c>
      <c r="AB410" s="14"/>
      <c r="AC410" s="15">
        <f t="shared" si="120"/>
        <v>0</v>
      </c>
      <c r="AD410" s="13" t="str">
        <f>IFERROR(AC410/AC446, "NA")</f>
        <v>NA</v>
      </c>
    </row>
    <row r="411" ht="16.5" customHeight="1">
      <c r="A411" s="11" t="s">
        <v>379</v>
      </c>
      <c r="B411" s="12">
        <v>412.26</v>
      </c>
      <c r="C411" s="13" t="str">
        <f>IFERROR(B411/B446, "NA")</f>
        <v>NA</v>
      </c>
      <c r="D411" s="14"/>
      <c r="E411" s="12">
        <v>0.0</v>
      </c>
      <c r="F411" s="13" t="str">
        <f>IFERROR(E411/E446, "NA")</f>
        <v>NA</v>
      </c>
      <c r="G411" s="14"/>
      <c r="H411" s="15">
        <f t="shared" si="117"/>
        <v>-412.26</v>
      </c>
      <c r="I411" s="13" t="str">
        <f>IFERROR(H411/H446, "NA")</f>
        <v>NA</v>
      </c>
      <c r="J411" s="14"/>
      <c r="K411" s="12">
        <v>59.7</v>
      </c>
      <c r="L411" s="13" t="str">
        <f>IFERROR(K411/K446, "NA")</f>
        <v>NA</v>
      </c>
      <c r="M411" s="14"/>
      <c r="N411" s="15">
        <f t="shared" si="118"/>
        <v>-352.56</v>
      </c>
      <c r="O411" s="13" t="str">
        <f>IFERROR(N411/N446, "NA")</f>
        <v>NA</v>
      </c>
      <c r="P411" s="14"/>
      <c r="Q411" s="12">
        <v>1182.72</v>
      </c>
      <c r="R411" s="13" t="str">
        <f>IFERROR(Q411/Q446, "NA")</f>
        <v>NA</v>
      </c>
      <c r="S411" s="14"/>
      <c r="T411" s="12">
        <v>0.0</v>
      </c>
      <c r="U411" s="13" t="str">
        <f>IFERROR(T411/T446, "NA")</f>
        <v>NA</v>
      </c>
      <c r="V411" s="14"/>
      <c r="W411" s="15">
        <f t="shared" si="119"/>
        <v>-1182.72</v>
      </c>
      <c r="X411" s="13" t="str">
        <f>IFERROR(W411/W446, "NA")</f>
        <v>NA</v>
      </c>
      <c r="Y411" s="14"/>
      <c r="Z411" s="12">
        <v>602.79</v>
      </c>
      <c r="AA411" s="13" t="str">
        <f>IFERROR(Z411/Z446, "NA")</f>
        <v>NA</v>
      </c>
      <c r="AB411" s="14"/>
      <c r="AC411" s="15">
        <f t="shared" si="120"/>
        <v>-579.93</v>
      </c>
      <c r="AD411" s="13" t="str">
        <f>IFERROR(AC411/AC446, "NA")</f>
        <v>NA</v>
      </c>
    </row>
    <row r="412" ht="16.5" customHeight="1">
      <c r="A412" s="11" t="s">
        <v>380</v>
      </c>
      <c r="B412" s="12">
        <v>268.37</v>
      </c>
      <c r="C412" s="13" t="str">
        <f>IFERROR(B412/B446, "NA")</f>
        <v>NA</v>
      </c>
      <c r="D412" s="14"/>
      <c r="E412" s="12">
        <v>0.0</v>
      </c>
      <c r="F412" s="13" t="str">
        <f>IFERROR(E412/E446, "NA")</f>
        <v>NA</v>
      </c>
      <c r="G412" s="14"/>
      <c r="H412" s="15">
        <f t="shared" si="117"/>
        <v>-268.37</v>
      </c>
      <c r="I412" s="13" t="str">
        <f>IFERROR(H412/H446, "NA")</f>
        <v>NA</v>
      </c>
      <c r="J412" s="14"/>
      <c r="K412" s="12">
        <v>268.37</v>
      </c>
      <c r="L412" s="13" t="str">
        <f>IFERROR(K412/K446, "NA")</f>
        <v>NA</v>
      </c>
      <c r="M412" s="14"/>
      <c r="N412" s="15">
        <f t="shared" si="118"/>
        <v>0</v>
      </c>
      <c r="O412" s="13" t="str">
        <f>IFERROR(N412/N446, "NA")</f>
        <v>NA</v>
      </c>
      <c r="P412" s="14"/>
      <c r="Q412" s="12">
        <v>2146.97</v>
      </c>
      <c r="R412" s="13" t="str">
        <f>IFERROR(Q412/Q446, "NA")</f>
        <v>NA</v>
      </c>
      <c r="S412" s="14"/>
      <c r="T412" s="12">
        <v>0.0</v>
      </c>
      <c r="U412" s="13" t="str">
        <f>IFERROR(T412/T446, "NA")</f>
        <v>NA</v>
      </c>
      <c r="V412" s="14"/>
      <c r="W412" s="15">
        <f t="shared" si="119"/>
        <v>-2146.97</v>
      </c>
      <c r="X412" s="13" t="str">
        <f>IFERROR(W412/W446, "NA")</f>
        <v>NA</v>
      </c>
      <c r="Y412" s="14"/>
      <c r="Z412" s="12">
        <v>1878.59</v>
      </c>
      <c r="AA412" s="13" t="str">
        <f>IFERROR(Z412/Z446, "NA")</f>
        <v>NA</v>
      </c>
      <c r="AB412" s="14"/>
      <c r="AC412" s="15">
        <f t="shared" si="120"/>
        <v>-268.38</v>
      </c>
      <c r="AD412" s="13" t="str">
        <f>IFERROR(AC412/AC446, "NA")</f>
        <v>NA</v>
      </c>
    </row>
    <row r="413" ht="16.5" hidden="1" customHeight="1">
      <c r="A413" s="11" t="s">
        <v>381</v>
      </c>
      <c r="B413" s="12">
        <v>0.0</v>
      </c>
      <c r="C413" s="13" t="str">
        <f>IFERROR(B413/B446, "NA")</f>
        <v>NA</v>
      </c>
      <c r="D413" s="14"/>
      <c r="E413" s="12">
        <v>0.0</v>
      </c>
      <c r="F413" s="13" t="str">
        <f>IFERROR(E413/E446, "NA")</f>
        <v>NA</v>
      </c>
      <c r="G413" s="14"/>
      <c r="H413" s="15">
        <f t="shared" si="117"/>
        <v>0</v>
      </c>
      <c r="I413" s="13" t="str">
        <f>IFERROR(H413/H446, "NA")</f>
        <v>NA</v>
      </c>
      <c r="J413" s="14"/>
      <c r="K413" s="12">
        <v>0.0</v>
      </c>
      <c r="L413" s="13" t="str">
        <f>IFERROR(K413/K446, "NA")</f>
        <v>NA</v>
      </c>
      <c r="M413" s="14"/>
      <c r="N413" s="15">
        <f t="shared" si="118"/>
        <v>0</v>
      </c>
      <c r="O413" s="13" t="str">
        <f>IFERROR(N413/N446, "NA")</f>
        <v>NA</v>
      </c>
      <c r="P413" s="14"/>
      <c r="Q413" s="12">
        <v>0.0</v>
      </c>
      <c r="R413" s="13" t="str">
        <f>IFERROR(Q413/Q446, "NA")</f>
        <v>NA</v>
      </c>
      <c r="S413" s="14"/>
      <c r="T413" s="12">
        <v>0.0</v>
      </c>
      <c r="U413" s="13" t="str">
        <f>IFERROR(T413/T446, "NA")</f>
        <v>NA</v>
      </c>
      <c r="V413" s="14"/>
      <c r="W413" s="15">
        <f t="shared" si="119"/>
        <v>0</v>
      </c>
      <c r="X413" s="13" t="str">
        <f>IFERROR(W413/W446, "NA")</f>
        <v>NA</v>
      </c>
      <c r="Y413" s="14"/>
      <c r="Z413" s="12">
        <v>0.0</v>
      </c>
      <c r="AA413" s="13" t="str">
        <f>IFERROR(Z413/Z446, "NA")</f>
        <v>NA</v>
      </c>
      <c r="AB413" s="14"/>
      <c r="AC413" s="15">
        <f t="shared" si="120"/>
        <v>0</v>
      </c>
      <c r="AD413" s="13" t="str">
        <f>IFERROR(AC413/AC446, "NA")</f>
        <v>NA</v>
      </c>
    </row>
    <row r="414" ht="16.5" hidden="1" customHeight="1">
      <c r="A414" s="11" t="s">
        <v>382</v>
      </c>
      <c r="B414" s="12">
        <v>0.0</v>
      </c>
      <c r="C414" s="13" t="str">
        <f>IFERROR(B414/B446, "NA")</f>
        <v>NA</v>
      </c>
      <c r="D414" s="14"/>
      <c r="E414" s="12">
        <v>0.0</v>
      </c>
      <c r="F414" s="13" t="str">
        <f>IFERROR(E414/E446, "NA")</f>
        <v>NA</v>
      </c>
      <c r="G414" s="14"/>
      <c r="H414" s="15">
        <f t="shared" si="117"/>
        <v>0</v>
      </c>
      <c r="I414" s="13" t="str">
        <f>IFERROR(H414/H446, "NA")</f>
        <v>NA</v>
      </c>
      <c r="J414" s="14"/>
      <c r="K414" s="12">
        <v>0.0</v>
      </c>
      <c r="L414" s="13" t="str">
        <f>IFERROR(K414/K446, "NA")</f>
        <v>NA</v>
      </c>
      <c r="M414" s="14"/>
      <c r="N414" s="15">
        <f t="shared" si="118"/>
        <v>0</v>
      </c>
      <c r="O414" s="13" t="str">
        <f>IFERROR(N414/N446, "NA")</f>
        <v>NA</v>
      </c>
      <c r="P414" s="14"/>
      <c r="Q414" s="12">
        <v>0.0</v>
      </c>
      <c r="R414" s="13" t="str">
        <f>IFERROR(Q414/Q446, "NA")</f>
        <v>NA</v>
      </c>
      <c r="S414" s="14"/>
      <c r="T414" s="12">
        <v>0.0</v>
      </c>
      <c r="U414" s="13" t="str">
        <f>IFERROR(T414/T446, "NA")</f>
        <v>NA</v>
      </c>
      <c r="V414" s="14"/>
      <c r="W414" s="15">
        <f t="shared" si="119"/>
        <v>0</v>
      </c>
      <c r="X414" s="13" t="str">
        <f>IFERROR(W414/W446, "NA")</f>
        <v>NA</v>
      </c>
      <c r="Y414" s="14"/>
      <c r="Z414" s="12">
        <v>0.0</v>
      </c>
      <c r="AA414" s="13" t="str">
        <f>IFERROR(Z414/Z446, "NA")</f>
        <v>NA</v>
      </c>
      <c r="AB414" s="14"/>
      <c r="AC414" s="15">
        <f t="shared" si="120"/>
        <v>0</v>
      </c>
      <c r="AD414" s="13" t="str">
        <f>IFERROR(AC414/AC446, "NA")</f>
        <v>NA</v>
      </c>
    </row>
    <row r="415" ht="16.5" hidden="1" customHeight="1">
      <c r="A415" s="11" t="s">
        <v>383</v>
      </c>
      <c r="B415" s="12">
        <v>0.0</v>
      </c>
      <c r="C415" s="13" t="str">
        <f>IFERROR(B415/B446, "NA")</f>
        <v>NA</v>
      </c>
      <c r="D415" s="14"/>
      <c r="E415" s="12">
        <v>0.0</v>
      </c>
      <c r="F415" s="13" t="str">
        <f>IFERROR(E415/E446, "NA")</f>
        <v>NA</v>
      </c>
      <c r="G415" s="14"/>
      <c r="H415" s="15">
        <f t="shared" si="117"/>
        <v>0</v>
      </c>
      <c r="I415" s="13" t="str">
        <f>IFERROR(H415/H446, "NA")</f>
        <v>NA</v>
      </c>
      <c r="J415" s="14"/>
      <c r="K415" s="12">
        <v>0.0</v>
      </c>
      <c r="L415" s="13" t="str">
        <f>IFERROR(K415/K446, "NA")</f>
        <v>NA</v>
      </c>
      <c r="M415" s="14"/>
      <c r="N415" s="15">
        <f t="shared" si="118"/>
        <v>0</v>
      </c>
      <c r="O415" s="13" t="str">
        <f>IFERROR(N415/N446, "NA")</f>
        <v>NA</v>
      </c>
      <c r="P415" s="14"/>
      <c r="Q415" s="12">
        <v>0.0</v>
      </c>
      <c r="R415" s="13" t="str">
        <f>IFERROR(Q415/Q446, "NA")</f>
        <v>NA</v>
      </c>
      <c r="S415" s="14"/>
      <c r="T415" s="12">
        <v>0.0</v>
      </c>
      <c r="U415" s="13" t="str">
        <f>IFERROR(T415/T446, "NA")</f>
        <v>NA</v>
      </c>
      <c r="V415" s="14"/>
      <c r="W415" s="15">
        <f t="shared" si="119"/>
        <v>0</v>
      </c>
      <c r="X415" s="13" t="str">
        <f>IFERROR(W415/W446, "NA")</f>
        <v>NA</v>
      </c>
      <c r="Y415" s="14"/>
      <c r="Z415" s="12">
        <v>0.0</v>
      </c>
      <c r="AA415" s="13" t="str">
        <f>IFERROR(Z415/Z446, "NA")</f>
        <v>NA</v>
      </c>
      <c r="AB415" s="14"/>
      <c r="AC415" s="15">
        <f t="shared" si="120"/>
        <v>0</v>
      </c>
      <c r="AD415" s="13" t="str">
        <f>IFERROR(AC415/AC446, "NA")</f>
        <v>NA</v>
      </c>
    </row>
    <row r="416" ht="16.5" hidden="1" customHeight="1">
      <c r="A416" s="11" t="s">
        <v>384</v>
      </c>
      <c r="B416" s="12">
        <v>0.0</v>
      </c>
      <c r="C416" s="13" t="str">
        <f>IFERROR(B416/B446, "NA")</f>
        <v>NA</v>
      </c>
      <c r="D416" s="14"/>
      <c r="E416" s="12">
        <v>0.0</v>
      </c>
      <c r="F416" s="13" t="str">
        <f>IFERROR(E416/E446, "NA")</f>
        <v>NA</v>
      </c>
      <c r="G416" s="14"/>
      <c r="H416" s="15">
        <f t="shared" si="117"/>
        <v>0</v>
      </c>
      <c r="I416" s="13" t="str">
        <f>IFERROR(H416/H446, "NA")</f>
        <v>NA</v>
      </c>
      <c r="J416" s="14"/>
      <c r="K416" s="12">
        <v>0.0</v>
      </c>
      <c r="L416" s="13" t="str">
        <f>IFERROR(K416/K446, "NA")</f>
        <v>NA</v>
      </c>
      <c r="M416" s="14"/>
      <c r="N416" s="15">
        <f t="shared" si="118"/>
        <v>0</v>
      </c>
      <c r="O416" s="13" t="str">
        <f>IFERROR(N416/N446, "NA")</f>
        <v>NA</v>
      </c>
      <c r="P416" s="14"/>
      <c r="Q416" s="12">
        <v>0.0</v>
      </c>
      <c r="R416" s="13" t="str">
        <f>IFERROR(Q416/Q446, "NA")</f>
        <v>NA</v>
      </c>
      <c r="S416" s="14"/>
      <c r="T416" s="12">
        <v>0.0</v>
      </c>
      <c r="U416" s="13" t="str">
        <f>IFERROR(T416/T446, "NA")</f>
        <v>NA</v>
      </c>
      <c r="V416" s="14"/>
      <c r="W416" s="15">
        <f t="shared" si="119"/>
        <v>0</v>
      </c>
      <c r="X416" s="13" t="str">
        <f>IFERROR(W416/W446, "NA")</f>
        <v>NA</v>
      </c>
      <c r="Y416" s="14"/>
      <c r="Z416" s="12">
        <v>0.0</v>
      </c>
      <c r="AA416" s="13" t="str">
        <f>IFERROR(Z416/Z446, "NA")</f>
        <v>NA</v>
      </c>
      <c r="AB416" s="14"/>
      <c r="AC416" s="15">
        <f t="shared" si="120"/>
        <v>0</v>
      </c>
      <c r="AD416" s="13" t="str">
        <f>IFERROR(AC416/AC446, "NA")</f>
        <v>NA</v>
      </c>
    </row>
    <row r="417" ht="16.5" hidden="1" customHeight="1">
      <c r="A417" s="11" t="s">
        <v>385</v>
      </c>
      <c r="B417" s="12">
        <v>0.0</v>
      </c>
      <c r="C417" s="13" t="str">
        <f>IFERROR(B417/B446, "NA")</f>
        <v>NA</v>
      </c>
      <c r="D417" s="14"/>
      <c r="E417" s="12">
        <v>0.0</v>
      </c>
      <c r="F417" s="13" t="str">
        <f>IFERROR(E417/E446, "NA")</f>
        <v>NA</v>
      </c>
      <c r="G417" s="14"/>
      <c r="H417" s="15">
        <f t="shared" si="117"/>
        <v>0</v>
      </c>
      <c r="I417" s="13" t="str">
        <f>IFERROR(H417/H446, "NA")</f>
        <v>NA</v>
      </c>
      <c r="J417" s="14"/>
      <c r="K417" s="12">
        <v>0.0</v>
      </c>
      <c r="L417" s="13" t="str">
        <f>IFERROR(K417/K446, "NA")</f>
        <v>NA</v>
      </c>
      <c r="M417" s="14"/>
      <c r="N417" s="15">
        <f t="shared" si="118"/>
        <v>0</v>
      </c>
      <c r="O417" s="13" t="str">
        <f>IFERROR(N417/N446, "NA")</f>
        <v>NA</v>
      </c>
      <c r="P417" s="14"/>
      <c r="Q417" s="12">
        <v>0.0</v>
      </c>
      <c r="R417" s="13" t="str">
        <f>IFERROR(Q417/Q446, "NA")</f>
        <v>NA</v>
      </c>
      <c r="S417" s="14"/>
      <c r="T417" s="12">
        <v>0.0</v>
      </c>
      <c r="U417" s="13" t="str">
        <f>IFERROR(T417/T446, "NA")</f>
        <v>NA</v>
      </c>
      <c r="V417" s="14"/>
      <c r="W417" s="15">
        <f t="shared" si="119"/>
        <v>0</v>
      </c>
      <c r="X417" s="13" t="str">
        <f>IFERROR(W417/W446, "NA")</f>
        <v>NA</v>
      </c>
      <c r="Y417" s="14"/>
      <c r="Z417" s="12">
        <v>0.0</v>
      </c>
      <c r="AA417" s="13" t="str">
        <f>IFERROR(Z417/Z446, "NA")</f>
        <v>NA</v>
      </c>
      <c r="AB417" s="14"/>
      <c r="AC417" s="15">
        <f t="shared" si="120"/>
        <v>0</v>
      </c>
      <c r="AD417" s="13" t="str">
        <f>IFERROR(AC417/AC446, "NA")</f>
        <v>NA</v>
      </c>
    </row>
    <row r="418" ht="16.5" hidden="1" customHeight="1">
      <c r="A418" s="11" t="s">
        <v>386</v>
      </c>
      <c r="B418" s="12">
        <v>0.0</v>
      </c>
      <c r="C418" s="13" t="str">
        <f>IFERROR(B418/B446, "NA")</f>
        <v>NA</v>
      </c>
      <c r="D418" s="14"/>
      <c r="E418" s="12">
        <v>0.0</v>
      </c>
      <c r="F418" s="13" t="str">
        <f>IFERROR(E418/E446, "NA")</f>
        <v>NA</v>
      </c>
      <c r="G418" s="14"/>
      <c r="H418" s="15">
        <f t="shared" si="117"/>
        <v>0</v>
      </c>
      <c r="I418" s="13" t="str">
        <f>IFERROR(H418/H446, "NA")</f>
        <v>NA</v>
      </c>
      <c r="J418" s="14"/>
      <c r="K418" s="12">
        <v>0.0</v>
      </c>
      <c r="L418" s="13" t="str">
        <f>IFERROR(K418/K446, "NA")</f>
        <v>NA</v>
      </c>
      <c r="M418" s="14"/>
      <c r="N418" s="15">
        <f t="shared" si="118"/>
        <v>0</v>
      </c>
      <c r="O418" s="13" t="str">
        <f>IFERROR(N418/N446, "NA")</f>
        <v>NA</v>
      </c>
      <c r="P418" s="14"/>
      <c r="Q418" s="12">
        <v>0.0</v>
      </c>
      <c r="R418" s="13" t="str">
        <f>IFERROR(Q418/Q446, "NA")</f>
        <v>NA</v>
      </c>
      <c r="S418" s="14"/>
      <c r="T418" s="12">
        <v>0.0</v>
      </c>
      <c r="U418" s="13" t="str">
        <f>IFERROR(T418/T446, "NA")</f>
        <v>NA</v>
      </c>
      <c r="V418" s="14"/>
      <c r="W418" s="15">
        <f t="shared" si="119"/>
        <v>0</v>
      </c>
      <c r="X418" s="13" t="str">
        <f>IFERROR(W418/W446, "NA")</f>
        <v>NA</v>
      </c>
      <c r="Y418" s="14"/>
      <c r="Z418" s="12">
        <v>0.0</v>
      </c>
      <c r="AA418" s="13" t="str">
        <f>IFERROR(Z418/Z446, "NA")</f>
        <v>NA</v>
      </c>
      <c r="AB418" s="14"/>
      <c r="AC418" s="15">
        <f t="shared" si="120"/>
        <v>0</v>
      </c>
      <c r="AD418" s="13" t="str">
        <f>IFERROR(AC418/AC446, "NA")</f>
        <v>NA</v>
      </c>
    </row>
    <row r="419" ht="16.5" customHeight="1">
      <c r="A419" s="11" t="s">
        <v>387</v>
      </c>
      <c r="B419" s="12">
        <v>0.0</v>
      </c>
      <c r="C419" s="13" t="str">
        <f>IFERROR(B419/B446, "NA")</f>
        <v>NA</v>
      </c>
      <c r="D419" s="14"/>
      <c r="E419" s="12">
        <v>0.0</v>
      </c>
      <c r="F419" s="13" t="str">
        <f>IFERROR(E419/E446, "NA")</f>
        <v>NA</v>
      </c>
      <c r="G419" s="14"/>
      <c r="H419" s="15">
        <f t="shared" si="117"/>
        <v>0</v>
      </c>
      <c r="I419" s="13" t="str">
        <f>IFERROR(H419/H446, "NA")</f>
        <v>NA</v>
      </c>
      <c r="J419" s="14"/>
      <c r="K419" s="12">
        <v>0.0</v>
      </c>
      <c r="L419" s="13" t="str">
        <f>IFERROR(K419/K446, "NA")</f>
        <v>NA</v>
      </c>
      <c r="M419" s="14"/>
      <c r="N419" s="15">
        <f t="shared" si="118"/>
        <v>0</v>
      </c>
      <c r="O419" s="13" t="str">
        <f>IFERROR(N419/N446, "NA")</f>
        <v>NA</v>
      </c>
      <c r="P419" s="14"/>
      <c r="Q419" s="12">
        <v>0.0</v>
      </c>
      <c r="R419" s="13" t="str">
        <f>IFERROR(Q419/Q446, "NA")</f>
        <v>NA</v>
      </c>
      <c r="S419" s="14"/>
      <c r="T419" s="12">
        <v>0.0</v>
      </c>
      <c r="U419" s="13" t="str">
        <f>IFERROR(T419/T446, "NA")</f>
        <v>NA</v>
      </c>
      <c r="V419" s="14"/>
      <c r="W419" s="15">
        <f t="shared" si="119"/>
        <v>0</v>
      </c>
      <c r="X419" s="13" t="str">
        <f>IFERROR(W419/W446, "NA")</f>
        <v>NA</v>
      </c>
      <c r="Y419" s="14"/>
      <c r="Z419" s="12">
        <v>-3725.69</v>
      </c>
      <c r="AA419" s="13" t="str">
        <f>IFERROR(Z419/Z446, "NA")</f>
        <v>NA</v>
      </c>
      <c r="AB419" s="14"/>
      <c r="AC419" s="15">
        <f t="shared" si="120"/>
        <v>-3725.69</v>
      </c>
      <c r="AD419" s="13" t="str">
        <f>IFERROR(AC419/AC446, "NA")</f>
        <v>NA</v>
      </c>
    </row>
    <row r="420" ht="16.5" customHeight="1">
      <c r="A420" s="11" t="s">
        <v>388</v>
      </c>
      <c r="B420" s="12">
        <v>0.0</v>
      </c>
      <c r="C420" s="13" t="str">
        <f>IFERROR(B420/B446, "NA")</f>
        <v>NA</v>
      </c>
      <c r="D420" s="14"/>
      <c r="E420" s="12">
        <v>0.0</v>
      </c>
      <c r="F420" s="13" t="str">
        <f>IFERROR(E420/E446, "NA")</f>
        <v>NA</v>
      </c>
      <c r="G420" s="14"/>
      <c r="H420" s="15">
        <f t="shared" si="117"/>
        <v>0</v>
      </c>
      <c r="I420" s="13" t="str">
        <f>IFERROR(H420/H446, "NA")</f>
        <v>NA</v>
      </c>
      <c r="J420" s="14"/>
      <c r="K420" s="12">
        <v>0.0</v>
      </c>
      <c r="L420" s="13" t="str">
        <f>IFERROR(K420/K446, "NA")</f>
        <v>NA</v>
      </c>
      <c r="M420" s="14"/>
      <c r="N420" s="15">
        <f t="shared" si="118"/>
        <v>0</v>
      </c>
      <c r="O420" s="13" t="str">
        <f>IFERROR(N420/N446, "NA")</f>
        <v>NA</v>
      </c>
      <c r="P420" s="14"/>
      <c r="Q420" s="12">
        <v>0.0</v>
      </c>
      <c r="R420" s="13" t="str">
        <f>IFERROR(Q420/Q446, "NA")</f>
        <v>NA</v>
      </c>
      <c r="S420" s="14"/>
      <c r="T420" s="12">
        <v>0.0</v>
      </c>
      <c r="U420" s="13" t="str">
        <f>IFERROR(T420/T446, "NA")</f>
        <v>NA</v>
      </c>
      <c r="V420" s="14"/>
      <c r="W420" s="15">
        <f t="shared" si="119"/>
        <v>0</v>
      </c>
      <c r="X420" s="13" t="str">
        <f>IFERROR(W420/W446, "NA")</f>
        <v>NA</v>
      </c>
      <c r="Y420" s="14"/>
      <c r="Z420" s="12">
        <v>56.25</v>
      </c>
      <c r="AA420" s="13" t="str">
        <f>IFERROR(Z420/Z446, "NA")</f>
        <v>NA</v>
      </c>
      <c r="AB420" s="14"/>
      <c r="AC420" s="15">
        <f t="shared" si="120"/>
        <v>56.25</v>
      </c>
      <c r="AD420" s="13" t="str">
        <f>IFERROR(AC420/AC446, "NA")</f>
        <v>NA</v>
      </c>
    </row>
    <row r="421" ht="16.5" hidden="1" customHeight="1">
      <c r="A421" s="11" t="s">
        <v>389</v>
      </c>
      <c r="B421" s="12">
        <v>0.0</v>
      </c>
      <c r="C421" s="13" t="str">
        <f>IFERROR(B421/B446, "NA")</f>
        <v>NA</v>
      </c>
      <c r="D421" s="14"/>
      <c r="E421" s="12">
        <v>0.0</v>
      </c>
      <c r="F421" s="13" t="str">
        <f>IFERROR(E421/E446, "NA")</f>
        <v>NA</v>
      </c>
      <c r="G421" s="14"/>
      <c r="H421" s="15">
        <f t="shared" si="117"/>
        <v>0</v>
      </c>
      <c r="I421" s="13" t="str">
        <f>IFERROR(H421/H446, "NA")</f>
        <v>NA</v>
      </c>
      <c r="J421" s="14"/>
      <c r="K421" s="12">
        <v>0.0</v>
      </c>
      <c r="L421" s="13" t="str">
        <f>IFERROR(K421/K446, "NA")</f>
        <v>NA</v>
      </c>
      <c r="M421" s="14"/>
      <c r="N421" s="15">
        <f t="shared" si="118"/>
        <v>0</v>
      </c>
      <c r="O421" s="13" t="str">
        <f>IFERROR(N421/N446, "NA")</f>
        <v>NA</v>
      </c>
      <c r="P421" s="14"/>
      <c r="Q421" s="12">
        <v>0.0</v>
      </c>
      <c r="R421" s="13" t="str">
        <f>IFERROR(Q421/Q446, "NA")</f>
        <v>NA</v>
      </c>
      <c r="S421" s="14"/>
      <c r="T421" s="12">
        <v>0.0</v>
      </c>
      <c r="U421" s="13" t="str">
        <f>IFERROR(T421/T446, "NA")</f>
        <v>NA</v>
      </c>
      <c r="V421" s="14"/>
      <c r="W421" s="15">
        <f t="shared" si="119"/>
        <v>0</v>
      </c>
      <c r="X421" s="13" t="str">
        <f>IFERROR(W421/W446, "NA")</f>
        <v>NA</v>
      </c>
      <c r="Y421" s="14"/>
      <c r="Z421" s="12">
        <v>0.0</v>
      </c>
      <c r="AA421" s="13" t="str">
        <f>IFERROR(Z421/Z446, "NA")</f>
        <v>NA</v>
      </c>
      <c r="AB421" s="14"/>
      <c r="AC421" s="15">
        <f t="shared" si="120"/>
        <v>0</v>
      </c>
      <c r="AD421" s="13" t="str">
        <f>IFERROR(AC421/AC446, "NA")</f>
        <v>NA</v>
      </c>
    </row>
    <row r="422" ht="16.5" hidden="1" customHeight="1">
      <c r="A422" s="11" t="s">
        <v>390</v>
      </c>
      <c r="B422" s="12">
        <v>0.0</v>
      </c>
      <c r="C422" s="13" t="str">
        <f>IFERROR(B422/B446, "NA")</f>
        <v>NA</v>
      </c>
      <c r="D422" s="14"/>
      <c r="E422" s="12">
        <v>0.0</v>
      </c>
      <c r="F422" s="13" t="str">
        <f>IFERROR(E422/E446, "NA")</f>
        <v>NA</v>
      </c>
      <c r="G422" s="14"/>
      <c r="H422" s="15">
        <f t="shared" si="117"/>
        <v>0</v>
      </c>
      <c r="I422" s="13" t="str">
        <f>IFERROR(H422/H446, "NA")</f>
        <v>NA</v>
      </c>
      <c r="J422" s="14"/>
      <c r="K422" s="12">
        <v>0.0</v>
      </c>
      <c r="L422" s="13" t="str">
        <f>IFERROR(K422/K446, "NA")</f>
        <v>NA</v>
      </c>
      <c r="M422" s="14"/>
      <c r="N422" s="15">
        <f t="shared" si="118"/>
        <v>0</v>
      </c>
      <c r="O422" s="13" t="str">
        <f>IFERROR(N422/N446, "NA")</f>
        <v>NA</v>
      </c>
      <c r="P422" s="14"/>
      <c r="Q422" s="12">
        <v>0.0</v>
      </c>
      <c r="R422" s="13" t="str">
        <f>IFERROR(Q422/Q446, "NA")</f>
        <v>NA</v>
      </c>
      <c r="S422" s="14"/>
      <c r="T422" s="12">
        <v>0.0</v>
      </c>
      <c r="U422" s="13" t="str">
        <f>IFERROR(T422/T446, "NA")</f>
        <v>NA</v>
      </c>
      <c r="V422" s="14"/>
      <c r="W422" s="15">
        <f t="shared" si="119"/>
        <v>0</v>
      </c>
      <c r="X422" s="13" t="str">
        <f>IFERROR(W422/W446, "NA")</f>
        <v>NA</v>
      </c>
      <c r="Y422" s="14"/>
      <c r="Z422" s="12">
        <v>0.0</v>
      </c>
      <c r="AA422" s="13" t="str">
        <f>IFERROR(Z422/Z446, "NA")</f>
        <v>NA</v>
      </c>
      <c r="AB422" s="14"/>
      <c r="AC422" s="15">
        <f t="shared" si="120"/>
        <v>0</v>
      </c>
      <c r="AD422" s="13" t="str">
        <f>IFERROR(AC422/AC446, "NA")</f>
        <v>NA</v>
      </c>
    </row>
    <row r="423" ht="16.5" customHeight="1">
      <c r="A423" s="11" t="s">
        <v>391</v>
      </c>
      <c r="B423" s="12">
        <v>0.0</v>
      </c>
      <c r="C423" s="13" t="str">
        <f>IFERROR(B423/B446, "NA")</f>
        <v>NA</v>
      </c>
      <c r="D423" s="14"/>
      <c r="E423" s="12">
        <v>0.0</v>
      </c>
      <c r="F423" s="13" t="str">
        <f>IFERROR(E423/E446, "NA")</f>
        <v>NA</v>
      </c>
      <c r="G423" s="14"/>
      <c r="H423" s="15">
        <f t="shared" si="117"/>
        <v>0</v>
      </c>
      <c r="I423" s="13" t="str">
        <f>IFERROR(H423/H446, "NA")</f>
        <v>NA</v>
      </c>
      <c r="J423" s="14"/>
      <c r="K423" s="12">
        <v>0.0</v>
      </c>
      <c r="L423" s="13" t="str">
        <f>IFERROR(K423/K446, "NA")</f>
        <v>NA</v>
      </c>
      <c r="M423" s="14"/>
      <c r="N423" s="15">
        <f t="shared" si="118"/>
        <v>0</v>
      </c>
      <c r="O423" s="13" t="str">
        <f>IFERROR(N423/N446, "NA")</f>
        <v>NA</v>
      </c>
      <c r="P423" s="14"/>
      <c r="Q423" s="12">
        <v>519.64</v>
      </c>
      <c r="R423" s="13" t="str">
        <f>IFERROR(Q423/Q446, "NA")</f>
        <v>NA</v>
      </c>
      <c r="S423" s="14"/>
      <c r="T423" s="12">
        <v>0.0</v>
      </c>
      <c r="U423" s="13" t="str">
        <f>IFERROR(T423/T446, "NA")</f>
        <v>NA</v>
      </c>
      <c r="V423" s="14"/>
      <c r="W423" s="15">
        <f t="shared" si="119"/>
        <v>-519.64</v>
      </c>
      <c r="X423" s="13" t="str">
        <f>IFERROR(W423/W446, "NA")</f>
        <v>NA</v>
      </c>
      <c r="Y423" s="14"/>
      <c r="Z423" s="12">
        <v>0.0</v>
      </c>
      <c r="AA423" s="13" t="str">
        <f>IFERROR(Z423/Z446, "NA")</f>
        <v>NA</v>
      </c>
      <c r="AB423" s="14"/>
      <c r="AC423" s="15">
        <f t="shared" si="120"/>
        <v>-519.64</v>
      </c>
      <c r="AD423" s="13" t="str">
        <f>IFERROR(AC423/AC446, "NA")</f>
        <v>NA</v>
      </c>
    </row>
    <row r="424" ht="16.5" customHeight="1">
      <c r="A424" s="11" t="s">
        <v>392</v>
      </c>
      <c r="B424" s="12">
        <v>-15779.28</v>
      </c>
      <c r="C424" s="13" t="str">
        <f>IFERROR(B424/B446, "NA")</f>
        <v>NA</v>
      </c>
      <c r="D424" s="14"/>
      <c r="E424" s="12">
        <v>0.0</v>
      </c>
      <c r="F424" s="13" t="str">
        <f>IFERROR(E424/E446, "NA")</f>
        <v>NA</v>
      </c>
      <c r="G424" s="14"/>
      <c r="H424" s="15">
        <f t="shared" si="117"/>
        <v>15779.28</v>
      </c>
      <c r="I424" s="13" t="str">
        <f>IFERROR(H424/H446, "NA")</f>
        <v>NA</v>
      </c>
      <c r="J424" s="14"/>
      <c r="K424" s="12">
        <v>0.0</v>
      </c>
      <c r="L424" s="13" t="str">
        <f>IFERROR(K424/K446, "NA")</f>
        <v>NA</v>
      </c>
      <c r="M424" s="14"/>
      <c r="N424" s="15">
        <f t="shared" si="118"/>
        <v>15779.28</v>
      </c>
      <c r="O424" s="13" t="str">
        <f>IFERROR(N424/N446, "NA")</f>
        <v>NA</v>
      </c>
      <c r="P424" s="14"/>
      <c r="Q424" s="12">
        <v>-122204.82</v>
      </c>
      <c r="R424" s="13" t="str">
        <f>IFERROR(Q424/Q446, "NA")</f>
        <v>NA</v>
      </c>
      <c r="S424" s="14"/>
      <c r="T424" s="12">
        <v>0.0</v>
      </c>
      <c r="U424" s="13" t="str">
        <f>IFERROR(T424/T446, "NA")</f>
        <v>NA</v>
      </c>
      <c r="V424" s="14"/>
      <c r="W424" s="15">
        <f t="shared" si="119"/>
        <v>122204.82</v>
      </c>
      <c r="X424" s="13" t="str">
        <f>IFERROR(W424/W446, "NA")</f>
        <v>NA</v>
      </c>
      <c r="Y424" s="14"/>
      <c r="Z424" s="12">
        <v>-6.72</v>
      </c>
      <c r="AA424" s="13" t="str">
        <f>IFERROR(Z424/Z446, "NA")</f>
        <v>NA</v>
      </c>
      <c r="AB424" s="14"/>
      <c r="AC424" s="15">
        <f t="shared" si="120"/>
        <v>122198.1</v>
      </c>
      <c r="AD424" s="13" t="str">
        <f>IFERROR(AC424/AC446, "NA")</f>
        <v>NA</v>
      </c>
    </row>
    <row r="425" ht="16.5" hidden="1" customHeight="1">
      <c r="A425" s="11" t="s">
        <v>393</v>
      </c>
      <c r="B425" s="12">
        <v>0.0</v>
      </c>
      <c r="C425" s="13" t="str">
        <f>IFERROR(B425/B446, "NA")</f>
        <v>NA</v>
      </c>
      <c r="D425" s="14"/>
      <c r="E425" s="12">
        <v>0.0</v>
      </c>
      <c r="F425" s="13" t="str">
        <f>IFERROR(E425/E446, "NA")</f>
        <v>NA</v>
      </c>
      <c r="G425" s="14"/>
      <c r="H425" s="15">
        <f t="shared" si="117"/>
        <v>0</v>
      </c>
      <c r="I425" s="13" t="str">
        <f>IFERROR(H425/H446, "NA")</f>
        <v>NA</v>
      </c>
      <c r="J425" s="14"/>
      <c r="K425" s="12">
        <v>0.0</v>
      </c>
      <c r="L425" s="13" t="str">
        <f>IFERROR(K425/K446, "NA")</f>
        <v>NA</v>
      </c>
      <c r="M425" s="14"/>
      <c r="N425" s="15">
        <f t="shared" si="118"/>
        <v>0</v>
      </c>
      <c r="O425" s="13" t="str">
        <f>IFERROR(N425/N446, "NA")</f>
        <v>NA</v>
      </c>
      <c r="P425" s="14"/>
      <c r="Q425" s="12">
        <v>0.0</v>
      </c>
      <c r="R425" s="13" t="str">
        <f>IFERROR(Q425/Q446, "NA")</f>
        <v>NA</v>
      </c>
      <c r="S425" s="14"/>
      <c r="T425" s="12">
        <v>0.0</v>
      </c>
      <c r="U425" s="13" t="str">
        <f>IFERROR(T425/T446, "NA")</f>
        <v>NA</v>
      </c>
      <c r="V425" s="14"/>
      <c r="W425" s="15">
        <f t="shared" si="119"/>
        <v>0</v>
      </c>
      <c r="X425" s="13" t="str">
        <f>IFERROR(W425/W446, "NA")</f>
        <v>NA</v>
      </c>
      <c r="Y425" s="14"/>
      <c r="Z425" s="12">
        <v>0.0</v>
      </c>
      <c r="AA425" s="13" t="str">
        <f>IFERROR(Z425/Z446, "NA")</f>
        <v>NA</v>
      </c>
      <c r="AB425" s="14"/>
      <c r="AC425" s="15">
        <f t="shared" si="120"/>
        <v>0</v>
      </c>
      <c r="AD425" s="13" t="str">
        <f>IFERROR(AC425/AC446, "NA")</f>
        <v>NA</v>
      </c>
    </row>
    <row r="426" ht="16.5" hidden="1" customHeight="1">
      <c r="A426" s="11" t="s">
        <v>394</v>
      </c>
      <c r="B426" s="12">
        <v>0.0</v>
      </c>
      <c r="C426" s="13" t="str">
        <f>IFERROR(B426/B446, "NA")</f>
        <v>NA</v>
      </c>
      <c r="D426" s="14"/>
      <c r="E426" s="12">
        <v>0.0</v>
      </c>
      <c r="F426" s="13" t="str">
        <f>IFERROR(E426/E446, "NA")</f>
        <v>NA</v>
      </c>
      <c r="G426" s="14"/>
      <c r="H426" s="15">
        <f t="shared" si="117"/>
        <v>0</v>
      </c>
      <c r="I426" s="13" t="str">
        <f>IFERROR(H426/H446, "NA")</f>
        <v>NA</v>
      </c>
      <c r="J426" s="14"/>
      <c r="K426" s="12">
        <v>0.0</v>
      </c>
      <c r="L426" s="13" t="str">
        <f>IFERROR(K426/K446, "NA")</f>
        <v>NA</v>
      </c>
      <c r="M426" s="14"/>
      <c r="N426" s="15">
        <f t="shared" si="118"/>
        <v>0</v>
      </c>
      <c r="O426" s="13" t="str">
        <f>IFERROR(N426/N446, "NA")</f>
        <v>NA</v>
      </c>
      <c r="P426" s="14"/>
      <c r="Q426" s="12">
        <v>0.0</v>
      </c>
      <c r="R426" s="13" t="str">
        <f>IFERROR(Q426/Q446, "NA")</f>
        <v>NA</v>
      </c>
      <c r="S426" s="14"/>
      <c r="T426" s="12">
        <v>0.0</v>
      </c>
      <c r="U426" s="13" t="str">
        <f>IFERROR(T426/T446, "NA")</f>
        <v>NA</v>
      </c>
      <c r="V426" s="14"/>
      <c r="W426" s="15">
        <f t="shared" si="119"/>
        <v>0</v>
      </c>
      <c r="X426" s="13" t="str">
        <f>IFERROR(W426/W446, "NA")</f>
        <v>NA</v>
      </c>
      <c r="Y426" s="14"/>
      <c r="Z426" s="12">
        <v>0.0</v>
      </c>
      <c r="AA426" s="13" t="str">
        <f>IFERROR(Z426/Z446, "NA")</f>
        <v>NA</v>
      </c>
      <c r="AB426" s="14"/>
      <c r="AC426" s="15">
        <f t="shared" si="120"/>
        <v>0</v>
      </c>
      <c r="AD426" s="13" t="str">
        <f>IFERROR(AC426/AC446, "NA")</f>
        <v>NA</v>
      </c>
    </row>
    <row r="427" ht="16.5" hidden="1" customHeight="1">
      <c r="A427" s="11" t="s">
        <v>395</v>
      </c>
      <c r="B427" s="12">
        <v>0.0</v>
      </c>
      <c r="C427" s="13" t="str">
        <f>IFERROR(B427/B446, "NA")</f>
        <v>NA</v>
      </c>
      <c r="D427" s="14"/>
      <c r="E427" s="12">
        <v>0.0</v>
      </c>
      <c r="F427" s="13" t="str">
        <f>IFERROR(E427/E446, "NA")</f>
        <v>NA</v>
      </c>
      <c r="G427" s="14"/>
      <c r="H427" s="15">
        <f t="shared" si="117"/>
        <v>0</v>
      </c>
      <c r="I427" s="13" t="str">
        <f>IFERROR(H427/H446, "NA")</f>
        <v>NA</v>
      </c>
      <c r="J427" s="14"/>
      <c r="K427" s="12">
        <v>0.0</v>
      </c>
      <c r="L427" s="13" t="str">
        <f>IFERROR(K427/K446, "NA")</f>
        <v>NA</v>
      </c>
      <c r="M427" s="14"/>
      <c r="N427" s="15">
        <f t="shared" si="118"/>
        <v>0</v>
      </c>
      <c r="O427" s="13" t="str">
        <f>IFERROR(N427/N446, "NA")</f>
        <v>NA</v>
      </c>
      <c r="P427" s="14"/>
      <c r="Q427" s="12">
        <v>0.0</v>
      </c>
      <c r="R427" s="13" t="str">
        <f>IFERROR(Q427/Q446, "NA")</f>
        <v>NA</v>
      </c>
      <c r="S427" s="14"/>
      <c r="T427" s="12">
        <v>0.0</v>
      </c>
      <c r="U427" s="13" t="str">
        <f>IFERROR(T427/T446, "NA")</f>
        <v>NA</v>
      </c>
      <c r="V427" s="14"/>
      <c r="W427" s="15">
        <f t="shared" si="119"/>
        <v>0</v>
      </c>
      <c r="X427" s="13" t="str">
        <f>IFERROR(W427/W446, "NA")</f>
        <v>NA</v>
      </c>
      <c r="Y427" s="14"/>
      <c r="Z427" s="12">
        <v>0.0</v>
      </c>
      <c r="AA427" s="13" t="str">
        <f>IFERROR(Z427/Z446, "NA")</f>
        <v>NA</v>
      </c>
      <c r="AB427" s="14"/>
      <c r="AC427" s="15">
        <f t="shared" si="120"/>
        <v>0</v>
      </c>
      <c r="AD427" s="13" t="str">
        <f>IFERROR(AC427/AC446, "NA")</f>
        <v>NA</v>
      </c>
    </row>
    <row r="428" ht="16.5" customHeight="1">
      <c r="A428" s="11" t="s">
        <v>396</v>
      </c>
      <c r="B428" s="12">
        <v>-756.55</v>
      </c>
      <c r="C428" s="13" t="str">
        <f>IFERROR(B428/B446, "NA")</f>
        <v>NA</v>
      </c>
      <c r="D428" s="14"/>
      <c r="E428" s="12">
        <v>0.0</v>
      </c>
      <c r="F428" s="13" t="str">
        <f>IFERROR(E428/E446, "NA")</f>
        <v>NA</v>
      </c>
      <c r="G428" s="14"/>
      <c r="H428" s="15">
        <f t="shared" si="117"/>
        <v>756.55</v>
      </c>
      <c r="I428" s="13" t="str">
        <f>IFERROR(H428/H446, "NA")</f>
        <v>NA</v>
      </c>
      <c r="J428" s="14"/>
      <c r="K428" s="12">
        <v>-17110.52</v>
      </c>
      <c r="L428" s="13" t="str">
        <f>IFERROR(K428/K446, "NA")</f>
        <v>NA</v>
      </c>
      <c r="M428" s="14"/>
      <c r="N428" s="15">
        <f t="shared" si="118"/>
        <v>-16353.97</v>
      </c>
      <c r="O428" s="13" t="str">
        <f>IFERROR(N428/N446, "NA")</f>
        <v>NA</v>
      </c>
      <c r="P428" s="14"/>
      <c r="Q428" s="12">
        <v>-9845.49</v>
      </c>
      <c r="R428" s="13" t="str">
        <f>IFERROR(Q428/Q446, "NA")</f>
        <v>NA</v>
      </c>
      <c r="S428" s="14"/>
      <c r="T428" s="12">
        <v>0.0</v>
      </c>
      <c r="U428" s="13" t="str">
        <f>IFERROR(T428/T446, "NA")</f>
        <v>NA</v>
      </c>
      <c r="V428" s="14"/>
      <c r="W428" s="15">
        <f t="shared" si="119"/>
        <v>9845.49</v>
      </c>
      <c r="X428" s="13" t="str">
        <f>IFERROR(W428/W446, "NA")</f>
        <v>NA</v>
      </c>
      <c r="Y428" s="14"/>
      <c r="Z428" s="12">
        <v>-96489.59</v>
      </c>
      <c r="AA428" s="13" t="str">
        <f>IFERROR(Z428/Z446, "NA")</f>
        <v>NA</v>
      </c>
      <c r="AB428" s="14"/>
      <c r="AC428" s="15">
        <f t="shared" si="120"/>
        <v>-86644.1</v>
      </c>
      <c r="AD428" s="13" t="str">
        <f>IFERROR(AC428/AC446, "NA")</f>
        <v>NA</v>
      </c>
    </row>
    <row r="429" ht="16.5" hidden="1" customHeight="1">
      <c r="A429" s="11" t="s">
        <v>397</v>
      </c>
      <c r="B429" s="12">
        <v>0.0</v>
      </c>
      <c r="C429" s="13" t="str">
        <f>IFERROR(B429/B446, "NA")</f>
        <v>NA</v>
      </c>
      <c r="D429" s="14"/>
      <c r="E429" s="12">
        <v>0.0</v>
      </c>
      <c r="F429" s="13" t="str">
        <f>IFERROR(E429/E446, "NA")</f>
        <v>NA</v>
      </c>
      <c r="G429" s="14"/>
      <c r="H429" s="15">
        <f t="shared" si="117"/>
        <v>0</v>
      </c>
      <c r="I429" s="13" t="str">
        <f>IFERROR(H429/H446, "NA")</f>
        <v>NA</v>
      </c>
      <c r="J429" s="14"/>
      <c r="K429" s="12">
        <v>0.0</v>
      </c>
      <c r="L429" s="13" t="str">
        <f>IFERROR(K429/K446, "NA")</f>
        <v>NA</v>
      </c>
      <c r="M429" s="14"/>
      <c r="N429" s="15">
        <f t="shared" si="118"/>
        <v>0</v>
      </c>
      <c r="O429" s="13" t="str">
        <f>IFERROR(N429/N446, "NA")</f>
        <v>NA</v>
      </c>
      <c r="P429" s="14"/>
      <c r="Q429" s="12">
        <v>0.0</v>
      </c>
      <c r="R429" s="13" t="str">
        <f>IFERROR(Q429/Q446, "NA")</f>
        <v>NA</v>
      </c>
      <c r="S429" s="14"/>
      <c r="T429" s="12">
        <v>0.0</v>
      </c>
      <c r="U429" s="13" t="str">
        <f>IFERROR(T429/T446, "NA")</f>
        <v>NA</v>
      </c>
      <c r="V429" s="14"/>
      <c r="W429" s="15">
        <f t="shared" si="119"/>
        <v>0</v>
      </c>
      <c r="X429" s="13" t="str">
        <f>IFERROR(W429/W446, "NA")</f>
        <v>NA</v>
      </c>
      <c r="Y429" s="14"/>
      <c r="Z429" s="12">
        <v>0.0</v>
      </c>
      <c r="AA429" s="13" t="str">
        <f>IFERROR(Z429/Z446, "NA")</f>
        <v>NA</v>
      </c>
      <c r="AB429" s="14"/>
      <c r="AC429" s="15">
        <f t="shared" si="120"/>
        <v>0</v>
      </c>
      <c r="AD429" s="13" t="str">
        <f>IFERROR(AC429/AC446, "NA")</f>
        <v>NA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-15855.2</v>
      </c>
      <c r="C430" s="18" t="str">
        <f>IFERROR(B430/B446, "NA")</f>
        <v>NA</v>
      </c>
      <c r="D430" s="8"/>
      <c r="E430" s="17">
        <f>IFERROR(E408+E409+E410+E411+E412+E413+E414+E415+E416+E417+E418+E419+E420+E421+E422+E423+E424+E425+E426+E427+E428+E429, "NA")</f>
        <v>-13500</v>
      </c>
      <c r="F430" s="18" t="str">
        <f>IFERROR(E430/E446, "NA")</f>
        <v>NA</v>
      </c>
      <c r="G430" s="8"/>
      <c r="H430" s="17">
        <f t="shared" si="117"/>
        <v>2355.2</v>
      </c>
      <c r="I430" s="18" t="str">
        <f>IFERROR(H430/H446, "NA")</f>
        <v>NA</v>
      </c>
      <c r="J430" s="8"/>
      <c r="K430" s="17">
        <f>IFERROR(K408+K409+K410+K411+K412+K413+K414+K415+K416+K417+K418+K419+K420+K421+K422+K423+K424+K425+K426+K427+K428+K429, "NA")</f>
        <v>-16782.45</v>
      </c>
      <c r="L430" s="18" t="str">
        <f>IFERROR(K430/K446, "NA")</f>
        <v>NA</v>
      </c>
      <c r="M430" s="8"/>
      <c r="N430" s="17">
        <f t="shared" si="118"/>
        <v>-927.25</v>
      </c>
      <c r="O430" s="18" t="str">
        <f>IFERROR(N430/N446, "NA")</f>
        <v>NA</v>
      </c>
      <c r="P430" s="8"/>
      <c r="Q430" s="17">
        <f>IFERROR(Q408+Q409+Q410+Q411+Q412+Q413+Q414+Q415+Q416+Q417+Q418+Q419+Q420+Q421+Q422+Q423+Q424+Q425+Q426+Q427+Q428+Q429, "NA")</f>
        <v>-128200.98</v>
      </c>
      <c r="R430" s="18" t="str">
        <f>IFERROR(Q430/Q446, "NA")</f>
        <v>NA</v>
      </c>
      <c r="S430" s="8"/>
      <c r="T430" s="17">
        <f>IFERROR(T408+T409+T410+T411+T412+T413+T414+T415+T416+T417+T418+T419+T420+T421+T422+T423+T424+T425+T426+T427+T428+T429, "NA")</f>
        <v>-108000</v>
      </c>
      <c r="U430" s="18" t="str">
        <f>IFERROR(T430/T446, "NA")</f>
        <v>NA</v>
      </c>
      <c r="V430" s="8"/>
      <c r="W430" s="17">
        <f t="shared" si="119"/>
        <v>20200.98</v>
      </c>
      <c r="X430" s="18" t="str">
        <f>IFERROR(W430/W446, "NA")</f>
        <v>NA</v>
      </c>
      <c r="Y430" s="8"/>
      <c r="Z430" s="17">
        <f>IFERROR(Z408+Z409+Z410+Z411+Z412+Z413+Z414+Z415+Z416+Z417+Z418+Z419+Z420+Z421+Z422+Z423+Z424+Z425+Z426+Z427+Z428+Z429, "NA")</f>
        <v>-97684.37</v>
      </c>
      <c r="AA430" s="18" t="str">
        <f>IFERROR(Z430/Z446, "NA")</f>
        <v>NA</v>
      </c>
      <c r="AB430" s="8"/>
      <c r="AC430" s="17">
        <f t="shared" si="120"/>
        <v>30516.61</v>
      </c>
      <c r="AD430" s="18" t="str">
        <f>IFERROR(AC430/AC446, "NA")</f>
        <v>NA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-15855.2</v>
      </c>
      <c r="C431" s="18" t="str">
        <f>IFERROR(B431/B446, "NA")</f>
        <v>NA</v>
      </c>
      <c r="D431" s="8"/>
      <c r="E431" s="17">
        <f>IFERROR(E408+E409+E410+E411+E412+E413+E414+E415+E416+E417+E418+E419+E420+E421+E422+E423+E424+E425+E426+E427+E428+E429, "NA")</f>
        <v>-13500</v>
      </c>
      <c r="F431" s="18" t="str">
        <f>IFERROR(E431/E446, "NA")</f>
        <v>NA</v>
      </c>
      <c r="G431" s="8"/>
      <c r="H431" s="17">
        <f t="shared" si="117"/>
        <v>2355.2</v>
      </c>
      <c r="I431" s="18" t="str">
        <f>IFERROR(H431/H446, "NA")</f>
        <v>NA</v>
      </c>
      <c r="J431" s="8"/>
      <c r="K431" s="17">
        <f>IFERROR(K408+K409+K410+K411+K412+K413+K414+K415+K416+K417+K418+K419+K420+K421+K422+K423+K424+K425+K426+K427+K428+K429, "NA")</f>
        <v>-16782.45</v>
      </c>
      <c r="L431" s="18" t="str">
        <f>IFERROR(K431/K446, "NA")</f>
        <v>NA</v>
      </c>
      <c r="M431" s="8"/>
      <c r="N431" s="17">
        <f t="shared" si="118"/>
        <v>-927.25</v>
      </c>
      <c r="O431" s="18" t="str">
        <f>IFERROR(N431/N446, "NA")</f>
        <v>NA</v>
      </c>
      <c r="P431" s="8"/>
      <c r="Q431" s="17">
        <f>IFERROR(Q408+Q409+Q410+Q411+Q412+Q413+Q414+Q415+Q416+Q417+Q418+Q419+Q420+Q421+Q422+Q423+Q424+Q425+Q426+Q427+Q428+Q429, "NA")</f>
        <v>-128200.98</v>
      </c>
      <c r="R431" s="18" t="str">
        <f>IFERROR(Q431/Q446, "NA")</f>
        <v>NA</v>
      </c>
      <c r="S431" s="8"/>
      <c r="T431" s="17">
        <f>IFERROR(T408+T409+T410+T411+T412+T413+T414+T415+T416+T417+T418+T419+T420+T421+T422+T423+T424+T425+T426+T427+T428+T429, "NA")</f>
        <v>-108000</v>
      </c>
      <c r="U431" s="18" t="str">
        <f>IFERROR(T431/T446, "NA")</f>
        <v>NA</v>
      </c>
      <c r="V431" s="8"/>
      <c r="W431" s="17">
        <f t="shared" si="119"/>
        <v>20200.98</v>
      </c>
      <c r="X431" s="18" t="str">
        <f>IFERROR(W431/W446, "NA")</f>
        <v>NA</v>
      </c>
      <c r="Y431" s="8"/>
      <c r="Z431" s="17">
        <f>IFERROR(Z408+Z409+Z410+Z411+Z412+Z413+Z414+Z415+Z416+Z417+Z418+Z419+Z420+Z421+Z422+Z423+Z424+Z425+Z426+Z427+Z428+Z429, "NA")</f>
        <v>-97684.37</v>
      </c>
      <c r="AA431" s="18" t="str">
        <f>IFERROR(Z431/Z446, "NA")</f>
        <v>NA</v>
      </c>
      <c r="AB431" s="8"/>
      <c r="AC431" s="17">
        <f t="shared" si="120"/>
        <v>30516.61</v>
      </c>
      <c r="AD431" s="18" t="str">
        <f>IFERROR(AC431/AC446, "NA")</f>
        <v>NA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 t="str">
        <f>IFERROR(B434/B446, "NA")</f>
        <v>NA</v>
      </c>
      <c r="D434" s="14"/>
      <c r="E434" s="12">
        <v>0.0</v>
      </c>
      <c r="F434" s="13" t="str">
        <f>IFERROR(E434/E446, "NA")</f>
        <v>NA</v>
      </c>
      <c r="G434" s="14"/>
      <c r="H434" s="15">
        <f t="shared" ref="H434:H444" si="121">IFERROR(-(B434-E434), "NA")</f>
        <v>0</v>
      </c>
      <c r="I434" s="13" t="str">
        <f>IFERROR(H434/H446, "NA")</f>
        <v>NA</v>
      </c>
      <c r="J434" s="14"/>
      <c r="K434" s="12">
        <v>0.0</v>
      </c>
      <c r="L434" s="13" t="str">
        <f>IFERROR(K434/K446, "NA")</f>
        <v>NA</v>
      </c>
      <c r="M434" s="14"/>
      <c r="N434" s="15">
        <f t="shared" ref="N434:N444" si="122">IFERROR(-(B434-K434), "NA")</f>
        <v>0</v>
      </c>
      <c r="O434" s="13" t="str">
        <f>IFERROR(N434/N446, "NA")</f>
        <v>NA</v>
      </c>
      <c r="P434" s="14"/>
      <c r="Q434" s="12">
        <v>0.0</v>
      </c>
      <c r="R434" s="13" t="str">
        <f>IFERROR(Q434/Q446, "NA")</f>
        <v>NA</v>
      </c>
      <c r="S434" s="14"/>
      <c r="T434" s="12">
        <v>0.0</v>
      </c>
      <c r="U434" s="13" t="str">
        <f>IFERROR(T434/T446, "NA")</f>
        <v>NA</v>
      </c>
      <c r="V434" s="14"/>
      <c r="W434" s="15">
        <f t="shared" ref="W434:W444" si="123">IFERROR(-(Q434-T434), "NA")</f>
        <v>0</v>
      </c>
      <c r="X434" s="13" t="str">
        <f>IFERROR(W434/W446, "NA")</f>
        <v>NA</v>
      </c>
      <c r="Y434" s="14"/>
      <c r="Z434" s="12">
        <v>0.0</v>
      </c>
      <c r="AA434" s="13" t="str">
        <f>IFERROR(Z434/Z446, "NA")</f>
        <v>NA</v>
      </c>
      <c r="AB434" s="14"/>
      <c r="AC434" s="15">
        <f t="shared" ref="AC434:AC444" si="124">IFERROR(-(Q434-Z434), "NA")</f>
        <v>0</v>
      </c>
      <c r="AD434" s="13" t="str">
        <f>IFERROR(AC434/AC446, "NA")</f>
        <v>NA</v>
      </c>
    </row>
    <row r="435" ht="16.5" hidden="1" customHeight="1">
      <c r="A435" s="11" t="s">
        <v>402</v>
      </c>
      <c r="B435" s="12">
        <v>0.0</v>
      </c>
      <c r="C435" s="13" t="str">
        <f>IFERROR(B435/B446, "NA")</f>
        <v>NA</v>
      </c>
      <c r="D435" s="14"/>
      <c r="E435" s="12">
        <v>0.0</v>
      </c>
      <c r="F435" s="13" t="str">
        <f>IFERROR(E435/E446, "NA")</f>
        <v>NA</v>
      </c>
      <c r="G435" s="14"/>
      <c r="H435" s="15">
        <f t="shared" si="121"/>
        <v>0</v>
      </c>
      <c r="I435" s="13" t="str">
        <f>IFERROR(H435/H446, "NA")</f>
        <v>NA</v>
      </c>
      <c r="J435" s="14"/>
      <c r="K435" s="12">
        <v>0.0</v>
      </c>
      <c r="L435" s="13" t="str">
        <f>IFERROR(K435/K446, "NA")</f>
        <v>NA</v>
      </c>
      <c r="M435" s="14"/>
      <c r="N435" s="15">
        <f t="shared" si="122"/>
        <v>0</v>
      </c>
      <c r="O435" s="13" t="str">
        <f>IFERROR(N435/N446, "NA")</f>
        <v>NA</v>
      </c>
      <c r="P435" s="14"/>
      <c r="Q435" s="12">
        <v>0.0</v>
      </c>
      <c r="R435" s="13" t="str">
        <f>IFERROR(Q435/Q446, "NA")</f>
        <v>NA</v>
      </c>
      <c r="S435" s="14"/>
      <c r="T435" s="12">
        <v>0.0</v>
      </c>
      <c r="U435" s="13" t="str">
        <f>IFERROR(T435/T446, "NA")</f>
        <v>NA</v>
      </c>
      <c r="V435" s="14"/>
      <c r="W435" s="15">
        <f t="shared" si="123"/>
        <v>0</v>
      </c>
      <c r="X435" s="13" t="str">
        <f>IFERROR(W435/W446, "NA")</f>
        <v>NA</v>
      </c>
      <c r="Y435" s="14"/>
      <c r="Z435" s="12">
        <v>0.0</v>
      </c>
      <c r="AA435" s="13" t="str">
        <f>IFERROR(Z435/Z446, "NA")</f>
        <v>NA</v>
      </c>
      <c r="AB435" s="14"/>
      <c r="AC435" s="15">
        <f t="shared" si="124"/>
        <v>0</v>
      </c>
      <c r="AD435" s="13" t="str">
        <f>IFERROR(AC435/AC446, "NA")</f>
        <v>NA</v>
      </c>
    </row>
    <row r="436" ht="16.5" hidden="1" customHeight="1">
      <c r="A436" s="11" t="s">
        <v>403</v>
      </c>
      <c r="B436" s="12">
        <v>0.0</v>
      </c>
      <c r="C436" s="13" t="str">
        <f>IFERROR(B436/B446, "NA")</f>
        <v>NA</v>
      </c>
      <c r="D436" s="14"/>
      <c r="E436" s="12">
        <v>0.0</v>
      </c>
      <c r="F436" s="13" t="str">
        <f>IFERROR(E436/E446, "NA")</f>
        <v>NA</v>
      </c>
      <c r="G436" s="14"/>
      <c r="H436" s="15">
        <f t="shared" si="121"/>
        <v>0</v>
      </c>
      <c r="I436" s="13" t="str">
        <f>IFERROR(H436/H446, "NA")</f>
        <v>NA</v>
      </c>
      <c r="J436" s="14"/>
      <c r="K436" s="12">
        <v>0.0</v>
      </c>
      <c r="L436" s="13" t="str">
        <f>IFERROR(K436/K446, "NA")</f>
        <v>NA</v>
      </c>
      <c r="M436" s="14"/>
      <c r="N436" s="15">
        <f t="shared" si="122"/>
        <v>0</v>
      </c>
      <c r="O436" s="13" t="str">
        <f>IFERROR(N436/N446, "NA")</f>
        <v>NA</v>
      </c>
      <c r="P436" s="14"/>
      <c r="Q436" s="12">
        <v>0.0</v>
      </c>
      <c r="R436" s="13" t="str">
        <f>IFERROR(Q436/Q446, "NA")</f>
        <v>NA</v>
      </c>
      <c r="S436" s="14"/>
      <c r="T436" s="12">
        <v>0.0</v>
      </c>
      <c r="U436" s="13" t="str">
        <f>IFERROR(T436/T446, "NA")</f>
        <v>NA</v>
      </c>
      <c r="V436" s="14"/>
      <c r="W436" s="15">
        <f t="shared" si="123"/>
        <v>0</v>
      </c>
      <c r="X436" s="13" t="str">
        <f>IFERROR(W436/W446, "NA")</f>
        <v>NA</v>
      </c>
      <c r="Y436" s="14"/>
      <c r="Z436" s="12">
        <v>0.0</v>
      </c>
      <c r="AA436" s="13" t="str">
        <f>IFERROR(Z436/Z446, "NA")</f>
        <v>NA</v>
      </c>
      <c r="AB436" s="14"/>
      <c r="AC436" s="15">
        <f t="shared" si="124"/>
        <v>0</v>
      </c>
      <c r="AD436" s="13" t="str">
        <f>IFERROR(AC436/AC446, "NA")</f>
        <v>NA</v>
      </c>
    </row>
    <row r="437" ht="16.5" hidden="1" customHeight="1">
      <c r="A437" s="11" t="s">
        <v>404</v>
      </c>
      <c r="B437" s="12">
        <v>0.0</v>
      </c>
      <c r="C437" s="13" t="str">
        <f>IFERROR(B437/B446, "NA")</f>
        <v>NA</v>
      </c>
      <c r="D437" s="14"/>
      <c r="E437" s="12">
        <v>0.0</v>
      </c>
      <c r="F437" s="13" t="str">
        <f>IFERROR(E437/E446, "NA")</f>
        <v>NA</v>
      </c>
      <c r="G437" s="14"/>
      <c r="H437" s="15">
        <f t="shared" si="121"/>
        <v>0</v>
      </c>
      <c r="I437" s="13" t="str">
        <f>IFERROR(H437/H446, "NA")</f>
        <v>NA</v>
      </c>
      <c r="J437" s="14"/>
      <c r="K437" s="12">
        <v>0.0</v>
      </c>
      <c r="L437" s="13" t="str">
        <f>IFERROR(K437/K446, "NA")</f>
        <v>NA</v>
      </c>
      <c r="M437" s="14"/>
      <c r="N437" s="15">
        <f t="shared" si="122"/>
        <v>0</v>
      </c>
      <c r="O437" s="13" t="str">
        <f>IFERROR(N437/N446, "NA")</f>
        <v>NA</v>
      </c>
      <c r="P437" s="14"/>
      <c r="Q437" s="12">
        <v>0.0</v>
      </c>
      <c r="R437" s="13" t="str">
        <f>IFERROR(Q437/Q446, "NA")</f>
        <v>NA</v>
      </c>
      <c r="S437" s="14"/>
      <c r="T437" s="12">
        <v>0.0</v>
      </c>
      <c r="U437" s="13" t="str">
        <f>IFERROR(T437/T446, "NA")</f>
        <v>NA</v>
      </c>
      <c r="V437" s="14"/>
      <c r="W437" s="15">
        <f t="shared" si="123"/>
        <v>0</v>
      </c>
      <c r="X437" s="13" t="str">
        <f>IFERROR(W437/W446, "NA")</f>
        <v>NA</v>
      </c>
      <c r="Y437" s="14"/>
      <c r="Z437" s="12">
        <v>0.0</v>
      </c>
      <c r="AA437" s="13" t="str">
        <f>IFERROR(Z437/Z446, "NA")</f>
        <v>NA</v>
      </c>
      <c r="AB437" s="14"/>
      <c r="AC437" s="15">
        <f t="shared" si="124"/>
        <v>0</v>
      </c>
      <c r="AD437" s="13" t="str">
        <f>IFERROR(AC437/AC446, "NA")</f>
        <v>NA</v>
      </c>
    </row>
    <row r="438" ht="16.5" hidden="1" customHeight="1">
      <c r="A438" s="11" t="s">
        <v>405</v>
      </c>
      <c r="B438" s="12">
        <v>0.0</v>
      </c>
      <c r="C438" s="13" t="str">
        <f>IFERROR(B438/B446, "NA")</f>
        <v>NA</v>
      </c>
      <c r="D438" s="14"/>
      <c r="E438" s="12">
        <v>0.0</v>
      </c>
      <c r="F438" s="13" t="str">
        <f>IFERROR(E438/E446, "NA")</f>
        <v>NA</v>
      </c>
      <c r="G438" s="14"/>
      <c r="H438" s="15">
        <f t="shared" si="121"/>
        <v>0</v>
      </c>
      <c r="I438" s="13" t="str">
        <f>IFERROR(H438/H446, "NA")</f>
        <v>NA</v>
      </c>
      <c r="J438" s="14"/>
      <c r="K438" s="12">
        <v>0.0</v>
      </c>
      <c r="L438" s="13" t="str">
        <f>IFERROR(K438/K446, "NA")</f>
        <v>NA</v>
      </c>
      <c r="M438" s="14"/>
      <c r="N438" s="15">
        <f t="shared" si="122"/>
        <v>0</v>
      </c>
      <c r="O438" s="13" t="str">
        <f>IFERROR(N438/N446, "NA")</f>
        <v>NA</v>
      </c>
      <c r="P438" s="14"/>
      <c r="Q438" s="12">
        <v>0.0</v>
      </c>
      <c r="R438" s="13" t="str">
        <f>IFERROR(Q438/Q446, "NA")</f>
        <v>NA</v>
      </c>
      <c r="S438" s="14"/>
      <c r="T438" s="12">
        <v>0.0</v>
      </c>
      <c r="U438" s="13" t="str">
        <f>IFERROR(T438/T446, "NA")</f>
        <v>NA</v>
      </c>
      <c r="V438" s="14"/>
      <c r="W438" s="15">
        <f t="shared" si="123"/>
        <v>0</v>
      </c>
      <c r="X438" s="13" t="str">
        <f>IFERROR(W438/W446, "NA")</f>
        <v>NA</v>
      </c>
      <c r="Y438" s="14"/>
      <c r="Z438" s="12">
        <v>0.0</v>
      </c>
      <c r="AA438" s="13" t="str">
        <f>IFERROR(Z438/Z446, "NA")</f>
        <v>NA</v>
      </c>
      <c r="AB438" s="14"/>
      <c r="AC438" s="15">
        <f t="shared" si="124"/>
        <v>0</v>
      </c>
      <c r="AD438" s="13" t="str">
        <f>IFERROR(AC438/AC446, "NA")</f>
        <v>NA</v>
      </c>
    </row>
    <row r="439" ht="16.5" hidden="1" customHeight="1">
      <c r="A439" s="11" t="s">
        <v>406</v>
      </c>
      <c r="B439" s="12">
        <v>0.0</v>
      </c>
      <c r="C439" s="13" t="str">
        <f>IFERROR(B439/B446, "NA")</f>
        <v>NA</v>
      </c>
      <c r="D439" s="14"/>
      <c r="E439" s="12">
        <v>0.0</v>
      </c>
      <c r="F439" s="13" t="str">
        <f>IFERROR(E439/E446, "NA")</f>
        <v>NA</v>
      </c>
      <c r="G439" s="14"/>
      <c r="H439" s="15">
        <f t="shared" si="121"/>
        <v>0</v>
      </c>
      <c r="I439" s="13" t="str">
        <f>IFERROR(H439/H446, "NA")</f>
        <v>NA</v>
      </c>
      <c r="J439" s="14"/>
      <c r="K439" s="12">
        <v>0.0</v>
      </c>
      <c r="L439" s="13" t="str">
        <f>IFERROR(K439/K446, "NA")</f>
        <v>NA</v>
      </c>
      <c r="M439" s="14"/>
      <c r="N439" s="15">
        <f t="shared" si="122"/>
        <v>0</v>
      </c>
      <c r="O439" s="13" t="str">
        <f>IFERROR(N439/N446, "NA")</f>
        <v>NA</v>
      </c>
      <c r="P439" s="14"/>
      <c r="Q439" s="12">
        <v>0.0</v>
      </c>
      <c r="R439" s="13" t="str">
        <f>IFERROR(Q439/Q446, "NA")</f>
        <v>NA</v>
      </c>
      <c r="S439" s="14"/>
      <c r="T439" s="12">
        <v>0.0</v>
      </c>
      <c r="U439" s="13" t="str">
        <f>IFERROR(T439/T446, "NA")</f>
        <v>NA</v>
      </c>
      <c r="V439" s="14"/>
      <c r="W439" s="15">
        <f t="shared" si="123"/>
        <v>0</v>
      </c>
      <c r="X439" s="13" t="str">
        <f>IFERROR(W439/W446, "NA")</f>
        <v>NA</v>
      </c>
      <c r="Y439" s="14"/>
      <c r="Z439" s="12">
        <v>0.0</v>
      </c>
      <c r="AA439" s="13" t="str">
        <f>IFERROR(Z439/Z446, "NA")</f>
        <v>NA</v>
      </c>
      <c r="AB439" s="14"/>
      <c r="AC439" s="15">
        <f t="shared" si="124"/>
        <v>0</v>
      </c>
      <c r="AD439" s="13" t="str">
        <f>IFERROR(AC439/AC446, "NA")</f>
        <v>NA</v>
      </c>
    </row>
    <row r="440" ht="30.75" hidden="1" customHeight="1">
      <c r="A440" s="11" t="s">
        <v>407</v>
      </c>
      <c r="B440" s="12">
        <v>0.0</v>
      </c>
      <c r="C440" s="13" t="str">
        <f>IFERROR(B440/B446, "NA")</f>
        <v>NA</v>
      </c>
      <c r="D440" s="14"/>
      <c r="E440" s="12">
        <v>0.0</v>
      </c>
      <c r="F440" s="13" t="str">
        <f>IFERROR(E440/E446, "NA")</f>
        <v>NA</v>
      </c>
      <c r="G440" s="14"/>
      <c r="H440" s="15">
        <f t="shared" si="121"/>
        <v>0</v>
      </c>
      <c r="I440" s="13" t="str">
        <f>IFERROR(H440/H446, "NA")</f>
        <v>NA</v>
      </c>
      <c r="J440" s="14"/>
      <c r="K440" s="12">
        <v>0.0</v>
      </c>
      <c r="L440" s="13" t="str">
        <f>IFERROR(K440/K446, "NA")</f>
        <v>NA</v>
      </c>
      <c r="M440" s="14"/>
      <c r="N440" s="15">
        <f t="shared" si="122"/>
        <v>0</v>
      </c>
      <c r="O440" s="13" t="str">
        <f>IFERROR(N440/N446, "NA")</f>
        <v>NA</v>
      </c>
      <c r="P440" s="14"/>
      <c r="Q440" s="12">
        <v>0.0</v>
      </c>
      <c r="R440" s="13" t="str">
        <f>IFERROR(Q440/Q446, "NA")</f>
        <v>NA</v>
      </c>
      <c r="S440" s="14"/>
      <c r="T440" s="12">
        <v>0.0</v>
      </c>
      <c r="U440" s="13" t="str">
        <f>IFERROR(T440/T446, "NA")</f>
        <v>NA</v>
      </c>
      <c r="V440" s="14"/>
      <c r="W440" s="15">
        <f t="shared" si="123"/>
        <v>0</v>
      </c>
      <c r="X440" s="13" t="str">
        <f>IFERROR(W440/W446, "NA")</f>
        <v>NA</v>
      </c>
      <c r="Y440" s="14"/>
      <c r="Z440" s="12">
        <v>0.0</v>
      </c>
      <c r="AA440" s="13" t="str">
        <f>IFERROR(Z440/Z446, "NA")</f>
        <v>NA</v>
      </c>
      <c r="AB440" s="14"/>
      <c r="AC440" s="15">
        <f t="shared" si="124"/>
        <v>0</v>
      </c>
      <c r="AD440" s="13" t="str">
        <f>IFERROR(AC440/AC446, "NA")</f>
        <v>NA</v>
      </c>
    </row>
    <row r="441" ht="16.5" hidden="1" customHeight="1">
      <c r="A441" s="11" t="s">
        <v>408</v>
      </c>
      <c r="B441" s="12">
        <v>0.0</v>
      </c>
      <c r="C441" s="13" t="str">
        <f>IFERROR(B441/B446, "NA")</f>
        <v>NA</v>
      </c>
      <c r="D441" s="14"/>
      <c r="E441" s="12">
        <v>0.0</v>
      </c>
      <c r="F441" s="13" t="str">
        <f>IFERROR(E441/E446, "NA")</f>
        <v>NA</v>
      </c>
      <c r="G441" s="14"/>
      <c r="H441" s="15">
        <f t="shared" si="121"/>
        <v>0</v>
      </c>
      <c r="I441" s="13" t="str">
        <f>IFERROR(H441/H446, "NA")</f>
        <v>NA</v>
      </c>
      <c r="J441" s="14"/>
      <c r="K441" s="12">
        <v>0.0</v>
      </c>
      <c r="L441" s="13" t="str">
        <f>IFERROR(K441/K446, "NA")</f>
        <v>NA</v>
      </c>
      <c r="M441" s="14"/>
      <c r="N441" s="15">
        <f t="shared" si="122"/>
        <v>0</v>
      </c>
      <c r="O441" s="13" t="str">
        <f>IFERROR(N441/N446, "NA")</f>
        <v>NA</v>
      </c>
      <c r="P441" s="14"/>
      <c r="Q441" s="12">
        <v>0.0</v>
      </c>
      <c r="R441" s="13" t="str">
        <f>IFERROR(Q441/Q446, "NA")</f>
        <v>NA</v>
      </c>
      <c r="S441" s="14"/>
      <c r="T441" s="12">
        <v>0.0</v>
      </c>
      <c r="U441" s="13" t="str">
        <f>IFERROR(T441/T446, "NA")</f>
        <v>NA</v>
      </c>
      <c r="V441" s="14"/>
      <c r="W441" s="15">
        <f t="shared" si="123"/>
        <v>0</v>
      </c>
      <c r="X441" s="13" t="str">
        <f>IFERROR(W441/W446, "NA")</f>
        <v>NA</v>
      </c>
      <c r="Y441" s="14"/>
      <c r="Z441" s="12">
        <v>0.0</v>
      </c>
      <c r="AA441" s="13" t="str">
        <f>IFERROR(Z441/Z446, "NA")</f>
        <v>NA</v>
      </c>
      <c r="AB441" s="14"/>
      <c r="AC441" s="15">
        <f t="shared" si="124"/>
        <v>0</v>
      </c>
      <c r="AD441" s="13" t="str">
        <f>IFERROR(AC441/AC446, "NA")</f>
        <v>NA</v>
      </c>
    </row>
    <row r="442" ht="30.75" hidden="1" customHeight="1">
      <c r="A442" s="11" t="s">
        <v>409</v>
      </c>
      <c r="B442" s="12">
        <v>0.0</v>
      </c>
      <c r="C442" s="13" t="str">
        <f>IFERROR(B442/B446, "NA")</f>
        <v>NA</v>
      </c>
      <c r="D442" s="14"/>
      <c r="E442" s="12">
        <v>0.0</v>
      </c>
      <c r="F442" s="13" t="str">
        <f>IFERROR(E442/E446, "NA")</f>
        <v>NA</v>
      </c>
      <c r="G442" s="14"/>
      <c r="H442" s="15">
        <f t="shared" si="121"/>
        <v>0</v>
      </c>
      <c r="I442" s="13" t="str">
        <f>IFERROR(H442/H446, "NA")</f>
        <v>NA</v>
      </c>
      <c r="J442" s="14"/>
      <c r="K442" s="12">
        <v>0.0</v>
      </c>
      <c r="L442" s="13" t="str">
        <f>IFERROR(K442/K446, "NA")</f>
        <v>NA</v>
      </c>
      <c r="M442" s="14"/>
      <c r="N442" s="15">
        <f t="shared" si="122"/>
        <v>0</v>
      </c>
      <c r="O442" s="13" t="str">
        <f>IFERROR(N442/N446, "NA")</f>
        <v>NA</v>
      </c>
      <c r="P442" s="14"/>
      <c r="Q442" s="12">
        <v>0.0</v>
      </c>
      <c r="R442" s="13" t="str">
        <f>IFERROR(Q442/Q446, "NA")</f>
        <v>NA</v>
      </c>
      <c r="S442" s="14"/>
      <c r="T442" s="12">
        <v>0.0</v>
      </c>
      <c r="U442" s="13" t="str">
        <f>IFERROR(T442/T446, "NA")</f>
        <v>NA</v>
      </c>
      <c r="V442" s="14"/>
      <c r="W442" s="15">
        <f t="shared" si="123"/>
        <v>0</v>
      </c>
      <c r="X442" s="13" t="str">
        <f>IFERROR(W442/W446, "NA")</f>
        <v>NA</v>
      </c>
      <c r="Y442" s="14"/>
      <c r="Z442" s="12">
        <v>0.0</v>
      </c>
      <c r="AA442" s="13" t="str">
        <f>IFERROR(Z442/Z446, "NA")</f>
        <v>NA</v>
      </c>
      <c r="AB442" s="14"/>
      <c r="AC442" s="15">
        <f t="shared" si="124"/>
        <v>0</v>
      </c>
      <c r="AD442" s="13" t="str">
        <f>IFERROR(AC442/AC446, "NA")</f>
        <v>NA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 t="str">
        <f>IFERROR(B443/B446, "NA")</f>
        <v>NA</v>
      </c>
      <c r="D443" s="8"/>
      <c r="E443" s="17">
        <f>IFERROR(E434+E435+E436+E437+E438+E439+E440+E441+E442, "NA")</f>
        <v>0</v>
      </c>
      <c r="F443" s="18" t="str">
        <f>IFERROR(E443/E446, "NA")</f>
        <v>NA</v>
      </c>
      <c r="G443" s="8"/>
      <c r="H443" s="17">
        <f t="shared" si="121"/>
        <v>0</v>
      </c>
      <c r="I443" s="18" t="str">
        <f>IFERROR(H443/H446, "NA")</f>
        <v>NA</v>
      </c>
      <c r="J443" s="8"/>
      <c r="K443" s="17">
        <f>IFERROR(K434+K435+K436+K437+K438+K439+K440+K441+K442, "NA")</f>
        <v>0</v>
      </c>
      <c r="L443" s="18" t="str">
        <f>IFERROR(K443/K446, "NA")</f>
        <v>NA</v>
      </c>
      <c r="M443" s="8"/>
      <c r="N443" s="17">
        <f t="shared" si="122"/>
        <v>0</v>
      </c>
      <c r="O443" s="18" t="str">
        <f>IFERROR(N443/N446, "NA")</f>
        <v>NA</v>
      </c>
      <c r="P443" s="8"/>
      <c r="Q443" s="17">
        <f>IFERROR(Q434+Q435+Q436+Q437+Q438+Q439+Q440+Q441+Q442, "NA")</f>
        <v>0</v>
      </c>
      <c r="R443" s="18" t="str">
        <f>IFERROR(Q443/Q446, "NA")</f>
        <v>NA</v>
      </c>
      <c r="S443" s="8"/>
      <c r="T443" s="17">
        <f>IFERROR(T434+T435+T436+T437+T438+T439+T440+T441+T442, "NA")</f>
        <v>0</v>
      </c>
      <c r="U443" s="18" t="str">
        <f>IFERROR(T443/T446, "NA")</f>
        <v>NA</v>
      </c>
      <c r="V443" s="8"/>
      <c r="W443" s="17">
        <f t="shared" si="123"/>
        <v>0</v>
      </c>
      <c r="X443" s="18" t="str">
        <f>IFERROR(W443/W446, "NA")</f>
        <v>NA</v>
      </c>
      <c r="Y443" s="8"/>
      <c r="Z443" s="17">
        <f>IFERROR(Z434+Z435+Z436+Z437+Z438+Z439+Z440+Z441+Z442, "NA")</f>
        <v>0</v>
      </c>
      <c r="AA443" s="18" t="str">
        <f>IFERROR(Z443/Z446, "NA")</f>
        <v>NA</v>
      </c>
      <c r="AB443" s="8"/>
      <c r="AC443" s="17">
        <f t="shared" si="124"/>
        <v>0</v>
      </c>
      <c r="AD443" s="18" t="str">
        <f>IFERROR(AC443/AC446, "NA")</f>
        <v>NA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 t="str">
        <f>IFERROR(B444/B446, "NA")</f>
        <v>NA</v>
      </c>
      <c r="D444" s="8"/>
      <c r="E444" s="17">
        <f>IFERROR(E434+E435+E436+E437+E438+E439+E440+E441+E442, "NA")</f>
        <v>0</v>
      </c>
      <c r="F444" s="18" t="str">
        <f>IFERROR(E444/E446, "NA")</f>
        <v>NA</v>
      </c>
      <c r="G444" s="8"/>
      <c r="H444" s="17">
        <f t="shared" si="121"/>
        <v>0</v>
      </c>
      <c r="I444" s="18" t="str">
        <f>IFERROR(H444/H446, "NA")</f>
        <v>NA</v>
      </c>
      <c r="J444" s="8"/>
      <c r="K444" s="17">
        <f>IFERROR(K434+K435+K436+K437+K438+K439+K440+K441+K442, "NA")</f>
        <v>0</v>
      </c>
      <c r="L444" s="18" t="str">
        <f>IFERROR(K444/K446, "NA")</f>
        <v>NA</v>
      </c>
      <c r="M444" s="8"/>
      <c r="N444" s="17">
        <f t="shared" si="122"/>
        <v>0</v>
      </c>
      <c r="O444" s="18" t="str">
        <f>IFERROR(N444/N446, "NA")</f>
        <v>NA</v>
      </c>
      <c r="P444" s="8"/>
      <c r="Q444" s="17">
        <f>IFERROR(Q434+Q435+Q436+Q437+Q438+Q439+Q440+Q441+Q442, "NA")</f>
        <v>0</v>
      </c>
      <c r="R444" s="18" t="str">
        <f>IFERROR(Q444/Q446, "NA")</f>
        <v>NA</v>
      </c>
      <c r="S444" s="8"/>
      <c r="T444" s="17">
        <f>IFERROR(T434+T435+T436+T437+T438+T439+T440+T441+T442, "NA")</f>
        <v>0</v>
      </c>
      <c r="U444" s="18" t="str">
        <f>IFERROR(T444/T446, "NA")</f>
        <v>NA</v>
      </c>
      <c r="V444" s="8"/>
      <c r="W444" s="17">
        <f t="shared" si="123"/>
        <v>0</v>
      </c>
      <c r="X444" s="18" t="str">
        <f>IFERROR(W444/W446, "NA")</f>
        <v>NA</v>
      </c>
      <c r="Y444" s="8"/>
      <c r="Z444" s="17">
        <f>IFERROR(Z434+Z435+Z436+Z437+Z438+Z439+Z440+Z441+Z442, "NA")</f>
        <v>0</v>
      </c>
      <c r="AA444" s="18" t="str">
        <f>IFERROR(Z444/Z446, "NA")</f>
        <v>NA</v>
      </c>
      <c r="AB444" s="8"/>
      <c r="AC444" s="17">
        <f t="shared" si="124"/>
        <v>0</v>
      </c>
      <c r="AD444" s="18" t="str">
        <f>IFERROR(AC444/AC446, "NA")</f>
        <v>NA</v>
      </c>
    </row>
    <row r="445" ht="16.5" customHeight="1">
      <c r="A445" s="19" t="s">
        <v>412</v>
      </c>
      <c r="B445" s="20">
        <f>IFERROR(B405-B431-B444, "NA")</f>
        <v>-80750.27</v>
      </c>
      <c r="C445" s="21" t="str">
        <f>IFERROR(B445/B446, "NA")</f>
        <v>NA</v>
      </c>
      <c r="D445" s="22"/>
      <c r="E445" s="20">
        <f>IFERROR(E405-E431-E444, "NA")</f>
        <v>-96487.92</v>
      </c>
      <c r="F445" s="21" t="str">
        <f>IFERROR(E445/E446, "NA")</f>
        <v>NA</v>
      </c>
      <c r="G445" s="22"/>
      <c r="H445" s="20">
        <f t="shared" ref="H445:H446" si="125">IFERROR(B445-E445, "NA")</f>
        <v>15737.65</v>
      </c>
      <c r="I445" s="21" t="str">
        <f>IFERROR(H445/H446, "NA")</f>
        <v>NA</v>
      </c>
      <c r="J445" s="22"/>
      <c r="K445" s="20">
        <f>IFERROR(K405-K431-K444, "NA")</f>
        <v>-101615.29</v>
      </c>
      <c r="L445" s="21" t="str">
        <f>IFERROR(K445/K446, "NA")</f>
        <v>NA</v>
      </c>
      <c r="M445" s="22"/>
      <c r="N445" s="20">
        <f t="shared" ref="N445:N446" si="126">IFERROR(B445-K445, "NA")</f>
        <v>20865.02</v>
      </c>
      <c r="O445" s="21" t="str">
        <f>IFERROR(N445/N446, "NA")</f>
        <v>NA</v>
      </c>
      <c r="P445" s="22"/>
      <c r="Q445" s="20">
        <f>IFERROR(Q405-Q431-Q444, "NA")</f>
        <v>-703878.44</v>
      </c>
      <c r="R445" s="21" t="str">
        <f>IFERROR(Q445/Q446, "NA")</f>
        <v>NA</v>
      </c>
      <c r="S445" s="22"/>
      <c r="T445" s="20">
        <f>IFERROR(T405-T431-T444, "NA")</f>
        <v>-802704.01</v>
      </c>
      <c r="U445" s="21" t="str">
        <f>IFERROR(T445/T446, "NA")</f>
        <v>NA</v>
      </c>
      <c r="V445" s="22"/>
      <c r="W445" s="20">
        <f t="shared" ref="W445:W446" si="127">IFERROR(Q445-T445, "NA")</f>
        <v>98825.57</v>
      </c>
      <c r="X445" s="21" t="str">
        <f>IFERROR(W445/W446, "NA")</f>
        <v>NA</v>
      </c>
      <c r="Y445" s="22"/>
      <c r="Z445" s="20">
        <f>IFERROR(Z405-Z431-Z444, "NA")</f>
        <v>-951954.81</v>
      </c>
      <c r="AA445" s="21" t="str">
        <f>IFERROR(Z445/Z446, "NA")</f>
        <v>NA</v>
      </c>
      <c r="AB445" s="22"/>
      <c r="AC445" s="20">
        <f t="shared" ref="AC445:AC446" si="128">IFERROR(Q445-Z445, "NA")</f>
        <v>248076.37</v>
      </c>
      <c r="AD445" s="21" t="str">
        <f>IFERROR(AC445/AC446, "NA")</f>
        <v>NA</v>
      </c>
    </row>
    <row r="446" ht="14.25" hidden="1" customHeight="1">
      <c r="A446" s="11" t="s">
        <v>120</v>
      </c>
      <c r="B446" s="12">
        <v>0.0</v>
      </c>
      <c r="C446" s="23"/>
      <c r="D446" s="14"/>
      <c r="E446" s="12">
        <v>0.0</v>
      </c>
      <c r="F446" s="23"/>
      <c r="G446" s="14"/>
      <c r="H446" s="15">
        <f t="shared" si="125"/>
        <v>0</v>
      </c>
      <c r="I446" s="23"/>
      <c r="J446" s="14"/>
      <c r="K446" s="12">
        <v>0.0</v>
      </c>
      <c r="L446" s="23"/>
      <c r="M446" s="14"/>
      <c r="N446" s="15">
        <f t="shared" si="126"/>
        <v>0</v>
      </c>
      <c r="O446" s="23"/>
      <c r="P446" s="14"/>
      <c r="Q446" s="12">
        <v>0.0</v>
      </c>
      <c r="R446" s="23"/>
      <c r="S446" s="14"/>
      <c r="T446" s="12">
        <v>0.0</v>
      </c>
      <c r="U446" s="23"/>
      <c r="V446" s="14"/>
      <c r="W446" s="15">
        <f t="shared" si="127"/>
        <v>0</v>
      </c>
      <c r="X446" s="23"/>
      <c r="Y446" s="14"/>
      <c r="Z446" s="12">
        <v>0.0</v>
      </c>
      <c r="AA446" s="23"/>
      <c r="AB446" s="14"/>
      <c r="AC446" s="15">
        <f t="shared" si="128"/>
        <v>0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 t="str">
        <f>IFERROR(B8/B446, "NA")</f>
        <v>NA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 t="str">
        <f>IFERROR(B10/B446, "NA")</f>
        <v>NA</v>
      </c>
      <c r="D10" s="14"/>
      <c r="E10" s="12">
        <v>38197.63</v>
      </c>
      <c r="F10" s="13">
        <f>IFERROR(E10/E446, "NA")</f>
        <v>0.4590000412</v>
      </c>
      <c r="G10" s="14"/>
      <c r="H10" s="15">
        <f t="shared" ref="H10:H19" si="1">IFERROR(B10-E10, "NA")</f>
        <v>-38197.63</v>
      </c>
      <c r="I10" s="13">
        <f>IFERROR(H10/H446, "NA")</f>
        <v>0.4590000412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331878.75</v>
      </c>
      <c r="U10" s="13">
        <f>IFERROR(T10/T446, "NA")</f>
        <v>0.4590000099</v>
      </c>
      <c r="V10" s="14"/>
      <c r="W10" s="15">
        <f t="shared" ref="W10:W19" si="3">IFERROR(Q10-T10, "NA")</f>
        <v>-331878.75</v>
      </c>
      <c r="X10" s="13">
        <f>IFERROR(W10/W446, "NA")</f>
        <v>1.969797609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0.0</v>
      </c>
      <c r="C11" s="13" t="str">
        <f>IFERROR(B11/B446, "NA")</f>
        <v>NA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0</v>
      </c>
      <c r="I11" s="13">
        <f>IFERROR(H11/H446, "NA")</f>
        <v>0</v>
      </c>
      <c r="J11" s="14"/>
      <c r="K11" s="12">
        <v>38172.87</v>
      </c>
      <c r="L11" s="13">
        <f>IFERROR(K11/K446, "NA")</f>
        <v>0.5005591364</v>
      </c>
      <c r="M11" s="14"/>
      <c r="N11" s="15">
        <f t="shared" si="2"/>
        <v>-38172.87</v>
      </c>
      <c r="O11" s="13">
        <f>IFERROR(N11/N446, "NA")</f>
        <v>0.5005591364</v>
      </c>
      <c r="P11" s="14"/>
      <c r="Q11" s="12">
        <v>225385.7</v>
      </c>
      <c r="R11" s="13">
        <f>IFERROR(Q11/Q446, "NA")</f>
        <v>0.406419865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225385.7</v>
      </c>
      <c r="X11" s="13">
        <f>IFERROR(W11/W446, "NA")</f>
        <v>-1.337730159</v>
      </c>
      <c r="Y11" s="14"/>
      <c r="Z11" s="12">
        <v>312412.33</v>
      </c>
      <c r="AA11" s="13">
        <f>IFERROR(Z11/Z446, "NA")</f>
        <v>0.4671960978</v>
      </c>
      <c r="AB11" s="14"/>
      <c r="AC11" s="15">
        <f t="shared" si="4"/>
        <v>-87026.63</v>
      </c>
      <c r="AD11" s="13">
        <f>IFERROR(AC11/AC446, "NA")</f>
        <v>0.7625041103</v>
      </c>
    </row>
    <row r="12" ht="16.5" customHeight="1">
      <c r="A12" s="11" t="s">
        <v>17</v>
      </c>
      <c r="B12" s="12">
        <v>0.0</v>
      </c>
      <c r="C12" s="13" t="str">
        <f>IFERROR(B12/B446, "NA")</f>
        <v>NA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0</v>
      </c>
      <c r="I12" s="13">
        <f>IFERROR(H12/H446, "NA")</f>
        <v>0</v>
      </c>
      <c r="J12" s="14"/>
      <c r="K12" s="12">
        <v>4016.1</v>
      </c>
      <c r="L12" s="13">
        <f>IFERROR(K12/K446, "NA")</f>
        <v>0.05266293962</v>
      </c>
      <c r="M12" s="14"/>
      <c r="N12" s="15">
        <f t="shared" si="2"/>
        <v>-4016.1</v>
      </c>
      <c r="O12" s="13">
        <f>IFERROR(N12/N446, "NA")</f>
        <v>0.05266293962</v>
      </c>
      <c r="P12" s="14"/>
      <c r="Q12" s="12">
        <v>23391.9</v>
      </c>
      <c r="R12" s="13">
        <f>IFERROR(Q12/Q446, "NA")</f>
        <v>0.0421807277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23391.9</v>
      </c>
      <c r="X12" s="13">
        <f>IFERROR(W12/W446, "NA")</f>
        <v>-0.1388377794</v>
      </c>
      <c r="Y12" s="14"/>
      <c r="Z12" s="12">
        <v>33486.0</v>
      </c>
      <c r="AA12" s="13">
        <f>IFERROR(Z12/Z446, "NA")</f>
        <v>0.05007653997</v>
      </c>
      <c r="AB12" s="14"/>
      <c r="AC12" s="15">
        <f t="shared" si="4"/>
        <v>-10094.1</v>
      </c>
      <c r="AD12" s="13">
        <f>IFERROR(AC12/AC446, "NA")</f>
        <v>0.08844181075</v>
      </c>
    </row>
    <row r="13" ht="16.5" customHeight="1">
      <c r="A13" s="11" t="s">
        <v>18</v>
      </c>
      <c r="B13" s="12">
        <v>0.0</v>
      </c>
      <c r="C13" s="13" t="str">
        <f>IFERROR(B13/B446, "NA")</f>
        <v>NA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0</v>
      </c>
      <c r="I13" s="13">
        <f>IFERROR(H13/H446, "NA")</f>
        <v>0</v>
      </c>
      <c r="J13" s="14"/>
      <c r="K13" s="12">
        <v>198.0</v>
      </c>
      <c r="L13" s="13">
        <f>IFERROR(K13/K446, "NA")</f>
        <v>0.002596365141</v>
      </c>
      <c r="M13" s="14"/>
      <c r="N13" s="15">
        <f t="shared" si="2"/>
        <v>-198</v>
      </c>
      <c r="O13" s="13">
        <f>IFERROR(N13/N446, "NA")</f>
        <v>0.002596365141</v>
      </c>
      <c r="P13" s="14"/>
      <c r="Q13" s="12">
        <v>1168.5</v>
      </c>
      <c r="R13" s="13">
        <f>IFERROR(Q13/Q446, "NA")</f>
        <v>0.00210706186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1168.5</v>
      </c>
      <c r="X13" s="13">
        <f>IFERROR(W13/W446, "NA")</f>
        <v>-0.006935389825</v>
      </c>
      <c r="Y13" s="14"/>
      <c r="Z13" s="12">
        <v>1727.5</v>
      </c>
      <c r="AA13" s="13">
        <f>IFERROR(Z13/Z446, "NA")</f>
        <v>0.002583384782</v>
      </c>
      <c r="AB13" s="14"/>
      <c r="AC13" s="15">
        <f t="shared" si="4"/>
        <v>-559</v>
      </c>
      <c r="AD13" s="13">
        <f>IFERROR(AC13/AC446, "NA")</f>
        <v>0.004897808839</v>
      </c>
    </row>
    <row r="14" ht="16.5" customHeight="1">
      <c r="A14" s="11" t="s">
        <v>19</v>
      </c>
      <c r="B14" s="12">
        <v>0.0</v>
      </c>
      <c r="C14" s="13" t="str">
        <f>IFERROR(B14/B446, "NA")</f>
        <v>NA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0</v>
      </c>
      <c r="I14" s="13">
        <f>IFERROR(H14/H446, "NA")</f>
        <v>0</v>
      </c>
      <c r="J14" s="14"/>
      <c r="K14" s="12">
        <v>50.0</v>
      </c>
      <c r="L14" s="13">
        <f>IFERROR(K14/K446, "NA")</f>
        <v>0.0006556477629</v>
      </c>
      <c r="M14" s="14"/>
      <c r="N14" s="15">
        <f t="shared" si="2"/>
        <v>-50</v>
      </c>
      <c r="O14" s="13">
        <f>IFERROR(N14/N446, "NA")</f>
        <v>0.0006556477629</v>
      </c>
      <c r="P14" s="14"/>
      <c r="Q14" s="12">
        <v>296.0</v>
      </c>
      <c r="R14" s="13">
        <f>IFERROR(Q14/Q446, "NA")</f>
        <v>0.0005337529401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296</v>
      </c>
      <c r="X14" s="13">
        <f>IFERROR(W14/W446, "NA")</f>
        <v>-0.001756846717</v>
      </c>
      <c r="Y14" s="14"/>
      <c r="Z14" s="12">
        <v>1785.0</v>
      </c>
      <c r="AA14" s="13">
        <f>IFERROR(Z14/Z446, "NA")</f>
        <v>0.002669372987</v>
      </c>
      <c r="AB14" s="14"/>
      <c r="AC14" s="15">
        <f t="shared" si="4"/>
        <v>-1489</v>
      </c>
      <c r="AD14" s="13">
        <f>IFERROR(AC14/AC446, "NA")</f>
        <v>0.01304622068</v>
      </c>
    </row>
    <row r="15" ht="16.5" customHeight="1">
      <c r="A15" s="11" t="s">
        <v>20</v>
      </c>
      <c r="B15" s="12">
        <v>0.0</v>
      </c>
      <c r="C15" s="13" t="str">
        <f>IFERROR(B15/B446, "NA")</f>
        <v>NA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0</v>
      </c>
      <c r="I15" s="13">
        <f>IFERROR(H15/H446, "NA")</f>
        <v>0</v>
      </c>
      <c r="J15" s="14"/>
      <c r="K15" s="12">
        <v>36.0</v>
      </c>
      <c r="L15" s="13">
        <f>IFERROR(K15/K446, "NA")</f>
        <v>0.0004720663893</v>
      </c>
      <c r="M15" s="14"/>
      <c r="N15" s="15">
        <f t="shared" si="2"/>
        <v>-36</v>
      </c>
      <c r="O15" s="13">
        <f>IFERROR(N15/N446, "NA")</f>
        <v>0.0004720663893</v>
      </c>
      <c r="P15" s="14"/>
      <c r="Q15" s="12">
        <v>380.0</v>
      </c>
      <c r="R15" s="13">
        <f>IFERROR(Q15/Q446, "NA")</f>
        <v>0.000685223369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380</v>
      </c>
      <c r="X15" s="13">
        <f>IFERROR(W15/W446, "NA")</f>
        <v>-0.002255411325</v>
      </c>
      <c r="Y15" s="14"/>
      <c r="Z15" s="12">
        <v>335.0</v>
      </c>
      <c r="AA15" s="13">
        <f>IFERROR(Z15/Z446, "NA")</f>
        <v>0.0005009747623</v>
      </c>
      <c r="AB15" s="14"/>
      <c r="AC15" s="15">
        <f t="shared" si="4"/>
        <v>45</v>
      </c>
      <c r="AD15" s="13">
        <f>IFERROR(AC15/AC446, "NA")</f>
        <v>-0.0003942779924</v>
      </c>
    </row>
    <row r="16" ht="16.5" customHeight="1">
      <c r="A16" s="11" t="s">
        <v>21</v>
      </c>
      <c r="B16" s="12">
        <v>0.0</v>
      </c>
      <c r="C16" s="13" t="str">
        <f>IFERROR(B16/B446, "NA")</f>
        <v>NA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</v>
      </c>
      <c r="I16" s="13">
        <f>IFERROR(H16/H446, "NA")</f>
        <v>0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</v>
      </c>
      <c r="O16" s="13">
        <f>IFERROR(N16/N446, "NA")</f>
        <v>0</v>
      </c>
      <c r="P16" s="14"/>
      <c r="Q16" s="12">
        <v>4.04</v>
      </c>
      <c r="R16" s="13">
        <f>IFERROR(Q16/Q446, "NA")</f>
        <v>0.000007285006344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4.04</v>
      </c>
      <c r="X16" s="13">
        <f>IFERROR(W16/W446, "NA")</f>
        <v>-0.00002397858356</v>
      </c>
      <c r="Y16" s="14"/>
      <c r="Z16" s="12">
        <v>1.35</v>
      </c>
      <c r="AA16" s="13">
        <f>IFERROR(Z16/Z446, "NA")</f>
        <v>0.00000201885352</v>
      </c>
      <c r="AB16" s="14"/>
      <c r="AC16" s="15">
        <f t="shared" si="4"/>
        <v>2.69</v>
      </c>
      <c r="AD16" s="13">
        <f>IFERROR(AC16/AC446, "NA")</f>
        <v>-0.00002356906222</v>
      </c>
    </row>
    <row r="17" ht="16.5" hidden="1" customHeight="1">
      <c r="A17" s="11" t="s">
        <v>22</v>
      </c>
      <c r="B17" s="12">
        <v>0.0</v>
      </c>
      <c r="C17" s="13" t="str">
        <f>IFERROR(B17/B446, "NA")</f>
        <v>NA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0</v>
      </c>
      <c r="C18" s="18" t="str">
        <f>IFERROR(B18/B446, "NA")</f>
        <v>NA</v>
      </c>
      <c r="D18" s="8"/>
      <c r="E18" s="17">
        <f>IFERROR(E10+E11+E12+E13+E14+E15+E16+E17, "NA")</f>
        <v>38197.63</v>
      </c>
      <c r="F18" s="18">
        <f>IFERROR(E18/E446, "NA")</f>
        <v>0.4590000412</v>
      </c>
      <c r="G18" s="8"/>
      <c r="H18" s="17">
        <f t="shared" si="1"/>
        <v>-38197.63</v>
      </c>
      <c r="I18" s="18">
        <f>IFERROR(H18/H446, "NA")</f>
        <v>0.4590000412</v>
      </c>
      <c r="J18" s="8"/>
      <c r="K18" s="17">
        <f>IFERROR(K10+K11+K12+K13+K14+K15+K16+K17, "NA")</f>
        <v>42472.97</v>
      </c>
      <c r="L18" s="18">
        <f>IFERROR(K18/K446, "NA")</f>
        <v>0.5569461553</v>
      </c>
      <c r="M18" s="8"/>
      <c r="N18" s="17">
        <f t="shared" si="2"/>
        <v>-42472.97</v>
      </c>
      <c r="O18" s="18">
        <f>IFERROR(N18/N446, "NA")</f>
        <v>0.5569461553</v>
      </c>
      <c r="P18" s="8"/>
      <c r="Q18" s="17">
        <f>IFERROR(Q10+Q11+Q12+Q13+Q14+Q15+Q16+Q17, "NA")</f>
        <v>250626.14</v>
      </c>
      <c r="R18" s="18">
        <f>IFERROR(Q18/Q446, "NA")</f>
        <v>0.4519339158</v>
      </c>
      <c r="S18" s="8"/>
      <c r="T18" s="17">
        <f>IFERROR(T10+T11+T12+T13+T14+T15+T16+T17, "NA")</f>
        <v>331878.75</v>
      </c>
      <c r="U18" s="18">
        <f>IFERROR(T18/T446, "NA")</f>
        <v>0.4590000099</v>
      </c>
      <c r="V18" s="8"/>
      <c r="W18" s="17">
        <f t="shared" si="3"/>
        <v>-81252.61</v>
      </c>
      <c r="X18" s="18">
        <f>IFERROR(W18/W446, "NA")</f>
        <v>0.4822580442</v>
      </c>
      <c r="Y18" s="8"/>
      <c r="Z18" s="17">
        <f>IFERROR(Z10+Z11+Z12+Z13+Z14+Z15+Z16+Z17, "NA")</f>
        <v>349747.18</v>
      </c>
      <c r="AA18" s="18">
        <f>IFERROR(Z18/Z446, "NA")</f>
        <v>0.5230283891</v>
      </c>
      <c r="AB18" s="8"/>
      <c r="AC18" s="17">
        <f t="shared" si="4"/>
        <v>-99121.04</v>
      </c>
      <c r="AD18" s="18">
        <f>IFERROR(AC18/AC446, "NA")</f>
        <v>0.8684721036</v>
      </c>
    </row>
    <row r="19" ht="16.5" hidden="1" customHeight="1">
      <c r="A19" s="11" t="s">
        <v>24</v>
      </c>
      <c r="B19" s="12">
        <v>0.0</v>
      </c>
      <c r="C19" s="13" t="str">
        <f>IFERROR(B19/B446, "NA")</f>
        <v>NA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 t="str">
        <f>IFERROR(B21/B446, "NA")</f>
        <v>NA</v>
      </c>
      <c r="D21" s="14"/>
      <c r="E21" s="12">
        <v>8321.92</v>
      </c>
      <c r="F21" s="13">
        <f>IFERROR(E21/E446, "NA")</f>
        <v>0.09999996395</v>
      </c>
      <c r="G21" s="14"/>
      <c r="H21" s="15">
        <f t="shared" ref="H21:H29" si="5">IFERROR(B21-E21, "NA")</f>
        <v>-8321.92</v>
      </c>
      <c r="I21" s="13">
        <f>IFERROR(H21/H446, "NA")</f>
        <v>0.09999996395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72304.73</v>
      </c>
      <c r="U21" s="13">
        <f>IFERROR(T21/T446, "NA")</f>
        <v>0.09999999032</v>
      </c>
      <c r="V21" s="14"/>
      <c r="W21" s="15">
        <f t="shared" ref="W21:W29" si="7">IFERROR(Q21-T21, "NA")</f>
        <v>-72304.73</v>
      </c>
      <c r="X21" s="13">
        <f>IFERROR(W21/W446, "NA")</f>
        <v>0.429149755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 t="str">
        <f>IFERROR(B22/B446, "NA")</f>
        <v>NA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6032.9</v>
      </c>
      <c r="L22" s="13">
        <f>IFERROR(K22/K446, "NA")</f>
        <v>0.07910914778</v>
      </c>
      <c r="M22" s="14"/>
      <c r="N22" s="15">
        <f t="shared" si="6"/>
        <v>-6032.9</v>
      </c>
      <c r="O22" s="13">
        <f>IFERROR(N22/N446, "NA")</f>
        <v>0.07910914778</v>
      </c>
      <c r="P22" s="14"/>
      <c r="Q22" s="12">
        <v>1956.45</v>
      </c>
      <c r="R22" s="13">
        <f>IFERROR(Q22/Q446, "NA")</f>
        <v>0.00352790858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1956.45</v>
      </c>
      <c r="X22" s="13">
        <f>IFERROR(W22/W446, "NA")</f>
        <v>-0.01161210391</v>
      </c>
      <c r="Y22" s="14"/>
      <c r="Z22" s="12">
        <v>55981.5</v>
      </c>
      <c r="AA22" s="13">
        <f>IFERROR(Z22/Z446, "NA")</f>
        <v>0.08371736912</v>
      </c>
      <c r="AB22" s="14"/>
      <c r="AC22" s="15">
        <f t="shared" si="8"/>
        <v>-54025.05</v>
      </c>
      <c r="AD22" s="13">
        <f>IFERROR(AC22/AC446, "NA")</f>
        <v>0.4733530723</v>
      </c>
    </row>
    <row r="23" ht="16.5" customHeight="1">
      <c r="A23" s="11" t="s">
        <v>27</v>
      </c>
      <c r="B23" s="12">
        <v>0.0</v>
      </c>
      <c r="C23" s="13" t="str">
        <f>IFERROR(B23/B446, "NA")</f>
        <v>NA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0</v>
      </c>
      <c r="I23" s="13">
        <f>IFERROR(H23/H446, "NA")</f>
        <v>0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0</v>
      </c>
      <c r="O23" s="13">
        <f>IFERROR(N23/N446, "NA")</f>
        <v>0</v>
      </c>
      <c r="P23" s="14"/>
      <c r="Q23" s="12">
        <v>32803.3</v>
      </c>
      <c r="R23" s="13">
        <f>IFERROR(Q23/Q446, "NA")</f>
        <v>0.05915154669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32803.3</v>
      </c>
      <c r="X23" s="13">
        <f>IFERROR(W23/W446, "NA")</f>
        <v>-0.1946971956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32803.3</v>
      </c>
      <c r="AD23" s="13">
        <f>IFERROR(AC23/AC446, "NA")</f>
        <v>-0.2874137615</v>
      </c>
    </row>
    <row r="24" ht="16.5" customHeight="1">
      <c r="A24" s="11" t="s">
        <v>28</v>
      </c>
      <c r="B24" s="12">
        <v>0.0</v>
      </c>
      <c r="C24" s="13" t="str">
        <f>IFERROR(B24/B446, "NA")</f>
        <v>NA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0</v>
      </c>
      <c r="I24" s="13">
        <f>IFERROR(H24/H446, "NA")</f>
        <v>0</v>
      </c>
      <c r="J24" s="14"/>
      <c r="K24" s="12">
        <v>467.66</v>
      </c>
      <c r="L24" s="13">
        <f>IFERROR(K24/K446, "NA")</f>
        <v>0.006132404656</v>
      </c>
      <c r="M24" s="14"/>
      <c r="N24" s="15">
        <f t="shared" si="6"/>
        <v>-467.66</v>
      </c>
      <c r="O24" s="13">
        <f>IFERROR(N24/N446, "NA")</f>
        <v>0.006132404656</v>
      </c>
      <c r="P24" s="14"/>
      <c r="Q24" s="12">
        <v>4629.18</v>
      </c>
      <c r="R24" s="13">
        <f>IFERROR(Q24/Q446, "NA")</f>
        <v>0.008347427146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4629.18</v>
      </c>
      <c r="X24" s="13">
        <f>IFERROR(W24/W446, "NA")</f>
        <v>-0.02747553947</v>
      </c>
      <c r="Y24" s="14"/>
      <c r="Z24" s="12">
        <v>4844.65</v>
      </c>
      <c r="AA24" s="13">
        <f>IFERROR(Z24/Z446, "NA")</f>
        <v>0.007244917559</v>
      </c>
      <c r="AB24" s="14"/>
      <c r="AC24" s="15">
        <f t="shared" si="8"/>
        <v>-215.47</v>
      </c>
      <c r="AD24" s="13">
        <f>IFERROR(AC24/AC446, "NA")</f>
        <v>0.001887890645</v>
      </c>
    </row>
    <row r="25" ht="16.5" customHeight="1">
      <c r="A25" s="11" t="s">
        <v>29</v>
      </c>
      <c r="B25" s="12">
        <v>0.0</v>
      </c>
      <c r="C25" s="13" t="str">
        <f>IFERROR(B25/B446, "NA")</f>
        <v>NA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0</v>
      </c>
      <c r="I25" s="13">
        <f>IFERROR(H25/H446, "NA")</f>
        <v>0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0</v>
      </c>
      <c r="O25" s="13">
        <f>IFERROR(N25/N446, "NA")</f>
        <v>0</v>
      </c>
      <c r="P25" s="14"/>
      <c r="Q25" s="12">
        <v>991.76</v>
      </c>
      <c r="R25" s="13">
        <f>IFERROR(Q25/Q446, "NA")</f>
        <v>0.001788360864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991.76</v>
      </c>
      <c r="X25" s="13">
        <f>IFERROR(W25/W446, "NA")</f>
        <v>-0.005886386147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991.76</v>
      </c>
      <c r="AD25" s="13">
        <f>IFERROR(AC25/AC446, "NA")</f>
        <v>-0.008689536484</v>
      </c>
    </row>
    <row r="26" ht="16.5" customHeight="1">
      <c r="A26" s="11" t="s">
        <v>30</v>
      </c>
      <c r="B26" s="12">
        <v>0.0</v>
      </c>
      <c r="C26" s="13" t="str">
        <f>IFERROR(B26/B446, "NA")</f>
        <v>NA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0</v>
      </c>
      <c r="I26" s="13">
        <f>IFERROR(H26/H446, "NA")</f>
        <v>0</v>
      </c>
      <c r="J26" s="14"/>
      <c r="K26" s="12">
        <v>0.0</v>
      </c>
      <c r="L26" s="13">
        <f>IFERROR(K26/K446, "NA")</f>
        <v>0</v>
      </c>
      <c r="M26" s="14"/>
      <c r="N26" s="15">
        <f t="shared" si="6"/>
        <v>0</v>
      </c>
      <c r="O26" s="13">
        <f>IFERROR(N26/N446, "NA")</f>
        <v>0</v>
      </c>
      <c r="P26" s="14"/>
      <c r="Q26" s="12">
        <v>10068.45</v>
      </c>
      <c r="R26" s="13">
        <f>IFERROR(Q26/Q446, "NA")</f>
        <v>0.01815562429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10068.45</v>
      </c>
      <c r="X26" s="13">
        <f>IFERROR(W26/W446, "NA")</f>
        <v>-0.05975920042</v>
      </c>
      <c r="Y26" s="14"/>
      <c r="Z26" s="12">
        <v>0.0</v>
      </c>
      <c r="AA26" s="13">
        <f>IFERROR(Z26/Z446, "NA")</f>
        <v>0</v>
      </c>
      <c r="AB26" s="14"/>
      <c r="AC26" s="15">
        <f t="shared" si="8"/>
        <v>10068.45</v>
      </c>
      <c r="AD26" s="13">
        <f>IFERROR(AC26/AC446, "NA")</f>
        <v>-0.08821707229</v>
      </c>
    </row>
    <row r="27" ht="16.5" hidden="1" customHeight="1">
      <c r="A27" s="11" t="s">
        <v>31</v>
      </c>
      <c r="B27" s="12">
        <v>0.0</v>
      </c>
      <c r="C27" s="13" t="str">
        <f>IFERROR(B27/B446, "NA")</f>
        <v>NA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0.0</v>
      </c>
      <c r="C28" s="13" t="str">
        <f>IFERROR(B28/B446, "NA")</f>
        <v>NA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0</v>
      </c>
      <c r="I28" s="13">
        <f>IFERROR(H28/H446, "NA")</f>
        <v>0</v>
      </c>
      <c r="J28" s="14"/>
      <c r="K28" s="12">
        <v>874.54</v>
      </c>
      <c r="L28" s="13">
        <f>IFERROR(K28/K446, "NA")</f>
        <v>0.01146780389</v>
      </c>
      <c r="M28" s="14"/>
      <c r="N28" s="15">
        <f t="shared" si="6"/>
        <v>-874.54</v>
      </c>
      <c r="O28" s="13">
        <f>IFERROR(N28/N446, "NA")</f>
        <v>0.01146780389</v>
      </c>
      <c r="P28" s="14"/>
      <c r="Q28" s="12">
        <v>4875.86</v>
      </c>
      <c r="R28" s="13">
        <f>IFERROR(Q28/Q446, "NA")</f>
        <v>0.008792245305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4875.86</v>
      </c>
      <c r="X28" s="13">
        <f>IFERROR(W28/W446, "NA")</f>
        <v>-0.02893965754</v>
      </c>
      <c r="Y28" s="14"/>
      <c r="Z28" s="12">
        <v>6726.77</v>
      </c>
      <c r="AA28" s="13">
        <f>IFERROR(Z28/Z446, "NA")</f>
        <v>0.01005952836</v>
      </c>
      <c r="AB28" s="14"/>
      <c r="AC28" s="15">
        <f t="shared" si="8"/>
        <v>-1850.91</v>
      </c>
      <c r="AD28" s="13">
        <f>IFERROR(AC28/AC446, "NA")</f>
        <v>0.01621717953</v>
      </c>
    </row>
    <row r="29" ht="16.5" customHeight="1">
      <c r="A29" s="16" t="s">
        <v>33</v>
      </c>
      <c r="B29" s="17">
        <f>IFERROR(B21+B22+B23+B24+B25+B26+B27+B28, "NA")</f>
        <v>0</v>
      </c>
      <c r="C29" s="18" t="str">
        <f>IFERROR(B29/B446, "NA")</f>
        <v>NA</v>
      </c>
      <c r="D29" s="8"/>
      <c r="E29" s="17">
        <f>IFERROR(E21+E22+E23+E24+E25+E26+E27+E28, "NA")</f>
        <v>8321.92</v>
      </c>
      <c r="F29" s="18">
        <f>IFERROR(E29/E446, "NA")</f>
        <v>0.09999996395</v>
      </c>
      <c r="G29" s="8"/>
      <c r="H29" s="17">
        <f t="shared" si="5"/>
        <v>-8321.92</v>
      </c>
      <c r="I29" s="18">
        <f>IFERROR(H29/H446, "NA")</f>
        <v>0.09999996395</v>
      </c>
      <c r="J29" s="8"/>
      <c r="K29" s="17">
        <f>IFERROR(K21+K22+K23+K24+K25+K26+K27+K28, "NA")</f>
        <v>7375.1</v>
      </c>
      <c r="L29" s="18">
        <f>IFERROR(K29/K446, "NA")</f>
        <v>0.09670935633</v>
      </c>
      <c r="M29" s="8"/>
      <c r="N29" s="17">
        <f t="shared" si="6"/>
        <v>-7375.1</v>
      </c>
      <c r="O29" s="18">
        <f>IFERROR(N29/N446, "NA")</f>
        <v>0.09670935633</v>
      </c>
      <c r="P29" s="8"/>
      <c r="Q29" s="17">
        <f>IFERROR(Q21+Q22+Q23+Q24+Q25+Q26+Q27+Q28, "NA")</f>
        <v>55325</v>
      </c>
      <c r="R29" s="18">
        <f>IFERROR(Q29/Q446, "NA")</f>
        <v>0.09976311287</v>
      </c>
      <c r="S29" s="8"/>
      <c r="T29" s="17">
        <f>IFERROR(T21+T22+T23+T24+T25+T26+T27+T28, "NA")</f>
        <v>72304.73</v>
      </c>
      <c r="U29" s="18">
        <f>IFERROR(T29/T446, "NA")</f>
        <v>0.09999999032</v>
      </c>
      <c r="V29" s="8"/>
      <c r="W29" s="17">
        <f t="shared" si="7"/>
        <v>-16979.73</v>
      </c>
      <c r="X29" s="18">
        <f>IFERROR(W29/W446, "NA")</f>
        <v>0.100779672</v>
      </c>
      <c r="Y29" s="8"/>
      <c r="Z29" s="17">
        <f>IFERROR(Z21+Z22+Z23+Z24+Z25+Z26+Z27+Z28, "NA")</f>
        <v>67552.92</v>
      </c>
      <c r="AA29" s="18">
        <f>IFERROR(Z29/Z446, "NA")</f>
        <v>0.101021815</v>
      </c>
      <c r="AB29" s="8"/>
      <c r="AC29" s="17">
        <f t="shared" si="8"/>
        <v>-12227.92</v>
      </c>
      <c r="AD29" s="18">
        <f>IFERROR(AC29/AC446, "NA")</f>
        <v>0.1071377722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 t="str">
        <f>IFERROR(B31/B446, "NA")</f>
        <v>NA</v>
      </c>
      <c r="D31" s="14"/>
      <c r="E31" s="12">
        <v>15811.65</v>
      </c>
      <c r="F31" s="13">
        <f>IFERROR(E31/E446, "NA")</f>
        <v>0.1899999555</v>
      </c>
      <c r="G31" s="14"/>
      <c r="H31" s="15">
        <f t="shared" ref="H31:H40" si="9">IFERROR(B31-E31, "NA")</f>
        <v>-15811.65</v>
      </c>
      <c r="I31" s="13">
        <f>IFERROR(H31/H446, "NA")</f>
        <v>0.1899999555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137379.0</v>
      </c>
      <c r="U31" s="13">
        <f>IFERROR(T31/T446, "NA")</f>
        <v>0.1899999996</v>
      </c>
      <c r="V31" s="14"/>
      <c r="W31" s="15">
        <f t="shared" ref="W31:W40" si="11">IFERROR(Q31-T31, "NA")</f>
        <v>-137379</v>
      </c>
      <c r="X31" s="13">
        <f>IFERROR(W31/W446, "NA")</f>
        <v>0.8153846117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 t="str">
        <f>IFERROR(B32/B446, "NA")</f>
        <v>NA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0.0</v>
      </c>
      <c r="C33" s="13" t="str">
        <f>IFERROR(B33/B446, "NA")</f>
        <v>NA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0</v>
      </c>
      <c r="I33" s="13">
        <f>IFERROR(H33/H446, "NA")</f>
        <v>0</v>
      </c>
      <c r="J33" s="14"/>
      <c r="K33" s="12">
        <v>3287.81</v>
      </c>
      <c r="L33" s="13">
        <f>IFERROR(K33/K446, "NA")</f>
        <v>0.04311290543</v>
      </c>
      <c r="M33" s="14"/>
      <c r="N33" s="15">
        <f t="shared" si="10"/>
        <v>-3287.81</v>
      </c>
      <c r="O33" s="13">
        <f>IFERROR(N33/N446, "NA")</f>
        <v>0.04311290543</v>
      </c>
      <c r="P33" s="14"/>
      <c r="Q33" s="12">
        <v>33588.63</v>
      </c>
      <c r="R33" s="13">
        <f>IFERROR(Q33/Q446, "NA")</f>
        <v>0.06056766897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33588.63</v>
      </c>
      <c r="X33" s="13">
        <f>IFERROR(W33/W446, "NA")</f>
        <v>-0.1993583592</v>
      </c>
      <c r="Y33" s="14"/>
      <c r="Z33" s="12">
        <v>42404.41</v>
      </c>
      <c r="AA33" s="13">
        <f>IFERROR(Z33/Z446, "NA")</f>
        <v>0.06341354991</v>
      </c>
      <c r="AB33" s="14"/>
      <c r="AC33" s="15">
        <f t="shared" si="12"/>
        <v>-8815.78</v>
      </c>
      <c r="AD33" s="13">
        <f>IFERROR(AC33/AC446, "NA")</f>
        <v>0.07724151201</v>
      </c>
    </row>
    <row r="34" ht="16.5" hidden="1" customHeight="1">
      <c r="A34" s="11" t="s">
        <v>37</v>
      </c>
      <c r="B34" s="12">
        <v>0.0</v>
      </c>
      <c r="C34" s="13" t="str">
        <f>IFERROR(B34/B446, "NA")</f>
        <v>NA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0.0</v>
      </c>
      <c r="C35" s="13" t="str">
        <f>IFERROR(B35/B446, "NA")</f>
        <v>NA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0</v>
      </c>
      <c r="I35" s="13">
        <f>IFERROR(H35/H446, "NA")</f>
        <v>0</v>
      </c>
      <c r="J35" s="14"/>
      <c r="K35" s="12">
        <v>590.91</v>
      </c>
      <c r="L35" s="13">
        <f>IFERROR(K35/K446, "NA")</f>
        <v>0.007748576392</v>
      </c>
      <c r="M35" s="14"/>
      <c r="N35" s="15">
        <f t="shared" si="10"/>
        <v>-590.91</v>
      </c>
      <c r="O35" s="13">
        <f>IFERROR(N35/N446, "NA")</f>
        <v>0.007748576392</v>
      </c>
      <c r="P35" s="14"/>
      <c r="Q35" s="12">
        <v>2881.77</v>
      </c>
      <c r="R35" s="13">
        <f>IFERROR(Q35/Q446, "NA")</f>
        <v>0.005196463548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2881.77</v>
      </c>
      <c r="X35" s="13">
        <f>IFERROR(W35/W446, "NA")</f>
        <v>-0.0171041492</v>
      </c>
      <c r="Y35" s="14"/>
      <c r="Z35" s="12">
        <v>4721.73</v>
      </c>
      <c r="AA35" s="13">
        <f>IFERROR(Z35/Z446, "NA")</f>
        <v>0.007061097207</v>
      </c>
      <c r="AB35" s="14"/>
      <c r="AC35" s="15">
        <f t="shared" si="12"/>
        <v>-1839.96</v>
      </c>
      <c r="AD35" s="13">
        <f>IFERROR(AC35/AC446, "NA")</f>
        <v>0.01612123856</v>
      </c>
    </row>
    <row r="36" ht="16.5" customHeight="1">
      <c r="A36" s="11" t="s">
        <v>39</v>
      </c>
      <c r="B36" s="12">
        <v>0.0</v>
      </c>
      <c r="C36" s="13" t="str">
        <f>IFERROR(B36/B446, "NA")</f>
        <v>NA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0</v>
      </c>
      <c r="I36" s="13">
        <f>IFERROR(H36/H446, "NA")</f>
        <v>0</v>
      </c>
      <c r="J36" s="14"/>
      <c r="K36" s="12">
        <v>4497.05</v>
      </c>
      <c r="L36" s="13">
        <f>IFERROR(K36/K446, "NA")</f>
        <v>0.05896961545</v>
      </c>
      <c r="M36" s="14"/>
      <c r="N36" s="15">
        <f t="shared" si="10"/>
        <v>-4497.05</v>
      </c>
      <c r="O36" s="13">
        <f>IFERROR(N36/N446, "NA")</f>
        <v>0.05896961545</v>
      </c>
      <c r="P36" s="14"/>
      <c r="Q36" s="12">
        <v>63415.74</v>
      </c>
      <c r="R36" s="13">
        <f>IFERROR(Q36/Q446, "NA")</f>
        <v>0.1143524921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63415.74</v>
      </c>
      <c r="X36" s="13">
        <f>IFERROR(W36/W446, "NA")</f>
        <v>-0.3763909953</v>
      </c>
      <c r="Y36" s="14"/>
      <c r="Z36" s="12">
        <v>75202.94</v>
      </c>
      <c r="AA36" s="13">
        <f>IFERROR(Z36/Z446, "NA")</f>
        <v>0.1124620149</v>
      </c>
      <c r="AB36" s="14"/>
      <c r="AC36" s="15">
        <f t="shared" si="12"/>
        <v>-11787.2</v>
      </c>
      <c r="AD36" s="13">
        <f>IFERROR(AC36/AC446, "NA")</f>
        <v>0.1032763012</v>
      </c>
    </row>
    <row r="37" ht="16.5" customHeight="1">
      <c r="A37" s="11" t="s">
        <v>40</v>
      </c>
      <c r="B37" s="12">
        <v>0.0</v>
      </c>
      <c r="C37" s="13" t="str">
        <f>IFERROR(B37/B446, "NA")</f>
        <v>NA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0</v>
      </c>
      <c r="I37" s="13">
        <f>IFERROR(H37/H446, "NA")</f>
        <v>0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0</v>
      </c>
      <c r="O37" s="13">
        <f>IFERROR(N37/N446, "NA")</f>
        <v>0</v>
      </c>
      <c r="P37" s="14"/>
      <c r="Q37" s="12">
        <v>2556.92</v>
      </c>
      <c r="R37" s="13">
        <f>IFERROR(Q37/Q446, "NA")</f>
        <v>0.004610687728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2556.92</v>
      </c>
      <c r="X37" s="13">
        <f>IFERROR(W37/W446, "NA")</f>
        <v>-0.01517606928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2556.92</v>
      </c>
      <c r="AD37" s="13">
        <f>IFERROR(AC37/AC446, "NA")</f>
        <v>-0.02240305077</v>
      </c>
    </row>
    <row r="38" ht="16.5" hidden="1" customHeight="1">
      <c r="A38" s="11" t="s">
        <v>41</v>
      </c>
      <c r="B38" s="12">
        <v>0.0</v>
      </c>
      <c r="C38" s="13" t="str">
        <f>IFERROR(B38/B446, "NA")</f>
        <v>NA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 t="str">
        <f>IFERROR(B39/B446, "NA")</f>
        <v>NA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403.2</v>
      </c>
      <c r="L39" s="13">
        <f>IFERROR(K39/K446, "NA")</f>
        <v>0.00528714356</v>
      </c>
      <c r="M39" s="14"/>
      <c r="N39" s="15">
        <f t="shared" si="10"/>
        <v>-403.2</v>
      </c>
      <c r="O39" s="13">
        <f>IFERROR(N39/N446, "NA")</f>
        <v>0.00528714356</v>
      </c>
      <c r="P39" s="14"/>
      <c r="Q39" s="12">
        <v>116.35</v>
      </c>
      <c r="R39" s="13">
        <f>IFERROR(Q39/Q446, "NA")</f>
        <v>0.0002098045763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116.35</v>
      </c>
      <c r="X39" s="13">
        <f>IFERROR(W39/W446, "NA")</f>
        <v>-0.000690571336</v>
      </c>
      <c r="Y39" s="14"/>
      <c r="Z39" s="12">
        <v>4961.88</v>
      </c>
      <c r="AA39" s="13">
        <f>IFERROR(Z39/Z446, "NA")</f>
        <v>0.007420228817</v>
      </c>
      <c r="AB39" s="14"/>
      <c r="AC39" s="15">
        <f t="shared" si="12"/>
        <v>-4845.53</v>
      </c>
      <c r="AD39" s="13">
        <f>IFERROR(AC39/AC446, "NA")</f>
        <v>0.04245524091</v>
      </c>
    </row>
    <row r="40" ht="16.5" customHeight="1">
      <c r="A40" s="16" t="s">
        <v>43</v>
      </c>
      <c r="B40" s="17">
        <f>IFERROR(B31+B32+B33+B34+B35+B36+B37+B38+B39, "NA")</f>
        <v>0</v>
      </c>
      <c r="C40" s="18" t="str">
        <f>IFERROR(B40/B446, "NA")</f>
        <v>NA</v>
      </c>
      <c r="D40" s="8"/>
      <c r="E40" s="17">
        <f>IFERROR(E31+E32+E33+E34+E35+E36+E37+E38+E39, "NA")</f>
        <v>15811.65</v>
      </c>
      <c r="F40" s="18">
        <f>IFERROR(E40/E446, "NA")</f>
        <v>0.1899999555</v>
      </c>
      <c r="G40" s="8"/>
      <c r="H40" s="17">
        <f t="shared" si="9"/>
        <v>-15811.65</v>
      </c>
      <c r="I40" s="18">
        <f>IFERROR(H40/H446, "NA")</f>
        <v>0.1899999555</v>
      </c>
      <c r="J40" s="8"/>
      <c r="K40" s="17">
        <f>IFERROR(K31+K32+K33+K34+K35+K36+K37+K38+K39, "NA")</f>
        <v>8778.97</v>
      </c>
      <c r="L40" s="18">
        <f>IFERROR(K40/K446, "NA")</f>
        <v>0.1151182408</v>
      </c>
      <c r="M40" s="8"/>
      <c r="N40" s="17">
        <f t="shared" si="10"/>
        <v>-8778.97</v>
      </c>
      <c r="O40" s="18">
        <f>IFERROR(N40/N446, "NA")</f>
        <v>0.1151182408</v>
      </c>
      <c r="P40" s="8"/>
      <c r="Q40" s="17">
        <f>IFERROR(Q31+Q32+Q33+Q34+Q35+Q36+Q37+Q38+Q39, "NA")</f>
        <v>102559.41</v>
      </c>
      <c r="R40" s="18">
        <f>IFERROR(Q40/Q446, "NA")</f>
        <v>0.184937117</v>
      </c>
      <c r="S40" s="8"/>
      <c r="T40" s="17">
        <f>IFERROR(T31+T32+T33+T34+T35+T36+T37+T38+T39, "NA")</f>
        <v>137379</v>
      </c>
      <c r="U40" s="18">
        <f>IFERROR(T40/T446, "NA")</f>
        <v>0.1899999996</v>
      </c>
      <c r="V40" s="8"/>
      <c r="W40" s="17">
        <f t="shared" si="11"/>
        <v>-34819.59</v>
      </c>
      <c r="X40" s="18">
        <f>IFERROR(W40/W446, "NA")</f>
        <v>0.2066644674</v>
      </c>
      <c r="Y40" s="8"/>
      <c r="Z40" s="17">
        <f>IFERROR(Z31+Z32+Z33+Z34+Z35+Z36+Z37+Z38+Z39, "NA")</f>
        <v>127290.96</v>
      </c>
      <c r="AA40" s="18">
        <f>IFERROR(Z40/Z446, "NA")</f>
        <v>0.1903568908</v>
      </c>
      <c r="AB40" s="8"/>
      <c r="AC40" s="17">
        <f t="shared" si="12"/>
        <v>-24731.55</v>
      </c>
      <c r="AD40" s="18">
        <f>IFERROR(AC40/AC446, "NA")</f>
        <v>0.2166912419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 t="str">
        <f>IFERROR(B42/B446, "NA")</f>
        <v>NA</v>
      </c>
      <c r="D42" s="14"/>
      <c r="E42" s="12">
        <v>16643.85</v>
      </c>
      <c r="F42" s="13">
        <f>IFERROR(E42/E446, "NA")</f>
        <v>0.2000000481</v>
      </c>
      <c r="G42" s="14"/>
      <c r="H42" s="15">
        <f t="shared" ref="H42:H44" si="13">IFERROR(B42-E42, "NA")</f>
        <v>-16643.85</v>
      </c>
      <c r="I42" s="13">
        <f>IFERROR(H42/H446, "NA")</f>
        <v>0.2000000481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144609.48</v>
      </c>
      <c r="U42" s="13">
        <f>IFERROR(T42/T446, "NA")</f>
        <v>0.2000000083</v>
      </c>
      <c r="V42" s="14"/>
      <c r="W42" s="15">
        <f t="shared" ref="W42:W44" si="15">IFERROR(Q42-T42, "NA")</f>
        <v>-144609.48</v>
      </c>
      <c r="X42" s="13">
        <f>IFERROR(W42/W446, "NA")</f>
        <v>0.8582996288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0.0</v>
      </c>
      <c r="C43" s="13" t="str">
        <f>IFERROR(B43/B446, "NA")</f>
        <v>NA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0</v>
      </c>
      <c r="I43" s="13">
        <f>IFERROR(H43/H446, "NA")</f>
        <v>0</v>
      </c>
      <c r="J43" s="14"/>
      <c r="K43" s="12">
        <v>408.06</v>
      </c>
      <c r="L43" s="13">
        <f>IFERROR(K43/K446, "NA")</f>
        <v>0.005350872523</v>
      </c>
      <c r="M43" s="14"/>
      <c r="N43" s="15">
        <f t="shared" si="14"/>
        <v>-408.06</v>
      </c>
      <c r="O43" s="13">
        <f>IFERROR(N43/N446, "NA")</f>
        <v>0.005350872523</v>
      </c>
      <c r="P43" s="14"/>
      <c r="Q43" s="12">
        <v>32160.58</v>
      </c>
      <c r="R43" s="13">
        <f>IFERROR(Q43/Q446, "NA")</f>
        <v>0.05799258152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32160.58</v>
      </c>
      <c r="X43" s="13">
        <f>IFERROR(W43/W446, "NA")</f>
        <v>-0.1908824641</v>
      </c>
      <c r="Y43" s="14"/>
      <c r="Z43" s="12">
        <v>39093.98</v>
      </c>
      <c r="AA43" s="13">
        <f>IFERROR(Z43/Z446, "NA")</f>
        <v>0.05846297713</v>
      </c>
      <c r="AB43" s="14"/>
      <c r="AC43" s="15">
        <f t="shared" si="16"/>
        <v>-6933.4</v>
      </c>
      <c r="AD43" s="13">
        <f>IFERROR(AC43/AC446, "NA")</f>
        <v>0.06074860073</v>
      </c>
    </row>
    <row r="44" ht="16.5" hidden="1" customHeight="1">
      <c r="A44" s="11" t="s">
        <v>46</v>
      </c>
      <c r="B44" s="12">
        <v>0.0</v>
      </c>
      <c r="C44" s="13" t="str">
        <f>IFERROR(B44/B446, "NA")</f>
        <v>NA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 t="str">
        <f>IFERROR(B46/B446, "NA")</f>
        <v>NA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customHeight="1">
      <c r="A47" s="11" t="s">
        <v>48</v>
      </c>
      <c r="B47" s="12">
        <v>0.0</v>
      </c>
      <c r="C47" s="13" t="str">
        <f>IFERROR(B47/B446, "NA")</f>
        <v>NA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0</v>
      </c>
      <c r="I47" s="13">
        <f>IFERROR(H47/H446, "NA")</f>
        <v>0</v>
      </c>
      <c r="J47" s="14"/>
      <c r="K47" s="12">
        <v>156.09</v>
      </c>
      <c r="L47" s="13">
        <f>IFERROR(K47/K446, "NA")</f>
        <v>0.002046801186</v>
      </c>
      <c r="M47" s="14"/>
      <c r="N47" s="15">
        <f t="shared" si="18"/>
        <v>-156.09</v>
      </c>
      <c r="O47" s="13">
        <f>IFERROR(N47/N446, "NA")</f>
        <v>0.002046801186</v>
      </c>
      <c r="P47" s="14"/>
      <c r="Q47" s="12">
        <v>2940.43</v>
      </c>
      <c r="R47" s="13">
        <f>IFERROR(Q47/Q446, "NA")</f>
        <v>0.005302240397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2940.43</v>
      </c>
      <c r="X47" s="13">
        <f>IFERROR(W47/W446, "NA")</f>
        <v>-0.01745231348</v>
      </c>
      <c r="Y47" s="14"/>
      <c r="Z47" s="12">
        <v>6511.84</v>
      </c>
      <c r="AA47" s="13">
        <f>IFERROR(Z47/Z446, "NA")</f>
        <v>0.009738111929</v>
      </c>
      <c r="AB47" s="14"/>
      <c r="AC47" s="15">
        <f t="shared" si="20"/>
        <v>-3571.41</v>
      </c>
      <c r="AD47" s="13">
        <f>IFERROR(AC47/AC446, "NA")</f>
        <v>0.03129174144</v>
      </c>
    </row>
    <row r="48" ht="16.5" customHeight="1">
      <c r="A48" s="11" t="s">
        <v>49</v>
      </c>
      <c r="B48" s="12">
        <v>0.0</v>
      </c>
      <c r="C48" s="13" t="str">
        <f>IFERROR(B48/B446, "NA")</f>
        <v>NA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0</v>
      </c>
      <c r="I48" s="13">
        <f>IFERROR(H48/H446, "NA")</f>
        <v>0</v>
      </c>
      <c r="J48" s="14"/>
      <c r="K48" s="12">
        <v>2082.47</v>
      </c>
      <c r="L48" s="13">
        <f>IFERROR(K48/K446, "NA")</f>
        <v>0.02730733594</v>
      </c>
      <c r="M48" s="14"/>
      <c r="N48" s="15">
        <f t="shared" si="18"/>
        <v>-2082.47</v>
      </c>
      <c r="O48" s="13">
        <f>IFERROR(N48/N446, "NA")</f>
        <v>0.02730733594</v>
      </c>
      <c r="P48" s="14"/>
      <c r="Q48" s="12">
        <v>11795.62</v>
      </c>
      <c r="R48" s="13">
        <f>IFERROR(Q48/Q446, "NA")</f>
        <v>0.02127009073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11795.62</v>
      </c>
      <c r="X48" s="13">
        <f>IFERROR(W48/W446, "NA")</f>
        <v>-0.07001046036</v>
      </c>
      <c r="Y48" s="14"/>
      <c r="Z48" s="12">
        <v>39422.1</v>
      </c>
      <c r="AA48" s="13">
        <f>IFERROR(Z48/Z446, "NA")</f>
        <v>0.05895366321</v>
      </c>
      <c r="AB48" s="14"/>
      <c r="AC48" s="15">
        <f t="shared" si="20"/>
        <v>-27626.48</v>
      </c>
      <c r="AD48" s="13">
        <f>IFERROR(AC48/AC446, "NA")</f>
        <v>0.2420558461</v>
      </c>
    </row>
    <row r="49" ht="16.5" customHeight="1">
      <c r="A49" s="11" t="s">
        <v>50</v>
      </c>
      <c r="B49" s="12">
        <v>0.0</v>
      </c>
      <c r="C49" s="13" t="str">
        <f>IFERROR(B49/B446, "NA")</f>
        <v>NA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0.0</v>
      </c>
      <c r="L49" s="13">
        <f>IFERROR(K49/K446, "NA")</f>
        <v>0</v>
      </c>
      <c r="M49" s="14"/>
      <c r="N49" s="15">
        <f t="shared" si="18"/>
        <v>0</v>
      </c>
      <c r="O49" s="13">
        <f>IFERROR(N49/N446, "NA")</f>
        <v>0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27.5</v>
      </c>
      <c r="AA49" s="13">
        <f>IFERROR(Z49/Z446, "NA")</f>
        <v>0.00004112479392</v>
      </c>
      <c r="AB49" s="14"/>
      <c r="AC49" s="15">
        <f t="shared" si="20"/>
        <v>-27.5</v>
      </c>
      <c r="AD49" s="13">
        <f>IFERROR(AC49/AC446, "NA")</f>
        <v>0.000240947662</v>
      </c>
    </row>
    <row r="50" ht="16.5" customHeight="1">
      <c r="A50" s="11" t="s">
        <v>51</v>
      </c>
      <c r="B50" s="12">
        <v>0.0</v>
      </c>
      <c r="C50" s="13" t="str">
        <f>IFERROR(B50/B446, "NA")</f>
        <v>NA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0</v>
      </c>
      <c r="I50" s="13">
        <f>IFERROR(H50/H446, "NA")</f>
        <v>0</v>
      </c>
      <c r="J50" s="14"/>
      <c r="K50" s="12">
        <v>4241.0</v>
      </c>
      <c r="L50" s="13">
        <f>IFERROR(K50/K446, "NA")</f>
        <v>0.05561204325</v>
      </c>
      <c r="M50" s="14"/>
      <c r="N50" s="15">
        <f t="shared" si="18"/>
        <v>-4241</v>
      </c>
      <c r="O50" s="13">
        <f>IFERROR(N50/N446, "NA")</f>
        <v>0.05561204325</v>
      </c>
      <c r="P50" s="14"/>
      <c r="Q50" s="12">
        <v>15445.16</v>
      </c>
      <c r="R50" s="13">
        <f>IFERROR(Q50/Q446, "NA")</f>
        <v>0.02785101203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15445.16</v>
      </c>
      <c r="X50" s="13">
        <f>IFERROR(W50/W446, "NA")</f>
        <v>-0.09167154943</v>
      </c>
      <c r="Y50" s="14"/>
      <c r="Z50" s="12">
        <v>15729.07</v>
      </c>
      <c r="AA50" s="13">
        <f>IFERROR(Z50/Z446, "NA")</f>
        <v>0.02352199136</v>
      </c>
      <c r="AB50" s="14"/>
      <c r="AC50" s="15">
        <f t="shared" si="20"/>
        <v>-283.91</v>
      </c>
      <c r="AD50" s="13">
        <f>IFERROR(AC50/AC446, "NA")</f>
        <v>0.002487543663</v>
      </c>
    </row>
    <row r="51" ht="16.5" hidden="1" customHeight="1">
      <c r="A51" s="11" t="s">
        <v>52</v>
      </c>
      <c r="B51" s="12">
        <v>0.0</v>
      </c>
      <c r="C51" s="13" t="str">
        <f>IFERROR(B51/B446, "NA")</f>
        <v>NA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0</v>
      </c>
      <c r="I51" s="13">
        <f>IFERROR(H51/H446, "NA")</f>
        <v>0</v>
      </c>
      <c r="J51" s="14"/>
      <c r="K51" s="12">
        <v>0.0</v>
      </c>
      <c r="L51" s="13">
        <f>IFERROR(K51/K446, "NA")</f>
        <v>0</v>
      </c>
      <c r="M51" s="14"/>
      <c r="N51" s="15">
        <f t="shared" si="18"/>
        <v>0</v>
      </c>
      <c r="O51" s="13">
        <f>IFERROR(N51/N446, "NA")</f>
        <v>0</v>
      </c>
      <c r="P51" s="14"/>
      <c r="Q51" s="12">
        <v>0.0</v>
      </c>
      <c r="R51" s="13">
        <f>IFERROR(Q51/Q446, "NA")</f>
        <v>0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0</v>
      </c>
      <c r="X51" s="13">
        <f>IFERROR(W51/W446, "NA")</f>
        <v>0</v>
      </c>
      <c r="Y51" s="14"/>
      <c r="Z51" s="12">
        <v>0.0</v>
      </c>
      <c r="AA51" s="13">
        <f>IFERROR(Z51/Z446, "NA")</f>
        <v>0</v>
      </c>
      <c r="AB51" s="14"/>
      <c r="AC51" s="15">
        <f t="shared" si="20"/>
        <v>0</v>
      </c>
      <c r="AD51" s="13">
        <f>IFERROR(AC51/AC446, "NA")</f>
        <v>0</v>
      </c>
    </row>
    <row r="52" ht="16.5" hidden="1" customHeight="1">
      <c r="A52" s="11" t="s">
        <v>53</v>
      </c>
      <c r="B52" s="12">
        <v>0.0</v>
      </c>
      <c r="C52" s="13" t="str">
        <f>IFERROR(B52/B446, "NA")</f>
        <v>NA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0.0</v>
      </c>
      <c r="R52" s="13">
        <f>IFERROR(Q52/Q446, "NA")</f>
        <v>0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0</v>
      </c>
      <c r="X52" s="13">
        <f>IFERROR(W52/W446, "NA")</f>
        <v>0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0</v>
      </c>
      <c r="AD52" s="13">
        <f>IFERROR(AC52/AC446, "NA")</f>
        <v>0</v>
      </c>
    </row>
    <row r="53" ht="16.5" hidden="1" customHeight="1">
      <c r="A53" s="11" t="s">
        <v>54</v>
      </c>
      <c r="B53" s="12">
        <v>0.0</v>
      </c>
      <c r="C53" s="13" t="str">
        <f>IFERROR(B53/B446, "NA")</f>
        <v>NA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0</v>
      </c>
      <c r="I53" s="13">
        <f>IFERROR(H53/H446, "NA")</f>
        <v>0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0</v>
      </c>
      <c r="O53" s="13">
        <f>IFERROR(N53/N446, "NA")</f>
        <v>0</v>
      </c>
      <c r="P53" s="14"/>
      <c r="Q53" s="12">
        <v>0.0</v>
      </c>
      <c r="R53" s="13">
        <f>IFERROR(Q53/Q446, "NA")</f>
        <v>0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0</v>
      </c>
      <c r="X53" s="13">
        <f>IFERROR(W53/W446, "NA")</f>
        <v>0</v>
      </c>
      <c r="Y53" s="14"/>
      <c r="Z53" s="12">
        <v>0.0</v>
      </c>
      <c r="AA53" s="13">
        <f>IFERROR(Z53/Z446, "NA")</f>
        <v>0</v>
      </c>
      <c r="AB53" s="14"/>
      <c r="AC53" s="15">
        <f t="shared" si="20"/>
        <v>0</v>
      </c>
      <c r="AD53" s="13">
        <f>IFERROR(AC53/AC446, "NA")</f>
        <v>0</v>
      </c>
    </row>
    <row r="54" ht="16.5" hidden="1" customHeight="1">
      <c r="A54" s="11" t="s">
        <v>55</v>
      </c>
      <c r="B54" s="12">
        <v>0.0</v>
      </c>
      <c r="C54" s="13" t="str">
        <f>IFERROR(B54/B446, "NA")</f>
        <v>NA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0.0</v>
      </c>
      <c r="AA54" s="13">
        <f>IFERROR(Z54/Z446, "NA")</f>
        <v>0</v>
      </c>
      <c r="AB54" s="14"/>
      <c r="AC54" s="15">
        <f t="shared" si="20"/>
        <v>0</v>
      </c>
      <c r="AD54" s="13">
        <f>IFERROR(AC54/AC446, "NA")</f>
        <v>0</v>
      </c>
    </row>
    <row r="55" ht="16.5" customHeight="1">
      <c r="A55" s="11" t="s">
        <v>56</v>
      </c>
      <c r="B55" s="12">
        <v>0.0</v>
      </c>
      <c r="C55" s="13" t="str">
        <f>IFERROR(B55/B446, "NA")</f>
        <v>NA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0</v>
      </c>
      <c r="I55" s="13">
        <f>IFERROR(H55/H446, "NA")</f>
        <v>0</v>
      </c>
      <c r="J55" s="14"/>
      <c r="K55" s="12">
        <v>0.0</v>
      </c>
      <c r="L55" s="13">
        <f>IFERROR(K55/K446, "NA")</f>
        <v>0</v>
      </c>
      <c r="M55" s="14"/>
      <c r="N55" s="15">
        <f t="shared" si="18"/>
        <v>0</v>
      </c>
      <c r="O55" s="13">
        <f>IFERROR(N55/N446, "NA")</f>
        <v>0</v>
      </c>
      <c r="P55" s="14"/>
      <c r="Q55" s="12">
        <v>5331.93</v>
      </c>
      <c r="R55" s="13">
        <f>IFERROR(Q55/Q446, "NA")</f>
        <v>0.009614639574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5331.93</v>
      </c>
      <c r="X55" s="13">
        <f>IFERROR(W55/W446, "NA")</f>
        <v>-0.0316465666</v>
      </c>
      <c r="Y55" s="14"/>
      <c r="Z55" s="12">
        <v>334.29</v>
      </c>
      <c r="AA55" s="13">
        <f>IFERROR(Z55/Z446, "NA")</f>
        <v>0.0004999129949</v>
      </c>
      <c r="AB55" s="14"/>
      <c r="AC55" s="15">
        <f t="shared" si="20"/>
        <v>4997.64</v>
      </c>
      <c r="AD55" s="13">
        <f>IFERROR(AC55/AC446, "NA")</f>
        <v>-0.04378798814</v>
      </c>
    </row>
    <row r="56" ht="16.5" customHeight="1">
      <c r="A56" s="11" t="s">
        <v>57</v>
      </c>
      <c r="B56" s="12">
        <v>0.0</v>
      </c>
      <c r="C56" s="13" t="str">
        <f>IFERROR(B56/B446, "NA")</f>
        <v>NA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54.95</v>
      </c>
      <c r="AA56" s="13">
        <f>IFERROR(Z56/Z446, "NA")</f>
        <v>0.00008217481549</v>
      </c>
      <c r="AB56" s="14"/>
      <c r="AC56" s="15">
        <f t="shared" si="20"/>
        <v>-54.95</v>
      </c>
      <c r="AD56" s="13">
        <f>IFERROR(AC56/AC446, "NA")</f>
        <v>0.0004814572374</v>
      </c>
    </row>
    <row r="57" ht="16.5" customHeight="1">
      <c r="A57" s="11" t="s">
        <v>58</v>
      </c>
      <c r="B57" s="12">
        <v>0.0</v>
      </c>
      <c r="C57" s="13" t="str">
        <f>IFERROR(B57/B446, "NA")</f>
        <v>NA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0</v>
      </c>
      <c r="I57" s="13">
        <f>IFERROR(H57/H446, "NA")</f>
        <v>0</v>
      </c>
      <c r="J57" s="14"/>
      <c r="K57" s="12">
        <v>1940.28</v>
      </c>
      <c r="L57" s="13">
        <f>IFERROR(K57/K446, "NA")</f>
        <v>0.02544280483</v>
      </c>
      <c r="M57" s="14"/>
      <c r="N57" s="15">
        <f t="shared" si="18"/>
        <v>-1940.28</v>
      </c>
      <c r="O57" s="13">
        <f>IFERROR(N57/N446, "NA")</f>
        <v>0.02544280483</v>
      </c>
      <c r="P57" s="14"/>
      <c r="Q57" s="12">
        <v>4400.89</v>
      </c>
      <c r="R57" s="13">
        <f>IFERROR(Q57/Q446, "NA")</f>
        <v>0.007935770191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4400.89</v>
      </c>
      <c r="X57" s="13">
        <f>IFERROR(W57/W446, "NA")</f>
        <v>-0.02612057144</v>
      </c>
      <c r="Y57" s="14"/>
      <c r="Z57" s="12">
        <v>7448.54</v>
      </c>
      <c r="AA57" s="13">
        <f>IFERROR(Z57/Z446, "NA")</f>
        <v>0.01113889718</v>
      </c>
      <c r="AB57" s="14"/>
      <c r="AC57" s="15">
        <f t="shared" si="20"/>
        <v>-3047.65</v>
      </c>
      <c r="AD57" s="13">
        <f>IFERROR(AC57/AC446, "NA")</f>
        <v>0.02670269608</v>
      </c>
    </row>
    <row r="58" ht="16.5" hidden="1" customHeight="1">
      <c r="A58" s="11" t="s">
        <v>59</v>
      </c>
      <c r="B58" s="12">
        <v>0.0</v>
      </c>
      <c r="C58" s="13" t="str">
        <f>IFERROR(B58/B446, "NA")</f>
        <v>NA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0.0</v>
      </c>
      <c r="AA58" s="13">
        <f>IFERROR(Z58/Z446, "NA")</f>
        <v>0</v>
      </c>
      <c r="AB58" s="14"/>
      <c r="AC58" s="15">
        <f t="shared" si="20"/>
        <v>0</v>
      </c>
      <c r="AD58" s="13">
        <f>IFERROR(AC58/AC446, "NA")</f>
        <v>0</v>
      </c>
    </row>
    <row r="59" ht="16.5" hidden="1" customHeight="1">
      <c r="A59" s="11" t="s">
        <v>60</v>
      </c>
      <c r="B59" s="12">
        <v>0.0</v>
      </c>
      <c r="C59" s="13" t="str">
        <f>IFERROR(B59/B446, "NA")</f>
        <v>NA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hidden="1" customHeight="1">
      <c r="A60" s="11" t="s">
        <v>61</v>
      </c>
      <c r="B60" s="12">
        <v>0.0</v>
      </c>
      <c r="C60" s="13" t="str">
        <f>IFERROR(B60/B446, "NA")</f>
        <v>NA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0.0</v>
      </c>
      <c r="R60" s="13">
        <f>IFERROR(Q60/Q446, "NA")</f>
        <v>0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0</v>
      </c>
      <c r="X60" s="13">
        <f>IFERROR(W60/W446, "NA")</f>
        <v>0</v>
      </c>
      <c r="Y60" s="14"/>
      <c r="Z60" s="12">
        <v>0.0</v>
      </c>
      <c r="AA60" s="13">
        <f>IFERROR(Z60/Z446, "NA")</f>
        <v>0</v>
      </c>
      <c r="AB60" s="14"/>
      <c r="AC60" s="15">
        <f t="shared" si="20"/>
        <v>0</v>
      </c>
      <c r="AD60" s="13">
        <f>IFERROR(AC60/AC446, "NA")</f>
        <v>0</v>
      </c>
    </row>
    <row r="61" ht="16.5" customHeight="1">
      <c r="A61" s="16" t="s">
        <v>62</v>
      </c>
      <c r="B61" s="17">
        <f>IFERROR(B46+B47+B48+B49+B50+B51+B52+B53+B54+B55+B56+B57+B58+B59+B60, "NA")</f>
        <v>0</v>
      </c>
      <c r="C61" s="18" t="str">
        <f>IFERROR(B61/B446, "NA")</f>
        <v>NA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0</v>
      </c>
      <c r="I61" s="18">
        <f>IFERROR(H61/H446, "NA")</f>
        <v>0</v>
      </c>
      <c r="J61" s="8"/>
      <c r="K61" s="17">
        <f>IFERROR(K46+K47+K48+K49+K50+K51+K52+K53+K54+K55+K56+K57+K58+K59+K60, "NA")</f>
        <v>8419.84</v>
      </c>
      <c r="L61" s="18">
        <f>IFERROR(K61/K446, "NA")</f>
        <v>0.1104089852</v>
      </c>
      <c r="M61" s="8"/>
      <c r="N61" s="17">
        <f t="shared" si="18"/>
        <v>-8419.84</v>
      </c>
      <c r="O61" s="18">
        <f>IFERROR(N61/N446, "NA")</f>
        <v>0.1104089852</v>
      </c>
      <c r="P61" s="8"/>
      <c r="Q61" s="17">
        <f>IFERROR(Q46+Q47+Q48+Q49+Q50+Q51+Q52+Q53+Q54+Q55+Q56+Q57+Q58+Q59+Q60, "NA")</f>
        <v>39914.03</v>
      </c>
      <c r="R61" s="18">
        <f>IFERROR(Q61/Q446, "NA")</f>
        <v>0.07197375292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39914.03</v>
      </c>
      <c r="X61" s="18">
        <f>IFERROR(W61/W446, "NA")</f>
        <v>-0.2369014613</v>
      </c>
      <c r="Y61" s="8"/>
      <c r="Z61" s="17">
        <f>IFERROR(Z46+Z47+Z48+Z49+Z50+Z51+Z52+Z53+Z54+Z55+Z56+Z57+Z58+Z59+Z60, "NA")</f>
        <v>69528.29</v>
      </c>
      <c r="AA61" s="18">
        <f>IFERROR(Z61/Z446, "NA")</f>
        <v>0.1039758763</v>
      </c>
      <c r="AB61" s="8"/>
      <c r="AC61" s="17">
        <f t="shared" si="20"/>
        <v>-29614.26</v>
      </c>
      <c r="AD61" s="18">
        <f>IFERROR(AC61/AC446, "NA")</f>
        <v>0.259472244</v>
      </c>
    </row>
    <row r="62" ht="16.5" customHeight="1">
      <c r="A62" s="16" t="s">
        <v>63</v>
      </c>
      <c r="B62" s="17">
        <f>IFERROR(B42+B43+B44+B46+B47+B48+B49+B50+B51+B52+B53+B54+B55+B56+B57+B58+B59+B60, "NA")</f>
        <v>0</v>
      </c>
      <c r="C62" s="18" t="str">
        <f>IFERROR(B62/B446, "NA")</f>
        <v>NA</v>
      </c>
      <c r="D62" s="8"/>
      <c r="E62" s="17">
        <f>IFERROR(E42+E43+E44+E46+E47+E48+E49+E50+E51+E52+E53+E54+E55+E56+E57+E58+E59+E60, "NA")</f>
        <v>16643.85</v>
      </c>
      <c r="F62" s="18">
        <f>IFERROR(E62/E446, "NA")</f>
        <v>0.2000000481</v>
      </c>
      <c r="G62" s="8"/>
      <c r="H62" s="17">
        <f t="shared" si="17"/>
        <v>-16643.85</v>
      </c>
      <c r="I62" s="18">
        <f>IFERROR(H62/H446, "NA")</f>
        <v>0.2000000481</v>
      </c>
      <c r="J62" s="8"/>
      <c r="K62" s="17">
        <f>IFERROR(K42+K43+K44+K46+K47+K48+K49+K50+K51+K52+K53+K54+K55+K56+K57+K58+K59+K60, "NA")</f>
        <v>8827.9</v>
      </c>
      <c r="L62" s="18">
        <f>IFERROR(K62/K446, "NA")</f>
        <v>0.1157598577</v>
      </c>
      <c r="M62" s="8"/>
      <c r="N62" s="17">
        <f t="shared" si="18"/>
        <v>-8827.9</v>
      </c>
      <c r="O62" s="18">
        <f>IFERROR(N62/N446, "NA")</f>
        <v>0.1157598577</v>
      </c>
      <c r="P62" s="8"/>
      <c r="Q62" s="17">
        <f>IFERROR(Q42+Q43+Q44+Q46+Q47+Q48+Q49+Q50+Q51+Q52+Q53+Q54+Q55+Q56+Q57+Q58+Q59+Q60, "NA")</f>
        <v>72074.61</v>
      </c>
      <c r="R62" s="18">
        <f>IFERROR(Q62/Q446, "NA")</f>
        <v>0.1299663344</v>
      </c>
      <c r="S62" s="8"/>
      <c r="T62" s="17">
        <f>IFERROR(T42+T43+T44+T46+T47+T48+T49+T50+T51+T52+T53+T54+T55+T56+T57+T58+T59+T60, "NA")</f>
        <v>144609.48</v>
      </c>
      <c r="U62" s="18">
        <f>IFERROR(T62/T446, "NA")</f>
        <v>0.2000000083</v>
      </c>
      <c r="V62" s="8"/>
      <c r="W62" s="17">
        <f t="shared" si="19"/>
        <v>-72534.87</v>
      </c>
      <c r="X62" s="18">
        <f>IFERROR(W62/W446, "NA")</f>
        <v>0.4305157034</v>
      </c>
      <c r="Y62" s="8"/>
      <c r="Z62" s="17">
        <f>IFERROR(Z42+Z43+Z44+Z46+Z47+Z48+Z49+Z50+Z51+Z52+Z53+Z54+Z55+Z56+Z57+Z58+Z59+Z60, "NA")</f>
        <v>108622.27</v>
      </c>
      <c r="AA62" s="18">
        <f>IFERROR(Z62/Z446, "NA")</f>
        <v>0.1624388534</v>
      </c>
      <c r="AB62" s="8"/>
      <c r="AC62" s="17">
        <f t="shared" si="20"/>
        <v>-36547.66</v>
      </c>
      <c r="AD62" s="18">
        <f>IFERROR(AC62/AC446, "NA")</f>
        <v>0.3202208447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 t="str">
        <f>IFERROR(B64/B446, "NA")</f>
        <v>NA</v>
      </c>
      <c r="D64" s="14"/>
      <c r="E64" s="12">
        <v>8488.36</v>
      </c>
      <c r="F64" s="13">
        <f>IFERROR(E64/E446, "NA")</f>
        <v>0.1019999825</v>
      </c>
      <c r="G64" s="14"/>
      <c r="H64" s="15">
        <f t="shared" ref="H64:H73" si="21">IFERROR(B64-E64, "NA")</f>
        <v>-8488.36</v>
      </c>
      <c r="I64" s="13">
        <f>IFERROR(H64/H446, "NA")</f>
        <v>0.1019999825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73750.83</v>
      </c>
      <c r="U64" s="13">
        <f>IFERROR(T64/T446, "NA")</f>
        <v>0.1019999976</v>
      </c>
      <c r="V64" s="14"/>
      <c r="W64" s="15">
        <f t="shared" ref="W64:W73" si="23">IFERROR(Q64-T64, "NA")</f>
        <v>-73750.83</v>
      </c>
      <c r="X64" s="13">
        <f>IFERROR(W64/W446, "NA")</f>
        <v>0.4377327822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0.0</v>
      </c>
      <c r="C65" s="13" t="str">
        <f>IFERROR(B65/B446, "NA")</f>
        <v>NA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0</v>
      </c>
      <c r="I65" s="13">
        <f>IFERROR(H65/H446, "NA")</f>
        <v>0</v>
      </c>
      <c r="J65" s="14"/>
      <c r="K65" s="12">
        <v>7681.21</v>
      </c>
      <c r="L65" s="13">
        <f>IFERROR(K65/K446, "NA")</f>
        <v>0.1007233631</v>
      </c>
      <c r="M65" s="14"/>
      <c r="N65" s="15">
        <f t="shared" si="22"/>
        <v>-7681.21</v>
      </c>
      <c r="O65" s="13">
        <f>IFERROR(N65/N446, "NA")</f>
        <v>0.1007233631</v>
      </c>
      <c r="P65" s="14"/>
      <c r="Q65" s="12">
        <v>43935.07</v>
      </c>
      <c r="R65" s="13">
        <f>IFERROR(Q65/Q446, "NA")</f>
        <v>0.07922457022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43935.07</v>
      </c>
      <c r="X65" s="13">
        <f>IFERROR(W65/W446, "NA")</f>
        <v>-0.2607675117</v>
      </c>
      <c r="Y65" s="14"/>
      <c r="Z65" s="12">
        <v>30621.65</v>
      </c>
      <c r="AA65" s="13">
        <f>IFERROR(Z65/Z446, "NA")</f>
        <v>0.04579305621</v>
      </c>
      <c r="AB65" s="14"/>
      <c r="AC65" s="15">
        <f t="shared" si="24"/>
        <v>13313.42</v>
      </c>
      <c r="AD65" s="13">
        <f>IFERROR(AC65/AC446, "NA")</f>
        <v>-0.1166486336</v>
      </c>
    </row>
    <row r="66" ht="16.5" customHeight="1">
      <c r="A66" s="11" t="s">
        <v>66</v>
      </c>
      <c r="B66" s="12">
        <v>0.0</v>
      </c>
      <c r="C66" s="13" t="str">
        <f>IFERROR(B66/B446, "NA")</f>
        <v>NA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0</v>
      </c>
      <c r="I66" s="13">
        <f>IFERROR(H66/H446, "NA")</f>
        <v>0</v>
      </c>
      <c r="J66" s="14"/>
      <c r="K66" s="12">
        <v>0.0</v>
      </c>
      <c r="L66" s="13">
        <f>IFERROR(K66/K446, "NA")</f>
        <v>0</v>
      </c>
      <c r="M66" s="14"/>
      <c r="N66" s="15">
        <f t="shared" si="22"/>
        <v>0</v>
      </c>
      <c r="O66" s="13">
        <f>IFERROR(N66/N446, "NA")</f>
        <v>0</v>
      </c>
      <c r="P66" s="14"/>
      <c r="Q66" s="12">
        <v>0.0</v>
      </c>
      <c r="R66" s="13">
        <f>IFERROR(Q66/Q446, "NA")</f>
        <v>0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0</v>
      </c>
      <c r="X66" s="13">
        <f>IFERROR(W66/W446, "NA")</f>
        <v>0</v>
      </c>
      <c r="Y66" s="14"/>
      <c r="Z66" s="12">
        <v>6889.38</v>
      </c>
      <c r="AA66" s="13">
        <f>IFERROR(Z66/Z446, "NA")</f>
        <v>0.01030270301</v>
      </c>
      <c r="AB66" s="14"/>
      <c r="AC66" s="15">
        <f t="shared" si="24"/>
        <v>-6889.38</v>
      </c>
      <c r="AD66" s="13">
        <f>IFERROR(AC66/AC446, "NA")</f>
        <v>0.06036290924</v>
      </c>
    </row>
    <row r="67" ht="16.5" hidden="1" customHeight="1">
      <c r="A67" s="11" t="s">
        <v>67</v>
      </c>
      <c r="B67" s="12">
        <v>0.0</v>
      </c>
      <c r="C67" s="13" t="str">
        <f>IFERROR(B67/B446, "NA")</f>
        <v>NA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0.0</v>
      </c>
      <c r="AA67" s="13">
        <f>IFERROR(Z67/Z446, "NA")</f>
        <v>0</v>
      </c>
      <c r="AB67" s="14"/>
      <c r="AC67" s="15">
        <f t="shared" si="24"/>
        <v>0</v>
      </c>
      <c r="AD67" s="13">
        <f>IFERROR(AC67/AC446, "NA")</f>
        <v>0</v>
      </c>
    </row>
    <row r="68" ht="16.5" customHeight="1">
      <c r="A68" s="11" t="s">
        <v>68</v>
      </c>
      <c r="B68" s="12">
        <v>0.0</v>
      </c>
      <c r="C68" s="13" t="str">
        <f>IFERROR(B68/B446, "NA")</f>
        <v>NA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0</v>
      </c>
      <c r="I68" s="13">
        <f>IFERROR(H68/H446, "NA")</f>
        <v>0</v>
      </c>
      <c r="J68" s="14"/>
      <c r="K68" s="12">
        <v>5128.05</v>
      </c>
      <c r="L68" s="13">
        <f>IFERROR(K68/K446, "NA")</f>
        <v>0.06724389022</v>
      </c>
      <c r="M68" s="14"/>
      <c r="N68" s="15">
        <f t="shared" si="22"/>
        <v>-5128.05</v>
      </c>
      <c r="O68" s="13">
        <f>IFERROR(N68/N446, "NA")</f>
        <v>0.06724389022</v>
      </c>
      <c r="P68" s="14"/>
      <c r="Q68" s="12">
        <v>4884.82</v>
      </c>
      <c r="R68" s="13">
        <f>IFERROR(Q68/Q446, "NA")</f>
        <v>0.008808402151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4884.82</v>
      </c>
      <c r="X68" s="13">
        <f>IFERROR(W68/W446, "NA")</f>
        <v>-0.02899283776</v>
      </c>
      <c r="Y68" s="14"/>
      <c r="Z68" s="12">
        <v>11908.35</v>
      </c>
      <c r="AA68" s="13">
        <f>IFERROR(Z68/Z446, "NA")</f>
        <v>0.0178083069</v>
      </c>
      <c r="AB68" s="14"/>
      <c r="AC68" s="15">
        <f t="shared" si="24"/>
        <v>-7023.53</v>
      </c>
      <c r="AD68" s="13">
        <f>IFERROR(AC68/AC446, "NA")</f>
        <v>0.06153829574</v>
      </c>
    </row>
    <row r="69" ht="16.5" customHeight="1">
      <c r="A69" s="11" t="s">
        <v>69</v>
      </c>
      <c r="B69" s="12">
        <v>0.0</v>
      </c>
      <c r="C69" s="13" t="str">
        <f>IFERROR(B69/B446, "NA")</f>
        <v>NA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18980.0</v>
      </c>
      <c r="R69" s="13">
        <f>IFERROR(Q69/Q446, "NA")</f>
        <v>0.03422510406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18980</v>
      </c>
      <c r="X69" s="13">
        <f>IFERROR(W69/W446, "NA")</f>
        <v>-0.1126518604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18980</v>
      </c>
      <c r="AD69" s="13">
        <f>IFERROR(AC69/AC446, "NA")</f>
        <v>-0.1662976955</v>
      </c>
    </row>
    <row r="70" ht="16.5" customHeight="1">
      <c r="A70" s="11" t="s">
        <v>70</v>
      </c>
      <c r="B70" s="12">
        <v>0.0</v>
      </c>
      <c r="C70" s="13" t="str">
        <f>IFERROR(B70/B446, "NA")</f>
        <v>NA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0</v>
      </c>
      <c r="I70" s="13">
        <f>IFERROR(H70/H446, "NA")</f>
        <v>0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0</v>
      </c>
      <c r="O70" s="13">
        <f>IFERROR(N70/N446, "NA")</f>
        <v>0</v>
      </c>
      <c r="P70" s="14"/>
      <c r="Q70" s="12">
        <v>25384.5</v>
      </c>
      <c r="R70" s="13">
        <f>IFERROR(Q70/Q446, "NA")</f>
        <v>0.04577382266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25384.5</v>
      </c>
      <c r="X70" s="13">
        <f>IFERROR(W70/W446, "NA")</f>
        <v>-0.1506644442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25384.5</v>
      </c>
      <c r="AD70" s="13">
        <f>IFERROR(AC70/AC446, "NA")</f>
        <v>-0.2224122155</v>
      </c>
    </row>
    <row r="71" ht="16.5" hidden="1" customHeight="1">
      <c r="A71" s="11" t="s">
        <v>71</v>
      </c>
      <c r="B71" s="12">
        <v>0.0</v>
      </c>
      <c r="C71" s="13" t="str">
        <f>IFERROR(B71/B446, "NA")</f>
        <v>NA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0</v>
      </c>
      <c r="I71" s="13">
        <f>IFERROR(H71/H446, "NA")</f>
        <v>0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0</v>
      </c>
      <c r="O71" s="13">
        <f>IFERROR(N71/N446, "NA")</f>
        <v>0</v>
      </c>
      <c r="P71" s="14"/>
      <c r="Q71" s="12">
        <v>0.0</v>
      </c>
      <c r="R71" s="13">
        <f>IFERROR(Q71/Q446, "NA")</f>
        <v>0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0</v>
      </c>
      <c r="X71" s="13">
        <f>IFERROR(W71/W446, "NA")</f>
        <v>0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0</v>
      </c>
      <c r="AD71" s="13">
        <f>IFERROR(AC71/AC446, "NA")</f>
        <v>0</v>
      </c>
    </row>
    <row r="72" ht="16.5" hidden="1" customHeight="1">
      <c r="A72" s="11" t="s">
        <v>72</v>
      </c>
      <c r="B72" s="12">
        <v>0.0</v>
      </c>
      <c r="C72" s="13" t="str">
        <f>IFERROR(B72/B446, "NA")</f>
        <v>NA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0</v>
      </c>
      <c r="I72" s="13">
        <f>IFERROR(H72/H446, "NA")</f>
        <v>0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0</v>
      </c>
      <c r="O72" s="13">
        <f>IFERROR(N72/N446, "NA")</f>
        <v>0</v>
      </c>
      <c r="P72" s="14"/>
      <c r="Q72" s="12">
        <v>0.0</v>
      </c>
      <c r="R72" s="13">
        <f>IFERROR(Q72/Q446, "NA")</f>
        <v>0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0</v>
      </c>
      <c r="X72" s="13">
        <f>IFERROR(W72/W446, "NA")</f>
        <v>0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0</v>
      </c>
      <c r="AD72" s="13">
        <f>IFERROR(AC72/AC446, "NA")</f>
        <v>0</v>
      </c>
    </row>
    <row r="73" ht="16.5" customHeight="1">
      <c r="A73" s="16" t="s">
        <v>73</v>
      </c>
      <c r="B73" s="17">
        <f>IFERROR(B64+B65+B66+B67+B68+B69+B70+B71+B72, "NA")</f>
        <v>0</v>
      </c>
      <c r="C73" s="18" t="str">
        <f>IFERROR(B73/B446, "NA")</f>
        <v>NA</v>
      </c>
      <c r="D73" s="8"/>
      <c r="E73" s="17">
        <f>IFERROR(E64+E65+E66+E67+E68+E69+E70+E71+E72, "NA")</f>
        <v>8488.36</v>
      </c>
      <c r="F73" s="18">
        <f>IFERROR(E73/E446, "NA")</f>
        <v>0.1019999825</v>
      </c>
      <c r="G73" s="8"/>
      <c r="H73" s="17">
        <f t="shared" si="21"/>
        <v>-8488.36</v>
      </c>
      <c r="I73" s="18">
        <f>IFERROR(H73/H446, "NA")</f>
        <v>0.1019999825</v>
      </c>
      <c r="J73" s="8"/>
      <c r="K73" s="17">
        <f>IFERROR(K64+K65+K66+K67+K68+K69+K70+K71+K72, "NA")</f>
        <v>12809.26</v>
      </c>
      <c r="L73" s="18">
        <f>IFERROR(K73/K446, "NA")</f>
        <v>0.1679672533</v>
      </c>
      <c r="M73" s="8"/>
      <c r="N73" s="17">
        <f t="shared" si="22"/>
        <v>-12809.26</v>
      </c>
      <c r="O73" s="18">
        <f>IFERROR(N73/N446, "NA")</f>
        <v>0.1679672533</v>
      </c>
      <c r="P73" s="8"/>
      <c r="Q73" s="17">
        <f>IFERROR(Q64+Q65+Q66+Q67+Q68+Q69+Q70+Q71+Q72, "NA")</f>
        <v>93184.39</v>
      </c>
      <c r="R73" s="18">
        <f>IFERROR(Q73/Q446, "NA")</f>
        <v>0.1680318991</v>
      </c>
      <c r="S73" s="8"/>
      <c r="T73" s="17">
        <f>IFERROR(T64+T65+T66+T67+T68+T69+T70+T71+T72, "NA")</f>
        <v>73750.83</v>
      </c>
      <c r="U73" s="18">
        <f>IFERROR(T73/T446, "NA")</f>
        <v>0.1019999976</v>
      </c>
      <c r="V73" s="8"/>
      <c r="W73" s="17">
        <f t="shared" si="23"/>
        <v>19433.56</v>
      </c>
      <c r="X73" s="18">
        <f>IFERROR(W73/W446, "NA")</f>
        <v>-0.1153438719</v>
      </c>
      <c r="Y73" s="8"/>
      <c r="Z73" s="17">
        <f>IFERROR(Z64+Z65+Z66+Z67+Z68+Z69+Z70+Z71+Z72, "NA")</f>
        <v>49419.38</v>
      </c>
      <c r="AA73" s="18">
        <f>IFERROR(Z73/Z446, "NA")</f>
        <v>0.07390406611</v>
      </c>
      <c r="AB73" s="8"/>
      <c r="AC73" s="17">
        <f t="shared" si="24"/>
        <v>43765.01</v>
      </c>
      <c r="AD73" s="18">
        <f>IFERROR(AC73/AC446, "NA")</f>
        <v>-0.3834573396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 t="str">
        <f>IFERROR(B75/B446, "NA")</f>
        <v>NA</v>
      </c>
      <c r="D75" s="14"/>
      <c r="E75" s="12">
        <v>665.75</v>
      </c>
      <c r="F75" s="13">
        <f>IFERROR(E75/E446, "NA")</f>
        <v>0.007999953857</v>
      </c>
      <c r="G75" s="14"/>
      <c r="H75" s="15">
        <f t="shared" ref="H75:H92" si="25">IFERROR(B75-E75, "NA")</f>
        <v>-665.75</v>
      </c>
      <c r="I75" s="13">
        <f>IFERROR(H75/H446, "NA")</f>
        <v>0.007999953857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5784.38</v>
      </c>
      <c r="U75" s="13">
        <f>IFERROR(T75/T446, "NA")</f>
        <v>0.008000001438</v>
      </c>
      <c r="V75" s="14"/>
      <c r="W75" s="15">
        <f t="shared" ref="W75:W92" si="27">IFERROR(Q75-T75, "NA")</f>
        <v>-5784.38</v>
      </c>
      <c r="X75" s="13">
        <f>IFERROR(W75/W446, "NA")</f>
        <v>0.0343319899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 t="str">
        <f>IFERROR(B76/B446, "NA")</f>
        <v>NA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0.0</v>
      </c>
      <c r="C77" s="13" t="str">
        <f>IFERROR(B77/B446, "NA")</f>
        <v>NA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0</v>
      </c>
      <c r="I77" s="13">
        <f>IFERROR(H77/H446, "NA")</f>
        <v>0</v>
      </c>
      <c r="J77" s="14"/>
      <c r="K77" s="12">
        <v>74.94</v>
      </c>
      <c r="L77" s="13">
        <f>IFERROR(K77/K446, "NA")</f>
        <v>0.0009826848671</v>
      </c>
      <c r="M77" s="14"/>
      <c r="N77" s="15">
        <f t="shared" si="26"/>
        <v>-74.94</v>
      </c>
      <c r="O77" s="13">
        <f>IFERROR(N77/N446, "NA")</f>
        <v>0.0009826848671</v>
      </c>
      <c r="P77" s="14"/>
      <c r="Q77" s="12">
        <v>1691.35</v>
      </c>
      <c r="R77" s="13">
        <f>IFERROR(Q77/Q446, "NA")</f>
        <v>0.003049875119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1691.35</v>
      </c>
      <c r="X77" s="13">
        <f>IFERROR(W77/W446, "NA")</f>
        <v>-0.01003865775</v>
      </c>
      <c r="Y77" s="14"/>
      <c r="Z77" s="12">
        <v>1549.42</v>
      </c>
      <c r="AA77" s="13">
        <f>IFERROR(Z77/Z446, "NA")</f>
        <v>0.002317075571</v>
      </c>
      <c r="AB77" s="14"/>
      <c r="AC77" s="15">
        <f t="shared" si="28"/>
        <v>141.93</v>
      </c>
      <c r="AD77" s="13">
        <f>IFERROR(AC77/AC446, "NA")</f>
        <v>-0.001243552788</v>
      </c>
    </row>
    <row r="78" ht="16.5" customHeight="1">
      <c r="A78" s="11" t="s">
        <v>77</v>
      </c>
      <c r="B78" s="12">
        <v>0.0</v>
      </c>
      <c r="C78" s="13" t="str">
        <f>IFERROR(B78/B446, "NA")</f>
        <v>NA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0</v>
      </c>
      <c r="I78" s="13">
        <f>IFERROR(H78/H446, "NA")</f>
        <v>0</v>
      </c>
      <c r="J78" s="14"/>
      <c r="K78" s="12">
        <v>25.0</v>
      </c>
      <c r="L78" s="13">
        <f>IFERROR(K78/K446, "NA")</f>
        <v>0.0003278238815</v>
      </c>
      <c r="M78" s="14"/>
      <c r="N78" s="15">
        <f t="shared" si="26"/>
        <v>-25</v>
      </c>
      <c r="O78" s="13">
        <f>IFERROR(N78/N446, "NA")</f>
        <v>0.0003278238815</v>
      </c>
      <c r="P78" s="14"/>
      <c r="Q78" s="12">
        <v>200.0</v>
      </c>
      <c r="R78" s="13">
        <f>IFERROR(Q78/Q446, "NA")</f>
        <v>0.0003606438784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200</v>
      </c>
      <c r="X78" s="13">
        <f>IFERROR(W78/W446, "NA")</f>
        <v>-0.001187058592</v>
      </c>
      <c r="Y78" s="14"/>
      <c r="Z78" s="12">
        <v>400.0</v>
      </c>
      <c r="AA78" s="13">
        <f>IFERROR(Z78/Z446, "NA")</f>
        <v>0.0005981788207</v>
      </c>
      <c r="AB78" s="14"/>
      <c r="AC78" s="15">
        <f t="shared" si="28"/>
        <v>-200</v>
      </c>
      <c r="AD78" s="13">
        <f>IFERROR(AC78/AC446, "NA")</f>
        <v>0.001752346633</v>
      </c>
    </row>
    <row r="79" ht="16.5" hidden="1" customHeight="1">
      <c r="A79" s="11" t="s">
        <v>78</v>
      </c>
      <c r="B79" s="12">
        <v>0.0</v>
      </c>
      <c r="C79" s="13" t="str">
        <f>IFERROR(B79/B446, "NA")</f>
        <v>NA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0.0</v>
      </c>
      <c r="AA79" s="13">
        <f>IFERROR(Z79/Z446, "NA")</f>
        <v>0</v>
      </c>
      <c r="AB79" s="14"/>
      <c r="AC79" s="15">
        <f t="shared" si="28"/>
        <v>0</v>
      </c>
      <c r="AD79" s="13">
        <f>IFERROR(AC79/AC446, "NA")</f>
        <v>0</v>
      </c>
    </row>
    <row r="80" ht="16.5" customHeight="1">
      <c r="A80" s="11" t="s">
        <v>79</v>
      </c>
      <c r="B80" s="12">
        <v>0.0</v>
      </c>
      <c r="C80" s="13" t="str">
        <f>IFERROR(B80/B446, "NA")</f>
        <v>NA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0</v>
      </c>
      <c r="I80" s="13">
        <f>IFERROR(H80/H446, "NA")</f>
        <v>0</v>
      </c>
      <c r="J80" s="14"/>
      <c r="K80" s="12">
        <v>208.25</v>
      </c>
      <c r="L80" s="13">
        <f>IFERROR(K80/K446, "NA")</f>
        <v>0.002730772933</v>
      </c>
      <c r="M80" s="14"/>
      <c r="N80" s="15">
        <f t="shared" si="26"/>
        <v>-208.25</v>
      </c>
      <c r="O80" s="13">
        <f>IFERROR(N80/N446, "NA")</f>
        <v>0.002730772933</v>
      </c>
      <c r="P80" s="14"/>
      <c r="Q80" s="12">
        <v>1082.78</v>
      </c>
      <c r="R80" s="13">
        <f>IFERROR(Q80/Q446, "NA")</f>
        <v>0.001952489893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1082.78</v>
      </c>
      <c r="X80" s="13">
        <f>IFERROR(W80/W446, "NA")</f>
        <v>-0.006426616513</v>
      </c>
      <c r="Y80" s="14"/>
      <c r="Z80" s="12">
        <v>3723.5</v>
      </c>
      <c r="AA80" s="13">
        <f>IFERROR(Z80/Z446, "NA")</f>
        <v>0.005568297097</v>
      </c>
      <c r="AB80" s="14"/>
      <c r="AC80" s="15">
        <f t="shared" si="28"/>
        <v>-2640.72</v>
      </c>
      <c r="AD80" s="13">
        <f>IFERROR(AC80/AC446, "NA")</f>
        <v>0.023137284</v>
      </c>
    </row>
    <row r="81" ht="16.5" hidden="1" customHeight="1">
      <c r="A81" s="11" t="s">
        <v>80</v>
      </c>
      <c r="B81" s="12">
        <v>0.0</v>
      </c>
      <c r="C81" s="13" t="str">
        <f>IFERROR(B81/B446, "NA")</f>
        <v>NA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customHeight="1">
      <c r="A82" s="11" t="s">
        <v>81</v>
      </c>
      <c r="B82" s="12">
        <v>0.0</v>
      </c>
      <c r="C82" s="13" t="str">
        <f>IFERROR(B82/B446, "NA")</f>
        <v>NA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25.0</v>
      </c>
      <c r="AA82" s="13">
        <f>IFERROR(Z82/Z446, "NA")</f>
        <v>0.00003738617629</v>
      </c>
      <c r="AB82" s="14"/>
      <c r="AC82" s="15">
        <f t="shared" si="28"/>
        <v>-25</v>
      </c>
      <c r="AD82" s="13">
        <f>IFERROR(AC82/AC446, "NA")</f>
        <v>0.0002190433291</v>
      </c>
    </row>
    <row r="83" ht="16.5" customHeight="1">
      <c r="A83" s="11" t="s">
        <v>82</v>
      </c>
      <c r="B83" s="12">
        <v>0.0</v>
      </c>
      <c r="C83" s="13" t="str">
        <f>IFERROR(B83/B446, "NA")</f>
        <v>NA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0</v>
      </c>
      <c r="I83" s="13">
        <f>IFERROR(H83/H446, "NA")</f>
        <v>0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0</v>
      </c>
      <c r="O83" s="13">
        <f>IFERROR(N83/N446, "NA")</f>
        <v>0</v>
      </c>
      <c r="P83" s="14"/>
      <c r="Q83" s="12">
        <v>35.0</v>
      </c>
      <c r="R83" s="13">
        <f>IFERROR(Q83/Q446, "NA")</f>
        <v>0.00006311267873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35</v>
      </c>
      <c r="X83" s="13">
        <f>IFERROR(W83/W446, "NA")</f>
        <v>-0.0002077352536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35</v>
      </c>
      <c r="AD83" s="13">
        <f>IFERROR(AC83/AC446, "NA")</f>
        <v>-0.0003066606608</v>
      </c>
    </row>
    <row r="84" ht="16.5" hidden="1" customHeight="1">
      <c r="A84" s="11" t="s">
        <v>83</v>
      </c>
      <c r="B84" s="12">
        <v>0.0</v>
      </c>
      <c r="C84" s="13" t="str">
        <f>IFERROR(B84/B446, "NA")</f>
        <v>NA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 t="str">
        <f>IFERROR(B85/B446, "NA")</f>
        <v>NA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customHeight="1">
      <c r="A86" s="11" t="s">
        <v>85</v>
      </c>
      <c r="B86" s="12">
        <v>0.0</v>
      </c>
      <c r="C86" s="13" t="str">
        <f>IFERROR(B86/B446, "NA")</f>
        <v>NA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0</v>
      </c>
      <c r="I86" s="13">
        <f>IFERROR(H86/H446, "NA")</f>
        <v>0</v>
      </c>
      <c r="J86" s="14"/>
      <c r="K86" s="12">
        <v>25.0</v>
      </c>
      <c r="L86" s="13">
        <f>IFERROR(K86/K446, "NA")</f>
        <v>0.0003278238815</v>
      </c>
      <c r="M86" s="14"/>
      <c r="N86" s="15">
        <f t="shared" si="26"/>
        <v>-25</v>
      </c>
      <c r="O86" s="13">
        <f>IFERROR(N86/N446, "NA")</f>
        <v>0.0003278238815</v>
      </c>
      <c r="P86" s="14"/>
      <c r="Q86" s="12">
        <v>100.0</v>
      </c>
      <c r="R86" s="13">
        <f>IFERROR(Q86/Q446, "NA")</f>
        <v>0.0001803219392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100</v>
      </c>
      <c r="X86" s="13">
        <f>IFERROR(W86/W446, "NA")</f>
        <v>-0.0005935292961</v>
      </c>
      <c r="Y86" s="14"/>
      <c r="Z86" s="12">
        <v>125.0</v>
      </c>
      <c r="AA86" s="13">
        <f>IFERROR(Z86/Z446, "NA")</f>
        <v>0.0001869308815</v>
      </c>
      <c r="AB86" s="14"/>
      <c r="AC86" s="15">
        <f t="shared" si="28"/>
        <v>-25</v>
      </c>
      <c r="AD86" s="13">
        <f>IFERROR(AC86/AC446, "NA")</f>
        <v>0.0002190433291</v>
      </c>
    </row>
    <row r="87" ht="16.5" hidden="1" customHeight="1">
      <c r="A87" s="11" t="s">
        <v>86</v>
      </c>
      <c r="B87" s="12">
        <v>0.0</v>
      </c>
      <c r="C87" s="13" t="str">
        <f>IFERROR(B87/B446, "NA")</f>
        <v>NA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0.0</v>
      </c>
      <c r="AA87" s="13">
        <f>IFERROR(Z87/Z446, "NA")</f>
        <v>0</v>
      </c>
      <c r="AB87" s="14"/>
      <c r="AC87" s="15">
        <f t="shared" si="28"/>
        <v>0</v>
      </c>
      <c r="AD87" s="13">
        <f>IFERROR(AC87/AC446, "NA")</f>
        <v>0</v>
      </c>
    </row>
    <row r="88" ht="16.5" customHeight="1">
      <c r="A88" s="16" t="s">
        <v>87</v>
      </c>
      <c r="B88" s="17">
        <f>IFERROR(B75+B76+B77+B78+B79+B80+B81+B82+B83+B84+B85+B86+B87, "NA")</f>
        <v>0</v>
      </c>
      <c r="C88" s="18" t="str">
        <f>IFERROR(B88/B446, "NA")</f>
        <v>NA</v>
      </c>
      <c r="D88" s="8"/>
      <c r="E88" s="17">
        <f>IFERROR(E75+E76+E77+E78+E79+E80+E81+E82+E83+E84+E85+E86+E87, "NA")</f>
        <v>665.75</v>
      </c>
      <c r="F88" s="18">
        <f>IFERROR(E88/E446, "NA")</f>
        <v>0.007999953857</v>
      </c>
      <c r="G88" s="8"/>
      <c r="H88" s="17">
        <f t="shared" si="25"/>
        <v>-665.75</v>
      </c>
      <c r="I88" s="18">
        <f>IFERROR(H88/H446, "NA")</f>
        <v>0.007999953857</v>
      </c>
      <c r="J88" s="8"/>
      <c r="K88" s="17">
        <f>IFERROR(K75+K76+K77+K78+K79+K80+K81+K82+K83+K84+K85+K86+K87, "NA")</f>
        <v>333.19</v>
      </c>
      <c r="L88" s="18">
        <f>IFERROR(K88/K446, "NA")</f>
        <v>0.004369105563</v>
      </c>
      <c r="M88" s="8"/>
      <c r="N88" s="17">
        <f t="shared" si="26"/>
        <v>-333.19</v>
      </c>
      <c r="O88" s="18">
        <f>IFERROR(N88/N446, "NA")</f>
        <v>0.004369105563</v>
      </c>
      <c r="P88" s="8"/>
      <c r="Q88" s="17">
        <f>IFERROR(Q75+Q76+Q77+Q78+Q79+Q80+Q81+Q82+Q83+Q84+Q85+Q86+Q87, "NA")</f>
        <v>3109.13</v>
      </c>
      <c r="R88" s="18">
        <f>IFERROR(Q88/Q446, "NA")</f>
        <v>0.005606443509</v>
      </c>
      <c r="S88" s="8"/>
      <c r="T88" s="17">
        <f>IFERROR(T75+T76+T77+T78+T79+T80+T81+T82+T83+T84+T85+T86+T87, "NA")</f>
        <v>5784.38</v>
      </c>
      <c r="U88" s="18">
        <f>IFERROR(T88/T446, "NA")</f>
        <v>0.008000001438</v>
      </c>
      <c r="V88" s="8"/>
      <c r="W88" s="17">
        <f t="shared" si="27"/>
        <v>-2675.25</v>
      </c>
      <c r="X88" s="18">
        <f>IFERROR(W88/W446, "NA")</f>
        <v>0.01587839249</v>
      </c>
      <c r="Y88" s="8"/>
      <c r="Z88" s="17">
        <f>IFERROR(Z75+Z76+Z77+Z78+Z79+Z80+Z81+Z82+Z83+Z84+Z85+Z86+Z87, "NA")</f>
        <v>5822.92</v>
      </c>
      <c r="AA88" s="18">
        <f>IFERROR(Z88/Z446, "NA")</f>
        <v>0.008707868546</v>
      </c>
      <c r="AB88" s="8"/>
      <c r="AC88" s="17">
        <f t="shared" si="28"/>
        <v>-2713.79</v>
      </c>
      <c r="AD88" s="18">
        <f>IFERROR(AC88/AC446, "NA")</f>
        <v>0.02377750385</v>
      </c>
    </row>
    <row r="89" ht="16.5" customHeight="1">
      <c r="A89" s="11" t="s">
        <v>88</v>
      </c>
      <c r="B89" s="12">
        <v>0.0</v>
      </c>
      <c r="C89" s="13" t="str">
        <f>IFERROR(B89/B446, "NA")</f>
        <v>NA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0</v>
      </c>
      <c r="I89" s="13">
        <f>IFERROR(H89/H446, "NA")</f>
        <v>0</v>
      </c>
      <c r="J89" s="14"/>
      <c r="K89" s="12">
        <v>0.0</v>
      </c>
      <c r="L89" s="13">
        <f>IFERROR(K89/K446, "NA")</f>
        <v>0</v>
      </c>
      <c r="M89" s="14"/>
      <c r="N89" s="15">
        <f t="shared" si="26"/>
        <v>0</v>
      </c>
      <c r="O89" s="13">
        <f>IFERROR(N89/N446, "NA")</f>
        <v>0</v>
      </c>
      <c r="P89" s="14"/>
      <c r="Q89" s="12">
        <v>42.72</v>
      </c>
      <c r="R89" s="13">
        <f>IFERROR(Q89/Q446, "NA")</f>
        <v>0.00007703353243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42.72</v>
      </c>
      <c r="X89" s="13">
        <f>IFERROR(W89/W446, "NA")</f>
        <v>-0.0002535557153</v>
      </c>
      <c r="Y89" s="14"/>
      <c r="Z89" s="12">
        <v>-668.01</v>
      </c>
      <c r="AA89" s="13">
        <f>IFERROR(Z89/Z446, "NA")</f>
        <v>-0.000998973585</v>
      </c>
      <c r="AB89" s="14"/>
      <c r="AC89" s="15">
        <f t="shared" si="28"/>
        <v>710.73</v>
      </c>
      <c r="AD89" s="13">
        <f>IFERROR(AC89/AC446, "NA")</f>
        <v>-0.006227226613</v>
      </c>
    </row>
    <row r="90" ht="16.5" customHeight="1">
      <c r="A90" s="11" t="s">
        <v>89</v>
      </c>
      <c r="B90" s="12">
        <v>0.0</v>
      </c>
      <c r="C90" s="13" t="str">
        <f>IFERROR(B90/B446, "NA")</f>
        <v>NA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0</v>
      </c>
      <c r="I90" s="13">
        <f>IFERROR(H90/H446, "NA")</f>
        <v>0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0</v>
      </c>
      <c r="O90" s="13">
        <f>IFERROR(N90/N446, "NA")</f>
        <v>0</v>
      </c>
      <c r="P90" s="14"/>
      <c r="Q90" s="12">
        <v>-471.64</v>
      </c>
      <c r="R90" s="13">
        <f>IFERROR(Q90/Q446, "NA")</f>
        <v>-0.0008504703941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-471.64</v>
      </c>
      <c r="X90" s="13">
        <f>IFERROR(W90/W446, "NA")</f>
        <v>0.002799321572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-471.64</v>
      </c>
      <c r="AD90" s="13">
        <f>IFERROR(AC90/AC446, "NA")</f>
        <v>0.00413238383</v>
      </c>
    </row>
    <row r="91" ht="16.5" hidden="1" customHeight="1">
      <c r="A91" s="11" t="s">
        <v>90</v>
      </c>
      <c r="B91" s="12">
        <v>0.0</v>
      </c>
      <c r="C91" s="13" t="str">
        <f>IFERROR(B91/B446, "NA")</f>
        <v>NA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 t="str">
        <f>IFERROR(B92/B446, "NA")</f>
        <v>NA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 t="str">
        <f>IFERROR(B94/B446, "NA")</f>
        <v>NA</v>
      </c>
      <c r="D94" s="14"/>
      <c r="E94" s="12">
        <v>-4909.93</v>
      </c>
      <c r="F94" s="13">
        <f>IFERROR(E94/E446, "NA")</f>
        <v>-0.05899994508</v>
      </c>
      <c r="G94" s="14"/>
      <c r="H94" s="15">
        <f t="shared" ref="H94:H124" si="29">IFERROR(B94-E94, "NA")</f>
        <v>4909.93</v>
      </c>
      <c r="I94" s="13">
        <f>IFERROR(H94/H446, "NA")</f>
        <v>-0.05899994508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-42659.8</v>
      </c>
      <c r="U94" s="13">
        <f>IFERROR(T94/T446, "NA")</f>
        <v>-0.05900000715</v>
      </c>
      <c r="V94" s="14"/>
      <c r="W94" s="15">
        <f t="shared" ref="W94:W124" si="31">IFERROR(Q94-T94, "NA")</f>
        <v>42659.8</v>
      </c>
      <c r="X94" s="13">
        <f>IFERROR(W94/W446, "NA")</f>
        <v>-0.2531984107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 t="str">
        <f>IFERROR(B95/B446, "NA")</f>
        <v>NA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0.0</v>
      </c>
      <c r="C96" s="13" t="str">
        <f>IFERROR(B96/B446, "NA")</f>
        <v>NA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0</v>
      </c>
      <c r="I96" s="13">
        <f>IFERROR(H96/H446, "NA")</f>
        <v>0</v>
      </c>
      <c r="J96" s="14"/>
      <c r="K96" s="12">
        <v>-1169.85</v>
      </c>
      <c r="L96" s="13">
        <f>IFERROR(K96/K446, "NA")</f>
        <v>-0.01534019071</v>
      </c>
      <c r="M96" s="14"/>
      <c r="N96" s="15">
        <f t="shared" si="30"/>
        <v>1169.85</v>
      </c>
      <c r="O96" s="13">
        <f>IFERROR(N96/N446, "NA")</f>
        <v>-0.01534019071</v>
      </c>
      <c r="P96" s="14"/>
      <c r="Q96" s="12">
        <v>-5897.08</v>
      </c>
      <c r="R96" s="13">
        <f>IFERROR(Q96/Q446, "NA")</f>
        <v>-0.01063372901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-5897.08</v>
      </c>
      <c r="X96" s="13">
        <f>IFERROR(W96/W446, "NA")</f>
        <v>0.03500089742</v>
      </c>
      <c r="Y96" s="14"/>
      <c r="Z96" s="12">
        <v>-9280.81</v>
      </c>
      <c r="AA96" s="13">
        <f>IFERROR(Z96/Z446, "NA")</f>
        <v>-0.01387895995</v>
      </c>
      <c r="AB96" s="14"/>
      <c r="AC96" s="15">
        <f t="shared" si="32"/>
        <v>3383.73</v>
      </c>
      <c r="AD96" s="13">
        <f>IFERROR(AC96/AC446, "NA")</f>
        <v>-0.02964733936</v>
      </c>
    </row>
    <row r="97" ht="16.5" hidden="1" customHeight="1">
      <c r="A97" s="11" t="s">
        <v>95</v>
      </c>
      <c r="B97" s="12">
        <v>0.0</v>
      </c>
      <c r="C97" s="13" t="str">
        <f>IFERROR(B97/B446, "NA")</f>
        <v>NA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0.0</v>
      </c>
      <c r="C98" s="13" t="str">
        <f>IFERROR(B98/B446, "NA")</f>
        <v>NA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0</v>
      </c>
      <c r="I98" s="13">
        <f>IFERROR(H98/H446, "NA")</f>
        <v>0</v>
      </c>
      <c r="J98" s="14"/>
      <c r="K98" s="12">
        <v>-1746.72</v>
      </c>
      <c r="L98" s="13">
        <f>IFERROR(K98/K446, "NA")</f>
        <v>-0.02290466121</v>
      </c>
      <c r="M98" s="14"/>
      <c r="N98" s="15">
        <f t="shared" si="30"/>
        <v>1746.72</v>
      </c>
      <c r="O98" s="13">
        <f>IFERROR(N98/N446, "NA")</f>
        <v>-0.02290466121</v>
      </c>
      <c r="P98" s="14"/>
      <c r="Q98" s="12">
        <v>-7759.27</v>
      </c>
      <c r="R98" s="13">
        <f>IFERROR(Q98/Q446, "NA")</f>
        <v>-0.01399166613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-7759.27</v>
      </c>
      <c r="X98" s="13">
        <f>IFERROR(W98/W446, "NA")</f>
        <v>0.04605354062</v>
      </c>
      <c r="Y98" s="14"/>
      <c r="Z98" s="12">
        <v>-15599.19</v>
      </c>
      <c r="AA98" s="13">
        <f>IFERROR(Z98/Z446, "NA")</f>
        <v>-0.02332776269</v>
      </c>
      <c r="AB98" s="14"/>
      <c r="AC98" s="15">
        <f t="shared" si="32"/>
        <v>7839.92</v>
      </c>
      <c r="AD98" s="13">
        <f>IFERROR(AC98/AC446, "NA")</f>
        <v>-0.06869128708</v>
      </c>
    </row>
    <row r="99" ht="16.5" hidden="1" customHeight="1">
      <c r="A99" s="11" t="s">
        <v>97</v>
      </c>
      <c r="B99" s="12">
        <v>0.0</v>
      </c>
      <c r="C99" s="13" t="str">
        <f>IFERROR(B99/B446, "NA")</f>
        <v>NA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0.0</v>
      </c>
      <c r="C100" s="13" t="str">
        <f>IFERROR(B100/B446, "NA")</f>
        <v>NA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0</v>
      </c>
      <c r="I100" s="13">
        <f>IFERROR(H100/H446, "NA")</f>
        <v>0</v>
      </c>
      <c r="J100" s="14"/>
      <c r="K100" s="12">
        <v>-18.7</v>
      </c>
      <c r="L100" s="13">
        <f>IFERROR(K100/K446, "NA")</f>
        <v>-0.0002452122633</v>
      </c>
      <c r="M100" s="14"/>
      <c r="N100" s="15">
        <f t="shared" si="30"/>
        <v>18.7</v>
      </c>
      <c r="O100" s="13">
        <f>IFERROR(N100/N446, "NA")</f>
        <v>-0.0002452122633</v>
      </c>
      <c r="P100" s="14"/>
      <c r="Q100" s="12">
        <v>-414.14</v>
      </c>
      <c r="R100" s="13">
        <f>IFERROR(Q100/Q446, "NA")</f>
        <v>-0.0007467852791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-414.14</v>
      </c>
      <c r="X100" s="13">
        <f>IFERROR(W100/W446, "NA")</f>
        <v>0.002458042227</v>
      </c>
      <c r="Y100" s="14"/>
      <c r="Z100" s="12">
        <v>-2113.74</v>
      </c>
      <c r="AA100" s="13">
        <f>IFERROR(Z100/Z446, "NA")</f>
        <v>-0.003160986251</v>
      </c>
      <c r="AB100" s="14"/>
      <c r="AC100" s="15">
        <f t="shared" si="32"/>
        <v>1699.6</v>
      </c>
      <c r="AD100" s="13">
        <f>IFERROR(AC100/AC446, "NA")</f>
        <v>-0.01489144169</v>
      </c>
    </row>
    <row r="101" ht="16.5" customHeight="1">
      <c r="A101" s="11" t="s">
        <v>99</v>
      </c>
      <c r="B101" s="12">
        <v>0.0</v>
      </c>
      <c r="C101" s="13" t="str">
        <f>IFERROR(B101/B446, "NA")</f>
        <v>NA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-64.44</v>
      </c>
      <c r="R101" s="13">
        <f>IFERROR(Q101/Q446, "NA")</f>
        <v>-0.0001161994576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-64.44</v>
      </c>
      <c r="X101" s="13">
        <f>IFERROR(W101/W446, "NA")</f>
        <v>0.0003824702784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-64.44</v>
      </c>
      <c r="AD101" s="13">
        <f>IFERROR(AC101/AC446, "NA")</f>
        <v>0.0005646060852</v>
      </c>
    </row>
    <row r="102" ht="16.5" customHeight="1">
      <c r="A102" s="11" t="s">
        <v>100</v>
      </c>
      <c r="B102" s="12">
        <v>0.0</v>
      </c>
      <c r="C102" s="13" t="str">
        <f>IFERROR(B102/B446, "NA")</f>
        <v>NA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0</v>
      </c>
      <c r="I102" s="13">
        <f>IFERROR(H102/H446, "NA")</f>
        <v>0</v>
      </c>
      <c r="J102" s="14"/>
      <c r="K102" s="12">
        <v>-915.58</v>
      </c>
      <c r="L102" s="13">
        <f>IFERROR(K102/K446, "NA")</f>
        <v>-0.01200595958</v>
      </c>
      <c r="M102" s="14"/>
      <c r="N102" s="15">
        <f t="shared" si="30"/>
        <v>915.58</v>
      </c>
      <c r="O102" s="13">
        <f>IFERROR(N102/N446, "NA")</f>
        <v>-0.01200595958</v>
      </c>
      <c r="P102" s="14"/>
      <c r="Q102" s="12">
        <v>-5349.91</v>
      </c>
      <c r="R102" s="13">
        <f>IFERROR(Q102/Q446, "NA")</f>
        <v>-0.009647061458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-5349.91</v>
      </c>
      <c r="X102" s="13">
        <f>IFERROR(W102/W446, "NA")</f>
        <v>0.03175328317</v>
      </c>
      <c r="Y102" s="14"/>
      <c r="Z102" s="12">
        <v>-7310.71</v>
      </c>
      <c r="AA102" s="13">
        <f>IFERROR(Z102/Z446, "NA")</f>
        <v>-0.01093277971</v>
      </c>
      <c r="AB102" s="14"/>
      <c r="AC102" s="15">
        <f t="shared" si="32"/>
        <v>1960.8</v>
      </c>
      <c r="AD102" s="13">
        <f>IFERROR(AC102/AC446, "NA")</f>
        <v>-0.01718000639</v>
      </c>
    </row>
    <row r="103" ht="16.5" customHeight="1">
      <c r="A103" s="11" t="s">
        <v>101</v>
      </c>
      <c r="B103" s="12">
        <v>0.0</v>
      </c>
      <c r="C103" s="13" t="str">
        <f>IFERROR(B103/B446, "NA")</f>
        <v>NA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0</v>
      </c>
      <c r="I103" s="13">
        <f>IFERROR(H103/H446, "NA")</f>
        <v>0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0</v>
      </c>
      <c r="O103" s="13">
        <f>IFERROR(N103/N446, "NA")</f>
        <v>0</v>
      </c>
      <c r="P103" s="14"/>
      <c r="Q103" s="12">
        <v>-48.0</v>
      </c>
      <c r="R103" s="13">
        <f>IFERROR(Q103/Q446, "NA")</f>
        <v>-0.00008655453082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-48</v>
      </c>
      <c r="X103" s="13">
        <f>IFERROR(W103/W446, "NA")</f>
        <v>0.0002848940621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-48</v>
      </c>
      <c r="AD103" s="13">
        <f>IFERROR(AC103/AC446, "NA")</f>
        <v>0.0004205631919</v>
      </c>
    </row>
    <row r="104" ht="16.5" customHeight="1">
      <c r="A104" s="11" t="s">
        <v>102</v>
      </c>
      <c r="B104" s="12">
        <v>0.0</v>
      </c>
      <c r="C104" s="13" t="str">
        <f>IFERROR(B104/B446, "NA")</f>
        <v>NA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0</v>
      </c>
      <c r="I104" s="13">
        <f>IFERROR(H104/H446, "NA")</f>
        <v>0</v>
      </c>
      <c r="J104" s="14"/>
      <c r="K104" s="12">
        <v>-486.08</v>
      </c>
      <c r="L104" s="13">
        <f>IFERROR(K104/K446, "NA")</f>
        <v>-0.006373945292</v>
      </c>
      <c r="M104" s="14"/>
      <c r="N104" s="15">
        <f t="shared" si="30"/>
        <v>486.08</v>
      </c>
      <c r="O104" s="13">
        <f>IFERROR(N104/N446, "NA")</f>
        <v>-0.006373945292</v>
      </c>
      <c r="P104" s="14"/>
      <c r="Q104" s="12">
        <v>-1931.53</v>
      </c>
      <c r="R104" s="13">
        <f>IFERROR(Q104/Q446, "NA")</f>
        <v>-0.003482972353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-1931.53</v>
      </c>
      <c r="X104" s="13">
        <f>IFERROR(W104/W446, "NA")</f>
        <v>0.01146419641</v>
      </c>
      <c r="Y104" s="14"/>
      <c r="Z104" s="12">
        <v>-3718.73</v>
      </c>
      <c r="AA104" s="13">
        <f>IFERROR(Z104/Z446, "NA")</f>
        <v>-0.005561163814</v>
      </c>
      <c r="AB104" s="14"/>
      <c r="AC104" s="15">
        <f t="shared" si="32"/>
        <v>1787.2</v>
      </c>
      <c r="AD104" s="13">
        <f>IFERROR(AC104/AC446, "NA")</f>
        <v>-0.01565896951</v>
      </c>
    </row>
    <row r="105" ht="16.5" hidden="1" customHeight="1">
      <c r="A105" s="11" t="s">
        <v>103</v>
      </c>
      <c r="B105" s="12">
        <v>0.0</v>
      </c>
      <c r="C105" s="13" t="str">
        <f>IFERROR(B105/B446, "NA")</f>
        <v>NA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0.0</v>
      </c>
      <c r="C106" s="13" t="str">
        <f>IFERROR(B106/B446, "NA")</f>
        <v>NA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0</v>
      </c>
      <c r="I106" s="13">
        <f>IFERROR(H106/H446, "NA")</f>
        <v>0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0</v>
      </c>
      <c r="O106" s="13">
        <f>IFERROR(N106/N446, "NA")</f>
        <v>0</v>
      </c>
      <c r="P106" s="14"/>
      <c r="Q106" s="12">
        <v>-421.7</v>
      </c>
      <c r="R106" s="13">
        <f>IFERROR(Q106/Q446, "NA")</f>
        <v>-0.0007604176177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-421.7</v>
      </c>
      <c r="X106" s="13">
        <f>IFERROR(W106/W446, "NA")</f>
        <v>0.002502913042</v>
      </c>
      <c r="Y106" s="14"/>
      <c r="Z106" s="12">
        <v>-1068.08</v>
      </c>
      <c r="AA106" s="13">
        <f>IFERROR(Z106/Z446, "NA")</f>
        <v>-0.001597257087</v>
      </c>
      <c r="AB106" s="14"/>
      <c r="AC106" s="15">
        <f t="shared" si="32"/>
        <v>646.38</v>
      </c>
      <c r="AD106" s="13">
        <f>IFERROR(AC106/AC446, "NA")</f>
        <v>-0.005663409083</v>
      </c>
    </row>
    <row r="107" ht="16.5" hidden="1" customHeight="1">
      <c r="A107" s="11" t="s">
        <v>105</v>
      </c>
      <c r="B107" s="12">
        <v>0.0</v>
      </c>
      <c r="C107" s="13" t="str">
        <f>IFERROR(B107/B446, "NA")</f>
        <v>NA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 t="str">
        <f>IFERROR(B108/B446, "NA")</f>
        <v>NA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 t="str">
        <f>IFERROR(B109/B446, "NA")</f>
        <v>NA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 t="str">
        <f>IFERROR(B110/B446, "NA")</f>
        <v>NA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 t="str">
        <f>IFERROR(B111/B446, "NA")</f>
        <v>NA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 t="str">
        <f>IFERROR(B112/B446, "NA")</f>
        <v>NA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 t="str">
        <f>IFERROR(B113/B446, "NA")</f>
        <v>NA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 t="str">
        <f>IFERROR(B114/B446, "NA")</f>
        <v>NA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 t="str">
        <f>IFERROR(B115/B446, "NA")</f>
        <v>NA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 t="str">
        <f>IFERROR(B116/B446, "NA")</f>
        <v>NA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 t="str">
        <f>IFERROR(B117/B446, "NA")</f>
        <v>NA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0</v>
      </c>
      <c r="C118" s="18" t="str">
        <f>IFERROR(B118/B446, "NA")</f>
        <v>NA</v>
      </c>
      <c r="D118" s="8"/>
      <c r="E118" s="17">
        <f>IFERROR(E94+E95+E96+E97+E98+E99+E100+E101+E102+E103+E104+E105+E106+E107+E108+E109+E110+E111+E112+E113+E114+E115+E116+E117, "NA")</f>
        <v>-4909.93</v>
      </c>
      <c r="F118" s="18">
        <f>IFERROR(E118/E446, "NA")</f>
        <v>-0.05899994508</v>
      </c>
      <c r="G118" s="8"/>
      <c r="H118" s="17">
        <f t="shared" si="29"/>
        <v>4909.93</v>
      </c>
      <c r="I118" s="18">
        <f>IFERROR(H118/H446, "NA")</f>
        <v>-0.05899994508</v>
      </c>
      <c r="J118" s="8"/>
      <c r="K118" s="17">
        <f>IFERROR(K94+K95+K96+K97+K98+K99+K100+K101+K102+K103+K104+K105+K106+K107+K108+K109+K110+K111+K112+K113+K114+K115+K116+K117, "NA")</f>
        <v>-4336.93</v>
      </c>
      <c r="L118" s="18">
        <f>IFERROR(K118/K446, "NA")</f>
        <v>-0.05686996905</v>
      </c>
      <c r="M118" s="8"/>
      <c r="N118" s="17">
        <f t="shared" si="30"/>
        <v>4336.93</v>
      </c>
      <c r="O118" s="18">
        <f>IFERROR(N118/N446, "NA")</f>
        <v>-0.05686996905</v>
      </c>
      <c r="P118" s="8"/>
      <c r="Q118" s="17">
        <f>IFERROR(Q94+Q95+Q96+Q97+Q98+Q99+Q100+Q101+Q102+Q103+Q104+Q105+Q106+Q107+Q108+Q109+Q110+Q111+Q112+Q113+Q114+Q115+Q116+Q117, "NA")</f>
        <v>-21886.07</v>
      </c>
      <c r="R118" s="18">
        <f>IFERROR(Q118/Q446, "NA")</f>
        <v>-0.03946538584</v>
      </c>
      <c r="S118" s="8"/>
      <c r="T118" s="17">
        <f>IFERROR(T94+T95+T96+T97+T98+T99+T100+T101+T102+T103+T104+T105+T106+T107+T108+T109+T110+T111+T112+T113+T114+T115+T116+T117, "NA")</f>
        <v>-42659.8</v>
      </c>
      <c r="U118" s="18">
        <f>IFERROR(T118/T446, "NA")</f>
        <v>-0.05900000715</v>
      </c>
      <c r="V118" s="8"/>
      <c r="W118" s="17">
        <f t="shared" si="31"/>
        <v>20773.73</v>
      </c>
      <c r="X118" s="18">
        <f>IFERROR(W118/W446, "NA")</f>
        <v>-0.1232981734</v>
      </c>
      <c r="Y118" s="8"/>
      <c r="Z118" s="17">
        <f>IFERROR(Z94+Z95+Z96+Z97+Z98+Z99+Z100+Z101+Z102+Z103+Z104+Z105+Z106+Z107+Z108+Z109+Z110+Z111+Z112+Z113+Z114+Z115+Z116+Z117, "NA")</f>
        <v>-39091.26</v>
      </c>
      <c r="AA118" s="18">
        <f>IFERROR(Z118/Z446, "NA")</f>
        <v>-0.05845890951</v>
      </c>
      <c r="AB118" s="8"/>
      <c r="AC118" s="17">
        <f t="shared" si="32"/>
        <v>17205.19</v>
      </c>
      <c r="AD118" s="18">
        <f>IFERROR(AC118/AC446, "NA")</f>
        <v>-0.1507472838</v>
      </c>
    </row>
    <row r="119" ht="16.5" hidden="1" customHeight="1">
      <c r="A119" s="11" t="s">
        <v>117</v>
      </c>
      <c r="B119" s="12">
        <v>0.0</v>
      </c>
      <c r="C119" s="13" t="str">
        <f>IFERROR(B119/B446, "NA")</f>
        <v>NA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 t="str">
        <f>IFERROR(B120/B446, "NA")</f>
        <v>NA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 t="str">
        <f>IFERROR(B121/B446, "NA")</f>
        <v>NA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8" t="str">
        <f>IFERROR(B122/B446, "NA")</f>
        <v>NA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83219.23</v>
      </c>
      <c r="F122" s="18">
        <f>IFERROR(E122/E446, "NA")</f>
        <v>1</v>
      </c>
      <c r="G122" s="8"/>
      <c r="H122" s="17">
        <f t="shared" si="29"/>
        <v>-83219.23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76260.46</v>
      </c>
      <c r="L122" s="18">
        <f>IFERROR(K122/K446, "NA")</f>
        <v>1</v>
      </c>
      <c r="M122" s="8"/>
      <c r="N122" s="17">
        <f t="shared" si="30"/>
        <v>-76260.46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554563.69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723047.37</v>
      </c>
      <c r="U122" s="18">
        <f>IFERROR(T122/T446, "NA")</f>
        <v>1</v>
      </c>
      <c r="V122" s="8"/>
      <c r="W122" s="17">
        <f t="shared" si="31"/>
        <v>-168483.68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668696.36</v>
      </c>
      <c r="AA122" s="18">
        <f>IFERROR(Z122/Z446, "NA")</f>
        <v>1</v>
      </c>
      <c r="AB122" s="8"/>
      <c r="AC122" s="17">
        <f t="shared" si="32"/>
        <v>-114132.67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 t="str">
        <f>IFERROR(B123/B446, "NA")</f>
        <v>NA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8" t="str">
        <f>IFERROR(B124/B446, "NA")</f>
        <v>NA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83219.23</v>
      </c>
      <c r="F124" s="18">
        <f>IFERROR(E124/E446, "NA")</f>
        <v>1</v>
      </c>
      <c r="G124" s="8"/>
      <c r="H124" s="17">
        <f t="shared" si="29"/>
        <v>-83219.23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76260.46</v>
      </c>
      <c r="L124" s="18">
        <f>IFERROR(K124/K446, "NA")</f>
        <v>1</v>
      </c>
      <c r="M124" s="8"/>
      <c r="N124" s="17">
        <f t="shared" si="30"/>
        <v>-76260.46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554563.69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723047.37</v>
      </c>
      <c r="U124" s="18">
        <f>IFERROR(T124/T446, "NA")</f>
        <v>1</v>
      </c>
      <c r="V124" s="8"/>
      <c r="W124" s="17">
        <f t="shared" si="31"/>
        <v>-168483.68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668696.36</v>
      </c>
      <c r="AA124" s="18">
        <f>IFERROR(Z124/Z446, "NA")</f>
        <v>1</v>
      </c>
      <c r="AB124" s="8"/>
      <c r="AC124" s="17">
        <f t="shared" si="32"/>
        <v>-114132.67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 t="str">
        <f>IFERROR(B127/B446, "NA")</f>
        <v>NA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 t="str">
        <f>IFERROR(B129/B446, "NA")</f>
        <v>NA</v>
      </c>
      <c r="D129" s="14"/>
      <c r="E129" s="12">
        <v>17642.48</v>
      </c>
      <c r="F129" s="13">
        <f>IFERROR(E129/E446, "NA")</f>
        <v>0.2120000389</v>
      </c>
      <c r="G129" s="14"/>
      <c r="H129" s="15">
        <f t="shared" ref="H129:H141" si="33">IFERROR(-(B129-E129), "NA")</f>
        <v>17642.48</v>
      </c>
      <c r="I129" s="13">
        <f>IFERROR(H129/H446, "NA")</f>
        <v>-0.2120000389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153810.67</v>
      </c>
      <c r="U129" s="13">
        <f>IFERROR(T129/T446, "NA")</f>
        <v>0.2127255784</v>
      </c>
      <c r="V129" s="14"/>
      <c r="W129" s="15">
        <f t="shared" ref="W129:W141" si="35">IFERROR(-(Q129-T129), "NA")</f>
        <v>153810.67</v>
      </c>
      <c r="X129" s="13">
        <f>IFERROR(W129/W446, "NA")</f>
        <v>-0.912911387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0.0</v>
      </c>
      <c r="C130" s="13" t="str">
        <f>IFERROR(B130/B446, "NA")</f>
        <v>NA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0</v>
      </c>
      <c r="I130" s="13">
        <f>IFERROR(H130/H446, "NA")</f>
        <v>0</v>
      </c>
      <c r="J130" s="14"/>
      <c r="K130" s="12">
        <v>3686.4</v>
      </c>
      <c r="L130" s="13">
        <f>IFERROR(K130/K446, "NA")</f>
        <v>0.04833959827</v>
      </c>
      <c r="M130" s="14"/>
      <c r="N130" s="15">
        <f t="shared" si="34"/>
        <v>3686.4</v>
      </c>
      <c r="O130" s="13">
        <f>IFERROR(N130/N446, "NA")</f>
        <v>-0.04833959827</v>
      </c>
      <c r="P130" s="14"/>
      <c r="Q130" s="12">
        <v>25826.44</v>
      </c>
      <c r="R130" s="13">
        <f>IFERROR(Q130/Q446, "NA")</f>
        <v>0.04657073744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-25826.44</v>
      </c>
      <c r="X130" s="13">
        <f>IFERROR(W130/W446, "NA")</f>
        <v>0.1532874875</v>
      </c>
      <c r="Y130" s="14"/>
      <c r="Z130" s="12">
        <v>35950.69</v>
      </c>
      <c r="AA130" s="13">
        <f>IFERROR(Z130/Z446, "NA")</f>
        <v>0.05376235336</v>
      </c>
      <c r="AB130" s="14"/>
      <c r="AC130" s="15">
        <f t="shared" si="36"/>
        <v>10124.25</v>
      </c>
      <c r="AD130" s="13">
        <f>IFERROR(AC130/AC446, "NA")</f>
        <v>-0.088705977</v>
      </c>
    </row>
    <row r="131" ht="16.5" customHeight="1">
      <c r="A131" s="11" t="s">
        <v>126</v>
      </c>
      <c r="B131" s="12">
        <v>0.0</v>
      </c>
      <c r="C131" s="13" t="str">
        <f>IFERROR(B131/B446, "NA")</f>
        <v>NA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0</v>
      </c>
      <c r="I131" s="13">
        <f>IFERROR(H131/H446, "NA")</f>
        <v>0</v>
      </c>
      <c r="J131" s="14"/>
      <c r="K131" s="12">
        <v>2163.64</v>
      </c>
      <c r="L131" s="13">
        <f>IFERROR(K131/K446, "NA")</f>
        <v>0.02837171452</v>
      </c>
      <c r="M131" s="14"/>
      <c r="N131" s="15">
        <f t="shared" si="34"/>
        <v>2163.64</v>
      </c>
      <c r="O131" s="13">
        <f>IFERROR(N131/N446, "NA")</f>
        <v>-0.02837171452</v>
      </c>
      <c r="P131" s="14"/>
      <c r="Q131" s="12">
        <v>15821.14</v>
      </c>
      <c r="R131" s="13">
        <f>IFERROR(Q131/Q446, "NA")</f>
        <v>0.02852898645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-15821.14</v>
      </c>
      <c r="X131" s="13">
        <f>IFERROR(W131/W446, "NA")</f>
        <v>0.09390310088</v>
      </c>
      <c r="Y131" s="14"/>
      <c r="Z131" s="12">
        <v>20259.23</v>
      </c>
      <c r="AA131" s="13">
        <f>IFERROR(Z131/Z446, "NA")</f>
        <v>0.03029660577</v>
      </c>
      <c r="AB131" s="14"/>
      <c r="AC131" s="15">
        <f t="shared" si="36"/>
        <v>4438.09</v>
      </c>
      <c r="AD131" s="13">
        <f>IFERROR(AC131/AC446, "NA")</f>
        <v>-0.03888536034</v>
      </c>
    </row>
    <row r="132" ht="16.5" customHeight="1">
      <c r="A132" s="11" t="s">
        <v>127</v>
      </c>
      <c r="B132" s="12">
        <v>0.0</v>
      </c>
      <c r="C132" s="13" t="str">
        <f>IFERROR(B132/B446, "NA")</f>
        <v>NA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0</v>
      </c>
      <c r="I132" s="13">
        <f>IFERROR(H132/H446, "NA")</f>
        <v>0</v>
      </c>
      <c r="J132" s="14"/>
      <c r="K132" s="12">
        <v>4436.26</v>
      </c>
      <c r="L132" s="13">
        <f>IFERROR(K132/K446, "NA")</f>
        <v>0.0581724789</v>
      </c>
      <c r="M132" s="14"/>
      <c r="N132" s="15">
        <f t="shared" si="34"/>
        <v>4436.26</v>
      </c>
      <c r="O132" s="13">
        <f>IFERROR(N132/N446, "NA")</f>
        <v>-0.0581724789</v>
      </c>
      <c r="P132" s="14"/>
      <c r="Q132" s="12">
        <v>23684.74</v>
      </c>
      <c r="R132" s="13">
        <f>IFERROR(Q132/Q446, "NA")</f>
        <v>0.04270878247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-23684.74</v>
      </c>
      <c r="X132" s="13">
        <f>IFERROR(W132/W446, "NA")</f>
        <v>0.1405758706</v>
      </c>
      <c r="Y132" s="14"/>
      <c r="Z132" s="12">
        <v>32405.94</v>
      </c>
      <c r="AA132" s="13">
        <f>IFERROR(Z132/Z446, "NA")</f>
        <v>0.04846136743</v>
      </c>
      <c r="AB132" s="14"/>
      <c r="AC132" s="15">
        <f t="shared" si="36"/>
        <v>8721.2</v>
      </c>
      <c r="AD132" s="13">
        <f>IFERROR(AC132/AC446, "NA")</f>
        <v>-0.07641282728</v>
      </c>
    </row>
    <row r="133" ht="16.5" customHeight="1">
      <c r="A133" s="11" t="s">
        <v>128</v>
      </c>
      <c r="B133" s="12">
        <v>0.0</v>
      </c>
      <c r="C133" s="13" t="str">
        <f>IFERROR(B133/B446, "NA")</f>
        <v>NA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0</v>
      </c>
      <c r="I133" s="13">
        <f>IFERROR(H133/H446, "NA")</f>
        <v>0</v>
      </c>
      <c r="J133" s="14"/>
      <c r="K133" s="12">
        <v>1693.45</v>
      </c>
      <c r="L133" s="13">
        <f>IFERROR(K133/K446, "NA")</f>
        <v>0.02220613408</v>
      </c>
      <c r="M133" s="14"/>
      <c r="N133" s="15">
        <f t="shared" si="34"/>
        <v>1693.45</v>
      </c>
      <c r="O133" s="13">
        <f>IFERROR(N133/N446, "NA")</f>
        <v>-0.02220613408</v>
      </c>
      <c r="P133" s="14"/>
      <c r="Q133" s="12">
        <v>11266.6</v>
      </c>
      <c r="R133" s="13">
        <f>IFERROR(Q133/Q446, "NA")</f>
        <v>0.0203161516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-11266.6</v>
      </c>
      <c r="X133" s="13">
        <f>IFERROR(W133/W446, "NA")</f>
        <v>0.06687057168</v>
      </c>
      <c r="Y133" s="14"/>
      <c r="Z133" s="12">
        <v>14550.88</v>
      </c>
      <c r="AA133" s="13">
        <f>IFERROR(Z133/Z446, "NA")</f>
        <v>0.02176007059</v>
      </c>
      <c r="AB133" s="14"/>
      <c r="AC133" s="15">
        <f t="shared" si="36"/>
        <v>3284.28</v>
      </c>
      <c r="AD133" s="13">
        <f>IFERROR(AC133/AC446, "NA")</f>
        <v>-0.028775985</v>
      </c>
    </row>
    <row r="134" ht="16.5" customHeight="1">
      <c r="A134" s="11" t="s">
        <v>129</v>
      </c>
      <c r="B134" s="12">
        <v>0.0</v>
      </c>
      <c r="C134" s="13" t="str">
        <f>IFERROR(B134/B446, "NA")</f>
        <v>NA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0</v>
      </c>
      <c r="I134" s="13">
        <f>IFERROR(H134/H446, "NA")</f>
        <v>0</v>
      </c>
      <c r="J134" s="14"/>
      <c r="K134" s="12">
        <v>489.2</v>
      </c>
      <c r="L134" s="13">
        <f>IFERROR(K134/K446, "NA")</f>
        <v>0.006414857713</v>
      </c>
      <c r="M134" s="14"/>
      <c r="N134" s="15">
        <f t="shared" si="34"/>
        <v>489.2</v>
      </c>
      <c r="O134" s="13">
        <f>IFERROR(N134/N446, "NA")</f>
        <v>-0.006414857713</v>
      </c>
      <c r="P134" s="14"/>
      <c r="Q134" s="12">
        <v>6056.37</v>
      </c>
      <c r="R134" s="13">
        <f>IFERROR(Q134/Q446, "NA")</f>
        <v>0.01092096383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-6056.37</v>
      </c>
      <c r="X134" s="13">
        <f>IFERROR(W134/W446, "NA")</f>
        <v>0.03594633023</v>
      </c>
      <c r="Y134" s="14"/>
      <c r="Z134" s="12">
        <v>5348.49</v>
      </c>
      <c r="AA134" s="13">
        <f>IFERROR(Z134/Z446, "NA")</f>
        <v>0.007998383601</v>
      </c>
      <c r="AB134" s="14"/>
      <c r="AC134" s="15">
        <f t="shared" si="36"/>
        <v>-707.88</v>
      </c>
      <c r="AD134" s="13">
        <f>IFERROR(AC134/AC446, "NA")</f>
        <v>0.006202255673</v>
      </c>
    </row>
    <row r="135" ht="16.5" customHeight="1">
      <c r="A135" s="11" t="s">
        <v>130</v>
      </c>
      <c r="B135" s="12">
        <v>0.0</v>
      </c>
      <c r="C135" s="13" t="str">
        <f>IFERROR(B135/B446, "NA")</f>
        <v>NA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0</v>
      </c>
      <c r="I135" s="13">
        <f>IFERROR(H135/H446, "NA")</f>
        <v>0</v>
      </c>
      <c r="J135" s="14"/>
      <c r="K135" s="12">
        <v>684.29</v>
      </c>
      <c r="L135" s="13">
        <f>IFERROR(K135/K446, "NA")</f>
        <v>0.008973064154</v>
      </c>
      <c r="M135" s="14"/>
      <c r="N135" s="15">
        <f t="shared" si="34"/>
        <v>684.29</v>
      </c>
      <c r="O135" s="13">
        <f>IFERROR(N135/N446, "NA")</f>
        <v>-0.008973064154</v>
      </c>
      <c r="P135" s="14"/>
      <c r="Q135" s="12">
        <v>4159.5</v>
      </c>
      <c r="R135" s="13">
        <f>IFERROR(Q135/Q446, "NA")</f>
        <v>0.007500491062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-4159.5</v>
      </c>
      <c r="X135" s="13">
        <f>IFERROR(W135/W446, "NA")</f>
        <v>0.02468785107</v>
      </c>
      <c r="Y135" s="14"/>
      <c r="Z135" s="12">
        <v>5273.81</v>
      </c>
      <c r="AA135" s="13">
        <f>IFERROR(Z135/Z446, "NA")</f>
        <v>0.007886703615</v>
      </c>
      <c r="AB135" s="14"/>
      <c r="AC135" s="15">
        <f t="shared" si="36"/>
        <v>1114.31</v>
      </c>
      <c r="AD135" s="13">
        <f>IFERROR(AC135/AC446, "NA")</f>
        <v>-0.009763286884</v>
      </c>
    </row>
    <row r="136" ht="16.5" customHeight="1">
      <c r="A136" s="11" t="s">
        <v>131</v>
      </c>
      <c r="B136" s="12">
        <v>0.0</v>
      </c>
      <c r="C136" s="13" t="str">
        <f>IFERROR(B136/B446, "NA")</f>
        <v>NA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4916.55</v>
      </c>
      <c r="AA136" s="13">
        <f>IFERROR(Z136/Z446, "NA")</f>
        <v>0.007352440202</v>
      </c>
      <c r="AB136" s="14"/>
      <c r="AC136" s="15">
        <f t="shared" si="36"/>
        <v>4916.55</v>
      </c>
      <c r="AD136" s="13">
        <f>IFERROR(AC136/AC446, "NA")</f>
        <v>-0.04307749919</v>
      </c>
    </row>
    <row r="137" ht="16.5" customHeight="1">
      <c r="A137" s="11" t="s">
        <v>132</v>
      </c>
      <c r="B137" s="12">
        <v>0.0</v>
      </c>
      <c r="C137" s="13" t="str">
        <f>IFERROR(B137/B446, "NA")</f>
        <v>NA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0</v>
      </c>
      <c r="I137" s="13">
        <f>IFERROR(H137/H446, "NA")</f>
        <v>0</v>
      </c>
      <c r="J137" s="14"/>
      <c r="K137" s="12">
        <v>405.01</v>
      </c>
      <c r="L137" s="13">
        <f>IFERROR(K137/K446, "NA")</f>
        <v>0.005310878009</v>
      </c>
      <c r="M137" s="14"/>
      <c r="N137" s="15">
        <f t="shared" si="34"/>
        <v>405.01</v>
      </c>
      <c r="O137" s="13">
        <f>IFERROR(N137/N446, "NA")</f>
        <v>-0.005310878009</v>
      </c>
      <c r="P137" s="14"/>
      <c r="Q137" s="12">
        <v>2996.12</v>
      </c>
      <c r="R137" s="13">
        <f>IFERROR(Q137/Q446, "NA")</f>
        <v>0.005402661685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-2996.12</v>
      </c>
      <c r="X137" s="13">
        <f>IFERROR(W137/W446, "NA")</f>
        <v>0.01778284995</v>
      </c>
      <c r="Y137" s="14"/>
      <c r="Z137" s="12">
        <v>3819.25</v>
      </c>
      <c r="AA137" s="13">
        <f>IFERROR(Z137/Z446, "NA")</f>
        <v>0.005711486152</v>
      </c>
      <c r="AB137" s="14"/>
      <c r="AC137" s="15">
        <f t="shared" si="36"/>
        <v>823.13</v>
      </c>
      <c r="AD137" s="13">
        <f>IFERROR(AC137/AC446, "NA")</f>
        <v>-0.00721204542</v>
      </c>
    </row>
    <row r="138" ht="16.5" customHeight="1">
      <c r="A138" s="11" t="s">
        <v>133</v>
      </c>
      <c r="B138" s="12">
        <v>0.0</v>
      </c>
      <c r="C138" s="13" t="str">
        <f>IFERROR(B138/B446, "NA")</f>
        <v>NA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0</v>
      </c>
      <c r="I138" s="13">
        <f>IFERROR(H138/H446, "NA")</f>
        <v>0</v>
      </c>
      <c r="J138" s="14"/>
      <c r="K138" s="12">
        <v>4591.7</v>
      </c>
      <c r="L138" s="13">
        <f>IFERROR(K138/K446, "NA")</f>
        <v>0.06021075666</v>
      </c>
      <c r="M138" s="14"/>
      <c r="N138" s="15">
        <f t="shared" si="34"/>
        <v>4591.7</v>
      </c>
      <c r="O138" s="13">
        <f>IFERROR(N138/N446, "NA")</f>
        <v>-0.06021075666</v>
      </c>
      <c r="P138" s="14"/>
      <c r="Q138" s="12">
        <v>35295.72</v>
      </c>
      <c r="R138" s="13">
        <f>IFERROR(Q138/Q446, "NA")</f>
        <v>0.06364592676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-35295.72</v>
      </c>
      <c r="X138" s="13">
        <f>IFERROR(W138/W446, "NA")</f>
        <v>0.2094904385</v>
      </c>
      <c r="Y138" s="14"/>
      <c r="Z138" s="12">
        <v>37963.0</v>
      </c>
      <c r="AA138" s="13">
        <f>IFERROR(Z138/Z446, "NA")</f>
        <v>0.05677165642</v>
      </c>
      <c r="AB138" s="14"/>
      <c r="AC138" s="15">
        <f t="shared" si="36"/>
        <v>2667.28</v>
      </c>
      <c r="AD138" s="13">
        <f>IFERROR(AC138/AC446, "NA")</f>
        <v>-0.02336999564</v>
      </c>
    </row>
    <row r="139" ht="16.5" hidden="1" customHeight="1">
      <c r="A139" s="11" t="s">
        <v>134</v>
      </c>
      <c r="B139" s="12">
        <v>0.0</v>
      </c>
      <c r="C139" s="13" t="str">
        <f>IFERROR(B139/B446, "NA")</f>
        <v>NA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hidden="1" customHeight="1">
      <c r="A140" s="11" t="s">
        <v>135</v>
      </c>
      <c r="B140" s="12">
        <v>0.0</v>
      </c>
      <c r="C140" s="13" t="str">
        <f>IFERROR(B140/B446, "NA")</f>
        <v>NA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0.0</v>
      </c>
      <c r="L140" s="13">
        <f>IFERROR(K140/K446, "NA")</f>
        <v>0</v>
      </c>
      <c r="M140" s="14"/>
      <c r="N140" s="15">
        <f t="shared" si="34"/>
        <v>0</v>
      </c>
      <c r="O140" s="13">
        <f>IFERROR(N140/N446, "NA")</f>
        <v>0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0.0</v>
      </c>
      <c r="AA140" s="13">
        <f>IFERROR(Z140/Z446, "NA")</f>
        <v>0</v>
      </c>
      <c r="AB140" s="14"/>
      <c r="AC140" s="15">
        <f t="shared" si="36"/>
        <v>0</v>
      </c>
      <c r="AD140" s="13">
        <f>IFERROR(AC140/AC446, "NA")</f>
        <v>0</v>
      </c>
    </row>
    <row r="141" ht="16.5" customHeight="1">
      <c r="A141" s="16" t="s">
        <v>136</v>
      </c>
      <c r="B141" s="17">
        <f>IFERROR(B129+B130+B131+B132+B133+B134+B135+B136+B137+B138+B139+B140, "NA")</f>
        <v>0</v>
      </c>
      <c r="C141" s="18" t="str">
        <f>IFERROR(B141/B446, "NA")</f>
        <v>NA</v>
      </c>
      <c r="D141" s="8"/>
      <c r="E141" s="17">
        <f>IFERROR(E129+E130+E131+E132+E133+E134+E135+E136+E137+E138+E139+E140, "NA")</f>
        <v>17642.48</v>
      </c>
      <c r="F141" s="18">
        <f>IFERROR(E141/E446, "NA")</f>
        <v>0.2120000389</v>
      </c>
      <c r="G141" s="8"/>
      <c r="H141" s="17">
        <f t="shared" si="33"/>
        <v>17642.48</v>
      </c>
      <c r="I141" s="18">
        <f>IFERROR(H141/H446, "NA")</f>
        <v>-0.2120000389</v>
      </c>
      <c r="J141" s="8"/>
      <c r="K141" s="17">
        <f>IFERROR(K129+K130+K131+K132+K133+K134+K135+K136+K137+K138+K139+K140, "NA")</f>
        <v>18149.95</v>
      </c>
      <c r="L141" s="18">
        <f>IFERROR(K141/K446, "NA")</f>
        <v>0.2379994823</v>
      </c>
      <c r="M141" s="8"/>
      <c r="N141" s="17">
        <f t="shared" si="34"/>
        <v>18149.95</v>
      </c>
      <c r="O141" s="18">
        <f>IFERROR(N141/N446, "NA")</f>
        <v>-0.2379994823</v>
      </c>
      <c r="P141" s="8"/>
      <c r="Q141" s="17">
        <f>IFERROR(Q129+Q130+Q131+Q132+Q133+Q134+Q135+Q136+Q137+Q138+Q139+Q140, "NA")</f>
        <v>125106.63</v>
      </c>
      <c r="R141" s="18">
        <f>IFERROR(Q141/Q446, "NA")</f>
        <v>0.2255947013</v>
      </c>
      <c r="S141" s="8"/>
      <c r="T141" s="17">
        <f>IFERROR(T129+T130+T131+T132+T133+T134+T135+T136+T137+T138+T139+T140, "NA")</f>
        <v>153810.67</v>
      </c>
      <c r="U141" s="18">
        <f>IFERROR(T141/T446, "NA")</f>
        <v>0.2127255784</v>
      </c>
      <c r="V141" s="8"/>
      <c r="W141" s="17">
        <f t="shared" si="35"/>
        <v>28704.04</v>
      </c>
      <c r="X141" s="18">
        <f>IFERROR(W141/W446, "NA")</f>
        <v>-0.1703668866</v>
      </c>
      <c r="Y141" s="8"/>
      <c r="Z141" s="17">
        <f>IFERROR(Z129+Z130+Z131+Z132+Z133+Z134+Z135+Z136+Z137+Z138+Z139+Z140, "NA")</f>
        <v>160487.84</v>
      </c>
      <c r="AA141" s="18">
        <f>IFERROR(Z141/Z446, "NA")</f>
        <v>0.2400010672</v>
      </c>
      <c r="AB141" s="8"/>
      <c r="AC141" s="17">
        <f t="shared" si="36"/>
        <v>35381.21</v>
      </c>
      <c r="AD141" s="18">
        <f>IFERROR(AC141/AC446, "NA")</f>
        <v>-0.3100007211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 t="str">
        <f>IFERROR(B143/B446, "NA")</f>
        <v>NA</v>
      </c>
      <c r="D143" s="14"/>
      <c r="E143" s="12">
        <v>998.63</v>
      </c>
      <c r="F143" s="13">
        <f>IFERROR(E143/E446, "NA")</f>
        <v>0.01199999087</v>
      </c>
      <c r="G143" s="14"/>
      <c r="H143" s="15">
        <f t="shared" ref="H143:H149" si="37">IFERROR(-(B143-E143), "NA")</f>
        <v>998.63</v>
      </c>
      <c r="I143" s="13">
        <f>IFERROR(H143/H446, "NA")</f>
        <v>-0.01199999087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8676.58</v>
      </c>
      <c r="U143" s="13">
        <f>IFERROR(T143/T446, "NA")</f>
        <v>0.01200001599</v>
      </c>
      <c r="V143" s="14"/>
      <c r="W143" s="15">
        <f t="shared" ref="W143:W149" si="39">IFERROR(-(Q143-T143), "NA")</f>
        <v>8676.58</v>
      </c>
      <c r="X143" s="13">
        <f>IFERROR(W143/W446, "NA")</f>
        <v>-0.0514980442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0.0</v>
      </c>
      <c r="C144" s="13" t="str">
        <f>IFERROR(B144/B446, "NA")</f>
        <v>NA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0</v>
      </c>
      <c r="I144" s="13">
        <f>IFERROR(H144/H446, "NA")</f>
        <v>0</v>
      </c>
      <c r="J144" s="14"/>
      <c r="K144" s="12">
        <v>977.94</v>
      </c>
      <c r="L144" s="13">
        <f>IFERROR(K144/K446, "NA")</f>
        <v>0.01282368347</v>
      </c>
      <c r="M144" s="14"/>
      <c r="N144" s="15">
        <f t="shared" si="38"/>
        <v>977.94</v>
      </c>
      <c r="O144" s="13">
        <f>IFERROR(N144/N446, "NA")</f>
        <v>-0.01282368347</v>
      </c>
      <c r="P144" s="14"/>
      <c r="Q144" s="12">
        <v>7407.89</v>
      </c>
      <c r="R144" s="13">
        <f>IFERROR(Q144/Q446, "NA")</f>
        <v>0.0133580509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-7407.89</v>
      </c>
      <c r="X144" s="13">
        <f>IFERROR(W144/W446, "NA")</f>
        <v>0.04396799738</v>
      </c>
      <c r="Y144" s="14"/>
      <c r="Z144" s="12">
        <v>9449.42</v>
      </c>
      <c r="AA144" s="13">
        <f>IFERROR(Z144/Z446, "NA")</f>
        <v>0.01413110728</v>
      </c>
      <c r="AB144" s="14"/>
      <c r="AC144" s="15">
        <f t="shared" si="40"/>
        <v>2041.53</v>
      </c>
      <c r="AD144" s="13">
        <f>IFERROR(AC144/AC446, "NA")</f>
        <v>-0.01788734111</v>
      </c>
    </row>
    <row r="145" ht="16.5" customHeight="1">
      <c r="A145" s="11" t="s">
        <v>139</v>
      </c>
      <c r="B145" s="12">
        <v>0.0</v>
      </c>
      <c r="C145" s="13" t="str">
        <f>IFERROR(B145/B446, "NA")</f>
        <v>NA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0</v>
      </c>
      <c r="I145" s="13">
        <f>IFERROR(H145/H446, "NA")</f>
        <v>0</v>
      </c>
      <c r="J145" s="14"/>
      <c r="K145" s="12">
        <v>166.36</v>
      </c>
      <c r="L145" s="13">
        <f>IFERROR(K145/K446, "NA")</f>
        <v>0.002181471237</v>
      </c>
      <c r="M145" s="14"/>
      <c r="N145" s="15">
        <f t="shared" si="38"/>
        <v>166.36</v>
      </c>
      <c r="O145" s="13">
        <f>IFERROR(N145/N446, "NA")</f>
        <v>-0.002181471237</v>
      </c>
      <c r="P145" s="14"/>
      <c r="Q145" s="12">
        <v>550.85</v>
      </c>
      <c r="R145" s="13">
        <f>IFERROR(Q145/Q446, "NA")</f>
        <v>0.0009933034022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-550.85</v>
      </c>
      <c r="X145" s="13">
        <f>IFERROR(W145/W446, "NA")</f>
        <v>0.003269456128</v>
      </c>
      <c r="Y145" s="14"/>
      <c r="Z145" s="12">
        <v>1127.54</v>
      </c>
      <c r="AA145" s="13">
        <f>IFERROR(Z145/Z446, "NA")</f>
        <v>0.001686176369</v>
      </c>
      <c r="AB145" s="14"/>
      <c r="AC145" s="15">
        <f t="shared" si="40"/>
        <v>576.69</v>
      </c>
      <c r="AD145" s="13">
        <f>IFERROR(AC145/AC446, "NA")</f>
        <v>-0.005052803899</v>
      </c>
    </row>
    <row r="146" ht="16.5" customHeight="1">
      <c r="A146" s="11" t="s">
        <v>140</v>
      </c>
      <c r="B146" s="12">
        <v>0.0</v>
      </c>
      <c r="C146" s="13" t="str">
        <f>IFERROR(B146/B446, "NA")</f>
        <v>NA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0</v>
      </c>
      <c r="I146" s="13">
        <f>IFERROR(H146/H446, "NA")</f>
        <v>0</v>
      </c>
      <c r="J146" s="14"/>
      <c r="K146" s="12">
        <v>33.33</v>
      </c>
      <c r="L146" s="13">
        <f>IFERROR(K146/K446, "NA")</f>
        <v>0.0004370547988</v>
      </c>
      <c r="M146" s="14"/>
      <c r="N146" s="15">
        <f t="shared" si="38"/>
        <v>33.33</v>
      </c>
      <c r="O146" s="13">
        <f>IFERROR(N146/N446, "NA")</f>
        <v>-0.0004370547988</v>
      </c>
      <c r="P146" s="14"/>
      <c r="Q146" s="12">
        <v>133.31</v>
      </c>
      <c r="R146" s="13">
        <f>IFERROR(Q146/Q446, "NA")</f>
        <v>0.0002403871772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-133.31</v>
      </c>
      <c r="X146" s="13">
        <f>IFERROR(W146/W446, "NA")</f>
        <v>0.0007912339047</v>
      </c>
      <c r="Y146" s="14"/>
      <c r="Z146" s="12">
        <v>587.56</v>
      </c>
      <c r="AA146" s="13">
        <f>IFERROR(Z146/Z446, "NA")</f>
        <v>0.0008786648697</v>
      </c>
      <c r="AB146" s="14"/>
      <c r="AC146" s="15">
        <f t="shared" si="40"/>
        <v>454.25</v>
      </c>
      <c r="AD146" s="13">
        <f>IFERROR(AC146/AC446, "NA")</f>
        <v>-0.00398001729</v>
      </c>
    </row>
    <row r="147" ht="16.5" customHeight="1">
      <c r="A147" s="11" t="s">
        <v>141</v>
      </c>
      <c r="B147" s="12">
        <v>0.0</v>
      </c>
      <c r="C147" s="13" t="str">
        <f>IFERROR(B147/B446, "NA")</f>
        <v>NA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0</v>
      </c>
      <c r="I147" s="13">
        <f>IFERROR(H147/H446, "NA")</f>
        <v>0</v>
      </c>
      <c r="J147" s="14"/>
      <c r="K147" s="12">
        <v>15.7</v>
      </c>
      <c r="L147" s="13">
        <f>IFERROR(K147/K446, "NA")</f>
        <v>0.0002058733976</v>
      </c>
      <c r="M147" s="14"/>
      <c r="N147" s="15">
        <f t="shared" si="38"/>
        <v>15.7</v>
      </c>
      <c r="O147" s="13">
        <f>IFERROR(N147/N446, "NA")</f>
        <v>-0.0002058733976</v>
      </c>
      <c r="P147" s="14"/>
      <c r="Q147" s="12">
        <v>110.18</v>
      </c>
      <c r="R147" s="13">
        <f>IFERROR(Q147/Q446, "NA")</f>
        <v>0.0001986787126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-110.18</v>
      </c>
      <c r="X147" s="13">
        <f>IFERROR(W147/W446, "NA")</f>
        <v>0.0006539505785</v>
      </c>
      <c r="Y147" s="14"/>
      <c r="Z147" s="12">
        <v>254.6</v>
      </c>
      <c r="AA147" s="13">
        <f>IFERROR(Z147/Z446, "NA")</f>
        <v>0.0003807408193</v>
      </c>
      <c r="AB147" s="14"/>
      <c r="AC147" s="15">
        <f t="shared" si="40"/>
        <v>144.42</v>
      </c>
      <c r="AD147" s="13">
        <f>IFERROR(AC147/AC446, "NA")</f>
        <v>-0.001265369504</v>
      </c>
    </row>
    <row r="148" ht="16.5" customHeight="1">
      <c r="A148" s="16" t="s">
        <v>142</v>
      </c>
      <c r="B148" s="17">
        <f>IFERROR(B143+B144+B145+B146+B147, "NA")</f>
        <v>0</v>
      </c>
      <c r="C148" s="18" t="str">
        <f>IFERROR(B148/B446, "NA")</f>
        <v>NA</v>
      </c>
      <c r="D148" s="8"/>
      <c r="E148" s="17">
        <f>IFERROR(E143+E144+E145+E146+E147, "NA")</f>
        <v>998.63</v>
      </c>
      <c r="F148" s="18">
        <f>IFERROR(E148/E446, "NA")</f>
        <v>0.01199999087</v>
      </c>
      <c r="G148" s="8"/>
      <c r="H148" s="17">
        <f t="shared" si="37"/>
        <v>998.63</v>
      </c>
      <c r="I148" s="18">
        <f>IFERROR(H148/H446, "NA")</f>
        <v>-0.01199999087</v>
      </c>
      <c r="J148" s="8"/>
      <c r="K148" s="17">
        <f>IFERROR(K143+K144+K145+K146+K147, "NA")</f>
        <v>1193.33</v>
      </c>
      <c r="L148" s="18">
        <f>IFERROR(K148/K446, "NA")</f>
        <v>0.0156480829</v>
      </c>
      <c r="M148" s="8"/>
      <c r="N148" s="17">
        <f t="shared" si="38"/>
        <v>1193.33</v>
      </c>
      <c r="O148" s="18">
        <f>IFERROR(N148/N446, "NA")</f>
        <v>-0.0156480829</v>
      </c>
      <c r="P148" s="8"/>
      <c r="Q148" s="17">
        <f>IFERROR(Q143+Q144+Q145+Q146+Q147, "NA")</f>
        <v>8202.23</v>
      </c>
      <c r="R148" s="18">
        <f>IFERROR(Q148/Q446, "NA")</f>
        <v>0.0147904202</v>
      </c>
      <c r="S148" s="8"/>
      <c r="T148" s="17">
        <f>IFERROR(T143+T144+T145+T146+T147, "NA")</f>
        <v>8676.58</v>
      </c>
      <c r="U148" s="18">
        <f>IFERROR(T148/T446, "NA")</f>
        <v>0.01200001599</v>
      </c>
      <c r="V148" s="8"/>
      <c r="W148" s="17">
        <f t="shared" si="39"/>
        <v>474.35</v>
      </c>
      <c r="X148" s="18">
        <f>IFERROR(W148/W446, "NA")</f>
        <v>-0.002815406216</v>
      </c>
      <c r="Y148" s="8"/>
      <c r="Z148" s="17">
        <f>IFERROR(Z143+Z144+Z145+Z146+Z147, "NA")</f>
        <v>11419.12</v>
      </c>
      <c r="AA148" s="18">
        <f>IFERROR(Z148/Z446, "NA")</f>
        <v>0.01707668934</v>
      </c>
      <c r="AB148" s="8"/>
      <c r="AC148" s="17">
        <f t="shared" si="40"/>
        <v>3216.89</v>
      </c>
      <c r="AD148" s="18">
        <f>IFERROR(AC148/AC446, "NA")</f>
        <v>-0.0281855318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0</v>
      </c>
      <c r="C149" s="18" t="str">
        <f>IFERROR(B149/B446, "NA")</f>
        <v>NA</v>
      </c>
      <c r="D149" s="8"/>
      <c r="E149" s="17">
        <f>IFERROR(E127+E129+E130+E131+E132+E133+E134+E135+E136+E137+E138+E139+E140+E143+E144+E145+E146+E147, "NA")</f>
        <v>18641.11</v>
      </c>
      <c r="F149" s="18">
        <f>IFERROR(E149/E446, "NA")</f>
        <v>0.2240000298</v>
      </c>
      <c r="G149" s="8"/>
      <c r="H149" s="17">
        <f t="shared" si="37"/>
        <v>18641.11</v>
      </c>
      <c r="I149" s="18">
        <f>IFERROR(H149/H446, "NA")</f>
        <v>-0.2240000298</v>
      </c>
      <c r="J149" s="8"/>
      <c r="K149" s="17">
        <f>IFERROR(K127+K129+K130+K131+K132+K133+K134+K135+K136+K137+K138+K139+K140+K143+K144+K145+K146+K147, "NA")</f>
        <v>19343.28</v>
      </c>
      <c r="L149" s="18">
        <f>IFERROR(K149/K446, "NA")</f>
        <v>0.2536475652</v>
      </c>
      <c r="M149" s="8"/>
      <c r="N149" s="17">
        <f t="shared" si="38"/>
        <v>19343.28</v>
      </c>
      <c r="O149" s="18">
        <f>IFERROR(N149/N446, "NA")</f>
        <v>-0.2536475652</v>
      </c>
      <c r="P149" s="8"/>
      <c r="Q149" s="17">
        <f>IFERROR(Q127+Q129+Q130+Q131+Q132+Q133+Q134+Q135+Q136+Q137+Q138+Q139+Q140+Q143+Q144+Q145+Q146+Q147, "NA")</f>
        <v>133308.86</v>
      </c>
      <c r="R149" s="18">
        <f>IFERROR(Q149/Q446, "NA")</f>
        <v>0.2403851215</v>
      </c>
      <c r="S149" s="8"/>
      <c r="T149" s="17">
        <f>IFERROR(T127+T129+T130+T131+T132+T133+T134+T135+T136+T137+T138+T139+T140+T143+T144+T145+T146+T147, "NA")</f>
        <v>162487.25</v>
      </c>
      <c r="U149" s="18">
        <f>IFERROR(T149/T446, "NA")</f>
        <v>0.2247255944</v>
      </c>
      <c r="V149" s="8"/>
      <c r="W149" s="17">
        <f t="shared" si="39"/>
        <v>29178.39</v>
      </c>
      <c r="X149" s="18">
        <f>IFERROR(W149/W446, "NA")</f>
        <v>-0.1731822928</v>
      </c>
      <c r="Y149" s="8"/>
      <c r="Z149" s="17">
        <f>IFERROR(Z127+Z129+Z130+Z131+Z132+Z133+Z134+Z135+Z136+Z137+Z138+Z139+Z140+Z143+Z144+Z145+Z146+Z147, "NA")</f>
        <v>171906.96</v>
      </c>
      <c r="AA149" s="18">
        <f>IFERROR(Z149/Z446, "NA")</f>
        <v>0.2570777565</v>
      </c>
      <c r="AB149" s="8"/>
      <c r="AC149" s="17">
        <f t="shared" si="40"/>
        <v>38598.1</v>
      </c>
      <c r="AD149" s="18">
        <f>IFERROR(AC149/AC446, "NA")</f>
        <v>-0.3381862529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 t="str">
        <f>IFERROR(B151/B446, "NA")</f>
        <v>NA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 t="str">
        <f>IFERROR(B153/B446, "NA")</f>
        <v>NA</v>
      </c>
      <c r="D153" s="14"/>
      <c r="E153" s="12">
        <v>3328.77</v>
      </c>
      <c r="F153" s="13">
        <f>IFERROR(E153/E446, "NA")</f>
        <v>0.04000000961</v>
      </c>
      <c r="G153" s="14"/>
      <c r="H153" s="15">
        <f t="shared" ref="H153:H158" si="41">IFERROR(-(B153-E153), "NA")</f>
        <v>3328.77</v>
      </c>
      <c r="I153" s="13">
        <f>IFERROR(H153/H446, "NA")</f>
        <v>-0.04000000961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28921.9</v>
      </c>
      <c r="U153" s="13">
        <f>IFERROR(T153/T446, "NA")</f>
        <v>0.04000000719</v>
      </c>
      <c r="V153" s="14"/>
      <c r="W153" s="15">
        <f t="shared" ref="W153:W158" si="43">IFERROR(-(Q153-T153), "NA")</f>
        <v>28921.9</v>
      </c>
      <c r="X153" s="13">
        <f>IFERROR(W153/W446, "NA")</f>
        <v>-0.1716599495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0.0</v>
      </c>
      <c r="C154" s="13" t="str">
        <f>IFERROR(B154/B446, "NA")</f>
        <v>NA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0</v>
      </c>
      <c r="I154" s="13">
        <f>IFERROR(H154/H446, "NA")</f>
        <v>0</v>
      </c>
      <c r="J154" s="14"/>
      <c r="K154" s="12">
        <v>2846.77</v>
      </c>
      <c r="L154" s="13">
        <f>IFERROR(K154/K446, "NA")</f>
        <v>0.03732956764</v>
      </c>
      <c r="M154" s="14"/>
      <c r="N154" s="15">
        <f t="shared" si="42"/>
        <v>2846.77</v>
      </c>
      <c r="O154" s="13">
        <f>IFERROR(N154/N446, "NA")</f>
        <v>-0.03732956764</v>
      </c>
      <c r="P154" s="14"/>
      <c r="Q154" s="12">
        <v>17242.93</v>
      </c>
      <c r="R154" s="13">
        <f>IFERROR(Q154/Q446, "NA")</f>
        <v>0.03109278575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-17242.93</v>
      </c>
      <c r="X154" s="13">
        <f>IFERROR(W154/W446, "NA")</f>
        <v>0.1023418411</v>
      </c>
      <c r="Y154" s="14"/>
      <c r="Z154" s="12">
        <v>23222.19</v>
      </c>
      <c r="AA154" s="13">
        <f>IFERROR(Z154/Z446, "NA")</f>
        <v>0.03472755557</v>
      </c>
      <c r="AB154" s="14"/>
      <c r="AC154" s="15">
        <f t="shared" si="44"/>
        <v>5979.26</v>
      </c>
      <c r="AD154" s="13">
        <f>IFERROR(AC154/AC446, "NA")</f>
        <v>-0.05238868065</v>
      </c>
    </row>
    <row r="155" ht="16.5" customHeight="1">
      <c r="A155" s="11" t="s">
        <v>147</v>
      </c>
      <c r="B155" s="12">
        <v>0.0</v>
      </c>
      <c r="C155" s="13" t="str">
        <f>IFERROR(B155/B446, "NA")</f>
        <v>NA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0</v>
      </c>
      <c r="I155" s="13">
        <f>IFERROR(H155/H446, "NA")</f>
        <v>0</v>
      </c>
      <c r="J155" s="14"/>
      <c r="K155" s="12">
        <v>655.92</v>
      </c>
      <c r="L155" s="13">
        <f>IFERROR(K155/K446, "NA")</f>
        <v>0.008601049613</v>
      </c>
      <c r="M155" s="14"/>
      <c r="N155" s="15">
        <f t="shared" si="42"/>
        <v>655.92</v>
      </c>
      <c r="O155" s="13">
        <f>IFERROR(N155/N446, "NA")</f>
        <v>-0.008601049613</v>
      </c>
      <c r="P155" s="14"/>
      <c r="Q155" s="12">
        <v>7654.58</v>
      </c>
      <c r="R155" s="13">
        <f>IFERROR(Q155/Q446, "NA")</f>
        <v>0.01380288709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-7654.58</v>
      </c>
      <c r="X155" s="13">
        <f>IFERROR(W155/W446, "NA")</f>
        <v>0.0454321748</v>
      </c>
      <c r="Y155" s="14"/>
      <c r="Z155" s="12">
        <v>5268.8</v>
      </c>
      <c r="AA155" s="13">
        <f>IFERROR(Z155/Z446, "NA")</f>
        <v>0.007879211426</v>
      </c>
      <c r="AB155" s="14"/>
      <c r="AC155" s="15">
        <f t="shared" si="44"/>
        <v>-2385.78</v>
      </c>
      <c r="AD155" s="13">
        <f>IFERROR(AC155/AC446, "NA")</f>
        <v>0.02090356775</v>
      </c>
    </row>
    <row r="156" ht="16.5" customHeight="1">
      <c r="A156" s="11" t="s">
        <v>148</v>
      </c>
      <c r="B156" s="12">
        <v>0.0</v>
      </c>
      <c r="C156" s="13" t="str">
        <f>IFERROR(B156/B446, "NA")</f>
        <v>NA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74.2</v>
      </c>
      <c r="R156" s="13">
        <f>IFERROR(Q156/Q446, "NA")</f>
        <v>0.0001337988789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-74.2</v>
      </c>
      <c r="X156" s="13">
        <f>IFERROR(W156/W446, "NA")</f>
        <v>0.0004403987377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-74.2</v>
      </c>
      <c r="AD156" s="13">
        <f>IFERROR(AC156/AC446, "NA")</f>
        <v>0.0006501206009</v>
      </c>
    </row>
    <row r="157" ht="16.5" hidden="1" customHeight="1">
      <c r="A157" s="11" t="s">
        <v>149</v>
      </c>
      <c r="B157" s="12">
        <v>0.0</v>
      </c>
      <c r="C157" s="13" t="str">
        <f>IFERROR(B157/B446, "NA")</f>
        <v>NA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0</v>
      </c>
      <c r="C158" s="18" t="str">
        <f>IFERROR(B158/B446, "NA")</f>
        <v>NA</v>
      </c>
      <c r="D158" s="8"/>
      <c r="E158" s="17">
        <f>IFERROR(E153+E154+E155+E156+E157, "NA")</f>
        <v>3328.77</v>
      </c>
      <c r="F158" s="18">
        <f>IFERROR(E158/E446, "NA")</f>
        <v>0.04000000961</v>
      </c>
      <c r="G158" s="8"/>
      <c r="H158" s="17">
        <f t="shared" si="41"/>
        <v>3328.77</v>
      </c>
      <c r="I158" s="18">
        <f>IFERROR(H158/H446, "NA")</f>
        <v>-0.04000000961</v>
      </c>
      <c r="J158" s="8"/>
      <c r="K158" s="17">
        <f>IFERROR(K153+K154+K155+K156+K157, "NA")</f>
        <v>3502.69</v>
      </c>
      <c r="L158" s="18">
        <f>IFERROR(K158/K446, "NA")</f>
        <v>0.04593061726</v>
      </c>
      <c r="M158" s="8"/>
      <c r="N158" s="17">
        <f t="shared" si="42"/>
        <v>3502.69</v>
      </c>
      <c r="O158" s="18">
        <f>IFERROR(N158/N446, "NA")</f>
        <v>-0.04593061726</v>
      </c>
      <c r="P158" s="8"/>
      <c r="Q158" s="17">
        <f>IFERROR(Q153+Q154+Q155+Q156+Q157, "NA")</f>
        <v>24971.71</v>
      </c>
      <c r="R158" s="18">
        <f>IFERROR(Q158/Q446, "NA")</f>
        <v>0.04502947173</v>
      </c>
      <c r="S158" s="8"/>
      <c r="T158" s="17">
        <f>IFERROR(T153+T154+T155+T156+T157, "NA")</f>
        <v>28921.9</v>
      </c>
      <c r="U158" s="18">
        <f>IFERROR(T158/T446, "NA")</f>
        <v>0.04000000719</v>
      </c>
      <c r="V158" s="8"/>
      <c r="W158" s="17">
        <f t="shared" si="43"/>
        <v>3950.19</v>
      </c>
      <c r="X158" s="18">
        <f>IFERROR(W158/W446, "NA")</f>
        <v>-0.0234455349</v>
      </c>
      <c r="Y158" s="8"/>
      <c r="Z158" s="17">
        <f>IFERROR(Z153+Z154+Z155+Z156+Z157, "NA")</f>
        <v>28490.99</v>
      </c>
      <c r="AA158" s="18">
        <f>IFERROR(Z158/Z446, "NA")</f>
        <v>0.04260676699</v>
      </c>
      <c r="AB158" s="8"/>
      <c r="AC158" s="17">
        <f t="shared" si="44"/>
        <v>3519.28</v>
      </c>
      <c r="AD158" s="18">
        <f>IFERROR(AC158/AC446, "NA")</f>
        <v>-0.03083499229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 t="str">
        <f>IFERROR(B160/B446, "NA")</f>
        <v>NA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0.0</v>
      </c>
      <c r="C161" s="13" t="str">
        <f>IFERROR(B161/B446, "NA")</f>
        <v>NA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0</v>
      </c>
      <c r="I161" s="13">
        <f>IFERROR(H161/H446, "NA")</f>
        <v>0</v>
      </c>
      <c r="J161" s="14"/>
      <c r="K161" s="12">
        <v>191.57</v>
      </c>
      <c r="L161" s="13">
        <f>IFERROR(K161/K446, "NA")</f>
        <v>0.002512048839</v>
      </c>
      <c r="M161" s="14"/>
      <c r="N161" s="15">
        <f t="shared" si="46"/>
        <v>191.57</v>
      </c>
      <c r="O161" s="13">
        <f>IFERROR(N161/N446, "NA")</f>
        <v>-0.002512048839</v>
      </c>
      <c r="P161" s="14"/>
      <c r="Q161" s="12">
        <v>3054.3</v>
      </c>
      <c r="R161" s="13">
        <f>IFERROR(Q161/Q446, "NA")</f>
        <v>0.005507572989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-3054.3</v>
      </c>
      <c r="X161" s="13">
        <f>IFERROR(W161/W446, "NA")</f>
        <v>0.01812816529</v>
      </c>
      <c r="Y161" s="14"/>
      <c r="Z161" s="12">
        <v>2179.28</v>
      </c>
      <c r="AA161" s="13">
        <f>IFERROR(Z161/Z446, "NA")</f>
        <v>0.003258997851</v>
      </c>
      <c r="AB161" s="14"/>
      <c r="AC161" s="15">
        <f t="shared" si="48"/>
        <v>-875.02</v>
      </c>
      <c r="AD161" s="13">
        <f>IFERROR(AC161/AC446, "NA")</f>
        <v>0.007666691754</v>
      </c>
    </row>
    <row r="162" ht="16.5" customHeight="1">
      <c r="A162" s="11" t="s">
        <v>153</v>
      </c>
      <c r="B162" s="12">
        <v>0.0</v>
      </c>
      <c r="C162" s="13" t="str">
        <f>IFERROR(B162/B446, "NA")</f>
        <v>NA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2.33</v>
      </c>
      <c r="R162" s="13">
        <f>IFERROR(Q162/Q446, "NA")</f>
        <v>0.000004201501184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-2.33</v>
      </c>
      <c r="X162" s="13">
        <f>IFERROR(W162/W446, "NA")</f>
        <v>0.0000138292326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-2.33</v>
      </c>
      <c r="AD162" s="13">
        <f>IFERROR(AC162/AC446, "NA")</f>
        <v>0.00002041483828</v>
      </c>
    </row>
    <row r="163" ht="16.5" hidden="1" customHeight="1">
      <c r="A163" s="11" t="s">
        <v>154</v>
      </c>
      <c r="B163" s="12">
        <v>0.0</v>
      </c>
      <c r="C163" s="13" t="str">
        <f>IFERROR(B163/B446, "NA")</f>
        <v>NA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0.0</v>
      </c>
      <c r="R163" s="13">
        <f>IFERROR(Q163/Q446, "NA")</f>
        <v>0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0</v>
      </c>
      <c r="X163" s="13">
        <f>IFERROR(W163/W446, "NA")</f>
        <v>0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0</v>
      </c>
      <c r="AD163" s="13">
        <f>IFERROR(AC163/AC446, "NA")</f>
        <v>0</v>
      </c>
    </row>
    <row r="164" ht="16.5" hidden="1" customHeight="1">
      <c r="A164" s="11" t="s">
        <v>155</v>
      </c>
      <c r="B164" s="12">
        <v>0.0</v>
      </c>
      <c r="C164" s="13" t="str">
        <f>IFERROR(B164/B446, "NA")</f>
        <v>NA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 t="str">
        <f>IFERROR(B165/B446, "NA")</f>
        <v>NA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0</v>
      </c>
      <c r="C166" s="18" t="str">
        <f>IFERROR(B166/B446, "NA")</f>
        <v>NA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0</v>
      </c>
      <c r="I166" s="18">
        <f>IFERROR(H166/H446, "NA")</f>
        <v>0</v>
      </c>
      <c r="J166" s="8"/>
      <c r="K166" s="17">
        <f>IFERROR(K160+K161+K162+K163+K164+K165, "NA")</f>
        <v>191.57</v>
      </c>
      <c r="L166" s="18">
        <f>IFERROR(K166/K446, "NA")</f>
        <v>0.002512048839</v>
      </c>
      <c r="M166" s="8"/>
      <c r="N166" s="17">
        <f t="shared" si="46"/>
        <v>191.57</v>
      </c>
      <c r="O166" s="18">
        <f>IFERROR(N166/N446, "NA")</f>
        <v>-0.002512048839</v>
      </c>
      <c r="P166" s="8"/>
      <c r="Q166" s="17">
        <f>IFERROR(Q160+Q161+Q162+Q163+Q164+Q165, "NA")</f>
        <v>3056.63</v>
      </c>
      <c r="R166" s="18">
        <f>IFERROR(Q166/Q446, "NA")</f>
        <v>0.005511774491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-3056.63</v>
      </c>
      <c r="X166" s="18">
        <f>IFERROR(W166/W446, "NA")</f>
        <v>0.01814199452</v>
      </c>
      <c r="Y166" s="8"/>
      <c r="Z166" s="17">
        <f>IFERROR(Z160+Z161+Z162+Z163+Z164+Z165, "NA")</f>
        <v>2179.28</v>
      </c>
      <c r="AA166" s="18">
        <f>IFERROR(Z166/Z446, "NA")</f>
        <v>0.003258997851</v>
      </c>
      <c r="AB166" s="8"/>
      <c r="AC166" s="17">
        <f t="shared" si="48"/>
        <v>-877.35</v>
      </c>
      <c r="AD166" s="18">
        <f>IFERROR(AC166/AC446, "NA")</f>
        <v>0.007687106593</v>
      </c>
    </row>
    <row r="167" ht="16.5" customHeight="1">
      <c r="A167" s="11" t="s">
        <v>158</v>
      </c>
      <c r="B167" s="12">
        <v>0.0</v>
      </c>
      <c r="C167" s="13" t="str">
        <f>IFERROR(B167/B446, "NA")</f>
        <v>NA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0</v>
      </c>
      <c r="I167" s="13">
        <f>IFERROR(H167/H446, "NA")</f>
        <v>0</v>
      </c>
      <c r="J167" s="14"/>
      <c r="K167" s="12">
        <v>99.08</v>
      </c>
      <c r="L167" s="13">
        <f>IFERROR(K167/K446, "NA")</f>
        <v>0.001299231607</v>
      </c>
      <c r="M167" s="14"/>
      <c r="N167" s="15">
        <f t="shared" si="46"/>
        <v>99.08</v>
      </c>
      <c r="O167" s="13">
        <f>IFERROR(N167/N446, "NA")</f>
        <v>-0.001299231607</v>
      </c>
      <c r="P167" s="14"/>
      <c r="Q167" s="12">
        <v>387.76</v>
      </c>
      <c r="R167" s="13">
        <f>IFERROR(Q167/Q446, "NA")</f>
        <v>0.0006992163515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-387.76</v>
      </c>
      <c r="X167" s="13">
        <f>IFERROR(W167/W446, "NA")</f>
        <v>0.002301469199</v>
      </c>
      <c r="Y167" s="14"/>
      <c r="Z167" s="12">
        <v>692.46</v>
      </c>
      <c r="AA167" s="13">
        <f>IFERROR(Z167/Z446, "NA")</f>
        <v>0.001035537265</v>
      </c>
      <c r="AB167" s="14"/>
      <c r="AC167" s="15">
        <f t="shared" si="48"/>
        <v>304.7</v>
      </c>
      <c r="AD167" s="13">
        <f>IFERROR(AC167/AC446, "NA")</f>
        <v>-0.002669700096</v>
      </c>
    </row>
    <row r="168" ht="16.5" customHeight="1">
      <c r="A168" s="11" t="s">
        <v>159</v>
      </c>
      <c r="B168" s="12">
        <v>0.0</v>
      </c>
      <c r="C168" s="13" t="str">
        <f>IFERROR(B168/B446, "NA")</f>
        <v>NA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0</v>
      </c>
      <c r="I168" s="13">
        <f>IFERROR(H168/H446, "NA")</f>
        <v>0</v>
      </c>
      <c r="J168" s="14"/>
      <c r="K168" s="12">
        <v>24.31</v>
      </c>
      <c r="L168" s="13">
        <f>IFERROR(K168/K446, "NA")</f>
        <v>0.0003187759423</v>
      </c>
      <c r="M168" s="14"/>
      <c r="N168" s="15">
        <f t="shared" si="46"/>
        <v>24.31</v>
      </c>
      <c r="O168" s="13">
        <f>IFERROR(N168/N446, "NA")</f>
        <v>-0.0003187759423</v>
      </c>
      <c r="P168" s="14"/>
      <c r="Q168" s="12">
        <v>590.32</v>
      </c>
      <c r="R168" s="13">
        <f>IFERROR(Q168/Q446, "NA")</f>
        <v>0.001064476472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-590.32</v>
      </c>
      <c r="X168" s="13">
        <f>IFERROR(W168/W446, "NA")</f>
        <v>0.003503722141</v>
      </c>
      <c r="Y168" s="14"/>
      <c r="Z168" s="12">
        <v>212.33</v>
      </c>
      <c r="AA168" s="13">
        <f>IFERROR(Z168/Z446, "NA")</f>
        <v>0.0003175282725</v>
      </c>
      <c r="AB168" s="14"/>
      <c r="AC168" s="15">
        <f t="shared" si="48"/>
        <v>-377.99</v>
      </c>
      <c r="AD168" s="13">
        <f>IFERROR(AC168/AC446, "NA")</f>
        <v>0.003311847519</v>
      </c>
    </row>
    <row r="169" ht="16.5" customHeight="1">
      <c r="A169" s="11" t="s">
        <v>160</v>
      </c>
      <c r="B169" s="12">
        <v>0.0</v>
      </c>
      <c r="C169" s="13" t="str">
        <f>IFERROR(B169/B446, "NA")</f>
        <v>NA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0</v>
      </c>
      <c r="I169" s="13">
        <f>IFERROR(H169/H446, "NA")</f>
        <v>0</v>
      </c>
      <c r="J169" s="14"/>
      <c r="K169" s="12">
        <v>-1080.81</v>
      </c>
      <c r="L169" s="13">
        <f>IFERROR(K169/K446, "NA")</f>
        <v>-0.01417261317</v>
      </c>
      <c r="M169" s="14"/>
      <c r="N169" s="15">
        <f t="shared" si="46"/>
        <v>-1080.81</v>
      </c>
      <c r="O169" s="13">
        <f>IFERROR(N169/N446, "NA")</f>
        <v>0.01417261317</v>
      </c>
      <c r="P169" s="14"/>
      <c r="Q169" s="12">
        <v>-5360.13</v>
      </c>
      <c r="R169" s="13">
        <f>IFERROR(Q169/Q446, "NA")</f>
        <v>-0.009665490361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5360.13</v>
      </c>
      <c r="X169" s="13">
        <f>IFERROR(W169/W446, "NA")</f>
        <v>-0.03181394186</v>
      </c>
      <c r="Y169" s="14"/>
      <c r="Z169" s="12">
        <v>-12604.45</v>
      </c>
      <c r="AA169" s="13">
        <f>IFERROR(Z169/Z446, "NA")</f>
        <v>-0.01884928759</v>
      </c>
      <c r="AB169" s="14"/>
      <c r="AC169" s="15">
        <f t="shared" si="48"/>
        <v>-7244.32</v>
      </c>
      <c r="AD169" s="13">
        <f>IFERROR(AC169/AC446, "NA")</f>
        <v>0.06347279881</v>
      </c>
    </row>
    <row r="170" ht="16.5" customHeight="1">
      <c r="A170" s="16" t="s">
        <v>161</v>
      </c>
      <c r="B170" s="17">
        <f>IFERROR(B151+B153+B154+B155+B156+B157+B160+B161+B162+B163+B164+B165+B167+B168+B169, "NA")</f>
        <v>0</v>
      </c>
      <c r="C170" s="18" t="str">
        <f>IFERROR(B170/B446, "NA")</f>
        <v>NA</v>
      </c>
      <c r="D170" s="8"/>
      <c r="E170" s="17">
        <f>IFERROR(E151+E153+E154+E155+E156+E157+E160+E161+E162+E163+E164+E165+E167+E168+E169, "NA")</f>
        <v>3328.77</v>
      </c>
      <c r="F170" s="18">
        <f>IFERROR(E170/E446, "NA")</f>
        <v>0.04000000961</v>
      </c>
      <c r="G170" s="8"/>
      <c r="H170" s="17">
        <f t="shared" si="45"/>
        <v>3328.77</v>
      </c>
      <c r="I170" s="18">
        <f>IFERROR(H170/H446, "NA")</f>
        <v>-0.04000000961</v>
      </c>
      <c r="J170" s="8"/>
      <c r="K170" s="17">
        <f>IFERROR(K151+K153+K154+K155+K156+K157+K160+K161+K162+K163+K164+K165+K167+K168+K169, "NA")</f>
        <v>2736.84</v>
      </c>
      <c r="L170" s="18">
        <f>IFERROR(K170/K446, "NA")</f>
        <v>0.03588806047</v>
      </c>
      <c r="M170" s="8"/>
      <c r="N170" s="17">
        <f t="shared" si="46"/>
        <v>2736.84</v>
      </c>
      <c r="O170" s="18">
        <f>IFERROR(N170/N446, "NA")</f>
        <v>-0.03588806047</v>
      </c>
      <c r="P170" s="8"/>
      <c r="Q170" s="17">
        <f>IFERROR(Q151+Q153+Q154+Q155+Q156+Q157+Q160+Q161+Q162+Q163+Q164+Q165+Q167+Q168+Q169, "NA")</f>
        <v>23646.29</v>
      </c>
      <c r="R170" s="18">
        <f>IFERROR(Q170/Q446, "NA")</f>
        <v>0.04263944868</v>
      </c>
      <c r="S170" s="8"/>
      <c r="T170" s="17">
        <f>IFERROR(T151+T153+T154+T155+T156+T157+T160+T161+T162+T163+T164+T165+T167+T168+T169, "NA")</f>
        <v>28921.9</v>
      </c>
      <c r="U170" s="18">
        <f>IFERROR(T170/T446, "NA")</f>
        <v>0.04000000719</v>
      </c>
      <c r="V170" s="8"/>
      <c r="W170" s="17">
        <f t="shared" si="47"/>
        <v>5275.61</v>
      </c>
      <c r="X170" s="18">
        <f>IFERROR(W170/W446, "NA")</f>
        <v>-0.0313122909</v>
      </c>
      <c r="Y170" s="8"/>
      <c r="Z170" s="17">
        <f>IFERROR(Z151+Z153+Z154+Z155+Z156+Z157+Z160+Z161+Z162+Z163+Z164+Z165+Z167+Z168+Z169, "NA")</f>
        <v>18970.61</v>
      </c>
      <c r="AA170" s="18">
        <f>IFERROR(Z170/Z446, "NA")</f>
        <v>0.02836954279</v>
      </c>
      <c r="AB170" s="8"/>
      <c r="AC170" s="17">
        <f t="shared" si="48"/>
        <v>-4675.68</v>
      </c>
      <c r="AD170" s="18">
        <f>IFERROR(AC170/AC446, "NA")</f>
        <v>0.04096706053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0</v>
      </c>
      <c r="C171" s="18" t="str">
        <f>IFERROR(B171/B446, "NA")</f>
        <v>NA</v>
      </c>
      <c r="D171" s="8"/>
      <c r="E171" s="17">
        <f>IFERROR(E127+E129+E130+E131+E132+E133+E134+E135+E136+E137+E138+E139+E140+E143+E144+E145+E146+E147+E151+E153+E154+E155+E156+E157+E160+E161+E162+E163+E164+E165+E167+E168+E169, "NA")</f>
        <v>21969.88</v>
      </c>
      <c r="F171" s="18">
        <f>IFERROR(E171/E446, "NA")</f>
        <v>0.2640000394</v>
      </c>
      <c r="G171" s="8"/>
      <c r="H171" s="17">
        <f t="shared" si="45"/>
        <v>21969.88</v>
      </c>
      <c r="I171" s="18">
        <f>IFERROR(H171/H446, "NA")</f>
        <v>-0.2640000394</v>
      </c>
      <c r="J171" s="8"/>
      <c r="K171" s="17">
        <f>IFERROR(K127+K129+K130+K131+K132+K133+K134+K135+K136+K137+K138+K139+K140+K143+K144+K145+K146+K147+K151+K153+K154+K155+K156+K157+K160+K161+K162+K163+K164+K165+K167+K168+K169, "NA")</f>
        <v>22080.12</v>
      </c>
      <c r="L171" s="18">
        <f>IFERROR(K171/K446, "NA")</f>
        <v>0.2895356257</v>
      </c>
      <c r="M171" s="8"/>
      <c r="N171" s="17">
        <f t="shared" si="46"/>
        <v>22080.12</v>
      </c>
      <c r="O171" s="18">
        <f>IFERROR(N171/N446, "NA")</f>
        <v>-0.2895356257</v>
      </c>
      <c r="P171" s="8"/>
      <c r="Q171" s="17">
        <f>IFERROR(Q127+Q129+Q130+Q131+Q132+Q133+Q134+Q135+Q136+Q137+Q138+Q139+Q140+Q143+Q144+Q145+Q146+Q147+Q151+Q153+Q154+Q155+Q156+Q157+Q160+Q161+Q162+Q163+Q164+Q165+Q167+Q168+Q169, "NA")</f>
        <v>156955.15</v>
      </c>
      <c r="R171" s="18">
        <f>IFERROR(Q171/Q446, "NA")</f>
        <v>0.2830245702</v>
      </c>
      <c r="S171" s="8"/>
      <c r="T171" s="17">
        <f>IFERROR(T127+T129+T130+T131+T132+T133+T134+T135+T136+T137+T138+T139+T140+T143+T144+T145+T146+T147+T151+T153+T154+T155+T156+T157+T160+T161+T162+T163+T164+T165+T167+T168+T169, "NA")</f>
        <v>191409.15</v>
      </c>
      <c r="U171" s="18">
        <f>IFERROR(T171/T446, "NA")</f>
        <v>0.2647256016</v>
      </c>
      <c r="V171" s="8"/>
      <c r="W171" s="17">
        <f t="shared" si="47"/>
        <v>34454</v>
      </c>
      <c r="X171" s="18">
        <f>IFERROR(W171/W446, "NA")</f>
        <v>-0.2044945837</v>
      </c>
      <c r="Y171" s="8"/>
      <c r="Z171" s="17">
        <f>IFERROR(Z127+Z129+Z130+Z131+Z132+Z133+Z134+Z135+Z136+Z137+Z138+Z139+Z140+Z143+Z144+Z145+Z146+Z147+Z151+Z153+Z154+Z155+Z156+Z157+Z160+Z161+Z162+Z163+Z164+Z165+Z167+Z168+Z169, "NA")</f>
        <v>190877.57</v>
      </c>
      <c r="AA171" s="18">
        <f>IFERROR(Z171/Z446, "NA")</f>
        <v>0.2854472993</v>
      </c>
      <c r="AB171" s="8"/>
      <c r="AC171" s="17">
        <f t="shared" si="48"/>
        <v>33922.42</v>
      </c>
      <c r="AD171" s="18">
        <f>IFERROR(AC171/AC446, "NA")</f>
        <v>-0.2972191924</v>
      </c>
    </row>
    <row r="172" ht="16.5" customHeight="1">
      <c r="A172" s="19" t="s">
        <v>163</v>
      </c>
      <c r="B172" s="20">
        <f>IFERROR(B124-B171, "NA")</f>
        <v>0</v>
      </c>
      <c r="C172" s="21" t="str">
        <f>IFERROR(B172/B446, "NA")</f>
        <v>NA</v>
      </c>
      <c r="D172" s="22"/>
      <c r="E172" s="20">
        <f>IFERROR(E124-E171, "NA")</f>
        <v>61249.35</v>
      </c>
      <c r="F172" s="21">
        <f>IFERROR(E172/E446, "NA")</f>
        <v>0.7359999606</v>
      </c>
      <c r="G172" s="22"/>
      <c r="H172" s="20">
        <f>IFERROR(B172-E172, "NA")</f>
        <v>-61249.35</v>
      </c>
      <c r="I172" s="21">
        <f>IFERROR(H172/H446, "NA")</f>
        <v>0.7359999606</v>
      </c>
      <c r="J172" s="22"/>
      <c r="K172" s="20">
        <f>IFERROR(K124-K171, "NA")</f>
        <v>54180.34</v>
      </c>
      <c r="L172" s="21">
        <f>IFERROR(K172/K446, "NA")</f>
        <v>0.7104643743</v>
      </c>
      <c r="M172" s="22"/>
      <c r="N172" s="20">
        <f>IFERROR(B172-K172, "NA")</f>
        <v>-54180.34</v>
      </c>
      <c r="O172" s="21">
        <f>IFERROR(N172/N446, "NA")</f>
        <v>0.7104643743</v>
      </c>
      <c r="P172" s="22"/>
      <c r="Q172" s="20">
        <f>IFERROR(Q124-Q171, "NA")</f>
        <v>397608.54</v>
      </c>
      <c r="R172" s="21">
        <f>IFERROR(Q172/Q446, "NA")</f>
        <v>0.7169754298</v>
      </c>
      <c r="S172" s="22"/>
      <c r="T172" s="20">
        <f>IFERROR(T124-T171, "NA")</f>
        <v>531638.22</v>
      </c>
      <c r="U172" s="21">
        <f>IFERROR(T172/T446, "NA")</f>
        <v>0.7352743984</v>
      </c>
      <c r="V172" s="22"/>
      <c r="W172" s="20">
        <f>IFERROR(Q172-T172, "NA")</f>
        <v>-134029.68</v>
      </c>
      <c r="X172" s="21">
        <f>IFERROR(W172/W446, "NA")</f>
        <v>0.7955054163</v>
      </c>
      <c r="Y172" s="22"/>
      <c r="Z172" s="20">
        <f>IFERROR(Z124-Z171, "NA")</f>
        <v>477818.79</v>
      </c>
      <c r="AA172" s="21">
        <f>IFERROR(Z172/Z446, "NA")</f>
        <v>0.7145527007</v>
      </c>
      <c r="AB172" s="22"/>
      <c r="AC172" s="20">
        <f>IFERROR(Q172-Z172, "NA")</f>
        <v>-80210.25</v>
      </c>
      <c r="AD172" s="21">
        <f>IFERROR(AC172/AC446, "NA")</f>
        <v>0.7027808076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 t="str">
        <f>IFERROR(B175/B446, "NA")</f>
        <v>NA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 t="str">
        <f>IFERROR(B177/B446, "NA")</f>
        <v>NA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0.0</v>
      </c>
      <c r="C178" s="13" t="str">
        <f>IFERROR(B178/B446, "NA")</f>
        <v>NA</v>
      </c>
      <c r="D178" s="14"/>
      <c r="E178" s="12">
        <v>5076.92</v>
      </c>
      <c r="F178" s="13">
        <f>IFERROR(E178/E446, "NA")</f>
        <v>0.06100657264</v>
      </c>
      <c r="G178" s="14"/>
      <c r="H178" s="15">
        <f t="shared" si="49"/>
        <v>5076.92</v>
      </c>
      <c r="I178" s="13">
        <f>IFERROR(H178/H446, "NA")</f>
        <v>-0.06100657264</v>
      </c>
      <c r="J178" s="14"/>
      <c r="K178" s="12">
        <v>5076.92</v>
      </c>
      <c r="L178" s="13">
        <f>IFERROR(K178/K446, "NA")</f>
        <v>0.06657342481</v>
      </c>
      <c r="M178" s="14"/>
      <c r="N178" s="15">
        <f t="shared" si="50"/>
        <v>5076.92</v>
      </c>
      <c r="O178" s="13">
        <f>IFERROR(N178/N446, "NA")</f>
        <v>-0.06657342481</v>
      </c>
      <c r="P178" s="14"/>
      <c r="Q178" s="12">
        <v>31184.89</v>
      </c>
      <c r="R178" s="13">
        <f>IFERROR(Q178/Q446, "NA")</f>
        <v>0.05623319839</v>
      </c>
      <c r="S178" s="14"/>
      <c r="T178" s="12">
        <v>39878.94</v>
      </c>
      <c r="U178" s="13">
        <f>IFERROR(T178/T446, "NA")</f>
        <v>0.05515397975</v>
      </c>
      <c r="V178" s="14"/>
      <c r="W178" s="15">
        <f t="shared" si="51"/>
        <v>8694.05</v>
      </c>
      <c r="X178" s="13">
        <f>IFERROR(W178/W446, "NA")</f>
        <v>-0.05160173377</v>
      </c>
      <c r="Y178" s="14"/>
      <c r="Z178" s="12">
        <v>39878.94</v>
      </c>
      <c r="AA178" s="13">
        <f>IFERROR(Z178/Z446, "NA")</f>
        <v>0.05963684325</v>
      </c>
      <c r="AB178" s="14"/>
      <c r="AC178" s="15">
        <f t="shared" si="52"/>
        <v>8694.05</v>
      </c>
      <c r="AD178" s="13">
        <f>IFERROR(AC178/AC446, "NA")</f>
        <v>-0.07617494623</v>
      </c>
    </row>
    <row r="179" ht="16.5" hidden="1" customHeight="1">
      <c r="A179" s="11" t="s">
        <v>167</v>
      </c>
      <c r="B179" s="12">
        <v>0.0</v>
      </c>
      <c r="C179" s="13" t="str">
        <f>IFERROR(B179/B446, "NA")</f>
        <v>NA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0.0</v>
      </c>
      <c r="C180" s="13" t="str">
        <f>IFERROR(B180/B446, "NA")</f>
        <v>NA</v>
      </c>
      <c r="D180" s="14"/>
      <c r="E180" s="12">
        <v>17559.26</v>
      </c>
      <c r="F180" s="13">
        <f>IFERROR(E180/E446, "NA")</f>
        <v>0.2110000297</v>
      </c>
      <c r="G180" s="14"/>
      <c r="H180" s="15">
        <f t="shared" si="49"/>
        <v>17559.26</v>
      </c>
      <c r="I180" s="13">
        <f>IFERROR(H180/H446, "NA")</f>
        <v>-0.2110000297</v>
      </c>
      <c r="J180" s="14"/>
      <c r="K180" s="12">
        <v>17744.85</v>
      </c>
      <c r="L180" s="13">
        <f>IFERROR(K180/K446, "NA")</f>
        <v>0.2326874241</v>
      </c>
      <c r="M180" s="14"/>
      <c r="N180" s="15">
        <f t="shared" si="50"/>
        <v>17744.85</v>
      </c>
      <c r="O180" s="13">
        <f>IFERROR(N180/N446, "NA")</f>
        <v>-0.2326874241</v>
      </c>
      <c r="P180" s="14"/>
      <c r="Q180" s="12">
        <v>109063.07</v>
      </c>
      <c r="R180" s="13">
        <f>IFERROR(Q180/Q446, "NA")</f>
        <v>0.1966646428</v>
      </c>
      <c r="S180" s="14"/>
      <c r="T180" s="12">
        <v>150931.05</v>
      </c>
      <c r="U180" s="13">
        <f>IFERROR(T180/T446, "NA")</f>
        <v>0.2087429624</v>
      </c>
      <c r="V180" s="14"/>
      <c r="W180" s="15">
        <f t="shared" si="51"/>
        <v>41867.98</v>
      </c>
      <c r="X180" s="13">
        <f>IFERROR(W180/W446, "NA")</f>
        <v>-0.248498727</v>
      </c>
      <c r="Y180" s="14"/>
      <c r="Z180" s="12">
        <v>141733.53</v>
      </c>
      <c r="AA180" s="13">
        <f>IFERROR(Z180/Z446, "NA")</f>
        <v>0.2119549896</v>
      </c>
      <c r="AB180" s="14"/>
      <c r="AC180" s="15">
        <f t="shared" si="52"/>
        <v>32670.46</v>
      </c>
      <c r="AD180" s="13">
        <f>IFERROR(AC180/AC446, "NA")</f>
        <v>-0.2862498529</v>
      </c>
    </row>
    <row r="181" ht="16.5" customHeight="1">
      <c r="A181" s="11" t="s">
        <v>169</v>
      </c>
      <c r="B181" s="12">
        <v>0.0</v>
      </c>
      <c r="C181" s="13" t="str">
        <f>IFERROR(B181/B446, "NA")</f>
        <v>NA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0</v>
      </c>
      <c r="I181" s="13">
        <f>IFERROR(H181/H446, "NA")</f>
        <v>0</v>
      </c>
      <c r="J181" s="14"/>
      <c r="K181" s="12">
        <v>376.11</v>
      </c>
      <c r="L181" s="13">
        <f>IFERROR(K181/K446, "NA")</f>
        <v>0.004931913602</v>
      </c>
      <c r="M181" s="14"/>
      <c r="N181" s="15">
        <f t="shared" si="50"/>
        <v>376.11</v>
      </c>
      <c r="O181" s="13">
        <f>IFERROR(N181/N446, "NA")</f>
        <v>-0.004931913602</v>
      </c>
      <c r="P181" s="14"/>
      <c r="Q181" s="12">
        <v>1189.44</v>
      </c>
      <c r="R181" s="13">
        <f>IFERROR(Q181/Q446, "NA")</f>
        <v>0.002144821274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-1189.44</v>
      </c>
      <c r="X181" s="13">
        <f>IFERROR(W181/W446, "NA")</f>
        <v>0.00705967486</v>
      </c>
      <c r="Y181" s="14"/>
      <c r="Z181" s="12">
        <v>341.44</v>
      </c>
      <c r="AA181" s="13">
        <f>IFERROR(Z181/Z446, "NA")</f>
        <v>0.0005106054413</v>
      </c>
      <c r="AB181" s="14"/>
      <c r="AC181" s="15">
        <f t="shared" si="52"/>
        <v>-848</v>
      </c>
      <c r="AD181" s="13">
        <f>IFERROR(AC181/AC446, "NA")</f>
        <v>0.007429949724</v>
      </c>
    </row>
    <row r="182" ht="16.5" customHeight="1">
      <c r="A182" s="16" t="s">
        <v>170</v>
      </c>
      <c r="B182" s="17">
        <f>IFERROR(B177+B178+B179+B180+B181, "NA")</f>
        <v>0</v>
      </c>
      <c r="C182" s="18" t="str">
        <f>IFERROR(B182/B446, "NA")</f>
        <v>NA</v>
      </c>
      <c r="D182" s="8"/>
      <c r="E182" s="17">
        <f>IFERROR(E177+E178+E179+E180+E181, "NA")</f>
        <v>22636.18</v>
      </c>
      <c r="F182" s="18">
        <f>IFERROR(E182/E446, "NA")</f>
        <v>0.2720066023</v>
      </c>
      <c r="G182" s="8"/>
      <c r="H182" s="17">
        <f t="shared" si="49"/>
        <v>22636.18</v>
      </c>
      <c r="I182" s="18">
        <f>IFERROR(H182/H446, "NA")</f>
        <v>-0.2720066023</v>
      </c>
      <c r="J182" s="8"/>
      <c r="K182" s="17">
        <f>IFERROR(K177+K178+K179+K180+K181, "NA")</f>
        <v>23197.88</v>
      </c>
      <c r="L182" s="18">
        <f>IFERROR(K182/K446, "NA")</f>
        <v>0.3041927625</v>
      </c>
      <c r="M182" s="8"/>
      <c r="N182" s="17">
        <f t="shared" si="50"/>
        <v>23197.88</v>
      </c>
      <c r="O182" s="18">
        <f>IFERROR(N182/N446, "NA")</f>
        <v>-0.3041927625</v>
      </c>
      <c r="P182" s="8"/>
      <c r="Q182" s="17">
        <f>IFERROR(Q177+Q178+Q179+Q180+Q181, "NA")</f>
        <v>141437.4</v>
      </c>
      <c r="R182" s="18">
        <f>IFERROR(Q182/Q446, "NA")</f>
        <v>0.2550426625</v>
      </c>
      <c r="S182" s="8"/>
      <c r="T182" s="17">
        <f>IFERROR(T177+T178+T179+T180+T181, "NA")</f>
        <v>190809.99</v>
      </c>
      <c r="U182" s="18">
        <f>IFERROR(T182/T446, "NA")</f>
        <v>0.2638969422</v>
      </c>
      <c r="V182" s="8"/>
      <c r="W182" s="17">
        <f t="shared" si="51"/>
        <v>49372.59</v>
      </c>
      <c r="X182" s="18">
        <f>IFERROR(W182/W446, "NA")</f>
        <v>-0.2930407859</v>
      </c>
      <c r="Y182" s="8"/>
      <c r="Z182" s="17">
        <f>IFERROR(Z177+Z178+Z179+Z180+Z181, "NA")</f>
        <v>181953.91</v>
      </c>
      <c r="AA182" s="18">
        <f>IFERROR(Z182/Z446, "NA")</f>
        <v>0.2721024382</v>
      </c>
      <c r="AB182" s="8"/>
      <c r="AC182" s="17">
        <f t="shared" si="52"/>
        <v>40516.51</v>
      </c>
      <c r="AD182" s="18">
        <f>IFERROR(AC182/AC446, "NA")</f>
        <v>-0.3549948494</v>
      </c>
    </row>
    <row r="183" ht="16.5" hidden="1" customHeight="1">
      <c r="A183" s="11" t="s">
        <v>171</v>
      </c>
      <c r="B183" s="12">
        <v>0.0</v>
      </c>
      <c r="C183" s="13" t="str">
        <f>IFERROR(B183/B446, "NA")</f>
        <v>NA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0.0</v>
      </c>
      <c r="C184" s="13" t="str">
        <f>IFERROR(B184/B446, "NA")</f>
        <v>NA</v>
      </c>
      <c r="D184" s="14"/>
      <c r="E184" s="12">
        <v>165.0</v>
      </c>
      <c r="F184" s="13">
        <f>IFERROR(E184/E446, "NA")</f>
        <v>0.001982714812</v>
      </c>
      <c r="G184" s="14"/>
      <c r="H184" s="15">
        <f t="shared" si="49"/>
        <v>165</v>
      </c>
      <c r="I184" s="13">
        <f>IFERROR(H184/H446, "NA")</f>
        <v>-0.001982714812</v>
      </c>
      <c r="J184" s="14"/>
      <c r="K184" s="12">
        <v>300.0</v>
      </c>
      <c r="L184" s="13">
        <f>IFERROR(K184/K446, "NA")</f>
        <v>0.003933886578</v>
      </c>
      <c r="M184" s="14"/>
      <c r="N184" s="15">
        <f t="shared" si="50"/>
        <v>300</v>
      </c>
      <c r="O184" s="13">
        <f>IFERROR(N184/N446, "NA")</f>
        <v>-0.003933886578</v>
      </c>
      <c r="P184" s="14"/>
      <c r="Q184" s="12">
        <v>850.0</v>
      </c>
      <c r="R184" s="13">
        <f>IFERROR(Q184/Q446, "NA")</f>
        <v>0.001532736483</v>
      </c>
      <c r="S184" s="14"/>
      <c r="T184" s="12">
        <v>1540.0</v>
      </c>
      <c r="U184" s="13">
        <f>IFERROR(T184/T446, "NA")</f>
        <v>0.002129874285</v>
      </c>
      <c r="V184" s="14"/>
      <c r="W184" s="15">
        <f t="shared" si="51"/>
        <v>690</v>
      </c>
      <c r="X184" s="13">
        <f>IFERROR(W184/W446, "NA")</f>
        <v>-0.004095352143</v>
      </c>
      <c r="Y184" s="14"/>
      <c r="Z184" s="12">
        <v>1400.0</v>
      </c>
      <c r="AA184" s="13">
        <f>IFERROR(Z184/Z446, "NA")</f>
        <v>0.002093625872</v>
      </c>
      <c r="AB184" s="14"/>
      <c r="AC184" s="15">
        <f t="shared" si="52"/>
        <v>550</v>
      </c>
      <c r="AD184" s="13">
        <f>IFERROR(AC184/AC446, "NA")</f>
        <v>-0.004818953241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0.0</v>
      </c>
      <c r="C186" s="13" t="str">
        <f>IFERROR(B186/B446, "NA")</f>
        <v>NA</v>
      </c>
      <c r="D186" s="14"/>
      <c r="E186" s="12">
        <v>2460.89</v>
      </c>
      <c r="F186" s="13">
        <f>IFERROR(E186/E446, "NA")</f>
        <v>0.02957117003</v>
      </c>
      <c r="G186" s="14"/>
      <c r="H186" s="15">
        <f t="shared" ref="H186:H197" si="53">IFERROR(-(B186-E186), "NA")</f>
        <v>2460.89</v>
      </c>
      <c r="I186" s="13">
        <f>IFERROR(H186/H446, "NA")</f>
        <v>-0.02957117003</v>
      </c>
      <c r="J186" s="14"/>
      <c r="K186" s="12">
        <v>2255.11</v>
      </c>
      <c r="L186" s="13">
        <f>IFERROR(K186/K446, "NA")</f>
        <v>0.02957115653</v>
      </c>
      <c r="M186" s="14"/>
      <c r="N186" s="15">
        <f t="shared" ref="N186:N197" si="54">IFERROR(-(B186-K186), "NA")</f>
        <v>2255.11</v>
      </c>
      <c r="O186" s="13">
        <f>IFERROR(N186/N446, "NA")</f>
        <v>-0.02957115653</v>
      </c>
      <c r="P186" s="14"/>
      <c r="Q186" s="12">
        <v>15581.89</v>
      </c>
      <c r="R186" s="13">
        <f>IFERROR(Q186/Q446, "NA")</f>
        <v>0.02809756621</v>
      </c>
      <c r="S186" s="14"/>
      <c r="T186" s="12">
        <v>23109.77</v>
      </c>
      <c r="U186" s="13">
        <f>IFERROR(T186/T446, "NA")</f>
        <v>0.03196162653</v>
      </c>
      <c r="V186" s="14"/>
      <c r="W186" s="15">
        <f t="shared" ref="W186:W197" si="55">IFERROR(-(Q186-T186), "NA")</f>
        <v>7527.88</v>
      </c>
      <c r="X186" s="13">
        <f>IFERROR(W186/W446, "NA")</f>
        <v>-0.04468017318</v>
      </c>
      <c r="Y186" s="14"/>
      <c r="Z186" s="12">
        <v>21454.06</v>
      </c>
      <c r="AA186" s="13">
        <f>IFERROR(Z186/Z446, "NA")</f>
        <v>0.03208341077</v>
      </c>
      <c r="AB186" s="14"/>
      <c r="AC186" s="15">
        <f t="shared" ref="AC186:AC197" si="56">IFERROR(-(Q186-Z186), "NA")</f>
        <v>5872.17</v>
      </c>
      <c r="AD186" s="13">
        <f>IFERROR(AC186/AC446, "NA")</f>
        <v>-0.05145038664</v>
      </c>
    </row>
    <row r="187" ht="16.5" hidden="1" customHeight="1">
      <c r="A187" s="11" t="s">
        <v>174</v>
      </c>
      <c r="B187" s="12">
        <v>0.0</v>
      </c>
      <c r="C187" s="13" t="str">
        <f>IFERROR(B187/B446, "NA")</f>
        <v>NA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 t="str">
        <f>IFERROR(B188/B446, "NA")</f>
        <v>NA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 t="str">
        <f>IFERROR(B189/B446, "NA")</f>
        <v>NA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 t="str">
        <f>IFERROR(B190/B446, "NA")</f>
        <v>NA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 t="str">
        <f>IFERROR(B191/B446, "NA")</f>
        <v>NA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 t="str">
        <f>IFERROR(B192/B446, "NA")</f>
        <v>NA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0</v>
      </c>
      <c r="C193" s="18" t="str">
        <f>IFERROR(B193/B446, "NA")</f>
        <v>NA</v>
      </c>
      <c r="D193" s="8"/>
      <c r="E193" s="17">
        <f>IFERROR(E186+E187+E188+E189+E190+E191+E192, "NA")</f>
        <v>2460.89</v>
      </c>
      <c r="F193" s="18">
        <f>IFERROR(E193/E446, "NA")</f>
        <v>0.02957117003</v>
      </c>
      <c r="G193" s="8"/>
      <c r="H193" s="17">
        <f t="shared" si="53"/>
        <v>2460.89</v>
      </c>
      <c r="I193" s="18">
        <f>IFERROR(H193/H446, "NA")</f>
        <v>-0.02957117003</v>
      </c>
      <c r="J193" s="8"/>
      <c r="K193" s="17">
        <f>IFERROR(K186+K187+K188+K189+K190+K191+K192, "NA")</f>
        <v>2255.11</v>
      </c>
      <c r="L193" s="18">
        <f>IFERROR(K193/K446, "NA")</f>
        <v>0.02957115653</v>
      </c>
      <c r="M193" s="8"/>
      <c r="N193" s="17">
        <f t="shared" si="54"/>
        <v>2255.11</v>
      </c>
      <c r="O193" s="18">
        <f>IFERROR(N193/N446, "NA")</f>
        <v>-0.02957115653</v>
      </c>
      <c r="P193" s="8"/>
      <c r="Q193" s="17">
        <f>IFERROR(Q186+Q187+Q188+Q189+Q190+Q191+Q192, "NA")</f>
        <v>15581.89</v>
      </c>
      <c r="R193" s="18">
        <f>IFERROR(Q193/Q446, "NA")</f>
        <v>0.02809756621</v>
      </c>
      <c r="S193" s="8"/>
      <c r="T193" s="17">
        <f>IFERROR(T186+T187+T188+T189+T190+T191+T192, "NA")</f>
        <v>23109.77</v>
      </c>
      <c r="U193" s="18">
        <f>IFERROR(T193/T446, "NA")</f>
        <v>0.03196162653</v>
      </c>
      <c r="V193" s="8"/>
      <c r="W193" s="17">
        <f t="shared" si="55"/>
        <v>7527.88</v>
      </c>
      <c r="X193" s="18">
        <f>IFERROR(W193/W446, "NA")</f>
        <v>-0.04468017318</v>
      </c>
      <c r="Y193" s="8"/>
      <c r="Z193" s="17">
        <f>IFERROR(Z186+Z187+Z188+Z189+Z190+Z191+Z192, "NA")</f>
        <v>21454.06</v>
      </c>
      <c r="AA193" s="18">
        <f>IFERROR(Z193/Z446, "NA")</f>
        <v>0.03208341077</v>
      </c>
      <c r="AB193" s="8"/>
      <c r="AC193" s="17">
        <f t="shared" si="56"/>
        <v>5872.17</v>
      </c>
      <c r="AD193" s="18">
        <f>IFERROR(AC193/AC446, "NA")</f>
        <v>-0.05145038664</v>
      </c>
    </row>
    <row r="194" ht="16.5" customHeight="1">
      <c r="A194" s="11" t="s">
        <v>181</v>
      </c>
      <c r="B194" s="12">
        <v>0.0</v>
      </c>
      <c r="C194" s="13" t="str">
        <f>IFERROR(B194/B446, "NA")</f>
        <v>NA</v>
      </c>
      <c r="D194" s="14"/>
      <c r="E194" s="12">
        <v>182.41</v>
      </c>
      <c r="F194" s="13">
        <f>IFERROR(E194/E446, "NA")</f>
        <v>0.002191921266</v>
      </c>
      <c r="G194" s="14"/>
      <c r="H194" s="15">
        <f t="shared" si="53"/>
        <v>182.41</v>
      </c>
      <c r="I194" s="13">
        <f>IFERROR(H194/H446, "NA")</f>
        <v>-0.002191921266</v>
      </c>
      <c r="J194" s="14"/>
      <c r="K194" s="12">
        <v>237.44</v>
      </c>
      <c r="L194" s="13">
        <f>IFERROR(K194/K446, "NA")</f>
        <v>0.003113540097</v>
      </c>
      <c r="M194" s="14"/>
      <c r="N194" s="15">
        <f t="shared" si="54"/>
        <v>237.44</v>
      </c>
      <c r="O194" s="13">
        <f>IFERROR(N194/N446, "NA")</f>
        <v>-0.003113540097</v>
      </c>
      <c r="P194" s="14"/>
      <c r="Q194" s="12">
        <v>1847.59</v>
      </c>
      <c r="R194" s="13">
        <f>IFERROR(Q194/Q446, "NA")</f>
        <v>0.003331610117</v>
      </c>
      <c r="S194" s="14"/>
      <c r="T194" s="12">
        <v>1538.8</v>
      </c>
      <c r="U194" s="13">
        <f>IFERROR(T194/T446, "NA")</f>
        <v>0.002128214642</v>
      </c>
      <c r="V194" s="14"/>
      <c r="W194" s="15">
        <f t="shared" si="55"/>
        <v>-308.79</v>
      </c>
      <c r="X194" s="13">
        <f>IFERROR(W194/W446, "NA")</f>
        <v>0.001832759114</v>
      </c>
      <c r="Y194" s="14"/>
      <c r="Z194" s="12">
        <v>1887.86</v>
      </c>
      <c r="AA194" s="13">
        <f>IFERROR(Z194/Z446, "NA")</f>
        <v>0.002823194671</v>
      </c>
      <c r="AB194" s="14"/>
      <c r="AC194" s="15">
        <f t="shared" si="56"/>
        <v>40.27</v>
      </c>
      <c r="AD194" s="13">
        <f>IFERROR(AC194/AC446, "NA")</f>
        <v>-0.0003528349946</v>
      </c>
    </row>
    <row r="195" ht="16.5" customHeight="1">
      <c r="A195" s="11" t="s">
        <v>182</v>
      </c>
      <c r="B195" s="12">
        <v>0.0</v>
      </c>
      <c r="C195" s="13" t="str">
        <f>IFERROR(B195/B446, "NA")</f>
        <v>NA</v>
      </c>
      <c r="D195" s="14"/>
      <c r="E195" s="12">
        <v>0.0</v>
      </c>
      <c r="F195" s="13">
        <f>IFERROR(E195/E446, "NA")</f>
        <v>0</v>
      </c>
      <c r="G195" s="14"/>
      <c r="H195" s="15">
        <f t="shared" si="53"/>
        <v>0</v>
      </c>
      <c r="I195" s="13">
        <f>IFERROR(H195/H446, "NA")</f>
        <v>0</v>
      </c>
      <c r="J195" s="14"/>
      <c r="K195" s="12">
        <v>0.0</v>
      </c>
      <c r="L195" s="13">
        <f>IFERROR(K195/K446, "NA")</f>
        <v>0</v>
      </c>
      <c r="M195" s="14"/>
      <c r="N195" s="15">
        <f t="shared" si="54"/>
        <v>0</v>
      </c>
      <c r="O195" s="13">
        <f>IFERROR(N195/N446, "NA")</f>
        <v>0</v>
      </c>
      <c r="P195" s="14"/>
      <c r="Q195" s="12">
        <v>-0.02</v>
      </c>
      <c r="R195" s="13">
        <f>IFERROR(Q195/Q446, "NA")</f>
        <v>-0.00000003606438784</v>
      </c>
      <c r="S195" s="14"/>
      <c r="T195" s="12">
        <v>0.0</v>
      </c>
      <c r="U195" s="13">
        <f>IFERROR(T195/T446, "NA")</f>
        <v>0</v>
      </c>
      <c r="V195" s="14"/>
      <c r="W195" s="15">
        <f t="shared" si="55"/>
        <v>0.02</v>
      </c>
      <c r="X195" s="13">
        <f>IFERROR(W195/W446, "NA")</f>
        <v>-0.0000001187058592</v>
      </c>
      <c r="Y195" s="14"/>
      <c r="Z195" s="12">
        <v>0.0</v>
      </c>
      <c r="AA195" s="13">
        <f>IFERROR(Z195/Z446, "NA")</f>
        <v>0</v>
      </c>
      <c r="AB195" s="14"/>
      <c r="AC195" s="15">
        <f t="shared" si="56"/>
        <v>0.02</v>
      </c>
      <c r="AD195" s="13">
        <f>IFERROR(AC195/AC446, "NA")</f>
        <v>-0.0000001752346633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0</v>
      </c>
      <c r="C196" s="18" t="str">
        <f>IFERROR(B196/B446, "NA")</f>
        <v>NA</v>
      </c>
      <c r="D196" s="8"/>
      <c r="E196" s="17">
        <f>IFERROR(E175+E177+E178+E179+E180+E181+E183+E184+E186+E187+E188+E189+E190+E191+E192+E194+E195, "NA")</f>
        <v>25444.48</v>
      </c>
      <c r="F196" s="18">
        <f>IFERROR(E196/E446, "NA")</f>
        <v>0.3057524084</v>
      </c>
      <c r="G196" s="8"/>
      <c r="H196" s="17">
        <f t="shared" si="53"/>
        <v>25444.48</v>
      </c>
      <c r="I196" s="18">
        <f>IFERROR(H196/H446, "NA")</f>
        <v>-0.3057524084</v>
      </c>
      <c r="J196" s="8"/>
      <c r="K196" s="17">
        <f>IFERROR(K175+K177+K178+K179+K180+K181+K183+K184+K186+K187+K188+K189+K190+K191+K192+K194+K195, "NA")</f>
        <v>25990.43</v>
      </c>
      <c r="L196" s="18">
        <f>IFERROR(K196/K446, "NA")</f>
        <v>0.3408113457</v>
      </c>
      <c r="M196" s="8"/>
      <c r="N196" s="17">
        <f t="shared" si="54"/>
        <v>25990.43</v>
      </c>
      <c r="O196" s="18">
        <f>IFERROR(N196/N446, "NA")</f>
        <v>-0.3408113457</v>
      </c>
      <c r="P196" s="8"/>
      <c r="Q196" s="17">
        <f>IFERROR(Q175+Q177+Q178+Q179+Q180+Q181+Q183+Q184+Q186+Q187+Q188+Q189+Q190+Q191+Q192+Q194+Q195, "NA")</f>
        <v>159716.86</v>
      </c>
      <c r="R196" s="18">
        <f>IFERROR(Q196/Q446, "NA")</f>
        <v>0.2880045392</v>
      </c>
      <c r="S196" s="8"/>
      <c r="T196" s="17">
        <f>IFERROR(T175+T177+T178+T179+T180+T181+T183+T184+T186+T187+T188+T189+T190+T191+T192+T194+T195, "NA")</f>
        <v>216998.56</v>
      </c>
      <c r="U196" s="18">
        <f>IFERROR(T196/T446, "NA")</f>
        <v>0.3001166576</v>
      </c>
      <c r="V196" s="8"/>
      <c r="W196" s="17">
        <f t="shared" si="55"/>
        <v>57281.7</v>
      </c>
      <c r="X196" s="18">
        <f>IFERROR(W196/W446, "NA")</f>
        <v>-0.3399836708</v>
      </c>
      <c r="Y196" s="8"/>
      <c r="Z196" s="17">
        <f>IFERROR(Z175+Z177+Z178+Z179+Z180+Z181+Z183+Z184+Z186+Z187+Z188+Z189+Z190+Z191+Z192+Z194+Z195, "NA")</f>
        <v>206695.83</v>
      </c>
      <c r="AA196" s="18">
        <f>IFERROR(Z196/Z446, "NA")</f>
        <v>0.3091026696</v>
      </c>
      <c r="AB196" s="8"/>
      <c r="AC196" s="17">
        <f t="shared" si="56"/>
        <v>46978.97</v>
      </c>
      <c r="AD196" s="18">
        <f>IFERROR(AC196/AC446, "NA")</f>
        <v>-0.4116171995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0</v>
      </c>
      <c r="C197" s="18" t="str">
        <f>IFERROR(B197/B446, "NA")</f>
        <v>NA</v>
      </c>
      <c r="D197" s="8"/>
      <c r="E197" s="17">
        <f>IFERROR(E175+E177+E178+E179+E180+E181+E183+E184+E186+E187+E188+E189+E190+E191+E192+E194+E195, "NA")</f>
        <v>25444.48</v>
      </c>
      <c r="F197" s="18">
        <f>IFERROR(E197/E446, "NA")</f>
        <v>0.3057524084</v>
      </c>
      <c r="G197" s="8"/>
      <c r="H197" s="17">
        <f t="shared" si="53"/>
        <v>25444.48</v>
      </c>
      <c r="I197" s="18">
        <f>IFERROR(H197/H446, "NA")</f>
        <v>-0.3057524084</v>
      </c>
      <c r="J197" s="8"/>
      <c r="K197" s="17">
        <f>IFERROR(K175+K177+K178+K179+K180+K181+K183+K184+K186+K187+K188+K189+K190+K191+K192+K194+K195, "NA")</f>
        <v>25990.43</v>
      </c>
      <c r="L197" s="18">
        <f>IFERROR(K197/K446, "NA")</f>
        <v>0.3408113457</v>
      </c>
      <c r="M197" s="8"/>
      <c r="N197" s="17">
        <f t="shared" si="54"/>
        <v>25990.43</v>
      </c>
      <c r="O197" s="18">
        <f>IFERROR(N197/N446, "NA")</f>
        <v>-0.3408113457</v>
      </c>
      <c r="P197" s="8"/>
      <c r="Q197" s="17">
        <f>IFERROR(Q175+Q177+Q178+Q179+Q180+Q181+Q183+Q184+Q186+Q187+Q188+Q189+Q190+Q191+Q192+Q194+Q195, "NA")</f>
        <v>159716.86</v>
      </c>
      <c r="R197" s="18">
        <f>IFERROR(Q197/Q446, "NA")</f>
        <v>0.2880045392</v>
      </c>
      <c r="S197" s="8"/>
      <c r="T197" s="17">
        <f>IFERROR(T175+T177+T178+T179+T180+T181+T183+T184+T186+T187+T188+T189+T190+T191+T192+T194+T195, "NA")</f>
        <v>216998.56</v>
      </c>
      <c r="U197" s="18">
        <f>IFERROR(T197/T446, "NA")</f>
        <v>0.3001166576</v>
      </c>
      <c r="V197" s="8"/>
      <c r="W197" s="17">
        <f t="shared" si="55"/>
        <v>57281.7</v>
      </c>
      <c r="X197" s="18">
        <f>IFERROR(W197/W446, "NA")</f>
        <v>-0.3399836708</v>
      </c>
      <c r="Y197" s="8"/>
      <c r="Z197" s="17">
        <f>IFERROR(Z175+Z177+Z178+Z179+Z180+Z181+Z183+Z184+Z186+Z187+Z188+Z189+Z190+Z191+Z192+Z194+Z195, "NA")</f>
        <v>206695.83</v>
      </c>
      <c r="AA197" s="18">
        <f>IFERROR(Z197/Z446, "NA")</f>
        <v>0.3091026696</v>
      </c>
      <c r="AB197" s="8"/>
      <c r="AC197" s="17">
        <f t="shared" si="56"/>
        <v>46978.97</v>
      </c>
      <c r="AD197" s="18">
        <f>IFERROR(AC197/AC446, "NA")</f>
        <v>-0.4116171995</v>
      </c>
    </row>
    <row r="198" ht="16.5" customHeight="1">
      <c r="A198" s="19" t="s">
        <v>184</v>
      </c>
      <c r="B198" s="20">
        <f>IFERROR(B172-B197, "NA")</f>
        <v>0</v>
      </c>
      <c r="C198" s="21" t="str">
        <f>IFERROR(B198/B446, "NA")</f>
        <v>NA</v>
      </c>
      <c r="D198" s="22"/>
      <c r="E198" s="20">
        <f>IFERROR(E172-E197, "NA")</f>
        <v>35804.87</v>
      </c>
      <c r="F198" s="21">
        <f>IFERROR(E198/E446, "NA")</f>
        <v>0.4302475522</v>
      </c>
      <c r="G198" s="22"/>
      <c r="H198" s="20">
        <f>IFERROR(B198-E198, "NA")</f>
        <v>-35804.87</v>
      </c>
      <c r="I198" s="21">
        <f>IFERROR(H198/H446, "NA")</f>
        <v>0.4302475522</v>
      </c>
      <c r="J198" s="22"/>
      <c r="K198" s="20">
        <f>IFERROR(K172-K197, "NA")</f>
        <v>28189.91</v>
      </c>
      <c r="L198" s="21">
        <f>IFERROR(K198/K446, "NA")</f>
        <v>0.3696530286</v>
      </c>
      <c r="M198" s="22"/>
      <c r="N198" s="20">
        <f>IFERROR(B198-K198, "NA")</f>
        <v>-28189.91</v>
      </c>
      <c r="O198" s="21">
        <f>IFERROR(N198/N446, "NA")</f>
        <v>0.3696530286</v>
      </c>
      <c r="P198" s="22"/>
      <c r="Q198" s="20">
        <f>IFERROR(Q172-Q197, "NA")</f>
        <v>237891.68</v>
      </c>
      <c r="R198" s="21">
        <f>IFERROR(Q198/Q446, "NA")</f>
        <v>0.4289708906</v>
      </c>
      <c r="S198" s="22"/>
      <c r="T198" s="20">
        <f>IFERROR(T172-T197, "NA")</f>
        <v>314639.66</v>
      </c>
      <c r="U198" s="21">
        <f>IFERROR(T198/T446, "NA")</f>
        <v>0.4351577408</v>
      </c>
      <c r="V198" s="22"/>
      <c r="W198" s="20">
        <f>IFERROR(Q198-T198, "NA")</f>
        <v>-76747.98</v>
      </c>
      <c r="X198" s="21">
        <f>IFERROR(W198/W446, "NA")</f>
        <v>0.4555217455</v>
      </c>
      <c r="Y198" s="22"/>
      <c r="Z198" s="20">
        <f>IFERROR(Z172-Z197, "NA")</f>
        <v>271122.96</v>
      </c>
      <c r="AA198" s="21">
        <f>IFERROR(Z198/Z446, "NA")</f>
        <v>0.4054500312</v>
      </c>
      <c r="AB198" s="22"/>
      <c r="AC198" s="20">
        <f>IFERROR(Q198-Z198, "NA")</f>
        <v>-33231.28</v>
      </c>
      <c r="AD198" s="21">
        <f>IFERROR(AC198/AC446, "NA")</f>
        <v>0.2911636081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 t="str">
        <f>IFERROR(B201/B446, "NA")</f>
        <v>NA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0.0</v>
      </c>
      <c r="C202" s="13" t="str">
        <f>IFERROR(B202/B446, "NA")</f>
        <v>NA</v>
      </c>
      <c r="D202" s="14"/>
      <c r="E202" s="12">
        <v>665.75</v>
      </c>
      <c r="F202" s="13">
        <f>IFERROR(E202/E446, "NA")</f>
        <v>0.007999953857</v>
      </c>
      <c r="G202" s="14"/>
      <c r="H202" s="15">
        <f t="shared" si="57"/>
        <v>665.75</v>
      </c>
      <c r="I202" s="13">
        <f>IFERROR(H202/H446, "NA")</f>
        <v>-0.007999953857</v>
      </c>
      <c r="J202" s="14"/>
      <c r="K202" s="12">
        <v>452.7</v>
      </c>
      <c r="L202" s="13">
        <f>IFERROR(K202/K446, "NA")</f>
        <v>0.005936234846</v>
      </c>
      <c r="M202" s="14"/>
      <c r="N202" s="15">
        <f t="shared" si="58"/>
        <v>452.7</v>
      </c>
      <c r="O202" s="13">
        <f>IFERROR(N202/N446, "NA")</f>
        <v>-0.005936234846</v>
      </c>
      <c r="P202" s="14"/>
      <c r="Q202" s="12">
        <v>2880.22</v>
      </c>
      <c r="R202" s="13">
        <f>IFERROR(Q202/Q446, "NA")</f>
        <v>0.005193668558</v>
      </c>
      <c r="S202" s="14"/>
      <c r="T202" s="12">
        <v>5784.38</v>
      </c>
      <c r="U202" s="13">
        <f>IFERROR(T202/T446, "NA")</f>
        <v>0.008000001438</v>
      </c>
      <c r="V202" s="14"/>
      <c r="W202" s="15">
        <f t="shared" si="59"/>
        <v>2904.16</v>
      </c>
      <c r="X202" s="13">
        <f>IFERROR(W202/W446, "NA")</f>
        <v>-0.01723704041</v>
      </c>
      <c r="Y202" s="14"/>
      <c r="Z202" s="12">
        <v>5487.56</v>
      </c>
      <c r="AA202" s="13">
        <f>IFERROR(Z202/Z446, "NA")</f>
        <v>0.008206355423</v>
      </c>
      <c r="AB202" s="14"/>
      <c r="AC202" s="15">
        <f t="shared" si="60"/>
        <v>2607.34</v>
      </c>
      <c r="AD202" s="13">
        <f>IFERROR(AC202/AC446, "NA")</f>
        <v>-0.02284481735</v>
      </c>
    </row>
    <row r="203" ht="16.5" customHeight="1">
      <c r="A203" s="11" t="s">
        <v>188</v>
      </c>
      <c r="B203" s="12">
        <v>0.0</v>
      </c>
      <c r="C203" s="13" t="str">
        <f>IFERROR(B203/B446, "NA")</f>
        <v>NA</v>
      </c>
      <c r="D203" s="14"/>
      <c r="E203" s="12">
        <v>748.97</v>
      </c>
      <c r="F203" s="13">
        <f>IFERROR(E203/E446, "NA")</f>
        <v>0.008999963109</v>
      </c>
      <c r="G203" s="14"/>
      <c r="H203" s="15">
        <f t="shared" si="57"/>
        <v>748.97</v>
      </c>
      <c r="I203" s="13">
        <f>IFERROR(H203/H446, "NA")</f>
        <v>-0.008999963109</v>
      </c>
      <c r="J203" s="14"/>
      <c r="K203" s="12">
        <v>878.24</v>
      </c>
      <c r="L203" s="13">
        <f>IFERROR(K203/K446, "NA")</f>
        <v>0.01151632183</v>
      </c>
      <c r="M203" s="14"/>
      <c r="N203" s="15">
        <f t="shared" si="58"/>
        <v>878.24</v>
      </c>
      <c r="O203" s="13">
        <f>IFERROR(N203/N446, "NA")</f>
        <v>-0.01151632183</v>
      </c>
      <c r="P203" s="14"/>
      <c r="Q203" s="12">
        <v>3693.64</v>
      </c>
      <c r="R203" s="13">
        <f>IFERROR(Q203/Q446, "NA")</f>
        <v>0.006660443276</v>
      </c>
      <c r="S203" s="14"/>
      <c r="T203" s="12">
        <v>6507.42</v>
      </c>
      <c r="U203" s="13">
        <f>IFERROR(T203/T446, "NA")</f>
        <v>0.008999991245</v>
      </c>
      <c r="V203" s="14"/>
      <c r="W203" s="15">
        <f t="shared" si="59"/>
        <v>2813.78</v>
      </c>
      <c r="X203" s="13">
        <f>IFERROR(W203/W446, "NA")</f>
        <v>-0.01670060863</v>
      </c>
      <c r="Y203" s="14"/>
      <c r="Z203" s="12">
        <v>6984.79</v>
      </c>
      <c r="AA203" s="13">
        <f>IFERROR(Z203/Z446, "NA")</f>
        <v>0.01044538361</v>
      </c>
      <c r="AB203" s="14"/>
      <c r="AC203" s="15">
        <f t="shared" si="60"/>
        <v>3291.15</v>
      </c>
      <c r="AD203" s="13">
        <f>IFERROR(AC203/AC446, "NA")</f>
        <v>-0.02883617811</v>
      </c>
    </row>
    <row r="204" ht="16.5" customHeight="1">
      <c r="A204" s="11" t="s">
        <v>189</v>
      </c>
      <c r="B204" s="12">
        <v>0.0</v>
      </c>
      <c r="C204" s="13" t="str">
        <f>IFERROR(B204/B446, "NA")</f>
        <v>NA</v>
      </c>
      <c r="D204" s="14"/>
      <c r="E204" s="12">
        <v>166.44</v>
      </c>
      <c r="F204" s="13">
        <f>IFERROR(E204/E446, "NA")</f>
        <v>0.002000018505</v>
      </c>
      <c r="G204" s="14"/>
      <c r="H204" s="15">
        <f t="shared" si="57"/>
        <v>166.44</v>
      </c>
      <c r="I204" s="13">
        <f>IFERROR(H204/H446, "NA")</f>
        <v>-0.002000018505</v>
      </c>
      <c r="J204" s="14"/>
      <c r="K204" s="12">
        <v>478.73</v>
      </c>
      <c r="L204" s="13">
        <f>IFERROR(K204/K446, "NA")</f>
        <v>0.006277565071</v>
      </c>
      <c r="M204" s="14"/>
      <c r="N204" s="15">
        <f t="shared" si="58"/>
        <v>478.73</v>
      </c>
      <c r="O204" s="13">
        <f>IFERROR(N204/N446, "NA")</f>
        <v>-0.006277565071</v>
      </c>
      <c r="P204" s="14"/>
      <c r="Q204" s="12">
        <v>1053.78</v>
      </c>
      <c r="R204" s="13">
        <f>IFERROR(Q204/Q446, "NA")</f>
        <v>0.001900196531</v>
      </c>
      <c r="S204" s="14"/>
      <c r="T204" s="12">
        <v>1446.11</v>
      </c>
      <c r="U204" s="13">
        <f>IFERROR(T204/T446, "NA")</f>
        <v>0.002000021105</v>
      </c>
      <c r="V204" s="14"/>
      <c r="W204" s="15">
        <f t="shared" si="59"/>
        <v>392.33</v>
      </c>
      <c r="X204" s="13">
        <f>IFERROR(W204/W446, "NA")</f>
        <v>-0.002328593488</v>
      </c>
      <c r="Y204" s="14"/>
      <c r="Z204" s="12">
        <v>2070.34</v>
      </c>
      <c r="AA204" s="13">
        <f>IFERROR(Z204/Z446, "NA")</f>
        <v>0.003096083849</v>
      </c>
      <c r="AB204" s="14"/>
      <c r="AC204" s="15">
        <f t="shared" si="60"/>
        <v>1016.56</v>
      </c>
      <c r="AD204" s="13">
        <f>IFERROR(AC204/AC446, "NA")</f>
        <v>-0.008906827467</v>
      </c>
    </row>
    <row r="205" ht="16.5" customHeight="1">
      <c r="A205" s="11" t="s">
        <v>190</v>
      </c>
      <c r="B205" s="12">
        <v>0.0</v>
      </c>
      <c r="C205" s="13" t="str">
        <f>IFERROR(B205/B446, "NA")</f>
        <v>NA</v>
      </c>
      <c r="D205" s="14"/>
      <c r="E205" s="12">
        <v>249.66</v>
      </c>
      <c r="F205" s="13">
        <f>IFERROR(E205/E446, "NA")</f>
        <v>0.003000027758</v>
      </c>
      <c r="G205" s="14"/>
      <c r="H205" s="15">
        <f t="shared" si="57"/>
        <v>249.66</v>
      </c>
      <c r="I205" s="13">
        <f>IFERROR(H205/H446, "NA")</f>
        <v>-0.003000027758</v>
      </c>
      <c r="J205" s="14"/>
      <c r="K205" s="12">
        <v>258.37</v>
      </c>
      <c r="L205" s="13">
        <f>IFERROR(K205/K446, "NA")</f>
        <v>0.00338799425</v>
      </c>
      <c r="M205" s="14"/>
      <c r="N205" s="15">
        <f t="shared" si="58"/>
        <v>258.37</v>
      </c>
      <c r="O205" s="13">
        <f>IFERROR(N205/N446, "NA")</f>
        <v>-0.00338799425</v>
      </c>
      <c r="P205" s="14"/>
      <c r="Q205" s="12">
        <v>2171.05</v>
      </c>
      <c r="R205" s="13">
        <f>IFERROR(Q205/Q446, "NA")</f>
        <v>0.003914879461</v>
      </c>
      <c r="S205" s="14"/>
      <c r="T205" s="12">
        <v>2169.13</v>
      </c>
      <c r="U205" s="13">
        <f>IFERROR(T205/T446, "NA")</f>
        <v>0.002999983251</v>
      </c>
      <c r="V205" s="14"/>
      <c r="W205" s="15">
        <f t="shared" si="59"/>
        <v>-1.92</v>
      </c>
      <c r="X205" s="13">
        <f>IFERROR(W205/W446, "NA")</f>
        <v>0.00001139576249</v>
      </c>
      <c r="Y205" s="14"/>
      <c r="Z205" s="12">
        <v>2836.8</v>
      </c>
      <c r="AA205" s="13">
        <f>IFERROR(Z205/Z446, "NA")</f>
        <v>0.004242284196</v>
      </c>
      <c r="AB205" s="14"/>
      <c r="AC205" s="15">
        <f t="shared" si="60"/>
        <v>665.75</v>
      </c>
      <c r="AD205" s="13">
        <f>IFERROR(AC205/AC446, "NA")</f>
        <v>-0.005833123855</v>
      </c>
    </row>
    <row r="206" ht="16.5" customHeight="1">
      <c r="A206" s="11" t="s">
        <v>191</v>
      </c>
      <c r="B206" s="12">
        <v>0.0</v>
      </c>
      <c r="C206" s="13" t="str">
        <f>IFERROR(B206/B446, "NA")</f>
        <v>NA</v>
      </c>
      <c r="D206" s="14"/>
      <c r="E206" s="12">
        <v>83.22</v>
      </c>
      <c r="F206" s="13">
        <f>IFERROR(E206/E446, "NA")</f>
        <v>0.001000009253</v>
      </c>
      <c r="G206" s="14"/>
      <c r="H206" s="15">
        <f t="shared" si="57"/>
        <v>83.22</v>
      </c>
      <c r="I206" s="13">
        <f>IFERROR(H206/H446, "NA")</f>
        <v>-0.001000009253</v>
      </c>
      <c r="J206" s="14"/>
      <c r="K206" s="12">
        <v>0.0</v>
      </c>
      <c r="L206" s="13">
        <f>IFERROR(K206/K446, "NA")</f>
        <v>0</v>
      </c>
      <c r="M206" s="14"/>
      <c r="N206" s="15">
        <f t="shared" si="58"/>
        <v>0</v>
      </c>
      <c r="O206" s="13">
        <f>IFERROR(N206/N446, "NA")</f>
        <v>0</v>
      </c>
      <c r="P206" s="14"/>
      <c r="Q206" s="12">
        <v>667.26</v>
      </c>
      <c r="R206" s="13">
        <f>IFERROR(Q206/Q446, "NA")</f>
        <v>0.001203216172</v>
      </c>
      <c r="S206" s="14"/>
      <c r="T206" s="12">
        <v>723.05</v>
      </c>
      <c r="U206" s="13">
        <f>IFERROR(T206/T446, "NA")</f>
        <v>0.001000003637</v>
      </c>
      <c r="V206" s="14"/>
      <c r="W206" s="15">
        <f t="shared" si="59"/>
        <v>55.79</v>
      </c>
      <c r="X206" s="13">
        <f>IFERROR(W206/W446, "NA")</f>
        <v>-0.0003311299943</v>
      </c>
      <c r="Y206" s="14"/>
      <c r="Z206" s="12">
        <v>490.44</v>
      </c>
      <c r="AA206" s="13">
        <f>IFERROR(Z206/Z446, "NA")</f>
        <v>0.000733427052</v>
      </c>
      <c r="AB206" s="14"/>
      <c r="AC206" s="15">
        <f t="shared" si="60"/>
        <v>-176.82</v>
      </c>
      <c r="AD206" s="13">
        <f>IFERROR(AC206/AC446, "NA")</f>
        <v>0.001549249658</v>
      </c>
    </row>
    <row r="207" ht="16.5" customHeight="1">
      <c r="A207" s="11" t="s">
        <v>192</v>
      </c>
      <c r="B207" s="12">
        <v>0.0</v>
      </c>
      <c r="C207" s="13" t="str">
        <f>IFERROR(B207/B446, "NA")</f>
        <v>NA</v>
      </c>
      <c r="D207" s="14"/>
      <c r="E207" s="12">
        <v>100.0</v>
      </c>
      <c r="F207" s="13">
        <f>IFERROR(E207/E446, "NA")</f>
        <v>0.001201645341</v>
      </c>
      <c r="G207" s="14"/>
      <c r="H207" s="15">
        <f t="shared" si="57"/>
        <v>100</v>
      </c>
      <c r="I207" s="13">
        <f>IFERROR(H207/H446, "NA")</f>
        <v>-0.001201645341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156.74</v>
      </c>
      <c r="R207" s="13">
        <f>IFERROR(Q207/Q446, "NA")</f>
        <v>0.0002826366075</v>
      </c>
      <c r="S207" s="14"/>
      <c r="T207" s="12">
        <v>800.0</v>
      </c>
      <c r="U207" s="13">
        <f>IFERROR(T207/T446, "NA")</f>
        <v>0.0011064282</v>
      </c>
      <c r="V207" s="14"/>
      <c r="W207" s="15">
        <f t="shared" si="59"/>
        <v>643.26</v>
      </c>
      <c r="X207" s="13">
        <f>IFERROR(W207/W446, "NA")</f>
        <v>-0.00381793655</v>
      </c>
      <c r="Y207" s="14"/>
      <c r="Z207" s="12">
        <v>762.97</v>
      </c>
      <c r="AA207" s="13">
        <f>IFERROR(Z207/Z446, "NA")</f>
        <v>0.001140981237</v>
      </c>
      <c r="AB207" s="14"/>
      <c r="AC207" s="15">
        <f t="shared" si="60"/>
        <v>606.23</v>
      </c>
      <c r="AD207" s="13">
        <f>IFERROR(AC207/AC446, "NA")</f>
        <v>-0.005311625497</v>
      </c>
    </row>
    <row r="208" ht="16.5" customHeight="1">
      <c r="A208" s="11" t="s">
        <v>193</v>
      </c>
      <c r="B208" s="12">
        <v>0.0</v>
      </c>
      <c r="C208" s="13" t="str">
        <f>IFERROR(B208/B446, "NA")</f>
        <v>NA</v>
      </c>
      <c r="D208" s="14"/>
      <c r="E208" s="12">
        <v>100.0</v>
      </c>
      <c r="F208" s="13">
        <f>IFERROR(E208/E446, "NA")</f>
        <v>0.001201645341</v>
      </c>
      <c r="G208" s="14"/>
      <c r="H208" s="15">
        <f t="shared" si="57"/>
        <v>100</v>
      </c>
      <c r="I208" s="13">
        <f>IFERROR(H208/H446, "NA")</f>
        <v>-0.001201645341</v>
      </c>
      <c r="J208" s="14"/>
      <c r="K208" s="12">
        <v>122.84</v>
      </c>
      <c r="L208" s="13">
        <f>IFERROR(K208/K446, "NA")</f>
        <v>0.001610795424</v>
      </c>
      <c r="M208" s="14"/>
      <c r="N208" s="15">
        <f t="shared" si="58"/>
        <v>122.84</v>
      </c>
      <c r="O208" s="13">
        <f>IFERROR(N208/N446, "NA")</f>
        <v>-0.001610795424</v>
      </c>
      <c r="P208" s="14"/>
      <c r="Q208" s="12">
        <v>191.8</v>
      </c>
      <c r="R208" s="13">
        <f>IFERROR(Q208/Q446, "NA")</f>
        <v>0.0003458574794</v>
      </c>
      <c r="S208" s="14"/>
      <c r="T208" s="12">
        <v>800.0</v>
      </c>
      <c r="U208" s="13">
        <f>IFERROR(T208/T446, "NA")</f>
        <v>0.0011064282</v>
      </c>
      <c r="V208" s="14"/>
      <c r="W208" s="15">
        <f t="shared" si="59"/>
        <v>608.2</v>
      </c>
      <c r="X208" s="13">
        <f>IFERROR(W208/W446, "NA")</f>
        <v>-0.003609845179</v>
      </c>
      <c r="Y208" s="14"/>
      <c r="Z208" s="12">
        <v>1434.13</v>
      </c>
      <c r="AA208" s="13">
        <f>IFERROR(Z208/Z446, "NA")</f>
        <v>0.00214466548</v>
      </c>
      <c r="AB208" s="14"/>
      <c r="AC208" s="15">
        <f t="shared" si="60"/>
        <v>1242.33</v>
      </c>
      <c r="AD208" s="13">
        <f>IFERROR(AC208/AC446, "NA")</f>
        <v>-0.01088496396</v>
      </c>
    </row>
    <row r="209" ht="16.5" customHeight="1">
      <c r="A209" s="16" t="s">
        <v>194</v>
      </c>
      <c r="B209" s="17">
        <f>IFERROR(B201+B202+B203+B204+B205+B206+B207+B208, "NA")</f>
        <v>0</v>
      </c>
      <c r="C209" s="18" t="str">
        <f>IFERROR(B209/B446, "NA")</f>
        <v>NA</v>
      </c>
      <c r="D209" s="8"/>
      <c r="E209" s="17">
        <f>IFERROR(E201+E202+E203+E204+E205+E206+E207+E208, "NA")</f>
        <v>2114.04</v>
      </c>
      <c r="F209" s="18">
        <f>IFERROR(E209/E446, "NA")</f>
        <v>0.02540326316</v>
      </c>
      <c r="G209" s="8"/>
      <c r="H209" s="17">
        <f t="shared" si="57"/>
        <v>2114.04</v>
      </c>
      <c r="I209" s="18">
        <f>IFERROR(H209/H446, "NA")</f>
        <v>-0.02540326316</v>
      </c>
      <c r="J209" s="8"/>
      <c r="K209" s="17">
        <f>IFERROR(K201+K202+K203+K204+K205+K206+K207+K208, "NA")</f>
        <v>2190.88</v>
      </c>
      <c r="L209" s="18">
        <f>IFERROR(K209/K446, "NA")</f>
        <v>0.02872891142</v>
      </c>
      <c r="M209" s="8"/>
      <c r="N209" s="17">
        <f t="shared" si="58"/>
        <v>2190.88</v>
      </c>
      <c r="O209" s="18">
        <f>IFERROR(N209/N446, "NA")</f>
        <v>-0.02872891142</v>
      </c>
      <c r="P209" s="8"/>
      <c r="Q209" s="17">
        <f>IFERROR(Q201+Q202+Q203+Q204+Q205+Q206+Q207+Q208, "NA")</f>
        <v>10814.49</v>
      </c>
      <c r="R209" s="18">
        <f>IFERROR(Q209/Q446, "NA")</f>
        <v>0.01950089808</v>
      </c>
      <c r="S209" s="8"/>
      <c r="T209" s="17">
        <f>IFERROR(T201+T202+T203+T204+T205+T206+T207+T208, "NA")</f>
        <v>18230.09</v>
      </c>
      <c r="U209" s="18">
        <f>IFERROR(T209/T446, "NA")</f>
        <v>0.02521285708</v>
      </c>
      <c r="V209" s="8"/>
      <c r="W209" s="17">
        <f t="shared" si="59"/>
        <v>7415.6</v>
      </c>
      <c r="X209" s="18">
        <f>IFERROR(W209/W446, "NA")</f>
        <v>-0.04401375848</v>
      </c>
      <c r="Y209" s="8"/>
      <c r="Z209" s="17">
        <f>IFERROR(Z201+Z202+Z203+Z204+Z205+Z206+Z207+Z208, "NA")</f>
        <v>20067.03</v>
      </c>
      <c r="AA209" s="18">
        <f>IFERROR(Z209/Z446, "NA")</f>
        <v>0.03000918085</v>
      </c>
      <c r="AB209" s="8"/>
      <c r="AC209" s="17">
        <f t="shared" si="60"/>
        <v>9252.54</v>
      </c>
      <c r="AD209" s="18">
        <f>IFERROR(AC209/AC446, "NA")</f>
        <v>-0.08106828658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 t="str">
        <f>IFERROR(B211/B446, "NA")</f>
        <v>NA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 t="str">
        <f>IFERROR(B213/B446, "NA")</f>
        <v>NA</v>
      </c>
      <c r="D213" s="14"/>
      <c r="E213" s="12">
        <v>2413.36</v>
      </c>
      <c r="F213" s="13">
        <f>IFERROR(E213/E446, "NA")</f>
        <v>0.029000028</v>
      </c>
      <c r="G213" s="14"/>
      <c r="H213" s="15">
        <f t="shared" ref="H213:H227" si="61">IFERROR(-(B213-E213), "NA")</f>
        <v>2413.36</v>
      </c>
      <c r="I213" s="13">
        <f>IFERROR(H213/H446, "NA")</f>
        <v>-0.029000028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20968.38</v>
      </c>
      <c r="U213" s="13">
        <f>IFERROR(T213/T446, "NA")</f>
        <v>0.02900000867</v>
      </c>
      <c r="V213" s="14"/>
      <c r="W213" s="15">
        <f t="shared" ref="W213:W227" si="63">IFERROR(-(Q213-T213), "NA")</f>
        <v>20968.38</v>
      </c>
      <c r="X213" s="13">
        <f>IFERROR(W213/W446, "NA")</f>
        <v>-0.1244534782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0.0</v>
      </c>
      <c r="C214" s="13" t="str">
        <f>IFERROR(B214/B446, "NA")</f>
        <v>NA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0</v>
      </c>
      <c r="I214" s="13">
        <f>IFERROR(H214/H446, "NA")</f>
        <v>0</v>
      </c>
      <c r="J214" s="14"/>
      <c r="K214" s="12">
        <v>292.98</v>
      </c>
      <c r="L214" s="13">
        <f>IFERROR(K214/K446, "NA")</f>
        <v>0.003841833632</v>
      </c>
      <c r="M214" s="14"/>
      <c r="N214" s="15">
        <f t="shared" si="62"/>
        <v>292.98</v>
      </c>
      <c r="O214" s="13">
        <f>IFERROR(N214/N446, "NA")</f>
        <v>-0.003841833632</v>
      </c>
      <c r="P214" s="14"/>
      <c r="Q214" s="12">
        <v>3908.68</v>
      </c>
      <c r="R214" s="13">
        <f>IFERROR(Q214/Q446, "NA")</f>
        <v>0.007048207574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-3908.68</v>
      </c>
      <c r="X214" s="13">
        <f>IFERROR(W214/W446, "NA")</f>
        <v>0.02319916089</v>
      </c>
      <c r="Y214" s="14"/>
      <c r="Z214" s="12">
        <v>8720.03</v>
      </c>
      <c r="AA214" s="13">
        <f>IFERROR(Z214/Z446, "NA")</f>
        <v>0.01304034315</v>
      </c>
      <c r="AB214" s="14"/>
      <c r="AC214" s="15">
        <f t="shared" si="64"/>
        <v>4811.35</v>
      </c>
      <c r="AD214" s="13">
        <f>IFERROR(AC214/AC446, "NA")</f>
        <v>-0.04215576487</v>
      </c>
    </row>
    <row r="215" ht="16.5" hidden="1" customHeight="1">
      <c r="A215" s="11" t="s">
        <v>198</v>
      </c>
      <c r="B215" s="12">
        <v>0.0</v>
      </c>
      <c r="C215" s="13" t="str">
        <f>IFERROR(B215/B446, "NA")</f>
        <v>NA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0</v>
      </c>
      <c r="I215" s="13">
        <f>IFERROR(H215/H446, "NA")</f>
        <v>0</v>
      </c>
      <c r="J215" s="14"/>
      <c r="K215" s="12">
        <v>0.0</v>
      </c>
      <c r="L215" s="13">
        <f>IFERROR(K215/K446, "NA")</f>
        <v>0</v>
      </c>
      <c r="M215" s="14"/>
      <c r="N215" s="15">
        <f t="shared" si="62"/>
        <v>0</v>
      </c>
      <c r="O215" s="13">
        <f>IFERROR(N215/N446, "NA")</f>
        <v>0</v>
      </c>
      <c r="P215" s="14"/>
      <c r="Q215" s="12">
        <v>0.0</v>
      </c>
      <c r="R215" s="13">
        <f>IFERROR(Q215/Q446, "NA")</f>
        <v>0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0</v>
      </c>
      <c r="X215" s="13">
        <f>IFERROR(W215/W446, "NA")</f>
        <v>0</v>
      </c>
      <c r="Y215" s="14"/>
      <c r="Z215" s="12">
        <v>0.0</v>
      </c>
      <c r="AA215" s="13">
        <f>IFERROR(Z215/Z446, "NA")</f>
        <v>0</v>
      </c>
      <c r="AB215" s="14"/>
      <c r="AC215" s="15">
        <f t="shared" si="64"/>
        <v>0</v>
      </c>
      <c r="AD215" s="13">
        <f>IFERROR(AC215/AC446, "NA")</f>
        <v>0</v>
      </c>
    </row>
    <row r="216" ht="16.5" customHeight="1">
      <c r="A216" s="11" t="s">
        <v>199</v>
      </c>
      <c r="B216" s="12">
        <v>0.0</v>
      </c>
      <c r="C216" s="13" t="str">
        <f>IFERROR(B216/B446, "NA")</f>
        <v>NA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0</v>
      </c>
      <c r="I216" s="13">
        <f>IFERROR(H216/H446, "NA")</f>
        <v>0</v>
      </c>
      <c r="J216" s="14"/>
      <c r="K216" s="12">
        <v>0.0</v>
      </c>
      <c r="L216" s="13">
        <f>IFERROR(K216/K446, "NA")</f>
        <v>0</v>
      </c>
      <c r="M216" s="14"/>
      <c r="N216" s="15">
        <f t="shared" si="62"/>
        <v>0</v>
      </c>
      <c r="O216" s="13">
        <f>IFERROR(N216/N446, "NA")</f>
        <v>0</v>
      </c>
      <c r="P216" s="14"/>
      <c r="Q216" s="12">
        <v>290.0</v>
      </c>
      <c r="R216" s="13">
        <f>IFERROR(Q216/Q446, "NA")</f>
        <v>0.0005229336237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-290</v>
      </c>
      <c r="X216" s="13">
        <f>IFERROR(W216/W446, "NA")</f>
        <v>0.001721234959</v>
      </c>
      <c r="Y216" s="14"/>
      <c r="Z216" s="12">
        <v>61.09</v>
      </c>
      <c r="AA216" s="13">
        <f>IFERROR(Z216/Z446, "NA")</f>
        <v>0.00009135686038</v>
      </c>
      <c r="AB216" s="14"/>
      <c r="AC216" s="15">
        <f t="shared" si="64"/>
        <v>-228.91</v>
      </c>
      <c r="AD216" s="13">
        <f>IFERROR(AC216/AC446, "NA")</f>
        <v>0.002005648339</v>
      </c>
    </row>
    <row r="217" ht="16.5" customHeight="1">
      <c r="A217" s="11" t="s">
        <v>200</v>
      </c>
      <c r="B217" s="12">
        <v>0.0</v>
      </c>
      <c r="C217" s="13" t="str">
        <f>IFERROR(B217/B446, "NA")</f>
        <v>NA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0</v>
      </c>
      <c r="I217" s="13">
        <f>IFERROR(H217/H446, "NA")</f>
        <v>0</v>
      </c>
      <c r="J217" s="14"/>
      <c r="K217" s="12">
        <v>278.94</v>
      </c>
      <c r="L217" s="13">
        <f>IFERROR(K217/K446, "NA")</f>
        <v>0.00365772774</v>
      </c>
      <c r="M217" s="14"/>
      <c r="N217" s="15">
        <f t="shared" si="62"/>
        <v>278.94</v>
      </c>
      <c r="O217" s="13">
        <f>IFERROR(N217/N446, "NA")</f>
        <v>-0.00365772774</v>
      </c>
      <c r="P217" s="14"/>
      <c r="Q217" s="12">
        <v>12263.93</v>
      </c>
      <c r="R217" s="13">
        <f>IFERROR(Q217/Q446, "NA")</f>
        <v>0.0221145564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-12263.93</v>
      </c>
      <c r="X217" s="13">
        <f>IFERROR(W217/W446, "NA")</f>
        <v>0.07279001741</v>
      </c>
      <c r="Y217" s="14"/>
      <c r="Z217" s="12">
        <v>13933.16</v>
      </c>
      <c r="AA217" s="13">
        <f>IFERROR(Z217/Z446, "NA")</f>
        <v>0.02083630304</v>
      </c>
      <c r="AB217" s="14"/>
      <c r="AC217" s="15">
        <f t="shared" si="64"/>
        <v>1669.23</v>
      </c>
      <c r="AD217" s="13">
        <f>IFERROR(AC217/AC446, "NA")</f>
        <v>-0.01462534785</v>
      </c>
    </row>
    <row r="218" ht="16.5" customHeight="1">
      <c r="A218" s="16" t="s">
        <v>201</v>
      </c>
      <c r="B218" s="17">
        <f>IFERROR(B213+B214+B215+B216+B217, "NA")</f>
        <v>0</v>
      </c>
      <c r="C218" s="18" t="str">
        <f>IFERROR(B218/B446, "NA")</f>
        <v>NA</v>
      </c>
      <c r="D218" s="8"/>
      <c r="E218" s="17">
        <f>IFERROR(E213+E214+E215+E216+E217, "NA")</f>
        <v>2413.36</v>
      </c>
      <c r="F218" s="18">
        <f>IFERROR(E218/E446, "NA")</f>
        <v>0.029000028</v>
      </c>
      <c r="G218" s="8"/>
      <c r="H218" s="17">
        <f t="shared" si="61"/>
        <v>2413.36</v>
      </c>
      <c r="I218" s="18">
        <f>IFERROR(H218/H446, "NA")</f>
        <v>-0.029000028</v>
      </c>
      <c r="J218" s="8"/>
      <c r="K218" s="17">
        <f>IFERROR(K213+K214+K215+K216+K217, "NA")</f>
        <v>571.92</v>
      </c>
      <c r="L218" s="18">
        <f>IFERROR(K218/K446, "NA")</f>
        <v>0.007499561372</v>
      </c>
      <c r="M218" s="8"/>
      <c r="N218" s="17">
        <f t="shared" si="62"/>
        <v>571.92</v>
      </c>
      <c r="O218" s="18">
        <f>IFERROR(N218/N446, "NA")</f>
        <v>-0.007499561372</v>
      </c>
      <c r="P218" s="8"/>
      <c r="Q218" s="17">
        <f>IFERROR(Q213+Q214+Q215+Q216+Q217, "NA")</f>
        <v>16462.61</v>
      </c>
      <c r="R218" s="18">
        <f>IFERROR(Q218/Q446, "NA")</f>
        <v>0.0296856976</v>
      </c>
      <c r="S218" s="8"/>
      <c r="T218" s="17">
        <f>IFERROR(T213+T214+T215+T216+T217, "NA")</f>
        <v>20968.38</v>
      </c>
      <c r="U218" s="18">
        <f>IFERROR(T218/T446, "NA")</f>
        <v>0.02900000867</v>
      </c>
      <c r="V218" s="8"/>
      <c r="W218" s="17">
        <f t="shared" si="63"/>
        <v>4505.77</v>
      </c>
      <c r="X218" s="18">
        <f>IFERROR(W218/W446, "NA")</f>
        <v>-0.02674306497</v>
      </c>
      <c r="Y218" s="8"/>
      <c r="Z218" s="17">
        <f>IFERROR(Z213+Z214+Z215+Z216+Z217, "NA")</f>
        <v>22714.28</v>
      </c>
      <c r="AA218" s="18">
        <f>IFERROR(Z218/Z446, "NA")</f>
        <v>0.03396800306</v>
      </c>
      <c r="AB218" s="8"/>
      <c r="AC218" s="17">
        <f t="shared" si="64"/>
        <v>6251.67</v>
      </c>
      <c r="AD218" s="18">
        <f>IFERROR(AC218/AC446, "NA")</f>
        <v>-0.05477546438</v>
      </c>
    </row>
    <row r="219" ht="16.5" hidden="1" customHeight="1">
      <c r="A219" s="11" t="s">
        <v>202</v>
      </c>
      <c r="B219" s="12">
        <v>0.0</v>
      </c>
      <c r="C219" s="13" t="str">
        <f>IFERROR(B219/B446, "NA")</f>
        <v>NA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 t="str">
        <f>IFERROR(B220/B446, "NA")</f>
        <v>NA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 t="str">
        <f>IFERROR(B221/B446, "NA")</f>
        <v>NA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0.0</v>
      </c>
      <c r="C222" s="13" t="str">
        <f>IFERROR(B222/B446, "NA")</f>
        <v>NA</v>
      </c>
      <c r="D222" s="14"/>
      <c r="E222" s="12">
        <v>100.0</v>
      </c>
      <c r="F222" s="13">
        <f>IFERROR(E222/E446, "NA")</f>
        <v>0.001201645341</v>
      </c>
      <c r="G222" s="14"/>
      <c r="H222" s="15">
        <f t="shared" si="61"/>
        <v>100</v>
      </c>
      <c r="I222" s="13">
        <f>IFERROR(H222/H446, "NA")</f>
        <v>-0.001201645341</v>
      </c>
      <c r="J222" s="14"/>
      <c r="K222" s="12">
        <v>62.5</v>
      </c>
      <c r="L222" s="13">
        <f>IFERROR(K222/K446, "NA")</f>
        <v>0.0008195597037</v>
      </c>
      <c r="M222" s="14"/>
      <c r="N222" s="15">
        <f t="shared" si="62"/>
        <v>62.5</v>
      </c>
      <c r="O222" s="13">
        <f>IFERROR(N222/N446, "NA")</f>
        <v>-0.0008195597037</v>
      </c>
      <c r="P222" s="14"/>
      <c r="Q222" s="12">
        <v>1105.43</v>
      </c>
      <c r="R222" s="13">
        <f>IFERROR(Q222/Q446, "NA")</f>
        <v>0.001993332813</v>
      </c>
      <c r="S222" s="14"/>
      <c r="T222" s="12">
        <v>800.0</v>
      </c>
      <c r="U222" s="13">
        <f>IFERROR(T222/T446, "NA")</f>
        <v>0.0011064282</v>
      </c>
      <c r="V222" s="14"/>
      <c r="W222" s="15">
        <f t="shared" si="63"/>
        <v>-305.43</v>
      </c>
      <c r="X222" s="13">
        <f>IFERROR(W222/W446, "NA")</f>
        <v>0.001812816529</v>
      </c>
      <c r="Y222" s="14"/>
      <c r="Z222" s="12">
        <v>1289.12</v>
      </c>
      <c r="AA222" s="13">
        <f>IFERROR(Z222/Z446, "NA")</f>
        <v>0.001927810703</v>
      </c>
      <c r="AB222" s="14"/>
      <c r="AC222" s="15">
        <f t="shared" si="64"/>
        <v>183.69</v>
      </c>
      <c r="AD222" s="13">
        <f>IFERROR(AC222/AC446, "NA")</f>
        <v>-0.001609442765</v>
      </c>
    </row>
    <row r="223" ht="16.5" hidden="1" customHeight="1">
      <c r="A223" s="11" t="s">
        <v>206</v>
      </c>
      <c r="B223" s="12">
        <v>0.0</v>
      </c>
      <c r="C223" s="13" t="str">
        <f>IFERROR(B223/B446, "NA")</f>
        <v>NA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 t="str">
        <f>IFERROR(B224/B446, "NA")</f>
        <v>NA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 t="str">
        <f>IFERROR(B225/B446, "NA")</f>
        <v>NA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 t="str">
        <f>IFERROR(B226/B446, "NA")</f>
        <v>NA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0</v>
      </c>
      <c r="C227" s="18" t="str">
        <f>IFERROR(B227/B446, "NA")</f>
        <v>NA</v>
      </c>
      <c r="D227" s="8"/>
      <c r="E227" s="17">
        <f>IFERROR(E211+E213+E214+E215+E216+E217+E219+E220+E221+E222+E223+E224+E225+E226, "NA")</f>
        <v>2513.36</v>
      </c>
      <c r="F227" s="18">
        <f>IFERROR(E227/E446, "NA")</f>
        <v>0.03020167334</v>
      </c>
      <c r="G227" s="8"/>
      <c r="H227" s="17">
        <f t="shared" si="61"/>
        <v>2513.36</v>
      </c>
      <c r="I227" s="18">
        <f>IFERROR(H227/H446, "NA")</f>
        <v>-0.03020167334</v>
      </c>
      <c r="J227" s="8"/>
      <c r="K227" s="17">
        <f>IFERROR(K211+K213+K214+K215+K216+K217+K219+K220+K221+K222+K223+K224+K225+K226, "NA")</f>
        <v>634.42</v>
      </c>
      <c r="L227" s="18">
        <f>IFERROR(K227/K446, "NA")</f>
        <v>0.008319121075</v>
      </c>
      <c r="M227" s="8"/>
      <c r="N227" s="17">
        <f t="shared" si="62"/>
        <v>634.42</v>
      </c>
      <c r="O227" s="18">
        <f>IFERROR(N227/N446, "NA")</f>
        <v>-0.008319121075</v>
      </c>
      <c r="P227" s="8"/>
      <c r="Q227" s="17">
        <f>IFERROR(Q211+Q213+Q214+Q215+Q216+Q217+Q219+Q220+Q221+Q222+Q223+Q224+Q225+Q226, "NA")</f>
        <v>17568.04</v>
      </c>
      <c r="R227" s="18">
        <f>IFERROR(Q227/Q446, "NA")</f>
        <v>0.03167903041</v>
      </c>
      <c r="S227" s="8"/>
      <c r="T227" s="17">
        <f>IFERROR(T211+T213+T214+T215+T216+T217+T219+T220+T221+T222+T223+T224+T225+T226, "NA")</f>
        <v>21768.38</v>
      </c>
      <c r="U227" s="18">
        <f>IFERROR(T227/T446, "NA")</f>
        <v>0.03010643687</v>
      </c>
      <c r="V227" s="8"/>
      <c r="W227" s="17">
        <f t="shared" si="63"/>
        <v>4200.34</v>
      </c>
      <c r="X227" s="18">
        <f>IFERROR(W227/W446, "NA")</f>
        <v>-0.02493024844</v>
      </c>
      <c r="Y227" s="8"/>
      <c r="Z227" s="17">
        <f>IFERROR(Z211+Z213+Z214+Z215+Z216+Z217+Z219+Z220+Z221+Z222+Z223+Z224+Z225+Z226, "NA")</f>
        <v>24003.4</v>
      </c>
      <c r="AA227" s="18">
        <f>IFERROR(Z227/Z446, "NA")</f>
        <v>0.03589581376</v>
      </c>
      <c r="AB227" s="8"/>
      <c r="AC227" s="17">
        <f t="shared" si="64"/>
        <v>6435.36</v>
      </c>
      <c r="AD227" s="18">
        <f>IFERROR(AC227/AC446, "NA")</f>
        <v>-0.05638490714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 t="str">
        <f>IFERROR(B229/B446, "NA")</f>
        <v>NA</v>
      </c>
      <c r="D229" s="14"/>
      <c r="E229" s="12">
        <v>665.75</v>
      </c>
      <c r="F229" s="13">
        <f>IFERROR(E229/E446, "NA")</f>
        <v>0.007999953857</v>
      </c>
      <c r="G229" s="14"/>
      <c r="H229" s="15">
        <f t="shared" ref="H229:H236" si="65">IFERROR(-(B229-E229), "NA")</f>
        <v>665.75</v>
      </c>
      <c r="I229" s="13">
        <f>IFERROR(H229/H446, "NA")</f>
        <v>-0.007999953857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5784.38</v>
      </c>
      <c r="U229" s="13">
        <f>IFERROR(T229/T446, "NA")</f>
        <v>0.008000001438</v>
      </c>
      <c r="V229" s="14"/>
      <c r="W229" s="15">
        <f t="shared" ref="W229:W236" si="67">IFERROR(-(Q229-T229), "NA")</f>
        <v>5784.38</v>
      </c>
      <c r="X229" s="13">
        <f>IFERROR(W229/W446, "NA")</f>
        <v>-0.0343319899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customHeight="1">
      <c r="A230" s="11" t="s">
        <v>212</v>
      </c>
      <c r="B230" s="12">
        <v>0.0</v>
      </c>
      <c r="C230" s="13" t="str">
        <f>IFERROR(B230/B446, "NA")</f>
        <v>NA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83.95</v>
      </c>
      <c r="AA230" s="13">
        <f>IFERROR(Z230/Z446, "NA")</f>
        <v>0.00012554278</v>
      </c>
      <c r="AB230" s="14"/>
      <c r="AC230" s="15">
        <f t="shared" si="68"/>
        <v>83.95</v>
      </c>
      <c r="AD230" s="13">
        <f>IFERROR(AC230/AC446, "NA")</f>
        <v>-0.0007355474992</v>
      </c>
    </row>
    <row r="231" ht="16.5" customHeight="1">
      <c r="A231" s="11" t="s">
        <v>213</v>
      </c>
      <c r="B231" s="12">
        <v>0.0</v>
      </c>
      <c r="C231" s="13" t="str">
        <f>IFERROR(B231/B446, "NA")</f>
        <v>NA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91.0</v>
      </c>
      <c r="L231" s="13">
        <f>IFERROR(K231/K446, "NA")</f>
        <v>0.001193278929</v>
      </c>
      <c r="M231" s="14"/>
      <c r="N231" s="15">
        <f t="shared" si="66"/>
        <v>91</v>
      </c>
      <c r="O231" s="13">
        <f>IFERROR(N231/N446, "NA")</f>
        <v>-0.001193278929</v>
      </c>
      <c r="P231" s="14"/>
      <c r="Q231" s="12">
        <v>126.0</v>
      </c>
      <c r="R231" s="13">
        <f>IFERROR(Q231/Q446, "NA")</f>
        <v>0.0002272056434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-126</v>
      </c>
      <c r="X231" s="13">
        <f>IFERROR(W231/W446, "NA")</f>
        <v>0.0007478469131</v>
      </c>
      <c r="Y231" s="14"/>
      <c r="Z231" s="12">
        <v>888.05</v>
      </c>
      <c r="AA231" s="13">
        <f>IFERROR(Z231/Z446, "NA")</f>
        <v>0.001328031754</v>
      </c>
      <c r="AB231" s="14"/>
      <c r="AC231" s="15">
        <f t="shared" si="68"/>
        <v>762.05</v>
      </c>
      <c r="AD231" s="13">
        <f>IFERROR(AC231/AC446, "NA")</f>
        <v>-0.006676878759</v>
      </c>
    </row>
    <row r="232" ht="16.5" hidden="1" customHeight="1">
      <c r="A232" s="11" t="s">
        <v>214</v>
      </c>
      <c r="B232" s="12">
        <v>0.0</v>
      </c>
      <c r="C232" s="13" t="str">
        <f>IFERROR(B232/B446, "NA")</f>
        <v>NA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hidden="1" customHeight="1">
      <c r="A233" s="11" t="s">
        <v>215</v>
      </c>
      <c r="B233" s="12">
        <v>0.0</v>
      </c>
      <c r="C233" s="13" t="str">
        <f>IFERROR(B233/B446, "NA")</f>
        <v>NA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0.0</v>
      </c>
      <c r="L233" s="13">
        <f>IFERROR(K233/K446, "NA")</f>
        <v>0</v>
      </c>
      <c r="M233" s="14"/>
      <c r="N233" s="15">
        <f t="shared" si="66"/>
        <v>0</v>
      </c>
      <c r="O233" s="13">
        <f>IFERROR(N233/N446, "NA")</f>
        <v>0</v>
      </c>
      <c r="P233" s="14"/>
      <c r="Q233" s="12">
        <v>0.0</v>
      </c>
      <c r="R233" s="13">
        <f>IFERROR(Q233/Q446, "NA")</f>
        <v>0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0</v>
      </c>
      <c r="X233" s="13">
        <f>IFERROR(W233/W446, "NA")</f>
        <v>0</v>
      </c>
      <c r="Y233" s="14"/>
      <c r="Z233" s="12">
        <v>0.0</v>
      </c>
      <c r="AA233" s="13">
        <f>IFERROR(Z233/Z446, "NA")</f>
        <v>0</v>
      </c>
      <c r="AB233" s="14"/>
      <c r="AC233" s="15">
        <f t="shared" si="68"/>
        <v>0</v>
      </c>
      <c r="AD233" s="13">
        <f>IFERROR(AC233/AC446, "NA")</f>
        <v>0</v>
      </c>
    </row>
    <row r="234" ht="16.5" customHeight="1">
      <c r="A234" s="11" t="s">
        <v>216</v>
      </c>
      <c r="B234" s="12">
        <v>0.0</v>
      </c>
      <c r="C234" s="13" t="str">
        <f>IFERROR(B234/B446, "NA")</f>
        <v>NA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0</v>
      </c>
      <c r="I234" s="13">
        <f>IFERROR(H234/H446, "NA")</f>
        <v>0</v>
      </c>
      <c r="J234" s="14"/>
      <c r="K234" s="12">
        <v>176.68</v>
      </c>
      <c r="L234" s="13">
        <f>IFERROR(K234/K446, "NA")</f>
        <v>0.002316796935</v>
      </c>
      <c r="M234" s="14"/>
      <c r="N234" s="15">
        <f t="shared" si="66"/>
        <v>176.68</v>
      </c>
      <c r="O234" s="13">
        <f>IFERROR(N234/N446, "NA")</f>
        <v>-0.002316796935</v>
      </c>
      <c r="P234" s="14"/>
      <c r="Q234" s="12">
        <v>3381.43</v>
      </c>
      <c r="R234" s="13">
        <f>IFERROR(Q234/Q446, "NA")</f>
        <v>0.006097460149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-3381.43</v>
      </c>
      <c r="X234" s="13">
        <f>IFERROR(W234/W446, "NA")</f>
        <v>0.02006977768</v>
      </c>
      <c r="Y234" s="14"/>
      <c r="Z234" s="12">
        <v>4417.45</v>
      </c>
      <c r="AA234" s="13">
        <f>IFERROR(Z234/Z446, "NA")</f>
        <v>0.006606062578</v>
      </c>
      <c r="AB234" s="14"/>
      <c r="AC234" s="15">
        <f t="shared" si="68"/>
        <v>1036.02</v>
      </c>
      <c r="AD234" s="13">
        <f>IFERROR(AC234/AC446, "NA")</f>
        <v>-0.009077330794</v>
      </c>
    </row>
    <row r="235" ht="16.5" customHeight="1">
      <c r="A235" s="11" t="s">
        <v>217</v>
      </c>
      <c r="B235" s="12">
        <v>0.0</v>
      </c>
      <c r="C235" s="13" t="str">
        <f>IFERROR(B235/B446, "NA")</f>
        <v>NA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0</v>
      </c>
      <c r="I235" s="13">
        <f>IFERROR(H235/H446, "NA")</f>
        <v>0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0</v>
      </c>
      <c r="O235" s="13">
        <f>IFERROR(N235/N446, "NA")</f>
        <v>0</v>
      </c>
      <c r="P235" s="14"/>
      <c r="Q235" s="12">
        <v>122.25</v>
      </c>
      <c r="R235" s="13">
        <f>IFERROR(Q235/Q446, "NA")</f>
        <v>0.0002204435707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-122.25</v>
      </c>
      <c r="X235" s="13">
        <f>IFERROR(W235/W446, "NA")</f>
        <v>0.0007255895645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-122.25</v>
      </c>
      <c r="AD235" s="13">
        <f>IFERROR(AC235/AC446, "NA")</f>
        <v>0.001071121879</v>
      </c>
    </row>
    <row r="236" ht="16.5" customHeight="1">
      <c r="A236" s="16" t="s">
        <v>218</v>
      </c>
      <c r="B236" s="17">
        <f>IFERROR(B229+B230+B231+B232+B233+B234+B235, "NA")</f>
        <v>0</v>
      </c>
      <c r="C236" s="18" t="str">
        <f>IFERROR(B236/B446, "NA")</f>
        <v>NA</v>
      </c>
      <c r="D236" s="8"/>
      <c r="E236" s="17">
        <f>IFERROR(E229+E230+E231+E232+E233+E234+E235, "NA")</f>
        <v>665.75</v>
      </c>
      <c r="F236" s="18">
        <f>IFERROR(E236/E446, "NA")</f>
        <v>0.007999953857</v>
      </c>
      <c r="G236" s="8"/>
      <c r="H236" s="17">
        <f t="shared" si="65"/>
        <v>665.75</v>
      </c>
      <c r="I236" s="18">
        <f>IFERROR(H236/H446, "NA")</f>
        <v>-0.007999953857</v>
      </c>
      <c r="J236" s="8"/>
      <c r="K236" s="17">
        <f>IFERROR(K229+K230+K231+K232+K233+K234+K235, "NA")</f>
        <v>267.68</v>
      </c>
      <c r="L236" s="18">
        <f>IFERROR(K236/K446, "NA")</f>
        <v>0.003510075864</v>
      </c>
      <c r="M236" s="8"/>
      <c r="N236" s="17">
        <f t="shared" si="66"/>
        <v>267.68</v>
      </c>
      <c r="O236" s="18">
        <f>IFERROR(N236/N446, "NA")</f>
        <v>-0.003510075864</v>
      </c>
      <c r="P236" s="8"/>
      <c r="Q236" s="17">
        <f>IFERROR(Q229+Q230+Q231+Q232+Q233+Q234+Q235, "NA")</f>
        <v>3629.68</v>
      </c>
      <c r="R236" s="18">
        <f>IFERROR(Q236/Q446, "NA")</f>
        <v>0.006545109363</v>
      </c>
      <c r="S236" s="8"/>
      <c r="T236" s="17">
        <f>IFERROR(T229+T230+T231+T232+T233+T234+T235, "NA")</f>
        <v>5784.38</v>
      </c>
      <c r="U236" s="18">
        <f>IFERROR(T236/T446, "NA")</f>
        <v>0.008000001438</v>
      </c>
      <c r="V236" s="8"/>
      <c r="W236" s="17">
        <f t="shared" si="67"/>
        <v>2154.7</v>
      </c>
      <c r="X236" s="18">
        <f>IFERROR(W236/W446, "NA")</f>
        <v>-0.01278877574</v>
      </c>
      <c r="Y236" s="8"/>
      <c r="Z236" s="17">
        <f>IFERROR(Z229+Z230+Z231+Z232+Z233+Z234+Z235, "NA")</f>
        <v>5389.45</v>
      </c>
      <c r="AA236" s="18">
        <f>IFERROR(Z236/Z446, "NA")</f>
        <v>0.008059637112</v>
      </c>
      <c r="AB236" s="8"/>
      <c r="AC236" s="17">
        <f t="shared" si="68"/>
        <v>1759.77</v>
      </c>
      <c r="AD236" s="18">
        <f>IFERROR(AC236/AC446, "NA")</f>
        <v>-0.01541863517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 t="str">
        <f>IFERROR(B238/B446, "NA")</f>
        <v>NA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 t="str">
        <f>IFERROR(B240/B446, "NA")</f>
        <v>NA</v>
      </c>
      <c r="D240" s="14"/>
      <c r="E240" s="12">
        <v>4493.84</v>
      </c>
      <c r="F240" s="13">
        <f>IFERROR(E240/E446, "NA")</f>
        <v>0.05400001899</v>
      </c>
      <c r="G240" s="14"/>
      <c r="H240" s="15">
        <f t="shared" ref="H240:H264" si="69">IFERROR(-(B240-E240), "NA")</f>
        <v>4493.84</v>
      </c>
      <c r="I240" s="13">
        <f>IFERROR(H240/H446, "NA")</f>
        <v>-0.05400001899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39044.56</v>
      </c>
      <c r="U240" s="13">
        <f>IFERROR(T240/T446, "NA")</f>
        <v>0.05400000279</v>
      </c>
      <c r="V240" s="14"/>
      <c r="W240" s="15">
        <f t="shared" ref="W240:W264" si="71">IFERROR(-(Q240-T240), "NA")</f>
        <v>39044.56</v>
      </c>
      <c r="X240" s="13">
        <f>IFERROR(W240/W446, "NA")</f>
        <v>-0.2317409021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customHeight="1">
      <c r="A241" s="11" t="s">
        <v>221</v>
      </c>
      <c r="B241" s="12">
        <v>0.0</v>
      </c>
      <c r="C241" s="13" t="str">
        <f>IFERROR(B241/B446, "NA")</f>
        <v>NA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0</v>
      </c>
      <c r="I241" s="13">
        <f>IFERROR(H241/H446, "NA")</f>
        <v>0</v>
      </c>
      <c r="J241" s="14"/>
      <c r="K241" s="12">
        <v>29.88</v>
      </c>
      <c r="L241" s="13">
        <f>IFERROR(K241/K446, "NA")</f>
        <v>0.0003918151031</v>
      </c>
      <c r="M241" s="14"/>
      <c r="N241" s="15">
        <f t="shared" si="70"/>
        <v>29.88</v>
      </c>
      <c r="O241" s="13">
        <f>IFERROR(N241/N446, "NA")</f>
        <v>-0.0003918151031</v>
      </c>
      <c r="P241" s="14"/>
      <c r="Q241" s="12">
        <v>518.18</v>
      </c>
      <c r="R241" s="13">
        <f>IFERROR(Q241/Q446, "NA")</f>
        <v>0.0009343922246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-518.18</v>
      </c>
      <c r="X241" s="13">
        <f>IFERROR(W241/W446, "NA")</f>
        <v>0.003075550107</v>
      </c>
      <c r="Y241" s="14"/>
      <c r="Z241" s="12">
        <v>976.18</v>
      </c>
      <c r="AA241" s="13">
        <f>IFERROR(Z241/Z446, "NA")</f>
        <v>0.001459825503</v>
      </c>
      <c r="AB241" s="14"/>
      <c r="AC241" s="15">
        <f t="shared" si="72"/>
        <v>458</v>
      </c>
      <c r="AD241" s="13">
        <f>IFERROR(AC241/AC446, "NA")</f>
        <v>-0.00401287379</v>
      </c>
    </row>
    <row r="242" ht="16.5" customHeight="1">
      <c r="A242" s="11" t="s">
        <v>222</v>
      </c>
      <c r="B242" s="12">
        <v>0.0</v>
      </c>
      <c r="C242" s="13" t="str">
        <f>IFERROR(B242/B446, "NA")</f>
        <v>NA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0</v>
      </c>
      <c r="I242" s="13">
        <f>IFERROR(H242/H446, "NA")</f>
        <v>0</v>
      </c>
      <c r="J242" s="14"/>
      <c r="K242" s="12">
        <v>410.5</v>
      </c>
      <c r="L242" s="13">
        <f>IFERROR(K242/K446, "NA")</f>
        <v>0.005382868134</v>
      </c>
      <c r="M242" s="14"/>
      <c r="N242" s="15">
        <f t="shared" si="70"/>
        <v>410.5</v>
      </c>
      <c r="O242" s="13">
        <f>IFERROR(N242/N446, "NA")</f>
        <v>-0.005382868134</v>
      </c>
      <c r="P242" s="14"/>
      <c r="Q242" s="12">
        <v>4015.89</v>
      </c>
      <c r="R242" s="13">
        <f>IFERROR(Q242/Q446, "NA")</f>
        <v>0.007241530725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-4015.89</v>
      </c>
      <c r="X242" s="13">
        <f>IFERROR(W242/W446, "NA")</f>
        <v>0.02383548365</v>
      </c>
      <c r="Y242" s="14"/>
      <c r="Z242" s="12">
        <v>4630.46</v>
      </c>
      <c r="AA242" s="13">
        <f>IFERROR(Z242/Z446, "NA")</f>
        <v>0.006924607755</v>
      </c>
      <c r="AB242" s="14"/>
      <c r="AC242" s="15">
        <f t="shared" si="72"/>
        <v>614.57</v>
      </c>
      <c r="AD242" s="13">
        <f>IFERROR(AC242/AC446, "NA")</f>
        <v>-0.005384698351</v>
      </c>
    </row>
    <row r="243" ht="16.5" customHeight="1">
      <c r="A243" s="11" t="s">
        <v>223</v>
      </c>
      <c r="B243" s="12">
        <v>0.0</v>
      </c>
      <c r="C243" s="13" t="str">
        <f>IFERROR(B243/B446, "NA")</f>
        <v>NA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0</v>
      </c>
      <c r="I243" s="13">
        <f>IFERROR(H243/H446, "NA")</f>
        <v>0</v>
      </c>
      <c r="J243" s="14"/>
      <c r="K243" s="12">
        <v>343.61</v>
      </c>
      <c r="L243" s="13">
        <f>IFERROR(K243/K446, "NA")</f>
        <v>0.004505742556</v>
      </c>
      <c r="M243" s="14"/>
      <c r="N243" s="15">
        <f t="shared" si="70"/>
        <v>343.61</v>
      </c>
      <c r="O243" s="13">
        <f>IFERROR(N243/N446, "NA")</f>
        <v>-0.004505742556</v>
      </c>
      <c r="P243" s="14"/>
      <c r="Q243" s="12">
        <v>1958.88</v>
      </c>
      <c r="R243" s="13">
        <f>IFERROR(Q243/Q446, "NA")</f>
        <v>0.003532290403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-1958.88</v>
      </c>
      <c r="X243" s="13">
        <f>IFERROR(W243/W446, "NA")</f>
        <v>0.01162652668</v>
      </c>
      <c r="Y243" s="14"/>
      <c r="Z243" s="12">
        <v>6348.56</v>
      </c>
      <c r="AA243" s="13">
        <f>IFERROR(Z243/Z446, "NA")</f>
        <v>0.009493935334</v>
      </c>
      <c r="AB243" s="14"/>
      <c r="AC243" s="15">
        <f t="shared" si="72"/>
        <v>4389.68</v>
      </c>
      <c r="AD243" s="13">
        <f>IFERROR(AC243/AC446, "NA")</f>
        <v>-0.03846120484</v>
      </c>
    </row>
    <row r="244" ht="16.5" customHeight="1">
      <c r="A244" s="11" t="s">
        <v>224</v>
      </c>
      <c r="B244" s="12">
        <v>0.0</v>
      </c>
      <c r="C244" s="13" t="str">
        <f>IFERROR(B244/B446, "NA")</f>
        <v>NA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0</v>
      </c>
      <c r="I244" s="13">
        <f>IFERROR(H244/H446, "NA")</f>
        <v>0</v>
      </c>
      <c r="J244" s="14"/>
      <c r="K244" s="12">
        <v>1581.25</v>
      </c>
      <c r="L244" s="13">
        <f>IFERROR(K244/K446, "NA")</f>
        <v>0.0207348605</v>
      </c>
      <c r="M244" s="14"/>
      <c r="N244" s="15">
        <f t="shared" si="70"/>
        <v>1581.25</v>
      </c>
      <c r="O244" s="13">
        <f>IFERROR(N244/N446, "NA")</f>
        <v>-0.0207348605</v>
      </c>
      <c r="P244" s="14"/>
      <c r="Q244" s="12">
        <v>8681.05</v>
      </c>
      <c r="R244" s="13">
        <f>IFERROR(Q244/Q446, "NA")</f>
        <v>0.0156538377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-8681.05</v>
      </c>
      <c r="X244" s="13">
        <f>IFERROR(W244/W446, "NA")</f>
        <v>0.05152457496</v>
      </c>
      <c r="Y244" s="14"/>
      <c r="Z244" s="12">
        <v>6292.44</v>
      </c>
      <c r="AA244" s="13">
        <f>IFERROR(Z244/Z446, "NA")</f>
        <v>0.009410010846</v>
      </c>
      <c r="AB244" s="14"/>
      <c r="AC244" s="15">
        <f t="shared" si="72"/>
        <v>-2388.61</v>
      </c>
      <c r="AD244" s="13">
        <f>IFERROR(AC244/AC446, "NA")</f>
        <v>0.02092836346</v>
      </c>
    </row>
    <row r="245" ht="16.5" hidden="1" customHeight="1">
      <c r="A245" s="11" t="s">
        <v>225</v>
      </c>
      <c r="B245" s="12">
        <v>0.0</v>
      </c>
      <c r="C245" s="13" t="str">
        <f>IFERROR(B245/B446, "NA")</f>
        <v>NA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0.0</v>
      </c>
      <c r="C246" s="13" t="str">
        <f>IFERROR(B246/B446, "NA")</f>
        <v>NA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0</v>
      </c>
      <c r="I246" s="13">
        <f>IFERROR(H246/H446, "NA")</f>
        <v>0</v>
      </c>
      <c r="J246" s="14"/>
      <c r="K246" s="12">
        <v>159.68</v>
      </c>
      <c r="L246" s="13">
        <f>IFERROR(K246/K446, "NA")</f>
        <v>0.002093876696</v>
      </c>
      <c r="M246" s="14"/>
      <c r="N246" s="15">
        <f t="shared" si="70"/>
        <v>159.68</v>
      </c>
      <c r="O246" s="13">
        <f>IFERROR(N246/N446, "NA")</f>
        <v>-0.002093876696</v>
      </c>
      <c r="P246" s="14"/>
      <c r="Q246" s="12">
        <v>627.95</v>
      </c>
      <c r="R246" s="13">
        <f>IFERROR(Q246/Q446, "NA")</f>
        <v>0.001132331617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-627.95</v>
      </c>
      <c r="X246" s="13">
        <f>IFERROR(W246/W446, "NA")</f>
        <v>0.003727067215</v>
      </c>
      <c r="Y246" s="14"/>
      <c r="Z246" s="12">
        <v>1279.89</v>
      </c>
      <c r="AA246" s="13">
        <f>IFERROR(Z246/Z446, "NA")</f>
        <v>0.001914007727</v>
      </c>
      <c r="AB246" s="14"/>
      <c r="AC246" s="15">
        <f t="shared" si="72"/>
        <v>651.94</v>
      </c>
      <c r="AD246" s="13">
        <f>IFERROR(AC246/AC446, "NA")</f>
        <v>-0.00571212432</v>
      </c>
    </row>
    <row r="247" ht="16.5" hidden="1" customHeight="1">
      <c r="A247" s="11" t="s">
        <v>227</v>
      </c>
      <c r="B247" s="12">
        <v>0.0</v>
      </c>
      <c r="C247" s="13" t="str">
        <f>IFERROR(B247/B446, "NA")</f>
        <v>NA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0.0</v>
      </c>
      <c r="C248" s="13" t="str">
        <f>IFERROR(B248/B446, "NA")</f>
        <v>NA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0</v>
      </c>
      <c r="I248" s="13">
        <f>IFERROR(H248/H446, "NA")</f>
        <v>0</v>
      </c>
      <c r="J248" s="14"/>
      <c r="K248" s="12">
        <v>202.94</v>
      </c>
      <c r="L248" s="13">
        <f>IFERROR(K248/K446, "NA")</f>
        <v>0.00266114314</v>
      </c>
      <c r="M248" s="14"/>
      <c r="N248" s="15">
        <f t="shared" si="70"/>
        <v>202.94</v>
      </c>
      <c r="O248" s="13">
        <f>IFERROR(N248/N446, "NA")</f>
        <v>-0.00266114314</v>
      </c>
      <c r="P248" s="14"/>
      <c r="Q248" s="12">
        <v>1190.46</v>
      </c>
      <c r="R248" s="13">
        <f>IFERROR(Q248/Q446, "NA")</f>
        <v>0.002146660558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-1190.46</v>
      </c>
      <c r="X248" s="13">
        <f>IFERROR(W248/W446, "NA")</f>
        <v>0.007065728859</v>
      </c>
      <c r="Y248" s="14"/>
      <c r="Z248" s="12">
        <v>1619.97</v>
      </c>
      <c r="AA248" s="13">
        <f>IFERROR(Z248/Z446, "NA")</f>
        <v>0.00242257936</v>
      </c>
      <c r="AB248" s="14"/>
      <c r="AC248" s="15">
        <f t="shared" si="72"/>
        <v>429.51</v>
      </c>
      <c r="AD248" s="13">
        <f>IFERROR(AC248/AC446, "NA")</f>
        <v>-0.003763252012</v>
      </c>
    </row>
    <row r="249" ht="16.5" customHeight="1">
      <c r="A249" s="11" t="s">
        <v>229</v>
      </c>
      <c r="B249" s="12">
        <v>0.0</v>
      </c>
      <c r="C249" s="13" t="str">
        <f>IFERROR(B249/B446, "NA")</f>
        <v>NA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0</v>
      </c>
      <c r="I249" s="13">
        <f>IFERROR(H249/H446, "NA")</f>
        <v>0</v>
      </c>
      <c r="J249" s="14"/>
      <c r="K249" s="12">
        <v>748.37</v>
      </c>
      <c r="L249" s="13">
        <f>IFERROR(K249/K446, "NA")</f>
        <v>0.009813342327</v>
      </c>
      <c r="M249" s="14"/>
      <c r="N249" s="15">
        <f t="shared" si="70"/>
        <v>748.37</v>
      </c>
      <c r="O249" s="13">
        <f>IFERROR(N249/N446, "NA")</f>
        <v>-0.009813342327</v>
      </c>
      <c r="P249" s="14"/>
      <c r="Q249" s="12">
        <v>11759.23</v>
      </c>
      <c r="R249" s="13">
        <f>IFERROR(Q249/Q446, "NA")</f>
        <v>0.02120447157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-11759.23</v>
      </c>
      <c r="X249" s="13">
        <f>IFERROR(W249/W446, "NA")</f>
        <v>0.06979447505</v>
      </c>
      <c r="Y249" s="14"/>
      <c r="Z249" s="12">
        <v>10778.78</v>
      </c>
      <c r="AA249" s="13">
        <f>IFERROR(Z249/Z446, "NA")</f>
        <v>0.01611909477</v>
      </c>
      <c r="AB249" s="14"/>
      <c r="AC249" s="15">
        <f t="shared" si="72"/>
        <v>-980.45</v>
      </c>
      <c r="AD249" s="13">
        <f>IFERROR(AC249/AC446, "NA")</f>
        <v>0.008590441282</v>
      </c>
    </row>
    <row r="250" ht="16.5" hidden="1" customHeight="1">
      <c r="A250" s="11" t="s">
        <v>230</v>
      </c>
      <c r="B250" s="12">
        <v>0.0</v>
      </c>
      <c r="C250" s="13" t="str">
        <f>IFERROR(B250/B446, "NA")</f>
        <v>NA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customHeight="1">
      <c r="A251" s="11" t="s">
        <v>231</v>
      </c>
      <c r="B251" s="12">
        <v>0.0</v>
      </c>
      <c r="C251" s="13" t="str">
        <f>IFERROR(B251/B446, "NA")</f>
        <v>NA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0</v>
      </c>
      <c r="I251" s="13">
        <f>IFERROR(H251/H446, "NA")</f>
        <v>0</v>
      </c>
      <c r="J251" s="14"/>
      <c r="K251" s="12">
        <v>0.0</v>
      </c>
      <c r="L251" s="13">
        <f>IFERROR(K251/K446, "NA")</f>
        <v>0</v>
      </c>
      <c r="M251" s="14"/>
      <c r="N251" s="15">
        <f t="shared" si="70"/>
        <v>0</v>
      </c>
      <c r="O251" s="13">
        <f>IFERROR(N251/N446, "NA")</f>
        <v>0</v>
      </c>
      <c r="P251" s="14"/>
      <c r="Q251" s="12">
        <v>271.29</v>
      </c>
      <c r="R251" s="13">
        <f>IFERROR(Q251/Q446, "NA")</f>
        <v>0.0004891953889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-271.29</v>
      </c>
      <c r="X251" s="13">
        <f>IFERROR(W251/W446, "NA")</f>
        <v>0.001610185627</v>
      </c>
      <c r="Y251" s="14"/>
      <c r="Z251" s="12">
        <v>29.09</v>
      </c>
      <c r="AA251" s="13">
        <f>IFERROR(Z251/Z446, "NA")</f>
        <v>0.00004350255473</v>
      </c>
      <c r="AB251" s="14"/>
      <c r="AC251" s="15">
        <f t="shared" si="72"/>
        <v>-242.2</v>
      </c>
      <c r="AD251" s="13">
        <f>IFERROR(AC251/AC446, "NA")</f>
        <v>0.002122091773</v>
      </c>
    </row>
    <row r="252" ht="16.5" hidden="1" customHeight="1">
      <c r="A252" s="11" t="s">
        <v>232</v>
      </c>
      <c r="B252" s="12">
        <v>0.0</v>
      </c>
      <c r="C252" s="13" t="str">
        <f>IFERROR(B252/B446, "NA")</f>
        <v>NA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customHeight="1">
      <c r="A253" s="11" t="s">
        <v>233</v>
      </c>
      <c r="B253" s="12">
        <v>0.0</v>
      </c>
      <c r="C253" s="13" t="str">
        <f>IFERROR(B253/B446, "NA")</f>
        <v>NA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0</v>
      </c>
      <c r="I253" s="13">
        <f>IFERROR(H253/H446, "NA")</f>
        <v>0</v>
      </c>
      <c r="J253" s="14"/>
      <c r="K253" s="12">
        <v>485.07</v>
      </c>
      <c r="L253" s="13">
        <f>IFERROR(K253/K446, "NA")</f>
        <v>0.006360701207</v>
      </c>
      <c r="M253" s="14"/>
      <c r="N253" s="15">
        <f t="shared" si="70"/>
        <v>485.07</v>
      </c>
      <c r="O253" s="13">
        <f>IFERROR(N253/N446, "NA")</f>
        <v>-0.006360701207</v>
      </c>
      <c r="P253" s="14"/>
      <c r="Q253" s="12">
        <v>1100.22</v>
      </c>
      <c r="R253" s="13">
        <f>IFERROR(Q253/Q446, "NA")</f>
        <v>0.00198393804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-1100.22</v>
      </c>
      <c r="X253" s="13">
        <f>IFERROR(W253/W446, "NA")</f>
        <v>0.006530128022</v>
      </c>
      <c r="Y253" s="14"/>
      <c r="Z253" s="12">
        <v>1859.24</v>
      </c>
      <c r="AA253" s="13">
        <f>IFERROR(Z253/Z446, "NA")</f>
        <v>0.002780394976</v>
      </c>
      <c r="AB253" s="14"/>
      <c r="AC253" s="15">
        <f t="shared" si="72"/>
        <v>759.02</v>
      </c>
      <c r="AD253" s="13">
        <f>IFERROR(AC253/AC446, "NA")</f>
        <v>-0.006650330707</v>
      </c>
    </row>
    <row r="254" ht="16.5" customHeight="1">
      <c r="A254" s="11" t="s">
        <v>234</v>
      </c>
      <c r="B254" s="12">
        <v>0.0</v>
      </c>
      <c r="C254" s="13" t="str">
        <f>IFERROR(B254/B446, "NA")</f>
        <v>NA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0</v>
      </c>
      <c r="I254" s="13">
        <f>IFERROR(H254/H446, "NA")</f>
        <v>0</v>
      </c>
      <c r="J254" s="14"/>
      <c r="K254" s="12">
        <v>0.0</v>
      </c>
      <c r="L254" s="13">
        <f>IFERROR(K254/K446, "NA")</f>
        <v>0</v>
      </c>
      <c r="M254" s="14"/>
      <c r="N254" s="15">
        <f t="shared" si="70"/>
        <v>0</v>
      </c>
      <c r="O254" s="13">
        <f>IFERROR(N254/N446, "NA")</f>
        <v>0</v>
      </c>
      <c r="P254" s="14"/>
      <c r="Q254" s="12">
        <v>0.0</v>
      </c>
      <c r="R254" s="13">
        <f>IFERROR(Q254/Q446, "NA")</f>
        <v>0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0</v>
      </c>
      <c r="X254" s="13">
        <f>IFERROR(W254/W446, "NA")</f>
        <v>0</v>
      </c>
      <c r="Y254" s="14"/>
      <c r="Z254" s="12">
        <v>721.84</v>
      </c>
      <c r="AA254" s="13">
        <f>IFERROR(Z254/Z446, "NA")</f>
        <v>0.0010794735</v>
      </c>
      <c r="AB254" s="14"/>
      <c r="AC254" s="15">
        <f t="shared" si="72"/>
        <v>721.84</v>
      </c>
      <c r="AD254" s="13">
        <f>IFERROR(AC254/AC446, "NA")</f>
        <v>-0.006324569468</v>
      </c>
    </row>
    <row r="255" ht="16.5" hidden="1" customHeight="1">
      <c r="A255" s="11" t="s">
        <v>235</v>
      </c>
      <c r="B255" s="12">
        <v>0.0</v>
      </c>
      <c r="C255" s="13" t="str">
        <f>IFERROR(B255/B446, "NA")</f>
        <v>NA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 t="str">
        <f>IFERROR(B256/B446, "NA")</f>
        <v>NA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hidden="1" customHeight="1">
      <c r="A257" s="11" t="s">
        <v>237</v>
      </c>
      <c r="B257" s="12">
        <v>0.0</v>
      </c>
      <c r="C257" s="13" t="str">
        <f>IFERROR(B257/B446, "NA")</f>
        <v>NA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0.0</v>
      </c>
      <c r="AA257" s="13">
        <f>IFERROR(Z257/Z446, "NA")</f>
        <v>0</v>
      </c>
      <c r="AB257" s="14"/>
      <c r="AC257" s="15">
        <f t="shared" si="72"/>
        <v>0</v>
      </c>
      <c r="AD257" s="13">
        <f>IFERROR(AC257/AC446, "NA")</f>
        <v>0</v>
      </c>
    </row>
    <row r="258" ht="16.5" customHeight="1">
      <c r="A258" s="11" t="s">
        <v>238</v>
      </c>
      <c r="B258" s="12">
        <v>0.0</v>
      </c>
      <c r="C258" s="13" t="str">
        <f>IFERROR(B258/B446, "NA")</f>
        <v>NA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0</v>
      </c>
      <c r="I258" s="13">
        <f>IFERROR(H258/H446, "NA")</f>
        <v>0</v>
      </c>
      <c r="J258" s="14"/>
      <c r="K258" s="12">
        <v>419.39</v>
      </c>
      <c r="L258" s="13">
        <f>IFERROR(K258/K446, "NA")</f>
        <v>0.005499442306</v>
      </c>
      <c r="M258" s="14"/>
      <c r="N258" s="15">
        <f t="shared" si="70"/>
        <v>419.39</v>
      </c>
      <c r="O258" s="13">
        <f>IFERROR(N258/N446, "NA")</f>
        <v>-0.005499442306</v>
      </c>
      <c r="P258" s="14"/>
      <c r="Q258" s="12">
        <v>755.18</v>
      </c>
      <c r="R258" s="13">
        <f>IFERROR(Q258/Q446, "NA")</f>
        <v>0.001361755221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-755.18</v>
      </c>
      <c r="X258" s="13">
        <f>IFERROR(W258/W446, "NA")</f>
        <v>0.004482214539</v>
      </c>
      <c r="Y258" s="14"/>
      <c r="Z258" s="12">
        <v>2088.66</v>
      </c>
      <c r="AA258" s="13">
        <f>IFERROR(Z258/Z446, "NA")</f>
        <v>0.003123480439</v>
      </c>
      <c r="AB258" s="14"/>
      <c r="AC258" s="15">
        <f t="shared" si="72"/>
        <v>1333.48</v>
      </c>
      <c r="AD258" s="13">
        <f>IFERROR(AC258/AC446, "NA")</f>
        <v>-0.01168359594</v>
      </c>
    </row>
    <row r="259" ht="16.5" hidden="1" customHeight="1">
      <c r="A259" s="11" t="s">
        <v>239</v>
      </c>
      <c r="B259" s="12">
        <v>0.0</v>
      </c>
      <c r="C259" s="13" t="str">
        <f>IFERROR(B259/B446, "NA")</f>
        <v>NA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customHeight="1">
      <c r="A260" s="11" t="s">
        <v>240</v>
      </c>
      <c r="B260" s="12">
        <v>0.0</v>
      </c>
      <c r="C260" s="13" t="str">
        <f>IFERROR(B260/B446, "NA")</f>
        <v>NA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0</v>
      </c>
      <c r="I260" s="13">
        <f>IFERROR(H260/H446, "NA")</f>
        <v>0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0</v>
      </c>
      <c r="O260" s="13">
        <f>IFERROR(N260/N446, "NA")</f>
        <v>0</v>
      </c>
      <c r="P260" s="14"/>
      <c r="Q260" s="12">
        <v>5076.9</v>
      </c>
      <c r="R260" s="13">
        <f>IFERROR(Q260/Q446, "NA")</f>
        <v>0.009154764532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-5076.9</v>
      </c>
      <c r="X260" s="13">
        <f>IFERROR(W260/W446, "NA")</f>
        <v>0.03013288884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-5076.9</v>
      </c>
      <c r="AD260" s="13">
        <f>IFERROR(AC260/AC446, "NA")</f>
        <v>0.04448244311</v>
      </c>
    </row>
    <row r="261" ht="16.5" hidden="1" customHeight="1">
      <c r="A261" s="11" t="s">
        <v>241</v>
      </c>
      <c r="B261" s="12">
        <v>0.0</v>
      </c>
      <c r="C261" s="13" t="str">
        <f>IFERROR(B261/B446, "NA")</f>
        <v>NA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0.0</v>
      </c>
      <c r="R261" s="13">
        <f>IFERROR(Q261/Q446, "NA")</f>
        <v>0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0</v>
      </c>
      <c r="X261" s="13">
        <f>IFERROR(W261/W446, "NA")</f>
        <v>0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0</v>
      </c>
      <c r="AD261" s="13">
        <f>IFERROR(AC261/AC446, "NA")</f>
        <v>0</v>
      </c>
    </row>
    <row r="262" ht="16.5" hidden="1" customHeight="1">
      <c r="A262" s="11" t="s">
        <v>242</v>
      </c>
      <c r="B262" s="12">
        <v>0.0</v>
      </c>
      <c r="C262" s="13" t="str">
        <f>IFERROR(B262/B446, "NA")</f>
        <v>NA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0</v>
      </c>
      <c r="I262" s="13">
        <f>IFERROR(H262/H446, "NA")</f>
        <v>0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0</v>
      </c>
      <c r="O262" s="13">
        <f>IFERROR(N262/N446, "NA")</f>
        <v>0</v>
      </c>
      <c r="P262" s="14"/>
      <c r="Q262" s="12">
        <v>0.0</v>
      </c>
      <c r="R262" s="13">
        <f>IFERROR(Q262/Q446, "NA")</f>
        <v>0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0</v>
      </c>
      <c r="X262" s="13">
        <f>IFERROR(W262/W446, "NA")</f>
        <v>0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0</v>
      </c>
      <c r="AD262" s="13">
        <f>IFERROR(AC262/AC446, "NA")</f>
        <v>0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0</v>
      </c>
      <c r="C263" s="18" t="str">
        <f>IFERROR(B263/B446, "NA")</f>
        <v>NA</v>
      </c>
      <c r="D263" s="8"/>
      <c r="E263" s="17">
        <f>IFERROR(E240+E241+E242+E243+E244+E245+E246+E247+E248+E249+E250+E251+E252+E253+E254+E255+E256+E257+E258+E259+E260+E261+E262, "NA")</f>
        <v>4493.84</v>
      </c>
      <c r="F263" s="18">
        <f>IFERROR(E263/E446, "NA")</f>
        <v>0.05400001899</v>
      </c>
      <c r="G263" s="8"/>
      <c r="H263" s="17">
        <f t="shared" si="69"/>
        <v>4493.84</v>
      </c>
      <c r="I263" s="18">
        <f>IFERROR(H263/H446, "NA")</f>
        <v>-0.05400001899</v>
      </c>
      <c r="J263" s="8"/>
      <c r="K263" s="17">
        <f>IFERROR(K240+K241+K242+K243+K244+K245+K246+K247+K248+K249+K250+K251+K252+K253+K254+K255+K256+K257+K258+K259+K260+K261+K262, "NA")</f>
        <v>4380.69</v>
      </c>
      <c r="L263" s="18">
        <f>IFERROR(K263/K446, "NA")</f>
        <v>0.05744379197</v>
      </c>
      <c r="M263" s="8"/>
      <c r="N263" s="17">
        <f t="shared" si="70"/>
        <v>4380.69</v>
      </c>
      <c r="O263" s="18">
        <f>IFERROR(N263/N446, "NA")</f>
        <v>-0.05744379197</v>
      </c>
      <c r="P263" s="8"/>
      <c r="Q263" s="17">
        <f>IFERROR(Q240+Q241+Q242+Q243+Q244+Q245+Q246+Q247+Q248+Q249+Q250+Q251+Q252+Q253+Q254+Q255+Q256+Q257+Q258+Q259+Q260+Q261+Q262, "NA")</f>
        <v>35955.23</v>
      </c>
      <c r="R263" s="18">
        <f>IFERROR(Q263/Q446, "NA")</f>
        <v>0.06483516799</v>
      </c>
      <c r="S263" s="8"/>
      <c r="T263" s="17">
        <f>IFERROR(T240+T241+T242+T243+T244+T245+T246+T247+T248+T249+T250+T251+T252+T253+T254+T255+T256+T257+T258+T259+T260+T261+T262, "NA")</f>
        <v>39044.56</v>
      </c>
      <c r="U263" s="18">
        <f>IFERROR(T263/T446, "NA")</f>
        <v>0.05400000279</v>
      </c>
      <c r="V263" s="8"/>
      <c r="W263" s="17">
        <f t="shared" si="71"/>
        <v>3089.33</v>
      </c>
      <c r="X263" s="18">
        <f>IFERROR(W263/W446, "NA")</f>
        <v>-0.0183360786</v>
      </c>
      <c r="Y263" s="8"/>
      <c r="Z263" s="17">
        <f>IFERROR(Z240+Z241+Z242+Z243+Z244+Z245+Z246+Z247+Z248+Z249+Z250+Z251+Z252+Z253+Z254+Z255+Z256+Z257+Z258+Z259+Z260+Z261+Z262, "NA")</f>
        <v>36625.11</v>
      </c>
      <c r="AA263" s="18">
        <f>IFERROR(Z263/Z446, "NA")</f>
        <v>0.05477091277</v>
      </c>
      <c r="AB263" s="8"/>
      <c r="AC263" s="17">
        <f t="shared" si="72"/>
        <v>669.88</v>
      </c>
      <c r="AD263" s="18">
        <f>IFERROR(AC263/AC446, "NA")</f>
        <v>-0.005869309813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0</v>
      </c>
      <c r="C264" s="18" t="str">
        <f>IFERROR(B264/B446, "NA")</f>
        <v>NA</v>
      </c>
      <c r="D264" s="8"/>
      <c r="E264" s="17">
        <f>IFERROR(E238+E240+E241+E242+E243+E244+E245+E246+E247+E248+E249+E250+E251+E252+E253+E254+E255+E256+E257+E258+E259+E260+E261+E262, "NA")</f>
        <v>4493.84</v>
      </c>
      <c r="F264" s="18">
        <f>IFERROR(E264/E446, "NA")</f>
        <v>0.05400001899</v>
      </c>
      <c r="G264" s="8"/>
      <c r="H264" s="17">
        <f t="shared" si="69"/>
        <v>4493.84</v>
      </c>
      <c r="I264" s="18">
        <f>IFERROR(H264/H446, "NA")</f>
        <v>-0.05400001899</v>
      </c>
      <c r="J264" s="8"/>
      <c r="K264" s="17">
        <f>IFERROR(K238+K240+K241+K242+K243+K244+K245+K246+K247+K248+K249+K250+K251+K252+K253+K254+K255+K256+K257+K258+K259+K260+K261+K262, "NA")</f>
        <v>4380.69</v>
      </c>
      <c r="L264" s="18">
        <f>IFERROR(K264/K446, "NA")</f>
        <v>0.05744379197</v>
      </c>
      <c r="M264" s="8"/>
      <c r="N264" s="17">
        <f t="shared" si="70"/>
        <v>4380.69</v>
      </c>
      <c r="O264" s="18">
        <f>IFERROR(N264/N446, "NA")</f>
        <v>-0.05744379197</v>
      </c>
      <c r="P264" s="8"/>
      <c r="Q264" s="17">
        <f>IFERROR(Q238+Q240+Q241+Q242+Q243+Q244+Q245+Q246+Q247+Q248+Q249+Q250+Q251+Q252+Q253+Q254+Q255+Q256+Q257+Q258+Q259+Q260+Q261+Q262, "NA")</f>
        <v>35955.23</v>
      </c>
      <c r="R264" s="18">
        <f>IFERROR(Q264/Q446, "NA")</f>
        <v>0.06483516799</v>
      </c>
      <c r="S264" s="8"/>
      <c r="T264" s="17">
        <f>IFERROR(T238+T240+T241+T242+T243+T244+T245+T246+T247+T248+T249+T250+T251+T252+T253+T254+T255+T256+T257+T258+T259+T260+T261+T262, "NA")</f>
        <v>39044.56</v>
      </c>
      <c r="U264" s="18">
        <f>IFERROR(T264/T446, "NA")</f>
        <v>0.05400000279</v>
      </c>
      <c r="V264" s="8"/>
      <c r="W264" s="17">
        <f t="shared" si="71"/>
        <v>3089.33</v>
      </c>
      <c r="X264" s="18">
        <f>IFERROR(W264/W446, "NA")</f>
        <v>-0.0183360786</v>
      </c>
      <c r="Y264" s="8"/>
      <c r="Z264" s="17">
        <f>IFERROR(Z238+Z240+Z241+Z242+Z243+Z244+Z245+Z246+Z247+Z248+Z249+Z250+Z251+Z252+Z253+Z254+Z255+Z256+Z257+Z258+Z259+Z260+Z261+Z262, "NA")</f>
        <v>36625.11</v>
      </c>
      <c r="AA264" s="18">
        <f>IFERROR(Z264/Z446, "NA")</f>
        <v>0.05477091277</v>
      </c>
      <c r="AB264" s="8"/>
      <c r="AC264" s="17">
        <f t="shared" si="72"/>
        <v>669.88</v>
      </c>
      <c r="AD264" s="18">
        <f>IFERROR(AC264/AC446, "NA")</f>
        <v>-0.005869309813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0.0</v>
      </c>
      <c r="C266" s="13" t="str">
        <f>IFERROR(B266/B446, "NA")</f>
        <v>NA</v>
      </c>
      <c r="D266" s="14"/>
      <c r="E266" s="12">
        <v>2246.92</v>
      </c>
      <c r="F266" s="13">
        <f>IFERROR(E266/E446, "NA")</f>
        <v>0.02700000949</v>
      </c>
      <c r="G266" s="14"/>
      <c r="H266" s="15">
        <f t="shared" ref="H266:H268" si="73">IFERROR(-(B266-E266), "NA")</f>
        <v>2246.92</v>
      </c>
      <c r="I266" s="13">
        <f>IFERROR(H266/H446, "NA")</f>
        <v>-0.02700000949</v>
      </c>
      <c r="J266" s="14"/>
      <c r="K266" s="12">
        <v>2238.41</v>
      </c>
      <c r="L266" s="13">
        <f>IFERROR(K266/K446, "NA")</f>
        <v>0.02935217018</v>
      </c>
      <c r="M266" s="14"/>
      <c r="N266" s="15">
        <f t="shared" ref="N266:N268" si="74">IFERROR(-(B266-K266), "NA")</f>
        <v>2238.41</v>
      </c>
      <c r="O266" s="13">
        <f>IFERROR(N266/N446, "NA")</f>
        <v>-0.02935217018</v>
      </c>
      <c r="P266" s="14"/>
      <c r="Q266" s="12">
        <v>14830.7</v>
      </c>
      <c r="R266" s="13">
        <f>IFERROR(Q266/Q446, "NA")</f>
        <v>0.02674300584</v>
      </c>
      <c r="S266" s="14"/>
      <c r="T266" s="12">
        <v>19522.27</v>
      </c>
      <c r="U266" s="13">
        <f>IFERROR(T266/T446, "NA")</f>
        <v>0.02699998757</v>
      </c>
      <c r="V266" s="14"/>
      <c r="W266" s="15">
        <f t="shared" ref="W266:W268" si="75">IFERROR(-(Q266-T266), "NA")</f>
        <v>4691.57</v>
      </c>
      <c r="X266" s="13">
        <f>IFERROR(W266/W446, "NA")</f>
        <v>-0.0278458424</v>
      </c>
      <c r="Y266" s="14"/>
      <c r="Z266" s="12">
        <v>18536.38</v>
      </c>
      <c r="AA266" s="13">
        <f>IFERROR(Z266/Z446, "NA")</f>
        <v>0.02772017482</v>
      </c>
      <c r="AB266" s="14"/>
      <c r="AC266" s="15">
        <f t="shared" ref="AC266:AC268" si="76">IFERROR(-(Q266-Z266), "NA")</f>
        <v>3705.68</v>
      </c>
      <c r="AD266" s="13">
        <f>IFERROR(AC266/AC446, "NA")</f>
        <v>-0.03246817936</v>
      </c>
    </row>
    <row r="267" ht="16.5" customHeight="1">
      <c r="A267" s="11" t="s">
        <v>246</v>
      </c>
      <c r="B267" s="12">
        <v>0.0</v>
      </c>
      <c r="C267" s="13" t="str">
        <f>IFERROR(B267/B446, "NA")</f>
        <v>NA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0.0</v>
      </c>
      <c r="L267" s="13">
        <f>IFERROR(K267/K446, "NA")</f>
        <v>0</v>
      </c>
      <c r="M267" s="14"/>
      <c r="N267" s="15">
        <f t="shared" si="74"/>
        <v>0</v>
      </c>
      <c r="O267" s="13">
        <f>IFERROR(N267/N446, "NA")</f>
        <v>0</v>
      </c>
      <c r="P267" s="14"/>
      <c r="Q267" s="12">
        <v>0.0</v>
      </c>
      <c r="R267" s="13">
        <f>IFERROR(Q267/Q446, "NA")</f>
        <v>0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0</v>
      </c>
      <c r="X267" s="13">
        <f>IFERROR(W267/W446, "NA")</f>
        <v>0</v>
      </c>
      <c r="Y267" s="14"/>
      <c r="Z267" s="12">
        <v>441.97</v>
      </c>
      <c r="AA267" s="13">
        <f>IFERROR(Z267/Z446, "NA")</f>
        <v>0.0006609427334</v>
      </c>
      <c r="AB267" s="14"/>
      <c r="AC267" s="15">
        <f t="shared" si="76"/>
        <v>441.97</v>
      </c>
      <c r="AD267" s="13">
        <f>IFERROR(AC267/AC446, "NA")</f>
        <v>-0.003872423207</v>
      </c>
    </row>
    <row r="268" ht="16.5" customHeight="1">
      <c r="A268" s="16" t="s">
        <v>247</v>
      </c>
      <c r="B268" s="17">
        <f>IFERROR(B266+B267, "NA")</f>
        <v>0</v>
      </c>
      <c r="C268" s="18" t="str">
        <f>IFERROR(B268/B446, "NA")</f>
        <v>NA</v>
      </c>
      <c r="D268" s="8"/>
      <c r="E268" s="17">
        <f>IFERROR(E266+E267, "NA")</f>
        <v>2246.92</v>
      </c>
      <c r="F268" s="18">
        <f>IFERROR(E268/E446, "NA")</f>
        <v>0.02700000949</v>
      </c>
      <c r="G268" s="8"/>
      <c r="H268" s="17">
        <f t="shared" si="73"/>
        <v>2246.92</v>
      </c>
      <c r="I268" s="18">
        <f>IFERROR(H268/H446, "NA")</f>
        <v>-0.02700000949</v>
      </c>
      <c r="J268" s="8"/>
      <c r="K268" s="17">
        <f>IFERROR(K266+K267, "NA")</f>
        <v>2238.41</v>
      </c>
      <c r="L268" s="18">
        <f>IFERROR(K268/K446, "NA")</f>
        <v>0.02935217018</v>
      </c>
      <c r="M268" s="8"/>
      <c r="N268" s="17">
        <f t="shared" si="74"/>
        <v>2238.41</v>
      </c>
      <c r="O268" s="18">
        <f>IFERROR(N268/N446, "NA")</f>
        <v>-0.02935217018</v>
      </c>
      <c r="P268" s="8"/>
      <c r="Q268" s="17">
        <f>IFERROR(Q266+Q267, "NA")</f>
        <v>14830.7</v>
      </c>
      <c r="R268" s="18">
        <f>IFERROR(Q268/Q446, "NA")</f>
        <v>0.02674300584</v>
      </c>
      <c r="S268" s="8"/>
      <c r="T268" s="17">
        <f>IFERROR(T266+T267, "NA")</f>
        <v>19522.27</v>
      </c>
      <c r="U268" s="18">
        <f>IFERROR(T268/T446, "NA")</f>
        <v>0.02699998757</v>
      </c>
      <c r="V268" s="8"/>
      <c r="W268" s="17">
        <f t="shared" si="75"/>
        <v>4691.57</v>
      </c>
      <c r="X268" s="18">
        <f>IFERROR(W268/W446, "NA")</f>
        <v>-0.0278458424</v>
      </c>
      <c r="Y268" s="8"/>
      <c r="Z268" s="17">
        <f>IFERROR(Z266+Z267, "NA")</f>
        <v>18978.35</v>
      </c>
      <c r="AA268" s="18">
        <f>IFERROR(Z268/Z446, "NA")</f>
        <v>0.02838111755</v>
      </c>
      <c r="AB268" s="8"/>
      <c r="AC268" s="17">
        <f t="shared" si="76"/>
        <v>4147.65</v>
      </c>
      <c r="AD268" s="18">
        <f>IFERROR(AC268/AC446, "NA")</f>
        <v>-0.03634060256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 t="str">
        <f>IFERROR(B270/B446, "NA")</f>
        <v>NA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0.0</v>
      </c>
      <c r="C271" s="13" t="str">
        <f>IFERROR(B271/B446, "NA")</f>
        <v>NA</v>
      </c>
      <c r="D271" s="14"/>
      <c r="E271" s="12">
        <v>236.72</v>
      </c>
      <c r="F271" s="13">
        <f>IFERROR(E271/E446, "NA")</f>
        <v>0.002844534851</v>
      </c>
      <c r="G271" s="14"/>
      <c r="H271" s="15">
        <f t="shared" si="77"/>
        <v>236.72</v>
      </c>
      <c r="I271" s="13">
        <f>IFERROR(H271/H446, "NA")</f>
        <v>-0.002844534851</v>
      </c>
      <c r="J271" s="14"/>
      <c r="K271" s="12">
        <v>218.47</v>
      </c>
      <c r="L271" s="13">
        <f>IFERROR(K271/K446, "NA")</f>
        <v>0.002864787335</v>
      </c>
      <c r="M271" s="14"/>
      <c r="N271" s="15">
        <f t="shared" si="78"/>
        <v>218.47</v>
      </c>
      <c r="O271" s="13">
        <f>IFERROR(N271/N446, "NA")</f>
        <v>-0.002864787335</v>
      </c>
      <c r="P271" s="14"/>
      <c r="Q271" s="12">
        <v>1443.17</v>
      </c>
      <c r="R271" s="13">
        <f>IFERROR(Q271/Q446, "NA")</f>
        <v>0.00260235213</v>
      </c>
      <c r="S271" s="14"/>
      <c r="T271" s="12">
        <v>1893.76</v>
      </c>
      <c r="U271" s="13">
        <f>IFERROR(T271/T446, "NA")</f>
        <v>0.002619136835</v>
      </c>
      <c r="V271" s="14"/>
      <c r="W271" s="15">
        <f t="shared" si="79"/>
        <v>450.59</v>
      </c>
      <c r="X271" s="13">
        <f>IFERROR(W271/W446, "NA")</f>
        <v>-0.002674383655</v>
      </c>
      <c r="Y271" s="14"/>
      <c r="Z271" s="12">
        <v>1747.76</v>
      </c>
      <c r="AA271" s="13">
        <f>IFERROR(Z271/Z446, "NA")</f>
        <v>0.002613682539</v>
      </c>
      <c r="AB271" s="14"/>
      <c r="AC271" s="15">
        <f t="shared" si="80"/>
        <v>304.59</v>
      </c>
      <c r="AD271" s="13">
        <f>IFERROR(AC271/AC446, "NA")</f>
        <v>-0.002668736305</v>
      </c>
    </row>
    <row r="272" ht="16.5" customHeight="1">
      <c r="A272" s="11" t="s">
        <v>250</v>
      </c>
      <c r="B272" s="12">
        <v>0.0</v>
      </c>
      <c r="C272" s="13" t="str">
        <f>IFERROR(B272/B446, "NA")</f>
        <v>NA</v>
      </c>
      <c r="D272" s="14"/>
      <c r="E272" s="12">
        <v>1078.33</v>
      </c>
      <c r="F272" s="13">
        <f>IFERROR(E272/E446, "NA")</f>
        <v>0.0129577022</v>
      </c>
      <c r="G272" s="14"/>
      <c r="H272" s="15">
        <f t="shared" si="77"/>
        <v>1078.33</v>
      </c>
      <c r="I272" s="13">
        <f>IFERROR(H272/H446, "NA")</f>
        <v>-0.0129577022</v>
      </c>
      <c r="J272" s="14"/>
      <c r="K272" s="12">
        <v>1196.07</v>
      </c>
      <c r="L272" s="13">
        <f>IFERROR(K272/K446, "NA")</f>
        <v>0.0156840124</v>
      </c>
      <c r="M272" s="14"/>
      <c r="N272" s="15">
        <f t="shared" si="78"/>
        <v>1196.07</v>
      </c>
      <c r="O272" s="13">
        <f>IFERROR(N272/N446, "NA")</f>
        <v>-0.0156840124</v>
      </c>
      <c r="P272" s="14"/>
      <c r="Q272" s="12">
        <v>4780.59</v>
      </c>
      <c r="R272" s="13">
        <f>IFERROR(Q272/Q446, "NA")</f>
        <v>0.008620452594</v>
      </c>
      <c r="S272" s="14"/>
      <c r="T272" s="12">
        <v>8626.64</v>
      </c>
      <c r="U272" s="13">
        <f>IFERROR(T272/T446, "NA")</f>
        <v>0.01193094721</v>
      </c>
      <c r="V272" s="14"/>
      <c r="W272" s="15">
        <f t="shared" si="79"/>
        <v>3846.05</v>
      </c>
      <c r="X272" s="13">
        <f>IFERROR(W272/W446, "NA")</f>
        <v>-0.02282743349</v>
      </c>
      <c r="Y272" s="14"/>
      <c r="Z272" s="12">
        <v>9612.82</v>
      </c>
      <c r="AA272" s="13">
        <f>IFERROR(Z272/Z446, "NA")</f>
        <v>0.01437546333</v>
      </c>
      <c r="AB272" s="14"/>
      <c r="AC272" s="15">
        <f t="shared" si="80"/>
        <v>4832.23</v>
      </c>
      <c r="AD272" s="13">
        <f>IFERROR(AC272/AC446, "NA")</f>
        <v>-0.04233870985</v>
      </c>
    </row>
    <row r="273" ht="16.5" hidden="1" customHeight="1">
      <c r="A273" s="11" t="s">
        <v>251</v>
      </c>
      <c r="B273" s="12">
        <v>0.0</v>
      </c>
      <c r="C273" s="13" t="str">
        <f>IFERROR(B273/B446, "NA")</f>
        <v>NA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0</v>
      </c>
      <c r="I273" s="13">
        <f>IFERROR(H273/H446, "NA")</f>
        <v>0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0</v>
      </c>
      <c r="O273" s="13">
        <f>IFERROR(N273/N446, "NA")</f>
        <v>0</v>
      </c>
      <c r="P273" s="14"/>
      <c r="Q273" s="12">
        <v>0.0</v>
      </c>
      <c r="R273" s="13">
        <f>IFERROR(Q273/Q446, "NA")</f>
        <v>0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0</v>
      </c>
      <c r="X273" s="13">
        <f>IFERROR(W273/W446, "NA")</f>
        <v>0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0</v>
      </c>
      <c r="AD273" s="13">
        <f>IFERROR(AC273/AC446, "NA")</f>
        <v>0</v>
      </c>
    </row>
    <row r="274" ht="16.5" customHeight="1">
      <c r="A274" s="16" t="s">
        <v>252</v>
      </c>
      <c r="B274" s="17">
        <f>IFERROR(B270+B271+B272+B273, "NA")</f>
        <v>0</v>
      </c>
      <c r="C274" s="18" t="str">
        <f>IFERROR(B274/B446, "NA")</f>
        <v>NA</v>
      </c>
      <c r="D274" s="8"/>
      <c r="E274" s="17">
        <f>IFERROR(E270+E271+E272+E273, "NA")</f>
        <v>1315.05</v>
      </c>
      <c r="F274" s="18">
        <f>IFERROR(E274/E446, "NA")</f>
        <v>0.01580223706</v>
      </c>
      <c r="G274" s="8"/>
      <c r="H274" s="17">
        <f t="shared" si="77"/>
        <v>1315.05</v>
      </c>
      <c r="I274" s="18">
        <f>IFERROR(H274/H446, "NA")</f>
        <v>-0.01580223706</v>
      </c>
      <c r="J274" s="8"/>
      <c r="K274" s="17">
        <f>IFERROR(K270+K271+K272+K273, "NA")</f>
        <v>1414.54</v>
      </c>
      <c r="L274" s="18">
        <f>IFERROR(K274/K446, "NA")</f>
        <v>0.01854879973</v>
      </c>
      <c r="M274" s="8"/>
      <c r="N274" s="17">
        <f t="shared" si="78"/>
        <v>1414.54</v>
      </c>
      <c r="O274" s="18">
        <f>IFERROR(N274/N446, "NA")</f>
        <v>-0.01854879973</v>
      </c>
      <c r="P274" s="8"/>
      <c r="Q274" s="17">
        <f>IFERROR(Q270+Q271+Q272+Q273, "NA")</f>
        <v>6223.76</v>
      </c>
      <c r="R274" s="18">
        <f>IFERROR(Q274/Q446, "NA")</f>
        <v>0.01122280472</v>
      </c>
      <c r="S274" s="8"/>
      <c r="T274" s="17">
        <f>IFERROR(T270+T271+T272+T273, "NA")</f>
        <v>10520.4</v>
      </c>
      <c r="U274" s="18">
        <f>IFERROR(T274/T446, "NA")</f>
        <v>0.01455008404</v>
      </c>
      <c r="V274" s="8"/>
      <c r="W274" s="17">
        <f t="shared" si="79"/>
        <v>4296.64</v>
      </c>
      <c r="X274" s="18">
        <f>IFERROR(W274/W446, "NA")</f>
        <v>-0.02550181715</v>
      </c>
      <c r="Y274" s="8"/>
      <c r="Z274" s="17">
        <f>IFERROR(Z270+Z271+Z272+Z273, "NA")</f>
        <v>11360.58</v>
      </c>
      <c r="AA274" s="18">
        <f>IFERROR(Z274/Z446, "NA")</f>
        <v>0.01698914587</v>
      </c>
      <c r="AB274" s="8"/>
      <c r="AC274" s="17">
        <f t="shared" si="80"/>
        <v>5136.82</v>
      </c>
      <c r="AD274" s="18">
        <f>IFERROR(AC274/AC446, "NA")</f>
        <v>-0.04500744616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 t="str">
        <f>IFERROR(B276/B446, "NA")</f>
        <v>NA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 t="str">
        <f>IFERROR(B277/B446, "NA")</f>
        <v>NA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 t="str">
        <f>IFERROR(B278/B446, "NA")</f>
        <v>NA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 t="str">
        <f>IFERROR(B279/B446, "NA")</f>
        <v>NA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 t="str">
        <f>IFERROR(B280/B446, "NA")</f>
        <v>NA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 t="str">
        <f>IFERROR(B281/B446, "NA")</f>
        <v>NA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 t="str">
        <f>IFERROR(B282/B446, "NA")</f>
        <v>NA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 t="str">
        <f>IFERROR(B283/B446, "NA")</f>
        <v>NA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 t="str">
        <f>IFERROR(B284/B446, "NA")</f>
        <v>NA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 t="str">
        <f>IFERROR(B285/B446, "NA")</f>
        <v>NA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 t="str">
        <f>IFERROR(B287/B446, "NA")</f>
        <v>NA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customHeight="1">
      <c r="A288" s="11" t="s">
        <v>264</v>
      </c>
      <c r="B288" s="12">
        <v>0.0</v>
      </c>
      <c r="C288" s="13" t="str">
        <f>IFERROR(B288/B446, "NA")</f>
        <v>NA</v>
      </c>
      <c r="D288" s="14"/>
      <c r="E288" s="12">
        <v>971.0</v>
      </c>
      <c r="F288" s="13">
        <f>IFERROR(E288/E446, "NA")</f>
        <v>0.01166797626</v>
      </c>
      <c r="G288" s="14"/>
      <c r="H288" s="15">
        <f t="shared" si="85"/>
        <v>971</v>
      </c>
      <c r="I288" s="13">
        <f>IFERROR(H288/H446, "NA")</f>
        <v>-0.01166797626</v>
      </c>
      <c r="J288" s="14"/>
      <c r="K288" s="12">
        <v>970.53</v>
      </c>
      <c r="L288" s="13">
        <f>IFERROR(K288/K446, "NA")</f>
        <v>0.01272651647</v>
      </c>
      <c r="M288" s="14"/>
      <c r="N288" s="15">
        <f t="shared" si="86"/>
        <v>970.53</v>
      </c>
      <c r="O288" s="13">
        <f>IFERROR(N288/N446, "NA")</f>
        <v>-0.01272651647</v>
      </c>
      <c r="P288" s="14"/>
      <c r="Q288" s="12">
        <v>6405.54</v>
      </c>
      <c r="R288" s="13">
        <f>IFERROR(Q288/Q446, "NA")</f>
        <v>0.01155059395</v>
      </c>
      <c r="S288" s="14"/>
      <c r="T288" s="12">
        <v>7768.0</v>
      </c>
      <c r="U288" s="13">
        <f>IFERROR(T288/T446, "NA")</f>
        <v>0.01074341782</v>
      </c>
      <c r="V288" s="14"/>
      <c r="W288" s="15">
        <f t="shared" si="87"/>
        <v>1362.46</v>
      </c>
      <c r="X288" s="13">
        <f>IFERROR(W288/W446, "NA")</f>
        <v>-0.008086599248</v>
      </c>
      <c r="Y288" s="14"/>
      <c r="Z288" s="12">
        <v>7764.24</v>
      </c>
      <c r="AA288" s="13">
        <f>IFERROR(Z288/Z446, "NA")</f>
        <v>0.01161100982</v>
      </c>
      <c r="AB288" s="14"/>
      <c r="AC288" s="15">
        <f t="shared" si="88"/>
        <v>1358.7</v>
      </c>
      <c r="AD288" s="13">
        <f>IFERROR(AC288/AC446, "NA")</f>
        <v>-0.01190456685</v>
      </c>
    </row>
    <row r="289" ht="16.5" customHeight="1">
      <c r="A289" s="11" t="s">
        <v>265</v>
      </c>
      <c r="B289" s="12">
        <v>0.0</v>
      </c>
      <c r="C289" s="13" t="str">
        <f>IFERROR(B289/B446, "NA")</f>
        <v>NA</v>
      </c>
      <c r="D289" s="14"/>
      <c r="E289" s="12">
        <v>263.0</v>
      </c>
      <c r="F289" s="13">
        <f>IFERROR(E289/E446, "NA")</f>
        <v>0.003160327246</v>
      </c>
      <c r="G289" s="14"/>
      <c r="H289" s="15">
        <f t="shared" si="85"/>
        <v>263</v>
      </c>
      <c r="I289" s="13">
        <f>IFERROR(H289/H446, "NA")</f>
        <v>-0.003160327246</v>
      </c>
      <c r="J289" s="14"/>
      <c r="K289" s="12">
        <v>185.81</v>
      </c>
      <c r="L289" s="13">
        <f>IFERROR(K289/K446, "NA")</f>
        <v>0.002436518217</v>
      </c>
      <c r="M289" s="14"/>
      <c r="N289" s="15">
        <f t="shared" si="86"/>
        <v>185.81</v>
      </c>
      <c r="O289" s="13">
        <f>IFERROR(N289/N446, "NA")</f>
        <v>-0.002436518217</v>
      </c>
      <c r="P289" s="14"/>
      <c r="Q289" s="12">
        <v>1560.78</v>
      </c>
      <c r="R289" s="13">
        <f>IFERROR(Q289/Q446, "NA")</f>
        <v>0.002814428763</v>
      </c>
      <c r="S289" s="14"/>
      <c r="T289" s="12">
        <v>2104.0</v>
      </c>
      <c r="U289" s="13">
        <f>IFERROR(T289/T446, "NA")</f>
        <v>0.002909906166</v>
      </c>
      <c r="V289" s="14"/>
      <c r="W289" s="15">
        <f t="shared" si="87"/>
        <v>543.22</v>
      </c>
      <c r="X289" s="13">
        <f>IFERROR(W289/W446, "NA")</f>
        <v>-0.003224169842</v>
      </c>
      <c r="Y289" s="14"/>
      <c r="Z289" s="12">
        <v>2415.49</v>
      </c>
      <c r="AA289" s="13">
        <f>IFERROR(Z289/Z446, "NA")</f>
        <v>0.003612237399</v>
      </c>
      <c r="AB289" s="14"/>
      <c r="AC289" s="15">
        <f t="shared" si="88"/>
        <v>854.71</v>
      </c>
      <c r="AD289" s="13">
        <f>IFERROR(AC289/AC446, "NA")</f>
        <v>-0.007488740954</v>
      </c>
    </row>
    <row r="290" ht="16.5" customHeight="1">
      <c r="A290" s="11" t="s">
        <v>266</v>
      </c>
      <c r="B290" s="12">
        <v>0.0</v>
      </c>
      <c r="C290" s="13" t="str">
        <f>IFERROR(B290/B446, "NA")</f>
        <v>NA</v>
      </c>
      <c r="D290" s="14"/>
      <c r="E290" s="12">
        <v>224.0</v>
      </c>
      <c r="F290" s="13">
        <f>IFERROR(E290/E446, "NA")</f>
        <v>0.002691685564</v>
      </c>
      <c r="G290" s="14"/>
      <c r="H290" s="15">
        <f t="shared" si="85"/>
        <v>224</v>
      </c>
      <c r="I290" s="13">
        <f>IFERROR(H290/H446, "NA")</f>
        <v>-0.002691685564</v>
      </c>
      <c r="J290" s="14"/>
      <c r="K290" s="12">
        <v>218.66</v>
      </c>
      <c r="L290" s="13">
        <f>IFERROR(K290/K446, "NA")</f>
        <v>0.002867278797</v>
      </c>
      <c r="M290" s="14"/>
      <c r="N290" s="15">
        <f t="shared" si="86"/>
        <v>218.66</v>
      </c>
      <c r="O290" s="13">
        <f>IFERROR(N290/N446, "NA")</f>
        <v>-0.002867278797</v>
      </c>
      <c r="P290" s="14"/>
      <c r="Q290" s="12">
        <v>1431.86</v>
      </c>
      <c r="R290" s="13">
        <f>IFERROR(Q290/Q446, "NA")</f>
        <v>0.002581957719</v>
      </c>
      <c r="S290" s="14"/>
      <c r="T290" s="12">
        <v>1792.0</v>
      </c>
      <c r="U290" s="13">
        <f>IFERROR(T290/T446, "NA")</f>
        <v>0.002478399168</v>
      </c>
      <c r="V290" s="14"/>
      <c r="W290" s="15">
        <f t="shared" si="87"/>
        <v>360.14</v>
      </c>
      <c r="X290" s="13">
        <f>IFERROR(W290/W446, "NA")</f>
        <v>-0.002137536407</v>
      </c>
      <c r="Y290" s="14"/>
      <c r="Z290" s="12">
        <v>1884.16</v>
      </c>
      <c r="AA290" s="13">
        <f>IFERROR(Z290/Z446, "NA")</f>
        <v>0.002817661517</v>
      </c>
      <c r="AB290" s="14"/>
      <c r="AC290" s="15">
        <f t="shared" si="88"/>
        <v>452.3</v>
      </c>
      <c r="AD290" s="13">
        <f>IFERROR(AC290/AC446, "NA")</f>
        <v>-0.003962931911</v>
      </c>
    </row>
    <row r="291" ht="16.5" customHeight="1">
      <c r="A291" s="11" t="s">
        <v>267</v>
      </c>
      <c r="B291" s="12">
        <v>0.0</v>
      </c>
      <c r="C291" s="13" t="str">
        <f>IFERROR(B291/B446, "NA")</f>
        <v>NA</v>
      </c>
      <c r="D291" s="14"/>
      <c r="E291" s="12">
        <v>332.88</v>
      </c>
      <c r="F291" s="13">
        <f>IFERROR(E291/E446, "NA")</f>
        <v>0.004000037011</v>
      </c>
      <c r="G291" s="14"/>
      <c r="H291" s="15">
        <f t="shared" si="85"/>
        <v>332.88</v>
      </c>
      <c r="I291" s="13">
        <f>IFERROR(H291/H446, "NA")</f>
        <v>-0.004000037011</v>
      </c>
      <c r="J291" s="14"/>
      <c r="K291" s="12">
        <v>0.0</v>
      </c>
      <c r="L291" s="13">
        <f>IFERROR(K291/K446, "NA")</f>
        <v>0</v>
      </c>
      <c r="M291" s="14"/>
      <c r="N291" s="15">
        <f t="shared" si="86"/>
        <v>0</v>
      </c>
      <c r="O291" s="13">
        <f>IFERROR(N291/N446, "NA")</f>
        <v>0</v>
      </c>
      <c r="P291" s="14"/>
      <c r="Q291" s="12">
        <v>2734.39</v>
      </c>
      <c r="R291" s="13">
        <f>IFERROR(Q291/Q446, "NA")</f>
        <v>0.004930705074</v>
      </c>
      <c r="S291" s="14"/>
      <c r="T291" s="12">
        <v>2691.77</v>
      </c>
      <c r="U291" s="13">
        <f>IFERROR(T291/T446, "NA")</f>
        <v>0.003722812794</v>
      </c>
      <c r="V291" s="14"/>
      <c r="W291" s="15">
        <f t="shared" si="87"/>
        <v>-42.62</v>
      </c>
      <c r="X291" s="13">
        <f>IFERROR(W291/W446, "NA")</f>
        <v>0.000252962186</v>
      </c>
      <c r="Y291" s="14"/>
      <c r="Z291" s="12">
        <v>3783.03</v>
      </c>
      <c r="AA291" s="13">
        <f>IFERROR(Z291/Z446, "NA")</f>
        <v>0.00565732106</v>
      </c>
      <c r="AB291" s="14"/>
      <c r="AC291" s="15">
        <f t="shared" si="88"/>
        <v>1048.64</v>
      </c>
      <c r="AD291" s="13">
        <f>IFERROR(AC291/AC446, "NA")</f>
        <v>-0.009187903867</v>
      </c>
    </row>
    <row r="292" ht="16.5" customHeight="1">
      <c r="A292" s="11" t="s">
        <v>268</v>
      </c>
      <c r="B292" s="12">
        <v>0.0</v>
      </c>
      <c r="C292" s="13" t="str">
        <f>IFERROR(B292/B446, "NA")</f>
        <v>NA</v>
      </c>
      <c r="D292" s="14"/>
      <c r="E292" s="12">
        <v>332.88</v>
      </c>
      <c r="F292" s="13">
        <f>IFERROR(E292/E446, "NA")</f>
        <v>0.004000037011</v>
      </c>
      <c r="G292" s="14"/>
      <c r="H292" s="15">
        <f t="shared" si="85"/>
        <v>332.88</v>
      </c>
      <c r="I292" s="13">
        <f>IFERROR(H292/H446, "NA")</f>
        <v>-0.004000037011</v>
      </c>
      <c r="J292" s="14"/>
      <c r="K292" s="12">
        <v>286.2</v>
      </c>
      <c r="L292" s="13">
        <f>IFERROR(K292/K446, "NA")</f>
        <v>0.003752927795</v>
      </c>
      <c r="M292" s="14"/>
      <c r="N292" s="15">
        <f t="shared" si="86"/>
        <v>286.2</v>
      </c>
      <c r="O292" s="13">
        <f>IFERROR(N292/N446, "NA")</f>
        <v>-0.003752927795</v>
      </c>
      <c r="P292" s="14"/>
      <c r="Q292" s="12">
        <v>7562.82</v>
      </c>
      <c r="R292" s="13">
        <f>IFERROR(Q292/Q446, "NA")</f>
        <v>0.01363742368</v>
      </c>
      <c r="S292" s="14"/>
      <c r="T292" s="12">
        <v>2892.19</v>
      </c>
      <c r="U292" s="13">
        <f>IFERROR(T292/T446, "NA")</f>
        <v>0.004000000719</v>
      </c>
      <c r="V292" s="14"/>
      <c r="W292" s="15">
        <f t="shared" si="87"/>
        <v>-4670.63</v>
      </c>
      <c r="X292" s="13">
        <f>IFERROR(W292/W446, "NA")</f>
        <v>0.02772155736</v>
      </c>
      <c r="Y292" s="14"/>
      <c r="Z292" s="12">
        <v>3653.1</v>
      </c>
      <c r="AA292" s="13">
        <f>IFERROR(Z292/Z446, "NA")</f>
        <v>0.005463017624</v>
      </c>
      <c r="AB292" s="14"/>
      <c r="AC292" s="15">
        <f t="shared" si="88"/>
        <v>-3909.72</v>
      </c>
      <c r="AD292" s="13">
        <f>IFERROR(AC292/AC446, "NA")</f>
        <v>0.03425592339</v>
      </c>
    </row>
    <row r="293" ht="16.5" customHeight="1">
      <c r="A293" s="11" t="s">
        <v>269</v>
      </c>
      <c r="B293" s="12">
        <v>0.0</v>
      </c>
      <c r="C293" s="13" t="str">
        <f>IFERROR(B293/B446, "NA")</f>
        <v>NA</v>
      </c>
      <c r="D293" s="14"/>
      <c r="E293" s="12">
        <v>249.66</v>
      </c>
      <c r="F293" s="13">
        <f>IFERROR(E293/E446, "NA")</f>
        <v>0.003000027758</v>
      </c>
      <c r="G293" s="14"/>
      <c r="H293" s="15">
        <f t="shared" si="85"/>
        <v>249.66</v>
      </c>
      <c r="I293" s="13">
        <f>IFERROR(H293/H446, "NA")</f>
        <v>-0.003000027758</v>
      </c>
      <c r="J293" s="14"/>
      <c r="K293" s="12">
        <v>0.0</v>
      </c>
      <c r="L293" s="13">
        <f>IFERROR(K293/K446, "NA")</f>
        <v>0</v>
      </c>
      <c r="M293" s="14"/>
      <c r="N293" s="15">
        <f t="shared" si="86"/>
        <v>0</v>
      </c>
      <c r="O293" s="13">
        <f>IFERROR(N293/N446, "NA")</f>
        <v>0</v>
      </c>
      <c r="P293" s="14"/>
      <c r="Q293" s="12">
        <v>204.96</v>
      </c>
      <c r="R293" s="13">
        <f>IFERROR(Q293/Q446, "NA")</f>
        <v>0.0003695878466</v>
      </c>
      <c r="S293" s="14"/>
      <c r="T293" s="12">
        <v>2169.13</v>
      </c>
      <c r="U293" s="13">
        <f>IFERROR(T293/T446, "NA")</f>
        <v>0.002999983251</v>
      </c>
      <c r="V293" s="14"/>
      <c r="W293" s="15">
        <f t="shared" si="87"/>
        <v>1964.17</v>
      </c>
      <c r="X293" s="13">
        <f>IFERROR(W293/W446, "NA")</f>
        <v>-0.01165792438</v>
      </c>
      <c r="Y293" s="14"/>
      <c r="Z293" s="12">
        <v>2330.66</v>
      </c>
      <c r="AA293" s="13">
        <f>IFERROR(Z293/Z446, "NA")</f>
        <v>0.003485378625</v>
      </c>
      <c r="AB293" s="14"/>
      <c r="AC293" s="15">
        <f t="shared" si="88"/>
        <v>2125.7</v>
      </c>
      <c r="AD293" s="13">
        <f>IFERROR(AC293/AC446, "NA")</f>
        <v>-0.01862481619</v>
      </c>
    </row>
    <row r="294" ht="16.5" customHeight="1">
      <c r="A294" s="11" t="s">
        <v>270</v>
      </c>
      <c r="B294" s="12">
        <v>0.0</v>
      </c>
      <c r="C294" s="13" t="str">
        <f>IFERROR(B294/B446, "NA")</f>
        <v>NA</v>
      </c>
      <c r="D294" s="14"/>
      <c r="E294" s="12">
        <v>124.83</v>
      </c>
      <c r="F294" s="13">
        <f>IFERROR(E294/E446, "NA")</f>
        <v>0.001500013879</v>
      </c>
      <c r="G294" s="14"/>
      <c r="H294" s="15">
        <f t="shared" si="85"/>
        <v>124.83</v>
      </c>
      <c r="I294" s="13">
        <f>IFERROR(H294/H446, "NA")</f>
        <v>-0.001500013879</v>
      </c>
      <c r="J294" s="14"/>
      <c r="K294" s="12">
        <v>2441.6</v>
      </c>
      <c r="L294" s="13">
        <f>IFERROR(K294/K446, "NA")</f>
        <v>0.03201659156</v>
      </c>
      <c r="M294" s="14"/>
      <c r="N294" s="15">
        <f t="shared" si="86"/>
        <v>2441.6</v>
      </c>
      <c r="O294" s="13">
        <f>IFERROR(N294/N446, "NA")</f>
        <v>-0.03201659156</v>
      </c>
      <c r="P294" s="14"/>
      <c r="Q294" s="12">
        <v>521.6</v>
      </c>
      <c r="R294" s="13">
        <f>IFERROR(Q294/Q446, "NA")</f>
        <v>0.000940559235</v>
      </c>
      <c r="S294" s="14"/>
      <c r="T294" s="12">
        <v>1084.56</v>
      </c>
      <c r="U294" s="13">
        <f>IFERROR(T294/T446, "NA")</f>
        <v>0.001499984711</v>
      </c>
      <c r="V294" s="14"/>
      <c r="W294" s="15">
        <f t="shared" si="87"/>
        <v>562.96</v>
      </c>
      <c r="X294" s="13">
        <f>IFERROR(W294/W446, "NA")</f>
        <v>-0.003341332526</v>
      </c>
      <c r="Y294" s="14"/>
      <c r="Z294" s="12">
        <v>2724.85</v>
      </c>
      <c r="AA294" s="13">
        <f>IFERROR(Z294/Z446, "NA")</f>
        <v>0.004074868899</v>
      </c>
      <c r="AB294" s="14"/>
      <c r="AC294" s="15">
        <f t="shared" si="88"/>
        <v>2203.25</v>
      </c>
      <c r="AD294" s="13">
        <f>IFERROR(AC294/AC446, "NA")</f>
        <v>-0.0193042886</v>
      </c>
    </row>
    <row r="295" ht="16.5" customHeight="1">
      <c r="A295" s="11" t="s">
        <v>271</v>
      </c>
      <c r="B295" s="12">
        <v>0.0</v>
      </c>
      <c r="C295" s="13" t="str">
        <f>IFERROR(B295/B446, "NA")</f>
        <v>NA</v>
      </c>
      <c r="D295" s="14"/>
      <c r="E295" s="12">
        <v>350.0</v>
      </c>
      <c r="F295" s="13">
        <f>IFERROR(E295/E446, "NA")</f>
        <v>0.004205758693</v>
      </c>
      <c r="G295" s="14"/>
      <c r="H295" s="15">
        <f t="shared" si="85"/>
        <v>350</v>
      </c>
      <c r="I295" s="13">
        <f>IFERROR(H295/H446, "NA")</f>
        <v>-0.004205758693</v>
      </c>
      <c r="J295" s="14"/>
      <c r="K295" s="12">
        <v>325.0</v>
      </c>
      <c r="L295" s="13">
        <f>IFERROR(K295/K446, "NA")</f>
        <v>0.004261710459</v>
      </c>
      <c r="M295" s="14"/>
      <c r="N295" s="15">
        <f t="shared" si="86"/>
        <v>325</v>
      </c>
      <c r="O295" s="13">
        <f>IFERROR(N295/N446, "NA")</f>
        <v>-0.004261710459</v>
      </c>
      <c r="P295" s="14"/>
      <c r="Q295" s="12">
        <v>1499.97</v>
      </c>
      <c r="R295" s="13">
        <f>IFERROR(Q295/Q446, "NA")</f>
        <v>0.002704774992</v>
      </c>
      <c r="S295" s="14"/>
      <c r="T295" s="12">
        <v>2800.0</v>
      </c>
      <c r="U295" s="13">
        <f>IFERROR(T295/T446, "NA")</f>
        <v>0.003872498699</v>
      </c>
      <c r="V295" s="14"/>
      <c r="W295" s="15">
        <f t="shared" si="87"/>
        <v>1300.03</v>
      </c>
      <c r="X295" s="13">
        <f>IFERROR(W295/W446, "NA")</f>
        <v>-0.007716058908</v>
      </c>
      <c r="Y295" s="14"/>
      <c r="Z295" s="12">
        <v>2855.59</v>
      </c>
      <c r="AA295" s="13">
        <f>IFERROR(Z295/Z446, "NA")</f>
        <v>0.004270383646</v>
      </c>
      <c r="AB295" s="14"/>
      <c r="AC295" s="15">
        <f t="shared" si="88"/>
        <v>1355.62</v>
      </c>
      <c r="AD295" s="13">
        <f>IFERROR(AC295/AC446, "NA")</f>
        <v>-0.01187758071</v>
      </c>
    </row>
    <row r="296" ht="16.5" customHeight="1">
      <c r="A296" s="16" t="s">
        <v>272</v>
      </c>
      <c r="B296" s="17">
        <f>IFERROR(B287+B288+B289+B290+B291+B292+B293+B294+B295, "NA")</f>
        <v>0</v>
      </c>
      <c r="C296" s="18" t="str">
        <f>IFERROR(B296/B446, "NA")</f>
        <v>NA</v>
      </c>
      <c r="D296" s="8"/>
      <c r="E296" s="17">
        <f>IFERROR(E287+E288+E289+E290+E291+E292+E293+E294+E295, "NA")</f>
        <v>2848.25</v>
      </c>
      <c r="F296" s="18">
        <f>IFERROR(E296/E446, "NA")</f>
        <v>0.03422586342</v>
      </c>
      <c r="G296" s="8"/>
      <c r="H296" s="17">
        <f t="shared" si="85"/>
        <v>2848.25</v>
      </c>
      <c r="I296" s="18">
        <f>IFERROR(H296/H446, "NA")</f>
        <v>-0.03422586342</v>
      </c>
      <c r="J296" s="8"/>
      <c r="K296" s="17">
        <f>IFERROR(K287+K288+K289+K290+K291+K292+K293+K294+K295, "NA")</f>
        <v>4427.8</v>
      </c>
      <c r="L296" s="18">
        <f>IFERROR(K296/K446, "NA")</f>
        <v>0.0580615433</v>
      </c>
      <c r="M296" s="8"/>
      <c r="N296" s="17">
        <f t="shared" si="86"/>
        <v>4427.8</v>
      </c>
      <c r="O296" s="18">
        <f>IFERROR(N296/N446, "NA")</f>
        <v>-0.0580615433</v>
      </c>
      <c r="P296" s="8"/>
      <c r="Q296" s="17">
        <f>IFERROR(Q287+Q288+Q289+Q290+Q291+Q292+Q293+Q294+Q295, "NA")</f>
        <v>21921.92</v>
      </c>
      <c r="R296" s="18">
        <f>IFERROR(Q296/Q446, "NA")</f>
        <v>0.03953003126</v>
      </c>
      <c r="S296" s="8"/>
      <c r="T296" s="17">
        <f>IFERROR(T287+T288+T289+T290+T291+T292+T293+T294+T295, "NA")</f>
        <v>23301.65</v>
      </c>
      <c r="U296" s="18">
        <f>IFERROR(T296/T446, "NA")</f>
        <v>0.03222700333</v>
      </c>
      <c r="V296" s="8"/>
      <c r="W296" s="17">
        <f t="shared" si="87"/>
        <v>1379.73</v>
      </c>
      <c r="X296" s="18">
        <f>IFERROR(W296/W446, "NA")</f>
        <v>-0.008189101758</v>
      </c>
      <c r="Y296" s="8"/>
      <c r="Z296" s="17">
        <f>IFERROR(Z287+Z288+Z289+Z290+Z291+Z292+Z293+Z294+Z295, "NA")</f>
        <v>27411.12</v>
      </c>
      <c r="AA296" s="18">
        <f>IFERROR(Z296/Z446, "NA")</f>
        <v>0.04099187859</v>
      </c>
      <c r="AB296" s="8"/>
      <c r="AC296" s="17">
        <f t="shared" si="88"/>
        <v>5489.2</v>
      </c>
      <c r="AD296" s="18">
        <f>IFERROR(AC296/AC446, "NA")</f>
        <v>-0.04809490569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 t="str">
        <f>IFERROR(B298/B446, "NA")</f>
        <v>NA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 t="str">
        <f>IFERROR(B299/B446, "NA")</f>
        <v>NA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0.0</v>
      </c>
      <c r="C300" s="13" t="str">
        <f>IFERROR(B300/B446, "NA")</f>
        <v>NA</v>
      </c>
      <c r="D300" s="14"/>
      <c r="E300" s="12">
        <v>489.0</v>
      </c>
      <c r="F300" s="13">
        <f>IFERROR(E300/E446, "NA")</f>
        <v>0.005876045717</v>
      </c>
      <c r="G300" s="14"/>
      <c r="H300" s="15">
        <f t="shared" si="89"/>
        <v>489</v>
      </c>
      <c r="I300" s="13">
        <f>IFERROR(H300/H446, "NA")</f>
        <v>-0.005876045717</v>
      </c>
      <c r="J300" s="14"/>
      <c r="K300" s="12">
        <v>525.89</v>
      </c>
      <c r="L300" s="13">
        <f>IFERROR(K300/K446, "NA")</f>
        <v>0.006895972041</v>
      </c>
      <c r="M300" s="14"/>
      <c r="N300" s="15">
        <f t="shared" si="90"/>
        <v>525.89</v>
      </c>
      <c r="O300" s="13">
        <f>IFERROR(N300/N446, "NA")</f>
        <v>-0.006895972041</v>
      </c>
      <c r="P300" s="14"/>
      <c r="Q300" s="12">
        <v>2715.14</v>
      </c>
      <c r="R300" s="13">
        <f>IFERROR(Q300/Q446, "NA")</f>
        <v>0.0048959931</v>
      </c>
      <c r="S300" s="14"/>
      <c r="T300" s="12">
        <v>3912.0</v>
      </c>
      <c r="U300" s="13">
        <f>IFERROR(T300/T446, "NA")</f>
        <v>0.005410433897</v>
      </c>
      <c r="V300" s="14"/>
      <c r="W300" s="15">
        <f t="shared" si="91"/>
        <v>1196.86</v>
      </c>
      <c r="X300" s="13">
        <f>IFERROR(W300/W446, "NA")</f>
        <v>-0.007103714734</v>
      </c>
      <c r="Y300" s="14"/>
      <c r="Z300" s="12">
        <v>5211.78</v>
      </c>
      <c r="AA300" s="13">
        <f>IFERROR(Z300/Z446, "NA")</f>
        <v>0.007793941035</v>
      </c>
      <c r="AB300" s="14"/>
      <c r="AC300" s="15">
        <f t="shared" si="92"/>
        <v>2496.64</v>
      </c>
      <c r="AD300" s="13">
        <f>IFERROR(AC300/AC446, "NA")</f>
        <v>-0.02187489349</v>
      </c>
    </row>
    <row r="301" ht="16.5" hidden="1" customHeight="1">
      <c r="A301" s="11" t="s">
        <v>276</v>
      </c>
      <c r="B301" s="12">
        <v>0.0</v>
      </c>
      <c r="C301" s="13" t="str">
        <f>IFERROR(B301/B446, "NA")</f>
        <v>NA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 t="str">
        <f>IFERROR(B302/B446, "NA")</f>
        <v>NA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 t="str">
        <f>IFERROR(B303/B446, "NA")</f>
        <v>NA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 t="str">
        <f>IFERROR(B304/B446, "NA")</f>
        <v>NA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hidden="1" customHeight="1">
      <c r="A305" s="11" t="s">
        <v>280</v>
      </c>
      <c r="B305" s="12">
        <v>0.0</v>
      </c>
      <c r="C305" s="13" t="str">
        <f>IFERROR(B305/B446, "NA")</f>
        <v>NA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0.0</v>
      </c>
      <c r="R305" s="13">
        <f>IFERROR(Q305/Q446, "NA")</f>
        <v>0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0</v>
      </c>
      <c r="X305" s="13">
        <f>IFERROR(W305/W446, "NA")</f>
        <v>0</v>
      </c>
      <c r="Y305" s="14"/>
      <c r="Z305" s="12">
        <v>0.0</v>
      </c>
      <c r="AA305" s="13">
        <f>IFERROR(Z305/Z446, "NA")</f>
        <v>0</v>
      </c>
      <c r="AB305" s="14"/>
      <c r="AC305" s="15">
        <f t="shared" si="92"/>
        <v>0</v>
      </c>
      <c r="AD305" s="13">
        <f>IFERROR(AC305/AC446, "NA")</f>
        <v>0</v>
      </c>
    </row>
    <row r="306" ht="16.5" customHeight="1">
      <c r="A306" s="11" t="s">
        <v>281</v>
      </c>
      <c r="B306" s="12">
        <v>0.0</v>
      </c>
      <c r="C306" s="13" t="str">
        <f>IFERROR(B306/B446, "NA")</f>
        <v>NA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0</v>
      </c>
      <c r="I306" s="13">
        <f>IFERROR(H306/H446, "NA")</f>
        <v>0</v>
      </c>
      <c r="J306" s="14"/>
      <c r="K306" s="12">
        <v>158.91</v>
      </c>
      <c r="L306" s="13">
        <f>IFERROR(K306/K446, "NA")</f>
        <v>0.00208377972</v>
      </c>
      <c r="M306" s="14"/>
      <c r="N306" s="15">
        <f t="shared" si="90"/>
        <v>158.91</v>
      </c>
      <c r="O306" s="13">
        <f>IFERROR(N306/N446, "NA")</f>
        <v>-0.00208377972</v>
      </c>
      <c r="P306" s="14"/>
      <c r="Q306" s="12">
        <v>134.63</v>
      </c>
      <c r="R306" s="13">
        <f>IFERROR(Q306/Q446, "NA")</f>
        <v>0.0002427674268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-134.63</v>
      </c>
      <c r="X306" s="13">
        <f>IFERROR(W306/W446, "NA")</f>
        <v>0.0007990684914</v>
      </c>
      <c r="Y306" s="14"/>
      <c r="Z306" s="12">
        <v>214.68</v>
      </c>
      <c r="AA306" s="13">
        <f>IFERROR(Z306/Z446, "NA")</f>
        <v>0.000321042573</v>
      </c>
      <c r="AB306" s="14"/>
      <c r="AC306" s="15">
        <f t="shared" si="92"/>
        <v>80.05</v>
      </c>
      <c r="AD306" s="13">
        <f>IFERROR(AC306/AC446, "NA")</f>
        <v>-0.0007013767399</v>
      </c>
    </row>
    <row r="307" ht="16.5" hidden="1" customHeight="1">
      <c r="A307" s="11" t="s">
        <v>282</v>
      </c>
      <c r="B307" s="12">
        <v>0.0</v>
      </c>
      <c r="C307" s="13" t="str">
        <f>IFERROR(B307/B446, "NA")</f>
        <v>NA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 t="str">
        <f>IFERROR(B308/B446, "NA")</f>
        <v>NA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 t="str">
        <f>IFERROR(B309/B446, "NA")</f>
        <v>NA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 t="str">
        <f>IFERROR(B310/B446, "NA")</f>
        <v>NA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 t="str">
        <f>IFERROR(B311/B446, "NA")</f>
        <v>NA</v>
      </c>
      <c r="D311" s="14"/>
      <c r="E311" s="12">
        <v>55.0</v>
      </c>
      <c r="F311" s="13">
        <f>IFERROR(E311/E446, "NA")</f>
        <v>0.0006609049375</v>
      </c>
      <c r="G311" s="14"/>
      <c r="H311" s="15">
        <f t="shared" si="89"/>
        <v>55</v>
      </c>
      <c r="I311" s="13">
        <f>IFERROR(H311/H446, "NA")</f>
        <v>-0.0006609049375</v>
      </c>
      <c r="J311" s="14"/>
      <c r="K311" s="12">
        <v>15.07</v>
      </c>
      <c r="L311" s="13">
        <f>IFERROR(K311/K446, "NA")</f>
        <v>0.0001976122358</v>
      </c>
      <c r="M311" s="14"/>
      <c r="N311" s="15">
        <f t="shared" si="90"/>
        <v>15.07</v>
      </c>
      <c r="O311" s="13">
        <f>IFERROR(N311/N446, "NA")</f>
        <v>-0.0001976122358</v>
      </c>
      <c r="P311" s="14"/>
      <c r="Q311" s="12">
        <v>115.48</v>
      </c>
      <c r="R311" s="13">
        <f>IFERROR(Q311/Q446, "NA")</f>
        <v>0.0002082357754</v>
      </c>
      <c r="S311" s="14"/>
      <c r="T311" s="12">
        <v>440.0</v>
      </c>
      <c r="U311" s="13">
        <f>IFERROR(T311/T446, "NA")</f>
        <v>0.0006085355099</v>
      </c>
      <c r="V311" s="14"/>
      <c r="W311" s="15">
        <f t="shared" si="91"/>
        <v>324.52</v>
      </c>
      <c r="X311" s="13">
        <f>IFERROR(W311/W446, "NA")</f>
        <v>-0.001926121272</v>
      </c>
      <c r="Y311" s="14"/>
      <c r="Z311" s="12">
        <v>707.46</v>
      </c>
      <c r="AA311" s="13">
        <f>IFERROR(Z311/Z446, "NA")</f>
        <v>0.001057968971</v>
      </c>
      <c r="AB311" s="14"/>
      <c r="AC311" s="15">
        <f t="shared" si="92"/>
        <v>591.98</v>
      </c>
      <c r="AD311" s="13">
        <f>IFERROR(AC311/AC446, "NA")</f>
        <v>-0.005186770799</v>
      </c>
    </row>
    <row r="312" ht="16.5" customHeight="1">
      <c r="A312" s="11" t="s">
        <v>287</v>
      </c>
      <c r="B312" s="12">
        <v>0.0</v>
      </c>
      <c r="C312" s="13" t="str">
        <f>IFERROR(B312/B446, "NA")</f>
        <v>NA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26.73</v>
      </c>
      <c r="AA312" s="13">
        <f>IFERROR(Z312/Z446, "NA")</f>
        <v>0.00003997329969</v>
      </c>
      <c r="AB312" s="14"/>
      <c r="AC312" s="15">
        <f t="shared" si="92"/>
        <v>26.73</v>
      </c>
      <c r="AD312" s="13">
        <f>IFERROR(AC312/AC446, "NA")</f>
        <v>-0.0002342011275</v>
      </c>
    </row>
    <row r="313" ht="16.5" customHeight="1">
      <c r="A313" s="11" t="s">
        <v>288</v>
      </c>
      <c r="B313" s="12">
        <v>0.0</v>
      </c>
      <c r="C313" s="13" t="str">
        <f>IFERROR(B313/B446, "NA")</f>
        <v>NA</v>
      </c>
      <c r="D313" s="14"/>
      <c r="E313" s="12">
        <v>35.0</v>
      </c>
      <c r="F313" s="13">
        <f>IFERROR(E313/E446, "NA")</f>
        <v>0.0004205758693</v>
      </c>
      <c r="G313" s="14"/>
      <c r="H313" s="15">
        <f t="shared" si="89"/>
        <v>35</v>
      </c>
      <c r="I313" s="13">
        <f>IFERROR(H313/H446, "NA")</f>
        <v>-0.0004205758693</v>
      </c>
      <c r="J313" s="14"/>
      <c r="K313" s="12">
        <v>478.32</v>
      </c>
      <c r="L313" s="13">
        <f>IFERROR(K313/K446, "NA")</f>
        <v>0.006272188759</v>
      </c>
      <c r="M313" s="14"/>
      <c r="N313" s="15">
        <f t="shared" si="90"/>
        <v>478.32</v>
      </c>
      <c r="O313" s="13">
        <f>IFERROR(N313/N446, "NA")</f>
        <v>-0.006272188759</v>
      </c>
      <c r="P313" s="14"/>
      <c r="Q313" s="12">
        <v>2498.53</v>
      </c>
      <c r="R313" s="13">
        <f>IFERROR(Q313/Q446, "NA")</f>
        <v>0.004505397748</v>
      </c>
      <c r="S313" s="14"/>
      <c r="T313" s="12">
        <v>280.0</v>
      </c>
      <c r="U313" s="13">
        <f>IFERROR(T313/T446, "NA")</f>
        <v>0.0003872498699</v>
      </c>
      <c r="V313" s="14"/>
      <c r="W313" s="15">
        <f t="shared" si="91"/>
        <v>-2218.53</v>
      </c>
      <c r="X313" s="13">
        <f>IFERROR(W313/W446, "NA")</f>
        <v>0.01316762549</v>
      </c>
      <c r="Y313" s="14"/>
      <c r="Z313" s="12">
        <v>1643.63</v>
      </c>
      <c r="AA313" s="13">
        <f>IFERROR(Z313/Z446, "NA")</f>
        <v>0.002457961637</v>
      </c>
      <c r="AB313" s="14"/>
      <c r="AC313" s="15">
        <f t="shared" si="92"/>
        <v>-854.9</v>
      </c>
      <c r="AD313" s="13">
        <f>IFERROR(AC313/AC446, "NA")</f>
        <v>0.007490405683</v>
      </c>
    </row>
    <row r="314" ht="16.5" customHeight="1">
      <c r="A314" s="11" t="s">
        <v>289</v>
      </c>
      <c r="B314" s="12">
        <v>0.0</v>
      </c>
      <c r="C314" s="13" t="str">
        <f>IFERROR(B314/B446, "NA")</f>
        <v>NA</v>
      </c>
      <c r="D314" s="14"/>
      <c r="E314" s="12">
        <v>25.0</v>
      </c>
      <c r="F314" s="13">
        <f>IFERROR(E314/E446, "NA")</f>
        <v>0.0003004113352</v>
      </c>
      <c r="G314" s="14"/>
      <c r="H314" s="15">
        <f t="shared" si="89"/>
        <v>25</v>
      </c>
      <c r="I314" s="13">
        <f>IFERROR(H314/H446, "NA")</f>
        <v>-0.0003004113352</v>
      </c>
      <c r="J314" s="14"/>
      <c r="K314" s="12">
        <v>60.05</v>
      </c>
      <c r="L314" s="13">
        <f>IFERROR(K314/K446, "NA")</f>
        <v>0.0007874329633</v>
      </c>
      <c r="M314" s="14"/>
      <c r="N314" s="15">
        <f t="shared" si="90"/>
        <v>60.05</v>
      </c>
      <c r="O314" s="13">
        <f>IFERROR(N314/N446, "NA")</f>
        <v>-0.0007874329633</v>
      </c>
      <c r="P314" s="14"/>
      <c r="Q314" s="12">
        <v>147.02</v>
      </c>
      <c r="R314" s="13">
        <f>IFERROR(Q314/Q446, "NA")</f>
        <v>0.000265109315</v>
      </c>
      <c r="S314" s="14"/>
      <c r="T314" s="12">
        <v>200.0</v>
      </c>
      <c r="U314" s="13">
        <f>IFERROR(T314/T446, "NA")</f>
        <v>0.00027660705</v>
      </c>
      <c r="V314" s="14"/>
      <c r="W314" s="15">
        <f t="shared" si="91"/>
        <v>52.98</v>
      </c>
      <c r="X314" s="13">
        <f>IFERROR(W314/W446, "NA")</f>
        <v>-0.0003144518211</v>
      </c>
      <c r="Y314" s="14"/>
      <c r="Z314" s="12">
        <v>181.1</v>
      </c>
      <c r="AA314" s="13">
        <f>IFERROR(Z314/Z446, "NA")</f>
        <v>0.0002708254611</v>
      </c>
      <c r="AB314" s="14"/>
      <c r="AC314" s="15">
        <f t="shared" si="92"/>
        <v>34.08</v>
      </c>
      <c r="AD314" s="13">
        <f>IFERROR(AC314/AC446, "NA")</f>
        <v>-0.0002985998663</v>
      </c>
    </row>
    <row r="315" ht="16.5" hidden="1" customHeight="1">
      <c r="A315" s="11" t="s">
        <v>290</v>
      </c>
      <c r="B315" s="12">
        <v>0.0</v>
      </c>
      <c r="C315" s="13" t="str">
        <f>IFERROR(B315/B446, "NA")</f>
        <v>NA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hidden="1" customHeight="1">
      <c r="A316" s="11" t="s">
        <v>291</v>
      </c>
      <c r="B316" s="12">
        <v>0.0</v>
      </c>
      <c r="C316" s="13" t="str">
        <f>IFERROR(B316/B446, "NA")</f>
        <v>NA</v>
      </c>
      <c r="D316" s="14"/>
      <c r="E316" s="12">
        <v>0.0</v>
      </c>
      <c r="F316" s="13">
        <f>IFERROR(E316/E446, "NA")</f>
        <v>0</v>
      </c>
      <c r="G316" s="14"/>
      <c r="H316" s="15">
        <f t="shared" si="89"/>
        <v>0</v>
      </c>
      <c r="I316" s="13">
        <f>IFERROR(H316/H446, "NA")</f>
        <v>0</v>
      </c>
      <c r="J316" s="14"/>
      <c r="K316" s="12">
        <v>0.0</v>
      </c>
      <c r="L316" s="13">
        <f>IFERROR(K316/K446, "NA")</f>
        <v>0</v>
      </c>
      <c r="M316" s="14"/>
      <c r="N316" s="15">
        <f t="shared" si="90"/>
        <v>0</v>
      </c>
      <c r="O316" s="13">
        <f>IFERROR(N316/N446, "NA")</f>
        <v>0</v>
      </c>
      <c r="P316" s="14"/>
      <c r="Q316" s="12">
        <v>0.0</v>
      </c>
      <c r="R316" s="13">
        <f>IFERROR(Q316/Q446, "NA")</f>
        <v>0</v>
      </c>
      <c r="S316" s="14"/>
      <c r="T316" s="12">
        <v>0.0</v>
      </c>
      <c r="U316" s="13">
        <f>IFERROR(T316/T446, "NA")</f>
        <v>0</v>
      </c>
      <c r="V316" s="14"/>
      <c r="W316" s="15">
        <f t="shared" si="91"/>
        <v>0</v>
      </c>
      <c r="X316" s="13">
        <f>IFERROR(W316/W446, "NA")</f>
        <v>0</v>
      </c>
      <c r="Y316" s="14"/>
      <c r="Z316" s="12">
        <v>0.0</v>
      </c>
      <c r="AA316" s="13">
        <f>IFERROR(Z316/Z446, "NA")</f>
        <v>0</v>
      </c>
      <c r="AB316" s="14"/>
      <c r="AC316" s="15">
        <f t="shared" si="92"/>
        <v>0</v>
      </c>
      <c r="AD316" s="13">
        <f>IFERROR(AC316/AC446, "NA")</f>
        <v>0</v>
      </c>
    </row>
    <row r="317" ht="16.5" customHeight="1">
      <c r="A317" s="11" t="s">
        <v>292</v>
      </c>
      <c r="B317" s="12">
        <v>0.0</v>
      </c>
      <c r="C317" s="13" t="str">
        <f>IFERROR(B317/B446, "NA")</f>
        <v>NA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0</v>
      </c>
      <c r="I317" s="13">
        <f>IFERROR(H317/H446, "NA")</f>
        <v>0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0</v>
      </c>
      <c r="O317" s="13">
        <f>IFERROR(N317/N446, "NA")</f>
        <v>0</v>
      </c>
      <c r="P317" s="14"/>
      <c r="Q317" s="12">
        <v>290.21</v>
      </c>
      <c r="R317" s="13">
        <f>IFERROR(Q317/Q446, "NA")</f>
        <v>0.0005233122998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-290.21</v>
      </c>
      <c r="X317" s="13">
        <f>IFERROR(W317/W446, "NA")</f>
        <v>0.00172248137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-290.21</v>
      </c>
      <c r="AD317" s="13">
        <f>IFERROR(AC317/AC446, "NA")</f>
        <v>0.002542742582</v>
      </c>
    </row>
    <row r="318" ht="16.5" hidden="1" customHeight="1">
      <c r="A318" s="11" t="s">
        <v>293</v>
      </c>
      <c r="B318" s="12">
        <v>0.0</v>
      </c>
      <c r="C318" s="13" t="str">
        <f>IFERROR(B318/B446, "NA")</f>
        <v>NA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customHeight="1">
      <c r="A319" s="11" t="s">
        <v>294</v>
      </c>
      <c r="B319" s="12">
        <v>0.0</v>
      </c>
      <c r="C319" s="13" t="str">
        <f>IFERROR(B319/B446, "NA")</f>
        <v>NA</v>
      </c>
      <c r="D319" s="14"/>
      <c r="E319" s="12">
        <v>415.0</v>
      </c>
      <c r="F319" s="13">
        <f>IFERROR(E319/E446, "NA")</f>
        <v>0.004986828165</v>
      </c>
      <c r="G319" s="14"/>
      <c r="H319" s="15">
        <f t="shared" si="89"/>
        <v>415</v>
      </c>
      <c r="I319" s="13">
        <f>IFERROR(H319/H446, "NA")</f>
        <v>-0.004986828165</v>
      </c>
      <c r="J319" s="14"/>
      <c r="K319" s="12">
        <v>414.57</v>
      </c>
      <c r="L319" s="13">
        <f>IFERROR(K319/K446, "NA")</f>
        <v>0.005436237862</v>
      </c>
      <c r="M319" s="14"/>
      <c r="N319" s="15">
        <f t="shared" si="90"/>
        <v>414.57</v>
      </c>
      <c r="O319" s="13">
        <f>IFERROR(N319/N446, "NA")</f>
        <v>-0.005436237862</v>
      </c>
      <c r="P319" s="14"/>
      <c r="Q319" s="12">
        <v>2072.85</v>
      </c>
      <c r="R319" s="13">
        <f>IFERROR(Q319/Q446, "NA")</f>
        <v>0.003737803317</v>
      </c>
      <c r="S319" s="14"/>
      <c r="T319" s="12">
        <v>3320.0</v>
      </c>
      <c r="U319" s="13">
        <f>IFERROR(T319/T446, "NA")</f>
        <v>0.004591677029</v>
      </c>
      <c r="V319" s="14"/>
      <c r="W319" s="15">
        <f t="shared" si="91"/>
        <v>1247.15</v>
      </c>
      <c r="X319" s="13">
        <f>IFERROR(W319/W446, "NA")</f>
        <v>-0.007402200617</v>
      </c>
      <c r="Y319" s="14"/>
      <c r="Z319" s="12">
        <v>3316.56</v>
      </c>
      <c r="AA319" s="13">
        <f>IFERROR(Z319/Z446, "NA")</f>
        <v>0.004959739874</v>
      </c>
      <c r="AB319" s="14"/>
      <c r="AC319" s="15">
        <f t="shared" si="92"/>
        <v>1243.71</v>
      </c>
      <c r="AD319" s="13">
        <f>IFERROR(AC319/AC446, "NA")</f>
        <v>-0.01089705516</v>
      </c>
    </row>
    <row r="320" ht="16.5" customHeight="1">
      <c r="A320" s="11" t="s">
        <v>295</v>
      </c>
      <c r="B320" s="12">
        <v>0.0</v>
      </c>
      <c r="C320" s="13" t="str">
        <f>IFERROR(B320/B446, "NA")</f>
        <v>NA</v>
      </c>
      <c r="D320" s="14"/>
      <c r="E320" s="12">
        <v>150.0</v>
      </c>
      <c r="F320" s="13">
        <f>IFERROR(E320/E446, "NA")</f>
        <v>0.001802468011</v>
      </c>
      <c r="G320" s="14"/>
      <c r="H320" s="15">
        <f t="shared" si="89"/>
        <v>150</v>
      </c>
      <c r="I320" s="13">
        <f>IFERROR(H320/H446, "NA")</f>
        <v>-0.001802468011</v>
      </c>
      <c r="J320" s="14"/>
      <c r="K320" s="12">
        <v>149.51</v>
      </c>
      <c r="L320" s="13">
        <f>IFERROR(K320/K446, "NA")</f>
        <v>0.001960517941</v>
      </c>
      <c r="M320" s="14"/>
      <c r="N320" s="15">
        <f t="shared" si="90"/>
        <v>149.51</v>
      </c>
      <c r="O320" s="13">
        <f>IFERROR(N320/N446, "NA")</f>
        <v>-0.001960517941</v>
      </c>
      <c r="P320" s="14"/>
      <c r="Q320" s="12">
        <v>897.63</v>
      </c>
      <c r="R320" s="13">
        <f>IFERROR(Q320/Q446, "NA")</f>
        <v>0.001618623823</v>
      </c>
      <c r="S320" s="14"/>
      <c r="T320" s="12">
        <v>1200.0</v>
      </c>
      <c r="U320" s="13">
        <f>IFERROR(T320/T446, "NA")</f>
        <v>0.0016596423</v>
      </c>
      <c r="V320" s="14"/>
      <c r="W320" s="15">
        <f t="shared" si="91"/>
        <v>302.37</v>
      </c>
      <c r="X320" s="13">
        <f>IFERROR(W320/W446, "NA")</f>
        <v>-0.001794654533</v>
      </c>
      <c r="Y320" s="14"/>
      <c r="Z320" s="12">
        <v>1196.44</v>
      </c>
      <c r="AA320" s="13">
        <f>IFERROR(Z320/Z446, "NA")</f>
        <v>0.00178921267</v>
      </c>
      <c r="AB320" s="14"/>
      <c r="AC320" s="15">
        <f t="shared" si="92"/>
        <v>298.81</v>
      </c>
      <c r="AD320" s="13">
        <f>IFERROR(AC320/AC446, "NA")</f>
        <v>-0.002618093487</v>
      </c>
    </row>
    <row r="321" ht="16.5" customHeight="1">
      <c r="A321" s="11" t="s">
        <v>296</v>
      </c>
      <c r="B321" s="12">
        <v>0.0</v>
      </c>
      <c r="C321" s="13" t="str">
        <f>IFERROR(B321/B446, "NA")</f>
        <v>NA</v>
      </c>
      <c r="D321" s="14"/>
      <c r="E321" s="12">
        <v>1242.0</v>
      </c>
      <c r="F321" s="13">
        <f>IFERROR(E321/E446, "NA")</f>
        <v>0.01492443513</v>
      </c>
      <c r="G321" s="14"/>
      <c r="H321" s="15">
        <f t="shared" si="89"/>
        <v>1242</v>
      </c>
      <c r="I321" s="13">
        <f>IFERROR(H321/H446, "NA")</f>
        <v>-0.01492443513</v>
      </c>
      <c r="J321" s="14"/>
      <c r="K321" s="12">
        <v>1240.79</v>
      </c>
      <c r="L321" s="13">
        <f>IFERROR(K321/K446, "NA")</f>
        <v>0.01627042376</v>
      </c>
      <c r="M321" s="14"/>
      <c r="N321" s="15">
        <f t="shared" si="90"/>
        <v>1240.79</v>
      </c>
      <c r="O321" s="13">
        <f>IFERROR(N321/N446, "NA")</f>
        <v>-0.01627042376</v>
      </c>
      <c r="P321" s="14"/>
      <c r="Q321" s="12">
        <v>8667.21</v>
      </c>
      <c r="R321" s="13">
        <f>IFERROR(Q321/Q446, "NA")</f>
        <v>0.01562888115</v>
      </c>
      <c r="S321" s="14"/>
      <c r="T321" s="12">
        <v>9936.0</v>
      </c>
      <c r="U321" s="13">
        <f>IFERROR(T321/T446, "NA")</f>
        <v>0.01374183824</v>
      </c>
      <c r="V321" s="14"/>
      <c r="W321" s="15">
        <f t="shared" si="91"/>
        <v>1268.79</v>
      </c>
      <c r="X321" s="13">
        <f>IFERROR(W321/W446, "NA")</f>
        <v>-0.007530640356</v>
      </c>
      <c r="Y321" s="14"/>
      <c r="Z321" s="12">
        <v>8875.8</v>
      </c>
      <c r="AA321" s="13">
        <f>IFERROR(Z321/Z446, "NA")</f>
        <v>0.01327328894</v>
      </c>
      <c r="AB321" s="14"/>
      <c r="AC321" s="15">
        <f t="shared" si="92"/>
        <v>208.59</v>
      </c>
      <c r="AD321" s="13">
        <f>IFERROR(AC321/AC446, "NA")</f>
        <v>-0.001827609921</v>
      </c>
    </row>
    <row r="322" ht="16.5" customHeight="1">
      <c r="A322" s="11" t="s">
        <v>297</v>
      </c>
      <c r="B322" s="12">
        <v>0.0</v>
      </c>
      <c r="C322" s="13" t="str">
        <f>IFERROR(B322/B446, "NA")</f>
        <v>NA</v>
      </c>
      <c r="D322" s="14"/>
      <c r="E322" s="12">
        <v>1248.29</v>
      </c>
      <c r="F322" s="13">
        <f>IFERROR(E322/E446, "NA")</f>
        <v>0.01500001863</v>
      </c>
      <c r="G322" s="14"/>
      <c r="H322" s="15">
        <f t="shared" si="89"/>
        <v>1248.29</v>
      </c>
      <c r="I322" s="13">
        <f>IFERROR(H322/H446, "NA")</f>
        <v>-0.01500001863</v>
      </c>
      <c r="J322" s="14"/>
      <c r="K322" s="12">
        <v>1080.81</v>
      </c>
      <c r="L322" s="13">
        <f>IFERROR(K322/K446, "NA")</f>
        <v>0.01417261317</v>
      </c>
      <c r="M322" s="14"/>
      <c r="N322" s="15">
        <f t="shared" si="90"/>
        <v>1080.81</v>
      </c>
      <c r="O322" s="13">
        <f>IFERROR(N322/N446, "NA")</f>
        <v>-0.01417261317</v>
      </c>
      <c r="P322" s="14"/>
      <c r="Q322" s="12">
        <v>5360.13</v>
      </c>
      <c r="R322" s="13">
        <f>IFERROR(Q322/Q446, "NA")</f>
        <v>0.009665490361</v>
      </c>
      <c r="S322" s="14"/>
      <c r="T322" s="12">
        <v>10780.13</v>
      </c>
      <c r="U322" s="13">
        <f>IFERROR(T322/T446, "NA")</f>
        <v>0.01490929979</v>
      </c>
      <c r="V322" s="14"/>
      <c r="W322" s="15">
        <f t="shared" si="91"/>
        <v>5420</v>
      </c>
      <c r="X322" s="13">
        <f>IFERROR(W322/W446, "NA")</f>
        <v>-0.03216928785</v>
      </c>
      <c r="Y322" s="14"/>
      <c r="Z322" s="12">
        <v>12604.45</v>
      </c>
      <c r="AA322" s="13">
        <f>IFERROR(Z322/Z446, "NA")</f>
        <v>0.01884928759</v>
      </c>
      <c r="AB322" s="14"/>
      <c r="AC322" s="15">
        <f t="shared" si="92"/>
        <v>7244.32</v>
      </c>
      <c r="AD322" s="13">
        <f>IFERROR(AC322/AC446, "NA")</f>
        <v>-0.06347279881</v>
      </c>
    </row>
    <row r="323" ht="16.5" customHeight="1">
      <c r="A323" s="11" t="s">
        <v>298</v>
      </c>
      <c r="B323" s="12">
        <v>0.0</v>
      </c>
      <c r="C323" s="13" t="str">
        <f>IFERROR(B323/B446, "NA")</f>
        <v>NA</v>
      </c>
      <c r="D323" s="14"/>
      <c r="E323" s="12">
        <v>250.0</v>
      </c>
      <c r="F323" s="13">
        <f>IFERROR(E323/E446, "NA")</f>
        <v>0.003004113352</v>
      </c>
      <c r="G323" s="14"/>
      <c r="H323" s="15">
        <f t="shared" si="89"/>
        <v>250</v>
      </c>
      <c r="I323" s="13">
        <f>IFERROR(H323/H446, "NA")</f>
        <v>-0.003004113352</v>
      </c>
      <c r="J323" s="14"/>
      <c r="K323" s="12">
        <v>384.97</v>
      </c>
      <c r="L323" s="13">
        <f>IFERROR(K323/K446, "NA")</f>
        <v>0.005048094386</v>
      </c>
      <c r="M323" s="14"/>
      <c r="N323" s="15">
        <f t="shared" si="90"/>
        <v>384.97</v>
      </c>
      <c r="O323" s="13">
        <f>IFERROR(N323/N446, "NA")</f>
        <v>-0.005048094386</v>
      </c>
      <c r="P323" s="14"/>
      <c r="Q323" s="12">
        <v>1360.14</v>
      </c>
      <c r="R323" s="13">
        <f>IFERROR(Q323/Q446, "NA")</f>
        <v>0.002452630824</v>
      </c>
      <c r="S323" s="14"/>
      <c r="T323" s="12">
        <v>2000.0</v>
      </c>
      <c r="U323" s="13">
        <f>IFERROR(T323/T446, "NA")</f>
        <v>0.0027660705</v>
      </c>
      <c r="V323" s="14"/>
      <c r="W323" s="15">
        <f t="shared" si="91"/>
        <v>639.86</v>
      </c>
      <c r="X323" s="13">
        <f>IFERROR(W323/W446, "NA")</f>
        <v>-0.003797756554</v>
      </c>
      <c r="Y323" s="14"/>
      <c r="Z323" s="12">
        <v>2300.98</v>
      </c>
      <c r="AA323" s="13">
        <f>IFERROR(Z323/Z446, "NA")</f>
        <v>0.003440993757</v>
      </c>
      <c r="AB323" s="14"/>
      <c r="AC323" s="15">
        <f t="shared" si="92"/>
        <v>940.84</v>
      </c>
      <c r="AD323" s="13">
        <f>IFERROR(AC323/AC446, "NA")</f>
        <v>-0.008243389031</v>
      </c>
    </row>
    <row r="324" ht="16.5" hidden="1" customHeight="1">
      <c r="A324" s="11" t="s">
        <v>299</v>
      </c>
      <c r="B324" s="12">
        <v>0.0</v>
      </c>
      <c r="C324" s="13" t="str">
        <f>IFERROR(B324/B446, "NA")</f>
        <v>NA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0.0</v>
      </c>
      <c r="R324" s="13">
        <f>IFERROR(Q324/Q446, "NA")</f>
        <v>0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0</v>
      </c>
      <c r="X324" s="13">
        <f>IFERROR(W324/W446, "NA")</f>
        <v>0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0</v>
      </c>
      <c r="AD324" s="13">
        <f>IFERROR(AC324/AC446, "NA")</f>
        <v>0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0</v>
      </c>
      <c r="C325" s="18" t="str">
        <f>IFERROR(B325/B446, "NA")</f>
        <v>NA</v>
      </c>
      <c r="D325" s="8"/>
      <c r="E325" s="17">
        <f>IFERROR(E298+E299+E300+E301+E302+E303+E304+E305+E306+E307+E308+E309+E310+E311+E312+E313+E314+E315+E316+E317+E318+E319+E320+E321+E322+E323+E324, "NA")</f>
        <v>3909.29</v>
      </c>
      <c r="F325" s="18">
        <f>IFERROR(E325/E446, "NA")</f>
        <v>0.04697580115</v>
      </c>
      <c r="G325" s="8"/>
      <c r="H325" s="17">
        <f t="shared" si="89"/>
        <v>3909.29</v>
      </c>
      <c r="I325" s="18">
        <f>IFERROR(H325/H446, "NA")</f>
        <v>-0.04697580115</v>
      </c>
      <c r="J325" s="8"/>
      <c r="K325" s="17">
        <f>IFERROR(K298+K299+K300+K301+K302+K303+K304+K305+K306+K307+K308+K309+K310+K311+K312+K313+K314+K315+K316+K317+K318+K319+K320+K321+K322+K323+K324, "NA")</f>
        <v>4508.89</v>
      </c>
      <c r="L325" s="18">
        <f>IFERROR(K325/K446, "NA")</f>
        <v>0.05912487284</v>
      </c>
      <c r="M325" s="8"/>
      <c r="N325" s="17">
        <f t="shared" si="90"/>
        <v>4508.89</v>
      </c>
      <c r="O325" s="18">
        <f>IFERROR(N325/N446, "NA")</f>
        <v>-0.05912487284</v>
      </c>
      <c r="P325" s="8"/>
      <c r="Q325" s="17">
        <f>IFERROR(Q298+Q299+Q300+Q301+Q302+Q303+Q304+Q305+Q306+Q307+Q308+Q309+Q310+Q311+Q312+Q313+Q314+Q315+Q316+Q317+Q318+Q319+Q320+Q321+Q322+Q323+Q324, "NA")</f>
        <v>24258.97</v>
      </c>
      <c r="R325" s="18">
        <f>IFERROR(Q325/Q446, "NA")</f>
        <v>0.04374424514</v>
      </c>
      <c r="S325" s="8"/>
      <c r="T325" s="17">
        <f>IFERROR(T298+T299+T300+T301+T302+T303+T304+T305+T306+T307+T308+T309+T310+T311+T312+T313+T314+T315+T316+T317+T318+T319+T320+T321+T322+T323+T324, "NA")</f>
        <v>32068.13</v>
      </c>
      <c r="U325" s="18">
        <f>IFERROR(T325/T446, "NA")</f>
        <v>0.04435135419</v>
      </c>
      <c r="V325" s="8"/>
      <c r="W325" s="17">
        <f t="shared" si="91"/>
        <v>7809.16</v>
      </c>
      <c r="X325" s="18">
        <f>IFERROR(W325/W446, "NA")</f>
        <v>-0.04634965238</v>
      </c>
      <c r="Y325" s="8"/>
      <c r="Z325" s="17">
        <f>IFERROR(Z298+Z299+Z300+Z301+Z302+Z303+Z304+Z305+Z306+Z307+Z308+Z309+Z310+Z311+Z312+Z313+Z314+Z315+Z316+Z317+Z318+Z319+Z320+Z321+Z322+Z323+Z324, "NA")</f>
        <v>36279.61</v>
      </c>
      <c r="AA325" s="18">
        <f>IFERROR(Z325/Z446, "NA")</f>
        <v>0.05425423581</v>
      </c>
      <c r="AB325" s="8"/>
      <c r="AC325" s="17">
        <f t="shared" si="92"/>
        <v>12020.64</v>
      </c>
      <c r="AD325" s="18">
        <f>IFERROR(AC325/AC446, "NA")</f>
        <v>-0.1053216402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0</v>
      </c>
      <c r="C326" s="18" t="str">
        <f>IFERROR(B326/B446, "NA")</f>
        <v>NA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20106.5</v>
      </c>
      <c r="F326" s="18">
        <f>IFERROR(E326/E446, "NA")</f>
        <v>0.2416088205</v>
      </c>
      <c r="G326" s="8"/>
      <c r="H326" s="17">
        <f t="shared" si="89"/>
        <v>20106.5</v>
      </c>
      <c r="I326" s="18">
        <f>IFERROR(H326/H446, "NA")</f>
        <v>-0.2416088205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20063.31</v>
      </c>
      <c r="L326" s="18">
        <f>IFERROR(K326/K446, "NA")</f>
        <v>0.2630892864</v>
      </c>
      <c r="M326" s="8"/>
      <c r="N326" s="17">
        <f t="shared" si="90"/>
        <v>20063.31</v>
      </c>
      <c r="O326" s="18">
        <f>IFERROR(N326/N446, "NA")</f>
        <v>-0.2630892864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135202.79</v>
      </c>
      <c r="R326" s="18">
        <f>IFERROR(Q326/Q446, "NA")</f>
        <v>0.2438002928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170239.86</v>
      </c>
      <c r="U326" s="18">
        <f>IFERROR(T326/T446, "NA")</f>
        <v>0.2354477273</v>
      </c>
      <c r="V326" s="8"/>
      <c r="W326" s="17">
        <f t="shared" si="91"/>
        <v>35037.07</v>
      </c>
      <c r="X326" s="18">
        <f>IFERROR(W326/W446, "NA")</f>
        <v>-0.207955275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180114.65</v>
      </c>
      <c r="AA326" s="18">
        <f>IFERROR(Z326/Z446, "NA")</f>
        <v>0.2693519223</v>
      </c>
      <c r="AB326" s="8"/>
      <c r="AC326" s="17">
        <f t="shared" si="92"/>
        <v>44911.86</v>
      </c>
      <c r="AD326" s="18">
        <f>IFERROR(AC326/AC446, "NA")</f>
        <v>-0.3935057333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 t="str">
        <f>IFERROR(B329/B446, "NA")</f>
        <v>NA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0.0</v>
      </c>
      <c r="C330" s="13" t="str">
        <f>IFERROR(B330/B446, "NA")</f>
        <v>NA</v>
      </c>
      <c r="D330" s="14"/>
      <c r="E330" s="12">
        <v>4735.7</v>
      </c>
      <c r="F330" s="13">
        <f>IFERROR(E330/E446, "NA")</f>
        <v>0.05690631841</v>
      </c>
      <c r="G330" s="14"/>
      <c r="H330" s="15">
        <f t="shared" si="93"/>
        <v>4735.7</v>
      </c>
      <c r="I330" s="13">
        <f>IFERROR(H330/H446, "NA")</f>
        <v>-0.05690631841</v>
      </c>
      <c r="J330" s="14"/>
      <c r="K330" s="12">
        <v>4597.76</v>
      </c>
      <c r="L330" s="13">
        <f>IFERROR(K330/K446, "NA")</f>
        <v>0.06029022117</v>
      </c>
      <c r="M330" s="14"/>
      <c r="N330" s="15">
        <f t="shared" si="94"/>
        <v>4597.76</v>
      </c>
      <c r="O330" s="13">
        <f>IFERROR(N330/N446, "NA")</f>
        <v>-0.06029022117</v>
      </c>
      <c r="P330" s="14"/>
      <c r="Q330" s="12">
        <v>28414.2</v>
      </c>
      <c r="R330" s="13">
        <f>IFERROR(Q330/Q446, "NA")</f>
        <v>0.05123703645</v>
      </c>
      <c r="S330" s="14"/>
      <c r="T330" s="12">
        <v>37885.6</v>
      </c>
      <c r="U330" s="13">
        <f>IFERROR(T330/T446, "NA")</f>
        <v>0.05239712026</v>
      </c>
      <c r="V330" s="14"/>
      <c r="W330" s="15">
        <f t="shared" si="95"/>
        <v>9471.4</v>
      </c>
      <c r="X330" s="13">
        <f>IFERROR(W330/W446, "NA")</f>
        <v>-0.05621553375</v>
      </c>
      <c r="Y330" s="14"/>
      <c r="Z330" s="12">
        <v>36782.08</v>
      </c>
      <c r="AA330" s="13">
        <f>IFERROR(Z330/Z446, "NA")</f>
        <v>0.05500565309</v>
      </c>
      <c r="AB330" s="14"/>
      <c r="AC330" s="15">
        <f t="shared" si="96"/>
        <v>8367.88</v>
      </c>
      <c r="AD330" s="13">
        <f>IFERROR(AC330/AC446, "NA")</f>
        <v>-0.07331713172</v>
      </c>
    </row>
    <row r="331" ht="16.5" customHeight="1">
      <c r="A331" s="11" t="s">
        <v>305</v>
      </c>
      <c r="B331" s="12">
        <v>0.0</v>
      </c>
      <c r="C331" s="13" t="str">
        <f>IFERROR(B331/B446, "NA")</f>
        <v>NA</v>
      </c>
      <c r="D331" s="14"/>
      <c r="E331" s="12">
        <v>1736.6</v>
      </c>
      <c r="F331" s="13">
        <f>IFERROR(E331/E446, "NA")</f>
        <v>0.02086777299</v>
      </c>
      <c r="G331" s="14"/>
      <c r="H331" s="15">
        <f t="shared" si="93"/>
        <v>1736.6</v>
      </c>
      <c r="I331" s="13">
        <f>IFERROR(H331/H446, "NA")</f>
        <v>-0.02086777299</v>
      </c>
      <c r="J331" s="14"/>
      <c r="K331" s="12">
        <v>1686.02</v>
      </c>
      <c r="L331" s="13">
        <f>IFERROR(K331/K446, "NA")</f>
        <v>0.02210870483</v>
      </c>
      <c r="M331" s="14"/>
      <c r="N331" s="15">
        <f t="shared" si="94"/>
        <v>1686.02</v>
      </c>
      <c r="O331" s="13">
        <f>IFERROR(N331/N446, "NA")</f>
        <v>-0.02210870483</v>
      </c>
      <c r="P331" s="14"/>
      <c r="Q331" s="12">
        <v>13277.19</v>
      </c>
      <c r="R331" s="13">
        <f>IFERROR(Q331/Q446, "NA")</f>
        <v>0.02394168648</v>
      </c>
      <c r="S331" s="14"/>
      <c r="T331" s="12">
        <v>13892.8</v>
      </c>
      <c r="U331" s="13">
        <f>IFERROR(T331/T446, "NA")</f>
        <v>0.01921423212</v>
      </c>
      <c r="V331" s="14"/>
      <c r="W331" s="15">
        <f t="shared" si="95"/>
        <v>615.61</v>
      </c>
      <c r="X331" s="13">
        <f>IFERROR(W331/W446, "NA")</f>
        <v>-0.0036538257</v>
      </c>
      <c r="Y331" s="14"/>
      <c r="Z331" s="12">
        <v>14739.27</v>
      </c>
      <c r="AA331" s="13">
        <f>IFERROR(Z331/Z446, "NA")</f>
        <v>0.02204179786</v>
      </c>
      <c r="AB331" s="14"/>
      <c r="AC331" s="15">
        <f t="shared" si="96"/>
        <v>1462.08</v>
      </c>
      <c r="AD331" s="13">
        <f>IFERROR(AC331/AC446, "NA")</f>
        <v>-0.01281035483</v>
      </c>
    </row>
    <row r="332" ht="16.5" hidden="1" customHeight="1">
      <c r="A332" s="11" t="s">
        <v>306</v>
      </c>
      <c r="B332" s="12">
        <v>0.0</v>
      </c>
      <c r="C332" s="13" t="str">
        <f>IFERROR(B332/B446, "NA")</f>
        <v>NA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hidden="1" customHeight="1">
      <c r="A333" s="11" t="s">
        <v>307</v>
      </c>
      <c r="B333" s="12">
        <v>0.0</v>
      </c>
      <c r="C333" s="13" t="str">
        <f>IFERROR(B333/B446, "NA")</f>
        <v>NA</v>
      </c>
      <c r="D333" s="14"/>
      <c r="E333" s="12">
        <v>0.0</v>
      </c>
      <c r="F333" s="13">
        <f>IFERROR(E333/E446, "NA")</f>
        <v>0</v>
      </c>
      <c r="G333" s="14"/>
      <c r="H333" s="15">
        <f t="shared" si="93"/>
        <v>0</v>
      </c>
      <c r="I333" s="13">
        <f>IFERROR(H333/H446, "NA")</f>
        <v>0</v>
      </c>
      <c r="J333" s="14"/>
      <c r="K333" s="12">
        <v>0.0</v>
      </c>
      <c r="L333" s="13">
        <f>IFERROR(K333/K446, "NA")</f>
        <v>0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0.0</v>
      </c>
      <c r="R333" s="13">
        <f>IFERROR(Q333/Q446, "NA")</f>
        <v>0</v>
      </c>
      <c r="S333" s="14"/>
      <c r="T333" s="12">
        <v>0.0</v>
      </c>
      <c r="U333" s="13">
        <f>IFERROR(T333/T446, "NA")</f>
        <v>0</v>
      </c>
      <c r="V333" s="14"/>
      <c r="W333" s="15">
        <f t="shared" si="95"/>
        <v>0</v>
      </c>
      <c r="X333" s="13">
        <f>IFERROR(W333/W446, "NA")</f>
        <v>0</v>
      </c>
      <c r="Y333" s="14"/>
      <c r="Z333" s="12">
        <v>0.0</v>
      </c>
      <c r="AA333" s="13">
        <f>IFERROR(Z333/Z446, "NA")</f>
        <v>0</v>
      </c>
      <c r="AB333" s="14"/>
      <c r="AC333" s="15">
        <f t="shared" si="96"/>
        <v>0</v>
      </c>
      <c r="AD333" s="13">
        <f>IFERROR(AC333/AC446, "NA")</f>
        <v>0</v>
      </c>
    </row>
    <row r="334" ht="16.5" customHeight="1">
      <c r="A334" s="11" t="s">
        <v>308</v>
      </c>
      <c r="B334" s="12">
        <v>0.0</v>
      </c>
      <c r="C334" s="13" t="str">
        <f>IFERROR(B334/B446, "NA")</f>
        <v>NA</v>
      </c>
      <c r="D334" s="14"/>
      <c r="E334" s="12">
        <v>1914.0</v>
      </c>
      <c r="F334" s="13">
        <f>IFERROR(E334/E446, "NA")</f>
        <v>0.02299949182</v>
      </c>
      <c r="G334" s="14"/>
      <c r="H334" s="15">
        <f t="shared" si="93"/>
        <v>1914</v>
      </c>
      <c r="I334" s="13">
        <f>IFERROR(H334/H446, "NA")</f>
        <v>-0.02299949182</v>
      </c>
      <c r="J334" s="14"/>
      <c r="K334" s="12">
        <v>1913.97</v>
      </c>
      <c r="L334" s="13">
        <f>IFERROR(K334/K446, "NA")</f>
        <v>0.02509780298</v>
      </c>
      <c r="M334" s="14"/>
      <c r="N334" s="15">
        <f t="shared" si="94"/>
        <v>1913.97</v>
      </c>
      <c r="O334" s="13">
        <f>IFERROR(N334/N446, "NA")</f>
        <v>-0.02509780298</v>
      </c>
      <c r="P334" s="14"/>
      <c r="Q334" s="12">
        <v>10907.67</v>
      </c>
      <c r="R334" s="13">
        <f>IFERROR(Q334/Q446, "NA")</f>
        <v>0.01966892207</v>
      </c>
      <c r="S334" s="14"/>
      <c r="T334" s="12">
        <v>15312.0</v>
      </c>
      <c r="U334" s="13">
        <f>IFERROR(T334/T446, "NA")</f>
        <v>0.02117703575</v>
      </c>
      <c r="V334" s="14"/>
      <c r="W334" s="15">
        <f t="shared" si="95"/>
        <v>4404.33</v>
      </c>
      <c r="X334" s="13">
        <f>IFERROR(W334/W446, "NA")</f>
        <v>-0.02614098885</v>
      </c>
      <c r="Y334" s="14"/>
      <c r="Z334" s="12">
        <v>14553.02</v>
      </c>
      <c r="AA334" s="13">
        <f>IFERROR(Z334/Z446, "NA")</f>
        <v>0.02176327085</v>
      </c>
      <c r="AB334" s="14"/>
      <c r="AC334" s="15">
        <f t="shared" si="96"/>
        <v>3645.35</v>
      </c>
      <c r="AD334" s="13">
        <f>IFERROR(AC334/AC446, "NA")</f>
        <v>-0.03193958399</v>
      </c>
    </row>
    <row r="335" ht="16.5" customHeight="1">
      <c r="A335" s="11" t="s">
        <v>309</v>
      </c>
      <c r="B335" s="12">
        <v>0.0</v>
      </c>
      <c r="C335" s="13" t="str">
        <f>IFERROR(B335/B446, "NA")</f>
        <v>NA</v>
      </c>
      <c r="D335" s="14"/>
      <c r="E335" s="12">
        <v>-364.65</v>
      </c>
      <c r="F335" s="13">
        <f>IFERROR(E335/E446, "NA")</f>
        <v>-0.004381799735</v>
      </c>
      <c r="G335" s="14"/>
      <c r="H335" s="15">
        <f t="shared" si="93"/>
        <v>-364.65</v>
      </c>
      <c r="I335" s="13">
        <f>IFERROR(H335/H446, "NA")</f>
        <v>0.004381799735</v>
      </c>
      <c r="J335" s="14"/>
      <c r="K335" s="12">
        <v>-354.03</v>
      </c>
      <c r="L335" s="13">
        <f>IFERROR(K335/K446, "NA")</f>
        <v>-0.00464237955</v>
      </c>
      <c r="M335" s="14"/>
      <c r="N335" s="15">
        <f t="shared" si="94"/>
        <v>-354.03</v>
      </c>
      <c r="O335" s="13">
        <f>IFERROR(N335/N446, "NA")</f>
        <v>0.00464237955</v>
      </c>
      <c r="P335" s="14"/>
      <c r="Q335" s="12">
        <v>0.0</v>
      </c>
      <c r="R335" s="13">
        <f>IFERROR(Q335/Q446, "NA")</f>
        <v>0</v>
      </c>
      <c r="S335" s="14"/>
      <c r="T335" s="12">
        <v>-729.3</v>
      </c>
      <c r="U335" s="13">
        <f>IFERROR(T335/T446, "NA")</f>
        <v>-0.001008647608</v>
      </c>
      <c r="V335" s="14"/>
      <c r="W335" s="15">
        <f t="shared" si="95"/>
        <v>-729.3</v>
      </c>
      <c r="X335" s="13">
        <f>IFERROR(W335/W446, "NA")</f>
        <v>0.004328609157</v>
      </c>
      <c r="Y335" s="14"/>
      <c r="Z335" s="12">
        <v>-708.06</v>
      </c>
      <c r="AA335" s="13">
        <f>IFERROR(Z335/Z446, "NA")</f>
        <v>-0.001058866239</v>
      </c>
      <c r="AB335" s="14"/>
      <c r="AC335" s="15">
        <f t="shared" si="96"/>
        <v>-708.06</v>
      </c>
      <c r="AD335" s="13">
        <f>IFERROR(AC335/AC446, "NA")</f>
        <v>0.006203832785</v>
      </c>
    </row>
    <row r="336" ht="16.5" hidden="1" customHeight="1">
      <c r="A336" s="11" t="s">
        <v>310</v>
      </c>
      <c r="B336" s="12">
        <v>0.0</v>
      </c>
      <c r="C336" s="13" t="str">
        <f>IFERROR(B336/B446, "NA")</f>
        <v>NA</v>
      </c>
      <c r="D336" s="14"/>
      <c r="E336" s="12">
        <v>0.0</v>
      </c>
      <c r="F336" s="13">
        <f>IFERROR(E336/E446, "NA")</f>
        <v>0</v>
      </c>
      <c r="G336" s="14"/>
      <c r="H336" s="15">
        <f t="shared" si="93"/>
        <v>0</v>
      </c>
      <c r="I336" s="13">
        <f>IFERROR(H336/H446, "NA")</f>
        <v>0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0</v>
      </c>
      <c r="O336" s="13">
        <f>IFERROR(N336/N446, "NA")</f>
        <v>0</v>
      </c>
      <c r="P336" s="14"/>
      <c r="Q336" s="12">
        <v>0.0</v>
      </c>
      <c r="R336" s="13">
        <f>IFERROR(Q336/Q446, "NA")</f>
        <v>0</v>
      </c>
      <c r="S336" s="14"/>
      <c r="T336" s="12">
        <v>0.0</v>
      </c>
      <c r="U336" s="13">
        <f>IFERROR(T336/T446, "NA")</f>
        <v>0</v>
      </c>
      <c r="V336" s="14"/>
      <c r="W336" s="15">
        <f t="shared" si="95"/>
        <v>0</v>
      </c>
      <c r="X336" s="13">
        <f>IFERROR(W336/W446, "NA")</f>
        <v>0</v>
      </c>
      <c r="Y336" s="14"/>
      <c r="Z336" s="12">
        <v>0.0</v>
      </c>
      <c r="AA336" s="13">
        <f>IFERROR(Z336/Z446, "NA")</f>
        <v>0</v>
      </c>
      <c r="AB336" s="14"/>
      <c r="AC336" s="15">
        <f t="shared" si="96"/>
        <v>0</v>
      </c>
      <c r="AD336" s="13">
        <f>IFERROR(AC336/AC446, "NA")</f>
        <v>0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 t="str">
        <f>IFERROR(B338/B446, "NA")</f>
        <v>NA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0.0</v>
      </c>
      <c r="C339" s="13" t="str">
        <f>IFERROR(B339/B446, "NA")</f>
        <v>NA</v>
      </c>
      <c r="D339" s="14"/>
      <c r="E339" s="12">
        <v>2413.36</v>
      </c>
      <c r="F339" s="13">
        <f>IFERROR(E339/E446, "NA")</f>
        <v>0.029000028</v>
      </c>
      <c r="G339" s="14"/>
      <c r="H339" s="15">
        <f t="shared" si="97"/>
        <v>2413.36</v>
      </c>
      <c r="I339" s="13">
        <f>IFERROR(H339/H446, "NA")</f>
        <v>-0.029000028</v>
      </c>
      <c r="J339" s="14"/>
      <c r="K339" s="12">
        <v>3063.66</v>
      </c>
      <c r="L339" s="13">
        <f>IFERROR(K339/K446, "NA")</f>
        <v>0.04017363651</v>
      </c>
      <c r="M339" s="14"/>
      <c r="N339" s="15">
        <f t="shared" si="98"/>
        <v>3063.66</v>
      </c>
      <c r="O339" s="13">
        <f>IFERROR(N339/N446, "NA")</f>
        <v>-0.04017363651</v>
      </c>
      <c r="P339" s="14"/>
      <c r="Q339" s="12">
        <v>13821.2</v>
      </c>
      <c r="R339" s="13">
        <f>IFERROR(Q339/Q446, "NA")</f>
        <v>0.02492265586</v>
      </c>
      <c r="S339" s="14"/>
      <c r="T339" s="12">
        <v>20968.38</v>
      </c>
      <c r="U339" s="13">
        <f>IFERROR(T339/T446, "NA")</f>
        <v>0.02900000867</v>
      </c>
      <c r="V339" s="14"/>
      <c r="W339" s="15">
        <f t="shared" si="99"/>
        <v>7147.18</v>
      </c>
      <c r="X339" s="13">
        <f>IFERROR(W339/W446, "NA")</f>
        <v>-0.04242060715</v>
      </c>
      <c r="Y339" s="14"/>
      <c r="Z339" s="12">
        <v>21284.07</v>
      </c>
      <c r="AA339" s="13">
        <f>IFERROR(Z339/Z446, "NA")</f>
        <v>0.03182919973</v>
      </c>
      <c r="AB339" s="14"/>
      <c r="AC339" s="15">
        <f t="shared" si="100"/>
        <v>7462.87</v>
      </c>
      <c r="AD339" s="13">
        <f>IFERROR(AC339/AC446, "NA")</f>
        <v>-0.06538767559</v>
      </c>
    </row>
    <row r="340" ht="16.5" customHeight="1">
      <c r="A340" s="11" t="s">
        <v>313</v>
      </c>
      <c r="B340" s="12">
        <v>0.0</v>
      </c>
      <c r="C340" s="13" t="str">
        <f>IFERROR(B340/B446, "NA")</f>
        <v>NA</v>
      </c>
      <c r="D340" s="14"/>
      <c r="E340" s="12">
        <v>332.88</v>
      </c>
      <c r="F340" s="13">
        <f>IFERROR(E340/E446, "NA")</f>
        <v>0.004000037011</v>
      </c>
      <c r="G340" s="14"/>
      <c r="H340" s="15">
        <f t="shared" si="97"/>
        <v>332.88</v>
      </c>
      <c r="I340" s="13">
        <f>IFERROR(H340/H446, "NA")</f>
        <v>-0.004000037011</v>
      </c>
      <c r="J340" s="14"/>
      <c r="K340" s="12">
        <v>353.67</v>
      </c>
      <c r="L340" s="13">
        <f>IFERROR(K340/K446, "NA")</f>
        <v>0.004637658886</v>
      </c>
      <c r="M340" s="14"/>
      <c r="N340" s="15">
        <f t="shared" si="98"/>
        <v>353.67</v>
      </c>
      <c r="O340" s="13">
        <f>IFERROR(N340/N446, "NA")</f>
        <v>-0.004637658886</v>
      </c>
      <c r="P340" s="14"/>
      <c r="Q340" s="12">
        <v>2301.9</v>
      </c>
      <c r="R340" s="13">
        <f>IFERROR(Q340/Q446, "NA")</f>
        <v>0.004150830719</v>
      </c>
      <c r="S340" s="14"/>
      <c r="T340" s="12">
        <v>2892.19</v>
      </c>
      <c r="U340" s="13">
        <f>IFERROR(T340/T446, "NA")</f>
        <v>0.004000000719</v>
      </c>
      <c r="V340" s="14"/>
      <c r="W340" s="15">
        <f t="shared" si="99"/>
        <v>590.29</v>
      </c>
      <c r="X340" s="13">
        <f>IFERROR(W340/W446, "NA")</f>
        <v>-0.003503544082</v>
      </c>
      <c r="Y340" s="14"/>
      <c r="Z340" s="12">
        <v>2622.8</v>
      </c>
      <c r="AA340" s="13">
        <f>IFERROR(Z340/Z446, "NA")</f>
        <v>0.003922258527</v>
      </c>
      <c r="AB340" s="14"/>
      <c r="AC340" s="15">
        <f t="shared" si="100"/>
        <v>320.9</v>
      </c>
      <c r="AD340" s="13">
        <f>IFERROR(AC340/AC446, "NA")</f>
        <v>-0.002811640173</v>
      </c>
    </row>
    <row r="341" ht="16.5" customHeight="1">
      <c r="A341" s="11" t="s">
        <v>314</v>
      </c>
      <c r="B341" s="12">
        <v>0.0</v>
      </c>
      <c r="C341" s="13" t="str">
        <f>IFERROR(B341/B446, "NA")</f>
        <v>NA</v>
      </c>
      <c r="D341" s="14"/>
      <c r="E341" s="12">
        <v>332.88</v>
      </c>
      <c r="F341" s="13">
        <f>IFERROR(E341/E446, "NA")</f>
        <v>0.004000037011</v>
      </c>
      <c r="G341" s="14"/>
      <c r="H341" s="15">
        <f t="shared" si="97"/>
        <v>332.88</v>
      </c>
      <c r="I341" s="13">
        <f>IFERROR(H341/H446, "NA")</f>
        <v>-0.004000037011</v>
      </c>
      <c r="J341" s="14"/>
      <c r="K341" s="12">
        <v>437.22</v>
      </c>
      <c r="L341" s="13">
        <f>IFERROR(K341/K446, "NA")</f>
        <v>0.005733246298</v>
      </c>
      <c r="M341" s="14"/>
      <c r="N341" s="15">
        <f t="shared" si="98"/>
        <v>437.22</v>
      </c>
      <c r="O341" s="13">
        <f>IFERROR(N341/N446, "NA")</f>
        <v>-0.005733246298</v>
      </c>
      <c r="P341" s="14"/>
      <c r="Q341" s="12">
        <v>3960.16</v>
      </c>
      <c r="R341" s="13">
        <f>IFERROR(Q341/Q446, "NA")</f>
        <v>0.007141037308</v>
      </c>
      <c r="S341" s="14"/>
      <c r="T341" s="12">
        <v>2892.19</v>
      </c>
      <c r="U341" s="13">
        <f>IFERROR(T341/T446, "NA")</f>
        <v>0.004000000719</v>
      </c>
      <c r="V341" s="14"/>
      <c r="W341" s="15">
        <f t="shared" si="99"/>
        <v>-1067.97</v>
      </c>
      <c r="X341" s="13">
        <f>IFERROR(W341/W446, "NA")</f>
        <v>0.006338714824</v>
      </c>
      <c r="Y341" s="14"/>
      <c r="Z341" s="12">
        <v>3317.06</v>
      </c>
      <c r="AA341" s="13">
        <f>IFERROR(Z341/Z446, "NA")</f>
        <v>0.004960487597</v>
      </c>
      <c r="AB341" s="14"/>
      <c r="AC341" s="15">
        <f t="shared" si="100"/>
        <v>-643.1</v>
      </c>
      <c r="AD341" s="13">
        <f>IFERROR(AC341/AC446, "NA")</f>
        <v>0.005634670599</v>
      </c>
    </row>
    <row r="342" ht="16.5" hidden="1" customHeight="1">
      <c r="A342" s="11" t="s">
        <v>315</v>
      </c>
      <c r="B342" s="12">
        <v>0.0</v>
      </c>
      <c r="C342" s="13" t="str">
        <f>IFERROR(B342/B446, "NA")</f>
        <v>NA</v>
      </c>
      <c r="D342" s="14"/>
      <c r="E342" s="12">
        <v>0.0</v>
      </c>
      <c r="F342" s="13">
        <f>IFERROR(E342/E446, "NA")</f>
        <v>0</v>
      </c>
      <c r="G342" s="14"/>
      <c r="H342" s="15">
        <f t="shared" si="97"/>
        <v>0</v>
      </c>
      <c r="I342" s="13">
        <f>IFERROR(H342/H446, "NA")</f>
        <v>0</v>
      </c>
      <c r="J342" s="14"/>
      <c r="K342" s="12">
        <v>0.0</v>
      </c>
      <c r="L342" s="13">
        <f>IFERROR(K342/K446, "NA")</f>
        <v>0</v>
      </c>
      <c r="M342" s="14"/>
      <c r="N342" s="15">
        <f t="shared" si="98"/>
        <v>0</v>
      </c>
      <c r="O342" s="13">
        <f>IFERROR(N342/N446, "NA")</f>
        <v>0</v>
      </c>
      <c r="P342" s="14"/>
      <c r="Q342" s="12">
        <v>0.0</v>
      </c>
      <c r="R342" s="13">
        <f>IFERROR(Q342/Q446, "NA")</f>
        <v>0</v>
      </c>
      <c r="S342" s="14"/>
      <c r="T342" s="12">
        <v>0.0</v>
      </c>
      <c r="U342" s="13">
        <f>IFERROR(T342/T446, "NA")</f>
        <v>0</v>
      </c>
      <c r="V342" s="14"/>
      <c r="W342" s="15">
        <f t="shared" si="99"/>
        <v>0</v>
      </c>
      <c r="X342" s="13">
        <f>IFERROR(W342/W446, "NA")</f>
        <v>0</v>
      </c>
      <c r="Y342" s="14"/>
      <c r="Z342" s="12">
        <v>0.0</v>
      </c>
      <c r="AA342" s="13">
        <f>IFERROR(Z342/Z446, "NA")</f>
        <v>0</v>
      </c>
      <c r="AB342" s="14"/>
      <c r="AC342" s="15">
        <f t="shared" si="100"/>
        <v>0</v>
      </c>
      <c r="AD342" s="13">
        <f>IFERROR(AC342/AC446, "NA")</f>
        <v>0</v>
      </c>
    </row>
    <row r="343" ht="16.5" customHeight="1">
      <c r="A343" s="16" t="s">
        <v>316</v>
      </c>
      <c r="B343" s="17">
        <f>IFERROR(B338+B339+B340+B341+B342, "NA")</f>
        <v>0</v>
      </c>
      <c r="C343" s="18" t="str">
        <f>IFERROR(B343/B446, "NA")</f>
        <v>NA</v>
      </c>
      <c r="D343" s="8"/>
      <c r="E343" s="17">
        <f>IFERROR(E338+E339+E340+E341+E342, "NA")</f>
        <v>3079.12</v>
      </c>
      <c r="F343" s="18">
        <f>IFERROR(E343/E446, "NA")</f>
        <v>0.03700010202</v>
      </c>
      <c r="G343" s="8"/>
      <c r="H343" s="17">
        <f t="shared" si="97"/>
        <v>3079.12</v>
      </c>
      <c r="I343" s="18">
        <f>IFERROR(H343/H446, "NA")</f>
        <v>-0.03700010202</v>
      </c>
      <c r="J343" s="8"/>
      <c r="K343" s="17">
        <f>IFERROR(K338+K339+K340+K341+K342, "NA")</f>
        <v>3854.55</v>
      </c>
      <c r="L343" s="18">
        <f>IFERROR(K343/K446, "NA")</f>
        <v>0.05054454169</v>
      </c>
      <c r="M343" s="8"/>
      <c r="N343" s="17">
        <f t="shared" si="98"/>
        <v>3854.55</v>
      </c>
      <c r="O343" s="18">
        <f>IFERROR(N343/N446, "NA")</f>
        <v>-0.05054454169</v>
      </c>
      <c r="P343" s="8"/>
      <c r="Q343" s="17">
        <f>IFERROR(Q338+Q339+Q340+Q341+Q342, "NA")</f>
        <v>20083.26</v>
      </c>
      <c r="R343" s="18">
        <f>IFERROR(Q343/Q446, "NA")</f>
        <v>0.03621452389</v>
      </c>
      <c r="S343" s="8"/>
      <c r="T343" s="17">
        <f>IFERROR(T338+T339+T340+T341+T342, "NA")</f>
        <v>26752.76</v>
      </c>
      <c r="U343" s="18">
        <f>IFERROR(T343/T446, "NA")</f>
        <v>0.03700001011</v>
      </c>
      <c r="V343" s="8"/>
      <c r="W343" s="17">
        <f t="shared" si="99"/>
        <v>6669.5</v>
      </c>
      <c r="X343" s="18">
        <f>IFERROR(W343/W446, "NA")</f>
        <v>-0.03958543641</v>
      </c>
      <c r="Y343" s="8"/>
      <c r="Z343" s="17">
        <f>IFERROR(Z338+Z339+Z340+Z341+Z342, "NA")</f>
        <v>27223.93</v>
      </c>
      <c r="AA343" s="18">
        <f>IFERROR(Z343/Z446, "NA")</f>
        <v>0.04071194585</v>
      </c>
      <c r="AB343" s="8"/>
      <c r="AC343" s="17">
        <f t="shared" si="100"/>
        <v>7140.67</v>
      </c>
      <c r="AD343" s="18">
        <f>IFERROR(AC343/AC446, "NA")</f>
        <v>-0.06256464516</v>
      </c>
    </row>
    <row r="344" ht="16.5" customHeight="1">
      <c r="A344" s="16" t="s">
        <v>317</v>
      </c>
      <c r="B344" s="17">
        <f>IFERROR(B329+B330+B331+B332+B333+B334+B335+B336+B338+B339+B340+B341+B342, "NA")</f>
        <v>0</v>
      </c>
      <c r="C344" s="18" t="str">
        <f>IFERROR(B344/B446, "NA")</f>
        <v>NA</v>
      </c>
      <c r="D344" s="8"/>
      <c r="E344" s="17">
        <f>IFERROR(E329+E330+E331+E332+E333+E334+E335+E336+E338+E339+E340+E341+E342, "NA")</f>
        <v>11100.77</v>
      </c>
      <c r="F344" s="18">
        <f>IFERROR(E344/E446, "NA")</f>
        <v>0.1333918855</v>
      </c>
      <c r="G344" s="8"/>
      <c r="H344" s="17">
        <f t="shared" si="97"/>
        <v>11100.77</v>
      </c>
      <c r="I344" s="18">
        <f>IFERROR(H344/H446, "NA")</f>
        <v>-0.1333918855</v>
      </c>
      <c r="J344" s="8"/>
      <c r="K344" s="17">
        <f>IFERROR(K329+K330+K331+K332+K333+K334+K335+K336+K338+K339+K340+K341+K342, "NA")</f>
        <v>11698.27</v>
      </c>
      <c r="L344" s="18">
        <f>IFERROR(K344/K446, "NA")</f>
        <v>0.1533988911</v>
      </c>
      <c r="M344" s="8"/>
      <c r="N344" s="17">
        <f t="shared" si="98"/>
        <v>11698.27</v>
      </c>
      <c r="O344" s="18">
        <f>IFERROR(N344/N446, "NA")</f>
        <v>-0.1533988911</v>
      </c>
      <c r="P344" s="8"/>
      <c r="Q344" s="17">
        <f>IFERROR(Q329+Q330+Q331+Q332+Q333+Q334+Q335+Q336+Q338+Q339+Q340+Q341+Q342, "NA")</f>
        <v>72682.32</v>
      </c>
      <c r="R344" s="18">
        <f>IFERROR(Q344/Q446, "NA")</f>
        <v>0.1310621689</v>
      </c>
      <c r="S344" s="8"/>
      <c r="T344" s="17">
        <f>IFERROR(T329+T330+T331+T332+T333+T334+T335+T336+T338+T339+T340+T341+T342, "NA")</f>
        <v>93113.86</v>
      </c>
      <c r="U344" s="18">
        <f>IFERROR(T344/T446, "NA")</f>
        <v>0.1287797506</v>
      </c>
      <c r="V344" s="8"/>
      <c r="W344" s="17">
        <f t="shared" si="99"/>
        <v>20431.54</v>
      </c>
      <c r="X344" s="18">
        <f>IFERROR(W344/W446, "NA")</f>
        <v>-0.1212671756</v>
      </c>
      <c r="Y344" s="8"/>
      <c r="Z344" s="17">
        <f>IFERROR(Z329+Z330+Z331+Z332+Z333+Z334+Z335+Z336+Z338+Z339+Z340+Z341+Z342, "NA")</f>
        <v>92590.24</v>
      </c>
      <c r="AA344" s="18">
        <f>IFERROR(Z344/Z446, "NA")</f>
        <v>0.1384638014</v>
      </c>
      <c r="AB344" s="8"/>
      <c r="AC344" s="17">
        <f t="shared" si="100"/>
        <v>19907.92</v>
      </c>
      <c r="AD344" s="18">
        <f>IFERROR(AC344/AC446, "NA")</f>
        <v>-0.1744278829</v>
      </c>
    </row>
    <row r="345" ht="16.5" customHeight="1">
      <c r="A345" s="16" t="s">
        <v>318</v>
      </c>
      <c r="B345" s="17">
        <f>IFERROR(B329+B330+B331+B332+B333+B334+B335+B336+B338+B339+B340+B341+B342, "NA")</f>
        <v>0</v>
      </c>
      <c r="C345" s="18" t="str">
        <f>IFERROR(B345/B446, "NA")</f>
        <v>NA</v>
      </c>
      <c r="D345" s="8"/>
      <c r="E345" s="17">
        <f>IFERROR(E329+E330+E331+E332+E333+E334+E335+E336+E338+E339+E340+E341+E342, "NA")</f>
        <v>11100.77</v>
      </c>
      <c r="F345" s="18">
        <f>IFERROR(E345/E446, "NA")</f>
        <v>0.1333918855</v>
      </c>
      <c r="G345" s="8"/>
      <c r="H345" s="17">
        <f t="shared" si="97"/>
        <v>11100.77</v>
      </c>
      <c r="I345" s="18">
        <f>IFERROR(H345/H446, "NA")</f>
        <v>-0.1333918855</v>
      </c>
      <c r="J345" s="8"/>
      <c r="K345" s="17">
        <f>IFERROR(K329+K330+K331+K332+K333+K334+K335+K336+K338+K339+K340+K341+K342, "NA")</f>
        <v>11698.27</v>
      </c>
      <c r="L345" s="18">
        <f>IFERROR(K345/K446, "NA")</f>
        <v>0.1533988911</v>
      </c>
      <c r="M345" s="8"/>
      <c r="N345" s="17">
        <f t="shared" si="98"/>
        <v>11698.27</v>
      </c>
      <c r="O345" s="18">
        <f>IFERROR(N345/N446, "NA")</f>
        <v>-0.1533988911</v>
      </c>
      <c r="P345" s="8"/>
      <c r="Q345" s="17">
        <f>IFERROR(Q329+Q330+Q331+Q332+Q333+Q334+Q335+Q336+Q338+Q339+Q340+Q341+Q342, "NA")</f>
        <v>72682.32</v>
      </c>
      <c r="R345" s="18">
        <f>IFERROR(Q345/Q446, "NA")</f>
        <v>0.1310621689</v>
      </c>
      <c r="S345" s="8"/>
      <c r="T345" s="17">
        <f>IFERROR(T329+T330+T331+T332+T333+T334+T335+T336+T338+T339+T340+T341+T342, "NA")</f>
        <v>93113.86</v>
      </c>
      <c r="U345" s="18">
        <f>IFERROR(T345/T446, "NA")</f>
        <v>0.1287797506</v>
      </c>
      <c r="V345" s="8"/>
      <c r="W345" s="17">
        <f t="shared" si="99"/>
        <v>20431.54</v>
      </c>
      <c r="X345" s="18">
        <f>IFERROR(W345/W446, "NA")</f>
        <v>-0.1212671756</v>
      </c>
      <c r="Y345" s="8"/>
      <c r="Z345" s="17">
        <f>IFERROR(Z329+Z330+Z331+Z332+Z333+Z334+Z335+Z336+Z338+Z339+Z340+Z341+Z342, "NA")</f>
        <v>92590.24</v>
      </c>
      <c r="AA345" s="18">
        <f>IFERROR(Z345/Z446, "NA")</f>
        <v>0.1384638014</v>
      </c>
      <c r="AB345" s="8"/>
      <c r="AC345" s="17">
        <f t="shared" si="100"/>
        <v>19907.92</v>
      </c>
      <c r="AD345" s="18">
        <f>IFERROR(AC345/AC446, "NA")</f>
        <v>-0.1744278829</v>
      </c>
    </row>
    <row r="346" ht="16.5" customHeight="1">
      <c r="A346" s="19" t="s">
        <v>319</v>
      </c>
      <c r="B346" s="20">
        <f>IFERROR(B198-B326-B345, "NA")</f>
        <v>0</v>
      </c>
      <c r="C346" s="21" t="str">
        <f>IFERROR(B346/B446, "NA")</f>
        <v>NA</v>
      </c>
      <c r="D346" s="22"/>
      <c r="E346" s="20">
        <f>IFERROR(E198-E326-E345, "NA")</f>
        <v>4597.6</v>
      </c>
      <c r="F346" s="21">
        <f>IFERROR(E346/E446, "NA")</f>
        <v>0.05524684619</v>
      </c>
      <c r="G346" s="22"/>
      <c r="H346" s="20">
        <f>IFERROR(B346-E346, "NA")</f>
        <v>-4597.6</v>
      </c>
      <c r="I346" s="21">
        <f>IFERROR(H346/H446, "NA")</f>
        <v>0.05524684619</v>
      </c>
      <c r="J346" s="22"/>
      <c r="K346" s="20">
        <f>IFERROR(K198-K326-K345, "NA")</f>
        <v>-3571.67</v>
      </c>
      <c r="L346" s="21">
        <f>IFERROR(K346/K446, "NA")</f>
        <v>-0.04683514891</v>
      </c>
      <c r="M346" s="22"/>
      <c r="N346" s="20">
        <f>IFERROR(B346-K346, "NA")</f>
        <v>3571.67</v>
      </c>
      <c r="O346" s="21">
        <f>IFERROR(N346/N446, "NA")</f>
        <v>-0.04683514891</v>
      </c>
      <c r="P346" s="22"/>
      <c r="Q346" s="20">
        <f>IFERROR(Q198-Q326-Q345, "NA")</f>
        <v>30006.57</v>
      </c>
      <c r="R346" s="21">
        <f>IFERROR(Q346/Q446, "NA")</f>
        <v>0.05410842892</v>
      </c>
      <c r="S346" s="22"/>
      <c r="T346" s="20">
        <f>IFERROR(T198-T326-T345, "NA")</f>
        <v>51285.94</v>
      </c>
      <c r="U346" s="21">
        <f>IFERROR(T346/T446, "NA")</f>
        <v>0.07093026284</v>
      </c>
      <c r="V346" s="22"/>
      <c r="W346" s="20">
        <f>IFERROR(Q346-T346, "NA")</f>
        <v>-21279.37</v>
      </c>
      <c r="X346" s="21">
        <f>IFERROR(W346/W446, "NA")</f>
        <v>0.126299295</v>
      </c>
      <c r="Y346" s="22"/>
      <c r="Z346" s="20">
        <f>IFERROR(Z198-Z326-Z345, "NA")</f>
        <v>-1581.93</v>
      </c>
      <c r="AA346" s="21">
        <f>IFERROR(Z346/Z446, "NA")</f>
        <v>-0.002365692554</v>
      </c>
      <c r="AB346" s="22"/>
      <c r="AC346" s="20">
        <f>IFERROR(Q346-Z346, "NA")</f>
        <v>31588.5</v>
      </c>
      <c r="AD346" s="21">
        <f>IFERROR(AC346/AC446, "NA")</f>
        <v>-0.2767700081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 t="str">
        <f>IFERROR(B348/B446, "NA")</f>
        <v>NA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 t="str">
        <f>IFERROR(B350/B446, "NA")</f>
        <v>NA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hidden="1" customHeight="1">
      <c r="A351" s="11" t="s">
        <v>323</v>
      </c>
      <c r="B351" s="12">
        <v>0.0</v>
      </c>
      <c r="C351" s="13" t="str">
        <f>IFERROR(B351/B446, "NA")</f>
        <v>NA</v>
      </c>
      <c r="D351" s="14"/>
      <c r="E351" s="12">
        <v>0.0</v>
      </c>
      <c r="F351" s="13">
        <f>IFERROR(E351/E446, "NA")</f>
        <v>0</v>
      </c>
      <c r="G351" s="14"/>
      <c r="H351" s="15">
        <f t="shared" si="101"/>
        <v>0</v>
      </c>
      <c r="I351" s="13">
        <f>IFERROR(H351/H446, "NA")</f>
        <v>0</v>
      </c>
      <c r="J351" s="14"/>
      <c r="K351" s="12">
        <v>0.0</v>
      </c>
      <c r="L351" s="13">
        <f>IFERROR(K351/K446, "NA")</f>
        <v>0</v>
      </c>
      <c r="M351" s="14"/>
      <c r="N351" s="15">
        <f t="shared" si="102"/>
        <v>0</v>
      </c>
      <c r="O351" s="13">
        <f>IFERROR(N351/N446, "NA")</f>
        <v>0</v>
      </c>
      <c r="P351" s="14"/>
      <c r="Q351" s="12">
        <v>0.0</v>
      </c>
      <c r="R351" s="13">
        <f>IFERROR(Q351/Q446, "NA")</f>
        <v>0</v>
      </c>
      <c r="S351" s="14"/>
      <c r="T351" s="12">
        <v>0.0</v>
      </c>
      <c r="U351" s="13">
        <f>IFERROR(T351/T446, "NA")</f>
        <v>0</v>
      </c>
      <c r="V351" s="14"/>
      <c r="W351" s="15">
        <f t="shared" si="103"/>
        <v>0</v>
      </c>
      <c r="X351" s="13">
        <f>IFERROR(W351/W446, "NA")</f>
        <v>0</v>
      </c>
      <c r="Y351" s="14"/>
      <c r="Z351" s="12">
        <v>0.0</v>
      </c>
      <c r="AA351" s="13">
        <f>IFERROR(Z351/Z446, "NA")</f>
        <v>0</v>
      </c>
      <c r="AB351" s="14"/>
      <c r="AC351" s="15">
        <f t="shared" si="104"/>
        <v>0</v>
      </c>
      <c r="AD351" s="13">
        <f>IFERROR(AC351/AC446, "NA")</f>
        <v>0</v>
      </c>
    </row>
    <row r="352" ht="16.5" hidden="1" customHeight="1">
      <c r="A352" s="11" t="s">
        <v>324</v>
      </c>
      <c r="B352" s="12">
        <v>0.0</v>
      </c>
      <c r="C352" s="13" t="str">
        <f>IFERROR(B352/B446, "NA")</f>
        <v>NA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hidden="1" customHeight="1">
      <c r="A353" s="11" t="s">
        <v>325</v>
      </c>
      <c r="B353" s="12">
        <v>0.0</v>
      </c>
      <c r="C353" s="13" t="str">
        <f>IFERROR(B353/B446, "NA")</f>
        <v>NA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0.0</v>
      </c>
      <c r="U353" s="13">
        <f>IFERROR(T353/T446, "NA")</f>
        <v>0</v>
      </c>
      <c r="V353" s="14"/>
      <c r="W353" s="15">
        <f t="shared" si="103"/>
        <v>0</v>
      </c>
      <c r="X353" s="13">
        <f>IFERROR(W353/W446, "NA")</f>
        <v>0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hidden="1" customHeight="1">
      <c r="A354" s="11" t="s">
        <v>326</v>
      </c>
      <c r="B354" s="12">
        <v>0.0</v>
      </c>
      <c r="C354" s="13" t="str">
        <f>IFERROR(B354/B446, "NA")</f>
        <v>NA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0.0</v>
      </c>
      <c r="L354" s="13">
        <f>IFERROR(K354/K446, "NA")</f>
        <v>0</v>
      </c>
      <c r="M354" s="14"/>
      <c r="N354" s="15">
        <f t="shared" si="102"/>
        <v>0</v>
      </c>
      <c r="O354" s="13">
        <f>IFERROR(N354/N446, "NA")</f>
        <v>0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0.0</v>
      </c>
      <c r="AA354" s="13">
        <f>IFERROR(Z354/Z446, "NA")</f>
        <v>0</v>
      </c>
      <c r="AB354" s="14"/>
      <c r="AC354" s="15">
        <f t="shared" si="104"/>
        <v>0</v>
      </c>
      <c r="AD354" s="13">
        <f>IFERROR(AC354/AC446, "NA")</f>
        <v>0</v>
      </c>
    </row>
    <row r="355" ht="16.5" hidden="1" customHeight="1">
      <c r="A355" s="11" t="s">
        <v>327</v>
      </c>
      <c r="B355" s="12">
        <v>0.0</v>
      </c>
      <c r="C355" s="13" t="str">
        <f>IFERROR(B355/B446, "NA")</f>
        <v>NA</v>
      </c>
      <c r="D355" s="14"/>
      <c r="E355" s="12">
        <v>0.0</v>
      </c>
      <c r="F355" s="13">
        <f>IFERROR(E355/E446, "NA")</f>
        <v>0</v>
      </c>
      <c r="G355" s="14"/>
      <c r="H355" s="15">
        <f t="shared" si="101"/>
        <v>0</v>
      </c>
      <c r="I355" s="13">
        <f>IFERROR(H355/H446, "NA")</f>
        <v>0</v>
      </c>
      <c r="J355" s="14"/>
      <c r="K355" s="12">
        <v>0.0</v>
      </c>
      <c r="L355" s="13">
        <f>IFERROR(K355/K446, "NA")</f>
        <v>0</v>
      </c>
      <c r="M355" s="14"/>
      <c r="N355" s="15">
        <f t="shared" si="102"/>
        <v>0</v>
      </c>
      <c r="O355" s="13">
        <f>IFERROR(N355/N446, "NA")</f>
        <v>0</v>
      </c>
      <c r="P355" s="14"/>
      <c r="Q355" s="12">
        <v>0.0</v>
      </c>
      <c r="R355" s="13">
        <f>IFERROR(Q355/Q446, "NA")</f>
        <v>0</v>
      </c>
      <c r="S355" s="14"/>
      <c r="T355" s="12">
        <v>0.0</v>
      </c>
      <c r="U355" s="13">
        <f>IFERROR(T355/T446, "NA")</f>
        <v>0</v>
      </c>
      <c r="V355" s="14"/>
      <c r="W355" s="15">
        <f t="shared" si="103"/>
        <v>0</v>
      </c>
      <c r="X355" s="13">
        <f>IFERROR(W355/W446, "NA")</f>
        <v>0</v>
      </c>
      <c r="Y355" s="14"/>
      <c r="Z355" s="12">
        <v>0.0</v>
      </c>
      <c r="AA355" s="13">
        <f>IFERROR(Z355/Z446, "NA")</f>
        <v>0</v>
      </c>
      <c r="AB355" s="14"/>
      <c r="AC355" s="15">
        <f t="shared" si="104"/>
        <v>0</v>
      </c>
      <c r="AD355" s="13">
        <f>IFERROR(AC355/AC446, "NA")</f>
        <v>0</v>
      </c>
    </row>
    <row r="356" ht="16.5" hidden="1" customHeight="1">
      <c r="A356" s="11" t="s">
        <v>328</v>
      </c>
      <c r="B356" s="12">
        <v>0.0</v>
      </c>
      <c r="C356" s="13" t="str">
        <f>IFERROR(B356/B446, "NA")</f>
        <v>NA</v>
      </c>
      <c r="D356" s="14"/>
      <c r="E356" s="12">
        <v>0.0</v>
      </c>
      <c r="F356" s="13">
        <f>IFERROR(E356/E446, "NA")</f>
        <v>0</v>
      </c>
      <c r="G356" s="14"/>
      <c r="H356" s="15">
        <f t="shared" si="101"/>
        <v>0</v>
      </c>
      <c r="I356" s="13">
        <f>IFERROR(H356/H446, "NA")</f>
        <v>0</v>
      </c>
      <c r="J356" s="14"/>
      <c r="K356" s="12">
        <v>0.0</v>
      </c>
      <c r="L356" s="13">
        <f>IFERROR(K356/K446, "NA")</f>
        <v>0</v>
      </c>
      <c r="M356" s="14"/>
      <c r="N356" s="15">
        <f t="shared" si="102"/>
        <v>0</v>
      </c>
      <c r="O356" s="13">
        <f>IFERROR(N356/N446, "NA")</f>
        <v>0</v>
      </c>
      <c r="P356" s="14"/>
      <c r="Q356" s="12">
        <v>0.0</v>
      </c>
      <c r="R356" s="13">
        <f>IFERROR(Q356/Q446, "NA")</f>
        <v>0</v>
      </c>
      <c r="S356" s="14"/>
      <c r="T356" s="12">
        <v>0.0</v>
      </c>
      <c r="U356" s="13">
        <f>IFERROR(T356/T446, "NA")</f>
        <v>0</v>
      </c>
      <c r="V356" s="14"/>
      <c r="W356" s="15">
        <f t="shared" si="103"/>
        <v>0</v>
      </c>
      <c r="X356" s="13">
        <f>IFERROR(W356/W446, "NA")</f>
        <v>0</v>
      </c>
      <c r="Y356" s="14"/>
      <c r="Z356" s="12">
        <v>0.0</v>
      </c>
      <c r="AA356" s="13">
        <f>IFERROR(Z356/Z446, "NA")</f>
        <v>0</v>
      </c>
      <c r="AB356" s="14"/>
      <c r="AC356" s="15">
        <f t="shared" si="104"/>
        <v>0</v>
      </c>
      <c r="AD356" s="13">
        <f>IFERROR(AC356/AC446, "NA")</f>
        <v>0</v>
      </c>
    </row>
    <row r="357" ht="16.5" hidden="1" customHeight="1">
      <c r="A357" s="11" t="s">
        <v>329</v>
      </c>
      <c r="B357" s="12">
        <v>0.0</v>
      </c>
      <c r="C357" s="13" t="str">
        <f>IFERROR(B357/B446, "NA")</f>
        <v>NA</v>
      </c>
      <c r="D357" s="14"/>
      <c r="E357" s="12">
        <v>0.0</v>
      </c>
      <c r="F357" s="13">
        <f>IFERROR(E357/E446, "NA")</f>
        <v>0</v>
      </c>
      <c r="G357" s="14"/>
      <c r="H357" s="15">
        <f t="shared" si="101"/>
        <v>0</v>
      </c>
      <c r="I357" s="13">
        <f>IFERROR(H357/H446, "NA")</f>
        <v>0</v>
      </c>
      <c r="J357" s="14"/>
      <c r="K357" s="12">
        <v>0.0</v>
      </c>
      <c r="L357" s="13">
        <f>IFERROR(K357/K446, "NA")</f>
        <v>0</v>
      </c>
      <c r="M357" s="14"/>
      <c r="N357" s="15">
        <f t="shared" si="102"/>
        <v>0</v>
      </c>
      <c r="O357" s="13">
        <f>IFERROR(N357/N446, "NA")</f>
        <v>0</v>
      </c>
      <c r="P357" s="14"/>
      <c r="Q357" s="12">
        <v>0.0</v>
      </c>
      <c r="R357" s="13">
        <f>IFERROR(Q357/Q446, "NA")</f>
        <v>0</v>
      </c>
      <c r="S357" s="14"/>
      <c r="T357" s="12">
        <v>0.0</v>
      </c>
      <c r="U357" s="13">
        <f>IFERROR(T357/T446, "NA")</f>
        <v>0</v>
      </c>
      <c r="V357" s="14"/>
      <c r="W357" s="15">
        <f t="shared" si="103"/>
        <v>0</v>
      </c>
      <c r="X357" s="13">
        <f>IFERROR(W357/W446, "NA")</f>
        <v>0</v>
      </c>
      <c r="Y357" s="14"/>
      <c r="Z357" s="12">
        <v>0.0</v>
      </c>
      <c r="AA357" s="13">
        <f>IFERROR(Z357/Z446, "NA")</f>
        <v>0</v>
      </c>
      <c r="AB357" s="14"/>
      <c r="AC357" s="15">
        <f t="shared" si="104"/>
        <v>0</v>
      </c>
      <c r="AD357" s="13">
        <f>IFERROR(AC357/AC446, "NA")</f>
        <v>0</v>
      </c>
    </row>
    <row r="358" ht="16.5" hidden="1" customHeight="1">
      <c r="A358" s="11" t="s">
        <v>330</v>
      </c>
      <c r="B358" s="12">
        <v>0.0</v>
      </c>
      <c r="C358" s="13" t="str">
        <f>IFERROR(B358/B446, "NA")</f>
        <v>NA</v>
      </c>
      <c r="D358" s="14"/>
      <c r="E358" s="12">
        <v>0.0</v>
      </c>
      <c r="F358" s="13">
        <f>IFERROR(E358/E446, "NA")</f>
        <v>0</v>
      </c>
      <c r="G358" s="14"/>
      <c r="H358" s="15">
        <f t="shared" si="101"/>
        <v>0</v>
      </c>
      <c r="I358" s="13">
        <f>IFERROR(H358/H446, "NA")</f>
        <v>0</v>
      </c>
      <c r="J358" s="14"/>
      <c r="K358" s="12">
        <v>0.0</v>
      </c>
      <c r="L358" s="13">
        <f>IFERROR(K358/K446, "NA")</f>
        <v>0</v>
      </c>
      <c r="M358" s="14"/>
      <c r="N358" s="15">
        <f t="shared" si="102"/>
        <v>0</v>
      </c>
      <c r="O358" s="13">
        <f>IFERROR(N358/N446, "NA")</f>
        <v>0</v>
      </c>
      <c r="P358" s="14"/>
      <c r="Q358" s="12">
        <v>0.0</v>
      </c>
      <c r="R358" s="13">
        <f>IFERROR(Q358/Q446, "NA")</f>
        <v>0</v>
      </c>
      <c r="S358" s="14"/>
      <c r="T358" s="12">
        <v>0.0</v>
      </c>
      <c r="U358" s="13">
        <f>IFERROR(T358/T446, "NA")</f>
        <v>0</v>
      </c>
      <c r="V358" s="14"/>
      <c r="W358" s="15">
        <f t="shared" si="103"/>
        <v>0</v>
      </c>
      <c r="X358" s="13">
        <f>IFERROR(W358/W446, "NA")</f>
        <v>0</v>
      </c>
      <c r="Y358" s="14"/>
      <c r="Z358" s="12">
        <v>0.0</v>
      </c>
      <c r="AA358" s="13">
        <f>IFERROR(Z358/Z446, "NA")</f>
        <v>0</v>
      </c>
      <c r="AB358" s="14"/>
      <c r="AC358" s="15">
        <f t="shared" si="104"/>
        <v>0</v>
      </c>
      <c r="AD358" s="13">
        <f>IFERROR(AC358/AC446, "NA")</f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 t="str">
        <f>IFERROR(B359/B446, "NA")</f>
        <v>NA</v>
      </c>
      <c r="D359" s="8"/>
      <c r="E359" s="17">
        <f>IFERROR(E350+E351+E352+E353+E354+E355+E356+E357+E358, "NA")</f>
        <v>0</v>
      </c>
      <c r="F359" s="18">
        <f>IFERROR(E359/E446, "NA")</f>
        <v>0</v>
      </c>
      <c r="G359" s="8"/>
      <c r="H359" s="17">
        <f t="shared" si="101"/>
        <v>0</v>
      </c>
      <c r="I359" s="18">
        <f>IFERROR(H359/H446, "NA")</f>
        <v>0</v>
      </c>
      <c r="J359" s="8"/>
      <c r="K359" s="17">
        <f>IFERROR(K350+K351+K352+K353+K354+K355+K356+K357+K358, "NA")</f>
        <v>0</v>
      </c>
      <c r="L359" s="18">
        <f>IFERROR(K359/K446, "NA")</f>
        <v>0</v>
      </c>
      <c r="M359" s="8"/>
      <c r="N359" s="17">
        <f t="shared" si="102"/>
        <v>0</v>
      </c>
      <c r="O359" s="18">
        <f>IFERROR(N359/N446, "NA")</f>
        <v>0</v>
      </c>
      <c r="P359" s="8"/>
      <c r="Q359" s="17">
        <f>IFERROR(Q350+Q351+Q352+Q353+Q354+Q355+Q356+Q357+Q358, "NA")</f>
        <v>0</v>
      </c>
      <c r="R359" s="18">
        <f>IFERROR(Q359/Q446, "NA")</f>
        <v>0</v>
      </c>
      <c r="S359" s="8"/>
      <c r="T359" s="17">
        <f>IFERROR(T350+T351+T352+T353+T354+T355+T356+T357+T358, "NA")</f>
        <v>0</v>
      </c>
      <c r="U359" s="18">
        <f>IFERROR(T359/T446, "NA")</f>
        <v>0</v>
      </c>
      <c r="V359" s="8"/>
      <c r="W359" s="17">
        <f t="shared" si="103"/>
        <v>0</v>
      </c>
      <c r="X359" s="18">
        <f>IFERROR(W359/W446, "NA")</f>
        <v>0</v>
      </c>
      <c r="Y359" s="8"/>
      <c r="Z359" s="17">
        <f>IFERROR(Z350+Z351+Z352+Z353+Z354+Z355+Z356+Z357+Z358, "NA")</f>
        <v>0</v>
      </c>
      <c r="AA359" s="18">
        <f>IFERROR(Z359/Z446, "NA")</f>
        <v>0</v>
      </c>
      <c r="AB359" s="8"/>
      <c r="AC359" s="17">
        <f t="shared" si="104"/>
        <v>0</v>
      </c>
      <c r="AD359" s="18">
        <f>IFERROR(AC359/AC446, "NA")</f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 t="str">
        <f>IFERROR(B361/B446, "NA")</f>
        <v>NA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 t="str">
        <f>IFERROR(B362/B446, "NA")</f>
        <v>NA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hidden="1" customHeight="1">
      <c r="A363" s="11" t="s">
        <v>334</v>
      </c>
      <c r="B363" s="12">
        <v>0.0</v>
      </c>
      <c r="C363" s="13" t="str">
        <f>IFERROR(B363/B446, "NA")</f>
        <v>NA</v>
      </c>
      <c r="D363" s="14"/>
      <c r="E363" s="12">
        <v>0.0</v>
      </c>
      <c r="F363" s="13">
        <f>IFERROR(E363/E446, "NA")</f>
        <v>0</v>
      </c>
      <c r="G363" s="14"/>
      <c r="H363" s="15">
        <f t="shared" si="105"/>
        <v>0</v>
      </c>
      <c r="I363" s="13">
        <f>IFERROR(H363/H446, "NA")</f>
        <v>0</v>
      </c>
      <c r="J363" s="14"/>
      <c r="K363" s="12">
        <v>0.0</v>
      </c>
      <c r="L363" s="13">
        <f>IFERROR(K363/K446, "NA")</f>
        <v>0</v>
      </c>
      <c r="M363" s="14"/>
      <c r="N363" s="15">
        <f t="shared" si="106"/>
        <v>0</v>
      </c>
      <c r="O363" s="13">
        <f>IFERROR(N363/N446, "NA")</f>
        <v>0</v>
      </c>
      <c r="P363" s="14"/>
      <c r="Q363" s="12">
        <v>0.0</v>
      </c>
      <c r="R363" s="13">
        <f>IFERROR(Q363/Q446, "NA")</f>
        <v>0</v>
      </c>
      <c r="S363" s="14"/>
      <c r="T363" s="12">
        <v>0.0</v>
      </c>
      <c r="U363" s="13">
        <f>IFERROR(T363/T446, "NA")</f>
        <v>0</v>
      </c>
      <c r="V363" s="14"/>
      <c r="W363" s="15">
        <f t="shared" si="107"/>
        <v>0</v>
      </c>
      <c r="X363" s="13">
        <f>IFERROR(W363/W446, "NA")</f>
        <v>0</v>
      </c>
      <c r="Y363" s="14"/>
      <c r="Z363" s="12">
        <v>0.0</v>
      </c>
      <c r="AA363" s="13">
        <f>IFERROR(Z363/Z446, "NA")</f>
        <v>0</v>
      </c>
      <c r="AB363" s="14"/>
      <c r="AC363" s="15">
        <f t="shared" si="108"/>
        <v>0</v>
      </c>
      <c r="AD363" s="13">
        <f>IFERROR(AC363/AC446, "NA")</f>
        <v>0</v>
      </c>
    </row>
    <row r="364" ht="16.5" hidden="1" customHeight="1">
      <c r="A364" s="11" t="s">
        <v>335</v>
      </c>
      <c r="B364" s="12">
        <v>0.0</v>
      </c>
      <c r="C364" s="13" t="str">
        <f>IFERROR(B364/B446, "NA")</f>
        <v>NA</v>
      </c>
      <c r="D364" s="14"/>
      <c r="E364" s="12">
        <v>0.0</v>
      </c>
      <c r="F364" s="13">
        <f>IFERROR(E364/E446, "NA")</f>
        <v>0</v>
      </c>
      <c r="G364" s="14"/>
      <c r="H364" s="15">
        <f t="shared" si="105"/>
        <v>0</v>
      </c>
      <c r="I364" s="13">
        <f>IFERROR(H364/H446, "NA")</f>
        <v>0</v>
      </c>
      <c r="J364" s="14"/>
      <c r="K364" s="12">
        <v>0.0</v>
      </c>
      <c r="L364" s="13">
        <f>IFERROR(K364/K446, "NA")</f>
        <v>0</v>
      </c>
      <c r="M364" s="14"/>
      <c r="N364" s="15">
        <f t="shared" si="106"/>
        <v>0</v>
      </c>
      <c r="O364" s="13">
        <f>IFERROR(N364/N446, "NA")</f>
        <v>0</v>
      </c>
      <c r="P364" s="14"/>
      <c r="Q364" s="12">
        <v>0.0</v>
      </c>
      <c r="R364" s="13">
        <f>IFERROR(Q364/Q446, "NA")</f>
        <v>0</v>
      </c>
      <c r="S364" s="14"/>
      <c r="T364" s="12">
        <v>0.0</v>
      </c>
      <c r="U364" s="13">
        <f>IFERROR(T364/T446, "NA")</f>
        <v>0</v>
      </c>
      <c r="V364" s="14"/>
      <c r="W364" s="15">
        <f t="shared" si="107"/>
        <v>0</v>
      </c>
      <c r="X364" s="13">
        <f>IFERROR(W364/W446, "NA")</f>
        <v>0</v>
      </c>
      <c r="Y364" s="14"/>
      <c r="Z364" s="12">
        <v>0.0</v>
      </c>
      <c r="AA364" s="13">
        <f>IFERROR(Z364/Z446, "NA")</f>
        <v>0</v>
      </c>
      <c r="AB364" s="14"/>
      <c r="AC364" s="15">
        <f t="shared" si="108"/>
        <v>0</v>
      </c>
      <c r="AD364" s="13">
        <f>IFERROR(AC364/AC446, "NA")</f>
        <v>0</v>
      </c>
    </row>
    <row r="365" ht="16.5" hidden="1" customHeight="1">
      <c r="A365" s="11" t="s">
        <v>336</v>
      </c>
      <c r="B365" s="12">
        <v>0.0</v>
      </c>
      <c r="C365" s="13" t="str">
        <f>IFERROR(B365/B446, "NA")</f>
        <v>NA</v>
      </c>
      <c r="D365" s="14"/>
      <c r="E365" s="12">
        <v>0.0</v>
      </c>
      <c r="F365" s="13">
        <f>IFERROR(E365/E446, "NA")</f>
        <v>0</v>
      </c>
      <c r="G365" s="14"/>
      <c r="H365" s="15">
        <f t="shared" si="105"/>
        <v>0</v>
      </c>
      <c r="I365" s="13">
        <f>IFERROR(H365/H446, "NA")</f>
        <v>0</v>
      </c>
      <c r="J365" s="14"/>
      <c r="K365" s="12">
        <v>0.0</v>
      </c>
      <c r="L365" s="13">
        <f>IFERROR(K365/K446, "NA")</f>
        <v>0</v>
      </c>
      <c r="M365" s="14"/>
      <c r="N365" s="15">
        <f t="shared" si="106"/>
        <v>0</v>
      </c>
      <c r="O365" s="13">
        <f>IFERROR(N365/N446, "NA")</f>
        <v>0</v>
      </c>
      <c r="P365" s="14"/>
      <c r="Q365" s="12">
        <v>0.0</v>
      </c>
      <c r="R365" s="13">
        <f>IFERROR(Q365/Q446, "NA")</f>
        <v>0</v>
      </c>
      <c r="S365" s="14"/>
      <c r="T365" s="12">
        <v>0.0</v>
      </c>
      <c r="U365" s="13">
        <f>IFERROR(T365/T446, "NA")</f>
        <v>0</v>
      </c>
      <c r="V365" s="14"/>
      <c r="W365" s="15">
        <f t="shared" si="107"/>
        <v>0</v>
      </c>
      <c r="X365" s="13">
        <f>IFERROR(W365/W446, "NA")</f>
        <v>0</v>
      </c>
      <c r="Y365" s="14"/>
      <c r="Z365" s="12">
        <v>0.0</v>
      </c>
      <c r="AA365" s="13">
        <f>IFERROR(Z365/Z446, "NA")</f>
        <v>0</v>
      </c>
      <c r="AB365" s="14"/>
      <c r="AC365" s="15">
        <f t="shared" si="108"/>
        <v>0</v>
      </c>
      <c r="AD365" s="13">
        <f>IFERROR(AC365/AC446, "NA")</f>
        <v>0</v>
      </c>
    </row>
    <row r="366" ht="16.5" hidden="1" customHeight="1">
      <c r="A366" s="11" t="s">
        <v>337</v>
      </c>
      <c r="B366" s="12">
        <v>0.0</v>
      </c>
      <c r="C366" s="13" t="str">
        <f>IFERROR(B366/B446, "NA")</f>
        <v>NA</v>
      </c>
      <c r="D366" s="14"/>
      <c r="E366" s="12">
        <v>0.0</v>
      </c>
      <c r="F366" s="13">
        <f>IFERROR(E366/E446, "NA")</f>
        <v>0</v>
      </c>
      <c r="G366" s="14"/>
      <c r="H366" s="15">
        <f t="shared" si="105"/>
        <v>0</v>
      </c>
      <c r="I366" s="13">
        <f>IFERROR(H366/H446, "NA")</f>
        <v>0</v>
      </c>
      <c r="J366" s="14"/>
      <c r="K366" s="12">
        <v>0.0</v>
      </c>
      <c r="L366" s="13">
        <f>IFERROR(K366/K446, "NA")</f>
        <v>0</v>
      </c>
      <c r="M366" s="14"/>
      <c r="N366" s="15">
        <f t="shared" si="106"/>
        <v>0</v>
      </c>
      <c r="O366" s="13">
        <f>IFERROR(N366/N446, "NA")</f>
        <v>0</v>
      </c>
      <c r="P366" s="14"/>
      <c r="Q366" s="12">
        <v>0.0</v>
      </c>
      <c r="R366" s="13">
        <f>IFERROR(Q366/Q446, "NA")</f>
        <v>0</v>
      </c>
      <c r="S366" s="14"/>
      <c r="T366" s="12">
        <v>0.0</v>
      </c>
      <c r="U366" s="13">
        <f>IFERROR(T366/T446, "NA")</f>
        <v>0</v>
      </c>
      <c r="V366" s="14"/>
      <c r="W366" s="15">
        <f t="shared" si="107"/>
        <v>0</v>
      </c>
      <c r="X366" s="13">
        <f>IFERROR(W366/W446, "NA")</f>
        <v>0</v>
      </c>
      <c r="Y366" s="14"/>
      <c r="Z366" s="12">
        <v>0.0</v>
      </c>
      <c r="AA366" s="13">
        <f>IFERROR(Z366/Z446, "NA")</f>
        <v>0</v>
      </c>
      <c r="AB366" s="14"/>
      <c r="AC366" s="15">
        <f t="shared" si="108"/>
        <v>0</v>
      </c>
      <c r="AD366" s="13">
        <f>IFERROR(AC366/AC446, "NA")</f>
        <v>0</v>
      </c>
    </row>
    <row r="367" ht="16.5" hidden="1" customHeight="1">
      <c r="A367" s="11" t="s">
        <v>338</v>
      </c>
      <c r="B367" s="12">
        <v>0.0</v>
      </c>
      <c r="C367" s="13" t="str">
        <f>IFERROR(B367/B446, "NA")</f>
        <v>NA</v>
      </c>
      <c r="D367" s="14"/>
      <c r="E367" s="12">
        <v>0.0</v>
      </c>
      <c r="F367" s="13">
        <f>IFERROR(E367/E446, "NA")</f>
        <v>0</v>
      </c>
      <c r="G367" s="14"/>
      <c r="H367" s="15">
        <f t="shared" si="105"/>
        <v>0</v>
      </c>
      <c r="I367" s="13">
        <f>IFERROR(H367/H446, "NA")</f>
        <v>0</v>
      </c>
      <c r="J367" s="14"/>
      <c r="K367" s="12">
        <v>0.0</v>
      </c>
      <c r="L367" s="13">
        <f>IFERROR(K367/K446, "NA")</f>
        <v>0</v>
      </c>
      <c r="M367" s="14"/>
      <c r="N367" s="15">
        <f t="shared" si="106"/>
        <v>0</v>
      </c>
      <c r="O367" s="13">
        <f>IFERROR(N367/N446, "NA")</f>
        <v>0</v>
      </c>
      <c r="P367" s="14"/>
      <c r="Q367" s="12">
        <v>0.0</v>
      </c>
      <c r="R367" s="13">
        <f>IFERROR(Q367/Q446, "NA")</f>
        <v>0</v>
      </c>
      <c r="S367" s="14"/>
      <c r="T367" s="12">
        <v>0.0</v>
      </c>
      <c r="U367" s="13">
        <f>IFERROR(T367/T446, "NA")</f>
        <v>0</v>
      </c>
      <c r="V367" s="14"/>
      <c r="W367" s="15">
        <f t="shared" si="107"/>
        <v>0</v>
      </c>
      <c r="X367" s="13">
        <f>IFERROR(W367/W446, "NA")</f>
        <v>0</v>
      </c>
      <c r="Y367" s="14"/>
      <c r="Z367" s="12">
        <v>0.0</v>
      </c>
      <c r="AA367" s="13">
        <f>IFERROR(Z367/Z446, "NA")</f>
        <v>0</v>
      </c>
      <c r="AB367" s="14"/>
      <c r="AC367" s="15">
        <f t="shared" si="108"/>
        <v>0</v>
      </c>
      <c r="AD367" s="13">
        <f>IFERROR(AC367/AC446, "NA")</f>
        <v>0</v>
      </c>
    </row>
    <row r="368" ht="16.5" hidden="1" customHeight="1">
      <c r="A368" s="11" t="s">
        <v>339</v>
      </c>
      <c r="B368" s="12">
        <v>0.0</v>
      </c>
      <c r="C368" s="13" t="str">
        <f>IFERROR(B368/B446, "NA")</f>
        <v>NA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0.0</v>
      </c>
      <c r="L368" s="13">
        <f>IFERROR(K368/K446, "NA")</f>
        <v>0</v>
      </c>
      <c r="M368" s="14"/>
      <c r="N368" s="15">
        <f t="shared" si="106"/>
        <v>0</v>
      </c>
      <c r="O368" s="13">
        <f>IFERROR(N368/N446, "NA")</f>
        <v>0</v>
      </c>
      <c r="P368" s="14"/>
      <c r="Q368" s="12">
        <v>0.0</v>
      </c>
      <c r="R368" s="13">
        <f>IFERROR(Q368/Q446, "NA")</f>
        <v>0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0</v>
      </c>
      <c r="X368" s="13">
        <f>IFERROR(W368/W446, "NA")</f>
        <v>0</v>
      </c>
      <c r="Y368" s="14"/>
      <c r="Z368" s="12">
        <v>0.0</v>
      </c>
      <c r="AA368" s="13">
        <f>IFERROR(Z368/Z446, "NA")</f>
        <v>0</v>
      </c>
      <c r="AB368" s="14"/>
      <c r="AC368" s="15">
        <f t="shared" si="108"/>
        <v>0</v>
      </c>
      <c r="AD368" s="13">
        <f>IFERROR(AC368/AC446, "NA")</f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 t="str">
        <f>IFERROR(B369/B446, "NA")</f>
        <v>NA</v>
      </c>
      <c r="D369" s="8"/>
      <c r="E369" s="17">
        <f>IFERROR(E361+E362+E363+E364+E365+E366+E367+E368, "NA")</f>
        <v>0</v>
      </c>
      <c r="F369" s="18">
        <f>IFERROR(E369/E446, "NA")</f>
        <v>0</v>
      </c>
      <c r="G369" s="8"/>
      <c r="H369" s="17">
        <f t="shared" si="105"/>
        <v>0</v>
      </c>
      <c r="I369" s="18">
        <f>IFERROR(H369/H446, "NA")</f>
        <v>0</v>
      </c>
      <c r="J369" s="8"/>
      <c r="K369" s="17">
        <f>IFERROR(K361+K362+K363+K364+K365+K366+K367+K368, "NA")</f>
        <v>0</v>
      </c>
      <c r="L369" s="18">
        <f>IFERROR(K369/K446, "NA")</f>
        <v>0</v>
      </c>
      <c r="M369" s="8"/>
      <c r="N369" s="17">
        <f t="shared" si="106"/>
        <v>0</v>
      </c>
      <c r="O369" s="18">
        <f>IFERROR(N369/N446, "NA")</f>
        <v>0</v>
      </c>
      <c r="P369" s="8"/>
      <c r="Q369" s="17">
        <f>IFERROR(Q361+Q362+Q363+Q364+Q365+Q366+Q367+Q368, "NA")</f>
        <v>0</v>
      </c>
      <c r="R369" s="18">
        <f>IFERROR(Q369/Q446, "NA")</f>
        <v>0</v>
      </c>
      <c r="S369" s="8"/>
      <c r="T369" s="17">
        <f>IFERROR(T361+T362+T363+T364+T365+T366+T367+T368, "NA")</f>
        <v>0</v>
      </c>
      <c r="U369" s="18">
        <f>IFERROR(T369/T446, "NA")</f>
        <v>0</v>
      </c>
      <c r="V369" s="8"/>
      <c r="W369" s="17">
        <f t="shared" si="107"/>
        <v>0</v>
      </c>
      <c r="X369" s="18">
        <f>IFERROR(W369/W446, "NA")</f>
        <v>0</v>
      </c>
      <c r="Y369" s="8"/>
      <c r="Z369" s="17">
        <f>IFERROR(Z361+Z362+Z363+Z364+Z365+Z366+Z367+Z368, "NA")</f>
        <v>0</v>
      </c>
      <c r="AA369" s="18">
        <f>IFERROR(Z369/Z446, "NA")</f>
        <v>0</v>
      </c>
      <c r="AB369" s="8"/>
      <c r="AC369" s="17">
        <f t="shared" si="108"/>
        <v>0</v>
      </c>
      <c r="AD369" s="18">
        <f>IFERROR(AC369/AC446, "NA")</f>
        <v>0</v>
      </c>
    </row>
    <row r="370" ht="16.5" hidden="1" customHeight="1">
      <c r="A370" s="11" t="s">
        <v>341</v>
      </c>
      <c r="B370" s="12">
        <v>0.0</v>
      </c>
      <c r="C370" s="13" t="str">
        <f>IFERROR(B370/B446, "NA")</f>
        <v>NA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hidden="1" customHeight="1">
      <c r="A371" s="11" t="s">
        <v>342</v>
      </c>
      <c r="B371" s="12">
        <v>0.0</v>
      </c>
      <c r="C371" s="13" t="str">
        <f>IFERROR(B371/B446, "NA")</f>
        <v>NA</v>
      </c>
      <c r="D371" s="14"/>
      <c r="E371" s="12">
        <v>0.0</v>
      </c>
      <c r="F371" s="13">
        <f>IFERROR(E371/E446, "NA")</f>
        <v>0</v>
      </c>
      <c r="G371" s="14"/>
      <c r="H371" s="15">
        <f t="shared" si="105"/>
        <v>0</v>
      </c>
      <c r="I371" s="13">
        <f>IFERROR(H371/H446, "NA")</f>
        <v>0</v>
      </c>
      <c r="J371" s="14"/>
      <c r="K371" s="12">
        <v>0.0</v>
      </c>
      <c r="L371" s="13">
        <f>IFERROR(K371/K446, "NA")</f>
        <v>0</v>
      </c>
      <c r="M371" s="14"/>
      <c r="N371" s="15">
        <f t="shared" si="106"/>
        <v>0</v>
      </c>
      <c r="O371" s="13">
        <f>IFERROR(N371/N446, "NA")</f>
        <v>0</v>
      </c>
      <c r="P371" s="14"/>
      <c r="Q371" s="12">
        <v>0.0</v>
      </c>
      <c r="R371" s="13">
        <f>IFERROR(Q371/Q446, "NA")</f>
        <v>0</v>
      </c>
      <c r="S371" s="14"/>
      <c r="T371" s="12">
        <v>0.0</v>
      </c>
      <c r="U371" s="13">
        <f>IFERROR(T371/T446, "NA")</f>
        <v>0</v>
      </c>
      <c r="V371" s="14"/>
      <c r="W371" s="15">
        <f t="shared" si="107"/>
        <v>0</v>
      </c>
      <c r="X371" s="13">
        <f>IFERROR(W371/W446, "NA")</f>
        <v>0</v>
      </c>
      <c r="Y371" s="14"/>
      <c r="Z371" s="12">
        <v>0.0</v>
      </c>
      <c r="AA371" s="13">
        <f>IFERROR(Z371/Z446, "NA")</f>
        <v>0</v>
      </c>
      <c r="AB371" s="14"/>
      <c r="AC371" s="15">
        <f t="shared" si="108"/>
        <v>0</v>
      </c>
      <c r="AD371" s="13">
        <f>IFERROR(AC371/AC446, "NA")</f>
        <v>0</v>
      </c>
    </row>
    <row r="372" ht="16.5" hidden="1" customHeight="1">
      <c r="A372" s="11" t="s">
        <v>343</v>
      </c>
      <c r="B372" s="12">
        <v>0.0</v>
      </c>
      <c r="C372" s="13" t="str">
        <f>IFERROR(B372/B446, "NA")</f>
        <v>NA</v>
      </c>
      <c r="D372" s="14"/>
      <c r="E372" s="12">
        <v>0.0</v>
      </c>
      <c r="F372" s="13">
        <f>IFERROR(E372/E446, "NA")</f>
        <v>0</v>
      </c>
      <c r="G372" s="14"/>
      <c r="H372" s="15">
        <f t="shared" si="105"/>
        <v>0</v>
      </c>
      <c r="I372" s="13">
        <f>IFERROR(H372/H446, "NA")</f>
        <v>0</v>
      </c>
      <c r="J372" s="14"/>
      <c r="K372" s="12">
        <v>0.0</v>
      </c>
      <c r="L372" s="13">
        <f>IFERROR(K372/K446, "NA")</f>
        <v>0</v>
      </c>
      <c r="M372" s="14"/>
      <c r="N372" s="15">
        <f t="shared" si="106"/>
        <v>0</v>
      </c>
      <c r="O372" s="13">
        <f>IFERROR(N372/N446, "NA")</f>
        <v>0</v>
      </c>
      <c r="P372" s="14"/>
      <c r="Q372" s="12">
        <v>0.0</v>
      </c>
      <c r="R372" s="13">
        <f>IFERROR(Q372/Q446, "NA")</f>
        <v>0</v>
      </c>
      <c r="S372" s="14"/>
      <c r="T372" s="12">
        <v>0.0</v>
      </c>
      <c r="U372" s="13">
        <f>IFERROR(T372/T446, "NA")</f>
        <v>0</v>
      </c>
      <c r="V372" s="14"/>
      <c r="W372" s="15">
        <f t="shared" si="107"/>
        <v>0</v>
      </c>
      <c r="X372" s="13">
        <f>IFERROR(W372/W446, "NA")</f>
        <v>0</v>
      </c>
      <c r="Y372" s="14"/>
      <c r="Z372" s="12">
        <v>0.0</v>
      </c>
      <c r="AA372" s="13">
        <f>IFERROR(Z372/Z446, "NA")</f>
        <v>0</v>
      </c>
      <c r="AB372" s="14"/>
      <c r="AC372" s="15">
        <f t="shared" si="108"/>
        <v>0</v>
      </c>
      <c r="AD372" s="13">
        <f>IFERROR(AC372/AC446, "NA")</f>
        <v>0</v>
      </c>
    </row>
    <row r="373" ht="16.5" hidden="1" customHeight="1">
      <c r="A373" s="11" t="s">
        <v>344</v>
      </c>
      <c r="B373" s="12">
        <v>0.0</v>
      </c>
      <c r="C373" s="13" t="str">
        <f>IFERROR(B373/B446, "NA")</f>
        <v>NA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0</v>
      </c>
      <c r="I373" s="13">
        <f>IFERROR(H373/H446, "NA")</f>
        <v>0</v>
      </c>
      <c r="J373" s="14"/>
      <c r="K373" s="12">
        <v>0.0</v>
      </c>
      <c r="L373" s="13">
        <f>IFERROR(K373/K446, "NA")</f>
        <v>0</v>
      </c>
      <c r="M373" s="14"/>
      <c r="N373" s="15">
        <f t="shared" si="106"/>
        <v>0</v>
      </c>
      <c r="O373" s="13">
        <f>IFERROR(N373/N446, "NA")</f>
        <v>0</v>
      </c>
      <c r="P373" s="14"/>
      <c r="Q373" s="12">
        <v>0.0</v>
      </c>
      <c r="R373" s="13">
        <f>IFERROR(Q373/Q446, "NA")</f>
        <v>0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0</v>
      </c>
      <c r="X373" s="13">
        <f>IFERROR(W373/W446, "NA")</f>
        <v>0</v>
      </c>
      <c r="Y373" s="14"/>
      <c r="Z373" s="12">
        <v>0.0</v>
      </c>
      <c r="AA373" s="13">
        <f>IFERROR(Z373/Z446, "NA")</f>
        <v>0</v>
      </c>
      <c r="AB373" s="14"/>
      <c r="AC373" s="15">
        <f t="shared" si="108"/>
        <v>0</v>
      </c>
      <c r="AD373" s="13">
        <f>IFERROR(AC373/AC446, "NA")</f>
        <v>0</v>
      </c>
    </row>
    <row r="374" ht="16.5" hidden="1" customHeight="1">
      <c r="A374" s="11" t="s">
        <v>345</v>
      </c>
      <c r="B374" s="12">
        <v>0.0</v>
      </c>
      <c r="C374" s="13" t="str">
        <f>IFERROR(B374/B446, "NA")</f>
        <v>NA</v>
      </c>
      <c r="D374" s="14"/>
      <c r="E374" s="12">
        <v>0.0</v>
      </c>
      <c r="F374" s="13">
        <f>IFERROR(E374/E446, "NA")</f>
        <v>0</v>
      </c>
      <c r="G374" s="14"/>
      <c r="H374" s="15">
        <f t="shared" si="105"/>
        <v>0</v>
      </c>
      <c r="I374" s="13">
        <f>IFERROR(H374/H446, "NA")</f>
        <v>0</v>
      </c>
      <c r="J374" s="14"/>
      <c r="K374" s="12">
        <v>0.0</v>
      </c>
      <c r="L374" s="13">
        <f>IFERROR(K374/K446, "NA")</f>
        <v>0</v>
      </c>
      <c r="M374" s="14"/>
      <c r="N374" s="15">
        <f t="shared" si="106"/>
        <v>0</v>
      </c>
      <c r="O374" s="13">
        <f>IFERROR(N374/N446, "NA")</f>
        <v>0</v>
      </c>
      <c r="P374" s="14"/>
      <c r="Q374" s="12">
        <v>0.0</v>
      </c>
      <c r="R374" s="13">
        <f>IFERROR(Q374/Q446, "NA")</f>
        <v>0</v>
      </c>
      <c r="S374" s="14"/>
      <c r="T374" s="12">
        <v>0.0</v>
      </c>
      <c r="U374" s="13">
        <f>IFERROR(T374/T446, "NA")</f>
        <v>0</v>
      </c>
      <c r="V374" s="14"/>
      <c r="W374" s="15">
        <f t="shared" si="107"/>
        <v>0</v>
      </c>
      <c r="X374" s="13">
        <f>IFERROR(W374/W446, "NA")</f>
        <v>0</v>
      </c>
      <c r="Y374" s="14"/>
      <c r="Z374" s="12">
        <v>0.0</v>
      </c>
      <c r="AA374" s="13">
        <f>IFERROR(Z374/Z446, "NA")</f>
        <v>0</v>
      </c>
      <c r="AB374" s="14"/>
      <c r="AC374" s="15">
        <f t="shared" si="108"/>
        <v>0</v>
      </c>
      <c r="AD374" s="13">
        <f>IFERROR(AC374/AC446, "NA")</f>
        <v>0</v>
      </c>
    </row>
    <row r="375" ht="16.5" hidden="1" customHeight="1">
      <c r="A375" s="11" t="s">
        <v>346</v>
      </c>
      <c r="B375" s="12">
        <v>0.0</v>
      </c>
      <c r="C375" s="13" t="str">
        <f>IFERROR(B375/B446, "NA")</f>
        <v>NA</v>
      </c>
      <c r="D375" s="14"/>
      <c r="E375" s="12">
        <v>0.0</v>
      </c>
      <c r="F375" s="13">
        <f>IFERROR(E375/E446, "NA")</f>
        <v>0</v>
      </c>
      <c r="G375" s="14"/>
      <c r="H375" s="15">
        <f t="shared" si="105"/>
        <v>0</v>
      </c>
      <c r="I375" s="13">
        <f>IFERROR(H375/H446, "NA")</f>
        <v>0</v>
      </c>
      <c r="J375" s="14"/>
      <c r="K375" s="12">
        <v>0.0</v>
      </c>
      <c r="L375" s="13">
        <f>IFERROR(K375/K446, "NA")</f>
        <v>0</v>
      </c>
      <c r="M375" s="14"/>
      <c r="N375" s="15">
        <f t="shared" si="106"/>
        <v>0</v>
      </c>
      <c r="O375" s="13">
        <f>IFERROR(N375/N446, "NA")</f>
        <v>0</v>
      </c>
      <c r="P375" s="14"/>
      <c r="Q375" s="12">
        <v>0.0</v>
      </c>
      <c r="R375" s="13">
        <f>IFERROR(Q375/Q446, "NA")</f>
        <v>0</v>
      </c>
      <c r="S375" s="14"/>
      <c r="T375" s="12">
        <v>0.0</v>
      </c>
      <c r="U375" s="13">
        <f>IFERROR(T375/T446, "NA")</f>
        <v>0</v>
      </c>
      <c r="V375" s="14"/>
      <c r="W375" s="15">
        <f t="shared" si="107"/>
        <v>0</v>
      </c>
      <c r="X375" s="13">
        <f>IFERROR(W375/W446, "NA")</f>
        <v>0</v>
      </c>
      <c r="Y375" s="14"/>
      <c r="Z375" s="12">
        <v>0.0</v>
      </c>
      <c r="AA375" s="13">
        <f>IFERROR(Z375/Z446, "NA")</f>
        <v>0</v>
      </c>
      <c r="AB375" s="14"/>
      <c r="AC375" s="15">
        <f t="shared" si="108"/>
        <v>0</v>
      </c>
      <c r="AD375" s="13">
        <f>IFERROR(AC375/AC446, "NA")</f>
        <v>0</v>
      </c>
    </row>
    <row r="376" ht="16.5" hidden="1" customHeight="1">
      <c r="A376" s="11" t="s">
        <v>347</v>
      </c>
      <c r="B376" s="12">
        <v>0.0</v>
      </c>
      <c r="C376" s="13" t="str">
        <f>IFERROR(B376/B446, "NA")</f>
        <v>NA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0.0</v>
      </c>
      <c r="L376" s="13">
        <f>IFERROR(K376/K446, "NA")</f>
        <v>0</v>
      </c>
      <c r="M376" s="14"/>
      <c r="N376" s="15">
        <f t="shared" si="106"/>
        <v>0</v>
      </c>
      <c r="O376" s="13">
        <f>IFERROR(N376/N446, "NA")</f>
        <v>0</v>
      </c>
      <c r="P376" s="14"/>
      <c r="Q376" s="12">
        <v>0.0</v>
      </c>
      <c r="R376" s="13">
        <f>IFERROR(Q376/Q446, "NA")</f>
        <v>0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0</v>
      </c>
      <c r="X376" s="13">
        <f>IFERROR(W376/W446, "NA")</f>
        <v>0</v>
      </c>
      <c r="Y376" s="14"/>
      <c r="Z376" s="12">
        <v>0.0</v>
      </c>
      <c r="AA376" s="13">
        <f>IFERROR(Z376/Z446, "NA")</f>
        <v>0</v>
      </c>
      <c r="AB376" s="14"/>
      <c r="AC376" s="15">
        <f t="shared" si="108"/>
        <v>0</v>
      </c>
      <c r="AD376" s="13">
        <f>IFERROR(AC376/AC446, "NA")</f>
        <v>0</v>
      </c>
    </row>
    <row r="377" ht="16.5" hidden="1" customHeight="1">
      <c r="A377" s="11" t="s">
        <v>348</v>
      </c>
      <c r="B377" s="12">
        <v>0.0</v>
      </c>
      <c r="C377" s="13" t="str">
        <f>IFERROR(B377/B446, "NA")</f>
        <v>NA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0</v>
      </c>
      <c r="I377" s="13">
        <f>IFERROR(H377/H446, "NA")</f>
        <v>0</v>
      </c>
      <c r="J377" s="14"/>
      <c r="K377" s="12">
        <v>0.0</v>
      </c>
      <c r="L377" s="13">
        <f>IFERROR(K377/K446, "NA")</f>
        <v>0</v>
      </c>
      <c r="M377" s="14"/>
      <c r="N377" s="15">
        <f t="shared" si="106"/>
        <v>0</v>
      </c>
      <c r="O377" s="13">
        <f>IFERROR(N377/N446, "NA")</f>
        <v>0</v>
      </c>
      <c r="P377" s="14"/>
      <c r="Q377" s="12">
        <v>0.0</v>
      </c>
      <c r="R377" s="13">
        <f>IFERROR(Q377/Q446, "NA")</f>
        <v>0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0</v>
      </c>
      <c r="X377" s="13">
        <f>IFERROR(W377/W446, "NA")</f>
        <v>0</v>
      </c>
      <c r="Y377" s="14"/>
      <c r="Z377" s="12">
        <v>0.0</v>
      </c>
      <c r="AA377" s="13">
        <f>IFERROR(Z377/Z446, "NA")</f>
        <v>0</v>
      </c>
      <c r="AB377" s="14"/>
      <c r="AC377" s="15">
        <f t="shared" si="108"/>
        <v>0</v>
      </c>
      <c r="AD377" s="13">
        <f>IFERROR(AC377/AC446, "NA")</f>
        <v>0</v>
      </c>
    </row>
    <row r="378" ht="16.5" hidden="1" customHeight="1">
      <c r="A378" s="11" t="s">
        <v>349</v>
      </c>
      <c r="B378" s="12">
        <v>0.0</v>
      </c>
      <c r="C378" s="13" t="str">
        <f>IFERROR(B378/B446, "NA")</f>
        <v>NA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hidden="1" customHeight="1">
      <c r="A379" s="11" t="s">
        <v>350</v>
      </c>
      <c r="B379" s="12">
        <v>0.0</v>
      </c>
      <c r="C379" s="13" t="str">
        <f>IFERROR(B379/B446, "NA")</f>
        <v>NA</v>
      </c>
      <c r="D379" s="14"/>
      <c r="E379" s="12">
        <v>0.0</v>
      </c>
      <c r="F379" s="13">
        <f>IFERROR(E379/E446, "NA")</f>
        <v>0</v>
      </c>
      <c r="G379" s="14"/>
      <c r="H379" s="15">
        <f t="shared" si="105"/>
        <v>0</v>
      </c>
      <c r="I379" s="13">
        <f>IFERROR(H379/H446, "NA")</f>
        <v>0</v>
      </c>
      <c r="J379" s="14"/>
      <c r="K379" s="12">
        <v>0.0</v>
      </c>
      <c r="L379" s="13">
        <f>IFERROR(K379/K446, "NA")</f>
        <v>0</v>
      </c>
      <c r="M379" s="14"/>
      <c r="N379" s="15">
        <f t="shared" si="106"/>
        <v>0</v>
      </c>
      <c r="O379" s="13">
        <f>IFERROR(N379/N446, "NA")</f>
        <v>0</v>
      </c>
      <c r="P379" s="14"/>
      <c r="Q379" s="12">
        <v>0.0</v>
      </c>
      <c r="R379" s="13">
        <f>IFERROR(Q379/Q446, "NA")</f>
        <v>0</v>
      </c>
      <c r="S379" s="14"/>
      <c r="T379" s="12">
        <v>0.0</v>
      </c>
      <c r="U379" s="13">
        <f>IFERROR(T379/T446, "NA")</f>
        <v>0</v>
      </c>
      <c r="V379" s="14"/>
      <c r="W379" s="15">
        <f t="shared" si="107"/>
        <v>0</v>
      </c>
      <c r="X379" s="13">
        <f>IFERROR(W379/W446, "NA")</f>
        <v>0</v>
      </c>
      <c r="Y379" s="14"/>
      <c r="Z379" s="12">
        <v>0.0</v>
      </c>
      <c r="AA379" s="13">
        <f>IFERROR(Z379/Z446, "NA")</f>
        <v>0</v>
      </c>
      <c r="AB379" s="14"/>
      <c r="AC379" s="15">
        <f t="shared" si="108"/>
        <v>0</v>
      </c>
      <c r="AD379" s="13">
        <f>IFERROR(AC379/AC446, "NA")</f>
        <v>0</v>
      </c>
    </row>
    <row r="380" ht="16.5" hidden="1" customHeight="1">
      <c r="A380" s="11" t="s">
        <v>351</v>
      </c>
      <c r="B380" s="12">
        <v>0.0</v>
      </c>
      <c r="C380" s="13" t="str">
        <f>IFERROR(B380/B446, "NA")</f>
        <v>NA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0</v>
      </c>
      <c r="I380" s="13">
        <f>IFERROR(H380/H446, "NA")</f>
        <v>0</v>
      </c>
      <c r="J380" s="14"/>
      <c r="K380" s="12">
        <v>0.0</v>
      </c>
      <c r="L380" s="13">
        <f>IFERROR(K380/K446, "NA")</f>
        <v>0</v>
      </c>
      <c r="M380" s="14"/>
      <c r="N380" s="15">
        <f t="shared" si="106"/>
        <v>0</v>
      </c>
      <c r="O380" s="13">
        <f>IFERROR(N380/N446, "NA")</f>
        <v>0</v>
      </c>
      <c r="P380" s="14"/>
      <c r="Q380" s="12">
        <v>0.0</v>
      </c>
      <c r="R380" s="13">
        <f>IFERROR(Q380/Q446, "NA")</f>
        <v>0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0</v>
      </c>
      <c r="X380" s="13">
        <f>IFERROR(W380/W446, "NA")</f>
        <v>0</v>
      </c>
      <c r="Y380" s="14"/>
      <c r="Z380" s="12">
        <v>0.0</v>
      </c>
      <c r="AA380" s="13">
        <f>IFERROR(Z380/Z446, "NA")</f>
        <v>0</v>
      </c>
      <c r="AB380" s="14"/>
      <c r="AC380" s="15">
        <f t="shared" si="108"/>
        <v>0</v>
      </c>
      <c r="AD380" s="13">
        <f>IFERROR(AC380/AC446, "NA")</f>
        <v>0</v>
      </c>
    </row>
    <row r="381" ht="16.5" hidden="1" customHeight="1">
      <c r="A381" s="11" t="s">
        <v>352</v>
      </c>
      <c r="B381" s="12">
        <v>0.0</v>
      </c>
      <c r="C381" s="13" t="str">
        <f>IFERROR(B381/B446, "NA")</f>
        <v>NA</v>
      </c>
      <c r="D381" s="14"/>
      <c r="E381" s="12">
        <v>0.0</v>
      </c>
      <c r="F381" s="13">
        <f>IFERROR(E381/E446, "NA")</f>
        <v>0</v>
      </c>
      <c r="G381" s="14"/>
      <c r="H381" s="15">
        <f t="shared" si="105"/>
        <v>0</v>
      </c>
      <c r="I381" s="13">
        <f>IFERROR(H381/H446, "NA")</f>
        <v>0</v>
      </c>
      <c r="J381" s="14"/>
      <c r="K381" s="12">
        <v>0.0</v>
      </c>
      <c r="L381" s="13">
        <f>IFERROR(K381/K446, "NA")</f>
        <v>0</v>
      </c>
      <c r="M381" s="14"/>
      <c r="N381" s="15">
        <f t="shared" si="106"/>
        <v>0</v>
      </c>
      <c r="O381" s="13">
        <f>IFERROR(N381/N446, "NA")</f>
        <v>0</v>
      </c>
      <c r="P381" s="14"/>
      <c r="Q381" s="12">
        <v>0.0</v>
      </c>
      <c r="R381" s="13">
        <f>IFERROR(Q381/Q446, "NA")</f>
        <v>0</v>
      </c>
      <c r="S381" s="14"/>
      <c r="T381" s="12">
        <v>0.0</v>
      </c>
      <c r="U381" s="13">
        <f>IFERROR(T381/T446, "NA")</f>
        <v>0</v>
      </c>
      <c r="V381" s="14"/>
      <c r="W381" s="15">
        <f t="shared" si="107"/>
        <v>0</v>
      </c>
      <c r="X381" s="13">
        <f>IFERROR(W381/W446, "NA")</f>
        <v>0</v>
      </c>
      <c r="Y381" s="14"/>
      <c r="Z381" s="12">
        <v>0.0</v>
      </c>
      <c r="AA381" s="13">
        <f>IFERROR(Z381/Z446, "NA")</f>
        <v>0</v>
      </c>
      <c r="AB381" s="14"/>
      <c r="AC381" s="15">
        <f t="shared" si="108"/>
        <v>0</v>
      </c>
      <c r="AD381" s="13">
        <f>IFERROR(AC381/AC446, "NA")</f>
        <v>0</v>
      </c>
    </row>
    <row r="382" ht="16.5" hidden="1" customHeight="1">
      <c r="A382" s="11" t="s">
        <v>353</v>
      </c>
      <c r="B382" s="12">
        <v>0.0</v>
      </c>
      <c r="C382" s="13" t="str">
        <f>IFERROR(B382/B446, "NA")</f>
        <v>NA</v>
      </c>
      <c r="D382" s="14"/>
      <c r="E382" s="12">
        <v>0.0</v>
      </c>
      <c r="F382" s="13">
        <f>IFERROR(E382/E446, "NA")</f>
        <v>0</v>
      </c>
      <c r="G382" s="14"/>
      <c r="H382" s="15">
        <f t="shared" si="105"/>
        <v>0</v>
      </c>
      <c r="I382" s="13">
        <f>IFERROR(H382/H446, "NA")</f>
        <v>0</v>
      </c>
      <c r="J382" s="14"/>
      <c r="K382" s="12">
        <v>0.0</v>
      </c>
      <c r="L382" s="13">
        <f>IFERROR(K382/K446, "NA")</f>
        <v>0</v>
      </c>
      <c r="M382" s="14"/>
      <c r="N382" s="15">
        <f t="shared" si="106"/>
        <v>0</v>
      </c>
      <c r="O382" s="13">
        <f>IFERROR(N382/N446, "NA")</f>
        <v>0</v>
      </c>
      <c r="P382" s="14"/>
      <c r="Q382" s="12">
        <v>0.0</v>
      </c>
      <c r="R382" s="13">
        <f>IFERROR(Q382/Q446, "NA")</f>
        <v>0</v>
      </c>
      <c r="S382" s="14"/>
      <c r="T382" s="12">
        <v>0.0</v>
      </c>
      <c r="U382" s="13">
        <f>IFERROR(T382/T446, "NA")</f>
        <v>0</v>
      </c>
      <c r="V382" s="14"/>
      <c r="W382" s="15">
        <f t="shared" si="107"/>
        <v>0</v>
      </c>
      <c r="X382" s="13">
        <f>IFERROR(W382/W446, "NA")</f>
        <v>0</v>
      </c>
      <c r="Y382" s="14"/>
      <c r="Z382" s="12">
        <v>0.0</v>
      </c>
      <c r="AA382" s="13">
        <f>IFERROR(Z382/Z446, "NA")</f>
        <v>0</v>
      </c>
      <c r="AB382" s="14"/>
      <c r="AC382" s="15">
        <f t="shared" si="108"/>
        <v>0</v>
      </c>
      <c r="AD382" s="13">
        <f>IFERROR(AC382/AC446, "NA")</f>
        <v>0</v>
      </c>
    </row>
    <row r="383" ht="16.5" hidden="1" customHeight="1">
      <c r="A383" s="11" t="s">
        <v>354</v>
      </c>
      <c r="B383" s="12">
        <v>0.0</v>
      </c>
      <c r="C383" s="13" t="str">
        <f>IFERROR(B383/B446, "NA")</f>
        <v>NA</v>
      </c>
      <c r="D383" s="14"/>
      <c r="E383" s="12">
        <v>0.0</v>
      </c>
      <c r="F383" s="13">
        <f>IFERROR(E383/E446, "NA")</f>
        <v>0</v>
      </c>
      <c r="G383" s="14"/>
      <c r="H383" s="15">
        <f t="shared" si="105"/>
        <v>0</v>
      </c>
      <c r="I383" s="13">
        <f>IFERROR(H383/H446, "NA")</f>
        <v>0</v>
      </c>
      <c r="J383" s="14"/>
      <c r="K383" s="12">
        <v>0.0</v>
      </c>
      <c r="L383" s="13">
        <f>IFERROR(K383/K446, "NA")</f>
        <v>0</v>
      </c>
      <c r="M383" s="14"/>
      <c r="N383" s="15">
        <f t="shared" si="106"/>
        <v>0</v>
      </c>
      <c r="O383" s="13">
        <f>IFERROR(N383/N446, "NA")</f>
        <v>0</v>
      </c>
      <c r="P383" s="14"/>
      <c r="Q383" s="12">
        <v>0.0</v>
      </c>
      <c r="R383" s="13">
        <f>IFERROR(Q383/Q446, "NA")</f>
        <v>0</v>
      </c>
      <c r="S383" s="14"/>
      <c r="T383" s="12">
        <v>0.0</v>
      </c>
      <c r="U383" s="13">
        <f>IFERROR(T383/T446, "NA")</f>
        <v>0</v>
      </c>
      <c r="V383" s="14"/>
      <c r="W383" s="15">
        <f t="shared" si="107"/>
        <v>0</v>
      </c>
      <c r="X383" s="13">
        <f>IFERROR(W383/W446, "NA")</f>
        <v>0</v>
      </c>
      <c r="Y383" s="14"/>
      <c r="Z383" s="12">
        <v>0.0</v>
      </c>
      <c r="AA383" s="13">
        <f>IFERROR(Z383/Z446, "NA")</f>
        <v>0</v>
      </c>
      <c r="AB383" s="14"/>
      <c r="AC383" s="15">
        <f t="shared" si="108"/>
        <v>0</v>
      </c>
      <c r="AD383" s="13">
        <f>IFERROR(AC383/AC446, "NA")</f>
        <v>0</v>
      </c>
    </row>
    <row r="384" ht="16.5" hidden="1" customHeight="1">
      <c r="A384" s="11" t="s">
        <v>355</v>
      </c>
      <c r="B384" s="12">
        <v>0.0</v>
      </c>
      <c r="C384" s="13" t="str">
        <f>IFERROR(B384/B446, "NA")</f>
        <v>NA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hidden="1" customHeight="1">
      <c r="A386" s="11" t="s">
        <v>356</v>
      </c>
      <c r="B386" s="12">
        <v>0.0</v>
      </c>
      <c r="C386" s="13" t="str">
        <f>IFERROR(B386/B446, "NA")</f>
        <v>NA</v>
      </c>
      <c r="D386" s="14"/>
      <c r="E386" s="12">
        <v>0.0</v>
      </c>
      <c r="F386" s="13">
        <f>IFERROR(E386/E446, "NA")</f>
        <v>0</v>
      </c>
      <c r="G386" s="14"/>
      <c r="H386" s="15">
        <f t="shared" ref="H386:H387" si="109">IFERROR(-(B386-E386), "NA")</f>
        <v>0</v>
      </c>
      <c r="I386" s="13">
        <f>IFERROR(H386/H446, "NA")</f>
        <v>0</v>
      </c>
      <c r="J386" s="14"/>
      <c r="K386" s="12">
        <v>0.0</v>
      </c>
      <c r="L386" s="13">
        <f>IFERROR(K386/K446, "NA")</f>
        <v>0</v>
      </c>
      <c r="M386" s="14"/>
      <c r="N386" s="15">
        <f t="shared" ref="N386:N387" si="110">IFERROR(-(B386-K386), "NA")</f>
        <v>0</v>
      </c>
      <c r="O386" s="13">
        <f>IFERROR(N386/N446, "NA")</f>
        <v>0</v>
      </c>
      <c r="P386" s="14"/>
      <c r="Q386" s="12">
        <v>0.0</v>
      </c>
      <c r="R386" s="13">
        <f>IFERROR(Q386/Q446, "NA")</f>
        <v>0</v>
      </c>
      <c r="S386" s="14"/>
      <c r="T386" s="12">
        <v>0.0</v>
      </c>
      <c r="U386" s="13">
        <f>IFERROR(T386/T446, "NA")</f>
        <v>0</v>
      </c>
      <c r="V386" s="14"/>
      <c r="W386" s="15">
        <f t="shared" ref="W386:W387" si="111">IFERROR(-(Q386-T386), "NA")</f>
        <v>0</v>
      </c>
      <c r="X386" s="13">
        <f>IFERROR(W386/W446, "NA")</f>
        <v>0</v>
      </c>
      <c r="Y386" s="14"/>
      <c r="Z386" s="12">
        <v>0.0</v>
      </c>
      <c r="AA386" s="13">
        <f>IFERROR(Z386/Z446, "NA")</f>
        <v>0</v>
      </c>
      <c r="AB386" s="14"/>
      <c r="AC386" s="15">
        <f t="shared" ref="AC386:AC387" si="112">IFERROR(-(Q386-Z386), "NA")</f>
        <v>0</v>
      </c>
      <c r="AD386" s="13">
        <f>IFERROR(AC386/AC446, "NA")</f>
        <v>0</v>
      </c>
    </row>
    <row r="387" ht="16.5" hidden="1" customHeight="1">
      <c r="A387" s="11" t="s">
        <v>357</v>
      </c>
      <c r="B387" s="12">
        <v>0.0</v>
      </c>
      <c r="C387" s="13" t="str">
        <f>IFERROR(B387/B446, "NA")</f>
        <v>NA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0.0</v>
      </c>
      <c r="L387" s="13">
        <f>IFERROR(K387/K446, "NA")</f>
        <v>0</v>
      </c>
      <c r="M387" s="14"/>
      <c r="N387" s="15">
        <f t="shared" si="110"/>
        <v>0</v>
      </c>
      <c r="O387" s="13">
        <f>IFERROR(N387/N446, "NA")</f>
        <v>0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0.0</v>
      </c>
      <c r="AA387" s="13">
        <f>IFERROR(Z387/Z446, "NA")</f>
        <v>0</v>
      </c>
      <c r="AB387" s="14"/>
      <c r="AC387" s="15">
        <f t="shared" si="112"/>
        <v>0</v>
      </c>
      <c r="AD387" s="13">
        <f>IFERROR(AC387/AC446, "NA")</f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hidden="1" customHeight="1">
      <c r="A389" s="11" t="s">
        <v>358</v>
      </c>
      <c r="B389" s="12">
        <v>0.0</v>
      </c>
      <c r="C389" s="13" t="str">
        <f>IFERROR(B389/B446, "NA")</f>
        <v>NA</v>
      </c>
      <c r="D389" s="14"/>
      <c r="E389" s="12">
        <v>0.0</v>
      </c>
      <c r="F389" s="13">
        <f>IFERROR(E389/E446, "NA")</f>
        <v>0</v>
      </c>
      <c r="G389" s="14"/>
      <c r="H389" s="15">
        <f t="shared" ref="H389:H404" si="113">IFERROR(-(B389-E389), "NA")</f>
        <v>0</v>
      </c>
      <c r="I389" s="13">
        <f>IFERROR(H389/H446, "NA")</f>
        <v>0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0.0</v>
      </c>
      <c r="U389" s="13">
        <f>IFERROR(T389/T446, "NA")</f>
        <v>0</v>
      </c>
      <c r="V389" s="14"/>
      <c r="W389" s="15">
        <f t="shared" ref="W389:W404" si="115">IFERROR(-(Q389-T389), "NA")</f>
        <v>0</v>
      </c>
      <c r="X389" s="13">
        <f>IFERROR(W389/W446, "NA")</f>
        <v>0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hidden="1" customHeight="1">
      <c r="A390" s="11" t="s">
        <v>359</v>
      </c>
      <c r="B390" s="12">
        <v>0.0</v>
      </c>
      <c r="C390" s="13" t="str">
        <f>IFERROR(B390/B446, "NA")</f>
        <v>NA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0</v>
      </c>
      <c r="I390" s="13">
        <f>IFERROR(H390/H446, "NA")</f>
        <v>0</v>
      </c>
      <c r="J390" s="14"/>
      <c r="K390" s="12">
        <v>0.0</v>
      </c>
      <c r="L390" s="13">
        <f>IFERROR(K390/K446, "NA")</f>
        <v>0</v>
      </c>
      <c r="M390" s="14"/>
      <c r="N390" s="15">
        <f t="shared" si="114"/>
        <v>0</v>
      </c>
      <c r="O390" s="13">
        <f>IFERROR(N390/N446, "NA")</f>
        <v>0</v>
      </c>
      <c r="P390" s="14"/>
      <c r="Q390" s="12">
        <v>0.0</v>
      </c>
      <c r="R390" s="13">
        <f>IFERROR(Q390/Q446, "NA")</f>
        <v>0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0</v>
      </c>
      <c r="X390" s="13">
        <f>IFERROR(W390/W446, "NA")</f>
        <v>0</v>
      </c>
      <c r="Y390" s="14"/>
      <c r="Z390" s="12">
        <v>0.0</v>
      </c>
      <c r="AA390" s="13">
        <f>IFERROR(Z390/Z446, "NA")</f>
        <v>0</v>
      </c>
      <c r="AB390" s="14"/>
      <c r="AC390" s="15">
        <f t="shared" si="116"/>
        <v>0</v>
      </c>
      <c r="AD390" s="13">
        <f>IFERROR(AC390/AC446, "NA")</f>
        <v>0</v>
      </c>
    </row>
    <row r="391" ht="16.5" hidden="1" customHeight="1">
      <c r="A391" s="11" t="s">
        <v>360</v>
      </c>
      <c r="B391" s="12">
        <v>0.0</v>
      </c>
      <c r="C391" s="13" t="str">
        <f>IFERROR(B391/B446, "NA")</f>
        <v>NA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0</v>
      </c>
      <c r="I391" s="13">
        <f>IFERROR(H391/H446, "NA")</f>
        <v>0</v>
      </c>
      <c r="J391" s="14"/>
      <c r="K391" s="12">
        <v>0.0</v>
      </c>
      <c r="L391" s="13">
        <f>IFERROR(K391/K446, "NA")</f>
        <v>0</v>
      </c>
      <c r="M391" s="14"/>
      <c r="N391" s="15">
        <f t="shared" si="114"/>
        <v>0</v>
      </c>
      <c r="O391" s="13">
        <f>IFERROR(N391/N446, "NA")</f>
        <v>0</v>
      </c>
      <c r="P391" s="14"/>
      <c r="Q391" s="12">
        <v>0.0</v>
      </c>
      <c r="R391" s="13">
        <f>IFERROR(Q391/Q446, "NA")</f>
        <v>0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0</v>
      </c>
      <c r="X391" s="13">
        <f>IFERROR(W391/W446, "NA")</f>
        <v>0</v>
      </c>
      <c r="Y391" s="14"/>
      <c r="Z391" s="12">
        <v>0.0</v>
      </c>
      <c r="AA391" s="13">
        <f>IFERROR(Z391/Z446, "NA")</f>
        <v>0</v>
      </c>
      <c r="AB391" s="14"/>
      <c r="AC391" s="15">
        <f t="shared" si="116"/>
        <v>0</v>
      </c>
      <c r="AD391" s="13">
        <f>IFERROR(AC391/AC446, "NA")</f>
        <v>0</v>
      </c>
    </row>
    <row r="392" ht="16.5" hidden="1" customHeight="1">
      <c r="A392" s="11" t="s">
        <v>361</v>
      </c>
      <c r="B392" s="12">
        <v>0.0</v>
      </c>
      <c r="C392" s="13" t="str">
        <f>IFERROR(B392/B446, "NA")</f>
        <v>NA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hidden="1" customHeight="1">
      <c r="A393" s="11" t="s">
        <v>362</v>
      </c>
      <c r="B393" s="12">
        <v>0.0</v>
      </c>
      <c r="C393" s="13" t="str">
        <f>IFERROR(B393/B446, "NA")</f>
        <v>NA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0</v>
      </c>
      <c r="I393" s="13">
        <f>IFERROR(H393/H446, "NA")</f>
        <v>0</v>
      </c>
      <c r="J393" s="14"/>
      <c r="K393" s="12">
        <v>0.0</v>
      </c>
      <c r="L393" s="13">
        <f>IFERROR(K393/K446, "NA")</f>
        <v>0</v>
      </c>
      <c r="M393" s="14"/>
      <c r="N393" s="15">
        <f t="shared" si="114"/>
        <v>0</v>
      </c>
      <c r="O393" s="13">
        <f>IFERROR(N393/N446, "NA")</f>
        <v>0</v>
      </c>
      <c r="P393" s="14"/>
      <c r="Q393" s="12">
        <v>0.0</v>
      </c>
      <c r="R393" s="13">
        <f>IFERROR(Q393/Q446, "NA")</f>
        <v>0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0</v>
      </c>
      <c r="X393" s="13">
        <f>IFERROR(W393/W446, "NA")</f>
        <v>0</v>
      </c>
      <c r="Y393" s="14"/>
      <c r="Z393" s="12">
        <v>0.0</v>
      </c>
      <c r="AA393" s="13">
        <f>IFERROR(Z393/Z446, "NA")</f>
        <v>0</v>
      </c>
      <c r="AB393" s="14"/>
      <c r="AC393" s="15">
        <f t="shared" si="116"/>
        <v>0</v>
      </c>
      <c r="AD393" s="13">
        <f>IFERROR(AC393/AC446, "NA")</f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 t="str">
        <f>IFERROR(B394/B446, "NA")</f>
        <v>NA</v>
      </c>
      <c r="D394" s="8"/>
      <c r="E394" s="17">
        <f>IFERROR(E389+E390+E391+E392+E393, "NA")</f>
        <v>0</v>
      </c>
      <c r="F394" s="18">
        <f>IFERROR(E394/E446, "NA")</f>
        <v>0</v>
      </c>
      <c r="G394" s="8"/>
      <c r="H394" s="17">
        <f t="shared" si="113"/>
        <v>0</v>
      </c>
      <c r="I394" s="18">
        <f>IFERROR(H394/H446, "NA")</f>
        <v>0</v>
      </c>
      <c r="J394" s="8"/>
      <c r="K394" s="17">
        <f>IFERROR(K389+K390+K391+K392+K393, "NA")</f>
        <v>0</v>
      </c>
      <c r="L394" s="18">
        <f>IFERROR(K394/K446, "NA")</f>
        <v>0</v>
      </c>
      <c r="M394" s="8"/>
      <c r="N394" s="17">
        <f t="shared" si="114"/>
        <v>0</v>
      </c>
      <c r="O394" s="18">
        <f>IFERROR(N394/N446, "NA")</f>
        <v>0</v>
      </c>
      <c r="P394" s="8"/>
      <c r="Q394" s="17">
        <f>IFERROR(Q389+Q390+Q391+Q392+Q393, "NA")</f>
        <v>0</v>
      </c>
      <c r="R394" s="18">
        <f>IFERROR(Q394/Q446, "NA")</f>
        <v>0</v>
      </c>
      <c r="S394" s="8"/>
      <c r="T394" s="17">
        <f>IFERROR(T389+T390+T391+T392+T393, "NA")</f>
        <v>0</v>
      </c>
      <c r="U394" s="18">
        <f>IFERROR(T394/T446, "NA")</f>
        <v>0</v>
      </c>
      <c r="V394" s="8"/>
      <c r="W394" s="17">
        <f t="shared" si="115"/>
        <v>0</v>
      </c>
      <c r="X394" s="18">
        <f>IFERROR(W394/W446, "NA")</f>
        <v>0</v>
      </c>
      <c r="Y394" s="8"/>
      <c r="Z394" s="17">
        <f>IFERROR(Z389+Z390+Z391+Z392+Z393, "NA")</f>
        <v>0</v>
      </c>
      <c r="AA394" s="18">
        <f>IFERROR(Z394/Z446, "NA")</f>
        <v>0</v>
      </c>
      <c r="AB394" s="8"/>
      <c r="AC394" s="17">
        <f t="shared" si="116"/>
        <v>0</v>
      </c>
      <c r="AD394" s="18">
        <f>IFERROR(AC394/AC446, "NA")</f>
        <v>0</v>
      </c>
    </row>
    <row r="395" ht="16.5" hidden="1" customHeight="1">
      <c r="A395" s="11" t="s">
        <v>364</v>
      </c>
      <c r="B395" s="12">
        <v>0.0</v>
      </c>
      <c r="C395" s="13" t="str">
        <f>IFERROR(B395/B446, "NA")</f>
        <v>NA</v>
      </c>
      <c r="D395" s="14"/>
      <c r="E395" s="12">
        <v>0.0</v>
      </c>
      <c r="F395" s="13">
        <f>IFERROR(E395/E446, "NA")</f>
        <v>0</v>
      </c>
      <c r="G395" s="14"/>
      <c r="H395" s="15">
        <f t="shared" si="113"/>
        <v>0</v>
      </c>
      <c r="I395" s="13">
        <f>IFERROR(H395/H446, "NA")</f>
        <v>0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0</v>
      </c>
      <c r="O395" s="13">
        <f>IFERROR(N395/N446, "NA")</f>
        <v>0</v>
      </c>
      <c r="P395" s="14"/>
      <c r="Q395" s="12">
        <v>0.0</v>
      </c>
      <c r="R395" s="13">
        <f>IFERROR(Q395/Q446, "NA")</f>
        <v>0</v>
      </c>
      <c r="S395" s="14"/>
      <c r="T395" s="12">
        <v>0.0</v>
      </c>
      <c r="U395" s="13">
        <f>IFERROR(T395/T446, "NA")</f>
        <v>0</v>
      </c>
      <c r="V395" s="14"/>
      <c r="W395" s="15">
        <f t="shared" si="115"/>
        <v>0</v>
      </c>
      <c r="X395" s="13">
        <f>IFERROR(W395/W446, "NA")</f>
        <v>0</v>
      </c>
      <c r="Y395" s="14"/>
      <c r="Z395" s="12">
        <v>0.0</v>
      </c>
      <c r="AA395" s="13">
        <f>IFERROR(Z395/Z446, "NA")</f>
        <v>0</v>
      </c>
      <c r="AB395" s="14"/>
      <c r="AC395" s="15">
        <f t="shared" si="116"/>
        <v>0</v>
      </c>
      <c r="AD395" s="13">
        <f>IFERROR(AC395/AC446, "NA")</f>
        <v>0</v>
      </c>
    </row>
    <row r="396" ht="16.5" hidden="1" customHeight="1">
      <c r="A396" s="11" t="s">
        <v>365</v>
      </c>
      <c r="B396" s="12">
        <v>0.0</v>
      </c>
      <c r="C396" s="13" t="str">
        <f>IFERROR(B396/B446, "NA")</f>
        <v>NA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0</v>
      </c>
      <c r="I396" s="13">
        <f>IFERROR(H396/H446, "NA")</f>
        <v>0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0</v>
      </c>
      <c r="O396" s="13">
        <f>IFERROR(N396/N446, "NA")</f>
        <v>0</v>
      </c>
      <c r="P396" s="14"/>
      <c r="Q396" s="12">
        <v>0.0</v>
      </c>
      <c r="R396" s="13">
        <f>IFERROR(Q396/Q446, "NA")</f>
        <v>0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0</v>
      </c>
      <c r="X396" s="13">
        <f>IFERROR(W396/W446, "NA")</f>
        <v>0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0</v>
      </c>
      <c r="AD396" s="13">
        <f>IFERROR(AC396/AC446, "NA")</f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 t="str">
        <f>IFERROR(B397/B446, "NA")</f>
        <v>NA</v>
      </c>
      <c r="D397" s="8"/>
      <c r="E397" s="17">
        <f>IFERROR(E386+E387+E389+E390+E391+E392+E393+E395+E396, "NA")</f>
        <v>0</v>
      </c>
      <c r="F397" s="18">
        <f>IFERROR(E397/E446, "NA")</f>
        <v>0</v>
      </c>
      <c r="G397" s="8"/>
      <c r="H397" s="17">
        <f t="shared" si="113"/>
        <v>0</v>
      </c>
      <c r="I397" s="18">
        <f>IFERROR(H397/H446, "NA")</f>
        <v>0</v>
      </c>
      <c r="J397" s="8"/>
      <c r="K397" s="17">
        <f>IFERROR(K386+K387+K389+K390+K391+K392+K393+K395+K396, "NA")</f>
        <v>0</v>
      </c>
      <c r="L397" s="18">
        <f>IFERROR(K397/K446, "NA")</f>
        <v>0</v>
      </c>
      <c r="M397" s="8"/>
      <c r="N397" s="17">
        <f t="shared" si="114"/>
        <v>0</v>
      </c>
      <c r="O397" s="18">
        <f>IFERROR(N397/N446, "NA")</f>
        <v>0</v>
      </c>
      <c r="P397" s="8"/>
      <c r="Q397" s="17">
        <f>IFERROR(Q386+Q387+Q389+Q390+Q391+Q392+Q393+Q395+Q396, "NA")</f>
        <v>0</v>
      </c>
      <c r="R397" s="18">
        <f>IFERROR(Q397/Q446, "NA")</f>
        <v>0</v>
      </c>
      <c r="S397" s="8"/>
      <c r="T397" s="17">
        <f>IFERROR(T386+T387+T389+T390+T391+T392+T393+T395+T396, "NA")</f>
        <v>0</v>
      </c>
      <c r="U397" s="18">
        <f>IFERROR(T397/T446, "NA")</f>
        <v>0</v>
      </c>
      <c r="V397" s="8"/>
      <c r="W397" s="17">
        <f t="shared" si="115"/>
        <v>0</v>
      </c>
      <c r="X397" s="18">
        <f>IFERROR(W397/W446, "NA")</f>
        <v>0</v>
      </c>
      <c r="Y397" s="8"/>
      <c r="Z397" s="17">
        <f>IFERROR(Z386+Z387+Z389+Z390+Z391+Z392+Z393+Z395+Z396, "NA")</f>
        <v>0</v>
      </c>
      <c r="AA397" s="18">
        <f>IFERROR(Z397/Z446, "NA")</f>
        <v>0</v>
      </c>
      <c r="AB397" s="8"/>
      <c r="AC397" s="17">
        <f t="shared" si="116"/>
        <v>0</v>
      </c>
      <c r="AD397" s="18">
        <f>IFERROR(AC397/AC446, "NA")</f>
        <v>0</v>
      </c>
    </row>
    <row r="398" ht="16.5" hidden="1" customHeight="1">
      <c r="A398" s="11" t="s">
        <v>367</v>
      </c>
      <c r="B398" s="12">
        <v>0.0</v>
      </c>
      <c r="C398" s="13" t="str">
        <f>IFERROR(B398/B446, "NA")</f>
        <v>NA</v>
      </c>
      <c r="D398" s="14"/>
      <c r="E398" s="12">
        <v>0.0</v>
      </c>
      <c r="F398" s="13">
        <f>IFERROR(E398/E446, "NA")</f>
        <v>0</v>
      </c>
      <c r="G398" s="14"/>
      <c r="H398" s="15">
        <f t="shared" si="113"/>
        <v>0</v>
      </c>
      <c r="I398" s="13">
        <f>IFERROR(H398/H446, "NA")</f>
        <v>0</v>
      </c>
      <c r="J398" s="14"/>
      <c r="K398" s="12">
        <v>0.0</v>
      </c>
      <c r="L398" s="13">
        <f>IFERROR(K398/K446, "NA")</f>
        <v>0</v>
      </c>
      <c r="M398" s="14"/>
      <c r="N398" s="15">
        <f t="shared" si="114"/>
        <v>0</v>
      </c>
      <c r="O398" s="13">
        <f>IFERROR(N398/N446, "NA")</f>
        <v>0</v>
      </c>
      <c r="P398" s="14"/>
      <c r="Q398" s="12">
        <v>0.0</v>
      </c>
      <c r="R398" s="13">
        <f>IFERROR(Q398/Q446, "NA")</f>
        <v>0</v>
      </c>
      <c r="S398" s="14"/>
      <c r="T398" s="12">
        <v>0.0</v>
      </c>
      <c r="U398" s="13">
        <f>IFERROR(T398/T446, "NA")</f>
        <v>0</v>
      </c>
      <c r="V398" s="14"/>
      <c r="W398" s="15">
        <f t="shared" si="115"/>
        <v>0</v>
      </c>
      <c r="X398" s="13">
        <f>IFERROR(W398/W446, "NA")</f>
        <v>0</v>
      </c>
      <c r="Y398" s="14"/>
      <c r="Z398" s="12">
        <v>0.0</v>
      </c>
      <c r="AA398" s="13">
        <f>IFERROR(Z398/Z446, "NA")</f>
        <v>0</v>
      </c>
      <c r="AB398" s="14"/>
      <c r="AC398" s="15">
        <f t="shared" si="116"/>
        <v>0</v>
      </c>
      <c r="AD398" s="13">
        <f>IFERROR(AC398/AC446, "NA")</f>
        <v>0</v>
      </c>
    </row>
    <row r="399" ht="16.5" hidden="1" customHeight="1">
      <c r="A399" s="11" t="s">
        <v>368</v>
      </c>
      <c r="B399" s="12">
        <v>0.0</v>
      </c>
      <c r="C399" s="13" t="str">
        <f>IFERROR(B399/B446, "NA")</f>
        <v>NA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0</v>
      </c>
      <c r="I399" s="13">
        <f>IFERROR(H399/H446, "NA")</f>
        <v>0</v>
      </c>
      <c r="J399" s="14"/>
      <c r="K399" s="12">
        <v>0.0</v>
      </c>
      <c r="L399" s="13">
        <f>IFERROR(K399/K446, "NA")</f>
        <v>0</v>
      </c>
      <c r="M399" s="14"/>
      <c r="N399" s="15">
        <f t="shared" si="114"/>
        <v>0</v>
      </c>
      <c r="O399" s="13">
        <f>IFERROR(N399/N446, "NA")</f>
        <v>0</v>
      </c>
      <c r="P399" s="14"/>
      <c r="Q399" s="12">
        <v>0.0</v>
      </c>
      <c r="R399" s="13">
        <f>IFERROR(Q399/Q446, "NA")</f>
        <v>0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0</v>
      </c>
      <c r="X399" s="13">
        <f>IFERROR(W399/W446, "NA")</f>
        <v>0</v>
      </c>
      <c r="Y399" s="14"/>
      <c r="Z399" s="12">
        <v>0.0</v>
      </c>
      <c r="AA399" s="13">
        <f>IFERROR(Z399/Z446, "NA")</f>
        <v>0</v>
      </c>
      <c r="AB399" s="14"/>
      <c r="AC399" s="15">
        <f t="shared" si="116"/>
        <v>0</v>
      </c>
      <c r="AD399" s="13">
        <f>IFERROR(AC399/AC446, "NA")</f>
        <v>0</v>
      </c>
    </row>
    <row r="400" ht="16.5" hidden="1" customHeight="1">
      <c r="A400" s="11" t="s">
        <v>369</v>
      </c>
      <c r="B400" s="12">
        <v>0.0</v>
      </c>
      <c r="C400" s="13" t="str">
        <f>IFERROR(B400/B446, "NA")</f>
        <v>NA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0</v>
      </c>
      <c r="I400" s="13">
        <f>IFERROR(H400/H446, "NA")</f>
        <v>0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0</v>
      </c>
      <c r="O400" s="13">
        <f>IFERROR(N400/N446, "NA")</f>
        <v>0</v>
      </c>
      <c r="P400" s="14"/>
      <c r="Q400" s="12">
        <v>0.0</v>
      </c>
      <c r="R400" s="13">
        <f>IFERROR(Q400/Q446, "NA")</f>
        <v>0</v>
      </c>
      <c r="S400" s="14"/>
      <c r="T400" s="12">
        <v>0.0</v>
      </c>
      <c r="U400" s="13">
        <f>IFERROR(T400/T446, "NA")</f>
        <v>0</v>
      </c>
      <c r="V400" s="14"/>
      <c r="W400" s="15">
        <f t="shared" si="115"/>
        <v>0</v>
      </c>
      <c r="X400" s="13">
        <f>IFERROR(W400/W446, "NA")</f>
        <v>0</v>
      </c>
      <c r="Y400" s="14"/>
      <c r="Z400" s="12">
        <v>0.0</v>
      </c>
      <c r="AA400" s="13">
        <f>IFERROR(Z400/Z446, "NA")</f>
        <v>0</v>
      </c>
      <c r="AB400" s="14"/>
      <c r="AC400" s="15">
        <f t="shared" si="116"/>
        <v>0</v>
      </c>
      <c r="AD400" s="13">
        <f>IFERROR(AC400/AC446, "NA")</f>
        <v>0</v>
      </c>
    </row>
    <row r="401" ht="16.5" hidden="1" customHeight="1">
      <c r="A401" s="11" t="s">
        <v>370</v>
      </c>
      <c r="B401" s="12">
        <v>0.0</v>
      </c>
      <c r="C401" s="13" t="str">
        <f>IFERROR(B401/B446, "NA")</f>
        <v>NA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 t="str">
        <f>IFERROR(B402/B446, "NA")</f>
        <v>NA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 t="str">
        <f>IFERROR(B403/B446, "NA")</f>
        <v>NA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 t="str">
        <f>IFERROR(B404/B446, "NA")</f>
        <v>NA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>
        <f>IFERROR(E404/E446, "NA")</f>
        <v>0</v>
      </c>
      <c r="G404" s="8"/>
      <c r="H404" s="17">
        <f t="shared" si="113"/>
        <v>0</v>
      </c>
      <c r="I404" s="18">
        <f>IFERROR(H404/H446, "NA")</f>
        <v>0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>
        <f>IFERROR(K404/K446, "NA")</f>
        <v>0</v>
      </c>
      <c r="M404" s="8"/>
      <c r="N404" s="17">
        <f t="shared" si="114"/>
        <v>0</v>
      </c>
      <c r="O404" s="18">
        <f>IFERROR(N404/N446, "NA")</f>
        <v>0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>
        <f>IFERROR(Q404/Q446, "NA")</f>
        <v>0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>
        <f>IFERROR(T404/T446, "NA")</f>
        <v>0</v>
      </c>
      <c r="V404" s="8"/>
      <c r="W404" s="17">
        <f t="shared" si="115"/>
        <v>0</v>
      </c>
      <c r="X404" s="18">
        <f>IFERROR(W404/W446, "NA")</f>
        <v>0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>
        <f>IFERROR(Z404/Z446, "NA")</f>
        <v>0</v>
      </c>
      <c r="AB404" s="8"/>
      <c r="AC404" s="17">
        <f t="shared" si="116"/>
        <v>0</v>
      </c>
      <c r="AD404" s="18">
        <f>IFERROR(AC404/AC446, "NA")</f>
        <v>0</v>
      </c>
    </row>
    <row r="405" ht="16.5" customHeight="1">
      <c r="A405" s="19" t="s">
        <v>374</v>
      </c>
      <c r="B405" s="20">
        <f>IFERROR(B346-B404, "NA")</f>
        <v>0</v>
      </c>
      <c r="C405" s="21" t="str">
        <f>IFERROR(B405/B446, "NA")</f>
        <v>NA</v>
      </c>
      <c r="D405" s="22"/>
      <c r="E405" s="20">
        <f>IFERROR(E346-E404, "NA")</f>
        <v>4597.6</v>
      </c>
      <c r="F405" s="21">
        <f>IFERROR(E405/E446, "NA")</f>
        <v>0.05524684619</v>
      </c>
      <c r="G405" s="22"/>
      <c r="H405" s="20">
        <f>IFERROR(B405-E405, "NA")</f>
        <v>-4597.6</v>
      </c>
      <c r="I405" s="21">
        <f>IFERROR(H405/H446, "NA")</f>
        <v>0.05524684619</v>
      </c>
      <c r="J405" s="22"/>
      <c r="K405" s="20">
        <f>IFERROR(K346-K404, "NA")</f>
        <v>-3571.67</v>
      </c>
      <c r="L405" s="21">
        <f>IFERROR(K405/K446, "NA")</f>
        <v>-0.04683514891</v>
      </c>
      <c r="M405" s="22"/>
      <c r="N405" s="20">
        <f>IFERROR(B405-K405, "NA")</f>
        <v>3571.67</v>
      </c>
      <c r="O405" s="21">
        <f>IFERROR(N405/N446, "NA")</f>
        <v>-0.04683514891</v>
      </c>
      <c r="P405" s="22"/>
      <c r="Q405" s="20">
        <f>IFERROR(Q346-Q404, "NA")</f>
        <v>30006.57</v>
      </c>
      <c r="R405" s="21">
        <f>IFERROR(Q405/Q446, "NA")</f>
        <v>0.05410842892</v>
      </c>
      <c r="S405" s="22"/>
      <c r="T405" s="20">
        <f>IFERROR(T346-T404, "NA")</f>
        <v>51285.94</v>
      </c>
      <c r="U405" s="21">
        <f>IFERROR(T405/T446, "NA")</f>
        <v>0.07093026284</v>
      </c>
      <c r="V405" s="22"/>
      <c r="W405" s="20">
        <f>IFERROR(Q405-T405, "NA")</f>
        <v>-21279.37</v>
      </c>
      <c r="X405" s="21">
        <f>IFERROR(W405/W446, "NA")</f>
        <v>0.126299295</v>
      </c>
      <c r="Y405" s="22"/>
      <c r="Z405" s="20">
        <f>IFERROR(Z346-Z404, "NA")</f>
        <v>-1581.93</v>
      </c>
      <c r="AA405" s="21">
        <f>IFERROR(Z405/Z446, "NA")</f>
        <v>-0.002365692554</v>
      </c>
      <c r="AB405" s="22"/>
      <c r="AC405" s="20">
        <f>IFERROR(Q405-Z405, "NA")</f>
        <v>31588.5</v>
      </c>
      <c r="AD405" s="21">
        <f>IFERROR(AC405/AC446, "NA")</f>
        <v>-0.2767700081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 t="str">
        <f>IFERROR(B408/B446, "NA")</f>
        <v>NA</v>
      </c>
      <c r="D408" s="14"/>
      <c r="E408" s="12">
        <v>4894.49</v>
      </c>
      <c r="F408" s="13">
        <f>IFERROR(E408/E446, "NA")</f>
        <v>0.05881441104</v>
      </c>
      <c r="G408" s="14"/>
      <c r="H408" s="15">
        <f t="shared" ref="H408:H431" si="117">IFERROR(-(B408-E408), "NA")</f>
        <v>4894.49</v>
      </c>
      <c r="I408" s="13">
        <f>IFERROR(H408/H446, "NA")</f>
        <v>-0.05881441104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34145.14</v>
      </c>
      <c r="U408" s="13">
        <f>IFERROR(T408/T446, "NA")</f>
        <v>0.04722393223</v>
      </c>
      <c r="V408" s="14"/>
      <c r="W408" s="15">
        <f t="shared" ref="W408:W431" si="119">IFERROR(-(Q408-T408), "NA")</f>
        <v>34145.14</v>
      </c>
      <c r="X408" s="13">
        <f>IFERROR(W408/W446, "NA")</f>
        <v>-0.2026614091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hidden="1" customHeight="1">
      <c r="A409" s="11" t="s">
        <v>377</v>
      </c>
      <c r="B409" s="12">
        <v>0.0</v>
      </c>
      <c r="C409" s="13" t="str">
        <f>IFERROR(B409/B446, "NA")</f>
        <v>NA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0.0</v>
      </c>
      <c r="R409" s="13">
        <f>IFERROR(Q409/Q446, "NA")</f>
        <v>0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0</v>
      </c>
      <c r="X409" s="13">
        <f>IFERROR(W409/W446, "NA")</f>
        <v>0</v>
      </c>
      <c r="Y409" s="14"/>
      <c r="Z409" s="12">
        <v>0.0</v>
      </c>
      <c r="AA409" s="13">
        <f>IFERROR(Z409/Z446, "NA")</f>
        <v>0</v>
      </c>
      <c r="AB409" s="14"/>
      <c r="AC409" s="15">
        <f t="shared" si="120"/>
        <v>0</v>
      </c>
      <c r="AD409" s="13">
        <f>IFERROR(AC409/AC446, "NA")</f>
        <v>0</v>
      </c>
    </row>
    <row r="410" ht="16.5" hidden="1" customHeight="1">
      <c r="A410" s="11" t="s">
        <v>378</v>
      </c>
      <c r="B410" s="12">
        <v>0.0</v>
      </c>
      <c r="C410" s="13" t="str">
        <f>IFERROR(B410/B446, "NA")</f>
        <v>NA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0.0</v>
      </c>
      <c r="C411" s="13" t="str">
        <f>IFERROR(B411/B446, "NA")</f>
        <v>NA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0</v>
      </c>
      <c r="I411" s="13">
        <f>IFERROR(H411/H446, "NA")</f>
        <v>0</v>
      </c>
      <c r="J411" s="14"/>
      <c r="K411" s="12">
        <v>4766.34</v>
      </c>
      <c r="L411" s="13">
        <f>IFERROR(K411/K446, "NA")</f>
        <v>0.06250080317</v>
      </c>
      <c r="M411" s="14"/>
      <c r="N411" s="15">
        <f t="shared" si="118"/>
        <v>4766.34</v>
      </c>
      <c r="O411" s="13">
        <f>IFERROR(N411/N446, "NA")</f>
        <v>-0.06250080317</v>
      </c>
      <c r="P411" s="14"/>
      <c r="Q411" s="12">
        <v>32078.45</v>
      </c>
      <c r="R411" s="13">
        <f>IFERROR(Q411/Q446, "NA")</f>
        <v>0.05784448311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-32078.45</v>
      </c>
      <c r="X411" s="13">
        <f>IFERROR(W411/W446, "NA")</f>
        <v>0.1903949985</v>
      </c>
      <c r="Y411" s="14"/>
      <c r="Z411" s="12">
        <v>32524.29</v>
      </c>
      <c r="AA411" s="13">
        <f>IFERROR(Z411/Z446, "NA")</f>
        <v>0.04863835359</v>
      </c>
      <c r="AB411" s="14"/>
      <c r="AC411" s="15">
        <f t="shared" si="120"/>
        <v>445.84</v>
      </c>
      <c r="AD411" s="13">
        <f>IFERROR(AC411/AC446, "NA")</f>
        <v>-0.003906331114</v>
      </c>
    </row>
    <row r="412" ht="16.5" hidden="1" customHeight="1">
      <c r="A412" s="11" t="s">
        <v>380</v>
      </c>
      <c r="B412" s="12">
        <v>0.0</v>
      </c>
      <c r="C412" s="13" t="str">
        <f>IFERROR(B412/B446, "NA")</f>
        <v>NA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0</v>
      </c>
      <c r="I412" s="13">
        <f>IFERROR(H412/H446, "NA")</f>
        <v>0</v>
      </c>
      <c r="J412" s="14"/>
      <c r="K412" s="12">
        <v>0.0</v>
      </c>
      <c r="L412" s="13">
        <f>IFERROR(K412/K446, "NA")</f>
        <v>0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0.0</v>
      </c>
      <c r="R412" s="13">
        <f>IFERROR(Q412/Q446, "NA")</f>
        <v>0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0</v>
      </c>
      <c r="X412" s="13">
        <f>IFERROR(W412/W446, "NA")</f>
        <v>0</v>
      </c>
      <c r="Y412" s="14"/>
      <c r="Z412" s="12">
        <v>0.0</v>
      </c>
      <c r="AA412" s="13">
        <f>IFERROR(Z412/Z446, "NA")</f>
        <v>0</v>
      </c>
      <c r="AB412" s="14"/>
      <c r="AC412" s="15">
        <f t="shared" si="120"/>
        <v>0</v>
      </c>
      <c r="AD412" s="13">
        <f>IFERROR(AC412/AC446, "NA")</f>
        <v>0</v>
      </c>
    </row>
    <row r="413" ht="16.5" hidden="1" customHeight="1">
      <c r="A413" s="11" t="s">
        <v>381</v>
      </c>
      <c r="B413" s="12">
        <v>0.0</v>
      </c>
      <c r="C413" s="13" t="str">
        <f>IFERROR(B413/B446, "NA")</f>
        <v>NA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 t="str">
        <f>IFERROR(B414/B446, "NA")</f>
        <v>NA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 t="str">
        <f>IFERROR(B415/B446, "NA")</f>
        <v>NA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 t="str">
        <f>IFERROR(B416/B446, "NA")</f>
        <v>NA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0.0</v>
      </c>
      <c r="C417" s="13" t="str">
        <f>IFERROR(B417/B446, "NA")</f>
        <v>NA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0</v>
      </c>
      <c r="I417" s="13">
        <f>IFERROR(H417/H446, "NA")</f>
        <v>0</v>
      </c>
      <c r="J417" s="14"/>
      <c r="K417" s="12">
        <v>0.0</v>
      </c>
      <c r="L417" s="13">
        <f>IFERROR(K417/K446, "NA")</f>
        <v>0</v>
      </c>
      <c r="M417" s="14"/>
      <c r="N417" s="15">
        <f t="shared" si="118"/>
        <v>0</v>
      </c>
      <c r="O417" s="13">
        <f>IFERROR(N417/N446, "NA")</f>
        <v>0</v>
      </c>
      <c r="P417" s="14"/>
      <c r="Q417" s="12">
        <v>-21.24</v>
      </c>
      <c r="R417" s="13">
        <f>IFERROR(Q417/Q446, "NA")</f>
        <v>-0.00003830037989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21.24</v>
      </c>
      <c r="X417" s="13">
        <f>IFERROR(W417/W446, "NA")</f>
        <v>-0.0001260656225</v>
      </c>
      <c r="Y417" s="14"/>
      <c r="Z417" s="12">
        <v>0.0</v>
      </c>
      <c r="AA417" s="13">
        <f>IFERROR(Z417/Z446, "NA")</f>
        <v>0</v>
      </c>
      <c r="AB417" s="14"/>
      <c r="AC417" s="15">
        <f t="shared" si="120"/>
        <v>21.24</v>
      </c>
      <c r="AD417" s="13">
        <f>IFERROR(AC417/AC446, "NA")</f>
        <v>-0.0001860992124</v>
      </c>
    </row>
    <row r="418" ht="16.5" customHeight="1">
      <c r="A418" s="11" t="s">
        <v>386</v>
      </c>
      <c r="B418" s="12">
        <v>0.0</v>
      </c>
      <c r="C418" s="13" t="str">
        <f>IFERROR(B418/B446, "NA")</f>
        <v>NA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0</v>
      </c>
      <c r="I418" s="13">
        <f>IFERROR(H418/H446, "NA")</f>
        <v>0</v>
      </c>
      <c r="J418" s="14"/>
      <c r="K418" s="12">
        <v>-144.66</v>
      </c>
      <c r="L418" s="13">
        <f>IFERROR(K418/K446, "NA")</f>
        <v>-0.001896920108</v>
      </c>
      <c r="M418" s="14"/>
      <c r="N418" s="15">
        <f t="shared" si="118"/>
        <v>-144.66</v>
      </c>
      <c r="O418" s="13">
        <f>IFERROR(N418/N446, "NA")</f>
        <v>0.001896920108</v>
      </c>
      <c r="P418" s="14"/>
      <c r="Q418" s="12">
        <v>-78.42</v>
      </c>
      <c r="R418" s="13">
        <f>IFERROR(Q418/Q446, "NA")</f>
        <v>-0.0001414084647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78.42</v>
      </c>
      <c r="X418" s="13">
        <f>IFERROR(W418/W446, "NA")</f>
        <v>-0.000465445674</v>
      </c>
      <c r="Y418" s="14"/>
      <c r="Z418" s="12">
        <v>-66.85</v>
      </c>
      <c r="AA418" s="13">
        <f>IFERROR(Z418/Z446, "NA")</f>
        <v>-0.0000999706354</v>
      </c>
      <c r="AB418" s="14"/>
      <c r="AC418" s="15">
        <f t="shared" si="120"/>
        <v>11.57</v>
      </c>
      <c r="AD418" s="13">
        <f>IFERROR(AC418/AC446, "NA")</f>
        <v>-0.0001013732527</v>
      </c>
    </row>
    <row r="419" ht="16.5" hidden="1" customHeight="1">
      <c r="A419" s="11" t="s">
        <v>387</v>
      </c>
      <c r="B419" s="12">
        <v>0.0</v>
      </c>
      <c r="C419" s="13" t="str">
        <f>IFERROR(B419/B446, "NA")</f>
        <v>NA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0.0</v>
      </c>
      <c r="AA419" s="13">
        <f>IFERROR(Z419/Z446, "NA")</f>
        <v>0</v>
      </c>
      <c r="AB419" s="14"/>
      <c r="AC419" s="15">
        <f t="shared" si="120"/>
        <v>0</v>
      </c>
      <c r="AD419" s="13">
        <f>IFERROR(AC419/AC446, "NA")</f>
        <v>0</v>
      </c>
    </row>
    <row r="420" ht="16.5" hidden="1" customHeight="1">
      <c r="A420" s="11" t="s">
        <v>388</v>
      </c>
      <c r="B420" s="12">
        <v>0.0</v>
      </c>
      <c r="C420" s="13" t="str">
        <f>IFERROR(B420/B446, "NA")</f>
        <v>NA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0.0</v>
      </c>
      <c r="AA420" s="13">
        <f>IFERROR(Z420/Z446, "NA")</f>
        <v>0</v>
      </c>
      <c r="AB420" s="14"/>
      <c r="AC420" s="15">
        <f t="shared" si="120"/>
        <v>0</v>
      </c>
      <c r="AD420" s="13">
        <f>IFERROR(AC420/AC446, "NA")</f>
        <v>0</v>
      </c>
    </row>
    <row r="421" ht="16.5" hidden="1" customHeight="1">
      <c r="A421" s="11" t="s">
        <v>389</v>
      </c>
      <c r="B421" s="12">
        <v>0.0</v>
      </c>
      <c r="C421" s="13" t="str">
        <f>IFERROR(B421/B446, "NA")</f>
        <v>NA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hidden="1" customHeight="1">
      <c r="A422" s="11" t="s">
        <v>390</v>
      </c>
      <c r="B422" s="12">
        <v>0.0</v>
      </c>
      <c r="C422" s="13" t="str">
        <f>IFERROR(B422/B446, "NA")</f>
        <v>NA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0</v>
      </c>
      <c r="I422" s="13">
        <f>IFERROR(H422/H446, "NA")</f>
        <v>0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0</v>
      </c>
      <c r="O422" s="13">
        <f>IFERROR(N422/N446, "NA")</f>
        <v>0</v>
      </c>
      <c r="P422" s="14"/>
      <c r="Q422" s="12">
        <v>0.0</v>
      </c>
      <c r="R422" s="13">
        <f>IFERROR(Q422/Q446, "NA")</f>
        <v>0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0</v>
      </c>
      <c r="X422" s="13">
        <f>IFERROR(W422/W446, "NA")</f>
        <v>0</v>
      </c>
      <c r="Y422" s="14"/>
      <c r="Z422" s="12">
        <v>0.0</v>
      </c>
      <c r="AA422" s="13">
        <f>IFERROR(Z422/Z446, "NA")</f>
        <v>0</v>
      </c>
      <c r="AB422" s="14"/>
      <c r="AC422" s="15">
        <f t="shared" si="120"/>
        <v>0</v>
      </c>
      <c r="AD422" s="13">
        <f>IFERROR(AC422/AC446, "NA")</f>
        <v>0</v>
      </c>
    </row>
    <row r="423" ht="16.5" hidden="1" customHeight="1">
      <c r="A423" s="11" t="s">
        <v>391</v>
      </c>
      <c r="B423" s="12">
        <v>0.0</v>
      </c>
      <c r="C423" s="13" t="str">
        <f>IFERROR(B423/B446, "NA")</f>
        <v>NA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0.0</v>
      </c>
      <c r="R423" s="13">
        <f>IFERROR(Q423/Q446, "NA")</f>
        <v>0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0</v>
      </c>
      <c r="X423" s="13">
        <f>IFERROR(W423/W446, "NA")</f>
        <v>0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0</v>
      </c>
      <c r="AD423" s="13">
        <f>IFERROR(AC423/AC446, "NA")</f>
        <v>0</v>
      </c>
    </row>
    <row r="424" ht="16.5" hidden="1" customHeight="1">
      <c r="A424" s="11" t="s">
        <v>392</v>
      </c>
      <c r="B424" s="12">
        <v>0.0</v>
      </c>
      <c r="C424" s="13" t="str">
        <f>IFERROR(B424/B446, "NA")</f>
        <v>NA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0</v>
      </c>
      <c r="I424" s="13">
        <f>IFERROR(H424/H446, "NA")</f>
        <v>0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0</v>
      </c>
      <c r="O424" s="13">
        <f>IFERROR(N424/N446, "NA")</f>
        <v>0</v>
      </c>
      <c r="P424" s="14"/>
      <c r="Q424" s="12">
        <v>0.0</v>
      </c>
      <c r="R424" s="13">
        <f>IFERROR(Q424/Q446, "NA")</f>
        <v>0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0</v>
      </c>
      <c r="X424" s="13">
        <f>IFERROR(W424/W446, "NA")</f>
        <v>0</v>
      </c>
      <c r="Y424" s="14"/>
      <c r="Z424" s="12">
        <v>0.0</v>
      </c>
      <c r="AA424" s="13">
        <f>IFERROR(Z424/Z446, "NA")</f>
        <v>0</v>
      </c>
      <c r="AB424" s="14"/>
      <c r="AC424" s="15">
        <f t="shared" si="120"/>
        <v>0</v>
      </c>
      <c r="AD424" s="13">
        <f>IFERROR(AC424/AC446, "NA")</f>
        <v>0</v>
      </c>
    </row>
    <row r="425" ht="16.5" customHeight="1">
      <c r="A425" s="11" t="s">
        <v>393</v>
      </c>
      <c r="B425" s="12">
        <v>802.7</v>
      </c>
      <c r="C425" s="13" t="str">
        <f>IFERROR(B425/B446, "NA")</f>
        <v>NA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-802.7</v>
      </c>
      <c r="I425" s="13">
        <f>IFERROR(H425/H446, "NA")</f>
        <v>0.009645607151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-802.7</v>
      </c>
      <c r="O425" s="13">
        <f>IFERROR(N425/N446, "NA")</f>
        <v>0.01052576919</v>
      </c>
      <c r="P425" s="14"/>
      <c r="Q425" s="12">
        <v>21015.64</v>
      </c>
      <c r="R425" s="13">
        <f>IFERROR(Q425/Q446, "NA")</f>
        <v>0.03789580959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-21015.64</v>
      </c>
      <c r="X425" s="13">
        <f>IFERROR(W425/W446, "NA")</f>
        <v>0.1247339802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-21015.64</v>
      </c>
      <c r="AD425" s="13">
        <f>IFERROR(AC425/AC446, "NA")</f>
        <v>0.18413343</v>
      </c>
    </row>
    <row r="426" ht="16.5" customHeight="1">
      <c r="A426" s="11" t="s">
        <v>394</v>
      </c>
      <c r="B426" s="12">
        <v>0.0</v>
      </c>
      <c r="C426" s="13" t="str">
        <f>IFERROR(B426/B446, "NA")</f>
        <v>NA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402.48</v>
      </c>
      <c r="R426" s="13">
        <f>IFERROR(Q426/Q446, "NA")</f>
        <v>0.000725759741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-402.48</v>
      </c>
      <c r="X426" s="13">
        <f>IFERROR(W426/W446, "NA")</f>
        <v>0.002388836711</v>
      </c>
      <c r="Y426" s="14"/>
      <c r="Z426" s="12">
        <v>239.6</v>
      </c>
      <c r="AA426" s="13">
        <f>IFERROR(Z426/Z446, "NA")</f>
        <v>0.0003583091136</v>
      </c>
      <c r="AB426" s="14"/>
      <c r="AC426" s="15">
        <f t="shared" si="120"/>
        <v>-162.88</v>
      </c>
      <c r="AD426" s="13">
        <f>IFERROR(AC426/AC446, "NA")</f>
        <v>0.001427111098</v>
      </c>
    </row>
    <row r="427" ht="16.5" customHeight="1">
      <c r="A427" s="11" t="s">
        <v>395</v>
      </c>
      <c r="B427" s="12">
        <v>0.0</v>
      </c>
      <c r="C427" s="13" t="str">
        <f>IFERROR(B427/B446, "NA")</f>
        <v>NA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258306.55</v>
      </c>
      <c r="R427" s="13">
        <f>IFERROR(Q427/Q446, "NA")</f>
        <v>0.4657833801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-258306.55</v>
      </c>
      <c r="X427" s="13">
        <f>IFERROR(W427/W446, "NA")</f>
        <v>1.533125048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-258306.55</v>
      </c>
      <c r="AD427" s="13">
        <f>IFERROR(AC427/AC446, "NA")</f>
        <v>2.263213066</v>
      </c>
    </row>
    <row r="428" ht="16.5" customHeight="1">
      <c r="A428" s="11" t="s">
        <v>396</v>
      </c>
      <c r="B428" s="12">
        <v>-114.06</v>
      </c>
      <c r="C428" s="13" t="str">
        <f>IFERROR(B428/B446, "NA")</f>
        <v>NA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114.06</v>
      </c>
      <c r="I428" s="13">
        <f>IFERROR(H428/H446, "NA")</f>
        <v>-0.001370596676</v>
      </c>
      <c r="J428" s="14"/>
      <c r="K428" s="12">
        <v>-136.47</v>
      </c>
      <c r="L428" s="13">
        <f>IFERROR(K428/K446, "NA")</f>
        <v>-0.001789525004</v>
      </c>
      <c r="M428" s="14"/>
      <c r="N428" s="15">
        <f t="shared" si="118"/>
        <v>-22.41</v>
      </c>
      <c r="O428" s="13">
        <f>IFERROR(N428/N446, "NA")</f>
        <v>0.0002938613274</v>
      </c>
      <c r="P428" s="14"/>
      <c r="Q428" s="12">
        <v>-892.41</v>
      </c>
      <c r="R428" s="13">
        <f>IFERROR(Q428/Q446, "NA")</f>
        <v>-0.001609211018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892.41</v>
      </c>
      <c r="X428" s="13">
        <f>IFERROR(W428/W446, "NA")</f>
        <v>-0.005296714792</v>
      </c>
      <c r="Y428" s="14"/>
      <c r="Z428" s="12">
        <v>-1071.05</v>
      </c>
      <c r="AA428" s="13">
        <f>IFERROR(Z428/Z446, "NA")</f>
        <v>-0.001601698565</v>
      </c>
      <c r="AB428" s="14"/>
      <c r="AC428" s="15">
        <f t="shared" si="120"/>
        <v>-178.64</v>
      </c>
      <c r="AD428" s="13">
        <f>IFERROR(AC428/AC446, "NA")</f>
        <v>0.001565196013</v>
      </c>
    </row>
    <row r="429" ht="16.5" hidden="1" customHeight="1">
      <c r="A429" s="11" t="s">
        <v>397</v>
      </c>
      <c r="B429" s="12">
        <v>0.0</v>
      </c>
      <c r="C429" s="13" t="str">
        <f>IFERROR(B429/B446, "NA")</f>
        <v>NA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688.64</v>
      </c>
      <c r="C430" s="18" t="str">
        <f>IFERROR(B430/B446, "NA")</f>
        <v>NA</v>
      </c>
      <c r="D430" s="8"/>
      <c r="E430" s="17">
        <f>IFERROR(E408+E409+E410+E411+E412+E413+E414+E415+E416+E417+E418+E419+E420+E421+E422+E423+E424+E425+E426+E427+E428+E429, "NA")</f>
        <v>4894.49</v>
      </c>
      <c r="F430" s="18">
        <f>IFERROR(E430/E446, "NA")</f>
        <v>0.05881441104</v>
      </c>
      <c r="G430" s="8"/>
      <c r="H430" s="17">
        <f t="shared" si="117"/>
        <v>4205.85</v>
      </c>
      <c r="I430" s="18">
        <f>IFERROR(H430/H446, "NA")</f>
        <v>-0.05053940057</v>
      </c>
      <c r="J430" s="8"/>
      <c r="K430" s="17">
        <f>IFERROR(K408+K409+K410+K411+K412+K413+K414+K415+K416+K417+K418+K419+K420+K421+K422+K423+K424+K425+K426+K427+K428+K429, "NA")</f>
        <v>4485.21</v>
      </c>
      <c r="L430" s="18">
        <f>IFERROR(K430/K446, "NA")</f>
        <v>0.05881435806</v>
      </c>
      <c r="M430" s="8"/>
      <c r="N430" s="17">
        <f t="shared" si="118"/>
        <v>3796.57</v>
      </c>
      <c r="O430" s="18">
        <f>IFERROR(N430/N446, "NA")</f>
        <v>-0.04978425255</v>
      </c>
      <c r="P430" s="8"/>
      <c r="Q430" s="17">
        <f>IFERROR(Q408+Q409+Q410+Q411+Q412+Q413+Q414+Q415+Q416+Q417+Q418+Q419+Q420+Q421+Q422+Q423+Q424+Q425+Q426+Q427+Q428+Q429, "NA")</f>
        <v>310811.05</v>
      </c>
      <c r="R430" s="18">
        <f>IFERROR(Q430/Q446, "NA")</f>
        <v>0.5604605127</v>
      </c>
      <c r="S430" s="8"/>
      <c r="T430" s="17">
        <f>IFERROR(T408+T409+T410+T411+T412+T413+T414+T415+T416+T417+T418+T419+T420+T421+T422+T423+T424+T425+T426+T427+T428+T429, "NA")</f>
        <v>34145.14</v>
      </c>
      <c r="U430" s="18">
        <f>IFERROR(T430/T446, "NA")</f>
        <v>0.04722393223</v>
      </c>
      <c r="V430" s="8"/>
      <c r="W430" s="17">
        <f t="shared" si="119"/>
        <v>-276665.91</v>
      </c>
      <c r="X430" s="18">
        <f>IFERROR(W430/W446, "NA")</f>
        <v>1.642093228</v>
      </c>
      <c r="Y430" s="8"/>
      <c r="Z430" s="17">
        <f>IFERROR(Z408+Z409+Z410+Z411+Z412+Z413+Z414+Z415+Z416+Z417+Z418+Z419+Z420+Z421+Z422+Z423+Z424+Z425+Z426+Z427+Z428+Z429, "NA")</f>
        <v>31625.99</v>
      </c>
      <c r="AA430" s="18">
        <f>IFERROR(Z430/Z446, "NA")</f>
        <v>0.0472949935</v>
      </c>
      <c r="AB430" s="8"/>
      <c r="AC430" s="17">
        <f t="shared" si="120"/>
        <v>-279185.06</v>
      </c>
      <c r="AD430" s="18">
        <f>IFERROR(AC430/AC446, "NA")</f>
        <v>2.446144999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688.64</v>
      </c>
      <c r="C431" s="18" t="str">
        <f>IFERROR(B431/B446, "NA")</f>
        <v>NA</v>
      </c>
      <c r="D431" s="8"/>
      <c r="E431" s="17">
        <f>IFERROR(E408+E409+E410+E411+E412+E413+E414+E415+E416+E417+E418+E419+E420+E421+E422+E423+E424+E425+E426+E427+E428+E429, "NA")</f>
        <v>4894.49</v>
      </c>
      <c r="F431" s="18">
        <f>IFERROR(E431/E446, "NA")</f>
        <v>0.05881441104</v>
      </c>
      <c r="G431" s="8"/>
      <c r="H431" s="17">
        <f t="shared" si="117"/>
        <v>4205.85</v>
      </c>
      <c r="I431" s="18">
        <f>IFERROR(H431/H446, "NA")</f>
        <v>-0.05053940057</v>
      </c>
      <c r="J431" s="8"/>
      <c r="K431" s="17">
        <f>IFERROR(K408+K409+K410+K411+K412+K413+K414+K415+K416+K417+K418+K419+K420+K421+K422+K423+K424+K425+K426+K427+K428+K429, "NA")</f>
        <v>4485.21</v>
      </c>
      <c r="L431" s="18">
        <f>IFERROR(K431/K446, "NA")</f>
        <v>0.05881435806</v>
      </c>
      <c r="M431" s="8"/>
      <c r="N431" s="17">
        <f t="shared" si="118"/>
        <v>3796.57</v>
      </c>
      <c r="O431" s="18">
        <f>IFERROR(N431/N446, "NA")</f>
        <v>-0.04978425255</v>
      </c>
      <c r="P431" s="8"/>
      <c r="Q431" s="17">
        <f>IFERROR(Q408+Q409+Q410+Q411+Q412+Q413+Q414+Q415+Q416+Q417+Q418+Q419+Q420+Q421+Q422+Q423+Q424+Q425+Q426+Q427+Q428+Q429, "NA")</f>
        <v>310811.05</v>
      </c>
      <c r="R431" s="18">
        <f>IFERROR(Q431/Q446, "NA")</f>
        <v>0.5604605127</v>
      </c>
      <c r="S431" s="8"/>
      <c r="T431" s="17">
        <f>IFERROR(T408+T409+T410+T411+T412+T413+T414+T415+T416+T417+T418+T419+T420+T421+T422+T423+T424+T425+T426+T427+T428+T429, "NA")</f>
        <v>34145.14</v>
      </c>
      <c r="U431" s="18">
        <f>IFERROR(T431/T446, "NA")</f>
        <v>0.04722393223</v>
      </c>
      <c r="V431" s="8"/>
      <c r="W431" s="17">
        <f t="shared" si="119"/>
        <v>-276665.91</v>
      </c>
      <c r="X431" s="18">
        <f>IFERROR(W431/W446, "NA")</f>
        <v>1.642093228</v>
      </c>
      <c r="Y431" s="8"/>
      <c r="Z431" s="17">
        <f>IFERROR(Z408+Z409+Z410+Z411+Z412+Z413+Z414+Z415+Z416+Z417+Z418+Z419+Z420+Z421+Z422+Z423+Z424+Z425+Z426+Z427+Z428+Z429, "NA")</f>
        <v>31625.99</v>
      </c>
      <c r="AA431" s="18">
        <f>IFERROR(Z431/Z446, "NA")</f>
        <v>0.0472949935</v>
      </c>
      <c r="AB431" s="8"/>
      <c r="AC431" s="17">
        <f t="shared" si="120"/>
        <v>-279185.06</v>
      </c>
      <c r="AD431" s="18">
        <f>IFERROR(AC431/AC446, "NA")</f>
        <v>2.446144999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 t="str">
        <f>IFERROR(B434/B446, "NA")</f>
        <v>NA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 t="str">
        <f>IFERROR(B435/B446, "NA")</f>
        <v>NA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 t="str">
        <f>IFERROR(B436/B446, "NA")</f>
        <v>NA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 t="str">
        <f>IFERROR(B437/B446, "NA")</f>
        <v>NA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 t="str">
        <f>IFERROR(B438/B446, "NA")</f>
        <v>NA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 t="str">
        <f>IFERROR(B439/B446, "NA")</f>
        <v>NA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 t="str">
        <f>IFERROR(B440/B446, "NA")</f>
        <v>NA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 t="str">
        <f>IFERROR(B441/B446, "NA")</f>
        <v>NA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 t="str">
        <f>IFERROR(B442/B446, "NA")</f>
        <v>NA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 t="str">
        <f>IFERROR(B443/B446, "NA")</f>
        <v>NA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 t="str">
        <f>IFERROR(B444/B446, "NA")</f>
        <v>NA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-688.64</v>
      </c>
      <c r="C445" s="21" t="str">
        <f>IFERROR(B445/B446, "NA")</f>
        <v>NA</v>
      </c>
      <c r="D445" s="22"/>
      <c r="E445" s="20">
        <f>IFERROR(E405-E431-E444, "NA")</f>
        <v>-296.89</v>
      </c>
      <c r="F445" s="21">
        <f>IFERROR(E445/E446, "NA")</f>
        <v>-0.003567564852</v>
      </c>
      <c r="G445" s="22"/>
      <c r="H445" s="20">
        <f t="shared" ref="H445:H446" si="125">IFERROR(B445-E445, "NA")</f>
        <v>-391.75</v>
      </c>
      <c r="I445" s="21">
        <f>IFERROR(H445/H446, "NA")</f>
        <v>0.004707445623</v>
      </c>
      <c r="J445" s="22"/>
      <c r="K445" s="20">
        <f>IFERROR(K405-K431-K444, "NA")</f>
        <v>-8056.88</v>
      </c>
      <c r="L445" s="21">
        <f>IFERROR(K445/K446, "NA")</f>
        <v>-0.105649507</v>
      </c>
      <c r="M445" s="22"/>
      <c r="N445" s="20">
        <f t="shared" ref="N445:N446" si="126">IFERROR(B445-K445, "NA")</f>
        <v>7368.24</v>
      </c>
      <c r="O445" s="21">
        <f>IFERROR(N445/N446, "NA")</f>
        <v>-0.09661940146</v>
      </c>
      <c r="P445" s="22"/>
      <c r="Q445" s="20">
        <f>IFERROR(Q405-Q431-Q444, "NA")</f>
        <v>-280804.48</v>
      </c>
      <c r="R445" s="21">
        <f>IFERROR(Q445/Q446, "NA")</f>
        <v>-0.5063520837</v>
      </c>
      <c r="S445" s="22"/>
      <c r="T445" s="20">
        <f>IFERROR(T405-T431-T444, "NA")</f>
        <v>17140.8</v>
      </c>
      <c r="U445" s="21">
        <f>IFERROR(T445/T446, "NA")</f>
        <v>0.02370633061</v>
      </c>
      <c r="V445" s="22"/>
      <c r="W445" s="20">
        <f t="shared" ref="W445:W446" si="127">IFERROR(Q445-T445, "NA")</f>
        <v>-297945.28</v>
      </c>
      <c r="X445" s="21">
        <f>IFERROR(W445/W446, "NA")</f>
        <v>1.768392523</v>
      </c>
      <c r="Y445" s="22"/>
      <c r="Z445" s="20">
        <f>IFERROR(Z405-Z431-Z444, "NA")</f>
        <v>-33207.92</v>
      </c>
      <c r="AA445" s="21">
        <f>IFERROR(Z445/Z446, "NA")</f>
        <v>-0.04966068605</v>
      </c>
      <c r="AB445" s="22"/>
      <c r="AC445" s="20">
        <f t="shared" ref="AC445:AC446" si="128">IFERROR(Q445-Z445, "NA")</f>
        <v>-247596.56</v>
      </c>
      <c r="AD445" s="21">
        <f>IFERROR(AC445/AC446, "NA")</f>
        <v>2.169374991</v>
      </c>
    </row>
    <row r="446" ht="14.25" hidden="1" customHeight="1">
      <c r="A446" s="11" t="s">
        <v>120</v>
      </c>
      <c r="B446" s="12">
        <v>0.0</v>
      </c>
      <c r="C446" s="23"/>
      <c r="D446" s="14"/>
      <c r="E446" s="12">
        <v>83219.23</v>
      </c>
      <c r="F446" s="23"/>
      <c r="G446" s="14"/>
      <c r="H446" s="15">
        <f t="shared" si="125"/>
        <v>-83219.23</v>
      </c>
      <c r="I446" s="23"/>
      <c r="J446" s="14"/>
      <c r="K446" s="12">
        <v>76260.46</v>
      </c>
      <c r="L446" s="23"/>
      <c r="M446" s="14"/>
      <c r="N446" s="15">
        <f t="shared" si="126"/>
        <v>-76260.46</v>
      </c>
      <c r="O446" s="23"/>
      <c r="P446" s="14"/>
      <c r="Q446" s="12">
        <v>554563.69</v>
      </c>
      <c r="R446" s="23"/>
      <c r="S446" s="14"/>
      <c r="T446" s="12">
        <v>723047.37</v>
      </c>
      <c r="U446" s="23"/>
      <c r="V446" s="14"/>
      <c r="W446" s="15">
        <f t="shared" si="127"/>
        <v>-168483.68</v>
      </c>
      <c r="X446" s="23"/>
      <c r="Y446" s="14"/>
      <c r="Z446" s="12">
        <v>668696.36</v>
      </c>
      <c r="AA446" s="23"/>
      <c r="AB446" s="14"/>
      <c r="AC446" s="15">
        <f t="shared" si="128"/>
        <v>-114132.67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3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>
        <f>IFERROR(B8/B446, "NA")</f>
        <v>0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>
        <f>IFERROR(B10/B446, "NA")</f>
        <v>0</v>
      </c>
      <c r="D10" s="14"/>
      <c r="E10" s="12">
        <v>48347.66</v>
      </c>
      <c r="F10" s="13">
        <f>IFERROR(E10/E446, "NA")</f>
        <v>0.2799999907</v>
      </c>
      <c r="G10" s="14"/>
      <c r="H10" s="15">
        <f t="shared" ref="H10:H19" si="1">IFERROR(B10-E10, "NA")</f>
        <v>-48347.66</v>
      </c>
      <c r="I10" s="13">
        <f>IFERROR(H10/H446, "NA")</f>
        <v>-2.808740223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432830.36</v>
      </c>
      <c r="U10" s="13">
        <f>IFERROR(T10/T446, "NA")</f>
        <v>0.280000008</v>
      </c>
      <c r="V10" s="14"/>
      <c r="W10" s="15">
        <f t="shared" ref="W10:W19" si="3">IFERROR(Q10-T10, "NA")</f>
        <v>-432830.36</v>
      </c>
      <c r="X10" s="13">
        <f>IFERROR(W10/W446, "NA")</f>
        <v>-24.69661244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46813.58</v>
      </c>
      <c r="C11" s="13">
        <f>IFERROR(B11/B446, "NA")</f>
        <v>0.2465384172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46813.58</v>
      </c>
      <c r="I11" s="13">
        <f>IFERROR(H11/H446, "NA")</f>
        <v>2.719618388</v>
      </c>
      <c r="J11" s="14"/>
      <c r="K11" s="12">
        <v>57319.18</v>
      </c>
      <c r="L11" s="13">
        <f>IFERROR(K11/K446, "NA")</f>
        <v>0.3607548494</v>
      </c>
      <c r="M11" s="14"/>
      <c r="N11" s="15">
        <f t="shared" si="2"/>
        <v>-10505.6</v>
      </c>
      <c r="O11" s="13">
        <f>IFERROR(N11/N446, "NA")</f>
        <v>-0.3389261832</v>
      </c>
      <c r="P11" s="14"/>
      <c r="Q11" s="12">
        <v>374178.58</v>
      </c>
      <c r="R11" s="13">
        <f>IFERROR(Q11/Q446, "NA")</f>
        <v>0.2393443069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374178.58</v>
      </c>
      <c r="X11" s="13">
        <f>IFERROR(W11/W446, "NA")</f>
        <v>21.35003509</v>
      </c>
      <c r="Y11" s="14"/>
      <c r="Z11" s="12">
        <v>396590.76</v>
      </c>
      <c r="AA11" s="13">
        <f>IFERROR(Z11/Z446, "NA")</f>
        <v>0.2772562917</v>
      </c>
      <c r="AB11" s="14"/>
      <c r="AC11" s="15">
        <f t="shared" si="4"/>
        <v>-22412.18</v>
      </c>
      <c r="AD11" s="13">
        <f>IFERROR(AC11/AC446, "NA")</f>
        <v>-0.1685931887</v>
      </c>
    </row>
    <row r="12" ht="16.5" customHeight="1">
      <c r="A12" s="11" t="s">
        <v>17</v>
      </c>
      <c r="B12" s="12">
        <v>5400.85</v>
      </c>
      <c r="C12" s="13">
        <f>IFERROR(B12/B446, "NA")</f>
        <v>0.02844296485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5400.85</v>
      </c>
      <c r="I12" s="13">
        <f>IFERROR(H12/H446, "NA")</f>
        <v>0.3137604723</v>
      </c>
      <c r="J12" s="14"/>
      <c r="K12" s="12">
        <v>5609.9</v>
      </c>
      <c r="L12" s="13">
        <f>IFERROR(K12/K446, "NA")</f>
        <v>0.03530752934</v>
      </c>
      <c r="M12" s="14"/>
      <c r="N12" s="15">
        <f t="shared" si="2"/>
        <v>-209.05</v>
      </c>
      <c r="O12" s="13">
        <f>IFERROR(N12/N446, "NA")</f>
        <v>-0.006744261974</v>
      </c>
      <c r="P12" s="14"/>
      <c r="Q12" s="12">
        <v>41823.95</v>
      </c>
      <c r="R12" s="13">
        <f>IFERROR(Q12/Q446, "NA")</f>
        <v>0.02675279896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41823.95</v>
      </c>
      <c r="X12" s="13">
        <f>IFERROR(W12/W446, "NA")</f>
        <v>2.386408116</v>
      </c>
      <c r="Y12" s="14"/>
      <c r="Z12" s="12">
        <v>38691.84</v>
      </c>
      <c r="AA12" s="13">
        <f>IFERROR(Z12/Z446, "NA")</f>
        <v>0.02704943524</v>
      </c>
      <c r="AB12" s="14"/>
      <c r="AC12" s="15">
        <f t="shared" si="4"/>
        <v>3132.11</v>
      </c>
      <c r="AD12" s="13">
        <f>IFERROR(AC12/AC446, "NA")</f>
        <v>0.02356095713</v>
      </c>
    </row>
    <row r="13" ht="16.5" customHeight="1">
      <c r="A13" s="11" t="s">
        <v>18</v>
      </c>
      <c r="B13" s="12">
        <v>149.5</v>
      </c>
      <c r="C13" s="13">
        <f>IFERROR(B13/B446, "NA")</f>
        <v>0.0007873248183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149.5</v>
      </c>
      <c r="I13" s="13">
        <f>IFERROR(H13/H446, "NA")</f>
        <v>0.008685149672</v>
      </c>
      <c r="J13" s="14"/>
      <c r="K13" s="12">
        <v>350.5</v>
      </c>
      <c r="L13" s="13">
        <f>IFERROR(K13/K446, "NA")</f>
        <v>0.002205973196</v>
      </c>
      <c r="M13" s="14"/>
      <c r="N13" s="15">
        <f t="shared" si="2"/>
        <v>-201</v>
      </c>
      <c r="O13" s="13">
        <f>IFERROR(N13/N446, "NA")</f>
        <v>-0.006484557076</v>
      </c>
      <c r="P13" s="14"/>
      <c r="Q13" s="12">
        <v>1282.5</v>
      </c>
      <c r="R13" s="13">
        <f>IFERROR(Q13/Q446, "NA")</f>
        <v>0.000820354478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1282.5</v>
      </c>
      <c r="X13" s="13">
        <f>IFERROR(W13/W446, "NA")</f>
        <v>0.07317741172</v>
      </c>
      <c r="Y13" s="14"/>
      <c r="Z13" s="12">
        <v>2659.5</v>
      </c>
      <c r="AA13" s="13">
        <f>IFERROR(Z13/Z446, "NA")</f>
        <v>0.00185925438</v>
      </c>
      <c r="AB13" s="14"/>
      <c r="AC13" s="15">
        <f t="shared" si="4"/>
        <v>-1377</v>
      </c>
      <c r="AD13" s="13">
        <f>IFERROR(AC13/AC446, "NA")</f>
        <v>-0.01035833287</v>
      </c>
    </row>
    <row r="14" ht="16.5" customHeight="1">
      <c r="A14" s="11" t="s">
        <v>19</v>
      </c>
      <c r="B14" s="12">
        <v>10.0</v>
      </c>
      <c r="C14" s="13">
        <f>IFERROR(B14/B446, "NA")</f>
        <v>0.00005266386744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10</v>
      </c>
      <c r="I14" s="13">
        <f>IFERROR(H14/H446, "NA")</f>
        <v>0.0005809464664</v>
      </c>
      <c r="J14" s="14"/>
      <c r="K14" s="12">
        <v>160.0</v>
      </c>
      <c r="L14" s="13">
        <f>IFERROR(K14/K446, "NA")</f>
        <v>0.001007006309</v>
      </c>
      <c r="M14" s="14"/>
      <c r="N14" s="15">
        <f t="shared" si="2"/>
        <v>-150</v>
      </c>
      <c r="O14" s="13">
        <f>IFERROR(N14/N446, "NA")</f>
        <v>-0.004839221698</v>
      </c>
      <c r="P14" s="14"/>
      <c r="Q14" s="12">
        <v>230.0</v>
      </c>
      <c r="R14" s="13">
        <f>IFERROR(Q14/Q446, "NA")</f>
        <v>0.0001471201013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230</v>
      </c>
      <c r="X14" s="13">
        <f>IFERROR(W14/W446, "NA")</f>
        <v>0.01312343446</v>
      </c>
      <c r="Y14" s="14"/>
      <c r="Z14" s="12">
        <v>3015.0</v>
      </c>
      <c r="AA14" s="13">
        <f>IFERROR(Z14/Z446, "NA")</f>
        <v>0.002107784154</v>
      </c>
      <c r="AB14" s="14"/>
      <c r="AC14" s="15">
        <f t="shared" si="4"/>
        <v>-2785</v>
      </c>
      <c r="AD14" s="13">
        <f>IFERROR(AC14/AC446, "NA")</f>
        <v>-0.02094985988</v>
      </c>
    </row>
    <row r="15" ht="16.5" customHeight="1">
      <c r="A15" s="11" t="s">
        <v>20</v>
      </c>
      <c r="B15" s="12">
        <v>106.0</v>
      </c>
      <c r="C15" s="13">
        <f>IFERROR(B15/B446, "NA")</f>
        <v>0.0005582369949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106</v>
      </c>
      <c r="I15" s="13">
        <f>IFERROR(H15/H446, "NA")</f>
        <v>0.006158032543</v>
      </c>
      <c r="J15" s="14"/>
      <c r="K15" s="12">
        <v>36.0</v>
      </c>
      <c r="L15" s="13">
        <f>IFERROR(K15/K446, "NA")</f>
        <v>0.0002265764196</v>
      </c>
      <c r="M15" s="14"/>
      <c r="N15" s="15">
        <f t="shared" si="2"/>
        <v>70</v>
      </c>
      <c r="O15" s="13">
        <f>IFERROR(N15/N446, "NA")</f>
        <v>0.002258303459</v>
      </c>
      <c r="P15" s="14"/>
      <c r="Q15" s="12">
        <v>439.0</v>
      </c>
      <c r="R15" s="13">
        <f>IFERROR(Q15/Q446, "NA")</f>
        <v>0.0002808074977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439</v>
      </c>
      <c r="X15" s="13">
        <f>IFERROR(W15/W446, "NA")</f>
        <v>0.0250486423</v>
      </c>
      <c r="Y15" s="14"/>
      <c r="Z15" s="12">
        <v>712.0</v>
      </c>
      <c r="AA15" s="13">
        <f>IFERROR(Z15/Z446, "NA")</f>
        <v>0.0004977586459</v>
      </c>
      <c r="AB15" s="14"/>
      <c r="AC15" s="15">
        <f t="shared" si="4"/>
        <v>-273</v>
      </c>
      <c r="AD15" s="13">
        <f>IFERROR(AC15/AC446, "NA")</f>
        <v>-0.002053612835</v>
      </c>
    </row>
    <row r="16" ht="16.5" customHeight="1">
      <c r="A16" s="11" t="s">
        <v>21</v>
      </c>
      <c r="B16" s="12">
        <v>0.0</v>
      </c>
      <c r="C16" s="13">
        <f>IFERROR(B16/B446, "NA")</f>
        <v>0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</v>
      </c>
      <c r="I16" s="13">
        <f>IFERROR(H16/H446, "NA")</f>
        <v>0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</v>
      </c>
      <c r="O16" s="13">
        <f>IFERROR(N16/N446, "NA")</f>
        <v>0</v>
      </c>
      <c r="P16" s="14"/>
      <c r="Q16" s="12">
        <v>0.49</v>
      </c>
      <c r="R16" s="13">
        <f>IFERROR(Q16/Q446, "NA")</f>
        <v>0.0000003134297811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0.49</v>
      </c>
      <c r="X16" s="13">
        <f>IFERROR(W16/W446, "NA")</f>
        <v>0.00002795862124</v>
      </c>
      <c r="Y16" s="14"/>
      <c r="Z16" s="12">
        <v>0.6</v>
      </c>
      <c r="AA16" s="13">
        <f>IFERROR(Z16/Z446, "NA")</f>
        <v>0.0000004194595331</v>
      </c>
      <c r="AB16" s="14"/>
      <c r="AC16" s="15">
        <f t="shared" si="4"/>
        <v>-0.11</v>
      </c>
      <c r="AD16" s="13">
        <f>IFERROR(AC16/AC446, "NA")</f>
        <v>-0.0000008274630472</v>
      </c>
    </row>
    <row r="17" ht="16.5" hidden="1" customHeight="1">
      <c r="A17" s="11" t="s">
        <v>22</v>
      </c>
      <c r="B17" s="12">
        <v>0.0</v>
      </c>
      <c r="C17" s="13">
        <f>IFERROR(B17/B446, "NA")</f>
        <v>0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52479.93</v>
      </c>
      <c r="C18" s="18">
        <f>IFERROR(B18/B446, "NA")</f>
        <v>0.2763796077</v>
      </c>
      <c r="D18" s="8"/>
      <c r="E18" s="17">
        <f>IFERROR(E10+E11+E12+E13+E14+E15+E16+E17, "NA")</f>
        <v>48347.66</v>
      </c>
      <c r="F18" s="18">
        <f>IFERROR(E18/E446, "NA")</f>
        <v>0.2799999907</v>
      </c>
      <c r="G18" s="8"/>
      <c r="H18" s="17">
        <f t="shared" si="1"/>
        <v>4132.27</v>
      </c>
      <c r="I18" s="18">
        <f>IFERROR(H18/H446, "NA")</f>
        <v>0.2400627655</v>
      </c>
      <c r="J18" s="8"/>
      <c r="K18" s="17">
        <f>IFERROR(K10+K11+K12+K13+K14+K15+K16+K17, "NA")</f>
        <v>63475.58</v>
      </c>
      <c r="L18" s="18">
        <f>IFERROR(K18/K446, "NA")</f>
        <v>0.3995019347</v>
      </c>
      <c r="M18" s="8"/>
      <c r="N18" s="17">
        <f t="shared" si="2"/>
        <v>-10995.65</v>
      </c>
      <c r="O18" s="18">
        <f>IFERROR(N18/N446, "NA")</f>
        <v>-0.3547359204</v>
      </c>
      <c r="P18" s="8"/>
      <c r="Q18" s="17">
        <f>IFERROR(Q10+Q11+Q12+Q13+Q14+Q15+Q16+Q17, "NA")</f>
        <v>417954.52</v>
      </c>
      <c r="R18" s="18">
        <f>IFERROR(Q18/Q446, "NA")</f>
        <v>0.2673457014</v>
      </c>
      <c r="S18" s="8"/>
      <c r="T18" s="17">
        <f>IFERROR(T10+T11+T12+T13+T14+T15+T16+T17, "NA")</f>
        <v>432830.36</v>
      </c>
      <c r="U18" s="18">
        <f>IFERROR(T18/T446, "NA")</f>
        <v>0.280000008</v>
      </c>
      <c r="V18" s="8"/>
      <c r="W18" s="17">
        <f t="shared" si="3"/>
        <v>-14875.84</v>
      </c>
      <c r="X18" s="18">
        <f>IFERROR(W18/W446, "NA")</f>
        <v>-0.8487917882</v>
      </c>
      <c r="Y18" s="8"/>
      <c r="Z18" s="17">
        <f>IFERROR(Z10+Z11+Z12+Z13+Z14+Z15+Z16+Z17, "NA")</f>
        <v>441669.7</v>
      </c>
      <c r="AA18" s="18">
        <f>IFERROR(Z18/Z446, "NA")</f>
        <v>0.3087709436</v>
      </c>
      <c r="AB18" s="8"/>
      <c r="AC18" s="17">
        <f t="shared" si="4"/>
        <v>-23715.18</v>
      </c>
      <c r="AD18" s="18">
        <f>IFERROR(AC18/AC446, "NA")</f>
        <v>-0.1783948646</v>
      </c>
    </row>
    <row r="19" ht="16.5" hidden="1" customHeight="1">
      <c r="A19" s="11" t="s">
        <v>24</v>
      </c>
      <c r="B19" s="12">
        <v>0.0</v>
      </c>
      <c r="C19" s="13">
        <f>IFERROR(B19/B446, "NA")</f>
        <v>0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>
        <f>IFERROR(B21/B446, "NA")</f>
        <v>0</v>
      </c>
      <c r="D21" s="14"/>
      <c r="E21" s="12">
        <v>14331.63</v>
      </c>
      <c r="F21" s="13">
        <f>IFERROR(E21/E446, "NA")</f>
        <v>0.08300001008</v>
      </c>
      <c r="G21" s="14"/>
      <c r="H21" s="15">
        <f t="shared" ref="H21:H29" si="5">IFERROR(B21-E21, "NA")</f>
        <v>-14331.63</v>
      </c>
      <c r="I21" s="13">
        <f>IFERROR(H21/H446, "NA")</f>
        <v>-0.8325909806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128303.29</v>
      </c>
      <c r="U21" s="13">
        <f>IFERROR(T21/T446, "NA")</f>
        <v>0.08300000543</v>
      </c>
      <c r="V21" s="14"/>
      <c r="W21" s="15">
        <f t="shared" ref="W21:W29" si="7">IFERROR(Q21-T21, "NA")</f>
        <v>-128303.29</v>
      </c>
      <c r="X21" s="13">
        <f>IFERROR(W21/W446, "NA")</f>
        <v>-7.320781814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>
        <f>IFERROR(B22/B446, "NA")</f>
        <v>0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8395.65</v>
      </c>
      <c r="L22" s="13">
        <f>IFERROR(K22/K446, "NA")</f>
        <v>0.05284045326</v>
      </c>
      <c r="M22" s="14"/>
      <c r="N22" s="15">
        <f t="shared" si="6"/>
        <v>-8395.65</v>
      </c>
      <c r="O22" s="13">
        <f>IFERROR(N22/N446, "NA")</f>
        <v>-0.2708560777</v>
      </c>
      <c r="P22" s="14"/>
      <c r="Q22" s="12">
        <v>4179.45</v>
      </c>
      <c r="R22" s="13">
        <f>IFERROR(Q22/Q446, "NA")</f>
        <v>0.002673396119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4179.45</v>
      </c>
      <c r="X22" s="13">
        <f>IFERROR(W22/W446, "NA")</f>
        <v>0.2384727746</v>
      </c>
      <c r="Y22" s="14"/>
      <c r="Z22" s="12">
        <v>63979.4</v>
      </c>
      <c r="AA22" s="13">
        <f>IFERROR(Z22/Z446, "NA")</f>
        <v>0.04472794875</v>
      </c>
      <c r="AB22" s="14"/>
      <c r="AC22" s="15">
        <f t="shared" si="8"/>
        <v>-59799.95</v>
      </c>
      <c r="AD22" s="13">
        <f>IFERROR(AC22/AC446, "NA")</f>
        <v>-0.4498386259</v>
      </c>
    </row>
    <row r="23" ht="16.5" customHeight="1">
      <c r="A23" s="11" t="s">
        <v>27</v>
      </c>
      <c r="B23" s="12">
        <v>9860.43</v>
      </c>
      <c r="C23" s="13">
        <f>IFERROR(B23/B446, "NA")</f>
        <v>0.05192883784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9860.43</v>
      </c>
      <c r="I23" s="13">
        <f>IFERROR(H23/H446, "NA")</f>
        <v>0.5728381965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9860.43</v>
      </c>
      <c r="O23" s="13">
        <f>IFERROR(N23/N446, "NA")</f>
        <v>0.3181120454</v>
      </c>
      <c r="P23" s="14"/>
      <c r="Q23" s="12">
        <v>60147.18</v>
      </c>
      <c r="R23" s="13">
        <f>IFERROR(Q23/Q446, "NA")</f>
        <v>0.03847330094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60147.18</v>
      </c>
      <c r="X23" s="13">
        <f>IFERROR(W23/W446, "NA")</f>
        <v>3.431902499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60147.18</v>
      </c>
      <c r="AD23" s="13">
        <f>IFERROR(AC23/AC446, "NA")</f>
        <v>0.4524506258</v>
      </c>
    </row>
    <row r="24" ht="16.5" customHeight="1">
      <c r="A24" s="11" t="s">
        <v>28</v>
      </c>
      <c r="B24" s="12">
        <v>1270.8</v>
      </c>
      <c r="C24" s="13">
        <f>IFERROR(B24/B446, "NA")</f>
        <v>0.006692524274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1270.8</v>
      </c>
      <c r="I24" s="13">
        <f>IFERROR(H24/H446, "NA")</f>
        <v>0.07382667695</v>
      </c>
      <c r="J24" s="14"/>
      <c r="K24" s="12">
        <v>927.96</v>
      </c>
      <c r="L24" s="13">
        <f>IFERROR(K24/K446, "NA")</f>
        <v>0.005840384843</v>
      </c>
      <c r="M24" s="14"/>
      <c r="N24" s="15">
        <f t="shared" si="6"/>
        <v>342.84</v>
      </c>
      <c r="O24" s="13">
        <f>IFERROR(N24/N446, "NA")</f>
        <v>0.01106052511</v>
      </c>
      <c r="P24" s="14"/>
      <c r="Q24" s="12">
        <v>10429.61</v>
      </c>
      <c r="R24" s="13">
        <f>IFERROR(Q24/Q446, "NA")</f>
        <v>0.006671327304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10429.61</v>
      </c>
      <c r="X24" s="13">
        <f>IFERROR(W24/W446, "NA")</f>
        <v>0.5950969708</v>
      </c>
      <c r="Y24" s="14"/>
      <c r="Z24" s="12">
        <v>13093.31</v>
      </c>
      <c r="AA24" s="13">
        <f>IFERROR(Z24/Z446, "NA")</f>
        <v>0.009153522832</v>
      </c>
      <c r="AB24" s="14"/>
      <c r="AC24" s="15">
        <f t="shared" si="8"/>
        <v>-2663.7</v>
      </c>
      <c r="AD24" s="13">
        <f>IFERROR(AC24/AC446, "NA")</f>
        <v>-0.02003739381</v>
      </c>
    </row>
    <row r="25" ht="16.5" customHeight="1">
      <c r="A25" s="11" t="s">
        <v>29</v>
      </c>
      <c r="B25" s="12">
        <v>148.55</v>
      </c>
      <c r="C25" s="13">
        <f>IFERROR(B25/B446, "NA")</f>
        <v>0.0007823217508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148.55</v>
      </c>
      <c r="I25" s="13">
        <f>IFERROR(H25/H446, "NA")</f>
        <v>0.008629959758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148.55</v>
      </c>
      <c r="O25" s="13">
        <f>IFERROR(N25/N446, "NA")</f>
        <v>0.004792442555</v>
      </c>
      <c r="P25" s="14"/>
      <c r="Q25" s="12">
        <v>2093.33</v>
      </c>
      <c r="R25" s="13">
        <f>IFERROR(Q25/Q446, "NA")</f>
        <v>0.001339004007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2093.33</v>
      </c>
      <c r="X25" s="13">
        <f>IFERROR(W25/W446, "NA")</f>
        <v>0.1194420829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2093.33</v>
      </c>
      <c r="AD25" s="13">
        <f>IFERROR(AC25/AC446, "NA")</f>
        <v>0.01574684746</v>
      </c>
    </row>
    <row r="26" ht="16.5" customHeight="1">
      <c r="A26" s="11" t="s">
        <v>30</v>
      </c>
      <c r="B26" s="12">
        <v>2838.44</v>
      </c>
      <c r="C26" s="13">
        <f>IFERROR(B26/B446, "NA")</f>
        <v>0.01494832279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2838.44</v>
      </c>
      <c r="I26" s="13">
        <f>IFERROR(H26/H446, "NA")</f>
        <v>0.1648981688</v>
      </c>
      <c r="J26" s="14"/>
      <c r="K26" s="12">
        <v>635.2</v>
      </c>
      <c r="L26" s="13">
        <f>IFERROR(K26/K446, "NA")</f>
        <v>0.003997815048</v>
      </c>
      <c r="M26" s="14"/>
      <c r="N26" s="15">
        <f t="shared" si="6"/>
        <v>2203.24</v>
      </c>
      <c r="O26" s="13">
        <f>IFERROR(N26/N446, "NA")</f>
        <v>0.07107977876</v>
      </c>
      <c r="P26" s="14"/>
      <c r="Q26" s="12">
        <v>29204.99</v>
      </c>
      <c r="R26" s="13">
        <f>IFERROR(Q26/Q446, "NA")</f>
        <v>0.01868104821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29204.99</v>
      </c>
      <c r="X26" s="13">
        <f>IFERROR(W26/W446, "NA")</f>
        <v>1.666390314</v>
      </c>
      <c r="Y26" s="14"/>
      <c r="Z26" s="12">
        <v>17896.89</v>
      </c>
      <c r="AA26" s="13">
        <f>IFERROR(Z26/Z446, "NA")</f>
        <v>0.01251170187</v>
      </c>
      <c r="AB26" s="14"/>
      <c r="AC26" s="15">
        <f t="shared" si="8"/>
        <v>11308.1</v>
      </c>
      <c r="AD26" s="13">
        <f>IFERROR(AC26/AC446, "NA")</f>
        <v>0.08506395349</v>
      </c>
    </row>
    <row r="27" ht="16.5" hidden="1" customHeight="1">
      <c r="A27" s="11" t="s">
        <v>31</v>
      </c>
      <c r="B27" s="12">
        <v>0.0</v>
      </c>
      <c r="C27" s="13">
        <f>IFERROR(B27/B446, "NA")</f>
        <v>0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886.52</v>
      </c>
      <c r="C28" s="13">
        <f>IFERROR(B28/B446, "NA")</f>
        <v>0.004668757176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886.52</v>
      </c>
      <c r="I28" s="13">
        <f>IFERROR(H28/H446, "NA")</f>
        <v>0.05150206614</v>
      </c>
      <c r="J28" s="14"/>
      <c r="K28" s="12">
        <v>898.5</v>
      </c>
      <c r="L28" s="13">
        <f>IFERROR(K28/K446, "NA")</f>
        <v>0.005654969806</v>
      </c>
      <c r="M28" s="14"/>
      <c r="N28" s="15">
        <f t="shared" si="6"/>
        <v>-11.98</v>
      </c>
      <c r="O28" s="13">
        <f>IFERROR(N28/N446, "NA")</f>
        <v>-0.0003864925063</v>
      </c>
      <c r="P28" s="14"/>
      <c r="Q28" s="12">
        <v>7014.29</v>
      </c>
      <c r="R28" s="13">
        <f>IFERROR(Q28/Q446, "NA")</f>
        <v>0.004486708937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7014.29</v>
      </c>
      <c r="X28" s="13">
        <f>IFERROR(W28/W446, "NA")</f>
        <v>0.4002242396</v>
      </c>
      <c r="Y28" s="14"/>
      <c r="Z28" s="12">
        <v>6606.97</v>
      </c>
      <c r="AA28" s="13">
        <f>IFERROR(Z28/Z446, "NA")</f>
        <v>0.004618927586</v>
      </c>
      <c r="AB28" s="14"/>
      <c r="AC28" s="15">
        <f t="shared" si="8"/>
        <v>407.32</v>
      </c>
      <c r="AD28" s="13">
        <f>IFERROR(AC28/AC446, "NA")</f>
        <v>0.00306402044</v>
      </c>
    </row>
    <row r="29" ht="16.5" customHeight="1">
      <c r="A29" s="16" t="s">
        <v>33</v>
      </c>
      <c r="B29" s="17">
        <f>IFERROR(B21+B22+B23+B24+B25+B26+B27+B28, "NA")</f>
        <v>15004.74</v>
      </c>
      <c r="C29" s="18">
        <f>IFERROR(B29/B446, "NA")</f>
        <v>0.07902076384</v>
      </c>
      <c r="D29" s="8"/>
      <c r="E29" s="17">
        <f>IFERROR(E21+E22+E23+E24+E25+E26+E27+E28, "NA")</f>
        <v>14331.63</v>
      </c>
      <c r="F29" s="18">
        <f>IFERROR(E29/E446, "NA")</f>
        <v>0.08300001008</v>
      </c>
      <c r="G29" s="8"/>
      <c r="H29" s="17">
        <f t="shared" si="5"/>
        <v>673.11</v>
      </c>
      <c r="I29" s="18">
        <f>IFERROR(H29/H446, "NA")</f>
        <v>0.0391040876</v>
      </c>
      <c r="J29" s="8"/>
      <c r="K29" s="17">
        <f>IFERROR(K21+K22+K23+K24+K25+K26+K27+K28, "NA")</f>
        <v>10857.31</v>
      </c>
      <c r="L29" s="18">
        <f>IFERROR(K29/K446, "NA")</f>
        <v>0.06833362295</v>
      </c>
      <c r="M29" s="8"/>
      <c r="N29" s="17">
        <f t="shared" si="6"/>
        <v>4147.43</v>
      </c>
      <c r="O29" s="18">
        <f>IFERROR(N29/N446, "NA")</f>
        <v>0.1338022217</v>
      </c>
      <c r="P29" s="8"/>
      <c r="Q29" s="17">
        <f>IFERROR(Q21+Q22+Q23+Q24+Q25+Q26+Q27+Q28, "NA")</f>
        <v>113068.85</v>
      </c>
      <c r="R29" s="18">
        <f>IFERROR(Q29/Q446, "NA")</f>
        <v>0.07232478551</v>
      </c>
      <c r="S29" s="8"/>
      <c r="T29" s="17">
        <f>IFERROR(T21+T22+T23+T24+T25+T26+T27+T28, "NA")</f>
        <v>128303.29</v>
      </c>
      <c r="U29" s="18">
        <f>IFERROR(T29/T446, "NA")</f>
        <v>0.08300000543</v>
      </c>
      <c r="V29" s="8"/>
      <c r="W29" s="17">
        <f t="shared" si="7"/>
        <v>-15234.44</v>
      </c>
      <c r="X29" s="18">
        <f>IFERROR(W29/W446, "NA")</f>
        <v>-0.8692529342</v>
      </c>
      <c r="Y29" s="8"/>
      <c r="Z29" s="17">
        <f>IFERROR(Z21+Z22+Z23+Z24+Z25+Z26+Z27+Z28, "NA")</f>
        <v>101576.57</v>
      </c>
      <c r="AA29" s="18">
        <f>IFERROR(Z29/Z446, "NA")</f>
        <v>0.07101210104</v>
      </c>
      <c r="AB29" s="8"/>
      <c r="AC29" s="17">
        <f t="shared" si="8"/>
        <v>11492.28</v>
      </c>
      <c r="AD29" s="18">
        <f>IFERROR(AC29/AC446, "NA")</f>
        <v>0.08644942753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>
        <f>IFERROR(B31/B446, "NA")</f>
        <v>0</v>
      </c>
      <c r="D31" s="14"/>
      <c r="E31" s="12">
        <v>38332.79</v>
      </c>
      <c r="F31" s="13">
        <f>IFERROR(E31/E446, "NA")</f>
        <v>0.2220000067</v>
      </c>
      <c r="G31" s="14"/>
      <c r="H31" s="15">
        <f t="shared" ref="H31:H40" si="9">IFERROR(B31-E31, "NA")</f>
        <v>-38332.79</v>
      </c>
      <c r="I31" s="13">
        <f>IFERROR(H31/H446, "NA")</f>
        <v>-2.22692989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343172.63</v>
      </c>
      <c r="U31" s="13">
        <f>IFERROR(T31/T446, "NA")</f>
        <v>0.2219999982</v>
      </c>
      <c r="V31" s="14"/>
      <c r="W31" s="15">
        <f t="shared" ref="W31:W40" si="11">IFERROR(Q31-T31, "NA")</f>
        <v>-343172.63</v>
      </c>
      <c r="X31" s="13">
        <f>IFERROR(W31/W446, "NA")</f>
        <v>-19.58088486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>
        <f>IFERROR(B32/B446, "NA")</f>
        <v>0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18852.48</v>
      </c>
      <c r="C33" s="13">
        <f>IFERROR(B33/B446, "NA")</f>
        <v>0.09928445077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18852.48</v>
      </c>
      <c r="I33" s="13">
        <f>IFERROR(H33/H446, "NA")</f>
        <v>1.095228164</v>
      </c>
      <c r="J33" s="14"/>
      <c r="K33" s="12">
        <v>12131.43</v>
      </c>
      <c r="L33" s="13">
        <f>IFERROR(K33/K446, "NA")</f>
        <v>0.07635266595</v>
      </c>
      <c r="M33" s="14"/>
      <c r="N33" s="15">
        <f t="shared" si="10"/>
        <v>6721.05</v>
      </c>
      <c r="O33" s="13">
        <f>IFERROR(N33/N446, "NA")</f>
        <v>0.2168310066</v>
      </c>
      <c r="P33" s="14"/>
      <c r="Q33" s="12">
        <v>163661.03</v>
      </c>
      <c r="R33" s="13">
        <f>IFERROR(Q33/Q446, "NA")</f>
        <v>0.1046862057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163661.03</v>
      </c>
      <c r="X33" s="13">
        <f>IFERROR(W33/W446, "NA")</f>
        <v>9.338238265</v>
      </c>
      <c r="Y33" s="14"/>
      <c r="Z33" s="12">
        <v>156954.89</v>
      </c>
      <c r="AA33" s="13">
        <f>IFERROR(Z33/Z446, "NA")</f>
        <v>0.1097270415</v>
      </c>
      <c r="AB33" s="14"/>
      <c r="AC33" s="15">
        <f t="shared" si="12"/>
        <v>6706.14</v>
      </c>
      <c r="AD33" s="13">
        <f>IFERROR(AC33/AC446, "NA")</f>
        <v>0.05044620945</v>
      </c>
    </row>
    <row r="34" ht="16.5" hidden="1" customHeight="1">
      <c r="A34" s="11" t="s">
        <v>37</v>
      </c>
      <c r="B34" s="12">
        <v>0.0</v>
      </c>
      <c r="C34" s="13">
        <f>IFERROR(B34/B446, "NA")</f>
        <v>0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1658.98</v>
      </c>
      <c r="C35" s="13">
        <f>IFERROR(B35/B446, "NA")</f>
        <v>0.008736830281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1658.98</v>
      </c>
      <c r="I35" s="13">
        <f>IFERROR(H35/H446, "NA")</f>
        <v>0.09637785688</v>
      </c>
      <c r="J35" s="14"/>
      <c r="K35" s="12">
        <v>1281.3</v>
      </c>
      <c r="L35" s="13">
        <f>IFERROR(K35/K446, "NA")</f>
        <v>0.008064232401</v>
      </c>
      <c r="M35" s="14"/>
      <c r="N35" s="15">
        <f t="shared" si="10"/>
        <v>377.68</v>
      </c>
      <c r="O35" s="13">
        <f>IFERROR(N35/N446, "NA")</f>
        <v>0.01218451501</v>
      </c>
      <c r="P35" s="14"/>
      <c r="Q35" s="12">
        <v>9921.97</v>
      </c>
      <c r="R35" s="13">
        <f>IFERROR(Q35/Q446, "NA")</f>
        <v>0.00634661405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9921.97</v>
      </c>
      <c r="X35" s="13">
        <f>IFERROR(W35/W446, "NA")</f>
        <v>0.5661318392</v>
      </c>
      <c r="Y35" s="14"/>
      <c r="Z35" s="12">
        <v>17122.82</v>
      </c>
      <c r="AA35" s="13">
        <f>IFERROR(Z35/Z446, "NA")</f>
        <v>0.01197055014</v>
      </c>
      <c r="AB35" s="14"/>
      <c r="AC35" s="15">
        <f t="shared" si="12"/>
        <v>-7200.85</v>
      </c>
      <c r="AD35" s="13">
        <f>IFERROR(AC35/AC446, "NA")</f>
        <v>-0.05416761167</v>
      </c>
    </row>
    <row r="36" ht="16.5" customHeight="1">
      <c r="A36" s="11" t="s">
        <v>39</v>
      </c>
      <c r="B36" s="12">
        <v>27216.84</v>
      </c>
      <c r="C36" s="13">
        <f>IFERROR(B36/B446, "NA")</f>
        <v>0.1433344054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27216.84</v>
      </c>
      <c r="I36" s="13">
        <f>IFERROR(H36/H446, "NA")</f>
        <v>1.581152702</v>
      </c>
      <c r="J36" s="14"/>
      <c r="K36" s="12">
        <v>9297.39</v>
      </c>
      <c r="L36" s="13">
        <f>IFERROR(K36/K446, "NA")</f>
        <v>0.05851581494</v>
      </c>
      <c r="M36" s="14"/>
      <c r="N36" s="15">
        <f t="shared" si="10"/>
        <v>17919.45</v>
      </c>
      <c r="O36" s="13">
        <f>IFERROR(N36/N446, "NA")</f>
        <v>0.5781079417</v>
      </c>
      <c r="P36" s="14"/>
      <c r="Q36" s="12">
        <v>248995.72</v>
      </c>
      <c r="R36" s="13">
        <f>IFERROR(Q36/Q446, "NA")</f>
        <v>0.1592707633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248995.72</v>
      </c>
      <c r="X36" s="13">
        <f>IFERROR(W36/W446, "NA")</f>
        <v>14.20730005</v>
      </c>
      <c r="Y36" s="14"/>
      <c r="Z36" s="12">
        <v>153985.21</v>
      </c>
      <c r="AA36" s="13">
        <f>IFERROR(Z36/Z446, "NA")</f>
        <v>0.1076509405</v>
      </c>
      <c r="AB36" s="14"/>
      <c r="AC36" s="15">
        <f t="shared" si="12"/>
        <v>95010.51</v>
      </c>
      <c r="AD36" s="13">
        <f>IFERROR(AC36/AC446, "NA")</f>
        <v>0.7147062375</v>
      </c>
    </row>
    <row r="37" ht="16.5" customHeight="1">
      <c r="A37" s="11" t="s">
        <v>40</v>
      </c>
      <c r="B37" s="12">
        <v>4087.92</v>
      </c>
      <c r="C37" s="13">
        <f>IFERROR(B37/B446, "NA")</f>
        <v>0.0215285677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4087.92</v>
      </c>
      <c r="I37" s="13">
        <f>IFERROR(H37/H446, "NA")</f>
        <v>0.2374862679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4087.92</v>
      </c>
      <c r="O37" s="13">
        <f>IFERROR(N37/N446, "NA")</f>
        <v>0.1318823411</v>
      </c>
      <c r="P37" s="14"/>
      <c r="Q37" s="12">
        <v>16547.07</v>
      </c>
      <c r="R37" s="13">
        <f>IFERROR(Q37/Q446, "NA")</f>
        <v>0.01058437659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16547.07</v>
      </c>
      <c r="X37" s="13">
        <f>IFERROR(W37/W446, "NA")</f>
        <v>0.9441495159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16547.07</v>
      </c>
      <c r="AD37" s="13">
        <f>IFERROR(AC37/AC446, "NA")</f>
        <v>0.124473536</v>
      </c>
    </row>
    <row r="38" ht="16.5" hidden="1" customHeight="1">
      <c r="A38" s="11" t="s">
        <v>41</v>
      </c>
      <c r="B38" s="12">
        <v>0.0</v>
      </c>
      <c r="C38" s="13">
        <f>IFERROR(B38/B446, "NA")</f>
        <v>0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>
        <f>IFERROR(B39/B446, "NA")</f>
        <v>0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2896.5</v>
      </c>
      <c r="L39" s="13">
        <f>IFERROR(K39/K446, "NA")</f>
        <v>0.01822996109</v>
      </c>
      <c r="M39" s="14"/>
      <c r="N39" s="15">
        <f t="shared" si="10"/>
        <v>-2896.5</v>
      </c>
      <c r="O39" s="13">
        <f>IFERROR(N39/N446, "NA")</f>
        <v>-0.09344537099</v>
      </c>
      <c r="P39" s="14"/>
      <c r="Q39" s="12">
        <v>904.59</v>
      </c>
      <c r="R39" s="13">
        <f>IFERROR(Q39/Q446, "NA")</f>
        <v>0.0005786233584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904.59</v>
      </c>
      <c r="X39" s="13">
        <f>IFERROR(W39/W446, "NA")</f>
        <v>0.05161446773</v>
      </c>
      <c r="Y39" s="14"/>
      <c r="Z39" s="12">
        <v>19576.84</v>
      </c>
      <c r="AA39" s="13">
        <f>IFERROR(Z39/Z446, "NA")</f>
        <v>0.01368615361</v>
      </c>
      <c r="AB39" s="14"/>
      <c r="AC39" s="15">
        <f t="shared" si="12"/>
        <v>-18672.25</v>
      </c>
      <c r="AD39" s="13">
        <f>IFERROR(AC39/AC446, "NA")</f>
        <v>-0.1404599717</v>
      </c>
    </row>
    <row r="40" ht="16.5" customHeight="1">
      <c r="A40" s="16" t="s">
        <v>43</v>
      </c>
      <c r="B40" s="17">
        <f>IFERROR(B31+B32+B33+B34+B35+B36+B37+B38+B39, "NA")</f>
        <v>51816.22</v>
      </c>
      <c r="C40" s="18">
        <f>IFERROR(B40/B446, "NA")</f>
        <v>0.2728842541</v>
      </c>
      <c r="D40" s="8"/>
      <c r="E40" s="17">
        <f>IFERROR(E31+E32+E33+E34+E35+E36+E37+E38+E39, "NA")</f>
        <v>38332.79</v>
      </c>
      <c r="F40" s="18">
        <f>IFERROR(E40/E446, "NA")</f>
        <v>0.2220000067</v>
      </c>
      <c r="G40" s="8"/>
      <c r="H40" s="17">
        <f t="shared" si="9"/>
        <v>13483.43</v>
      </c>
      <c r="I40" s="18">
        <f>IFERROR(H40/H446, "NA")</f>
        <v>0.7833151013</v>
      </c>
      <c r="J40" s="8"/>
      <c r="K40" s="17">
        <f>IFERROR(K31+K32+K33+K34+K35+K36+K37+K38+K39, "NA")</f>
        <v>25606.62</v>
      </c>
      <c r="L40" s="18">
        <f>IFERROR(K40/K446, "NA")</f>
        <v>0.1611626744</v>
      </c>
      <c r="M40" s="8"/>
      <c r="N40" s="17">
        <f t="shared" si="10"/>
        <v>26209.6</v>
      </c>
      <c r="O40" s="18">
        <f>IFERROR(N40/N446, "NA")</f>
        <v>0.8455604335</v>
      </c>
      <c r="P40" s="8"/>
      <c r="Q40" s="17">
        <f>IFERROR(Q31+Q32+Q33+Q34+Q35+Q36+Q37+Q38+Q39, "NA")</f>
        <v>440030.38</v>
      </c>
      <c r="R40" s="18">
        <f>IFERROR(Q40/Q446, "NA")</f>
        <v>0.281466583</v>
      </c>
      <c r="S40" s="8"/>
      <c r="T40" s="17">
        <f>IFERROR(T31+T32+T33+T34+T35+T36+T37+T38+T39, "NA")</f>
        <v>343172.63</v>
      </c>
      <c r="U40" s="18">
        <f>IFERROR(T40/T446, "NA")</f>
        <v>0.2219999982</v>
      </c>
      <c r="V40" s="8"/>
      <c r="W40" s="17">
        <f t="shared" si="11"/>
        <v>96857.75</v>
      </c>
      <c r="X40" s="18">
        <f>IFERROR(W40/W446, "NA")</f>
        <v>5.526549278</v>
      </c>
      <c r="Y40" s="8"/>
      <c r="Z40" s="17">
        <f>IFERROR(Z31+Z32+Z33+Z34+Z35+Z36+Z37+Z38+Z39, "NA")</f>
        <v>347639.76</v>
      </c>
      <c r="AA40" s="18">
        <f>IFERROR(Z40/Z446, "NA")</f>
        <v>0.2430346857</v>
      </c>
      <c r="AB40" s="8"/>
      <c r="AC40" s="17">
        <f t="shared" si="12"/>
        <v>92390.62</v>
      </c>
      <c r="AD40" s="18">
        <f>IFERROR(AC40/AC446, "NA")</f>
        <v>0.6949983996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>
        <f>IFERROR(B42/B446, "NA")</f>
        <v>0</v>
      </c>
      <c r="D42" s="14"/>
      <c r="E42" s="12">
        <v>58880.54</v>
      </c>
      <c r="F42" s="13">
        <f>IFERROR(E42/E446, "NA")</f>
        <v>0.3409999709</v>
      </c>
      <c r="G42" s="14"/>
      <c r="H42" s="15">
        <f t="shared" ref="H42:H44" si="13">IFERROR(B42-E42, "NA")</f>
        <v>-58880.54</v>
      </c>
      <c r="I42" s="13">
        <f>IFERROR(H42/H446, "NA")</f>
        <v>-3.420644165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527125.52</v>
      </c>
      <c r="U42" s="13">
        <f>IFERROR(T42/T446, "NA")</f>
        <v>0.3409999932</v>
      </c>
      <c r="V42" s="14"/>
      <c r="W42" s="15">
        <f t="shared" ref="W42:W44" si="15">IFERROR(Q42-T42, "NA")</f>
        <v>-527125.52</v>
      </c>
      <c r="X42" s="13">
        <f>IFERROR(W42/W446, "NA")</f>
        <v>-30.07694441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14549.63</v>
      </c>
      <c r="C43" s="13">
        <f>IFERROR(B43/B446, "NA")</f>
        <v>0.07662397856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14549.63</v>
      </c>
      <c r="I43" s="13">
        <f>IFERROR(H43/H446, "NA")</f>
        <v>0.8452556135</v>
      </c>
      <c r="J43" s="14"/>
      <c r="K43" s="12">
        <v>13423.79</v>
      </c>
      <c r="L43" s="13">
        <f>IFERROR(K43/K446, "NA")</f>
        <v>0.08448650766</v>
      </c>
      <c r="M43" s="14"/>
      <c r="N43" s="15">
        <f t="shared" si="14"/>
        <v>1125.84</v>
      </c>
      <c r="O43" s="13">
        <f>IFERROR(N43/N446, "NA")</f>
        <v>0.03632126238</v>
      </c>
      <c r="P43" s="14"/>
      <c r="Q43" s="12">
        <v>90525.61</v>
      </c>
      <c r="R43" s="13">
        <f>IFERROR(Q43/Q446, "NA")</f>
        <v>0.05790494311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90525.61</v>
      </c>
      <c r="X43" s="13">
        <f>IFERROR(W43/W446, "NA")</f>
        <v>5.165247434</v>
      </c>
      <c r="Y43" s="14"/>
      <c r="Z43" s="12">
        <v>105268.66</v>
      </c>
      <c r="AA43" s="13">
        <f>IFERROR(Z43/Z446, "NA")</f>
        <v>0.07359323829</v>
      </c>
      <c r="AB43" s="14"/>
      <c r="AC43" s="15">
        <f t="shared" si="16"/>
        <v>-14743.05</v>
      </c>
      <c r="AD43" s="13">
        <f>IFERROR(AC43/AC446, "NA")</f>
        <v>-0.1109029916</v>
      </c>
    </row>
    <row r="44" ht="16.5" hidden="1" customHeight="1">
      <c r="A44" s="11" t="s">
        <v>46</v>
      </c>
      <c r="B44" s="12">
        <v>0.0</v>
      </c>
      <c r="C44" s="13">
        <f>IFERROR(B44/B446, "NA")</f>
        <v>0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>
        <f>IFERROR(B46/B446, "NA")</f>
        <v>0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hidden="1" customHeight="1">
      <c r="A47" s="11" t="s">
        <v>48</v>
      </c>
      <c r="B47" s="12">
        <v>0.0</v>
      </c>
      <c r="C47" s="13">
        <f>IFERROR(B47/B446, "NA")</f>
        <v>0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0</v>
      </c>
      <c r="I47" s="13">
        <f>IFERROR(H47/H446, "NA")</f>
        <v>0</v>
      </c>
      <c r="J47" s="14"/>
      <c r="K47" s="12">
        <v>0.0</v>
      </c>
      <c r="L47" s="13">
        <f>IFERROR(K47/K446, "NA")</f>
        <v>0</v>
      </c>
      <c r="M47" s="14"/>
      <c r="N47" s="15">
        <f t="shared" si="18"/>
        <v>0</v>
      </c>
      <c r="O47" s="13">
        <f>IFERROR(N47/N446, "NA")</f>
        <v>0</v>
      </c>
      <c r="P47" s="14"/>
      <c r="Q47" s="12">
        <v>0.0</v>
      </c>
      <c r="R47" s="13">
        <f>IFERROR(Q47/Q446, "NA")</f>
        <v>0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0</v>
      </c>
      <c r="X47" s="13">
        <f>IFERROR(W47/W446, "NA")</f>
        <v>0</v>
      </c>
      <c r="Y47" s="14"/>
      <c r="Z47" s="12">
        <v>0.0</v>
      </c>
      <c r="AA47" s="13">
        <f>IFERROR(Z47/Z446, "NA")</f>
        <v>0</v>
      </c>
      <c r="AB47" s="14"/>
      <c r="AC47" s="15">
        <f t="shared" si="20"/>
        <v>0</v>
      </c>
      <c r="AD47" s="13">
        <f>IFERROR(AC47/AC446, "NA")</f>
        <v>0</v>
      </c>
    </row>
    <row r="48" ht="16.5" customHeight="1">
      <c r="A48" s="11" t="s">
        <v>49</v>
      </c>
      <c r="B48" s="12">
        <v>46722.25</v>
      </c>
      <c r="C48" s="13">
        <f>IFERROR(B48/B446, "NA")</f>
        <v>0.2460574381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46722.25</v>
      </c>
      <c r="I48" s="13">
        <f>IFERROR(H48/H446, "NA")</f>
        <v>2.714312604</v>
      </c>
      <c r="J48" s="14"/>
      <c r="K48" s="12">
        <v>30373.63</v>
      </c>
      <c r="L48" s="13">
        <f>IFERROR(K48/K446, "NA")</f>
        <v>0.1911652315</v>
      </c>
      <c r="M48" s="14"/>
      <c r="N48" s="15">
        <f t="shared" si="18"/>
        <v>16348.62</v>
      </c>
      <c r="O48" s="13">
        <f>IFERROR(N48/N446, "NA")</f>
        <v>0.5274306443</v>
      </c>
      <c r="P48" s="14"/>
      <c r="Q48" s="12">
        <v>358426.1</v>
      </c>
      <c r="R48" s="13">
        <f>IFERROR(Q48/Q446, "NA")</f>
        <v>0.2292681919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358426.1</v>
      </c>
      <c r="X48" s="13">
        <f>IFERROR(W48/W446, "NA")</f>
        <v>20.45122362</v>
      </c>
      <c r="Y48" s="14"/>
      <c r="Z48" s="12">
        <v>300669.32</v>
      </c>
      <c r="AA48" s="13">
        <f>IFERROR(Z48/Z446, "NA")</f>
        <v>0.2101976876</v>
      </c>
      <c r="AB48" s="14"/>
      <c r="AC48" s="15">
        <f t="shared" si="20"/>
        <v>57756.78</v>
      </c>
      <c r="AD48" s="13">
        <f>IFERROR(AC48/AC446, "NA")</f>
        <v>0.4344691016</v>
      </c>
    </row>
    <row r="49" ht="16.5" customHeight="1">
      <c r="A49" s="11" t="s">
        <v>50</v>
      </c>
      <c r="B49" s="12">
        <v>0.0</v>
      </c>
      <c r="C49" s="13">
        <f>IFERROR(B49/B446, "NA")</f>
        <v>0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2700.0</v>
      </c>
      <c r="L49" s="13">
        <f>IFERROR(K49/K446, "NA")</f>
        <v>0.01699323147</v>
      </c>
      <c r="M49" s="14"/>
      <c r="N49" s="15">
        <f t="shared" si="18"/>
        <v>-2700</v>
      </c>
      <c r="O49" s="13">
        <f>IFERROR(N49/N446, "NA")</f>
        <v>-0.08710599057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4841.23</v>
      </c>
      <c r="AA49" s="13">
        <f>IFERROR(Z49/Z446, "NA")</f>
        <v>0.003384500126</v>
      </c>
      <c r="AB49" s="14"/>
      <c r="AC49" s="15">
        <f t="shared" si="20"/>
        <v>-4841.23</v>
      </c>
      <c r="AD49" s="13">
        <f>IFERROR(AC49/AC446, "NA")</f>
        <v>-0.03641762662</v>
      </c>
    </row>
    <row r="50" ht="16.5" hidden="1" customHeight="1">
      <c r="A50" s="11" t="s">
        <v>51</v>
      </c>
      <c r="B50" s="12">
        <v>0.0</v>
      </c>
      <c r="C50" s="13">
        <f>IFERROR(B50/B446, "NA")</f>
        <v>0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0</v>
      </c>
      <c r="I50" s="13">
        <f>IFERROR(H50/H446, "NA")</f>
        <v>0</v>
      </c>
      <c r="J50" s="14"/>
      <c r="K50" s="12">
        <v>0.0</v>
      </c>
      <c r="L50" s="13">
        <f>IFERROR(K50/K446, "NA")</f>
        <v>0</v>
      </c>
      <c r="M50" s="14"/>
      <c r="N50" s="15">
        <f t="shared" si="18"/>
        <v>0</v>
      </c>
      <c r="O50" s="13">
        <f>IFERROR(N50/N446, "NA")</f>
        <v>0</v>
      </c>
      <c r="P50" s="14"/>
      <c r="Q50" s="12">
        <v>0.0</v>
      </c>
      <c r="R50" s="13">
        <f>IFERROR(Q50/Q446, "NA")</f>
        <v>0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0</v>
      </c>
      <c r="X50" s="13">
        <f>IFERROR(W50/W446, "NA")</f>
        <v>0</v>
      </c>
      <c r="Y50" s="14"/>
      <c r="Z50" s="12">
        <v>0.0</v>
      </c>
      <c r="AA50" s="13">
        <f>IFERROR(Z50/Z446, "NA")</f>
        <v>0</v>
      </c>
      <c r="AB50" s="14"/>
      <c r="AC50" s="15">
        <f t="shared" si="20"/>
        <v>0</v>
      </c>
      <c r="AD50" s="13">
        <f>IFERROR(AC50/AC446, "NA")</f>
        <v>0</v>
      </c>
    </row>
    <row r="51" ht="16.5" customHeight="1">
      <c r="A51" s="11" t="s">
        <v>52</v>
      </c>
      <c r="B51" s="12">
        <v>1109.14</v>
      </c>
      <c r="C51" s="13">
        <f>IFERROR(B51/B446, "NA")</f>
        <v>0.005841160193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1109.14</v>
      </c>
      <c r="I51" s="13">
        <f>IFERROR(H51/H446, "NA")</f>
        <v>0.06443509637</v>
      </c>
      <c r="J51" s="14"/>
      <c r="K51" s="12">
        <v>2560.27</v>
      </c>
      <c r="L51" s="13">
        <f>IFERROR(K51/K446, "NA")</f>
        <v>0.01611380027</v>
      </c>
      <c r="M51" s="14"/>
      <c r="N51" s="15">
        <f t="shared" si="18"/>
        <v>-1451.13</v>
      </c>
      <c r="O51" s="13">
        <f>IFERROR(N51/N446, "NA")</f>
        <v>-0.04681559855</v>
      </c>
      <c r="P51" s="14"/>
      <c r="Q51" s="12">
        <v>15204.74</v>
      </c>
      <c r="R51" s="13">
        <f>IFERROR(Q51/Q446, "NA")</f>
        <v>0.009725751692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15204.74</v>
      </c>
      <c r="X51" s="13">
        <f>IFERROR(W51/W446, "NA")</f>
        <v>0.8675582994</v>
      </c>
      <c r="Y51" s="14"/>
      <c r="Z51" s="12">
        <v>24490.19</v>
      </c>
      <c r="AA51" s="13">
        <f>IFERROR(Z51/Z446, "NA")</f>
        <v>0.01712107277</v>
      </c>
      <c r="AB51" s="14"/>
      <c r="AC51" s="15">
        <f t="shared" si="20"/>
        <v>-9285.45</v>
      </c>
      <c r="AD51" s="13">
        <f>IFERROR(AC51/AC446, "NA")</f>
        <v>-0.06984878865</v>
      </c>
    </row>
    <row r="52" ht="16.5" customHeight="1">
      <c r="A52" s="11" t="s">
        <v>53</v>
      </c>
      <c r="B52" s="12">
        <v>0.0</v>
      </c>
      <c r="C52" s="13">
        <f>IFERROR(B52/B446, "NA")</f>
        <v>0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12600.0</v>
      </c>
      <c r="R52" s="13">
        <f>IFERROR(Q52/Q446, "NA")</f>
        <v>0.008059622941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12600</v>
      </c>
      <c r="X52" s="13">
        <f>IFERROR(W52/W446, "NA")</f>
        <v>0.7189359748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12600</v>
      </c>
      <c r="AD52" s="13">
        <f>IFERROR(AC52/AC446, "NA")</f>
        <v>0.09478213086</v>
      </c>
    </row>
    <row r="53" ht="16.5" customHeight="1">
      <c r="A53" s="11" t="s">
        <v>54</v>
      </c>
      <c r="B53" s="12">
        <v>0.0</v>
      </c>
      <c r="C53" s="13">
        <f>IFERROR(B53/B446, "NA")</f>
        <v>0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0</v>
      </c>
      <c r="I53" s="13">
        <f>IFERROR(H53/H446, "NA")</f>
        <v>0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0</v>
      </c>
      <c r="O53" s="13">
        <f>IFERROR(N53/N446, "NA")</f>
        <v>0</v>
      </c>
      <c r="P53" s="14"/>
      <c r="Q53" s="12">
        <v>0.0</v>
      </c>
      <c r="R53" s="13">
        <f>IFERROR(Q53/Q446, "NA")</f>
        <v>0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0</v>
      </c>
      <c r="X53" s="13">
        <f>IFERROR(W53/W446, "NA")</f>
        <v>0</v>
      </c>
      <c r="Y53" s="14"/>
      <c r="Z53" s="12">
        <v>8000.0</v>
      </c>
      <c r="AA53" s="13">
        <f>IFERROR(Z53/Z446, "NA")</f>
        <v>0.005592793775</v>
      </c>
      <c r="AB53" s="14"/>
      <c r="AC53" s="15">
        <f t="shared" si="20"/>
        <v>-8000</v>
      </c>
      <c r="AD53" s="13">
        <f>IFERROR(AC53/AC446, "NA")</f>
        <v>-0.0601791307</v>
      </c>
    </row>
    <row r="54" ht="16.5" customHeight="1">
      <c r="A54" s="11" t="s">
        <v>55</v>
      </c>
      <c r="B54" s="12">
        <v>0.0</v>
      </c>
      <c r="C54" s="13">
        <f>IFERROR(B54/B446, "NA")</f>
        <v>0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11.65</v>
      </c>
      <c r="AA54" s="13">
        <f>IFERROR(Z54/Z446, "NA")</f>
        <v>0.000008144505934</v>
      </c>
      <c r="AB54" s="14"/>
      <c r="AC54" s="15">
        <f t="shared" si="20"/>
        <v>-11.65</v>
      </c>
      <c r="AD54" s="13">
        <f>IFERROR(AC54/AC446, "NA")</f>
        <v>-0.00008763585909</v>
      </c>
    </row>
    <row r="55" ht="16.5" customHeight="1">
      <c r="A55" s="11" t="s">
        <v>56</v>
      </c>
      <c r="B55" s="12">
        <v>0.0</v>
      </c>
      <c r="C55" s="13">
        <f>IFERROR(B55/B446, "NA")</f>
        <v>0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0</v>
      </c>
      <c r="I55" s="13">
        <f>IFERROR(H55/H446, "NA")</f>
        <v>0</v>
      </c>
      <c r="J55" s="14"/>
      <c r="K55" s="12">
        <v>0.0</v>
      </c>
      <c r="L55" s="13">
        <f>IFERROR(K55/K446, "NA")</f>
        <v>0</v>
      </c>
      <c r="M55" s="14"/>
      <c r="N55" s="15">
        <f t="shared" si="18"/>
        <v>0</v>
      </c>
      <c r="O55" s="13">
        <f>IFERROR(N55/N446, "NA")</f>
        <v>0</v>
      </c>
      <c r="P55" s="14"/>
      <c r="Q55" s="12">
        <v>0.0</v>
      </c>
      <c r="R55" s="13">
        <f>IFERROR(Q55/Q446, "NA")</f>
        <v>0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0</v>
      </c>
      <c r="X55" s="13">
        <f>IFERROR(W55/W446, "NA")</f>
        <v>0</v>
      </c>
      <c r="Y55" s="14"/>
      <c r="Z55" s="12">
        <v>41.15</v>
      </c>
      <c r="AA55" s="13">
        <f>IFERROR(Z55/Z446, "NA")</f>
        <v>0.00002876793298</v>
      </c>
      <c r="AB55" s="14"/>
      <c r="AC55" s="15">
        <f t="shared" si="20"/>
        <v>-41.15</v>
      </c>
      <c r="AD55" s="13">
        <f>IFERROR(AC55/AC446, "NA")</f>
        <v>-0.0003095464036</v>
      </c>
    </row>
    <row r="56" ht="16.5" customHeight="1">
      <c r="A56" s="11" t="s">
        <v>57</v>
      </c>
      <c r="B56" s="12">
        <v>0.0</v>
      </c>
      <c r="C56" s="13">
        <f>IFERROR(B56/B446, "NA")</f>
        <v>0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11.65</v>
      </c>
      <c r="AA56" s="13">
        <f>IFERROR(Z56/Z446, "NA")</f>
        <v>0.000008144505934</v>
      </c>
      <c r="AB56" s="14"/>
      <c r="AC56" s="15">
        <f t="shared" si="20"/>
        <v>-11.65</v>
      </c>
      <c r="AD56" s="13">
        <f>IFERROR(AC56/AC446, "NA")</f>
        <v>-0.00008763585909</v>
      </c>
    </row>
    <row r="57" ht="16.5" hidden="1" customHeight="1">
      <c r="A57" s="11" t="s">
        <v>58</v>
      </c>
      <c r="B57" s="12">
        <v>0.0</v>
      </c>
      <c r="C57" s="13">
        <f>IFERROR(B57/B446, "NA")</f>
        <v>0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0</v>
      </c>
      <c r="I57" s="13">
        <f>IFERROR(H57/H446, "NA")</f>
        <v>0</v>
      </c>
      <c r="J57" s="14"/>
      <c r="K57" s="12">
        <v>0.0</v>
      </c>
      <c r="L57" s="13">
        <f>IFERROR(K57/K446, "NA")</f>
        <v>0</v>
      </c>
      <c r="M57" s="14"/>
      <c r="N57" s="15">
        <f t="shared" si="18"/>
        <v>0</v>
      </c>
      <c r="O57" s="13">
        <f>IFERROR(N57/N446, "NA")</f>
        <v>0</v>
      </c>
      <c r="P57" s="14"/>
      <c r="Q57" s="12">
        <v>0.0</v>
      </c>
      <c r="R57" s="13">
        <f>IFERROR(Q57/Q446, "NA")</f>
        <v>0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0</v>
      </c>
      <c r="X57" s="13">
        <f>IFERROR(W57/W446, "NA")</f>
        <v>0</v>
      </c>
      <c r="Y57" s="14"/>
      <c r="Z57" s="12">
        <v>0.0</v>
      </c>
      <c r="AA57" s="13">
        <f>IFERROR(Z57/Z446, "NA")</f>
        <v>0</v>
      </c>
      <c r="AB57" s="14"/>
      <c r="AC57" s="15">
        <f t="shared" si="20"/>
        <v>0</v>
      </c>
      <c r="AD57" s="13">
        <f>IFERROR(AC57/AC446, "NA")</f>
        <v>0</v>
      </c>
    </row>
    <row r="58" ht="16.5" customHeight="1">
      <c r="A58" s="11" t="s">
        <v>59</v>
      </c>
      <c r="B58" s="12">
        <v>0.0</v>
      </c>
      <c r="C58" s="13">
        <f>IFERROR(B58/B446, "NA")</f>
        <v>0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1564.22</v>
      </c>
      <c r="AA58" s="13">
        <f>IFERROR(Z58/Z446, "NA")</f>
        <v>0.001093544985</v>
      </c>
      <c r="AB58" s="14"/>
      <c r="AC58" s="15">
        <f t="shared" si="20"/>
        <v>-1564.22</v>
      </c>
      <c r="AD58" s="13">
        <f>IFERROR(AC58/AC446, "NA")</f>
        <v>-0.01176667498</v>
      </c>
    </row>
    <row r="59" ht="16.5" hidden="1" customHeight="1">
      <c r="A59" s="11" t="s">
        <v>60</v>
      </c>
      <c r="B59" s="12">
        <v>0.0</v>
      </c>
      <c r="C59" s="13">
        <f>IFERROR(B59/B446, "NA")</f>
        <v>0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hidden="1" customHeight="1">
      <c r="A60" s="11" t="s">
        <v>61</v>
      </c>
      <c r="B60" s="12">
        <v>0.0</v>
      </c>
      <c r="C60" s="13">
        <f>IFERROR(B60/B446, "NA")</f>
        <v>0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0.0</v>
      </c>
      <c r="R60" s="13">
        <f>IFERROR(Q60/Q446, "NA")</f>
        <v>0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0</v>
      </c>
      <c r="X60" s="13">
        <f>IFERROR(W60/W446, "NA")</f>
        <v>0</v>
      </c>
      <c r="Y60" s="14"/>
      <c r="Z60" s="12">
        <v>0.0</v>
      </c>
      <c r="AA60" s="13">
        <f>IFERROR(Z60/Z446, "NA")</f>
        <v>0</v>
      </c>
      <c r="AB60" s="14"/>
      <c r="AC60" s="15">
        <f t="shared" si="20"/>
        <v>0</v>
      </c>
      <c r="AD60" s="13">
        <f>IFERROR(AC60/AC446, "NA")</f>
        <v>0</v>
      </c>
    </row>
    <row r="61" ht="16.5" customHeight="1">
      <c r="A61" s="16" t="s">
        <v>62</v>
      </c>
      <c r="B61" s="17">
        <f>IFERROR(B46+B47+B48+B49+B50+B51+B52+B53+B54+B55+B56+B57+B58+B59+B60, "NA")</f>
        <v>47831.39</v>
      </c>
      <c r="C61" s="18">
        <f>IFERROR(B61/B446, "NA")</f>
        <v>0.2518985983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47831.39</v>
      </c>
      <c r="I61" s="18">
        <f>IFERROR(H61/H446, "NA")</f>
        <v>2.7787477</v>
      </c>
      <c r="J61" s="8"/>
      <c r="K61" s="17">
        <f>IFERROR(K46+K47+K48+K49+K50+K51+K52+K53+K54+K55+K56+K57+K58+K59+K60, "NA")</f>
        <v>35633.9</v>
      </c>
      <c r="L61" s="18">
        <f>IFERROR(K61/K446, "NA")</f>
        <v>0.2242722633</v>
      </c>
      <c r="M61" s="8"/>
      <c r="N61" s="17">
        <f t="shared" si="18"/>
        <v>12197.49</v>
      </c>
      <c r="O61" s="18">
        <f>IFERROR(N61/N446, "NA")</f>
        <v>0.3935090552</v>
      </c>
      <c r="P61" s="8"/>
      <c r="Q61" s="17">
        <f>IFERROR(Q46+Q47+Q48+Q49+Q50+Q51+Q52+Q53+Q54+Q55+Q56+Q57+Q58+Q59+Q60, "NA")</f>
        <v>386230.84</v>
      </c>
      <c r="R61" s="18">
        <f>IFERROR(Q61/Q446, "NA")</f>
        <v>0.2470535666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386230.84</v>
      </c>
      <c r="X61" s="18">
        <f>IFERROR(W61/W446, "NA")</f>
        <v>22.03771789</v>
      </c>
      <c r="Y61" s="8"/>
      <c r="Z61" s="17">
        <f>IFERROR(Z46+Z47+Z48+Z49+Z50+Z51+Z52+Z53+Z54+Z55+Z56+Z57+Z58+Z59+Z60, "NA")</f>
        <v>339629.41</v>
      </c>
      <c r="AA61" s="18">
        <f>IFERROR(Z61/Z446, "NA")</f>
        <v>0.2374346562</v>
      </c>
      <c r="AB61" s="8"/>
      <c r="AC61" s="17">
        <f t="shared" si="20"/>
        <v>46601.43</v>
      </c>
      <c r="AD61" s="18">
        <f>IFERROR(AC61/AC446, "NA")</f>
        <v>0.3505541934</v>
      </c>
    </row>
    <row r="62" ht="16.5" customHeight="1">
      <c r="A62" s="16" t="s">
        <v>63</v>
      </c>
      <c r="B62" s="17">
        <f>IFERROR(B42+B43+B44+B46+B47+B48+B49+B50+B51+B52+B53+B54+B55+B56+B57+B58+B59+B60, "NA")</f>
        <v>62381.02</v>
      </c>
      <c r="C62" s="18">
        <f>IFERROR(B62/B446, "NA")</f>
        <v>0.3285225768</v>
      </c>
      <c r="D62" s="8"/>
      <c r="E62" s="17">
        <f>IFERROR(E42+E43+E44+E46+E47+E48+E49+E50+E51+E52+E53+E54+E55+E56+E57+E58+E59+E60, "NA")</f>
        <v>58880.54</v>
      </c>
      <c r="F62" s="18">
        <f>IFERROR(E62/E446, "NA")</f>
        <v>0.3409999709</v>
      </c>
      <c r="G62" s="8"/>
      <c r="H62" s="17">
        <f t="shared" si="17"/>
        <v>3500.48</v>
      </c>
      <c r="I62" s="18">
        <f>IFERROR(H62/H446, "NA")</f>
        <v>0.2033591487</v>
      </c>
      <c r="J62" s="8"/>
      <c r="K62" s="17">
        <f>IFERROR(K42+K43+K44+K46+K47+K48+K49+K50+K51+K52+K53+K54+K55+K56+K57+K58+K59+K60, "NA")</f>
        <v>49057.69</v>
      </c>
      <c r="L62" s="18">
        <f>IFERROR(K62/K446, "NA")</f>
        <v>0.3087587709</v>
      </c>
      <c r="M62" s="8"/>
      <c r="N62" s="17">
        <f t="shared" si="18"/>
        <v>13323.33</v>
      </c>
      <c r="O62" s="18">
        <f>IFERROR(N62/N446, "NA")</f>
        <v>0.4298303175</v>
      </c>
      <c r="P62" s="8"/>
      <c r="Q62" s="17">
        <f>IFERROR(Q42+Q43+Q44+Q46+Q47+Q48+Q49+Q50+Q51+Q52+Q53+Q54+Q55+Q56+Q57+Q58+Q59+Q60, "NA")</f>
        <v>476756.45</v>
      </c>
      <c r="R62" s="18">
        <f>IFERROR(Q62/Q446, "NA")</f>
        <v>0.3049585097</v>
      </c>
      <c r="S62" s="8"/>
      <c r="T62" s="17">
        <f>IFERROR(T42+T43+T44+T46+T47+T48+T49+T50+T51+T52+T53+T54+T55+T56+T57+T58+T59+T60, "NA")</f>
        <v>527125.52</v>
      </c>
      <c r="U62" s="18">
        <f>IFERROR(T62/T446, "NA")</f>
        <v>0.3409999932</v>
      </c>
      <c r="V62" s="8"/>
      <c r="W62" s="17">
        <f t="shared" si="19"/>
        <v>-50369.07</v>
      </c>
      <c r="X62" s="18">
        <f>IFERROR(W62/W446, "NA")</f>
        <v>-2.873979082</v>
      </c>
      <c r="Y62" s="8"/>
      <c r="Z62" s="17">
        <f>IFERROR(Z42+Z43+Z44+Z46+Z47+Z48+Z49+Z50+Z51+Z52+Z53+Z54+Z55+Z56+Z57+Z58+Z59+Z60, "NA")</f>
        <v>444898.07</v>
      </c>
      <c r="AA62" s="18">
        <f>IFERROR(Z62/Z446, "NA")</f>
        <v>0.3110278945</v>
      </c>
      <c r="AB62" s="8"/>
      <c r="AC62" s="17">
        <f t="shared" si="20"/>
        <v>31858.38</v>
      </c>
      <c r="AD62" s="18">
        <f>IFERROR(AC62/AC446, "NA")</f>
        <v>0.2396512018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>
        <f>IFERROR(B64/B446, "NA")</f>
        <v>0</v>
      </c>
      <c r="D64" s="14"/>
      <c r="E64" s="12">
        <v>15022.31</v>
      </c>
      <c r="F64" s="13">
        <f>IFERROR(E64/E446, "NA")</f>
        <v>0.08700000498</v>
      </c>
      <c r="G64" s="14"/>
      <c r="H64" s="15">
        <f t="shared" ref="H64:H73" si="21">IFERROR(B64-E64, "NA")</f>
        <v>-15022.31</v>
      </c>
      <c r="I64" s="13">
        <f>IFERROR(H64/H446, "NA")</f>
        <v>-0.8727157911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134486.56</v>
      </c>
      <c r="U64" s="13">
        <f>IFERROR(T64/T446, "NA")</f>
        <v>0.08699999205</v>
      </c>
      <c r="V64" s="14"/>
      <c r="W64" s="15">
        <f t="shared" ref="W64:W73" si="23">IFERROR(Q64-T64, "NA")</f>
        <v>-134486.56</v>
      </c>
      <c r="X64" s="13">
        <f>IFERROR(W64/W446, "NA")</f>
        <v>-7.673589373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2464.2</v>
      </c>
      <c r="C65" s="13">
        <f>IFERROR(B65/B446, "NA")</f>
        <v>0.01297743021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2464.2</v>
      </c>
      <c r="I65" s="13">
        <f>IFERROR(H65/H446, "NA")</f>
        <v>0.1431568282</v>
      </c>
      <c r="J65" s="14"/>
      <c r="K65" s="12">
        <v>3874.11</v>
      </c>
      <c r="L65" s="13">
        <f>IFERROR(K65/K446, "NA")</f>
        <v>0.02438283258</v>
      </c>
      <c r="M65" s="14"/>
      <c r="N65" s="15">
        <f t="shared" si="22"/>
        <v>-1409.91</v>
      </c>
      <c r="O65" s="13">
        <f>IFERROR(N65/N446, "NA")</f>
        <v>-0.04548578043</v>
      </c>
      <c r="P65" s="14"/>
      <c r="Q65" s="12">
        <v>24349.46</v>
      </c>
      <c r="R65" s="13">
        <f>IFERROR(Q65/Q446, "NA")</f>
        <v>0.01557519575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24349.46</v>
      </c>
      <c r="X65" s="13">
        <f>IFERROR(W65/W446, "NA")</f>
        <v>1.389341489</v>
      </c>
      <c r="Y65" s="14"/>
      <c r="Z65" s="12">
        <v>7578.73</v>
      </c>
      <c r="AA65" s="13">
        <f>IFERROR(Z65/Z446, "NA")</f>
        <v>0.005298284246</v>
      </c>
      <c r="AB65" s="14"/>
      <c r="AC65" s="15">
        <f t="shared" si="24"/>
        <v>16770.73</v>
      </c>
      <c r="AD65" s="13">
        <f>IFERROR(AC65/AC446, "NA")</f>
        <v>0.1261559941</v>
      </c>
    </row>
    <row r="66" ht="16.5" customHeight="1">
      <c r="A66" s="11" t="s">
        <v>66</v>
      </c>
      <c r="B66" s="12">
        <v>11622.35</v>
      </c>
      <c r="C66" s="13">
        <f>IFERROR(B66/B446, "NA")</f>
        <v>0.06120778998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11622.35</v>
      </c>
      <c r="I66" s="13">
        <f>IFERROR(H66/H446, "NA")</f>
        <v>0.6751963163</v>
      </c>
      <c r="J66" s="14"/>
      <c r="K66" s="12">
        <v>9457.54</v>
      </c>
      <c r="L66" s="13">
        <f>IFERROR(K66/K446, "NA")</f>
        <v>0.05952376532</v>
      </c>
      <c r="M66" s="14"/>
      <c r="N66" s="15">
        <f t="shared" si="22"/>
        <v>2164.81</v>
      </c>
      <c r="O66" s="13">
        <f>IFERROR(N66/N446, "NA")</f>
        <v>0.06983997016</v>
      </c>
      <c r="P66" s="14"/>
      <c r="Q66" s="12">
        <v>97531.81</v>
      </c>
      <c r="R66" s="13">
        <f>IFERROR(Q66/Q446, "NA")</f>
        <v>0.06238647725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97531.81</v>
      </c>
      <c r="X66" s="13">
        <f>IFERROR(W66/W446, "NA")</f>
        <v>5.565010071</v>
      </c>
      <c r="Y66" s="14"/>
      <c r="Z66" s="12">
        <v>101542.6</v>
      </c>
      <c r="AA66" s="13">
        <f>IFERROR(Z66/Z446, "NA")</f>
        <v>0.07098835264</v>
      </c>
      <c r="AB66" s="14"/>
      <c r="AC66" s="15">
        <f t="shared" si="24"/>
        <v>-4010.79</v>
      </c>
      <c r="AD66" s="13">
        <f>IFERROR(AC66/AC446, "NA")</f>
        <v>-0.03017073196</v>
      </c>
    </row>
    <row r="67" ht="16.5" customHeight="1">
      <c r="A67" s="11" t="s">
        <v>67</v>
      </c>
      <c r="B67" s="12">
        <v>0.0</v>
      </c>
      <c r="C67" s="13">
        <f>IFERROR(B67/B446, "NA")</f>
        <v>0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9882.75</v>
      </c>
      <c r="AA67" s="13">
        <f>IFERROR(Z67/Z446, "NA")</f>
        <v>0.006909022835</v>
      </c>
      <c r="AB67" s="14"/>
      <c r="AC67" s="15">
        <f t="shared" si="24"/>
        <v>-9882.75</v>
      </c>
      <c r="AD67" s="13">
        <f>IFERROR(AC67/AC446, "NA")</f>
        <v>-0.074341913</v>
      </c>
    </row>
    <row r="68" ht="16.5" hidden="1" customHeight="1">
      <c r="A68" s="11" t="s">
        <v>68</v>
      </c>
      <c r="B68" s="12">
        <v>0.0</v>
      </c>
      <c r="C68" s="13">
        <f>IFERROR(B68/B446, "NA")</f>
        <v>0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0</v>
      </c>
      <c r="I68" s="13">
        <f>IFERROR(H68/H446, "NA")</f>
        <v>0</v>
      </c>
      <c r="J68" s="14"/>
      <c r="K68" s="12">
        <v>0.0</v>
      </c>
      <c r="L68" s="13">
        <f>IFERROR(K68/K446, "NA")</f>
        <v>0</v>
      </c>
      <c r="M68" s="14"/>
      <c r="N68" s="15">
        <f t="shared" si="22"/>
        <v>0</v>
      </c>
      <c r="O68" s="13">
        <f>IFERROR(N68/N446, "NA")</f>
        <v>0</v>
      </c>
      <c r="P68" s="14"/>
      <c r="Q68" s="12">
        <v>0.0</v>
      </c>
      <c r="R68" s="13">
        <f>IFERROR(Q68/Q446, "NA")</f>
        <v>0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0</v>
      </c>
      <c r="X68" s="13">
        <f>IFERROR(W68/W446, "NA")</f>
        <v>0</v>
      </c>
      <c r="Y68" s="14"/>
      <c r="Z68" s="12">
        <v>0.0</v>
      </c>
      <c r="AA68" s="13">
        <f>IFERROR(Z68/Z446, "NA")</f>
        <v>0</v>
      </c>
      <c r="AB68" s="14"/>
      <c r="AC68" s="15">
        <f t="shared" si="24"/>
        <v>0</v>
      </c>
      <c r="AD68" s="13">
        <f>IFERROR(AC68/AC446, "NA")</f>
        <v>0</v>
      </c>
    </row>
    <row r="69" ht="16.5" customHeight="1">
      <c r="A69" s="11" t="s">
        <v>69</v>
      </c>
      <c r="B69" s="12">
        <v>0.0</v>
      </c>
      <c r="C69" s="13">
        <f>IFERROR(B69/B446, "NA")</f>
        <v>0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760.0</v>
      </c>
      <c r="R69" s="13">
        <f>IFERROR(Q69/Q446, "NA")</f>
        <v>0.0004861359869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760</v>
      </c>
      <c r="X69" s="13">
        <f>IFERROR(W69/W446, "NA")</f>
        <v>0.04336439213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760</v>
      </c>
      <c r="AD69" s="13">
        <f>IFERROR(AC69/AC446, "NA")</f>
        <v>0.005717017417</v>
      </c>
    </row>
    <row r="70" ht="16.5" customHeight="1">
      <c r="A70" s="11" t="s">
        <v>70</v>
      </c>
      <c r="B70" s="12">
        <v>0.0</v>
      </c>
      <c r="C70" s="13">
        <f>IFERROR(B70/B446, "NA")</f>
        <v>0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0</v>
      </c>
      <c r="I70" s="13">
        <f>IFERROR(H70/H446, "NA")</f>
        <v>0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0</v>
      </c>
      <c r="O70" s="13">
        <f>IFERROR(N70/N446, "NA")</f>
        <v>0</v>
      </c>
      <c r="P70" s="14"/>
      <c r="Q70" s="12">
        <v>2284.0</v>
      </c>
      <c r="R70" s="13">
        <f>IFERROR(Q70/Q446, "NA")</f>
        <v>0.001460966571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2284</v>
      </c>
      <c r="X70" s="13">
        <f>IFERROR(W70/W446, "NA")</f>
        <v>0.13032141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2284</v>
      </c>
      <c r="AD70" s="13">
        <f>IFERROR(AC70/AC446, "NA")</f>
        <v>0.01718114182</v>
      </c>
    </row>
    <row r="71" ht="16.5" hidden="1" customHeight="1">
      <c r="A71" s="11" t="s">
        <v>71</v>
      </c>
      <c r="B71" s="12">
        <v>0.0</v>
      </c>
      <c r="C71" s="13">
        <f>IFERROR(B71/B446, "NA")</f>
        <v>0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0</v>
      </c>
      <c r="I71" s="13">
        <f>IFERROR(H71/H446, "NA")</f>
        <v>0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0</v>
      </c>
      <c r="O71" s="13">
        <f>IFERROR(N71/N446, "NA")</f>
        <v>0</v>
      </c>
      <c r="P71" s="14"/>
      <c r="Q71" s="12">
        <v>0.0</v>
      </c>
      <c r="R71" s="13">
        <f>IFERROR(Q71/Q446, "NA")</f>
        <v>0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0</v>
      </c>
      <c r="X71" s="13">
        <f>IFERROR(W71/W446, "NA")</f>
        <v>0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0</v>
      </c>
      <c r="AD71" s="13">
        <f>IFERROR(AC71/AC446, "NA")</f>
        <v>0</v>
      </c>
    </row>
    <row r="72" ht="16.5" customHeight="1">
      <c r="A72" s="11" t="s">
        <v>72</v>
      </c>
      <c r="B72" s="12">
        <v>0.0</v>
      </c>
      <c r="C72" s="13">
        <f>IFERROR(B72/B446, "NA")</f>
        <v>0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0</v>
      </c>
      <c r="I72" s="13">
        <f>IFERROR(H72/H446, "NA")</f>
        <v>0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0</v>
      </c>
      <c r="O72" s="13">
        <f>IFERROR(N72/N446, "NA")</f>
        <v>0</v>
      </c>
      <c r="P72" s="14"/>
      <c r="Q72" s="12">
        <v>1353.8</v>
      </c>
      <c r="R72" s="13">
        <f>IFERROR(Q72/Q446, "NA")</f>
        <v>0.0008659617094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1353.8</v>
      </c>
      <c r="X72" s="13">
        <f>IFERROR(W72/W446, "NA")</f>
        <v>0.0772456764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1353.8</v>
      </c>
      <c r="AD72" s="13">
        <f>IFERROR(AC72/AC446, "NA")</f>
        <v>0.01018381339</v>
      </c>
    </row>
    <row r="73" ht="16.5" customHeight="1">
      <c r="A73" s="16" t="s">
        <v>73</v>
      </c>
      <c r="B73" s="17">
        <f>IFERROR(B64+B65+B66+B67+B68+B69+B70+B71+B72, "NA")</f>
        <v>14086.55</v>
      </c>
      <c r="C73" s="18">
        <f>IFERROR(B73/B446, "NA")</f>
        <v>0.07418522019</v>
      </c>
      <c r="D73" s="8"/>
      <c r="E73" s="17">
        <f>IFERROR(E64+E65+E66+E67+E68+E69+E70+E71+E72, "NA")</f>
        <v>15022.31</v>
      </c>
      <c r="F73" s="18">
        <f>IFERROR(E73/E446, "NA")</f>
        <v>0.08700000498</v>
      </c>
      <c r="G73" s="8"/>
      <c r="H73" s="17">
        <f t="shared" si="21"/>
        <v>-935.76</v>
      </c>
      <c r="I73" s="18">
        <f>IFERROR(H73/H446, "NA")</f>
        <v>-0.05436264654</v>
      </c>
      <c r="J73" s="8"/>
      <c r="K73" s="17">
        <f>IFERROR(K64+K65+K66+K67+K68+K69+K70+K71+K72, "NA")</f>
        <v>13331.65</v>
      </c>
      <c r="L73" s="18">
        <f>IFERROR(K73/K446, "NA")</f>
        <v>0.0839065979</v>
      </c>
      <c r="M73" s="8"/>
      <c r="N73" s="17">
        <f t="shared" si="22"/>
        <v>754.9</v>
      </c>
      <c r="O73" s="18">
        <f>IFERROR(N73/N446, "NA")</f>
        <v>0.02435418973</v>
      </c>
      <c r="P73" s="8"/>
      <c r="Q73" s="17">
        <f>IFERROR(Q64+Q65+Q66+Q67+Q68+Q69+Q70+Q71+Q72, "NA")</f>
        <v>126279.07</v>
      </c>
      <c r="R73" s="18">
        <f>IFERROR(Q73/Q446, "NA")</f>
        <v>0.08077473727</v>
      </c>
      <c r="S73" s="8"/>
      <c r="T73" s="17">
        <f>IFERROR(T64+T65+T66+T67+T68+T69+T70+T71+T72, "NA")</f>
        <v>134486.56</v>
      </c>
      <c r="U73" s="18">
        <f>IFERROR(T73/T446, "NA")</f>
        <v>0.08699999205</v>
      </c>
      <c r="V73" s="8"/>
      <c r="W73" s="17">
        <f t="shared" si="23"/>
        <v>-8207.49</v>
      </c>
      <c r="X73" s="18">
        <f>IFERROR(W73/W446, "NA")</f>
        <v>-0.4683063352</v>
      </c>
      <c r="Y73" s="8"/>
      <c r="Z73" s="17">
        <f>IFERROR(Z64+Z65+Z66+Z67+Z68+Z69+Z70+Z71+Z72, "NA")</f>
        <v>119004.08</v>
      </c>
      <c r="AA73" s="18">
        <f>IFERROR(Z73/Z446, "NA")</f>
        <v>0.08319565972</v>
      </c>
      <c r="AB73" s="8"/>
      <c r="AC73" s="17">
        <f t="shared" si="24"/>
        <v>7274.99</v>
      </c>
      <c r="AD73" s="18">
        <f>IFERROR(AC73/AC446, "NA")</f>
        <v>0.05472532176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>
        <f>IFERROR(B75/B446, "NA")</f>
        <v>0</v>
      </c>
      <c r="D75" s="14"/>
      <c r="E75" s="12">
        <v>4834.77</v>
      </c>
      <c r="F75" s="13">
        <f>IFERROR(E75/E446, "NA")</f>
        <v>0.02800002224</v>
      </c>
      <c r="G75" s="14"/>
      <c r="H75" s="15">
        <f t="shared" ref="H75:H92" si="25">IFERROR(B75-E75, "NA")</f>
        <v>-4834.77</v>
      </c>
      <c r="I75" s="13">
        <f>IFERROR(H75/H446, "NA")</f>
        <v>-0.2808742547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43283.04</v>
      </c>
      <c r="U75" s="13">
        <f>IFERROR(T75/T446, "NA")</f>
        <v>0.02800000339</v>
      </c>
      <c r="V75" s="14"/>
      <c r="W75" s="15">
        <f t="shared" ref="W75:W92" si="27">IFERROR(Q75-T75, "NA")</f>
        <v>-43283.04</v>
      </c>
      <c r="X75" s="13">
        <f>IFERROR(W75/W446, "NA")</f>
        <v>-2.469661472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>
        <f>IFERROR(B76/B446, "NA")</f>
        <v>0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1269.47</v>
      </c>
      <c r="C77" s="13">
        <f>IFERROR(B77/B446, "NA")</f>
        <v>0.00668551998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1269.47</v>
      </c>
      <c r="I77" s="13">
        <f>IFERROR(H77/H446, "NA")</f>
        <v>0.07374941107</v>
      </c>
      <c r="J77" s="14"/>
      <c r="K77" s="12">
        <v>1361.16</v>
      </c>
      <c r="L77" s="13">
        <f>IFERROR(K77/K446, "NA")</f>
        <v>0.008566854425</v>
      </c>
      <c r="M77" s="14"/>
      <c r="N77" s="15">
        <f t="shared" si="26"/>
        <v>-91.69</v>
      </c>
      <c r="O77" s="13">
        <f>IFERROR(N77/N446, "NA")</f>
        <v>-0.002958054917</v>
      </c>
      <c r="P77" s="14"/>
      <c r="Q77" s="12">
        <v>8242.71</v>
      </c>
      <c r="R77" s="13">
        <f>IFERROR(Q77/Q446, "NA")</f>
        <v>0.005272471001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8242.71</v>
      </c>
      <c r="X77" s="13">
        <f>IFERROR(W77/W446, "NA")</f>
        <v>0.4703159324</v>
      </c>
      <c r="Y77" s="14"/>
      <c r="Z77" s="12">
        <v>9818.67</v>
      </c>
      <c r="AA77" s="13">
        <f>IFERROR(Z77/Z446, "NA")</f>
        <v>0.006864224556</v>
      </c>
      <c r="AB77" s="14"/>
      <c r="AC77" s="15">
        <f t="shared" si="28"/>
        <v>-1575.96</v>
      </c>
      <c r="AD77" s="13">
        <f>IFERROR(AC77/AC446, "NA")</f>
        <v>-0.01185498785</v>
      </c>
    </row>
    <row r="78" ht="16.5" hidden="1" customHeight="1">
      <c r="A78" s="11" t="s">
        <v>77</v>
      </c>
      <c r="B78" s="12">
        <v>0.0</v>
      </c>
      <c r="C78" s="13">
        <f>IFERROR(B78/B446, "NA")</f>
        <v>0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0</v>
      </c>
      <c r="I78" s="13">
        <f>IFERROR(H78/H446, "NA")</f>
        <v>0</v>
      </c>
      <c r="J78" s="14"/>
      <c r="K78" s="12">
        <v>0.0</v>
      </c>
      <c r="L78" s="13">
        <f>IFERROR(K78/K446, "NA")</f>
        <v>0</v>
      </c>
      <c r="M78" s="14"/>
      <c r="N78" s="15">
        <f t="shared" si="26"/>
        <v>0</v>
      </c>
      <c r="O78" s="13">
        <f>IFERROR(N78/N446, "NA")</f>
        <v>0</v>
      </c>
      <c r="P78" s="14"/>
      <c r="Q78" s="12">
        <v>0.0</v>
      </c>
      <c r="R78" s="13">
        <f>IFERROR(Q78/Q446, "NA")</f>
        <v>0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0</v>
      </c>
      <c r="X78" s="13">
        <f>IFERROR(W78/W446, "NA")</f>
        <v>0</v>
      </c>
      <c r="Y78" s="14"/>
      <c r="Z78" s="12">
        <v>0.0</v>
      </c>
      <c r="AA78" s="13">
        <f>IFERROR(Z78/Z446, "NA")</f>
        <v>0</v>
      </c>
      <c r="AB78" s="14"/>
      <c r="AC78" s="15">
        <f t="shared" si="28"/>
        <v>0</v>
      </c>
      <c r="AD78" s="13">
        <f>IFERROR(AC78/AC446, "NA")</f>
        <v>0</v>
      </c>
    </row>
    <row r="79" ht="16.5" customHeight="1">
      <c r="A79" s="11" t="s">
        <v>78</v>
      </c>
      <c r="B79" s="12">
        <v>0.0</v>
      </c>
      <c r="C79" s="13">
        <f>IFERROR(B79/B446, "NA")</f>
        <v>0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8.97</v>
      </c>
      <c r="AA79" s="13">
        <f>IFERROR(Z79/Z446, "NA")</f>
        <v>0.00000627092002</v>
      </c>
      <c r="AB79" s="14"/>
      <c r="AC79" s="15">
        <f t="shared" si="28"/>
        <v>-8.97</v>
      </c>
      <c r="AD79" s="13">
        <f>IFERROR(AC79/AC446, "NA")</f>
        <v>-0.0000674758503</v>
      </c>
    </row>
    <row r="80" ht="16.5" customHeight="1">
      <c r="A80" s="11" t="s">
        <v>79</v>
      </c>
      <c r="B80" s="12">
        <v>4265.86</v>
      </c>
      <c r="C80" s="13">
        <f>IFERROR(B80/B446, "NA")</f>
        <v>0.02246566856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4265.86</v>
      </c>
      <c r="I80" s="13">
        <f>IFERROR(H80/H446, "NA")</f>
        <v>0.2478236293</v>
      </c>
      <c r="J80" s="14"/>
      <c r="K80" s="12">
        <v>3097.46</v>
      </c>
      <c r="L80" s="13">
        <f>IFERROR(K80/K446, "NA")</f>
        <v>0.01949476102</v>
      </c>
      <c r="M80" s="14"/>
      <c r="N80" s="15">
        <f t="shared" si="26"/>
        <v>1168.4</v>
      </c>
      <c r="O80" s="13">
        <f>IFERROR(N80/N446, "NA")</f>
        <v>0.03769431088</v>
      </c>
      <c r="P80" s="14"/>
      <c r="Q80" s="12">
        <v>34235.43</v>
      </c>
      <c r="R80" s="13">
        <f>IFERROR(Q80/Q446, "NA")</f>
        <v>0.0218987823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34235.43</v>
      </c>
      <c r="X80" s="13">
        <f>IFERROR(W80/W446, "NA")</f>
        <v>1.953419225</v>
      </c>
      <c r="Y80" s="14"/>
      <c r="Z80" s="12">
        <v>28180.72</v>
      </c>
      <c r="AA80" s="13">
        <f>IFERROR(Z80/Z446, "NA")</f>
        <v>0.01970111942</v>
      </c>
      <c r="AB80" s="14"/>
      <c r="AC80" s="15">
        <f t="shared" si="28"/>
        <v>6054.71</v>
      </c>
      <c r="AD80" s="13">
        <f>IFERROR(AC80/AC446, "NA")</f>
        <v>0.04554589806</v>
      </c>
    </row>
    <row r="81" ht="16.5" hidden="1" customHeight="1">
      <c r="A81" s="11" t="s">
        <v>80</v>
      </c>
      <c r="B81" s="12">
        <v>0.0</v>
      </c>
      <c r="C81" s="13">
        <f>IFERROR(B81/B446, "NA")</f>
        <v>0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hidden="1" customHeight="1">
      <c r="A82" s="11" t="s">
        <v>81</v>
      </c>
      <c r="B82" s="12">
        <v>0.0</v>
      </c>
      <c r="C82" s="13">
        <f>IFERROR(B82/B446, "NA")</f>
        <v>0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0.0</v>
      </c>
      <c r="AA82" s="13">
        <f>IFERROR(Z82/Z446, "NA")</f>
        <v>0</v>
      </c>
      <c r="AB82" s="14"/>
      <c r="AC82" s="15">
        <f t="shared" si="28"/>
        <v>0</v>
      </c>
      <c r="AD82" s="13">
        <f>IFERROR(AC82/AC446, "NA")</f>
        <v>0</v>
      </c>
    </row>
    <row r="83" ht="16.5" hidden="1" customHeight="1">
      <c r="A83" s="11" t="s">
        <v>82</v>
      </c>
      <c r="B83" s="12">
        <v>0.0</v>
      </c>
      <c r="C83" s="13">
        <f>IFERROR(B83/B446, "NA")</f>
        <v>0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0</v>
      </c>
      <c r="I83" s="13">
        <f>IFERROR(H83/H446, "NA")</f>
        <v>0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0</v>
      </c>
      <c r="O83" s="13">
        <f>IFERROR(N83/N446, "NA")</f>
        <v>0</v>
      </c>
      <c r="P83" s="14"/>
      <c r="Q83" s="12">
        <v>0.0</v>
      </c>
      <c r="R83" s="13">
        <f>IFERROR(Q83/Q446, "NA")</f>
        <v>0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0</v>
      </c>
      <c r="X83" s="13">
        <f>IFERROR(W83/W446, "NA")</f>
        <v>0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0</v>
      </c>
      <c r="AD83" s="13">
        <f>IFERROR(AC83/AC446, "NA")</f>
        <v>0</v>
      </c>
    </row>
    <row r="84" ht="16.5" hidden="1" customHeight="1">
      <c r="A84" s="11" t="s">
        <v>83</v>
      </c>
      <c r="B84" s="12">
        <v>0.0</v>
      </c>
      <c r="C84" s="13">
        <f>IFERROR(B84/B446, "NA")</f>
        <v>0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>
        <f>IFERROR(B85/B446, "NA")</f>
        <v>0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hidden="1" customHeight="1">
      <c r="A86" s="11" t="s">
        <v>85</v>
      </c>
      <c r="B86" s="12">
        <v>0.0</v>
      </c>
      <c r="C86" s="13">
        <f>IFERROR(B86/B446, "NA")</f>
        <v>0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0</v>
      </c>
      <c r="I86" s="13">
        <f>IFERROR(H86/H446, "NA")</f>
        <v>0</v>
      </c>
      <c r="J86" s="14"/>
      <c r="K86" s="12">
        <v>0.0</v>
      </c>
      <c r="L86" s="13">
        <f>IFERROR(K86/K446, "NA")</f>
        <v>0</v>
      </c>
      <c r="M86" s="14"/>
      <c r="N86" s="15">
        <f t="shared" si="26"/>
        <v>0</v>
      </c>
      <c r="O86" s="13">
        <f>IFERROR(N86/N446, "NA")</f>
        <v>0</v>
      </c>
      <c r="P86" s="14"/>
      <c r="Q86" s="12">
        <v>0.0</v>
      </c>
      <c r="R86" s="13">
        <f>IFERROR(Q86/Q446, "NA")</f>
        <v>0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0</v>
      </c>
      <c r="X86" s="13">
        <f>IFERROR(W86/W446, "NA")</f>
        <v>0</v>
      </c>
      <c r="Y86" s="14"/>
      <c r="Z86" s="12">
        <v>0.0</v>
      </c>
      <c r="AA86" s="13">
        <f>IFERROR(Z86/Z446, "NA")</f>
        <v>0</v>
      </c>
      <c r="AB86" s="14"/>
      <c r="AC86" s="15">
        <f t="shared" si="28"/>
        <v>0</v>
      </c>
      <c r="AD86" s="13">
        <f>IFERROR(AC86/AC446, "NA")</f>
        <v>0</v>
      </c>
    </row>
    <row r="87" ht="16.5" customHeight="1">
      <c r="A87" s="11" t="s">
        <v>86</v>
      </c>
      <c r="B87" s="12">
        <v>0.0</v>
      </c>
      <c r="C87" s="13">
        <f>IFERROR(B87/B446, "NA")</f>
        <v>0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988.28</v>
      </c>
      <c r="AA87" s="13">
        <f>IFERROR(Z87/Z446, "NA")</f>
        <v>0.000690905779</v>
      </c>
      <c r="AB87" s="14"/>
      <c r="AC87" s="15">
        <f t="shared" si="28"/>
        <v>-988.28</v>
      </c>
      <c r="AD87" s="13">
        <f>IFERROR(AC87/AC446, "NA")</f>
        <v>-0.007434228912</v>
      </c>
    </row>
    <row r="88" ht="16.5" customHeight="1">
      <c r="A88" s="16" t="s">
        <v>87</v>
      </c>
      <c r="B88" s="17">
        <f>IFERROR(B75+B76+B77+B78+B79+B80+B81+B82+B83+B84+B85+B86+B87, "NA")</f>
        <v>5535.33</v>
      </c>
      <c r="C88" s="18">
        <f>IFERROR(B88/B446, "NA")</f>
        <v>0.02915118854</v>
      </c>
      <c r="D88" s="8"/>
      <c r="E88" s="17">
        <f>IFERROR(E75+E76+E77+E78+E79+E80+E81+E82+E83+E84+E85+E86+E87, "NA")</f>
        <v>4834.77</v>
      </c>
      <c r="F88" s="18">
        <f>IFERROR(E88/E446, "NA")</f>
        <v>0.02800002224</v>
      </c>
      <c r="G88" s="8"/>
      <c r="H88" s="17">
        <f t="shared" si="25"/>
        <v>700.56</v>
      </c>
      <c r="I88" s="18">
        <f>IFERROR(H88/H446, "NA")</f>
        <v>0.04069878565</v>
      </c>
      <c r="J88" s="8"/>
      <c r="K88" s="17">
        <f>IFERROR(K75+K76+K77+K78+K79+K80+K81+K82+K83+K84+K85+K86+K87, "NA")</f>
        <v>4458.62</v>
      </c>
      <c r="L88" s="18">
        <f>IFERROR(K88/K446, "NA")</f>
        <v>0.02806161544</v>
      </c>
      <c r="M88" s="8"/>
      <c r="N88" s="17">
        <f t="shared" si="26"/>
        <v>1076.71</v>
      </c>
      <c r="O88" s="18">
        <f>IFERROR(N88/N446, "NA")</f>
        <v>0.03473625597</v>
      </c>
      <c r="P88" s="8"/>
      <c r="Q88" s="17">
        <f>IFERROR(Q75+Q76+Q77+Q78+Q79+Q80+Q81+Q82+Q83+Q84+Q85+Q86+Q87, "NA")</f>
        <v>42478.14</v>
      </c>
      <c r="R88" s="18">
        <f>IFERROR(Q88/Q446, "NA")</f>
        <v>0.02717125331</v>
      </c>
      <c r="S88" s="8"/>
      <c r="T88" s="17">
        <f>IFERROR(T75+T76+T77+T78+T79+T80+T81+T82+T83+T84+T85+T86+T87, "NA")</f>
        <v>43283.04</v>
      </c>
      <c r="U88" s="18">
        <f>IFERROR(T88/T446, "NA")</f>
        <v>0.02800000339</v>
      </c>
      <c r="V88" s="8"/>
      <c r="W88" s="17">
        <f t="shared" si="27"/>
        <v>-804.9</v>
      </c>
      <c r="X88" s="18">
        <f>IFERROR(W88/W446, "NA")</f>
        <v>-0.04592631477</v>
      </c>
      <c r="Y88" s="8"/>
      <c r="Z88" s="17">
        <f>IFERROR(Z75+Z76+Z77+Z78+Z79+Z80+Z81+Z82+Z83+Z84+Z85+Z86+Z87, "NA")</f>
        <v>38996.64</v>
      </c>
      <c r="AA88" s="18">
        <f>IFERROR(Z88/Z446, "NA")</f>
        <v>0.02726252068</v>
      </c>
      <c r="AB88" s="8"/>
      <c r="AC88" s="17">
        <f t="shared" si="28"/>
        <v>3481.5</v>
      </c>
      <c r="AD88" s="18">
        <f>IFERROR(AC88/AC446, "NA")</f>
        <v>0.02618920544</v>
      </c>
    </row>
    <row r="89" ht="16.5" customHeight="1">
      <c r="A89" s="11" t="s">
        <v>88</v>
      </c>
      <c r="B89" s="12">
        <v>0.0</v>
      </c>
      <c r="C89" s="13">
        <f>IFERROR(B89/B446, "NA")</f>
        <v>0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0</v>
      </c>
      <c r="I89" s="13">
        <f>IFERROR(H89/H446, "NA")</f>
        <v>0</v>
      </c>
      <c r="J89" s="14"/>
      <c r="K89" s="12">
        <v>-16.75</v>
      </c>
      <c r="L89" s="13">
        <f>IFERROR(K89/K446, "NA")</f>
        <v>-0.000105420973</v>
      </c>
      <c r="M89" s="14"/>
      <c r="N89" s="15">
        <f t="shared" si="26"/>
        <v>16.75</v>
      </c>
      <c r="O89" s="13">
        <f>IFERROR(N89/N446, "NA")</f>
        <v>0.0005403797563</v>
      </c>
      <c r="P89" s="14"/>
      <c r="Q89" s="12">
        <v>-51.0</v>
      </c>
      <c r="R89" s="13">
        <f>IFERROR(Q89/Q446, "NA")</f>
        <v>-0.00003262228333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-51</v>
      </c>
      <c r="X89" s="13">
        <f>IFERROR(W89/W446, "NA")</f>
        <v>-0.002909978945</v>
      </c>
      <c r="Y89" s="14"/>
      <c r="Z89" s="12">
        <v>196.91</v>
      </c>
      <c r="AA89" s="13">
        <f>IFERROR(Z89/Z446, "NA")</f>
        <v>0.0001376596278</v>
      </c>
      <c r="AB89" s="14"/>
      <c r="AC89" s="15">
        <f t="shared" si="28"/>
        <v>-247.91</v>
      </c>
      <c r="AD89" s="13">
        <f>IFERROR(AC89/AC446, "NA")</f>
        <v>-0.001864876037</v>
      </c>
    </row>
    <row r="90" ht="16.5" customHeight="1">
      <c r="A90" s="11" t="s">
        <v>89</v>
      </c>
      <c r="B90" s="12">
        <v>-1710.41</v>
      </c>
      <c r="C90" s="13">
        <f>IFERROR(B90/B446, "NA")</f>
        <v>-0.009007680551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-1710.41</v>
      </c>
      <c r="I90" s="13">
        <f>IFERROR(H90/H446, "NA")</f>
        <v>-0.09936566455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-1710.41</v>
      </c>
      <c r="O90" s="13">
        <f>IFERROR(N90/N446, "NA")</f>
        <v>-0.05518035457</v>
      </c>
      <c r="P90" s="14"/>
      <c r="Q90" s="12">
        <v>-1403.22</v>
      </c>
      <c r="R90" s="13">
        <f>IFERROR(Q90/Q446, "NA")</f>
        <v>-0.0008975733416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-1403.22</v>
      </c>
      <c r="X90" s="13">
        <f>IFERROR(W90/W446, "NA")</f>
        <v>-0.08006550306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-1403.22</v>
      </c>
      <c r="AD90" s="13">
        <f>IFERROR(AC90/AC446, "NA")</f>
        <v>-0.01055556997</v>
      </c>
    </row>
    <row r="91" ht="16.5" hidden="1" customHeight="1">
      <c r="A91" s="11" t="s">
        <v>90</v>
      </c>
      <c r="B91" s="12">
        <v>0.0</v>
      </c>
      <c r="C91" s="13">
        <f>IFERROR(B91/B446, "NA")</f>
        <v>0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>
        <f>IFERROR(B92/B446, "NA")</f>
        <v>0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>
        <f>IFERROR(B94/B446, "NA")</f>
        <v>0</v>
      </c>
      <c r="D94" s="14"/>
      <c r="E94" s="12">
        <v>-7079.48</v>
      </c>
      <c r="F94" s="13">
        <f>IFERROR(E94/E446, "NA")</f>
        <v>-0.04100000568</v>
      </c>
      <c r="G94" s="14"/>
      <c r="H94" s="15">
        <f t="shared" ref="H94:H124" si="29">IFERROR(B94-E94, "NA")</f>
        <v>7079.48</v>
      </c>
      <c r="I94" s="13">
        <f>IFERROR(H94/H446, "NA")</f>
        <v>0.411279889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-63378.73</v>
      </c>
      <c r="U94" s="13">
        <f>IFERROR(T94/T446, "NA")</f>
        <v>-0.04100000034</v>
      </c>
      <c r="V94" s="14"/>
      <c r="W94" s="15">
        <f t="shared" ref="W94:W124" si="31">IFERROR(Q94-T94, "NA")</f>
        <v>63378.73</v>
      </c>
      <c r="X94" s="13">
        <f>IFERROR(W94/W446, "NA")</f>
        <v>3.616289606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>
        <f>IFERROR(B95/B446, "NA")</f>
        <v>0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-1009.9</v>
      </c>
      <c r="C96" s="13">
        <f>IFERROR(B96/B446, "NA")</f>
        <v>-0.005318523973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-1009.9</v>
      </c>
      <c r="I96" s="13">
        <f>IFERROR(H96/H446, "NA")</f>
        <v>-0.05866978364</v>
      </c>
      <c r="J96" s="14"/>
      <c r="K96" s="12">
        <v>-1899.35</v>
      </c>
      <c r="L96" s="13">
        <f>IFERROR(K96/K446, "NA")</f>
        <v>-0.01195410896</v>
      </c>
      <c r="M96" s="14"/>
      <c r="N96" s="15">
        <f t="shared" si="30"/>
        <v>889.45</v>
      </c>
      <c r="O96" s="13">
        <f>IFERROR(N96/N446, "NA")</f>
        <v>0.0286949716</v>
      </c>
      <c r="P96" s="14"/>
      <c r="Q96" s="12">
        <v>-9284.06</v>
      </c>
      <c r="R96" s="13">
        <f>IFERROR(Q96/Q446, "NA")</f>
        <v>-0.005938573251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-9284.06</v>
      </c>
      <c r="X96" s="13">
        <f>IFERROR(W96/W446, "NA")</f>
        <v>-0.5297337084</v>
      </c>
      <c r="Y96" s="14"/>
      <c r="Z96" s="12">
        <v>-17074.47</v>
      </c>
      <c r="AA96" s="13">
        <f>IFERROR(Z96/Z446, "NA")</f>
        <v>-0.01193674869</v>
      </c>
      <c r="AB96" s="14"/>
      <c r="AC96" s="15">
        <f t="shared" si="32"/>
        <v>7790.41</v>
      </c>
      <c r="AD96" s="13">
        <f>IFERROR(AC96/AC446, "NA")</f>
        <v>0.0586025127</v>
      </c>
    </row>
    <row r="97" ht="16.5" hidden="1" customHeight="1">
      <c r="A97" s="11" t="s">
        <v>95</v>
      </c>
      <c r="B97" s="12">
        <v>0.0</v>
      </c>
      <c r="C97" s="13">
        <f>IFERROR(B97/B446, "NA")</f>
        <v>0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-3212.19</v>
      </c>
      <c r="C98" s="13">
        <f>IFERROR(B98/B446, "NA")</f>
        <v>-0.01691663484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-3212.19</v>
      </c>
      <c r="I98" s="13">
        <f>IFERROR(H98/H446, "NA")</f>
        <v>-0.186611043</v>
      </c>
      <c r="J98" s="14"/>
      <c r="K98" s="12">
        <v>-2559.29</v>
      </c>
      <c r="L98" s="13">
        <f>IFERROR(K98/K446, "NA")</f>
        <v>-0.01610763236</v>
      </c>
      <c r="M98" s="14"/>
      <c r="N98" s="15">
        <f t="shared" si="30"/>
        <v>-652.9</v>
      </c>
      <c r="O98" s="13">
        <f>IFERROR(N98/N446, "NA")</f>
        <v>-0.02106351898</v>
      </c>
      <c r="P98" s="14"/>
      <c r="Q98" s="12">
        <v>-14959.13</v>
      </c>
      <c r="R98" s="13">
        <f>IFERROR(Q98/Q446, "NA")</f>
        <v>-0.009568646613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-14959.13</v>
      </c>
      <c r="X98" s="13">
        <f>IFERROR(W98/W446, "NA")</f>
        <v>-0.8535441832</v>
      </c>
      <c r="Y98" s="14"/>
      <c r="Z98" s="12">
        <v>-18300.84</v>
      </c>
      <c r="AA98" s="13">
        <f>IFERROR(Z98/Z446, "NA")</f>
        <v>-0.012794103</v>
      </c>
      <c r="AB98" s="14"/>
      <c r="AC98" s="15">
        <f t="shared" si="32"/>
        <v>3341.71</v>
      </c>
      <c r="AD98" s="13">
        <f>IFERROR(AC98/AC446, "NA")</f>
        <v>0.02513765036</v>
      </c>
    </row>
    <row r="99" ht="16.5" hidden="1" customHeight="1">
      <c r="A99" s="11" t="s">
        <v>97</v>
      </c>
      <c r="B99" s="12">
        <v>0.0</v>
      </c>
      <c r="C99" s="13">
        <f>IFERROR(B99/B446, "NA")</f>
        <v>0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-1009.84</v>
      </c>
      <c r="C100" s="13">
        <f>IFERROR(B100/B446, "NA")</f>
        <v>-0.00531820799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-1009.84</v>
      </c>
      <c r="I100" s="13">
        <f>IFERROR(H100/H446, "NA")</f>
        <v>-0.05866629796</v>
      </c>
      <c r="J100" s="14"/>
      <c r="K100" s="12">
        <v>-1131.92</v>
      </c>
      <c r="L100" s="13">
        <f>IFERROR(K100/K446, "NA")</f>
        <v>-0.007124066135</v>
      </c>
      <c r="M100" s="14"/>
      <c r="N100" s="15">
        <f t="shared" si="30"/>
        <v>122.08</v>
      </c>
      <c r="O100" s="13">
        <f>IFERROR(N100/N446, "NA")</f>
        <v>0.003938481233</v>
      </c>
      <c r="P100" s="14"/>
      <c r="Q100" s="12">
        <v>-4170.39</v>
      </c>
      <c r="R100" s="13">
        <f>IFERROR(Q100/Q446, "NA")</f>
        <v>-0.002667600867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-4170.39</v>
      </c>
      <c r="X100" s="13">
        <f>IFERROR(W100/W446, "NA")</f>
        <v>-0.2379558254</v>
      </c>
      <c r="Y100" s="14"/>
      <c r="Z100" s="12">
        <v>-7414.09</v>
      </c>
      <c r="AA100" s="13">
        <f>IFERROR(Z100/Z446, "NA")</f>
        <v>-0.00518318455</v>
      </c>
      <c r="AB100" s="14"/>
      <c r="AC100" s="15">
        <f t="shared" si="32"/>
        <v>3243.7</v>
      </c>
      <c r="AD100" s="13">
        <f>IFERROR(AC100/AC446, "NA")</f>
        <v>0.02440038078</v>
      </c>
    </row>
    <row r="101" ht="16.5" customHeight="1">
      <c r="A101" s="11" t="s">
        <v>99</v>
      </c>
      <c r="B101" s="12">
        <v>0.0</v>
      </c>
      <c r="C101" s="13">
        <f>IFERROR(B101/B446, "NA")</f>
        <v>0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-78.07</v>
      </c>
      <c r="R101" s="13">
        <f>IFERROR(Q101/Q446, "NA")</f>
        <v>-0.00004993767961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-78.07</v>
      </c>
      <c r="X101" s="13">
        <f>IFERROR(W101/W446, "NA")</f>
        <v>-0.004454550123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-78.07</v>
      </c>
      <c r="AD101" s="13">
        <f>IFERROR(AC101/AC446, "NA")</f>
        <v>-0.0005872730918</v>
      </c>
    </row>
    <row r="102" ht="16.5" customHeight="1">
      <c r="A102" s="11" t="s">
        <v>100</v>
      </c>
      <c r="B102" s="12">
        <v>-2372.99</v>
      </c>
      <c r="C102" s="13">
        <f>IFERROR(B102/B446, "NA")</f>
        <v>-0.01249708308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-2372.99</v>
      </c>
      <c r="I102" s="13">
        <f>IFERROR(H102/H446, "NA")</f>
        <v>-0.1378580155</v>
      </c>
      <c r="J102" s="14"/>
      <c r="K102" s="12">
        <v>-1568.67</v>
      </c>
      <c r="L102" s="13">
        <f>IFERROR(K102/K446, "NA")</f>
        <v>-0.00987287867</v>
      </c>
      <c r="M102" s="14"/>
      <c r="N102" s="15">
        <f t="shared" si="30"/>
        <v>-804.32</v>
      </c>
      <c r="O102" s="13">
        <f>IFERROR(N102/N446, "NA")</f>
        <v>-0.02594855198</v>
      </c>
      <c r="P102" s="14"/>
      <c r="Q102" s="12">
        <v>-16265.79</v>
      </c>
      <c r="R102" s="13">
        <f>IFERROR(Q102/Q446, "NA")</f>
        <v>-0.0104044551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-16265.79</v>
      </c>
      <c r="X102" s="13">
        <f>IFERROR(W102/W446, "NA")</f>
        <v>-0.9281001261</v>
      </c>
      <c r="Y102" s="14"/>
      <c r="Z102" s="12">
        <v>-13570.5</v>
      </c>
      <c r="AA102" s="13">
        <f>IFERROR(Z102/Z446, "NA")</f>
        <v>-0.00948712599</v>
      </c>
      <c r="AB102" s="14"/>
      <c r="AC102" s="15">
        <f t="shared" si="32"/>
        <v>-2695.29</v>
      </c>
      <c r="AD102" s="13">
        <f>IFERROR(AC102/AC446, "NA")</f>
        <v>-0.02027502615</v>
      </c>
    </row>
    <row r="103" ht="16.5" customHeight="1">
      <c r="A103" s="11" t="s">
        <v>101</v>
      </c>
      <c r="B103" s="12">
        <v>-23.03</v>
      </c>
      <c r="C103" s="13">
        <f>IFERROR(B103/B446, "NA")</f>
        <v>-0.0001212848867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-23.03</v>
      </c>
      <c r="I103" s="13">
        <f>IFERROR(H103/H446, "NA")</f>
        <v>-0.001337919712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-23.03</v>
      </c>
      <c r="O103" s="13">
        <f>IFERROR(N103/N446, "NA")</f>
        <v>-0.0007429818381</v>
      </c>
      <c r="P103" s="14"/>
      <c r="Q103" s="12">
        <v>-172.78</v>
      </c>
      <c r="R103" s="13">
        <f>IFERROR(Q103/Q446, "NA")</f>
        <v>-0.0001105191787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-172.78</v>
      </c>
      <c r="X103" s="13">
        <f>IFERROR(W103/W446, "NA")</f>
        <v>-0.0098585522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-172.78</v>
      </c>
      <c r="AD103" s="13">
        <f>IFERROR(AC103/AC446, "NA")</f>
        <v>-0.001299718775</v>
      </c>
    </row>
    <row r="104" ht="16.5" customHeight="1">
      <c r="A104" s="11" t="s">
        <v>102</v>
      </c>
      <c r="B104" s="12">
        <v>-211.02</v>
      </c>
      <c r="C104" s="13">
        <f>IFERROR(B104/B446, "NA")</f>
        <v>-0.001111312931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-211.02</v>
      </c>
      <c r="I104" s="13">
        <f>IFERROR(H104/H446, "NA")</f>
        <v>-0.01225913233</v>
      </c>
      <c r="J104" s="14"/>
      <c r="K104" s="12">
        <v>-724.7</v>
      </c>
      <c r="L104" s="13">
        <f>IFERROR(K104/K446, "NA")</f>
        <v>-0.004561109202</v>
      </c>
      <c r="M104" s="14"/>
      <c r="N104" s="15">
        <f t="shared" si="30"/>
        <v>513.68</v>
      </c>
      <c r="O104" s="13">
        <f>IFERROR(N104/N446, "NA")</f>
        <v>0.01657207601</v>
      </c>
      <c r="P104" s="14"/>
      <c r="Q104" s="12">
        <v>-3586.7</v>
      </c>
      <c r="R104" s="13">
        <f>IFERROR(Q104/Q446, "NA")</f>
        <v>-0.002294242032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-3586.7</v>
      </c>
      <c r="X104" s="13">
        <f>IFERROR(W104/W446, "NA")</f>
        <v>-0.2046514016</v>
      </c>
      <c r="Y104" s="14"/>
      <c r="Z104" s="12">
        <v>-5447.65</v>
      </c>
      <c r="AA104" s="13">
        <f>IFERROR(Z104/Z446, "NA")</f>
        <v>-0.003808447876</v>
      </c>
      <c r="AB104" s="14"/>
      <c r="AC104" s="15">
        <f t="shared" si="32"/>
        <v>1860.95</v>
      </c>
      <c r="AD104" s="13">
        <f>IFERROR(AC104/AC446, "NA")</f>
        <v>0.01399879416</v>
      </c>
    </row>
    <row r="105" ht="16.5" hidden="1" customHeight="1">
      <c r="A105" s="11" t="s">
        <v>103</v>
      </c>
      <c r="B105" s="12">
        <v>0.0</v>
      </c>
      <c r="C105" s="13">
        <f>IFERROR(B105/B446, "NA")</f>
        <v>0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-1870.9</v>
      </c>
      <c r="C106" s="13">
        <f>IFERROR(B106/B446, "NA")</f>
        <v>-0.00985288296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-1870.9</v>
      </c>
      <c r="I106" s="13">
        <f>IFERROR(H106/H446, "NA")</f>
        <v>-0.1086892744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-1870.9</v>
      </c>
      <c r="O106" s="13">
        <f>IFERROR(N106/N446, "NA")</f>
        <v>-0.06035799917</v>
      </c>
      <c r="P106" s="14"/>
      <c r="Q106" s="12">
        <v>-3247.7</v>
      </c>
      <c r="R106" s="13">
        <f>IFERROR(Q106/Q446, "NA")</f>
        <v>-0.002077399796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-3247.7</v>
      </c>
      <c r="X106" s="13">
        <f>IFERROR(W106/W446, "NA")</f>
        <v>-0.1853086004</v>
      </c>
      <c r="Y106" s="14"/>
      <c r="Z106" s="12">
        <v>-1762.06</v>
      </c>
      <c r="AA106" s="13">
        <f>IFERROR(Z106/Z446, "NA")</f>
        <v>-0.001231854775</v>
      </c>
      <c r="AB106" s="14"/>
      <c r="AC106" s="15">
        <f t="shared" si="32"/>
        <v>-1485.64</v>
      </c>
      <c r="AD106" s="13">
        <f>IFERROR(AC106/AC446, "NA")</f>
        <v>-0.01117556547</v>
      </c>
    </row>
    <row r="107" ht="16.5" hidden="1" customHeight="1">
      <c r="A107" s="11" t="s">
        <v>105</v>
      </c>
      <c r="B107" s="12">
        <v>0.0</v>
      </c>
      <c r="C107" s="13">
        <f>IFERROR(B107/B446, "NA")</f>
        <v>0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>
        <f>IFERROR(B108/B446, "NA")</f>
        <v>0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>
        <f>IFERROR(B109/B446, "NA")</f>
        <v>0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>
        <f>IFERROR(B110/B446, "NA")</f>
        <v>0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>
        <f>IFERROR(B111/B446, "NA")</f>
        <v>0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>
        <f>IFERROR(B112/B446, "NA")</f>
        <v>0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>
        <f>IFERROR(B113/B446, "NA")</f>
        <v>0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>
        <f>IFERROR(B114/B446, "NA")</f>
        <v>0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>
        <f>IFERROR(B115/B446, "NA")</f>
        <v>0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>
        <f>IFERROR(B116/B446, "NA")</f>
        <v>0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>
        <f>IFERROR(B117/B446, "NA")</f>
        <v>0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-9709.87</v>
      </c>
      <c r="C118" s="18">
        <f>IFERROR(B118/B446, "NA")</f>
        <v>-0.05113593066</v>
      </c>
      <c r="D118" s="8"/>
      <c r="E118" s="17">
        <f>IFERROR(E94+E95+E96+E97+E98+E99+E100+E101+E102+E103+E104+E105+E106+E107+E108+E109+E110+E111+E112+E113+E114+E115+E116+E117, "NA")</f>
        <v>-7079.48</v>
      </c>
      <c r="F118" s="18">
        <f>IFERROR(E118/E446, "NA")</f>
        <v>-0.04100000568</v>
      </c>
      <c r="G118" s="8"/>
      <c r="H118" s="17">
        <f t="shared" si="29"/>
        <v>-2630.39</v>
      </c>
      <c r="I118" s="18">
        <f>IFERROR(H118/H446, "NA")</f>
        <v>-0.1528115776</v>
      </c>
      <c r="J118" s="8"/>
      <c r="K118" s="17">
        <f>IFERROR(K94+K95+K96+K97+K98+K99+K100+K101+K102+K103+K104+K105+K106+K107+K108+K109+K110+K111+K112+K113+K114+K115+K116+K117, "NA")</f>
        <v>-7883.93</v>
      </c>
      <c r="L118" s="18">
        <f>IFERROR(K118/K446, "NA")</f>
        <v>-0.04961979533</v>
      </c>
      <c r="M118" s="8"/>
      <c r="N118" s="17">
        <f t="shared" si="30"/>
        <v>-1825.94</v>
      </c>
      <c r="O118" s="18">
        <f>IFERROR(N118/N446, "NA")</f>
        <v>-0.05890752312</v>
      </c>
      <c r="P118" s="8"/>
      <c r="Q118" s="17">
        <f>IFERROR(Q94+Q95+Q96+Q97+Q98+Q99+Q100+Q101+Q102+Q103+Q104+Q105+Q106+Q107+Q108+Q109+Q110+Q111+Q112+Q113+Q114+Q115+Q116+Q117, "NA")</f>
        <v>-51764.62</v>
      </c>
      <c r="R118" s="18">
        <f>IFERROR(Q118/Q446, "NA")</f>
        <v>-0.03311137452</v>
      </c>
      <c r="S118" s="8"/>
      <c r="T118" s="17">
        <f>IFERROR(T94+T95+T96+T97+T98+T99+T100+T101+T102+T103+T104+T105+T106+T107+T108+T109+T110+T111+T112+T113+T114+T115+T116+T117, "NA")</f>
        <v>-63378.73</v>
      </c>
      <c r="U118" s="18">
        <f>IFERROR(T118/T446, "NA")</f>
        <v>-0.04100000034</v>
      </c>
      <c r="V118" s="8"/>
      <c r="W118" s="17">
        <f t="shared" si="31"/>
        <v>11614.11</v>
      </c>
      <c r="X118" s="18">
        <f>IFERROR(W118/W446, "NA")</f>
        <v>0.6626826582</v>
      </c>
      <c r="Y118" s="8"/>
      <c r="Z118" s="17">
        <f>IFERROR(Z94+Z95+Z96+Z97+Z98+Z99+Z100+Z101+Z102+Z103+Z104+Z105+Z106+Z107+Z108+Z109+Z110+Z111+Z112+Z113+Z114+Z115+Z116+Z117, "NA")</f>
        <v>-63569.61</v>
      </c>
      <c r="AA118" s="18">
        <f>IFERROR(Z118/Z446, "NA")</f>
        <v>-0.04444146488</v>
      </c>
      <c r="AB118" s="8"/>
      <c r="AC118" s="17">
        <f t="shared" si="32"/>
        <v>11804.99</v>
      </c>
      <c r="AD118" s="18">
        <f>IFERROR(AC118/AC446, "NA")</f>
        <v>0.08880175452</v>
      </c>
    </row>
    <row r="119" ht="16.5" hidden="1" customHeight="1">
      <c r="A119" s="11" t="s">
        <v>117</v>
      </c>
      <c r="B119" s="12">
        <v>0.0</v>
      </c>
      <c r="C119" s="13">
        <f>IFERROR(B119/B446, "NA")</f>
        <v>0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>
        <f>IFERROR(B120/B446, "NA")</f>
        <v>0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>
        <f>IFERROR(B121/B446, "NA")</f>
        <v>0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189883.51</v>
      </c>
      <c r="C122" s="18">
        <f>IFERROR(B122/B446, "NA")</f>
        <v>1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172670.22</v>
      </c>
      <c r="F122" s="18">
        <f>IFERROR(E122/E446, "NA")</f>
        <v>1</v>
      </c>
      <c r="G122" s="8"/>
      <c r="H122" s="17">
        <f t="shared" si="29"/>
        <v>17213.29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158886.79</v>
      </c>
      <c r="L122" s="18">
        <f>IFERROR(K122/K446, "NA")</f>
        <v>1</v>
      </c>
      <c r="M122" s="8"/>
      <c r="N122" s="17">
        <f t="shared" si="30"/>
        <v>30996.72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1563348.57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1545822.67</v>
      </c>
      <c r="U122" s="18">
        <f>IFERROR(T122/T446, "NA")</f>
        <v>1</v>
      </c>
      <c r="V122" s="8"/>
      <c r="W122" s="17">
        <f t="shared" si="31"/>
        <v>17525.9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1430412.12</v>
      </c>
      <c r="AA122" s="18">
        <f>IFERROR(Z122/Z446, "NA")</f>
        <v>1</v>
      </c>
      <c r="AB122" s="8"/>
      <c r="AC122" s="17">
        <f t="shared" si="32"/>
        <v>132936.45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>
        <f>IFERROR(B123/B446, "NA")</f>
        <v>0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189883.51</v>
      </c>
      <c r="C124" s="18">
        <f>IFERROR(B124/B446, "NA")</f>
        <v>1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172670.22</v>
      </c>
      <c r="F124" s="18">
        <f>IFERROR(E124/E446, "NA")</f>
        <v>1</v>
      </c>
      <c r="G124" s="8"/>
      <c r="H124" s="17">
        <f t="shared" si="29"/>
        <v>17213.29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158886.79</v>
      </c>
      <c r="L124" s="18">
        <f>IFERROR(K124/K446, "NA")</f>
        <v>1</v>
      </c>
      <c r="M124" s="8"/>
      <c r="N124" s="17">
        <f t="shared" si="30"/>
        <v>30996.72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1563348.57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1545822.67</v>
      </c>
      <c r="U124" s="18">
        <f>IFERROR(T124/T446, "NA")</f>
        <v>1</v>
      </c>
      <c r="V124" s="8"/>
      <c r="W124" s="17">
        <f t="shared" si="31"/>
        <v>17525.9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1430412.12</v>
      </c>
      <c r="AA124" s="18">
        <f>IFERROR(Z124/Z446, "NA")</f>
        <v>1</v>
      </c>
      <c r="AB124" s="8"/>
      <c r="AC124" s="17">
        <f t="shared" si="32"/>
        <v>132936.45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>
        <f>IFERROR(B127/B446, "NA")</f>
        <v>0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>
        <f>IFERROR(B129/B446, "NA")</f>
        <v>0</v>
      </c>
      <c r="D129" s="14"/>
      <c r="E129" s="12">
        <v>35224.72</v>
      </c>
      <c r="F129" s="13">
        <f>IFERROR(E129/E446, "NA")</f>
        <v>0.2039999717</v>
      </c>
      <c r="G129" s="14"/>
      <c r="H129" s="15">
        <f t="shared" ref="H129:H141" si="33">IFERROR(-(B129-E129), "NA")</f>
        <v>35224.72</v>
      </c>
      <c r="I129" s="13">
        <f>IFERROR(H129/H446, "NA")</f>
        <v>2.046367661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316911.68</v>
      </c>
      <c r="U129" s="13">
        <f>IFERROR(T129/T446, "NA")</f>
        <v>0.2050116654</v>
      </c>
      <c r="V129" s="14"/>
      <c r="W129" s="15">
        <f t="shared" ref="W129:W141" si="35">IFERROR(-(Q129-T129), "NA")</f>
        <v>316911.68</v>
      </c>
      <c r="X129" s="13">
        <f>IFERROR(W129/W446, "NA")</f>
        <v>18.08247679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7792.13</v>
      </c>
      <c r="C130" s="13">
        <f>IFERROR(B130/B446, "NA")</f>
        <v>0.04103637014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-7792.13</v>
      </c>
      <c r="I130" s="13">
        <f>IFERROR(H130/H446, "NA")</f>
        <v>-0.4526810389</v>
      </c>
      <c r="J130" s="14"/>
      <c r="K130" s="12">
        <v>6712.5</v>
      </c>
      <c r="L130" s="13">
        <f>IFERROR(K130/K446, "NA")</f>
        <v>0.04224706157</v>
      </c>
      <c r="M130" s="14"/>
      <c r="N130" s="15">
        <f t="shared" si="34"/>
        <v>-1079.63</v>
      </c>
      <c r="O130" s="13">
        <f>IFERROR(N130/N446, "NA")</f>
        <v>-0.03483045948</v>
      </c>
      <c r="P130" s="14"/>
      <c r="Q130" s="12">
        <v>71282.89</v>
      </c>
      <c r="R130" s="13">
        <f>IFERROR(Q130/Q446, "NA")</f>
        <v>0.04559628695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-71282.89</v>
      </c>
      <c r="X130" s="13">
        <f>IFERROR(W130/W446, "NA")</f>
        <v>-4.067288413</v>
      </c>
      <c r="Y130" s="14"/>
      <c r="Z130" s="12">
        <v>74463.16</v>
      </c>
      <c r="AA130" s="13">
        <f>IFERROR(Z130/Z446, "NA")</f>
        <v>0.05205713721</v>
      </c>
      <c r="AB130" s="14"/>
      <c r="AC130" s="15">
        <f t="shared" si="36"/>
        <v>3180.27</v>
      </c>
      <c r="AD130" s="13">
        <f>IFERROR(AC130/AC446, "NA")</f>
        <v>0.0239232355</v>
      </c>
    </row>
    <row r="131" ht="16.5" customHeight="1">
      <c r="A131" s="11" t="s">
        <v>126</v>
      </c>
      <c r="B131" s="12">
        <v>4641.98</v>
      </c>
      <c r="C131" s="13">
        <f>IFERROR(B131/B446, "NA")</f>
        <v>0.02444646194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-4641.98</v>
      </c>
      <c r="I131" s="13">
        <f>IFERROR(H131/H446, "NA")</f>
        <v>-0.2696741878</v>
      </c>
      <c r="J131" s="14"/>
      <c r="K131" s="12">
        <v>3902.16</v>
      </c>
      <c r="L131" s="13">
        <f>IFERROR(K131/K446, "NA")</f>
        <v>0.02455937338</v>
      </c>
      <c r="M131" s="14"/>
      <c r="N131" s="15">
        <f t="shared" si="34"/>
        <v>-739.82</v>
      </c>
      <c r="O131" s="13">
        <f>IFERROR(N131/N446, "NA")</f>
        <v>-0.02386768665</v>
      </c>
      <c r="P131" s="14"/>
      <c r="Q131" s="12">
        <v>39000.31</v>
      </c>
      <c r="R131" s="13">
        <f>IFERROR(Q131/Q446, "NA")</f>
        <v>0.02494665025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-39000.31</v>
      </c>
      <c r="X131" s="13">
        <f>IFERROR(W131/W446, "NA")</f>
        <v>-2.225295705</v>
      </c>
      <c r="Y131" s="14"/>
      <c r="Z131" s="12">
        <v>38523.01</v>
      </c>
      <c r="AA131" s="13">
        <f>IFERROR(Z131/Z446, "NA")</f>
        <v>0.02693140631</v>
      </c>
      <c r="AB131" s="14"/>
      <c r="AC131" s="15">
        <f t="shared" si="36"/>
        <v>-477.3</v>
      </c>
      <c r="AD131" s="13">
        <f>IFERROR(AC131/AC446, "NA")</f>
        <v>-0.003590437386</v>
      </c>
    </row>
    <row r="132" ht="16.5" customHeight="1">
      <c r="A132" s="11" t="s">
        <v>127</v>
      </c>
      <c r="B132" s="12">
        <v>5729.48</v>
      </c>
      <c r="C132" s="13">
        <f>IFERROR(B132/B446, "NA")</f>
        <v>0.03017365752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-5729.48</v>
      </c>
      <c r="I132" s="13">
        <f>IFERROR(H132/H446, "NA")</f>
        <v>-0.332852116</v>
      </c>
      <c r="J132" s="14"/>
      <c r="K132" s="12">
        <v>8653.77</v>
      </c>
      <c r="L132" s="13">
        <f>IFERROR(K132/K446, "NA")</f>
        <v>0.05446500618</v>
      </c>
      <c r="M132" s="14"/>
      <c r="N132" s="15">
        <f t="shared" si="34"/>
        <v>2924.29</v>
      </c>
      <c r="O132" s="13">
        <f>IFERROR(N132/N446, "NA")</f>
        <v>0.09434191747</v>
      </c>
      <c r="P132" s="14"/>
      <c r="Q132" s="12">
        <v>56099.34</v>
      </c>
      <c r="R132" s="13">
        <f>IFERROR(Q132/Q446, "NA")</f>
        <v>0.0358840895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-56099.34</v>
      </c>
      <c r="X132" s="13">
        <f>IFERROR(W132/W446, "NA")</f>
        <v>-3.200939181</v>
      </c>
      <c r="Y132" s="14"/>
      <c r="Z132" s="12">
        <v>63960.41</v>
      </c>
      <c r="AA132" s="13">
        <f>IFERROR(Z132/Z446, "NA")</f>
        <v>0.04471467286</v>
      </c>
      <c r="AB132" s="14"/>
      <c r="AC132" s="15">
        <f t="shared" si="36"/>
        <v>7861.07</v>
      </c>
      <c r="AD132" s="13">
        <f>IFERROR(AC132/AC446, "NA")</f>
        <v>0.05913404488</v>
      </c>
    </row>
    <row r="133" ht="16.5" customHeight="1">
      <c r="A133" s="11" t="s">
        <v>128</v>
      </c>
      <c r="B133" s="12">
        <v>3468.79</v>
      </c>
      <c r="C133" s="13">
        <f>IFERROR(B133/B446, "NA")</f>
        <v>0.01826798967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-3468.79</v>
      </c>
      <c r="I133" s="13">
        <f>IFERROR(H133/H446, "NA")</f>
        <v>-0.2015181293</v>
      </c>
      <c r="J133" s="14"/>
      <c r="K133" s="12">
        <v>3646.64</v>
      </c>
      <c r="L133" s="13">
        <f>IFERROR(K133/K446, "NA")</f>
        <v>0.0229511843</v>
      </c>
      <c r="M133" s="14"/>
      <c r="N133" s="15">
        <f t="shared" si="34"/>
        <v>177.85</v>
      </c>
      <c r="O133" s="13">
        <f>IFERROR(N133/N446, "NA")</f>
        <v>0.00573770386</v>
      </c>
      <c r="P133" s="14"/>
      <c r="Q133" s="12">
        <v>32080.93</v>
      </c>
      <c r="R133" s="13">
        <f>IFERROR(Q133/Q446, "NA")</f>
        <v>0.02052065075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-32080.93</v>
      </c>
      <c r="X133" s="13">
        <f>IFERROR(W133/W446, "NA")</f>
        <v>-1.830486879</v>
      </c>
      <c r="Y133" s="14"/>
      <c r="Z133" s="12">
        <v>31772.81</v>
      </c>
      <c r="AA133" s="13">
        <f>IFERROR(Z133/Z446, "NA")</f>
        <v>0.02221234675</v>
      </c>
      <c r="AB133" s="14"/>
      <c r="AC133" s="15">
        <f t="shared" si="36"/>
        <v>-308.12</v>
      </c>
      <c r="AD133" s="13">
        <f>IFERROR(AC133/AC446, "NA")</f>
        <v>-0.002317799219</v>
      </c>
    </row>
    <row r="134" ht="16.5" customHeight="1">
      <c r="A134" s="11" t="s">
        <v>129</v>
      </c>
      <c r="B134" s="12">
        <v>2587.85</v>
      </c>
      <c r="C134" s="13">
        <f>IFERROR(B134/B446, "NA")</f>
        <v>0.01362861894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-2587.85</v>
      </c>
      <c r="I134" s="13">
        <f>IFERROR(H134/H446, "NA")</f>
        <v>-0.1503402313</v>
      </c>
      <c r="J134" s="14"/>
      <c r="K134" s="12">
        <v>1220.18</v>
      </c>
      <c r="L134" s="13">
        <f>IFERROR(K134/K446, "NA")</f>
        <v>0.007679555991</v>
      </c>
      <c r="M134" s="14"/>
      <c r="N134" s="15">
        <f t="shared" si="34"/>
        <v>-1367.67</v>
      </c>
      <c r="O134" s="13">
        <f>IFERROR(N134/N446, "NA")</f>
        <v>-0.0441230556</v>
      </c>
      <c r="P134" s="14"/>
      <c r="Q134" s="12">
        <v>17392.32</v>
      </c>
      <c r="R134" s="13">
        <f>IFERROR(Q134/Q446, "NA")</f>
        <v>0.01112504296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-17392.32</v>
      </c>
      <c r="X134" s="13">
        <f>IFERROR(W134/W446, "NA")</f>
        <v>-0.9923781375</v>
      </c>
      <c r="Y134" s="14"/>
      <c r="Z134" s="12">
        <v>12295.91</v>
      </c>
      <c r="AA134" s="13">
        <f>IFERROR(Z134/Z446, "NA")</f>
        <v>0.008596061113</v>
      </c>
      <c r="AB134" s="14"/>
      <c r="AC134" s="15">
        <f t="shared" si="36"/>
        <v>-5096.41</v>
      </c>
      <c r="AD134" s="13">
        <f>IFERROR(AC134/AC446, "NA")</f>
        <v>-0.03833719044</v>
      </c>
    </row>
    <row r="135" ht="16.5" customHeight="1">
      <c r="A135" s="11" t="s">
        <v>130</v>
      </c>
      <c r="B135" s="12">
        <v>1988.15</v>
      </c>
      <c r="C135" s="13">
        <f>IFERROR(B135/B446, "NA")</f>
        <v>0.01047036681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-1988.15</v>
      </c>
      <c r="I135" s="13">
        <f>IFERROR(H135/H446, "NA")</f>
        <v>-0.1155008717</v>
      </c>
      <c r="J135" s="14"/>
      <c r="K135" s="12">
        <v>1821.73</v>
      </c>
      <c r="L135" s="13">
        <f>IFERROR(K135/K446, "NA")</f>
        <v>0.01146558502</v>
      </c>
      <c r="M135" s="14"/>
      <c r="N135" s="15">
        <f t="shared" si="34"/>
        <v>-166.42</v>
      </c>
      <c r="O135" s="13">
        <f>IFERROR(N135/N446, "NA")</f>
        <v>-0.005368955167</v>
      </c>
      <c r="P135" s="14"/>
      <c r="Q135" s="12">
        <v>15457.69</v>
      </c>
      <c r="R135" s="13">
        <f>IFERROR(Q135/Q446, "NA")</f>
        <v>0.009887551821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-15457.69</v>
      </c>
      <c r="X135" s="13">
        <f>IFERROR(W135/W446, "NA")</f>
        <v>-0.8819912244</v>
      </c>
      <c r="Y135" s="14"/>
      <c r="Z135" s="12">
        <v>13982.47</v>
      </c>
      <c r="AA135" s="13">
        <f>IFERROR(Z135/Z446, "NA")</f>
        <v>0.009775133896</v>
      </c>
      <c r="AB135" s="14"/>
      <c r="AC135" s="15">
        <f t="shared" si="36"/>
        <v>-1475.22</v>
      </c>
      <c r="AD135" s="13">
        <f>IFERROR(AC135/AC446, "NA")</f>
        <v>-0.01109718215</v>
      </c>
    </row>
    <row r="136" ht="16.5" customHeight="1">
      <c r="A136" s="11" t="s">
        <v>131</v>
      </c>
      <c r="B136" s="12">
        <v>0.0</v>
      </c>
      <c r="C136" s="13">
        <f>IFERROR(B136/B446, "NA")</f>
        <v>0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6328.65</v>
      </c>
      <c r="AA136" s="13">
        <f>IFERROR(Z136/Z446, "NA")</f>
        <v>0.00442435429</v>
      </c>
      <c r="AB136" s="14"/>
      <c r="AC136" s="15">
        <f t="shared" si="36"/>
        <v>6328.65</v>
      </c>
      <c r="AD136" s="13">
        <f>IFERROR(AC136/AC446, "NA")</f>
        <v>0.04760658194</v>
      </c>
    </row>
    <row r="137" ht="16.5" customHeight="1">
      <c r="A137" s="11" t="s">
        <v>132</v>
      </c>
      <c r="B137" s="12">
        <v>994.96</v>
      </c>
      <c r="C137" s="13">
        <f>IFERROR(B137/B446, "NA")</f>
        <v>0.005239844155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-994.96</v>
      </c>
      <c r="I137" s="13">
        <f>IFERROR(H137/H446, "NA")</f>
        <v>-0.05780184962</v>
      </c>
      <c r="J137" s="14"/>
      <c r="K137" s="12">
        <v>987.0</v>
      </c>
      <c r="L137" s="13">
        <f>IFERROR(K137/K446, "NA")</f>
        <v>0.006211970171</v>
      </c>
      <c r="M137" s="14"/>
      <c r="N137" s="15">
        <f t="shared" si="34"/>
        <v>-7.96</v>
      </c>
      <c r="O137" s="13">
        <f>IFERROR(N137/N446, "NA")</f>
        <v>-0.0002568013648</v>
      </c>
      <c r="P137" s="14"/>
      <c r="Q137" s="12">
        <v>6965.16</v>
      </c>
      <c r="R137" s="13">
        <f>IFERROR(Q137/Q446, "NA")</f>
        <v>0.004455282804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-6965.16</v>
      </c>
      <c r="X137" s="13">
        <f>IFERROR(W137/W446, "NA")</f>
        <v>-0.3974209598</v>
      </c>
      <c r="Y137" s="14"/>
      <c r="Z137" s="12">
        <v>7015.92</v>
      </c>
      <c r="AA137" s="13">
        <f>IFERROR(Z137/Z446, "NA")</f>
        <v>0.004904824212</v>
      </c>
      <c r="AB137" s="14"/>
      <c r="AC137" s="15">
        <f t="shared" si="36"/>
        <v>50.76</v>
      </c>
      <c r="AD137" s="13">
        <f>IFERROR(AC137/AC446, "NA")</f>
        <v>0.0003818365843</v>
      </c>
    </row>
    <row r="138" ht="16.5" customHeight="1">
      <c r="A138" s="11" t="s">
        <v>133</v>
      </c>
      <c r="B138" s="12">
        <v>10967.08</v>
      </c>
      <c r="C138" s="13">
        <f>IFERROR(B138/B446, "NA")</f>
        <v>0.05775688473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-10967.08</v>
      </c>
      <c r="I138" s="13">
        <f>IFERROR(H138/H446, "NA")</f>
        <v>-0.6371286372</v>
      </c>
      <c r="J138" s="14"/>
      <c r="K138" s="12">
        <v>8668.61</v>
      </c>
      <c r="L138" s="13">
        <f>IFERROR(K138/K446, "NA")</f>
        <v>0.05455840602</v>
      </c>
      <c r="M138" s="14"/>
      <c r="N138" s="15">
        <f t="shared" si="34"/>
        <v>-2298.47</v>
      </c>
      <c r="O138" s="13">
        <f>IFERROR(N138/N446, "NA")</f>
        <v>-0.07415203931</v>
      </c>
      <c r="P138" s="14"/>
      <c r="Q138" s="12">
        <v>90326.64</v>
      </c>
      <c r="R138" s="13">
        <f>IFERROR(Q138/Q446, "NA")</f>
        <v>0.05777767142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-90326.64</v>
      </c>
      <c r="X138" s="13">
        <f>IFERROR(W138/W446, "NA")</f>
        <v>-5.153894522</v>
      </c>
      <c r="Y138" s="14"/>
      <c r="Z138" s="12">
        <v>77987.67</v>
      </c>
      <c r="AA138" s="13">
        <f>IFERROR(Z138/Z446, "NA")</f>
        <v>0.05452111941</v>
      </c>
      <c r="AB138" s="14"/>
      <c r="AC138" s="15">
        <f t="shared" si="36"/>
        <v>-12338.97</v>
      </c>
      <c r="AD138" s="13">
        <f>IFERROR(AC138/AC446, "NA")</f>
        <v>-0.09281856105</v>
      </c>
    </row>
    <row r="139" ht="16.5" hidden="1" customHeight="1">
      <c r="A139" s="11" t="s">
        <v>134</v>
      </c>
      <c r="B139" s="12">
        <v>0.0</v>
      </c>
      <c r="C139" s="13">
        <f>IFERROR(B139/B446, "NA")</f>
        <v>0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hidden="1" customHeight="1">
      <c r="A140" s="11" t="s">
        <v>135</v>
      </c>
      <c r="B140" s="12">
        <v>0.0</v>
      </c>
      <c r="C140" s="13">
        <f>IFERROR(B140/B446, "NA")</f>
        <v>0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0.0</v>
      </c>
      <c r="L140" s="13">
        <f>IFERROR(K140/K446, "NA")</f>
        <v>0</v>
      </c>
      <c r="M140" s="14"/>
      <c r="N140" s="15">
        <f t="shared" si="34"/>
        <v>0</v>
      </c>
      <c r="O140" s="13">
        <f>IFERROR(N140/N446, "NA")</f>
        <v>0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0.0</v>
      </c>
      <c r="AA140" s="13">
        <f>IFERROR(Z140/Z446, "NA")</f>
        <v>0</v>
      </c>
      <c r="AB140" s="14"/>
      <c r="AC140" s="15">
        <f t="shared" si="36"/>
        <v>0</v>
      </c>
      <c r="AD140" s="13">
        <f>IFERROR(AC140/AC446, "NA")</f>
        <v>0</v>
      </c>
    </row>
    <row r="141" ht="16.5" customHeight="1">
      <c r="A141" s="16" t="s">
        <v>136</v>
      </c>
      <c r="B141" s="17">
        <f>IFERROR(B129+B130+B131+B132+B133+B134+B135+B136+B137+B138+B139+B140, "NA")</f>
        <v>38170.42</v>
      </c>
      <c r="C141" s="18">
        <f>IFERROR(B141/B446, "NA")</f>
        <v>0.2010201939</v>
      </c>
      <c r="D141" s="8"/>
      <c r="E141" s="17">
        <f>IFERROR(E129+E130+E131+E132+E133+E134+E135+E136+E137+E138+E139+E140, "NA")</f>
        <v>35224.72</v>
      </c>
      <c r="F141" s="18">
        <f>IFERROR(E141/E446, "NA")</f>
        <v>0.2039999717</v>
      </c>
      <c r="G141" s="8"/>
      <c r="H141" s="17">
        <f t="shared" si="33"/>
        <v>-2945.7</v>
      </c>
      <c r="I141" s="18">
        <f>IFERROR(H141/H446, "NA")</f>
        <v>-0.1711294006</v>
      </c>
      <c r="J141" s="8"/>
      <c r="K141" s="17">
        <f>IFERROR(K129+K130+K131+K132+K133+K134+K135+K136+K137+K138+K139+K140, "NA")</f>
        <v>35612.59</v>
      </c>
      <c r="L141" s="18">
        <f>IFERROR(K141/K446, "NA")</f>
        <v>0.2241381426</v>
      </c>
      <c r="M141" s="8"/>
      <c r="N141" s="17">
        <f t="shared" si="34"/>
        <v>-2557.83</v>
      </c>
      <c r="O141" s="18">
        <f>IFERROR(N141/N446, "NA")</f>
        <v>-0.08251937624</v>
      </c>
      <c r="P141" s="8"/>
      <c r="Q141" s="17">
        <f>IFERROR(Q129+Q130+Q131+Q132+Q133+Q134+Q135+Q136+Q137+Q138+Q139+Q140, "NA")</f>
        <v>328605.28</v>
      </c>
      <c r="R141" s="18">
        <f>IFERROR(Q141/Q446, "NA")</f>
        <v>0.2101932265</v>
      </c>
      <c r="S141" s="8"/>
      <c r="T141" s="17">
        <f>IFERROR(T129+T130+T131+T132+T133+T134+T135+T136+T137+T138+T139+T140, "NA")</f>
        <v>316911.68</v>
      </c>
      <c r="U141" s="18">
        <f>IFERROR(T141/T446, "NA")</f>
        <v>0.2050116654</v>
      </c>
      <c r="V141" s="8"/>
      <c r="W141" s="17">
        <f t="shared" si="35"/>
        <v>-11693.6</v>
      </c>
      <c r="X141" s="18">
        <f>IFERROR(W141/W446, "NA")</f>
        <v>-0.6672182313</v>
      </c>
      <c r="Y141" s="8"/>
      <c r="Z141" s="17">
        <f>IFERROR(Z129+Z130+Z131+Z132+Z133+Z134+Z135+Z136+Z137+Z138+Z139+Z140, "NA")</f>
        <v>326330.01</v>
      </c>
      <c r="AA141" s="18">
        <f>IFERROR(Z141/Z446, "NA")</f>
        <v>0.2281370561</v>
      </c>
      <c r="AB141" s="8"/>
      <c r="AC141" s="17">
        <f t="shared" si="36"/>
        <v>-2275.27</v>
      </c>
      <c r="AD141" s="18">
        <f>IFERROR(AC141/AC446, "NA")</f>
        <v>-0.01711547134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>
        <f>IFERROR(B143/B446, "NA")</f>
        <v>0</v>
      </c>
      <c r="D143" s="14"/>
      <c r="E143" s="12">
        <v>1554.03</v>
      </c>
      <c r="F143" s="13">
        <f>IFERROR(E143/E446, "NA")</f>
        <v>0.008999988533</v>
      </c>
      <c r="G143" s="14"/>
      <c r="H143" s="15">
        <f t="shared" ref="H143:H149" si="37">IFERROR(-(B143-E143), "NA")</f>
        <v>1554.03</v>
      </c>
      <c r="I143" s="13">
        <f>IFERROR(H143/H446, "NA")</f>
        <v>0.09028082371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13912.39</v>
      </c>
      <c r="U143" s="13">
        <f>IFERROR(T143/T446, "NA")</f>
        <v>0.008999990924</v>
      </c>
      <c r="V143" s="14"/>
      <c r="W143" s="15">
        <f t="shared" ref="W143:W149" si="39">IFERROR(-(Q143-T143), "NA")</f>
        <v>13912.39</v>
      </c>
      <c r="X143" s="13">
        <f>IFERROR(W143/W446, "NA")</f>
        <v>0.7938188624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1954.12</v>
      </c>
      <c r="C144" s="13">
        <f>IFERROR(B144/B446, "NA")</f>
        <v>0.01029115166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-1954.12</v>
      </c>
      <c r="I144" s="13">
        <f>IFERROR(H144/H446, "NA")</f>
        <v>-0.1135239109</v>
      </c>
      <c r="J144" s="14"/>
      <c r="K144" s="12">
        <v>1834.35</v>
      </c>
      <c r="L144" s="13">
        <f>IFERROR(K144/K446, "NA")</f>
        <v>0.01154501265</v>
      </c>
      <c r="M144" s="14"/>
      <c r="N144" s="15">
        <f t="shared" si="38"/>
        <v>-119.77</v>
      </c>
      <c r="O144" s="13">
        <f>IFERROR(N144/N446, "NA")</f>
        <v>-0.003863957219</v>
      </c>
      <c r="P144" s="14"/>
      <c r="Q144" s="12">
        <v>15971.68</v>
      </c>
      <c r="R144" s="13">
        <f>IFERROR(Q144/Q446, "NA")</f>
        <v>0.01021632687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-15971.68</v>
      </c>
      <c r="X144" s="13">
        <f>IFERROR(W144/W446, "NA")</f>
        <v>-0.9113186769</v>
      </c>
      <c r="Y144" s="14"/>
      <c r="Z144" s="12">
        <v>14466.39</v>
      </c>
      <c r="AA144" s="13">
        <f>IFERROR(Z144/Z446, "NA")</f>
        <v>0.01011344199</v>
      </c>
      <c r="AB144" s="14"/>
      <c r="AC144" s="15">
        <f t="shared" si="40"/>
        <v>-1505.29</v>
      </c>
      <c r="AD144" s="13">
        <f>IFERROR(AC144/AC446, "NA")</f>
        <v>-0.01132338046</v>
      </c>
    </row>
    <row r="145" ht="16.5" customHeight="1">
      <c r="A145" s="11" t="s">
        <v>139</v>
      </c>
      <c r="B145" s="12">
        <v>49.3</v>
      </c>
      <c r="C145" s="13">
        <f>IFERROR(B145/B446, "NA")</f>
        <v>0.0002596328665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-49.3</v>
      </c>
      <c r="I145" s="13">
        <f>IFERROR(H145/H446, "NA")</f>
        <v>-0.002864066079</v>
      </c>
      <c r="J145" s="14"/>
      <c r="K145" s="12">
        <v>160.1</v>
      </c>
      <c r="L145" s="13">
        <f>IFERROR(K145/K446, "NA")</f>
        <v>0.001007635688</v>
      </c>
      <c r="M145" s="14"/>
      <c r="N145" s="15">
        <f t="shared" si="38"/>
        <v>110.8</v>
      </c>
      <c r="O145" s="13">
        <f>IFERROR(N145/N446, "NA")</f>
        <v>0.003574571761</v>
      </c>
      <c r="P145" s="14"/>
      <c r="Q145" s="12">
        <v>380.15</v>
      </c>
      <c r="R145" s="13">
        <f>IFERROR(Q145/Q446, "NA")</f>
        <v>0.0002431639414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-380.15</v>
      </c>
      <c r="X145" s="13">
        <f>IFERROR(W145/W446, "NA")</f>
        <v>-0.02169075483</v>
      </c>
      <c r="Y145" s="14"/>
      <c r="Z145" s="12">
        <v>790.23</v>
      </c>
      <c r="AA145" s="13">
        <f>IFERROR(Z145/Z446, "NA")</f>
        <v>0.0005524491781</v>
      </c>
      <c r="AB145" s="14"/>
      <c r="AC145" s="15">
        <f t="shared" si="40"/>
        <v>410.08</v>
      </c>
      <c r="AD145" s="13">
        <f>IFERROR(AC145/AC446, "NA")</f>
        <v>0.00308478224</v>
      </c>
    </row>
    <row r="146" ht="16.5" customHeight="1">
      <c r="A146" s="11" t="s">
        <v>140</v>
      </c>
      <c r="B146" s="12">
        <v>2.4</v>
      </c>
      <c r="C146" s="13">
        <f>IFERROR(B146/B446, "NA")</f>
        <v>0.00001263932819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-2.4</v>
      </c>
      <c r="I146" s="13">
        <f>IFERROR(H146/H446, "NA")</f>
        <v>-0.0001394271519</v>
      </c>
      <c r="J146" s="14"/>
      <c r="K146" s="12">
        <v>43.2</v>
      </c>
      <c r="L146" s="13">
        <f>IFERROR(K146/K446, "NA")</f>
        <v>0.0002718917035</v>
      </c>
      <c r="M146" s="14"/>
      <c r="N146" s="15">
        <f t="shared" si="38"/>
        <v>40.8</v>
      </c>
      <c r="O146" s="13">
        <f>IFERROR(N146/N446, "NA")</f>
        <v>0.001316268302</v>
      </c>
      <c r="P146" s="14"/>
      <c r="Q146" s="12">
        <v>181.13</v>
      </c>
      <c r="R146" s="13">
        <f>IFERROR(Q146/Q446, "NA")</f>
        <v>0.000115860278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-181.13</v>
      </c>
      <c r="X146" s="13">
        <f>IFERROR(W146/W446, "NA")</f>
        <v>-0.01033498993</v>
      </c>
      <c r="Y146" s="14"/>
      <c r="Z146" s="12">
        <v>1572.34</v>
      </c>
      <c r="AA146" s="13">
        <f>IFERROR(Z146/Z446, "NA")</f>
        <v>0.00109922167</v>
      </c>
      <c r="AB146" s="14"/>
      <c r="AC146" s="15">
        <f t="shared" si="40"/>
        <v>1391.21</v>
      </c>
      <c r="AD146" s="13">
        <f>IFERROR(AC146/AC446, "NA")</f>
        <v>0.01046522605</v>
      </c>
    </row>
    <row r="147" ht="16.5" customHeight="1">
      <c r="A147" s="11" t="s">
        <v>141</v>
      </c>
      <c r="B147" s="12">
        <v>43.36</v>
      </c>
      <c r="C147" s="13">
        <f>IFERROR(B147/B446, "NA")</f>
        <v>0.0002283505292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-43.36</v>
      </c>
      <c r="I147" s="13">
        <f>IFERROR(H147/H446, "NA")</f>
        <v>-0.002518983878</v>
      </c>
      <c r="J147" s="14"/>
      <c r="K147" s="12">
        <v>29.33</v>
      </c>
      <c r="L147" s="13">
        <f>IFERROR(K147/K446, "NA")</f>
        <v>0.0001845968441</v>
      </c>
      <c r="M147" s="14"/>
      <c r="N147" s="15">
        <f t="shared" si="38"/>
        <v>-14.03</v>
      </c>
      <c r="O147" s="13">
        <f>IFERROR(N147/N446, "NA")</f>
        <v>-0.0004526285362</v>
      </c>
      <c r="P147" s="14"/>
      <c r="Q147" s="12">
        <v>120.19</v>
      </c>
      <c r="R147" s="13">
        <f>IFERROR(Q147/Q446, "NA")</f>
        <v>0.00007687984772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-120.19</v>
      </c>
      <c r="X147" s="13">
        <f>IFERROR(W147/W446, "NA")</f>
        <v>-0.006857850381</v>
      </c>
      <c r="Y147" s="14"/>
      <c r="Z147" s="12">
        <v>242.49</v>
      </c>
      <c r="AA147" s="13">
        <f>IFERROR(Z147/Z446, "NA")</f>
        <v>0.0001695245703</v>
      </c>
      <c r="AB147" s="14"/>
      <c r="AC147" s="15">
        <f t="shared" si="40"/>
        <v>122.3</v>
      </c>
      <c r="AD147" s="13">
        <f>IFERROR(AC147/AC446, "NA")</f>
        <v>0.0009199884607</v>
      </c>
    </row>
    <row r="148" ht="16.5" customHeight="1">
      <c r="A148" s="16" t="s">
        <v>142</v>
      </c>
      <c r="B148" s="17">
        <f>IFERROR(B143+B144+B145+B146+B147, "NA")</f>
        <v>2049.18</v>
      </c>
      <c r="C148" s="18">
        <f>IFERROR(B148/B446, "NA")</f>
        <v>0.01079177439</v>
      </c>
      <c r="D148" s="8"/>
      <c r="E148" s="17">
        <f>IFERROR(E143+E144+E145+E146+E147, "NA")</f>
        <v>1554.03</v>
      </c>
      <c r="F148" s="18">
        <f>IFERROR(E148/E446, "NA")</f>
        <v>0.008999988533</v>
      </c>
      <c r="G148" s="8"/>
      <c r="H148" s="17">
        <f t="shared" si="37"/>
        <v>-495.15</v>
      </c>
      <c r="I148" s="18">
        <f>IFERROR(H148/H446, "NA")</f>
        <v>-0.02876556428</v>
      </c>
      <c r="J148" s="8"/>
      <c r="K148" s="17">
        <f>IFERROR(K143+K144+K145+K146+K147, "NA")</f>
        <v>2066.98</v>
      </c>
      <c r="L148" s="18">
        <f>IFERROR(K148/K446, "NA")</f>
        <v>0.01300913688</v>
      </c>
      <c r="M148" s="8"/>
      <c r="N148" s="17">
        <f t="shared" si="38"/>
        <v>17.8</v>
      </c>
      <c r="O148" s="18">
        <f>IFERROR(N148/N446, "NA")</f>
        <v>0.0005742543082</v>
      </c>
      <c r="P148" s="8"/>
      <c r="Q148" s="17">
        <f>IFERROR(Q143+Q144+Q145+Q146+Q147, "NA")</f>
        <v>16653.15</v>
      </c>
      <c r="R148" s="18">
        <f>IFERROR(Q148/Q446, "NA")</f>
        <v>0.01065223094</v>
      </c>
      <c r="S148" s="8"/>
      <c r="T148" s="17">
        <f>IFERROR(T143+T144+T145+T146+T147, "NA")</f>
        <v>13912.39</v>
      </c>
      <c r="U148" s="18">
        <f>IFERROR(T148/T446, "NA")</f>
        <v>0.008999990924</v>
      </c>
      <c r="V148" s="8"/>
      <c r="W148" s="17">
        <f t="shared" si="39"/>
        <v>-2740.76</v>
      </c>
      <c r="X148" s="18">
        <f>IFERROR(W148/W446, "NA")</f>
        <v>-0.1563834097</v>
      </c>
      <c r="Y148" s="8"/>
      <c r="Z148" s="17">
        <f>IFERROR(Z143+Z144+Z145+Z146+Z147, "NA")</f>
        <v>17071.45</v>
      </c>
      <c r="AA148" s="18">
        <f>IFERROR(Z148/Z446, "NA")</f>
        <v>0.01193463741</v>
      </c>
      <c r="AB148" s="8"/>
      <c r="AC148" s="17">
        <f t="shared" si="40"/>
        <v>418.3</v>
      </c>
      <c r="AD148" s="18">
        <f>IFERROR(AC148/AC446, "NA")</f>
        <v>0.003146616297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40219.6</v>
      </c>
      <c r="C149" s="18">
        <f>IFERROR(B149/B446, "NA")</f>
        <v>0.2118119683</v>
      </c>
      <c r="D149" s="8"/>
      <c r="E149" s="17">
        <f>IFERROR(E127+E129+E130+E131+E132+E133+E134+E135+E136+E137+E138+E139+E140+E143+E144+E145+E146+E147, "NA")</f>
        <v>36778.75</v>
      </c>
      <c r="F149" s="18">
        <f>IFERROR(E149/E446, "NA")</f>
        <v>0.2129999603</v>
      </c>
      <c r="G149" s="8"/>
      <c r="H149" s="17">
        <f t="shared" si="37"/>
        <v>-3440.85</v>
      </c>
      <c r="I149" s="18">
        <f>IFERROR(H149/H446, "NA")</f>
        <v>-0.1998949649</v>
      </c>
      <c r="J149" s="8"/>
      <c r="K149" s="17">
        <f>IFERROR(K127+K129+K130+K131+K132+K133+K134+K135+K136+K137+K138+K139+K140+K143+K144+K145+K146+K147, "NA")</f>
        <v>37679.57</v>
      </c>
      <c r="L149" s="18">
        <f>IFERROR(K149/K446, "NA")</f>
        <v>0.2371472795</v>
      </c>
      <c r="M149" s="8"/>
      <c r="N149" s="17">
        <f t="shared" si="38"/>
        <v>-2540.03</v>
      </c>
      <c r="O149" s="18">
        <f>IFERROR(N149/N446, "NA")</f>
        <v>-0.08194512194</v>
      </c>
      <c r="P149" s="8"/>
      <c r="Q149" s="17">
        <f>IFERROR(Q127+Q129+Q130+Q131+Q132+Q133+Q134+Q135+Q136+Q137+Q138+Q139+Q140+Q143+Q144+Q145+Q146+Q147, "NA")</f>
        <v>345258.43</v>
      </c>
      <c r="R149" s="18">
        <f>IFERROR(Q149/Q446, "NA")</f>
        <v>0.2208454574</v>
      </c>
      <c r="S149" s="8"/>
      <c r="T149" s="17">
        <f>IFERROR(T127+T129+T130+T131+T132+T133+T134+T135+T136+T137+T138+T139+T140+T143+T144+T145+T146+T147, "NA")</f>
        <v>330824.07</v>
      </c>
      <c r="U149" s="18">
        <f>IFERROR(T149/T446, "NA")</f>
        <v>0.2140116563</v>
      </c>
      <c r="V149" s="8"/>
      <c r="W149" s="17">
        <f t="shared" si="39"/>
        <v>-14434.36</v>
      </c>
      <c r="X149" s="18">
        <f>IFERROR(W149/W446, "NA")</f>
        <v>-0.823601641</v>
      </c>
      <c r="Y149" s="8"/>
      <c r="Z149" s="17">
        <f>IFERROR(Z127+Z129+Z130+Z131+Z132+Z133+Z134+Z135+Z136+Z137+Z138+Z139+Z140+Z143+Z144+Z145+Z146+Z147, "NA")</f>
        <v>343401.46</v>
      </c>
      <c r="AA149" s="18">
        <f>IFERROR(Z149/Z446, "NA")</f>
        <v>0.2400716935</v>
      </c>
      <c r="AB149" s="8"/>
      <c r="AC149" s="17">
        <f t="shared" si="40"/>
        <v>-1856.97</v>
      </c>
      <c r="AD149" s="18">
        <f>IFERROR(AC149/AC446, "NA")</f>
        <v>-0.01396885504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>
        <f>IFERROR(B151/B446, "NA")</f>
        <v>0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>
        <f>IFERROR(B153/B446, "NA")</f>
        <v>0</v>
      </c>
      <c r="D153" s="14"/>
      <c r="E153" s="12">
        <v>7079.48</v>
      </c>
      <c r="F153" s="13">
        <f>IFERROR(E153/E446, "NA")</f>
        <v>0.04100000568</v>
      </c>
      <c r="G153" s="14"/>
      <c r="H153" s="15">
        <f t="shared" ref="H153:H158" si="41">IFERROR(-(B153-E153), "NA")</f>
        <v>7079.48</v>
      </c>
      <c r="I153" s="13">
        <f>IFERROR(H153/H446, "NA")</f>
        <v>0.411279889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63378.73</v>
      </c>
      <c r="U153" s="13">
        <f>IFERROR(T153/T446, "NA")</f>
        <v>0.04100000034</v>
      </c>
      <c r="V153" s="14"/>
      <c r="W153" s="15">
        <f t="shared" ref="W153:W158" si="43">IFERROR(-(Q153-T153), "NA")</f>
        <v>63378.73</v>
      </c>
      <c r="X153" s="13">
        <f>IFERROR(W153/W446, "NA")</f>
        <v>3.616289606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4668.66</v>
      </c>
      <c r="C154" s="13">
        <f>IFERROR(B154/B446, "NA")</f>
        <v>0.02458696914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-4668.66</v>
      </c>
      <c r="I154" s="13">
        <f>IFERROR(H154/H446, "NA")</f>
        <v>-0.271224153</v>
      </c>
      <c r="J154" s="14"/>
      <c r="K154" s="12">
        <v>4507.84</v>
      </c>
      <c r="L154" s="13">
        <f>IFERROR(K154/K446, "NA")</f>
        <v>0.02837139576</v>
      </c>
      <c r="M154" s="14"/>
      <c r="N154" s="15">
        <f t="shared" si="42"/>
        <v>-160.82</v>
      </c>
      <c r="O154" s="13">
        <f>IFERROR(N154/N446, "NA")</f>
        <v>-0.00518829089</v>
      </c>
      <c r="P154" s="14"/>
      <c r="Q154" s="12">
        <v>37604.39</v>
      </c>
      <c r="R154" s="13">
        <f>IFERROR(Q154/Q446, "NA")</f>
        <v>0.02405374638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-37604.39</v>
      </c>
      <c r="X154" s="13">
        <f>IFERROR(W154/W446, "NA")</f>
        <v>-2.145646729</v>
      </c>
      <c r="Y154" s="14"/>
      <c r="Z154" s="12">
        <v>39788.55</v>
      </c>
      <c r="AA154" s="13">
        <f>IFERROR(Z154/Z446, "NA")</f>
        <v>0.02781614434</v>
      </c>
      <c r="AB154" s="14"/>
      <c r="AC154" s="15">
        <f t="shared" si="44"/>
        <v>2184.16</v>
      </c>
      <c r="AD154" s="13">
        <f>IFERROR(AC154/AC446, "NA")</f>
        <v>0.01643010627</v>
      </c>
    </row>
    <row r="155" ht="16.5" customHeight="1">
      <c r="A155" s="11" t="s">
        <v>147</v>
      </c>
      <c r="B155" s="12">
        <v>2605.2</v>
      </c>
      <c r="C155" s="13">
        <f>IFERROR(B155/B446, "NA")</f>
        <v>0.01371999075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-2605.2</v>
      </c>
      <c r="I155" s="13">
        <f>IFERROR(H155/H446, "NA")</f>
        <v>-0.1513481734</v>
      </c>
      <c r="J155" s="14"/>
      <c r="K155" s="12">
        <v>2258.54</v>
      </c>
      <c r="L155" s="13">
        <f>IFERROR(K155/K446, "NA")</f>
        <v>0.01421477519</v>
      </c>
      <c r="M155" s="14"/>
      <c r="N155" s="15">
        <f t="shared" si="42"/>
        <v>-346.66</v>
      </c>
      <c r="O155" s="13">
        <f>IFERROR(N155/N446, "NA")</f>
        <v>-0.01118376396</v>
      </c>
      <c r="P155" s="14"/>
      <c r="Q155" s="12">
        <v>22988.21</v>
      </c>
      <c r="R155" s="13">
        <f>IFERROR(Q155/Q446, "NA")</f>
        <v>0.01470446863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-22988.21</v>
      </c>
      <c r="X155" s="13">
        <f>IFERROR(W155/W446, "NA")</f>
        <v>-1.311670727</v>
      </c>
      <c r="Y155" s="14"/>
      <c r="Z155" s="12">
        <v>21120.05</v>
      </c>
      <c r="AA155" s="13">
        <f>IFERROR(Z155/Z446, "NA")</f>
        <v>0.01476501052</v>
      </c>
      <c r="AB155" s="14"/>
      <c r="AC155" s="15">
        <f t="shared" si="44"/>
        <v>-1868.16</v>
      </c>
      <c r="AD155" s="13">
        <f>IFERROR(AC155/AC446, "NA")</f>
        <v>-0.0140530306</v>
      </c>
    </row>
    <row r="156" ht="16.5" customHeight="1">
      <c r="A156" s="11" t="s">
        <v>148</v>
      </c>
      <c r="B156" s="12">
        <v>0.0</v>
      </c>
      <c r="C156" s="13">
        <f>IFERROR(B156/B446, "NA")</f>
        <v>0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118.69</v>
      </c>
      <c r="R156" s="13">
        <f>IFERROR(Q156/Q446, "NA")</f>
        <v>0.0000759203688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-118.69</v>
      </c>
      <c r="X156" s="13">
        <f>IFERROR(W156/W446, "NA")</f>
        <v>-0.006772262765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-118.69</v>
      </c>
      <c r="AD156" s="13">
        <f>IFERROR(AC156/AC446, "NA")</f>
        <v>-0.0008928326279</v>
      </c>
    </row>
    <row r="157" ht="16.5" hidden="1" customHeight="1">
      <c r="A157" s="11" t="s">
        <v>149</v>
      </c>
      <c r="B157" s="12">
        <v>0.0</v>
      </c>
      <c r="C157" s="13">
        <f>IFERROR(B157/B446, "NA")</f>
        <v>0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7273.86</v>
      </c>
      <c r="C158" s="18">
        <f>IFERROR(B158/B446, "NA")</f>
        <v>0.03830695988</v>
      </c>
      <c r="D158" s="8"/>
      <c r="E158" s="17">
        <f>IFERROR(E153+E154+E155+E156+E157, "NA")</f>
        <v>7079.48</v>
      </c>
      <c r="F158" s="18">
        <f>IFERROR(E158/E446, "NA")</f>
        <v>0.04100000568</v>
      </c>
      <c r="G158" s="8"/>
      <c r="H158" s="17">
        <f t="shared" si="41"/>
        <v>-194.38</v>
      </c>
      <c r="I158" s="18">
        <f>IFERROR(H158/H446, "NA")</f>
        <v>-0.01129243741</v>
      </c>
      <c r="J158" s="8"/>
      <c r="K158" s="17">
        <f>IFERROR(K153+K154+K155+K156+K157, "NA")</f>
        <v>6766.38</v>
      </c>
      <c r="L158" s="18">
        <f>IFERROR(K158/K446, "NA")</f>
        <v>0.04258617095</v>
      </c>
      <c r="M158" s="8"/>
      <c r="N158" s="17">
        <f t="shared" si="42"/>
        <v>-507.48</v>
      </c>
      <c r="O158" s="18">
        <f>IFERROR(N158/N446, "NA")</f>
        <v>-0.01637205485</v>
      </c>
      <c r="P158" s="8"/>
      <c r="Q158" s="17">
        <f>IFERROR(Q153+Q154+Q155+Q156+Q157, "NA")</f>
        <v>60711.29</v>
      </c>
      <c r="R158" s="18">
        <f>IFERROR(Q158/Q446, "NA")</f>
        <v>0.03883413537</v>
      </c>
      <c r="S158" s="8"/>
      <c r="T158" s="17">
        <f>IFERROR(T153+T154+T155+T156+T157, "NA")</f>
        <v>63378.73</v>
      </c>
      <c r="U158" s="18">
        <f>IFERROR(T158/T446, "NA")</f>
        <v>0.04100000034</v>
      </c>
      <c r="V158" s="8"/>
      <c r="W158" s="17">
        <f t="shared" si="43"/>
        <v>2667.44</v>
      </c>
      <c r="X158" s="18">
        <f>IFERROR(W158/W446, "NA")</f>
        <v>0.152199887</v>
      </c>
      <c r="Y158" s="8"/>
      <c r="Z158" s="17">
        <f>IFERROR(Z153+Z154+Z155+Z156+Z157, "NA")</f>
        <v>60908.6</v>
      </c>
      <c r="AA158" s="18">
        <f>IFERROR(Z158/Z446, "NA")</f>
        <v>0.04258115486</v>
      </c>
      <c r="AB158" s="8"/>
      <c r="AC158" s="17">
        <f t="shared" si="44"/>
        <v>197.31</v>
      </c>
      <c r="AD158" s="18">
        <f>IFERROR(AC158/AC446, "NA")</f>
        <v>0.001484243035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>
        <f>IFERROR(B160/B446, "NA")</f>
        <v>0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315.64</v>
      </c>
      <c r="C161" s="13">
        <f>IFERROR(B161/B446, "NA")</f>
        <v>0.001662282312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-315.64</v>
      </c>
      <c r="I161" s="13">
        <f>IFERROR(H161/H446, "NA")</f>
        <v>-0.01833699426</v>
      </c>
      <c r="J161" s="14"/>
      <c r="K161" s="12">
        <v>126.49</v>
      </c>
      <c r="L161" s="13">
        <f>IFERROR(K161/K446, "NA")</f>
        <v>0.0007961014254</v>
      </c>
      <c r="M161" s="14"/>
      <c r="N161" s="15">
        <f t="shared" si="46"/>
        <v>-189.15</v>
      </c>
      <c r="O161" s="13">
        <f>IFERROR(N161/N446, "NA")</f>
        <v>-0.006102258562</v>
      </c>
      <c r="P161" s="14"/>
      <c r="Q161" s="12">
        <v>2337.91</v>
      </c>
      <c r="R161" s="13">
        <f>IFERROR(Q161/Q446, "NA")</f>
        <v>0.001495450244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-2337.91</v>
      </c>
      <c r="X161" s="13">
        <f>IFERROR(W161/W446, "NA")</f>
        <v>-0.1333974289</v>
      </c>
      <c r="Y161" s="14"/>
      <c r="Z161" s="12">
        <v>1160.71</v>
      </c>
      <c r="AA161" s="13">
        <f>IFERROR(Z161/Z446, "NA")</f>
        <v>0.0008114514578</v>
      </c>
      <c r="AB161" s="14"/>
      <c r="AC161" s="15">
        <f t="shared" si="48"/>
        <v>-1177.2</v>
      </c>
      <c r="AD161" s="13">
        <f>IFERROR(AC161/AC446, "NA")</f>
        <v>-0.008855359083</v>
      </c>
    </row>
    <row r="162" ht="16.5" hidden="1" customHeight="1">
      <c r="A162" s="11" t="s">
        <v>153</v>
      </c>
      <c r="B162" s="12">
        <v>0.0</v>
      </c>
      <c r="C162" s="13">
        <f>IFERROR(B162/B446, "NA")</f>
        <v>0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0.0</v>
      </c>
      <c r="R162" s="13">
        <f>IFERROR(Q162/Q446, "NA")</f>
        <v>0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0</v>
      </c>
      <c r="X162" s="13">
        <f>IFERROR(W162/W446, "NA")</f>
        <v>0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0</v>
      </c>
      <c r="AD162" s="13">
        <f>IFERROR(AC162/AC446, "NA")</f>
        <v>0</v>
      </c>
    </row>
    <row r="163" ht="16.5" hidden="1" customHeight="1">
      <c r="A163" s="11" t="s">
        <v>154</v>
      </c>
      <c r="B163" s="12">
        <v>0.0</v>
      </c>
      <c r="C163" s="13">
        <f>IFERROR(B163/B446, "NA")</f>
        <v>0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0.0</v>
      </c>
      <c r="R163" s="13">
        <f>IFERROR(Q163/Q446, "NA")</f>
        <v>0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0</v>
      </c>
      <c r="X163" s="13">
        <f>IFERROR(W163/W446, "NA")</f>
        <v>0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0</v>
      </c>
      <c r="AD163" s="13">
        <f>IFERROR(AC163/AC446, "NA")</f>
        <v>0</v>
      </c>
    </row>
    <row r="164" ht="16.5" hidden="1" customHeight="1">
      <c r="A164" s="11" t="s">
        <v>155</v>
      </c>
      <c r="B164" s="12">
        <v>0.0</v>
      </c>
      <c r="C164" s="13">
        <f>IFERROR(B164/B446, "NA")</f>
        <v>0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>
        <f>IFERROR(B165/B446, "NA")</f>
        <v>0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315.64</v>
      </c>
      <c r="C166" s="18">
        <f>IFERROR(B166/B446, "NA")</f>
        <v>0.001662282312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-315.64</v>
      </c>
      <c r="I166" s="18">
        <f>IFERROR(H166/H446, "NA")</f>
        <v>-0.01833699426</v>
      </c>
      <c r="J166" s="8"/>
      <c r="K166" s="17">
        <f>IFERROR(K160+K161+K162+K163+K164+K165, "NA")</f>
        <v>126.49</v>
      </c>
      <c r="L166" s="18">
        <f>IFERROR(K166/K446, "NA")</f>
        <v>0.0007961014254</v>
      </c>
      <c r="M166" s="8"/>
      <c r="N166" s="17">
        <f t="shared" si="46"/>
        <v>-189.15</v>
      </c>
      <c r="O166" s="18">
        <f>IFERROR(N166/N446, "NA")</f>
        <v>-0.006102258562</v>
      </c>
      <c r="P166" s="8"/>
      <c r="Q166" s="17">
        <f>IFERROR(Q160+Q161+Q162+Q163+Q164+Q165, "NA")</f>
        <v>2337.91</v>
      </c>
      <c r="R166" s="18">
        <f>IFERROR(Q166/Q446, "NA")</f>
        <v>0.001495450244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-2337.91</v>
      </c>
      <c r="X166" s="18">
        <f>IFERROR(W166/W446, "NA")</f>
        <v>-0.1333974289</v>
      </c>
      <c r="Y166" s="8"/>
      <c r="Z166" s="17">
        <f>IFERROR(Z160+Z161+Z162+Z163+Z164+Z165, "NA")</f>
        <v>1160.71</v>
      </c>
      <c r="AA166" s="18">
        <f>IFERROR(Z166/Z446, "NA")</f>
        <v>0.0008114514578</v>
      </c>
      <c r="AB166" s="8"/>
      <c r="AC166" s="17">
        <f t="shared" si="48"/>
        <v>-1177.2</v>
      </c>
      <c r="AD166" s="18">
        <f>IFERROR(AC166/AC446, "NA")</f>
        <v>-0.008855359083</v>
      </c>
    </row>
    <row r="167" ht="16.5" customHeight="1">
      <c r="A167" s="11" t="s">
        <v>158</v>
      </c>
      <c r="B167" s="12">
        <v>159.81</v>
      </c>
      <c r="C167" s="13">
        <f>IFERROR(B167/B446, "NA")</f>
        <v>0.0008416212656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-159.81</v>
      </c>
      <c r="I167" s="13">
        <f>IFERROR(H167/H446, "NA")</f>
        <v>-0.009284105479</v>
      </c>
      <c r="J167" s="14"/>
      <c r="K167" s="12">
        <v>174.32</v>
      </c>
      <c r="L167" s="13">
        <f>IFERROR(K167/K446, "NA")</f>
        <v>0.001097133374</v>
      </c>
      <c r="M167" s="14"/>
      <c r="N167" s="15">
        <f t="shared" si="46"/>
        <v>14.51</v>
      </c>
      <c r="O167" s="13">
        <f>IFERROR(N167/N446, "NA")</f>
        <v>0.0004681140456</v>
      </c>
      <c r="P167" s="14"/>
      <c r="Q167" s="12">
        <v>1499.28</v>
      </c>
      <c r="R167" s="13">
        <f>IFERROR(Q167/Q446, "NA")</f>
        <v>0.0009590183717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-1499.28</v>
      </c>
      <c r="X167" s="13">
        <f>IFERROR(W167/W446, "NA")</f>
        <v>-0.08554653399</v>
      </c>
      <c r="Y167" s="14"/>
      <c r="Z167" s="12">
        <v>1231.99</v>
      </c>
      <c r="AA167" s="13">
        <f>IFERROR(Z167/Z446, "NA")</f>
        <v>0.0008612832503</v>
      </c>
      <c r="AB167" s="14"/>
      <c r="AC167" s="15">
        <f t="shared" si="48"/>
        <v>-267.29</v>
      </c>
      <c r="AD167" s="13">
        <f>IFERROR(AC167/AC446, "NA")</f>
        <v>-0.002010659981</v>
      </c>
    </row>
    <row r="168" ht="16.5" customHeight="1">
      <c r="A168" s="11" t="s">
        <v>159</v>
      </c>
      <c r="B168" s="12">
        <v>188.0</v>
      </c>
      <c r="C168" s="13">
        <f>IFERROR(B168/B446, "NA")</f>
        <v>0.0009900807079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-188</v>
      </c>
      <c r="I168" s="13">
        <f>IFERROR(H168/H446, "NA")</f>
        <v>-0.01092179357</v>
      </c>
      <c r="J168" s="14"/>
      <c r="K168" s="12">
        <v>48.93</v>
      </c>
      <c r="L168" s="13">
        <f>IFERROR(K168/K446, "NA")</f>
        <v>0.000307955117</v>
      </c>
      <c r="M168" s="14"/>
      <c r="N168" s="15">
        <f t="shared" si="46"/>
        <v>-139.07</v>
      </c>
      <c r="O168" s="13">
        <f>IFERROR(N168/N446, "NA")</f>
        <v>-0.004486603744</v>
      </c>
      <c r="P168" s="14"/>
      <c r="Q168" s="12">
        <v>1296.3</v>
      </c>
      <c r="R168" s="13">
        <f>IFERROR(Q168/Q446, "NA")</f>
        <v>0.000829181684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-1296.3</v>
      </c>
      <c r="X168" s="13">
        <f>IFERROR(W168/W446, "NA")</f>
        <v>-0.07396481778</v>
      </c>
      <c r="Y168" s="14"/>
      <c r="Z168" s="12">
        <v>434.46</v>
      </c>
      <c r="AA168" s="13">
        <f>IFERROR(Z168/Z446, "NA")</f>
        <v>0.0003037306479</v>
      </c>
      <c r="AB168" s="14"/>
      <c r="AC168" s="15">
        <f t="shared" si="48"/>
        <v>-861.84</v>
      </c>
      <c r="AD168" s="13">
        <f>IFERROR(AC168/AC446, "NA")</f>
        <v>-0.006483097751</v>
      </c>
    </row>
    <row r="169" ht="16.5" customHeight="1">
      <c r="A169" s="11" t="s">
        <v>160</v>
      </c>
      <c r="B169" s="12">
        <v>-2177.89</v>
      </c>
      <c r="C169" s="13">
        <f>IFERROR(B169/B446, "NA")</f>
        <v>-0.01146961103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2177.89</v>
      </c>
      <c r="I169" s="13">
        <f>IFERROR(H169/H446, "NA")</f>
        <v>0.12652375</v>
      </c>
      <c r="J169" s="14"/>
      <c r="K169" s="12">
        <v>-1855.42</v>
      </c>
      <c r="L169" s="13">
        <f>IFERROR(K169/K446, "NA")</f>
        <v>-0.01167762279</v>
      </c>
      <c r="M169" s="14"/>
      <c r="N169" s="15">
        <f t="shared" si="46"/>
        <v>322.47</v>
      </c>
      <c r="O169" s="13">
        <f>IFERROR(N169/N446, "NA")</f>
        <v>0.01040335881</v>
      </c>
      <c r="P169" s="14"/>
      <c r="Q169" s="12">
        <v>-12116.73</v>
      </c>
      <c r="R169" s="13">
        <f>IFERROR(Q169/Q446, "NA")</f>
        <v>-0.007750498022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12116.73</v>
      </c>
      <c r="X169" s="13">
        <f>IFERROR(W169/W446, "NA")</f>
        <v>0.6913613566</v>
      </c>
      <c r="Y169" s="14"/>
      <c r="Z169" s="12">
        <v>-18073.68</v>
      </c>
      <c r="AA169" s="13">
        <f>IFERROR(Z169/Z446, "NA")</f>
        <v>-0.01263529562</v>
      </c>
      <c r="AB169" s="14"/>
      <c r="AC169" s="15">
        <f t="shared" si="48"/>
        <v>-5956.95</v>
      </c>
      <c r="AD169" s="13">
        <f>IFERROR(AC169/AC446, "NA")</f>
        <v>-0.04481050908</v>
      </c>
    </row>
    <row r="170" ht="16.5" customHeight="1">
      <c r="A170" s="16" t="s">
        <v>161</v>
      </c>
      <c r="B170" s="17">
        <f>IFERROR(B151+B153+B154+B155+B156+B157+B160+B161+B162+B163+B164+B165+B167+B168+B169, "NA")</f>
        <v>5759.42</v>
      </c>
      <c r="C170" s="18">
        <f>IFERROR(B170/B446, "NA")</f>
        <v>0.03033133314</v>
      </c>
      <c r="D170" s="8"/>
      <c r="E170" s="17">
        <f>IFERROR(E151+E153+E154+E155+E156+E157+E160+E161+E162+E163+E164+E165+E167+E168+E169, "NA")</f>
        <v>7079.48</v>
      </c>
      <c r="F170" s="18">
        <f>IFERROR(E170/E446, "NA")</f>
        <v>0.04100000568</v>
      </c>
      <c r="G170" s="8"/>
      <c r="H170" s="17">
        <f t="shared" si="45"/>
        <v>1320.06</v>
      </c>
      <c r="I170" s="18">
        <f>IFERROR(H170/H446, "NA")</f>
        <v>0.07668841924</v>
      </c>
      <c r="J170" s="8"/>
      <c r="K170" s="17">
        <f>IFERROR(K151+K153+K154+K155+K156+K157+K160+K161+K162+K163+K164+K165+K167+K168+K169, "NA")</f>
        <v>5260.7</v>
      </c>
      <c r="L170" s="18">
        <f>IFERROR(K170/K446, "NA")</f>
        <v>0.03310973807</v>
      </c>
      <c r="M170" s="8"/>
      <c r="N170" s="17">
        <f t="shared" si="46"/>
        <v>-498.72</v>
      </c>
      <c r="O170" s="18">
        <f>IFERROR(N170/N446, "NA")</f>
        <v>-0.0160894443</v>
      </c>
      <c r="P170" s="8"/>
      <c r="Q170" s="17">
        <f>IFERROR(Q151+Q153+Q154+Q155+Q156+Q157+Q160+Q161+Q162+Q163+Q164+Q165+Q167+Q168+Q169, "NA")</f>
        <v>53728.05</v>
      </c>
      <c r="R170" s="18">
        <f>IFERROR(Q170/Q446, "NA")</f>
        <v>0.03436728765</v>
      </c>
      <c r="S170" s="8"/>
      <c r="T170" s="17">
        <f>IFERROR(T151+T153+T154+T155+T156+T157+T160+T161+T162+T163+T164+T165+T167+T168+T169, "NA")</f>
        <v>63378.73</v>
      </c>
      <c r="U170" s="18">
        <f>IFERROR(T170/T446, "NA")</f>
        <v>0.04100000034</v>
      </c>
      <c r="V170" s="8"/>
      <c r="W170" s="17">
        <f t="shared" si="47"/>
        <v>9650.68</v>
      </c>
      <c r="X170" s="18">
        <f>IFERROR(W170/W446, "NA")</f>
        <v>0.5506524629</v>
      </c>
      <c r="Y170" s="8"/>
      <c r="Z170" s="17">
        <f>IFERROR(Z151+Z153+Z154+Z155+Z156+Z157+Z160+Z161+Z162+Z163+Z164+Z165+Z167+Z168+Z169, "NA")</f>
        <v>45662.08</v>
      </c>
      <c r="AA170" s="18">
        <f>IFERROR(Z170/Z446, "NA")</f>
        <v>0.0319223246</v>
      </c>
      <c r="AB170" s="8"/>
      <c r="AC170" s="17">
        <f t="shared" si="48"/>
        <v>-8065.97</v>
      </c>
      <c r="AD170" s="18">
        <f>IFERROR(AC170/AC446, "NA")</f>
        <v>-0.06067538286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45979.02</v>
      </c>
      <c r="C171" s="18">
        <f>IFERROR(B171/B446, "NA")</f>
        <v>0.2421433014</v>
      </c>
      <c r="D171" s="8"/>
      <c r="E171" s="17">
        <f>IFERROR(E127+E129+E130+E131+E132+E133+E134+E135+E136+E137+E138+E139+E140+E143+E144+E145+E146+E147+E151+E153+E154+E155+E156+E157+E160+E161+E162+E163+E164+E165+E167+E168+E169, "NA")</f>
        <v>43858.23</v>
      </c>
      <c r="F171" s="18">
        <f>IFERROR(E171/E446, "NA")</f>
        <v>0.2539999659</v>
      </c>
      <c r="G171" s="8"/>
      <c r="H171" s="17">
        <f t="shared" si="45"/>
        <v>-2120.79</v>
      </c>
      <c r="I171" s="18">
        <f>IFERROR(H171/H446, "NA")</f>
        <v>-0.1232065456</v>
      </c>
      <c r="J171" s="8"/>
      <c r="K171" s="17">
        <f>IFERROR(K127+K129+K130+K131+K132+K133+K134+K135+K136+K137+K138+K139+K140+K143+K144+K145+K146+K147+K151+K153+K154+K155+K156+K157+K160+K161+K162+K163+K164+K165+K167+K168+K169, "NA")</f>
        <v>42940.27</v>
      </c>
      <c r="L171" s="18">
        <f>IFERROR(K171/K446, "NA")</f>
        <v>0.2702570176</v>
      </c>
      <c r="M171" s="8"/>
      <c r="N171" s="17">
        <f t="shared" si="46"/>
        <v>-3038.75</v>
      </c>
      <c r="O171" s="18">
        <f>IFERROR(N171/N446, "NA")</f>
        <v>-0.09803456624</v>
      </c>
      <c r="P171" s="8"/>
      <c r="Q171" s="17">
        <f>IFERROR(Q127+Q129+Q130+Q131+Q132+Q133+Q134+Q135+Q136+Q137+Q138+Q139+Q140+Q143+Q144+Q145+Q146+Q147+Q151+Q153+Q154+Q155+Q156+Q157+Q160+Q161+Q162+Q163+Q164+Q165+Q167+Q168+Q169, "NA")</f>
        <v>398986.48</v>
      </c>
      <c r="R171" s="18">
        <f>IFERROR(Q171/Q446, "NA")</f>
        <v>0.255212745</v>
      </c>
      <c r="S171" s="8"/>
      <c r="T171" s="17">
        <f>IFERROR(T127+T129+T130+T131+T132+T133+T134+T135+T136+T137+T138+T139+T140+T143+T144+T145+T146+T147+T151+T153+T154+T155+T156+T157+T160+T161+T162+T163+T164+T165+T167+T168+T169, "NA")</f>
        <v>394202.8</v>
      </c>
      <c r="U171" s="18">
        <f>IFERROR(T171/T446, "NA")</f>
        <v>0.2550116567</v>
      </c>
      <c r="V171" s="8"/>
      <c r="W171" s="17">
        <f t="shared" si="47"/>
        <v>-4783.68</v>
      </c>
      <c r="X171" s="18">
        <f>IFERROR(W171/W446, "NA")</f>
        <v>-0.2729491781</v>
      </c>
      <c r="Y171" s="8"/>
      <c r="Z171" s="17">
        <f>IFERROR(Z127+Z129+Z130+Z131+Z132+Z133+Z134+Z135+Z136+Z137+Z138+Z139+Z140+Z143+Z144+Z145+Z146+Z147+Z151+Z153+Z154+Z155+Z156+Z157+Z160+Z161+Z162+Z163+Z164+Z165+Z167+Z168+Z169, "NA")</f>
        <v>389063.54</v>
      </c>
      <c r="AA171" s="18">
        <f>IFERROR(Z171/Z446, "NA")</f>
        <v>0.2719940181</v>
      </c>
      <c r="AB171" s="8"/>
      <c r="AC171" s="17">
        <f t="shared" si="48"/>
        <v>-9922.94</v>
      </c>
      <c r="AD171" s="18">
        <f>IFERROR(AC171/AC446, "NA")</f>
        <v>-0.0746442379</v>
      </c>
    </row>
    <row r="172" ht="16.5" customHeight="1">
      <c r="A172" s="19" t="s">
        <v>163</v>
      </c>
      <c r="B172" s="20">
        <f>IFERROR(B124-B171, "NA")</f>
        <v>143904.49</v>
      </c>
      <c r="C172" s="21">
        <f>IFERROR(B172/B446, "NA")</f>
        <v>0.7578566986</v>
      </c>
      <c r="D172" s="22"/>
      <c r="E172" s="20">
        <f>IFERROR(E124-E171, "NA")</f>
        <v>128811.99</v>
      </c>
      <c r="F172" s="21">
        <f>IFERROR(E172/E446, "NA")</f>
        <v>0.7460000341</v>
      </c>
      <c r="G172" s="22"/>
      <c r="H172" s="20">
        <f>IFERROR(B172-E172, "NA")</f>
        <v>15092.5</v>
      </c>
      <c r="I172" s="21">
        <f>IFERROR(H172/H446, "NA")</f>
        <v>0.8767934544</v>
      </c>
      <c r="J172" s="22"/>
      <c r="K172" s="20">
        <f>IFERROR(K124-K171, "NA")</f>
        <v>115946.52</v>
      </c>
      <c r="L172" s="21">
        <f>IFERROR(K172/K446, "NA")</f>
        <v>0.7297429824</v>
      </c>
      <c r="M172" s="22"/>
      <c r="N172" s="20">
        <f>IFERROR(B172-K172, "NA")</f>
        <v>27957.97</v>
      </c>
      <c r="O172" s="21">
        <f>IFERROR(N172/N446, "NA")</f>
        <v>0.9019654338</v>
      </c>
      <c r="P172" s="22"/>
      <c r="Q172" s="20">
        <f>IFERROR(Q124-Q171, "NA")</f>
        <v>1164362.09</v>
      </c>
      <c r="R172" s="21">
        <f>IFERROR(Q172/Q446, "NA")</f>
        <v>0.744787255</v>
      </c>
      <c r="S172" s="22"/>
      <c r="T172" s="20">
        <f>IFERROR(T124-T171, "NA")</f>
        <v>1151619.87</v>
      </c>
      <c r="U172" s="21">
        <f>IFERROR(T172/T446, "NA")</f>
        <v>0.7449883433</v>
      </c>
      <c r="V172" s="22"/>
      <c r="W172" s="20">
        <f>IFERROR(Q172-T172, "NA")</f>
        <v>12742.22</v>
      </c>
      <c r="X172" s="21">
        <f>IFERROR(W172/W446, "NA")</f>
        <v>0.7270508219</v>
      </c>
      <c r="Y172" s="22"/>
      <c r="Z172" s="20">
        <f>IFERROR(Z124-Z171, "NA")</f>
        <v>1041348.58</v>
      </c>
      <c r="AA172" s="21">
        <f>IFERROR(Z172/Z446, "NA")</f>
        <v>0.7280059819</v>
      </c>
      <c r="AB172" s="22"/>
      <c r="AC172" s="20">
        <f>IFERROR(Q172-Z172, "NA")</f>
        <v>123013.51</v>
      </c>
      <c r="AD172" s="21">
        <f>IFERROR(AC172/AC446, "NA")</f>
        <v>0.9253557621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>
        <f>IFERROR(B175/B446, "NA")</f>
        <v>0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>
        <f>IFERROR(B177/B446, "NA")</f>
        <v>0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10076.92</v>
      </c>
      <c r="C178" s="13">
        <f>IFERROR(B178/B446, "NA")</f>
        <v>0.05306895791</v>
      </c>
      <c r="D178" s="14"/>
      <c r="E178" s="12">
        <v>10278.46</v>
      </c>
      <c r="F178" s="13">
        <f>IFERROR(E178/E446, "NA")</f>
        <v>0.05952653561</v>
      </c>
      <c r="G178" s="14"/>
      <c r="H178" s="15">
        <f t="shared" si="49"/>
        <v>201.54</v>
      </c>
      <c r="I178" s="13">
        <f>IFERROR(H178/H446, "NA")</f>
        <v>0.01170839508</v>
      </c>
      <c r="J178" s="14"/>
      <c r="K178" s="12">
        <v>10076.92</v>
      </c>
      <c r="L178" s="13">
        <f>IFERROR(K178/K446, "NA")</f>
        <v>0.06342201262</v>
      </c>
      <c r="M178" s="14"/>
      <c r="N178" s="15">
        <f t="shared" si="50"/>
        <v>0</v>
      </c>
      <c r="O178" s="13">
        <f>IFERROR(N178/N446, "NA")</f>
        <v>0</v>
      </c>
      <c r="P178" s="14"/>
      <c r="Q178" s="12">
        <v>85653.82</v>
      </c>
      <c r="R178" s="13">
        <f>IFERROR(Q178/Q446, "NA")</f>
        <v>0.0547886899</v>
      </c>
      <c r="S178" s="14"/>
      <c r="T178" s="12">
        <v>86431.4</v>
      </c>
      <c r="U178" s="13">
        <f>IFERROR(T178/T446, "NA")</f>
        <v>0.05591288165</v>
      </c>
      <c r="V178" s="14"/>
      <c r="W178" s="15">
        <f t="shared" si="51"/>
        <v>777.58</v>
      </c>
      <c r="X178" s="13">
        <f>IFERROR(W178/W446, "NA")</f>
        <v>0.04436747899</v>
      </c>
      <c r="Y178" s="14"/>
      <c r="Z178" s="12">
        <v>85378.82</v>
      </c>
      <c r="AA178" s="13">
        <f>IFERROR(Z178/Z446, "NA")</f>
        <v>0.05968826662</v>
      </c>
      <c r="AB178" s="14"/>
      <c r="AC178" s="15">
        <f t="shared" si="52"/>
        <v>-275</v>
      </c>
      <c r="AD178" s="13">
        <f>IFERROR(AC178/AC446, "NA")</f>
        <v>-0.002068657618</v>
      </c>
    </row>
    <row r="179" ht="16.5" hidden="1" customHeight="1">
      <c r="A179" s="11" t="s">
        <v>167</v>
      </c>
      <c r="B179" s="12">
        <v>0.0</v>
      </c>
      <c r="C179" s="13">
        <f>IFERROR(B179/B446, "NA")</f>
        <v>0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29336.42</v>
      </c>
      <c r="C180" s="13">
        <f>IFERROR(B180/B446, "NA")</f>
        <v>0.1544969334</v>
      </c>
      <c r="D180" s="14"/>
      <c r="E180" s="12">
        <v>27627.24</v>
      </c>
      <c r="F180" s="13">
        <f>IFERROR(E180/E446, "NA")</f>
        <v>0.1600000278</v>
      </c>
      <c r="G180" s="14"/>
      <c r="H180" s="15">
        <f t="shared" si="49"/>
        <v>-1709.18</v>
      </c>
      <c r="I180" s="13">
        <f>IFERROR(H180/H446, "NA")</f>
        <v>-0.09929420814</v>
      </c>
      <c r="J180" s="14"/>
      <c r="K180" s="12">
        <v>26651.45</v>
      </c>
      <c r="L180" s="13">
        <f>IFERROR(K180/K446, "NA")</f>
        <v>0.1677386144</v>
      </c>
      <c r="M180" s="14"/>
      <c r="N180" s="15">
        <f t="shared" si="50"/>
        <v>-2684.97</v>
      </c>
      <c r="O180" s="13">
        <f>IFERROR(N180/N446, "NA")</f>
        <v>-0.08662110056</v>
      </c>
      <c r="P180" s="14"/>
      <c r="Q180" s="12">
        <v>227646.95</v>
      </c>
      <c r="R180" s="13">
        <f>IFERROR(Q180/Q446, "NA")</f>
        <v>0.1456149667</v>
      </c>
      <c r="S180" s="14"/>
      <c r="T180" s="12">
        <v>241097.8</v>
      </c>
      <c r="U180" s="13">
        <f>IFERROR(T180/T446, "NA")</f>
        <v>0.1559673077</v>
      </c>
      <c r="V180" s="14"/>
      <c r="W180" s="15">
        <f t="shared" si="51"/>
        <v>13450.85</v>
      </c>
      <c r="X180" s="13">
        <f>IFERROR(W180/W446, "NA")</f>
        <v>0.7674841235</v>
      </c>
      <c r="Y180" s="14"/>
      <c r="Z180" s="12">
        <v>227991.56</v>
      </c>
      <c r="AA180" s="13">
        <f>IFERROR(Z180/Z446, "NA")</f>
        <v>0.1593887222</v>
      </c>
      <c r="AB180" s="14"/>
      <c r="AC180" s="15">
        <f t="shared" si="52"/>
        <v>344.61</v>
      </c>
      <c r="AD180" s="13">
        <f>IFERROR(AC180/AC446, "NA")</f>
        <v>0.002592291279</v>
      </c>
    </row>
    <row r="181" ht="16.5" customHeight="1">
      <c r="A181" s="11" t="s">
        <v>169</v>
      </c>
      <c r="B181" s="12">
        <v>1102.21</v>
      </c>
      <c r="C181" s="13">
        <f>IFERROR(B181/B446, "NA")</f>
        <v>0.005804664133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-1102.21</v>
      </c>
      <c r="I181" s="13">
        <f>IFERROR(H181/H446, "NA")</f>
        <v>-0.06403250047</v>
      </c>
      <c r="J181" s="14"/>
      <c r="K181" s="12">
        <v>507.57</v>
      </c>
      <c r="L181" s="13">
        <f>IFERROR(K181/K446, "NA")</f>
        <v>0.003194538703</v>
      </c>
      <c r="M181" s="14"/>
      <c r="N181" s="15">
        <f t="shared" si="50"/>
        <v>-594.64</v>
      </c>
      <c r="O181" s="13">
        <f>IFERROR(N181/N446, "NA")</f>
        <v>-0.01918396527</v>
      </c>
      <c r="P181" s="14"/>
      <c r="Q181" s="12">
        <v>6047.42</v>
      </c>
      <c r="R181" s="13">
        <f>IFERROR(Q181/Q446, "NA")</f>
        <v>0.003868248013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-6047.42</v>
      </c>
      <c r="X181" s="13">
        <f>IFERROR(W181/W446, "NA")</f>
        <v>-0.345056174</v>
      </c>
      <c r="Y181" s="14"/>
      <c r="Z181" s="12">
        <v>5638.22</v>
      </c>
      <c r="AA181" s="13">
        <f>IFERROR(Z181/Z446, "NA")</f>
        <v>0.003941675215</v>
      </c>
      <c r="AB181" s="14"/>
      <c r="AC181" s="15">
        <f t="shared" si="52"/>
        <v>-409.2</v>
      </c>
      <c r="AD181" s="13">
        <f>IFERROR(AC181/AC446, "NA")</f>
        <v>-0.003078162536</v>
      </c>
    </row>
    <row r="182" ht="16.5" customHeight="1">
      <c r="A182" s="16" t="s">
        <v>170</v>
      </c>
      <c r="B182" s="17">
        <f>IFERROR(B177+B178+B179+B180+B181, "NA")</f>
        <v>40515.55</v>
      </c>
      <c r="C182" s="18">
        <f>IFERROR(B182/B446, "NA")</f>
        <v>0.2133705555</v>
      </c>
      <c r="D182" s="8"/>
      <c r="E182" s="17">
        <f>IFERROR(E177+E178+E179+E180+E181, "NA")</f>
        <v>37905.7</v>
      </c>
      <c r="F182" s="18">
        <f>IFERROR(E182/E446, "NA")</f>
        <v>0.2195265634</v>
      </c>
      <c r="G182" s="8"/>
      <c r="H182" s="17">
        <f t="shared" si="49"/>
        <v>-2609.85</v>
      </c>
      <c r="I182" s="18">
        <f>IFERROR(H182/H446, "NA")</f>
        <v>-0.1516183135</v>
      </c>
      <c r="J182" s="8"/>
      <c r="K182" s="17">
        <f>IFERROR(K177+K178+K179+K180+K181, "NA")</f>
        <v>37235.94</v>
      </c>
      <c r="L182" s="18">
        <f>IFERROR(K182/K446, "NA")</f>
        <v>0.2343551657</v>
      </c>
      <c r="M182" s="8"/>
      <c r="N182" s="17">
        <f t="shared" si="50"/>
        <v>-3279.61</v>
      </c>
      <c r="O182" s="18">
        <f>IFERROR(N182/N446, "NA")</f>
        <v>-0.1058050658</v>
      </c>
      <c r="P182" s="8"/>
      <c r="Q182" s="17">
        <f>IFERROR(Q177+Q178+Q179+Q180+Q181, "NA")</f>
        <v>319348.19</v>
      </c>
      <c r="R182" s="18">
        <f>IFERROR(Q182/Q446, "NA")</f>
        <v>0.2042719046</v>
      </c>
      <c r="S182" s="8"/>
      <c r="T182" s="17">
        <f>IFERROR(T177+T178+T179+T180+T181, "NA")</f>
        <v>327529.2</v>
      </c>
      <c r="U182" s="18">
        <f>IFERROR(T182/T446, "NA")</f>
        <v>0.2118801893</v>
      </c>
      <c r="V182" s="8"/>
      <c r="W182" s="17">
        <f t="shared" si="51"/>
        <v>8181.01</v>
      </c>
      <c r="X182" s="18">
        <f>IFERROR(W182/W446, "NA")</f>
        <v>0.4667954285</v>
      </c>
      <c r="Y182" s="8"/>
      <c r="Z182" s="17">
        <f>IFERROR(Z177+Z178+Z179+Z180+Z181, "NA")</f>
        <v>319008.6</v>
      </c>
      <c r="AA182" s="18">
        <f>IFERROR(Z182/Z446, "NA")</f>
        <v>0.223018664</v>
      </c>
      <c r="AB182" s="8"/>
      <c r="AC182" s="17">
        <f t="shared" si="52"/>
        <v>-339.59</v>
      </c>
      <c r="AD182" s="18">
        <f>IFERROR(AC182/AC446, "NA")</f>
        <v>-0.002554528875</v>
      </c>
    </row>
    <row r="183" ht="16.5" hidden="1" customHeight="1">
      <c r="A183" s="11" t="s">
        <v>171</v>
      </c>
      <c r="B183" s="12">
        <v>0.0</v>
      </c>
      <c r="C183" s="13">
        <f>IFERROR(B183/B446, "NA")</f>
        <v>0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863.0</v>
      </c>
      <c r="C184" s="13">
        <f>IFERROR(B184/B446, "NA")</f>
        <v>0.00454489176</v>
      </c>
      <c r="D184" s="14"/>
      <c r="E184" s="12">
        <v>862.5</v>
      </c>
      <c r="F184" s="13">
        <f>IFERROR(E184/E446, "NA")</f>
        <v>0.004995070951</v>
      </c>
      <c r="G184" s="14"/>
      <c r="H184" s="15">
        <f t="shared" si="49"/>
        <v>-0.5</v>
      </c>
      <c r="I184" s="13">
        <f>IFERROR(H184/H446, "NA")</f>
        <v>-0.00002904732332</v>
      </c>
      <c r="J184" s="14"/>
      <c r="K184" s="12">
        <v>1150.0</v>
      </c>
      <c r="L184" s="13">
        <f>IFERROR(K184/K446, "NA")</f>
        <v>0.007237857848</v>
      </c>
      <c r="M184" s="14"/>
      <c r="N184" s="15">
        <f t="shared" si="50"/>
        <v>287</v>
      </c>
      <c r="O184" s="13">
        <f>IFERROR(N184/N446, "NA")</f>
        <v>0.009259044183</v>
      </c>
      <c r="P184" s="14"/>
      <c r="Q184" s="12">
        <v>1576.0</v>
      </c>
      <c r="R184" s="13">
        <f>IFERROR(Q184/Q446, "NA")</f>
        <v>0.00100809252</v>
      </c>
      <c r="S184" s="14"/>
      <c r="T184" s="12">
        <v>7200.0</v>
      </c>
      <c r="U184" s="13">
        <f>IFERROR(T184/T446, "NA")</f>
        <v>0.00465771407</v>
      </c>
      <c r="V184" s="14"/>
      <c r="W184" s="15">
        <f t="shared" si="51"/>
        <v>5624</v>
      </c>
      <c r="X184" s="13">
        <f>IFERROR(W184/W446, "NA")</f>
        <v>0.3208965017</v>
      </c>
      <c r="Y184" s="14"/>
      <c r="Z184" s="12">
        <v>4100.0</v>
      </c>
      <c r="AA184" s="13">
        <f>IFERROR(Z184/Z446, "NA")</f>
        <v>0.00286630681</v>
      </c>
      <c r="AB184" s="14"/>
      <c r="AC184" s="15">
        <f t="shared" si="52"/>
        <v>2524</v>
      </c>
      <c r="AD184" s="13">
        <f>IFERROR(AC184/AC446, "NA")</f>
        <v>0.01898651574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4251.72</v>
      </c>
      <c r="C186" s="13">
        <f>IFERROR(B186/B446, "NA")</f>
        <v>0.02239120185</v>
      </c>
      <c r="D186" s="14"/>
      <c r="E186" s="12">
        <v>3857.13</v>
      </c>
      <c r="F186" s="13">
        <f>IFERROR(E186/E446, "NA")</f>
        <v>0.02233813103</v>
      </c>
      <c r="G186" s="14"/>
      <c r="H186" s="15">
        <f t="shared" ref="H186:H197" si="53">IFERROR(-(B186-E186), "NA")</f>
        <v>-394.59</v>
      </c>
      <c r="I186" s="13">
        <f>IFERROR(H186/H446, "NA")</f>
        <v>-0.02292356662</v>
      </c>
      <c r="J186" s="14"/>
      <c r="K186" s="12">
        <v>3549.23</v>
      </c>
      <c r="L186" s="13">
        <f>IFERROR(K186/K446, "NA")</f>
        <v>0.02233810627</v>
      </c>
      <c r="M186" s="14"/>
      <c r="N186" s="15">
        <f t="shared" ref="N186:N197" si="54">IFERROR(-(B186-K186), "NA")</f>
        <v>-702.49</v>
      </c>
      <c r="O186" s="13">
        <f>IFERROR(N186/N446, "NA")</f>
        <v>-0.02266336567</v>
      </c>
      <c r="P186" s="14"/>
      <c r="Q186" s="12">
        <v>34098.19</v>
      </c>
      <c r="R186" s="13">
        <f>IFERROR(Q186/Q446, "NA")</f>
        <v>0.02181099638</v>
      </c>
      <c r="S186" s="14"/>
      <c r="T186" s="12">
        <v>34643.39</v>
      </c>
      <c r="U186" s="13">
        <f>IFERROR(T186/T446, "NA")</f>
        <v>0.02241097292</v>
      </c>
      <c r="V186" s="14"/>
      <c r="W186" s="15">
        <f t="shared" ref="W186:W197" si="55">IFERROR(-(Q186-T186), "NA")</f>
        <v>545.2</v>
      </c>
      <c r="X186" s="13">
        <f>IFERROR(W186/W446, "NA")</f>
        <v>0.03110824551</v>
      </c>
      <c r="Y186" s="14"/>
      <c r="Z186" s="12">
        <v>32086.22</v>
      </c>
      <c r="AA186" s="13">
        <f>IFERROR(Z186/Z446, "NA")</f>
        <v>0.02243145143</v>
      </c>
      <c r="AB186" s="14"/>
      <c r="AC186" s="15">
        <f t="shared" ref="AC186:AC197" si="56">IFERROR(-(Q186-Z186), "NA")</f>
        <v>-2011.97</v>
      </c>
      <c r="AD186" s="13">
        <f>IFERROR(AC186/AC446, "NA")</f>
        <v>-0.0151348257</v>
      </c>
    </row>
    <row r="187" ht="16.5" hidden="1" customHeight="1">
      <c r="A187" s="11" t="s">
        <v>174</v>
      </c>
      <c r="B187" s="12">
        <v>0.0</v>
      </c>
      <c r="C187" s="13">
        <f>IFERROR(B187/B446, "NA")</f>
        <v>0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>
        <f>IFERROR(B188/B446, "NA")</f>
        <v>0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>
        <f>IFERROR(B189/B446, "NA")</f>
        <v>0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>
        <f>IFERROR(B190/B446, "NA")</f>
        <v>0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>
        <f>IFERROR(B191/B446, "NA")</f>
        <v>0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>
        <f>IFERROR(B192/B446, "NA")</f>
        <v>0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4251.72</v>
      </c>
      <c r="C193" s="18">
        <f>IFERROR(B193/B446, "NA")</f>
        <v>0.02239120185</v>
      </c>
      <c r="D193" s="8"/>
      <c r="E193" s="17">
        <f>IFERROR(E186+E187+E188+E189+E190+E191+E192, "NA")</f>
        <v>3857.13</v>
      </c>
      <c r="F193" s="18">
        <f>IFERROR(E193/E446, "NA")</f>
        <v>0.02233813103</v>
      </c>
      <c r="G193" s="8"/>
      <c r="H193" s="17">
        <f t="shared" si="53"/>
        <v>-394.59</v>
      </c>
      <c r="I193" s="18">
        <f>IFERROR(H193/H446, "NA")</f>
        <v>-0.02292356662</v>
      </c>
      <c r="J193" s="8"/>
      <c r="K193" s="17">
        <f>IFERROR(K186+K187+K188+K189+K190+K191+K192, "NA")</f>
        <v>3549.23</v>
      </c>
      <c r="L193" s="18">
        <f>IFERROR(K193/K446, "NA")</f>
        <v>0.02233810627</v>
      </c>
      <c r="M193" s="8"/>
      <c r="N193" s="17">
        <f t="shared" si="54"/>
        <v>-702.49</v>
      </c>
      <c r="O193" s="18">
        <f>IFERROR(N193/N446, "NA")</f>
        <v>-0.02266336567</v>
      </c>
      <c r="P193" s="8"/>
      <c r="Q193" s="17">
        <f>IFERROR(Q186+Q187+Q188+Q189+Q190+Q191+Q192, "NA")</f>
        <v>34098.19</v>
      </c>
      <c r="R193" s="18">
        <f>IFERROR(Q193/Q446, "NA")</f>
        <v>0.02181099638</v>
      </c>
      <c r="S193" s="8"/>
      <c r="T193" s="17">
        <f>IFERROR(T186+T187+T188+T189+T190+T191+T192, "NA")</f>
        <v>34643.39</v>
      </c>
      <c r="U193" s="18">
        <f>IFERROR(T193/T446, "NA")</f>
        <v>0.02241097292</v>
      </c>
      <c r="V193" s="8"/>
      <c r="W193" s="17">
        <f t="shared" si="55"/>
        <v>545.2</v>
      </c>
      <c r="X193" s="18">
        <f>IFERROR(W193/W446, "NA")</f>
        <v>0.03110824551</v>
      </c>
      <c r="Y193" s="8"/>
      <c r="Z193" s="17">
        <f>IFERROR(Z186+Z187+Z188+Z189+Z190+Z191+Z192, "NA")</f>
        <v>32086.22</v>
      </c>
      <c r="AA193" s="18">
        <f>IFERROR(Z193/Z446, "NA")</f>
        <v>0.02243145143</v>
      </c>
      <c r="AB193" s="8"/>
      <c r="AC193" s="17">
        <f t="shared" si="56"/>
        <v>-2011.97</v>
      </c>
      <c r="AD193" s="18">
        <f>IFERROR(AC193/AC446, "NA")</f>
        <v>-0.0151348257</v>
      </c>
    </row>
    <row r="194" ht="16.5" customHeight="1">
      <c r="A194" s="11" t="s">
        <v>181</v>
      </c>
      <c r="B194" s="12">
        <v>275.6</v>
      </c>
      <c r="C194" s="13">
        <f>IFERROR(B194/B446, "NA")</f>
        <v>0.001451416187</v>
      </c>
      <c r="D194" s="14"/>
      <c r="E194" s="12">
        <v>310.15</v>
      </c>
      <c r="F194" s="13">
        <f>IFERROR(E194/E446, "NA")</f>
        <v>0.001796198557</v>
      </c>
      <c r="G194" s="14"/>
      <c r="H194" s="15">
        <f t="shared" si="53"/>
        <v>34.55</v>
      </c>
      <c r="I194" s="13">
        <f>IFERROR(H194/H446, "NA")</f>
        <v>0.002007170041</v>
      </c>
      <c r="J194" s="14"/>
      <c r="K194" s="12">
        <v>250.16</v>
      </c>
      <c r="L194" s="13">
        <f>IFERROR(K194/K446, "NA")</f>
        <v>0.001574454365</v>
      </c>
      <c r="M194" s="14"/>
      <c r="N194" s="15">
        <f t="shared" si="54"/>
        <v>-25.44</v>
      </c>
      <c r="O194" s="13">
        <f>IFERROR(N194/N446, "NA")</f>
        <v>-0.000820732</v>
      </c>
      <c r="P194" s="14"/>
      <c r="Q194" s="12">
        <v>2081.25</v>
      </c>
      <c r="R194" s="13">
        <f>IFERROR(Q194/Q446, "NA")</f>
        <v>0.001331277004</v>
      </c>
      <c r="S194" s="14"/>
      <c r="T194" s="12">
        <v>2677.83</v>
      </c>
      <c r="U194" s="13">
        <f>IFERROR(T194/T446, "NA")</f>
        <v>0.001732300898</v>
      </c>
      <c r="V194" s="14"/>
      <c r="W194" s="15">
        <f t="shared" si="55"/>
        <v>596.58</v>
      </c>
      <c r="X194" s="13">
        <f>IFERROR(W194/W446, "NA")</f>
        <v>0.03403990665</v>
      </c>
      <c r="Y194" s="14"/>
      <c r="Z194" s="12">
        <v>2163.46</v>
      </c>
      <c r="AA194" s="13">
        <f>IFERROR(Z194/Z446, "NA")</f>
        <v>0.001512473202</v>
      </c>
      <c r="AB194" s="14"/>
      <c r="AC194" s="15">
        <f t="shared" si="56"/>
        <v>82.21</v>
      </c>
      <c r="AD194" s="13">
        <f>IFERROR(AC194/AC446, "NA")</f>
        <v>0.0006184157919</v>
      </c>
    </row>
    <row r="195" ht="16.5" customHeight="1">
      <c r="A195" s="11" t="s">
        <v>182</v>
      </c>
      <c r="B195" s="12">
        <v>55.62</v>
      </c>
      <c r="C195" s="13">
        <f>IFERROR(B195/B446, "NA")</f>
        <v>0.0002929164307</v>
      </c>
      <c r="D195" s="14"/>
      <c r="E195" s="12">
        <v>518.01</v>
      </c>
      <c r="F195" s="13">
        <f>IFERROR(E195/E446, "NA")</f>
        <v>0.002999996178</v>
      </c>
      <c r="G195" s="14"/>
      <c r="H195" s="15">
        <f t="shared" si="53"/>
        <v>462.39</v>
      </c>
      <c r="I195" s="13">
        <f>IFERROR(H195/H446, "NA")</f>
        <v>0.02686238366</v>
      </c>
      <c r="J195" s="14"/>
      <c r="K195" s="12">
        <v>209.07</v>
      </c>
      <c r="L195" s="13">
        <f>IFERROR(K195/K446, "NA")</f>
        <v>0.001315842557</v>
      </c>
      <c r="M195" s="14"/>
      <c r="N195" s="15">
        <f t="shared" si="54"/>
        <v>153.45</v>
      </c>
      <c r="O195" s="13">
        <f>IFERROR(N195/N446, "NA")</f>
        <v>0.004950523797</v>
      </c>
      <c r="P195" s="14"/>
      <c r="Q195" s="12">
        <v>1792.46</v>
      </c>
      <c r="R195" s="13">
        <f>IFERROR(Q195/Q446, "NA")</f>
        <v>0.001146551725</v>
      </c>
      <c r="S195" s="14"/>
      <c r="T195" s="12">
        <v>4637.46</v>
      </c>
      <c r="U195" s="13">
        <f>IFERROR(T195/T446, "NA")</f>
        <v>0.002999994818</v>
      </c>
      <c r="V195" s="14"/>
      <c r="W195" s="15">
        <f t="shared" si="55"/>
        <v>2845</v>
      </c>
      <c r="X195" s="13">
        <f>IFERROR(W195/W446, "NA")</f>
        <v>0.1623311784</v>
      </c>
      <c r="Y195" s="14"/>
      <c r="Z195" s="12">
        <v>1563.72</v>
      </c>
      <c r="AA195" s="13">
        <f>IFERROR(Z195/Z446, "NA")</f>
        <v>0.001093195435</v>
      </c>
      <c r="AB195" s="14"/>
      <c r="AC195" s="15">
        <f t="shared" si="56"/>
        <v>-228.74</v>
      </c>
      <c r="AD195" s="13">
        <f>IFERROR(AC195/AC446, "NA")</f>
        <v>-0.001720671795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45961.49</v>
      </c>
      <c r="C196" s="18">
        <f>IFERROR(B196/B446, "NA")</f>
        <v>0.2420509817</v>
      </c>
      <c r="D196" s="8"/>
      <c r="E196" s="17">
        <f>IFERROR(E175+E177+E178+E179+E180+E181+E183+E184+E186+E187+E188+E189+E190+E191+E192+E194+E195, "NA")</f>
        <v>43453.49</v>
      </c>
      <c r="F196" s="18">
        <f>IFERROR(E196/E446, "NA")</f>
        <v>0.2516559601</v>
      </c>
      <c r="G196" s="8"/>
      <c r="H196" s="17">
        <f t="shared" si="53"/>
        <v>-2508</v>
      </c>
      <c r="I196" s="18">
        <f>IFERROR(H196/H446, "NA")</f>
        <v>-0.1457013738</v>
      </c>
      <c r="J196" s="8"/>
      <c r="K196" s="17">
        <f>IFERROR(K175+K177+K178+K179+K180+K181+K183+K184+K186+K187+K188+K189+K190+K191+K192+K194+K195, "NA")</f>
        <v>42394.4</v>
      </c>
      <c r="L196" s="18">
        <f>IFERROR(K196/K446, "NA")</f>
        <v>0.2668214268</v>
      </c>
      <c r="M196" s="8"/>
      <c r="N196" s="17">
        <f t="shared" si="54"/>
        <v>-3567.09</v>
      </c>
      <c r="O196" s="18">
        <f>IFERROR(N196/N446, "NA")</f>
        <v>-0.1150795955</v>
      </c>
      <c r="P196" s="8"/>
      <c r="Q196" s="17">
        <f>IFERROR(Q175+Q177+Q178+Q179+Q180+Q181+Q183+Q184+Q186+Q187+Q188+Q189+Q190+Q191+Q192+Q194+Q195, "NA")</f>
        <v>358896.09</v>
      </c>
      <c r="R196" s="18">
        <f>IFERROR(Q196/Q446, "NA")</f>
        <v>0.2295688223</v>
      </c>
      <c r="S196" s="8"/>
      <c r="T196" s="17">
        <f>IFERROR(T175+T177+T178+T179+T180+T181+T183+T184+T186+T187+T188+T189+T190+T191+T192+T194+T195, "NA")</f>
        <v>376687.88</v>
      </c>
      <c r="U196" s="18">
        <f>IFERROR(T196/T446, "NA")</f>
        <v>0.243681172</v>
      </c>
      <c r="V196" s="8"/>
      <c r="W196" s="17">
        <f t="shared" si="55"/>
        <v>17791.79</v>
      </c>
      <c r="X196" s="18">
        <f>IFERROR(W196/W446, "NA")</f>
        <v>1.015171261</v>
      </c>
      <c r="Y196" s="8"/>
      <c r="Z196" s="17">
        <f>IFERROR(Z175+Z177+Z178+Z179+Z180+Z181+Z183+Z184+Z186+Z187+Z188+Z189+Z190+Z191+Z192+Z194+Z195, "NA")</f>
        <v>358922</v>
      </c>
      <c r="AA196" s="18">
        <f>IFERROR(Z196/Z446, "NA")</f>
        <v>0.2509220909</v>
      </c>
      <c r="AB196" s="8"/>
      <c r="AC196" s="17">
        <f t="shared" si="56"/>
        <v>25.91</v>
      </c>
      <c r="AD196" s="18">
        <f>IFERROR(AC196/AC446, "NA")</f>
        <v>0.0001949051596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45961.49</v>
      </c>
      <c r="C197" s="18">
        <f>IFERROR(B197/B446, "NA")</f>
        <v>0.2420509817</v>
      </c>
      <c r="D197" s="8"/>
      <c r="E197" s="17">
        <f>IFERROR(E175+E177+E178+E179+E180+E181+E183+E184+E186+E187+E188+E189+E190+E191+E192+E194+E195, "NA")</f>
        <v>43453.49</v>
      </c>
      <c r="F197" s="18">
        <f>IFERROR(E197/E446, "NA")</f>
        <v>0.2516559601</v>
      </c>
      <c r="G197" s="8"/>
      <c r="H197" s="17">
        <f t="shared" si="53"/>
        <v>-2508</v>
      </c>
      <c r="I197" s="18">
        <f>IFERROR(H197/H446, "NA")</f>
        <v>-0.1457013738</v>
      </c>
      <c r="J197" s="8"/>
      <c r="K197" s="17">
        <f>IFERROR(K175+K177+K178+K179+K180+K181+K183+K184+K186+K187+K188+K189+K190+K191+K192+K194+K195, "NA")</f>
        <v>42394.4</v>
      </c>
      <c r="L197" s="18">
        <f>IFERROR(K197/K446, "NA")</f>
        <v>0.2668214268</v>
      </c>
      <c r="M197" s="8"/>
      <c r="N197" s="17">
        <f t="shared" si="54"/>
        <v>-3567.09</v>
      </c>
      <c r="O197" s="18">
        <f>IFERROR(N197/N446, "NA")</f>
        <v>-0.1150795955</v>
      </c>
      <c r="P197" s="8"/>
      <c r="Q197" s="17">
        <f>IFERROR(Q175+Q177+Q178+Q179+Q180+Q181+Q183+Q184+Q186+Q187+Q188+Q189+Q190+Q191+Q192+Q194+Q195, "NA")</f>
        <v>358896.09</v>
      </c>
      <c r="R197" s="18">
        <f>IFERROR(Q197/Q446, "NA")</f>
        <v>0.2295688223</v>
      </c>
      <c r="S197" s="8"/>
      <c r="T197" s="17">
        <f>IFERROR(T175+T177+T178+T179+T180+T181+T183+T184+T186+T187+T188+T189+T190+T191+T192+T194+T195, "NA")</f>
        <v>376687.88</v>
      </c>
      <c r="U197" s="18">
        <f>IFERROR(T197/T446, "NA")</f>
        <v>0.243681172</v>
      </c>
      <c r="V197" s="8"/>
      <c r="W197" s="17">
        <f t="shared" si="55"/>
        <v>17791.79</v>
      </c>
      <c r="X197" s="18">
        <f>IFERROR(W197/W446, "NA")</f>
        <v>1.015171261</v>
      </c>
      <c r="Y197" s="8"/>
      <c r="Z197" s="17">
        <f>IFERROR(Z175+Z177+Z178+Z179+Z180+Z181+Z183+Z184+Z186+Z187+Z188+Z189+Z190+Z191+Z192+Z194+Z195, "NA")</f>
        <v>358922</v>
      </c>
      <c r="AA197" s="18">
        <f>IFERROR(Z197/Z446, "NA")</f>
        <v>0.2509220909</v>
      </c>
      <c r="AB197" s="8"/>
      <c r="AC197" s="17">
        <f t="shared" si="56"/>
        <v>25.91</v>
      </c>
      <c r="AD197" s="18">
        <f>IFERROR(AC197/AC446, "NA")</f>
        <v>0.0001949051596</v>
      </c>
    </row>
    <row r="198" ht="16.5" customHeight="1">
      <c r="A198" s="19" t="s">
        <v>184</v>
      </c>
      <c r="B198" s="20">
        <f>IFERROR(B172-B197, "NA")</f>
        <v>97943</v>
      </c>
      <c r="C198" s="21">
        <f>IFERROR(B198/B446, "NA")</f>
        <v>0.5158057169</v>
      </c>
      <c r="D198" s="22"/>
      <c r="E198" s="20">
        <f>IFERROR(E172-E197, "NA")</f>
        <v>85358.5</v>
      </c>
      <c r="F198" s="21">
        <f>IFERROR(E198/E446, "NA")</f>
        <v>0.4943440739</v>
      </c>
      <c r="G198" s="22"/>
      <c r="H198" s="20">
        <f>IFERROR(B198-E198, "NA")</f>
        <v>12584.5</v>
      </c>
      <c r="I198" s="21">
        <f>IFERROR(H198/H446, "NA")</f>
        <v>0.7310920806</v>
      </c>
      <c r="J198" s="22"/>
      <c r="K198" s="20">
        <f>IFERROR(K172-K197, "NA")</f>
        <v>73552.12</v>
      </c>
      <c r="L198" s="21">
        <f>IFERROR(K198/K446, "NA")</f>
        <v>0.4629215557</v>
      </c>
      <c r="M198" s="22"/>
      <c r="N198" s="20">
        <f>IFERROR(B198-K198, "NA")</f>
        <v>24390.88</v>
      </c>
      <c r="O198" s="21">
        <f>IFERROR(N198/N446, "NA")</f>
        <v>0.7868858382</v>
      </c>
      <c r="P198" s="22"/>
      <c r="Q198" s="20">
        <f>IFERROR(Q172-Q197, "NA")</f>
        <v>805466</v>
      </c>
      <c r="R198" s="21">
        <f>IFERROR(Q198/Q446, "NA")</f>
        <v>0.5152184327</v>
      </c>
      <c r="S198" s="22"/>
      <c r="T198" s="20">
        <f>IFERROR(T172-T197, "NA")</f>
        <v>774931.99</v>
      </c>
      <c r="U198" s="21">
        <f>IFERROR(T198/T446, "NA")</f>
        <v>0.5013071713</v>
      </c>
      <c r="V198" s="22"/>
      <c r="W198" s="20">
        <f>IFERROR(Q198-T198, "NA")</f>
        <v>30534.01</v>
      </c>
      <c r="X198" s="21">
        <f>IFERROR(W198/W446, "NA")</f>
        <v>1.742222083</v>
      </c>
      <c r="Y198" s="22"/>
      <c r="Z198" s="20">
        <f>IFERROR(Z172-Z197, "NA")</f>
        <v>682426.58</v>
      </c>
      <c r="AA198" s="21">
        <f>IFERROR(Z198/Z446, "NA")</f>
        <v>0.477083891</v>
      </c>
      <c r="AB198" s="22"/>
      <c r="AC198" s="20">
        <f>IFERROR(Q198-Z198, "NA")</f>
        <v>123039.42</v>
      </c>
      <c r="AD198" s="21">
        <f>IFERROR(AC198/AC446, "NA")</f>
        <v>0.9255506673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>
        <f>IFERROR(B201/B446, "NA")</f>
        <v>0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1404.34</v>
      </c>
      <c r="C202" s="13">
        <f>IFERROR(B202/B446, "NA")</f>
        <v>0.00739579756</v>
      </c>
      <c r="D202" s="14"/>
      <c r="E202" s="12">
        <v>1554.03</v>
      </c>
      <c r="F202" s="13">
        <f>IFERROR(E202/E446, "NA")</f>
        <v>0.008999988533</v>
      </c>
      <c r="G202" s="14"/>
      <c r="H202" s="15">
        <f t="shared" si="57"/>
        <v>149.69</v>
      </c>
      <c r="I202" s="13">
        <f>IFERROR(H202/H446, "NA")</f>
        <v>0.008696187655</v>
      </c>
      <c r="J202" s="14"/>
      <c r="K202" s="12">
        <v>1602.67</v>
      </c>
      <c r="L202" s="13">
        <f>IFERROR(K202/K446, "NA")</f>
        <v>0.01008686751</v>
      </c>
      <c r="M202" s="14"/>
      <c r="N202" s="15">
        <f t="shared" si="58"/>
        <v>198.33</v>
      </c>
      <c r="O202" s="13">
        <f>IFERROR(N202/N446, "NA")</f>
        <v>0.006398418929</v>
      </c>
      <c r="P202" s="14"/>
      <c r="Q202" s="12">
        <v>13911.44</v>
      </c>
      <c r="R202" s="13">
        <f>IFERROR(Q202/Q446, "NA")</f>
        <v>0.008898488966</v>
      </c>
      <c r="S202" s="14"/>
      <c r="T202" s="12">
        <v>13912.39</v>
      </c>
      <c r="U202" s="13">
        <f>IFERROR(T202/T446, "NA")</f>
        <v>0.008999990924</v>
      </c>
      <c r="V202" s="14"/>
      <c r="W202" s="15">
        <f t="shared" si="59"/>
        <v>0.95</v>
      </c>
      <c r="X202" s="13">
        <f>IFERROR(W202/W446, "NA")</f>
        <v>0.00005420549016</v>
      </c>
      <c r="Y202" s="14"/>
      <c r="Z202" s="12">
        <v>12366.63</v>
      </c>
      <c r="AA202" s="13">
        <f>IFERROR(Z202/Z446, "NA")</f>
        <v>0.00864550141</v>
      </c>
      <c r="AB202" s="14"/>
      <c r="AC202" s="15">
        <f t="shared" si="60"/>
        <v>-1544.81</v>
      </c>
      <c r="AD202" s="13">
        <f>IFERROR(AC202/AC446, "NA")</f>
        <v>-0.01162066536</v>
      </c>
    </row>
    <row r="203" ht="16.5" customHeight="1">
      <c r="A203" s="11" t="s">
        <v>188</v>
      </c>
      <c r="B203" s="12">
        <v>936.6</v>
      </c>
      <c r="C203" s="13">
        <f>IFERROR(B203/B446, "NA")</f>
        <v>0.004932497825</v>
      </c>
      <c r="D203" s="14"/>
      <c r="E203" s="12">
        <v>1036.02</v>
      </c>
      <c r="F203" s="13">
        <f>IFERROR(E203/E446, "NA")</f>
        <v>0.005999992355</v>
      </c>
      <c r="G203" s="14"/>
      <c r="H203" s="15">
        <f t="shared" si="57"/>
        <v>99.42</v>
      </c>
      <c r="I203" s="13">
        <f>IFERROR(H203/H446, "NA")</f>
        <v>0.005775769769</v>
      </c>
      <c r="J203" s="14"/>
      <c r="K203" s="12">
        <v>1057.6</v>
      </c>
      <c r="L203" s="13">
        <f>IFERROR(K203/K446, "NA")</f>
        <v>0.006656311705</v>
      </c>
      <c r="M203" s="14"/>
      <c r="N203" s="15">
        <f t="shared" si="58"/>
        <v>121</v>
      </c>
      <c r="O203" s="13">
        <f>IFERROR(N203/N446, "NA")</f>
        <v>0.003903638837</v>
      </c>
      <c r="P203" s="14"/>
      <c r="Q203" s="12">
        <v>8651.72</v>
      </c>
      <c r="R203" s="13">
        <f>IFERROR(Q203/Q446, "NA")</f>
        <v>0.005534095317</v>
      </c>
      <c r="S203" s="14"/>
      <c r="T203" s="12">
        <v>9274.94</v>
      </c>
      <c r="U203" s="13">
        <f>IFERROR(T203/T446, "NA")</f>
        <v>0.006000002575</v>
      </c>
      <c r="V203" s="14"/>
      <c r="W203" s="15">
        <f t="shared" si="59"/>
        <v>623.22</v>
      </c>
      <c r="X203" s="13">
        <f>IFERROR(W203/W446, "NA")</f>
        <v>0.03555994271</v>
      </c>
      <c r="Y203" s="14"/>
      <c r="Z203" s="12">
        <v>11509.9</v>
      </c>
      <c r="AA203" s="13">
        <f>IFERROR(Z203/Z446, "NA")</f>
        <v>0.008046562133</v>
      </c>
      <c r="AB203" s="14"/>
      <c r="AC203" s="15">
        <f t="shared" si="60"/>
        <v>2858.18</v>
      </c>
      <c r="AD203" s="13">
        <f>IFERROR(AC203/AC446, "NA")</f>
        <v>0.02150034847</v>
      </c>
    </row>
    <row r="204" ht="16.5" customHeight="1">
      <c r="A204" s="11" t="s">
        <v>189</v>
      </c>
      <c r="B204" s="12">
        <v>81.72</v>
      </c>
      <c r="C204" s="13">
        <f>IFERROR(B204/B446, "NA")</f>
        <v>0.0004303691247</v>
      </c>
      <c r="D204" s="14"/>
      <c r="E204" s="12">
        <v>345.34</v>
      </c>
      <c r="F204" s="13">
        <f>IFERROR(E204/E446, "NA")</f>
        <v>0.001999997452</v>
      </c>
      <c r="G204" s="14"/>
      <c r="H204" s="15">
        <f t="shared" si="57"/>
        <v>263.62</v>
      </c>
      <c r="I204" s="13">
        <f>IFERROR(H204/H446, "NA")</f>
        <v>0.01531491075</v>
      </c>
      <c r="J204" s="14"/>
      <c r="K204" s="12">
        <v>354.51</v>
      </c>
      <c r="L204" s="13">
        <f>IFERROR(K204/K446, "NA")</f>
        <v>0.002231211292</v>
      </c>
      <c r="M204" s="14"/>
      <c r="N204" s="15">
        <f t="shared" si="58"/>
        <v>272.79</v>
      </c>
      <c r="O204" s="13">
        <f>IFERROR(N204/N446, "NA")</f>
        <v>0.008800608581</v>
      </c>
      <c r="P204" s="14"/>
      <c r="Q204" s="12">
        <v>1834.53</v>
      </c>
      <c r="R204" s="13">
        <f>IFERROR(Q204/Q446, "NA")</f>
        <v>0.001173461911</v>
      </c>
      <c r="S204" s="14"/>
      <c r="T204" s="12">
        <v>3091.66</v>
      </c>
      <c r="U204" s="13">
        <f>IFERROR(T204/T446, "NA")</f>
        <v>0.002000009484</v>
      </c>
      <c r="V204" s="14"/>
      <c r="W204" s="15">
        <f t="shared" si="59"/>
        <v>1257.13</v>
      </c>
      <c r="X204" s="13">
        <f>IFERROR(W204/W446, "NA")</f>
        <v>0.07172983984</v>
      </c>
      <c r="Y204" s="14"/>
      <c r="Z204" s="12">
        <v>1952.07</v>
      </c>
      <c r="AA204" s="13">
        <f>IFERROR(Z204/Z446, "NA")</f>
        <v>0.001364690618</v>
      </c>
      <c r="AB204" s="14"/>
      <c r="AC204" s="15">
        <f t="shared" si="60"/>
        <v>117.54</v>
      </c>
      <c r="AD204" s="13">
        <f>IFERROR(AC204/AC446, "NA")</f>
        <v>0.0008841818779</v>
      </c>
    </row>
    <row r="205" ht="16.5" customHeight="1">
      <c r="A205" s="11" t="s">
        <v>190</v>
      </c>
      <c r="B205" s="12">
        <v>543.05</v>
      </c>
      <c r="C205" s="13">
        <f>IFERROR(B205/B446, "NA")</f>
        <v>0.002859911321</v>
      </c>
      <c r="D205" s="14"/>
      <c r="E205" s="12">
        <v>518.01</v>
      </c>
      <c r="F205" s="13">
        <f>IFERROR(E205/E446, "NA")</f>
        <v>0.002999996178</v>
      </c>
      <c r="G205" s="14"/>
      <c r="H205" s="15">
        <f t="shared" si="57"/>
        <v>-25.04</v>
      </c>
      <c r="I205" s="13">
        <f>IFERROR(H205/H446, "NA")</f>
        <v>-0.001454689952</v>
      </c>
      <c r="J205" s="14"/>
      <c r="K205" s="12">
        <v>368.83</v>
      </c>
      <c r="L205" s="13">
        <f>IFERROR(K205/K446, "NA")</f>
        <v>0.002321338357</v>
      </c>
      <c r="M205" s="14"/>
      <c r="N205" s="15">
        <f t="shared" si="58"/>
        <v>-174.22</v>
      </c>
      <c r="O205" s="13">
        <f>IFERROR(N205/N446, "NA")</f>
        <v>-0.005620594695</v>
      </c>
      <c r="P205" s="14"/>
      <c r="Q205" s="12">
        <v>4497.67</v>
      </c>
      <c r="R205" s="13">
        <f>IFERROR(Q205/Q446, "NA")</f>
        <v>0.002876946374</v>
      </c>
      <c r="S205" s="14"/>
      <c r="T205" s="12">
        <v>4637.46</v>
      </c>
      <c r="U205" s="13">
        <f>IFERROR(T205/T446, "NA")</f>
        <v>0.002999994818</v>
      </c>
      <c r="V205" s="14"/>
      <c r="W205" s="15">
        <f t="shared" si="59"/>
        <v>139.79</v>
      </c>
      <c r="X205" s="13">
        <f>IFERROR(W205/W446, "NA")</f>
        <v>0.007976195231</v>
      </c>
      <c r="Y205" s="14"/>
      <c r="Z205" s="12">
        <v>5739.27</v>
      </c>
      <c r="AA205" s="13">
        <f>IFERROR(Z205/Z446, "NA")</f>
        <v>0.004012319191</v>
      </c>
      <c r="AB205" s="14"/>
      <c r="AC205" s="15">
        <f t="shared" si="60"/>
        <v>1241.6</v>
      </c>
      <c r="AD205" s="13">
        <f>IFERROR(AC205/AC446, "NA")</f>
        <v>0.009339801085</v>
      </c>
    </row>
    <row r="206" ht="16.5" customHeight="1">
      <c r="A206" s="11" t="s">
        <v>191</v>
      </c>
      <c r="B206" s="12">
        <v>41.82</v>
      </c>
      <c r="C206" s="13">
        <f>IFERROR(B206/B446, "NA")</f>
        <v>0.0002202402936</v>
      </c>
      <c r="D206" s="14"/>
      <c r="E206" s="12">
        <v>172.67</v>
      </c>
      <c r="F206" s="13">
        <f>IFERROR(E206/E446, "NA")</f>
        <v>0.0009999987259</v>
      </c>
      <c r="G206" s="14"/>
      <c r="H206" s="15">
        <f t="shared" si="57"/>
        <v>130.85</v>
      </c>
      <c r="I206" s="13">
        <f>IFERROR(H206/H446, "NA")</f>
        <v>0.007601684512</v>
      </c>
      <c r="J206" s="14"/>
      <c r="K206" s="12">
        <v>128.17</v>
      </c>
      <c r="L206" s="13">
        <f>IFERROR(K206/K446, "NA")</f>
        <v>0.0008066749917</v>
      </c>
      <c r="M206" s="14"/>
      <c r="N206" s="15">
        <f t="shared" si="58"/>
        <v>86.35</v>
      </c>
      <c r="O206" s="13">
        <f>IFERROR(N206/N446, "NA")</f>
        <v>0.002785778624</v>
      </c>
      <c r="P206" s="14"/>
      <c r="Q206" s="12">
        <v>852.06</v>
      </c>
      <c r="R206" s="13">
        <f>IFERROR(Q206/Q446, "NA")</f>
        <v>0.0005450224066</v>
      </c>
      <c r="S206" s="14"/>
      <c r="T206" s="12">
        <v>1545.81</v>
      </c>
      <c r="U206" s="13">
        <f>IFERROR(T206/T446, "NA")</f>
        <v>0.0009999918037</v>
      </c>
      <c r="V206" s="14"/>
      <c r="W206" s="15">
        <f t="shared" si="59"/>
        <v>693.75</v>
      </c>
      <c r="X206" s="13">
        <f>IFERROR(W206/W446, "NA")</f>
        <v>0.03958427242</v>
      </c>
      <c r="Y206" s="14"/>
      <c r="Z206" s="12">
        <v>1385.21</v>
      </c>
      <c r="AA206" s="13">
        <f>IFERROR(Z206/Z446, "NA")</f>
        <v>0.0009683992331</v>
      </c>
      <c r="AB206" s="14"/>
      <c r="AC206" s="15">
        <f t="shared" si="60"/>
        <v>533.15</v>
      </c>
      <c r="AD206" s="13">
        <f>IFERROR(AC206/AC446, "NA")</f>
        <v>0.004010562942</v>
      </c>
    </row>
    <row r="207" ht="16.5" customHeight="1">
      <c r="A207" s="11" t="s">
        <v>192</v>
      </c>
      <c r="B207" s="12">
        <v>0.0</v>
      </c>
      <c r="C207" s="13">
        <f>IFERROR(B207/B446, "NA")</f>
        <v>0</v>
      </c>
      <c r="D207" s="14"/>
      <c r="E207" s="12">
        <v>100.0</v>
      </c>
      <c r="F207" s="13">
        <f>IFERROR(E207/E446, "NA")</f>
        <v>0.000579138661</v>
      </c>
      <c r="G207" s="14"/>
      <c r="H207" s="15">
        <f t="shared" si="57"/>
        <v>100</v>
      </c>
      <c r="I207" s="13">
        <f>IFERROR(H207/H446, "NA")</f>
        <v>0.005809464664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558.04</v>
      </c>
      <c r="R207" s="13">
        <f>IFERROR(Q207/Q446, "NA")</f>
        <v>0.0003569517449</v>
      </c>
      <c r="S207" s="14"/>
      <c r="T207" s="12">
        <v>800.0</v>
      </c>
      <c r="U207" s="13">
        <f>IFERROR(T207/T446, "NA")</f>
        <v>0.0005175237856</v>
      </c>
      <c r="V207" s="14"/>
      <c r="W207" s="15">
        <f t="shared" si="59"/>
        <v>241.96</v>
      </c>
      <c r="X207" s="13">
        <f>IFERROR(W207/W446, "NA")</f>
        <v>0.01380585305</v>
      </c>
      <c r="Y207" s="14"/>
      <c r="Z207" s="12">
        <v>762.98</v>
      </c>
      <c r="AA207" s="13">
        <f>IFERROR(Z207/Z446, "NA")</f>
        <v>0.0005333987243</v>
      </c>
      <c r="AB207" s="14"/>
      <c r="AC207" s="15">
        <f t="shared" si="60"/>
        <v>204.94</v>
      </c>
      <c r="AD207" s="13">
        <f>IFERROR(AC207/AC446, "NA")</f>
        <v>0.001541638881</v>
      </c>
    </row>
    <row r="208" ht="16.5" customHeight="1">
      <c r="A208" s="11" t="s">
        <v>193</v>
      </c>
      <c r="B208" s="12">
        <v>38.77</v>
      </c>
      <c r="C208" s="13">
        <f>IFERROR(B208/B446, "NA")</f>
        <v>0.0002041778141</v>
      </c>
      <c r="D208" s="14"/>
      <c r="E208" s="12">
        <v>100.0</v>
      </c>
      <c r="F208" s="13">
        <f>IFERROR(E208/E446, "NA")</f>
        <v>0.000579138661</v>
      </c>
      <c r="G208" s="14"/>
      <c r="H208" s="15">
        <f t="shared" si="57"/>
        <v>61.23</v>
      </c>
      <c r="I208" s="13">
        <f>IFERROR(H208/H446, "NA")</f>
        <v>0.003557135214</v>
      </c>
      <c r="J208" s="14"/>
      <c r="K208" s="12">
        <v>339.91</v>
      </c>
      <c r="L208" s="13">
        <f>IFERROR(K208/K446, "NA")</f>
        <v>0.002139321966</v>
      </c>
      <c r="M208" s="14"/>
      <c r="N208" s="15">
        <f t="shared" si="58"/>
        <v>301.14</v>
      </c>
      <c r="O208" s="13">
        <f>IFERROR(N208/N446, "NA")</f>
        <v>0.009715221481</v>
      </c>
      <c r="P208" s="14"/>
      <c r="Q208" s="12">
        <v>1255.32</v>
      </c>
      <c r="R208" s="13">
        <f>IFERROR(Q208/Q446, "NA")</f>
        <v>0.0008029687199</v>
      </c>
      <c r="S208" s="14"/>
      <c r="T208" s="12">
        <v>800.0</v>
      </c>
      <c r="U208" s="13">
        <f>IFERROR(T208/T446, "NA")</f>
        <v>0.0005175237856</v>
      </c>
      <c r="V208" s="14"/>
      <c r="W208" s="15">
        <f t="shared" si="59"/>
        <v>-455.32</v>
      </c>
      <c r="X208" s="13">
        <f>IFERROR(W208/W446, "NA")</f>
        <v>-0.02597983556</v>
      </c>
      <c r="Y208" s="14"/>
      <c r="Z208" s="12">
        <v>1681.47</v>
      </c>
      <c r="AA208" s="13">
        <f>IFERROR(Z208/Z446, "NA")</f>
        <v>0.001175514369</v>
      </c>
      <c r="AB208" s="14"/>
      <c r="AC208" s="15">
        <f t="shared" si="60"/>
        <v>426.15</v>
      </c>
      <c r="AD208" s="13">
        <f>IFERROR(AC208/AC446, "NA")</f>
        <v>0.003205667069</v>
      </c>
    </row>
    <row r="209" ht="16.5" customHeight="1">
      <c r="A209" s="16" t="s">
        <v>194</v>
      </c>
      <c r="B209" s="17">
        <f>IFERROR(B201+B202+B203+B204+B205+B206+B207+B208, "NA")</f>
        <v>3046.3</v>
      </c>
      <c r="C209" s="18">
        <f>IFERROR(B209/B446, "NA")</f>
        <v>0.01604299394</v>
      </c>
      <c r="D209" s="8"/>
      <c r="E209" s="17">
        <f>IFERROR(E201+E202+E203+E204+E205+E206+E207+E208, "NA")</f>
        <v>3826.07</v>
      </c>
      <c r="F209" s="18">
        <f>IFERROR(E209/E446, "NA")</f>
        <v>0.02215825057</v>
      </c>
      <c r="G209" s="8"/>
      <c r="H209" s="17">
        <f t="shared" si="57"/>
        <v>779.77</v>
      </c>
      <c r="I209" s="18">
        <f>IFERROR(H209/H446, "NA")</f>
        <v>0.04530046261</v>
      </c>
      <c r="J209" s="8"/>
      <c r="K209" s="17">
        <f>IFERROR(K201+K202+K203+K204+K205+K206+K207+K208, "NA")</f>
        <v>3851.69</v>
      </c>
      <c r="L209" s="18">
        <f>IFERROR(K209/K446, "NA")</f>
        <v>0.02424172582</v>
      </c>
      <c r="M209" s="8"/>
      <c r="N209" s="17">
        <f t="shared" si="58"/>
        <v>805.39</v>
      </c>
      <c r="O209" s="18">
        <f>IFERROR(N209/N446, "NA")</f>
        <v>0.02598307176</v>
      </c>
      <c r="P209" s="8"/>
      <c r="Q209" s="17">
        <f>IFERROR(Q201+Q202+Q203+Q204+Q205+Q206+Q207+Q208, "NA")</f>
        <v>31560.78</v>
      </c>
      <c r="R209" s="18">
        <f>IFERROR(Q209/Q446, "NA")</f>
        <v>0.02018793544</v>
      </c>
      <c r="S209" s="8"/>
      <c r="T209" s="17">
        <f>IFERROR(T201+T202+T203+T204+T205+T206+T207+T208, "NA")</f>
        <v>34062.26</v>
      </c>
      <c r="U209" s="18">
        <f>IFERROR(T209/T446, "NA")</f>
        <v>0.02203503718</v>
      </c>
      <c r="V209" s="8"/>
      <c r="W209" s="17">
        <f t="shared" si="59"/>
        <v>2501.48</v>
      </c>
      <c r="X209" s="18">
        <f>IFERROR(W209/W446, "NA")</f>
        <v>0.1427304732</v>
      </c>
      <c r="Y209" s="8"/>
      <c r="Z209" s="17">
        <f>IFERROR(Z201+Z202+Z203+Z204+Z205+Z206+Z207+Z208, "NA")</f>
        <v>35397.53</v>
      </c>
      <c r="AA209" s="18">
        <f>IFERROR(Z209/Z446, "NA")</f>
        <v>0.02474638568</v>
      </c>
      <c r="AB209" s="8"/>
      <c r="AC209" s="17">
        <f t="shared" si="60"/>
        <v>3836.75</v>
      </c>
      <c r="AD209" s="18">
        <f>IFERROR(AC209/AC446, "NA")</f>
        <v>0.02886153497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>
        <f>IFERROR(B211/B446, "NA")</f>
        <v>0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>
        <f>IFERROR(B213/B446, "NA")</f>
        <v>0</v>
      </c>
      <c r="D213" s="14"/>
      <c r="E213" s="12">
        <v>6561.47</v>
      </c>
      <c r="F213" s="13">
        <f>IFERROR(E213/E446, "NA")</f>
        <v>0.0380000095</v>
      </c>
      <c r="G213" s="14"/>
      <c r="H213" s="15">
        <f t="shared" ref="H213:H227" si="61">IFERROR(-(B213-E213), "NA")</f>
        <v>6561.47</v>
      </c>
      <c r="I213" s="13">
        <f>IFERROR(H213/H446, "NA")</f>
        <v>0.3811862811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58741.28</v>
      </c>
      <c r="U213" s="13">
        <f>IFERROR(T213/T446, "NA")</f>
        <v>0.03800001199</v>
      </c>
      <c r="V213" s="14"/>
      <c r="W213" s="15">
        <f t="shared" ref="W213:W227" si="63">IFERROR(-(Q213-T213), "NA")</f>
        <v>58741.28</v>
      </c>
      <c r="X213" s="13">
        <f>IFERROR(W213/W446, "NA")</f>
        <v>3.351684079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2427.23</v>
      </c>
      <c r="C214" s="13">
        <f>IFERROR(B214/B446, "NA")</f>
        <v>0.0127827319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-2427.23</v>
      </c>
      <c r="I214" s="13">
        <f>IFERROR(H214/H446, "NA")</f>
        <v>-0.1410090692</v>
      </c>
      <c r="J214" s="14"/>
      <c r="K214" s="12">
        <v>924.05</v>
      </c>
      <c r="L214" s="13">
        <f>IFERROR(K214/K446, "NA")</f>
        <v>0.005815776126</v>
      </c>
      <c r="M214" s="14"/>
      <c r="N214" s="15">
        <f t="shared" si="62"/>
        <v>-1503.18</v>
      </c>
      <c r="O214" s="13">
        <f>IFERROR(N214/N446, "NA")</f>
        <v>-0.04849480848</v>
      </c>
      <c r="P214" s="14"/>
      <c r="Q214" s="12">
        <v>19612.06</v>
      </c>
      <c r="R214" s="13">
        <f>IFERROR(Q214/Q446, "NA")</f>
        <v>0.01254490545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-19612.06</v>
      </c>
      <c r="X214" s="13">
        <f>IFERROR(W214/W446, "NA")</f>
        <v>-1.119032974</v>
      </c>
      <c r="Y214" s="14"/>
      <c r="Z214" s="12">
        <v>32826.92</v>
      </c>
      <c r="AA214" s="13">
        <f>IFERROR(Z214/Z446, "NA")</f>
        <v>0.02294927423</v>
      </c>
      <c r="AB214" s="14"/>
      <c r="AC214" s="15">
        <f t="shared" si="64"/>
        <v>13214.86</v>
      </c>
      <c r="AD214" s="13">
        <f>IFERROR(AC214/AC446, "NA")</f>
        <v>0.0994073484</v>
      </c>
    </row>
    <row r="215" ht="16.5" customHeight="1">
      <c r="A215" s="11" t="s">
        <v>198</v>
      </c>
      <c r="B215" s="12">
        <v>1325.26</v>
      </c>
      <c r="C215" s="13">
        <f>IFERROR(B215/B446, "NA")</f>
        <v>0.006979331697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-1325.26</v>
      </c>
      <c r="I215" s="13">
        <f>IFERROR(H215/H446, "NA")</f>
        <v>-0.0769905114</v>
      </c>
      <c r="J215" s="14"/>
      <c r="K215" s="12">
        <v>888.95</v>
      </c>
      <c r="L215" s="13">
        <f>IFERROR(K215/K446, "NA")</f>
        <v>0.005594864117</v>
      </c>
      <c r="M215" s="14"/>
      <c r="N215" s="15">
        <f t="shared" si="62"/>
        <v>-436.31</v>
      </c>
      <c r="O215" s="13">
        <f>IFERROR(N215/N446, "NA")</f>
        <v>-0.01407600546</v>
      </c>
      <c r="P215" s="14"/>
      <c r="Q215" s="12">
        <v>10350.72</v>
      </c>
      <c r="R215" s="13">
        <f>IFERROR(Q215/Q446, "NA")</f>
        <v>0.006620865109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-10350.72</v>
      </c>
      <c r="X215" s="13">
        <f>IFERROR(W215/W446, "NA")</f>
        <v>-0.5905956327</v>
      </c>
      <c r="Y215" s="14"/>
      <c r="Z215" s="12">
        <v>1059.61</v>
      </c>
      <c r="AA215" s="13">
        <f>IFERROR(Z215/Z446, "NA")</f>
        <v>0.0007407725265</v>
      </c>
      <c r="AB215" s="14"/>
      <c r="AC215" s="15">
        <f t="shared" si="64"/>
        <v>-9291.11</v>
      </c>
      <c r="AD215" s="13">
        <f>IFERROR(AC215/AC446, "NA")</f>
        <v>-0.06989136539</v>
      </c>
    </row>
    <row r="216" ht="16.5" customHeight="1">
      <c r="A216" s="11" t="s">
        <v>199</v>
      </c>
      <c r="B216" s="12">
        <v>178.24</v>
      </c>
      <c r="C216" s="13">
        <f>IFERROR(B216/B446, "NA")</f>
        <v>0.0009386807733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-178.24</v>
      </c>
      <c r="I216" s="13">
        <f>IFERROR(H216/H446, "NA")</f>
        <v>-0.01035478982</v>
      </c>
      <c r="J216" s="14"/>
      <c r="K216" s="12">
        <v>61.0</v>
      </c>
      <c r="L216" s="13">
        <f>IFERROR(K216/K446, "NA")</f>
        <v>0.0003839211554</v>
      </c>
      <c r="M216" s="14"/>
      <c r="N216" s="15">
        <f t="shared" si="62"/>
        <v>-117.24</v>
      </c>
      <c r="O216" s="13">
        <f>IFERROR(N216/N446, "NA")</f>
        <v>-0.003782335679</v>
      </c>
      <c r="P216" s="14"/>
      <c r="Q216" s="12">
        <v>791.49</v>
      </c>
      <c r="R216" s="13">
        <f>IFERROR(Q216/Q446, "NA")</f>
        <v>0.0005062786478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-791.49</v>
      </c>
      <c r="X216" s="13">
        <f>IFERROR(W216/W446, "NA")</f>
        <v>-0.04516116148</v>
      </c>
      <c r="Y216" s="14"/>
      <c r="Z216" s="12">
        <v>672.89</v>
      </c>
      <c r="AA216" s="13">
        <f>IFERROR(Z216/Z446, "NA")</f>
        <v>0.0004704168754</v>
      </c>
      <c r="AB216" s="14"/>
      <c r="AC216" s="15">
        <f t="shared" si="64"/>
        <v>-118.6</v>
      </c>
      <c r="AD216" s="13">
        <f>IFERROR(AC216/AC446, "NA")</f>
        <v>-0.0008921556127</v>
      </c>
    </row>
    <row r="217" ht="16.5" customHeight="1">
      <c r="A217" s="11" t="s">
        <v>200</v>
      </c>
      <c r="B217" s="12">
        <v>4134.13</v>
      </c>
      <c r="C217" s="13">
        <f>IFERROR(B217/B446, "NA")</f>
        <v>0.02177192743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-4134.13</v>
      </c>
      <c r="I217" s="13">
        <f>IFERROR(H217/H446, "NA")</f>
        <v>-0.2401708215</v>
      </c>
      <c r="J217" s="14"/>
      <c r="K217" s="12">
        <v>709.89</v>
      </c>
      <c r="L217" s="13">
        <f>IFERROR(K217/K446, "NA")</f>
        <v>0.004467898181</v>
      </c>
      <c r="M217" s="14"/>
      <c r="N217" s="15">
        <f t="shared" si="62"/>
        <v>-3424.24</v>
      </c>
      <c r="O217" s="13">
        <f>IFERROR(N217/N446, "NA")</f>
        <v>-0.1104710434</v>
      </c>
      <c r="P217" s="14"/>
      <c r="Q217" s="12">
        <v>46662.16</v>
      </c>
      <c r="R217" s="13">
        <f>IFERROR(Q217/Q446, "NA")</f>
        <v>0.02984757264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-46662.16</v>
      </c>
      <c r="X217" s="13">
        <f>IFERROR(W217/W446, "NA")</f>
        <v>-2.662468689</v>
      </c>
      <c r="Y217" s="14"/>
      <c r="Z217" s="12">
        <v>29550.03</v>
      </c>
      <c r="AA217" s="13">
        <f>IFERROR(Z217/Z446, "NA")</f>
        <v>0.02065840298</v>
      </c>
      <c r="AB217" s="14"/>
      <c r="AC217" s="15">
        <f t="shared" si="64"/>
        <v>-17112.13</v>
      </c>
      <c r="AD217" s="13">
        <f>IFERROR(AC217/AC446, "NA")</f>
        <v>-0.1287241385</v>
      </c>
    </row>
    <row r="218" ht="16.5" customHeight="1">
      <c r="A218" s="16" t="s">
        <v>201</v>
      </c>
      <c r="B218" s="17">
        <f>IFERROR(B213+B214+B215+B216+B217, "NA")</f>
        <v>8064.86</v>
      </c>
      <c r="C218" s="18">
        <f>IFERROR(B218/B446, "NA")</f>
        <v>0.0424726718</v>
      </c>
      <c r="D218" s="8"/>
      <c r="E218" s="17">
        <f>IFERROR(E213+E214+E215+E216+E217, "NA")</f>
        <v>6561.47</v>
      </c>
      <c r="F218" s="18">
        <f>IFERROR(E218/E446, "NA")</f>
        <v>0.0380000095</v>
      </c>
      <c r="G218" s="8"/>
      <c r="H218" s="17">
        <f t="shared" si="61"/>
        <v>-1503.39</v>
      </c>
      <c r="I218" s="18">
        <f>IFERROR(H218/H446, "NA")</f>
        <v>-0.08733891081</v>
      </c>
      <c r="J218" s="8"/>
      <c r="K218" s="17">
        <f>IFERROR(K213+K214+K215+K216+K217, "NA")</f>
        <v>2583.89</v>
      </c>
      <c r="L218" s="18">
        <f>IFERROR(K218/K446, "NA")</f>
        <v>0.01626245958</v>
      </c>
      <c r="M218" s="8"/>
      <c r="N218" s="17">
        <f t="shared" si="62"/>
        <v>-5480.97</v>
      </c>
      <c r="O218" s="18">
        <f>IFERROR(N218/N446, "NA")</f>
        <v>-0.176824193</v>
      </c>
      <c r="P218" s="8"/>
      <c r="Q218" s="17">
        <f>IFERROR(Q213+Q214+Q215+Q216+Q217, "NA")</f>
        <v>77416.43</v>
      </c>
      <c r="R218" s="18">
        <f>IFERROR(Q218/Q446, "NA")</f>
        <v>0.04951962185</v>
      </c>
      <c r="S218" s="8"/>
      <c r="T218" s="17">
        <f>IFERROR(T213+T214+T215+T216+T217, "NA")</f>
        <v>58741.28</v>
      </c>
      <c r="U218" s="18">
        <f>IFERROR(T218/T446, "NA")</f>
        <v>0.03800001199</v>
      </c>
      <c r="V218" s="8"/>
      <c r="W218" s="17">
        <f t="shared" si="63"/>
        <v>-18675.15</v>
      </c>
      <c r="X218" s="18">
        <f>IFERROR(W218/W446, "NA")</f>
        <v>-1.065574378</v>
      </c>
      <c r="Y218" s="8"/>
      <c r="Z218" s="17">
        <f>IFERROR(Z213+Z214+Z215+Z216+Z217, "NA")</f>
        <v>64109.45</v>
      </c>
      <c r="AA218" s="18">
        <f>IFERROR(Z218/Z446, "NA")</f>
        <v>0.04481886661</v>
      </c>
      <c r="AB218" s="8"/>
      <c r="AC218" s="17">
        <f t="shared" si="64"/>
        <v>-13306.98</v>
      </c>
      <c r="AD218" s="18">
        <f>IFERROR(AC218/AC446, "NA")</f>
        <v>-0.1001003111</v>
      </c>
    </row>
    <row r="219" ht="16.5" hidden="1" customHeight="1">
      <c r="A219" s="11" t="s">
        <v>202</v>
      </c>
      <c r="B219" s="12">
        <v>0.0</v>
      </c>
      <c r="C219" s="13">
        <f>IFERROR(B219/B446, "NA")</f>
        <v>0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>
        <f>IFERROR(B220/B446, "NA")</f>
        <v>0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>
        <f>IFERROR(B221/B446, "NA")</f>
        <v>0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179.63</v>
      </c>
      <c r="C222" s="13">
        <f>IFERROR(B222/B446, "NA")</f>
        <v>0.0009460010509</v>
      </c>
      <c r="D222" s="14"/>
      <c r="E222" s="12">
        <v>100.0</v>
      </c>
      <c r="F222" s="13">
        <f>IFERROR(E222/E446, "NA")</f>
        <v>0.000579138661</v>
      </c>
      <c r="G222" s="14"/>
      <c r="H222" s="15">
        <f t="shared" si="61"/>
        <v>-79.63</v>
      </c>
      <c r="I222" s="13">
        <f>IFERROR(H222/H446, "NA")</f>
        <v>-0.004626076712</v>
      </c>
      <c r="J222" s="14"/>
      <c r="K222" s="12">
        <v>87.5</v>
      </c>
      <c r="L222" s="13">
        <f>IFERROR(K222/K446, "NA")</f>
        <v>0.0005507065754</v>
      </c>
      <c r="M222" s="14"/>
      <c r="N222" s="15">
        <f t="shared" si="62"/>
        <v>-92.13</v>
      </c>
      <c r="O222" s="13">
        <f>IFERROR(N222/N446, "NA")</f>
        <v>-0.002972249967</v>
      </c>
      <c r="P222" s="14"/>
      <c r="Q222" s="12">
        <v>3166.96</v>
      </c>
      <c r="R222" s="13">
        <f>IFERROR(Q222/Q446, "NA")</f>
        <v>0.002025754244</v>
      </c>
      <c r="S222" s="14"/>
      <c r="T222" s="12">
        <v>800.0</v>
      </c>
      <c r="U222" s="13">
        <f>IFERROR(T222/T446, "NA")</f>
        <v>0.0005175237856</v>
      </c>
      <c r="V222" s="14"/>
      <c r="W222" s="15">
        <f t="shared" si="63"/>
        <v>-2366.96</v>
      </c>
      <c r="X222" s="13">
        <f>IFERROR(W222/W446, "NA")</f>
        <v>-0.1350549758</v>
      </c>
      <c r="Y222" s="14"/>
      <c r="Z222" s="12">
        <v>2267.15</v>
      </c>
      <c r="AA222" s="13">
        <f>IFERROR(Z222/Z446, "NA")</f>
        <v>0.001584962801</v>
      </c>
      <c r="AB222" s="14"/>
      <c r="AC222" s="15">
        <f t="shared" si="64"/>
        <v>-899.81</v>
      </c>
      <c r="AD222" s="13">
        <f>IFERROR(AC222/AC446, "NA")</f>
        <v>-0.00676872295</v>
      </c>
    </row>
    <row r="223" ht="16.5" hidden="1" customHeight="1">
      <c r="A223" s="11" t="s">
        <v>206</v>
      </c>
      <c r="B223" s="12">
        <v>0.0</v>
      </c>
      <c r="C223" s="13">
        <f>IFERROR(B223/B446, "NA")</f>
        <v>0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>
        <f>IFERROR(B224/B446, "NA")</f>
        <v>0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>
        <f>IFERROR(B225/B446, "NA")</f>
        <v>0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>
        <f>IFERROR(B226/B446, "NA")</f>
        <v>0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8244.49</v>
      </c>
      <c r="C227" s="18">
        <f>IFERROR(B227/B446, "NA")</f>
        <v>0.04341867285</v>
      </c>
      <c r="D227" s="8"/>
      <c r="E227" s="17">
        <f>IFERROR(E211+E213+E214+E215+E216+E217+E219+E220+E221+E222+E223+E224+E225+E226, "NA")</f>
        <v>6661.47</v>
      </c>
      <c r="F227" s="18">
        <f>IFERROR(E227/E446, "NA")</f>
        <v>0.03857914816</v>
      </c>
      <c r="G227" s="8"/>
      <c r="H227" s="17">
        <f t="shared" si="61"/>
        <v>-1583.02</v>
      </c>
      <c r="I227" s="18">
        <f>IFERROR(H227/H446, "NA")</f>
        <v>-0.09196498752</v>
      </c>
      <c r="J227" s="8"/>
      <c r="K227" s="17">
        <f>IFERROR(K211+K213+K214+K215+K216+K217+K219+K220+K221+K222+K223+K224+K225+K226, "NA")</f>
        <v>2671.39</v>
      </c>
      <c r="L227" s="18">
        <f>IFERROR(K227/K446, "NA")</f>
        <v>0.01681316615</v>
      </c>
      <c r="M227" s="8"/>
      <c r="N227" s="17">
        <f t="shared" si="62"/>
        <v>-5573.1</v>
      </c>
      <c r="O227" s="18">
        <f>IFERROR(N227/N446, "NA")</f>
        <v>-0.179796443</v>
      </c>
      <c r="P227" s="8"/>
      <c r="Q227" s="17">
        <f>IFERROR(Q211+Q213+Q214+Q215+Q216+Q217+Q219+Q220+Q221+Q222+Q223+Q224+Q225+Q226, "NA")</f>
        <v>80583.39</v>
      </c>
      <c r="R227" s="18">
        <f>IFERROR(Q227/Q446, "NA")</f>
        <v>0.05154537609</v>
      </c>
      <c r="S227" s="8"/>
      <c r="T227" s="17">
        <f>IFERROR(T211+T213+T214+T215+T216+T217+T219+T220+T221+T222+T223+T224+T225+T226, "NA")</f>
        <v>59541.28</v>
      </c>
      <c r="U227" s="18">
        <f>IFERROR(T227/T446, "NA")</f>
        <v>0.03851753578</v>
      </c>
      <c r="V227" s="8"/>
      <c r="W227" s="17">
        <f t="shared" si="63"/>
        <v>-21042.11</v>
      </c>
      <c r="X227" s="18">
        <f>IFERROR(W227/W446, "NA")</f>
        <v>-1.200629354</v>
      </c>
      <c r="Y227" s="8"/>
      <c r="Z227" s="17">
        <f>IFERROR(Z211+Z213+Z214+Z215+Z216+Z217+Z219+Z220+Z221+Z222+Z223+Z224+Z225+Z226, "NA")</f>
        <v>66376.6</v>
      </c>
      <c r="AA227" s="18">
        <f>IFERROR(Z227/Z446, "NA")</f>
        <v>0.04640382941</v>
      </c>
      <c r="AB227" s="8"/>
      <c r="AC227" s="17">
        <f t="shared" si="64"/>
        <v>-14206.79</v>
      </c>
      <c r="AD227" s="18">
        <f>IFERROR(AC227/AC446, "NA")</f>
        <v>-0.106869034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>
        <f>IFERROR(B229/B446, "NA")</f>
        <v>0</v>
      </c>
      <c r="D229" s="14"/>
      <c r="E229" s="12">
        <v>3798.74</v>
      </c>
      <c r="F229" s="13">
        <f>IFERROR(E229/E446, "NA")</f>
        <v>0.02199997197</v>
      </c>
      <c r="G229" s="14"/>
      <c r="H229" s="15">
        <f t="shared" ref="H229:H236" si="65">IFERROR(-(B229-E229), "NA")</f>
        <v>3798.74</v>
      </c>
      <c r="I229" s="13">
        <f>IFERROR(H229/H446, "NA")</f>
        <v>0.220686458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34008.08</v>
      </c>
      <c r="U229" s="13">
        <f>IFERROR(T229/T446, "NA")</f>
        <v>0.02199998788</v>
      </c>
      <c r="V229" s="14"/>
      <c r="W229" s="15">
        <f t="shared" ref="W229:W236" si="67">IFERROR(-(Q229-T229), "NA")</f>
        <v>34008.08</v>
      </c>
      <c r="X229" s="13">
        <f>IFERROR(W229/W446, "NA")</f>
        <v>1.940446996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hidden="1" customHeight="1">
      <c r="A230" s="11" t="s">
        <v>212</v>
      </c>
      <c r="B230" s="12">
        <v>0.0</v>
      </c>
      <c r="C230" s="13">
        <f>IFERROR(B230/B446, "NA")</f>
        <v>0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0.0</v>
      </c>
      <c r="AA230" s="13">
        <f>IFERROR(Z230/Z446, "NA")</f>
        <v>0</v>
      </c>
      <c r="AB230" s="14"/>
      <c r="AC230" s="15">
        <f t="shared" si="68"/>
        <v>0</v>
      </c>
      <c r="AD230" s="13">
        <f>IFERROR(AC230/AC446, "NA")</f>
        <v>0</v>
      </c>
    </row>
    <row r="231" ht="16.5" customHeight="1">
      <c r="A231" s="11" t="s">
        <v>213</v>
      </c>
      <c r="B231" s="12">
        <v>0.0</v>
      </c>
      <c r="C231" s="13">
        <f>IFERROR(B231/B446, "NA")</f>
        <v>0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0.0</v>
      </c>
      <c r="L231" s="13">
        <f>IFERROR(K231/K446, "NA")</f>
        <v>0</v>
      </c>
      <c r="M231" s="14"/>
      <c r="N231" s="15">
        <f t="shared" si="66"/>
        <v>0</v>
      </c>
      <c r="O231" s="13">
        <f>IFERROR(N231/N446, "NA")</f>
        <v>0</v>
      </c>
      <c r="P231" s="14"/>
      <c r="Q231" s="12">
        <v>0.0</v>
      </c>
      <c r="R231" s="13">
        <f>IFERROR(Q231/Q446, "NA")</f>
        <v>0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0</v>
      </c>
      <c r="X231" s="13">
        <f>IFERROR(W231/W446, "NA")</f>
        <v>0</v>
      </c>
      <c r="Y231" s="14"/>
      <c r="Z231" s="12">
        <v>2465.81</v>
      </c>
      <c r="AA231" s="13">
        <f>IFERROR(Z231/Z446, "NA")</f>
        <v>0.001723845852</v>
      </c>
      <c r="AB231" s="14"/>
      <c r="AC231" s="15">
        <f t="shared" si="68"/>
        <v>2465.81</v>
      </c>
      <c r="AD231" s="13">
        <f>IFERROR(AC231/AC446, "NA")</f>
        <v>0.01854878779</v>
      </c>
    </row>
    <row r="232" ht="16.5" hidden="1" customHeight="1">
      <c r="A232" s="11" t="s">
        <v>214</v>
      </c>
      <c r="B232" s="12">
        <v>0.0</v>
      </c>
      <c r="C232" s="13">
        <f>IFERROR(B232/B446, "NA")</f>
        <v>0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customHeight="1">
      <c r="A233" s="11" t="s">
        <v>215</v>
      </c>
      <c r="B233" s="12">
        <v>0.0</v>
      </c>
      <c r="C233" s="13">
        <f>IFERROR(B233/B446, "NA")</f>
        <v>0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390.34</v>
      </c>
      <c r="L233" s="13">
        <f>IFERROR(K233/K446, "NA")</f>
        <v>0.002456717767</v>
      </c>
      <c r="M233" s="14"/>
      <c r="N233" s="15">
        <f t="shared" si="66"/>
        <v>390.34</v>
      </c>
      <c r="O233" s="13">
        <f>IFERROR(N233/N446, "NA")</f>
        <v>0.01259294532</v>
      </c>
      <c r="P233" s="14"/>
      <c r="Q233" s="12">
        <v>424.21</v>
      </c>
      <c r="R233" s="13">
        <f>IFERROR(Q233/Q446, "NA")</f>
        <v>0.0002713470355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-424.21</v>
      </c>
      <c r="X233" s="13">
        <f>IFERROR(W233/W446, "NA")</f>
        <v>-0.0242047484</v>
      </c>
      <c r="Y233" s="14"/>
      <c r="Z233" s="12">
        <v>577.79</v>
      </c>
      <c r="AA233" s="13">
        <f>IFERROR(Z233/Z446, "NA")</f>
        <v>0.0004039325394</v>
      </c>
      <c r="AB233" s="14"/>
      <c r="AC233" s="15">
        <f t="shared" si="68"/>
        <v>153.58</v>
      </c>
      <c r="AD233" s="13">
        <f>IFERROR(AC233/AC446, "NA")</f>
        <v>0.001155288862</v>
      </c>
    </row>
    <row r="234" ht="16.5" customHeight="1">
      <c r="A234" s="11" t="s">
        <v>216</v>
      </c>
      <c r="B234" s="12">
        <v>4635.66</v>
      </c>
      <c r="C234" s="13">
        <f>IFERROR(B234/B446, "NA")</f>
        <v>0.02441317837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-4635.66</v>
      </c>
      <c r="I234" s="13">
        <f>IFERROR(H234/H446, "NA")</f>
        <v>-0.2693070296</v>
      </c>
      <c r="J234" s="14"/>
      <c r="K234" s="12">
        <v>3295.67</v>
      </c>
      <c r="L234" s="13">
        <f>IFERROR(K234/K446, "NA")</f>
        <v>0.02074225302</v>
      </c>
      <c r="M234" s="14"/>
      <c r="N234" s="15">
        <f t="shared" si="66"/>
        <v>-1339.99</v>
      </c>
      <c r="O234" s="13">
        <f>IFERROR(N234/N446, "NA")</f>
        <v>-0.04323005789</v>
      </c>
      <c r="P234" s="14"/>
      <c r="Q234" s="12">
        <v>34983.2</v>
      </c>
      <c r="R234" s="13">
        <f>IFERROR(Q234/Q446, "NA")</f>
        <v>0.02237709534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-34983.2</v>
      </c>
      <c r="X234" s="13">
        <f>IFERROR(W234/W446, "NA")</f>
        <v>-1.996085793</v>
      </c>
      <c r="Y234" s="14"/>
      <c r="Z234" s="12">
        <v>27849.06</v>
      </c>
      <c r="AA234" s="13">
        <f>IFERROR(Z234/Z446, "NA")</f>
        <v>0.01946925617</v>
      </c>
      <c r="AB234" s="14"/>
      <c r="AC234" s="15">
        <f t="shared" si="68"/>
        <v>-7134.14</v>
      </c>
      <c r="AD234" s="13">
        <f>IFERROR(AC234/AC446, "NA")</f>
        <v>-0.05366579294</v>
      </c>
    </row>
    <row r="235" ht="16.5" customHeight="1">
      <c r="A235" s="11" t="s">
        <v>217</v>
      </c>
      <c r="B235" s="12">
        <v>152.72</v>
      </c>
      <c r="C235" s="13">
        <f>IFERROR(B235/B446, "NA")</f>
        <v>0.0008042825836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-152.72</v>
      </c>
      <c r="I235" s="13">
        <f>IFERROR(H235/H446, "NA")</f>
        <v>-0.008872214434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-152.72</v>
      </c>
      <c r="O235" s="13">
        <f>IFERROR(N235/N446, "NA")</f>
        <v>-0.004926972918</v>
      </c>
      <c r="P235" s="14"/>
      <c r="Q235" s="12">
        <v>647.29</v>
      </c>
      <c r="R235" s="13">
        <f>IFERROR(Q235/Q446, "NA")</f>
        <v>0.0004140407408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-647.29</v>
      </c>
      <c r="X235" s="13">
        <f>IFERROR(W235/W446, "NA")</f>
        <v>-0.03693333866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-647.29</v>
      </c>
      <c r="AD235" s="13">
        <f>IFERROR(AC235/AC446, "NA")</f>
        <v>-0.004869168689</v>
      </c>
    </row>
    <row r="236" ht="16.5" customHeight="1">
      <c r="A236" s="16" t="s">
        <v>218</v>
      </c>
      <c r="B236" s="17">
        <f>IFERROR(B229+B230+B231+B232+B233+B234+B235, "NA")</f>
        <v>4788.38</v>
      </c>
      <c r="C236" s="18">
        <f>IFERROR(B236/B446, "NA")</f>
        <v>0.02521746096</v>
      </c>
      <c r="D236" s="8"/>
      <c r="E236" s="17">
        <f>IFERROR(E229+E230+E231+E232+E233+E234+E235, "NA")</f>
        <v>3798.74</v>
      </c>
      <c r="F236" s="18">
        <f>IFERROR(E236/E446, "NA")</f>
        <v>0.02199997197</v>
      </c>
      <c r="G236" s="8"/>
      <c r="H236" s="17">
        <f t="shared" si="65"/>
        <v>-989.64</v>
      </c>
      <c r="I236" s="18">
        <f>IFERROR(H236/H446, "NA")</f>
        <v>-0.0574927861</v>
      </c>
      <c r="J236" s="8"/>
      <c r="K236" s="17">
        <f>IFERROR(K229+K230+K231+K232+K233+K234+K235, "NA")</f>
        <v>3686.01</v>
      </c>
      <c r="L236" s="18">
        <f>IFERROR(K236/K446, "NA")</f>
        <v>0.02319897079</v>
      </c>
      <c r="M236" s="8"/>
      <c r="N236" s="17">
        <f t="shared" si="66"/>
        <v>-1102.37</v>
      </c>
      <c r="O236" s="18">
        <f>IFERROR(N236/N446, "NA")</f>
        <v>-0.03556408549</v>
      </c>
      <c r="P236" s="8"/>
      <c r="Q236" s="17">
        <f>IFERROR(Q229+Q230+Q231+Q232+Q233+Q234+Q235, "NA")</f>
        <v>36054.7</v>
      </c>
      <c r="R236" s="18">
        <f>IFERROR(Q236/Q446, "NA")</f>
        <v>0.02306248312</v>
      </c>
      <c r="S236" s="8"/>
      <c r="T236" s="17">
        <f>IFERROR(T229+T230+T231+T232+T233+T234+T235, "NA")</f>
        <v>34008.08</v>
      </c>
      <c r="U236" s="18">
        <f>IFERROR(T236/T446, "NA")</f>
        <v>0.02199998788</v>
      </c>
      <c r="V236" s="8"/>
      <c r="W236" s="17">
        <f t="shared" si="67"/>
        <v>-2046.62</v>
      </c>
      <c r="X236" s="18">
        <f>IFERROR(W236/W446, "NA")</f>
        <v>-0.1167768845</v>
      </c>
      <c r="Y236" s="8"/>
      <c r="Z236" s="17">
        <f>IFERROR(Z229+Z230+Z231+Z232+Z233+Z234+Z235, "NA")</f>
        <v>30892.66</v>
      </c>
      <c r="AA236" s="18">
        <f>IFERROR(Z236/Z446, "NA")</f>
        <v>0.02159703457</v>
      </c>
      <c r="AB236" s="8"/>
      <c r="AC236" s="17">
        <f t="shared" si="68"/>
        <v>-5162.04</v>
      </c>
      <c r="AD236" s="18">
        <f>IFERROR(AC236/AC446, "NA")</f>
        <v>-0.03883088498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>
        <f>IFERROR(B238/B446, "NA")</f>
        <v>0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>
        <f>IFERROR(B240/B446, "NA")</f>
        <v>0</v>
      </c>
      <c r="D240" s="14"/>
      <c r="E240" s="12">
        <v>14676.97</v>
      </c>
      <c r="F240" s="13">
        <f>IFERROR(E240/E446, "NA")</f>
        <v>0.08500000753</v>
      </c>
      <c r="G240" s="14"/>
      <c r="H240" s="15">
        <f t="shared" ref="H240:H264" si="69">IFERROR(-(B240-E240), "NA")</f>
        <v>14676.97</v>
      </c>
      <c r="I240" s="13">
        <f>IFERROR(H240/H446, "NA")</f>
        <v>0.8526533858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131394.93</v>
      </c>
      <c r="U240" s="13">
        <f>IFERROR(T240/T446, "NA")</f>
        <v>0.08500000197</v>
      </c>
      <c r="V240" s="14"/>
      <c r="W240" s="15">
        <f t="shared" ref="W240:W264" si="71">IFERROR(-(Q240-T240), "NA")</f>
        <v>131394.93</v>
      </c>
      <c r="X240" s="13">
        <f>IFERROR(W240/W446, "NA")</f>
        <v>7.497185879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hidden="1" customHeight="1">
      <c r="A241" s="11" t="s">
        <v>221</v>
      </c>
      <c r="B241" s="12">
        <v>0.0</v>
      </c>
      <c r="C241" s="13">
        <f>IFERROR(B241/B446, "NA")</f>
        <v>0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0</v>
      </c>
      <c r="I241" s="13">
        <f>IFERROR(H241/H446, "NA")</f>
        <v>0</v>
      </c>
      <c r="J241" s="14"/>
      <c r="K241" s="12">
        <v>0.0</v>
      </c>
      <c r="L241" s="13">
        <f>IFERROR(K241/K446, "NA")</f>
        <v>0</v>
      </c>
      <c r="M241" s="14"/>
      <c r="N241" s="15">
        <f t="shared" si="70"/>
        <v>0</v>
      </c>
      <c r="O241" s="13">
        <f>IFERROR(N241/N446, "NA")</f>
        <v>0</v>
      </c>
      <c r="P241" s="14"/>
      <c r="Q241" s="12">
        <v>0.0</v>
      </c>
      <c r="R241" s="13">
        <f>IFERROR(Q241/Q446, "NA")</f>
        <v>0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0</v>
      </c>
      <c r="X241" s="13">
        <f>IFERROR(W241/W446, "NA")</f>
        <v>0</v>
      </c>
      <c r="Y241" s="14"/>
      <c r="Z241" s="12">
        <v>0.0</v>
      </c>
      <c r="AA241" s="13">
        <f>IFERROR(Z241/Z446, "NA")</f>
        <v>0</v>
      </c>
      <c r="AB241" s="14"/>
      <c r="AC241" s="15">
        <f t="shared" si="72"/>
        <v>0</v>
      </c>
      <c r="AD241" s="13">
        <f>IFERROR(AC241/AC446, "NA")</f>
        <v>0</v>
      </c>
    </row>
    <row r="242" ht="16.5" customHeight="1">
      <c r="A242" s="11" t="s">
        <v>222</v>
      </c>
      <c r="B242" s="12">
        <v>2840.0</v>
      </c>
      <c r="C242" s="13">
        <f>IFERROR(B242/B446, "NA")</f>
        <v>0.01495653835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-2840</v>
      </c>
      <c r="I242" s="13">
        <f>IFERROR(H242/H446, "NA")</f>
        <v>-0.1649887964</v>
      </c>
      <c r="J242" s="14"/>
      <c r="K242" s="12">
        <v>1907.77</v>
      </c>
      <c r="L242" s="13">
        <f>IFERROR(K242/K446, "NA")</f>
        <v>0.01200710267</v>
      </c>
      <c r="M242" s="14"/>
      <c r="N242" s="15">
        <f t="shared" si="70"/>
        <v>-932.23</v>
      </c>
      <c r="O242" s="13">
        <f>IFERROR(N242/N446, "NA")</f>
        <v>-0.03007511763</v>
      </c>
      <c r="P242" s="14"/>
      <c r="Q242" s="12">
        <v>24561.21</v>
      </c>
      <c r="R242" s="13">
        <f>IFERROR(Q242/Q446, "NA")</f>
        <v>0.01571064219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-24561.21</v>
      </c>
      <c r="X242" s="13">
        <f>IFERROR(W242/W446, "NA")</f>
        <v>-1.401423607</v>
      </c>
      <c r="Y242" s="14"/>
      <c r="Z242" s="12">
        <v>21497.77</v>
      </c>
      <c r="AA242" s="13">
        <f>IFERROR(Z242/Z446, "NA")</f>
        <v>0.01502907428</v>
      </c>
      <c r="AB242" s="14"/>
      <c r="AC242" s="15">
        <f t="shared" si="72"/>
        <v>-3063.44</v>
      </c>
      <c r="AD242" s="13">
        <f>IFERROR(AC242/AC446, "NA")</f>
        <v>-0.02304439452</v>
      </c>
    </row>
    <row r="243" ht="16.5" customHeight="1">
      <c r="A243" s="11" t="s">
        <v>223</v>
      </c>
      <c r="B243" s="12">
        <v>7954.99</v>
      </c>
      <c r="C243" s="13">
        <f>IFERROR(B243/B446, "NA")</f>
        <v>0.04189405389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-7954.99</v>
      </c>
      <c r="I243" s="13">
        <f>IFERROR(H243/H446, "NA")</f>
        <v>-0.462142333</v>
      </c>
      <c r="J243" s="14"/>
      <c r="K243" s="12">
        <v>5241.26</v>
      </c>
      <c r="L243" s="13">
        <f>IFERROR(K243/K446, "NA")</f>
        <v>0.03298738681</v>
      </c>
      <c r="M243" s="14"/>
      <c r="N243" s="15">
        <f t="shared" si="70"/>
        <v>-2713.73</v>
      </c>
      <c r="O243" s="13">
        <f>IFERROR(N243/N446, "NA")</f>
        <v>-0.08754894066</v>
      </c>
      <c r="P243" s="14"/>
      <c r="Q243" s="12">
        <v>60806.32</v>
      </c>
      <c r="R243" s="13">
        <f>IFERROR(Q243/Q446, "NA")</f>
        <v>0.03889492156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-60806.32</v>
      </c>
      <c r="X243" s="13">
        <f>IFERROR(W243/W446, "NA")</f>
        <v>-3.469511979</v>
      </c>
      <c r="Y243" s="14"/>
      <c r="Z243" s="12">
        <v>50445.54</v>
      </c>
      <c r="AA243" s="13">
        <f>IFERROR(Z243/Z446, "NA")</f>
        <v>0.03526643776</v>
      </c>
      <c r="AB243" s="14"/>
      <c r="AC243" s="15">
        <f t="shared" si="72"/>
        <v>-10360.78</v>
      </c>
      <c r="AD243" s="13">
        <f>IFERROR(AC243/AC446, "NA")</f>
        <v>-0.07793784173</v>
      </c>
    </row>
    <row r="244" ht="16.5" customHeight="1">
      <c r="A244" s="11" t="s">
        <v>224</v>
      </c>
      <c r="B244" s="12">
        <v>489.66</v>
      </c>
      <c r="C244" s="13">
        <f>IFERROR(B244/B446, "NA")</f>
        <v>0.002578738933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-489.66</v>
      </c>
      <c r="I244" s="13">
        <f>IFERROR(H244/H446, "NA")</f>
        <v>-0.02844662467</v>
      </c>
      <c r="J244" s="14"/>
      <c r="K244" s="12">
        <v>803.8</v>
      </c>
      <c r="L244" s="13">
        <f>IFERROR(K244/K446, "NA")</f>
        <v>0.005058947947</v>
      </c>
      <c r="M244" s="14"/>
      <c r="N244" s="15">
        <f t="shared" si="70"/>
        <v>314.14</v>
      </c>
      <c r="O244" s="13">
        <f>IFERROR(N244/N446, "NA")</f>
        <v>0.0101346207</v>
      </c>
      <c r="P244" s="14"/>
      <c r="Q244" s="12">
        <v>5042.78</v>
      </c>
      <c r="R244" s="13">
        <f>IFERROR(Q244/Q446, "NA")</f>
        <v>0.003225627411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-5042.78</v>
      </c>
      <c r="X244" s="13">
        <f>IFERROR(W244/W446, "NA")</f>
        <v>-0.2877330123</v>
      </c>
      <c r="Y244" s="14"/>
      <c r="Z244" s="12">
        <v>1548.8</v>
      </c>
      <c r="AA244" s="13">
        <f>IFERROR(Z244/Z446, "NA")</f>
        <v>0.001082764875</v>
      </c>
      <c r="AB244" s="14"/>
      <c r="AC244" s="15">
        <f t="shared" si="72"/>
        <v>-3493.98</v>
      </c>
      <c r="AD244" s="13">
        <f>IFERROR(AC244/AC446, "NA")</f>
        <v>-0.02628308489</v>
      </c>
    </row>
    <row r="245" ht="16.5" hidden="1" customHeight="1">
      <c r="A245" s="11" t="s">
        <v>225</v>
      </c>
      <c r="B245" s="12">
        <v>0.0</v>
      </c>
      <c r="C245" s="13">
        <f>IFERROR(B245/B446, "NA")</f>
        <v>0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337.61</v>
      </c>
      <c r="C246" s="13">
        <f>IFERROR(B246/B446, "NA")</f>
        <v>0.001777984829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-337.61</v>
      </c>
      <c r="I246" s="13">
        <f>IFERROR(H246/H446, "NA")</f>
        <v>-0.01961333365</v>
      </c>
      <c r="J246" s="14"/>
      <c r="K246" s="12">
        <v>381.99</v>
      </c>
      <c r="L246" s="13">
        <f>IFERROR(K246/K446, "NA")</f>
        <v>0.002404164626</v>
      </c>
      <c r="M246" s="14"/>
      <c r="N246" s="15">
        <f t="shared" si="70"/>
        <v>44.38</v>
      </c>
      <c r="O246" s="13">
        <f>IFERROR(N246/N446, "NA")</f>
        <v>0.001431764393</v>
      </c>
      <c r="P246" s="14"/>
      <c r="Q246" s="12">
        <v>2066.49</v>
      </c>
      <c r="R246" s="13">
        <f>IFERROR(Q246/Q446, "NA")</f>
        <v>0.001321835731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-2066.49</v>
      </c>
      <c r="X246" s="13">
        <f>IFERROR(W246/W446, "NA")</f>
        <v>-0.1179106351</v>
      </c>
      <c r="Y246" s="14"/>
      <c r="Z246" s="12">
        <v>5069.38</v>
      </c>
      <c r="AA246" s="13">
        <f>IFERROR(Z246/Z446, "NA")</f>
        <v>0.003543999613</v>
      </c>
      <c r="AB246" s="14"/>
      <c r="AC246" s="15">
        <f t="shared" si="72"/>
        <v>3002.89</v>
      </c>
      <c r="AD246" s="13">
        <f>IFERROR(AC246/AC446, "NA")</f>
        <v>0.02258891373</v>
      </c>
    </row>
    <row r="247" ht="16.5" hidden="1" customHeight="1">
      <c r="A247" s="11" t="s">
        <v>227</v>
      </c>
      <c r="B247" s="12">
        <v>0.0</v>
      </c>
      <c r="C247" s="13">
        <f>IFERROR(B247/B446, "NA")</f>
        <v>0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239.76</v>
      </c>
      <c r="C248" s="13">
        <f>IFERROR(B248/B446, "NA")</f>
        <v>0.001262668886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-239.76</v>
      </c>
      <c r="I248" s="13">
        <f>IFERROR(H248/H446, "NA")</f>
        <v>-0.01392877248</v>
      </c>
      <c r="J248" s="14"/>
      <c r="K248" s="12">
        <v>208.5</v>
      </c>
      <c r="L248" s="13">
        <f>IFERROR(K248/K446, "NA")</f>
        <v>0.001312255097</v>
      </c>
      <c r="M248" s="14"/>
      <c r="N248" s="15">
        <f t="shared" si="70"/>
        <v>-31.26</v>
      </c>
      <c r="O248" s="13">
        <f>IFERROR(N248/N446, "NA")</f>
        <v>-0.001008493802</v>
      </c>
      <c r="P248" s="14"/>
      <c r="Q248" s="12">
        <v>1756.15</v>
      </c>
      <c r="R248" s="13">
        <f>IFERROR(Q248/Q446, "NA")</f>
        <v>0.001123325939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-1756.15</v>
      </c>
      <c r="X248" s="13">
        <f>IFERROR(W248/W446, "NA")</f>
        <v>-0.1002031279</v>
      </c>
      <c r="Y248" s="14"/>
      <c r="Z248" s="12">
        <v>1592.17</v>
      </c>
      <c r="AA248" s="13">
        <f>IFERROR(Z248/Z446, "NA")</f>
        <v>0.001113084808</v>
      </c>
      <c r="AB248" s="14"/>
      <c r="AC248" s="15">
        <f t="shared" si="72"/>
        <v>-163.98</v>
      </c>
      <c r="AD248" s="13">
        <f>IFERROR(AC248/AC446, "NA")</f>
        <v>-0.001233521732</v>
      </c>
    </row>
    <row r="249" ht="16.5" customHeight="1">
      <c r="A249" s="11" t="s">
        <v>229</v>
      </c>
      <c r="B249" s="12">
        <v>5442.99</v>
      </c>
      <c r="C249" s="13">
        <f>IFERROR(B249/B446, "NA")</f>
        <v>0.02866489038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-5442.99</v>
      </c>
      <c r="I249" s="13">
        <f>IFERROR(H249/H446, "NA")</f>
        <v>-0.3162085807</v>
      </c>
      <c r="J249" s="14"/>
      <c r="K249" s="12">
        <v>1688.14</v>
      </c>
      <c r="L249" s="13">
        <f>IFERROR(K249/K446, "NA")</f>
        <v>0.01062479769</v>
      </c>
      <c r="M249" s="14"/>
      <c r="N249" s="15">
        <f t="shared" si="70"/>
        <v>-3754.85</v>
      </c>
      <c r="O249" s="13">
        <f>IFERROR(N249/N446, "NA")</f>
        <v>-0.1211370106</v>
      </c>
      <c r="P249" s="14"/>
      <c r="Q249" s="12">
        <v>46854.67</v>
      </c>
      <c r="R249" s="13">
        <f>IFERROR(Q249/Q446, "NA")</f>
        <v>0.02997071216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-46854.67</v>
      </c>
      <c r="X249" s="13">
        <f>IFERROR(W249/W446, "NA")</f>
        <v>-2.673453004</v>
      </c>
      <c r="Y249" s="14"/>
      <c r="Z249" s="12">
        <v>25687.18</v>
      </c>
      <c r="AA249" s="13">
        <f>IFERROR(Z249/Z446, "NA")</f>
        <v>0.01795788755</v>
      </c>
      <c r="AB249" s="14"/>
      <c r="AC249" s="15">
        <f t="shared" si="72"/>
        <v>-21167.49</v>
      </c>
      <c r="AD249" s="13">
        <f>IFERROR(AC249/AC446, "NA")</f>
        <v>-0.1592301434</v>
      </c>
    </row>
    <row r="250" ht="16.5" hidden="1" customHeight="1">
      <c r="A250" s="11" t="s">
        <v>230</v>
      </c>
      <c r="B250" s="12">
        <v>0.0</v>
      </c>
      <c r="C250" s="13">
        <f>IFERROR(B250/B446, "NA")</f>
        <v>0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hidden="1" customHeight="1">
      <c r="A251" s="11" t="s">
        <v>231</v>
      </c>
      <c r="B251" s="12">
        <v>0.0</v>
      </c>
      <c r="C251" s="13">
        <f>IFERROR(B251/B446, "NA")</f>
        <v>0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0</v>
      </c>
      <c r="I251" s="13">
        <f>IFERROR(H251/H446, "NA")</f>
        <v>0</v>
      </c>
      <c r="J251" s="14"/>
      <c r="K251" s="12">
        <v>0.0</v>
      </c>
      <c r="L251" s="13">
        <f>IFERROR(K251/K446, "NA")</f>
        <v>0</v>
      </c>
      <c r="M251" s="14"/>
      <c r="N251" s="15">
        <f t="shared" si="70"/>
        <v>0</v>
      </c>
      <c r="O251" s="13">
        <f>IFERROR(N251/N446, "NA")</f>
        <v>0</v>
      </c>
      <c r="P251" s="14"/>
      <c r="Q251" s="12">
        <v>0.0</v>
      </c>
      <c r="R251" s="13">
        <f>IFERROR(Q251/Q446, "NA")</f>
        <v>0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0</v>
      </c>
      <c r="X251" s="13">
        <f>IFERROR(W251/W446, "NA")</f>
        <v>0</v>
      </c>
      <c r="Y251" s="14"/>
      <c r="Z251" s="12">
        <v>0.0</v>
      </c>
      <c r="AA251" s="13">
        <f>IFERROR(Z251/Z446, "NA")</f>
        <v>0</v>
      </c>
      <c r="AB251" s="14"/>
      <c r="AC251" s="15">
        <f t="shared" si="72"/>
        <v>0</v>
      </c>
      <c r="AD251" s="13">
        <f>IFERROR(AC251/AC446, "NA")</f>
        <v>0</v>
      </c>
    </row>
    <row r="252" ht="16.5" hidden="1" customHeight="1">
      <c r="A252" s="11" t="s">
        <v>232</v>
      </c>
      <c r="B252" s="12">
        <v>0.0</v>
      </c>
      <c r="C252" s="13">
        <f>IFERROR(B252/B446, "NA")</f>
        <v>0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hidden="1" customHeight="1">
      <c r="A253" s="11" t="s">
        <v>233</v>
      </c>
      <c r="B253" s="12">
        <v>0.0</v>
      </c>
      <c r="C253" s="13">
        <f>IFERROR(B253/B446, "NA")</f>
        <v>0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0</v>
      </c>
      <c r="I253" s="13">
        <f>IFERROR(H253/H446, "NA")</f>
        <v>0</v>
      </c>
      <c r="J253" s="14"/>
      <c r="K253" s="12">
        <v>0.0</v>
      </c>
      <c r="L253" s="13">
        <f>IFERROR(K253/K446, "NA")</f>
        <v>0</v>
      </c>
      <c r="M253" s="14"/>
      <c r="N253" s="15">
        <f t="shared" si="70"/>
        <v>0</v>
      </c>
      <c r="O253" s="13">
        <f>IFERROR(N253/N446, "NA")</f>
        <v>0</v>
      </c>
      <c r="P253" s="14"/>
      <c r="Q253" s="12">
        <v>0.0</v>
      </c>
      <c r="R253" s="13">
        <f>IFERROR(Q253/Q446, "NA")</f>
        <v>0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0</v>
      </c>
      <c r="X253" s="13">
        <f>IFERROR(W253/W446, "NA")</f>
        <v>0</v>
      </c>
      <c r="Y253" s="14"/>
      <c r="Z253" s="12">
        <v>0.0</v>
      </c>
      <c r="AA253" s="13">
        <f>IFERROR(Z253/Z446, "NA")</f>
        <v>0</v>
      </c>
      <c r="AB253" s="14"/>
      <c r="AC253" s="15">
        <f t="shared" si="72"/>
        <v>0</v>
      </c>
      <c r="AD253" s="13">
        <f>IFERROR(AC253/AC446, "NA")</f>
        <v>0</v>
      </c>
    </row>
    <row r="254" ht="16.5" customHeight="1">
      <c r="A254" s="11" t="s">
        <v>234</v>
      </c>
      <c r="B254" s="12">
        <v>2324.47</v>
      </c>
      <c r="C254" s="13">
        <f>IFERROR(B254/B446, "NA")</f>
        <v>0.012241558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-2324.47</v>
      </c>
      <c r="I254" s="13">
        <f>IFERROR(H254/H446, "NA")</f>
        <v>-0.1350392633</v>
      </c>
      <c r="J254" s="14"/>
      <c r="K254" s="12">
        <v>1891.5</v>
      </c>
      <c r="L254" s="13">
        <f>IFERROR(K254/K446, "NA")</f>
        <v>0.01190470271</v>
      </c>
      <c r="M254" s="14"/>
      <c r="N254" s="15">
        <f t="shared" si="70"/>
        <v>-432.97</v>
      </c>
      <c r="O254" s="13">
        <f>IFERROR(N254/N446, "NA")</f>
        <v>-0.01396825212</v>
      </c>
      <c r="P254" s="14"/>
      <c r="Q254" s="12">
        <v>19872.82</v>
      </c>
      <c r="R254" s="13">
        <f>IFERROR(Q254/Q446, "NA")</f>
        <v>0.01271170127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-19872.82</v>
      </c>
      <c r="X254" s="13">
        <f>IFERROR(W254/W446, "NA")</f>
        <v>-1.133911525</v>
      </c>
      <c r="Y254" s="14"/>
      <c r="Z254" s="12">
        <v>20222.36</v>
      </c>
      <c r="AA254" s="13">
        <f>IFERROR(Z254/Z446, "NA")</f>
        <v>0.01413743614</v>
      </c>
      <c r="AB254" s="14"/>
      <c r="AC254" s="15">
        <f t="shared" si="72"/>
        <v>349.54</v>
      </c>
      <c r="AD254" s="13">
        <f>IFERROR(AC254/AC446, "NA")</f>
        <v>0.002629376668</v>
      </c>
    </row>
    <row r="255" ht="16.5" hidden="1" customHeight="1">
      <c r="A255" s="11" t="s">
        <v>235</v>
      </c>
      <c r="B255" s="12">
        <v>0.0</v>
      </c>
      <c r="C255" s="13">
        <f>IFERROR(B255/B446, "NA")</f>
        <v>0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>
        <f>IFERROR(B256/B446, "NA")</f>
        <v>0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customHeight="1">
      <c r="A257" s="11" t="s">
        <v>237</v>
      </c>
      <c r="B257" s="12">
        <v>0.0</v>
      </c>
      <c r="C257" s="13">
        <f>IFERROR(B257/B446, "NA")</f>
        <v>0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328.82</v>
      </c>
      <c r="AA257" s="13">
        <f>IFERROR(Z257/Z446, "NA")</f>
        <v>0.0002298778061</v>
      </c>
      <c r="AB257" s="14"/>
      <c r="AC257" s="15">
        <f t="shared" si="72"/>
        <v>328.82</v>
      </c>
      <c r="AD257" s="13">
        <f>IFERROR(AC257/AC446, "NA")</f>
        <v>0.00247351272</v>
      </c>
    </row>
    <row r="258" ht="16.5" hidden="1" customHeight="1">
      <c r="A258" s="11" t="s">
        <v>238</v>
      </c>
      <c r="B258" s="12">
        <v>0.0</v>
      </c>
      <c r="C258" s="13">
        <f>IFERROR(B258/B446, "NA")</f>
        <v>0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0</v>
      </c>
      <c r="I258" s="13">
        <f>IFERROR(H258/H446, "NA")</f>
        <v>0</v>
      </c>
      <c r="J258" s="14"/>
      <c r="K258" s="12">
        <v>0.0</v>
      </c>
      <c r="L258" s="13">
        <f>IFERROR(K258/K446, "NA")</f>
        <v>0</v>
      </c>
      <c r="M258" s="14"/>
      <c r="N258" s="15">
        <f t="shared" si="70"/>
        <v>0</v>
      </c>
      <c r="O258" s="13">
        <f>IFERROR(N258/N446, "NA")</f>
        <v>0</v>
      </c>
      <c r="P258" s="14"/>
      <c r="Q258" s="12">
        <v>0.0</v>
      </c>
      <c r="R258" s="13">
        <f>IFERROR(Q258/Q446, "NA")</f>
        <v>0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0</v>
      </c>
      <c r="X258" s="13">
        <f>IFERROR(W258/W446, "NA")</f>
        <v>0</v>
      </c>
      <c r="Y258" s="14"/>
      <c r="Z258" s="12">
        <v>0.0</v>
      </c>
      <c r="AA258" s="13">
        <f>IFERROR(Z258/Z446, "NA")</f>
        <v>0</v>
      </c>
      <c r="AB258" s="14"/>
      <c r="AC258" s="15">
        <f t="shared" si="72"/>
        <v>0</v>
      </c>
      <c r="AD258" s="13">
        <f>IFERROR(AC258/AC446, "NA")</f>
        <v>0</v>
      </c>
    </row>
    <row r="259" ht="16.5" hidden="1" customHeight="1">
      <c r="A259" s="11" t="s">
        <v>239</v>
      </c>
      <c r="B259" s="12">
        <v>0.0</v>
      </c>
      <c r="C259" s="13">
        <f>IFERROR(B259/B446, "NA")</f>
        <v>0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customHeight="1">
      <c r="A260" s="11" t="s">
        <v>240</v>
      </c>
      <c r="B260" s="12">
        <v>0.0</v>
      </c>
      <c r="C260" s="13">
        <f>IFERROR(B260/B446, "NA")</f>
        <v>0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0</v>
      </c>
      <c r="I260" s="13">
        <f>IFERROR(H260/H446, "NA")</f>
        <v>0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0</v>
      </c>
      <c r="O260" s="13">
        <f>IFERROR(N260/N446, "NA")</f>
        <v>0</v>
      </c>
      <c r="P260" s="14"/>
      <c r="Q260" s="12">
        <v>456.8</v>
      </c>
      <c r="R260" s="13">
        <f>IFERROR(Q260/Q446, "NA")</f>
        <v>0.0002921933143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-456.8</v>
      </c>
      <c r="X260" s="13">
        <f>IFERROR(W260/W446, "NA")</f>
        <v>-0.02606428201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-456.8</v>
      </c>
      <c r="AD260" s="13">
        <f>IFERROR(AC260/AC446, "NA")</f>
        <v>-0.003436228363</v>
      </c>
    </row>
    <row r="261" ht="16.5" hidden="1" customHeight="1">
      <c r="A261" s="11" t="s">
        <v>241</v>
      </c>
      <c r="B261" s="12">
        <v>0.0</v>
      </c>
      <c r="C261" s="13">
        <f>IFERROR(B261/B446, "NA")</f>
        <v>0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0.0</v>
      </c>
      <c r="R261" s="13">
        <f>IFERROR(Q261/Q446, "NA")</f>
        <v>0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0</v>
      </c>
      <c r="X261" s="13">
        <f>IFERROR(W261/W446, "NA")</f>
        <v>0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0</v>
      </c>
      <c r="AD261" s="13">
        <f>IFERROR(AC261/AC446, "NA")</f>
        <v>0</v>
      </c>
    </row>
    <row r="262" ht="16.5" hidden="1" customHeight="1">
      <c r="A262" s="11" t="s">
        <v>242</v>
      </c>
      <c r="B262" s="12">
        <v>0.0</v>
      </c>
      <c r="C262" s="13">
        <f>IFERROR(B262/B446, "NA")</f>
        <v>0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0</v>
      </c>
      <c r="I262" s="13">
        <f>IFERROR(H262/H446, "NA")</f>
        <v>0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0</v>
      </c>
      <c r="O262" s="13">
        <f>IFERROR(N262/N446, "NA")</f>
        <v>0</v>
      </c>
      <c r="P262" s="14"/>
      <c r="Q262" s="12">
        <v>0.0</v>
      </c>
      <c r="R262" s="13">
        <f>IFERROR(Q262/Q446, "NA")</f>
        <v>0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0</v>
      </c>
      <c r="X262" s="13">
        <f>IFERROR(W262/W446, "NA")</f>
        <v>0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0</v>
      </c>
      <c r="AD262" s="13">
        <f>IFERROR(AC262/AC446, "NA")</f>
        <v>0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19629.48</v>
      </c>
      <c r="C263" s="18">
        <f>IFERROR(B263/B446, "NA")</f>
        <v>0.1033764333</v>
      </c>
      <c r="D263" s="8"/>
      <c r="E263" s="17">
        <f>IFERROR(E240+E241+E242+E243+E244+E245+E246+E247+E248+E249+E250+E251+E252+E253+E254+E255+E256+E257+E258+E259+E260+E261+E262, "NA")</f>
        <v>14676.97</v>
      </c>
      <c r="F263" s="18">
        <f>IFERROR(E263/E446, "NA")</f>
        <v>0.08500000753</v>
      </c>
      <c r="G263" s="8"/>
      <c r="H263" s="17">
        <f t="shared" si="69"/>
        <v>-4952.51</v>
      </c>
      <c r="I263" s="18">
        <f>IFERROR(H263/H446, "NA")</f>
        <v>-0.2877143184</v>
      </c>
      <c r="J263" s="8"/>
      <c r="K263" s="17">
        <f>IFERROR(K240+K241+K242+K243+K244+K245+K246+K247+K248+K249+K250+K251+K252+K253+K254+K255+K256+K257+K258+K259+K260+K261+K262, "NA")</f>
        <v>12122.96</v>
      </c>
      <c r="L263" s="18">
        <f>IFERROR(K263/K446, "NA")</f>
        <v>0.07629935755</v>
      </c>
      <c r="M263" s="8"/>
      <c r="N263" s="17">
        <f t="shared" si="70"/>
        <v>-7506.52</v>
      </c>
      <c r="O263" s="18">
        <f>IFERROR(N263/N446, "NA")</f>
        <v>-0.2421714298</v>
      </c>
      <c r="P263" s="8"/>
      <c r="Q263" s="17">
        <f>IFERROR(Q240+Q241+Q242+Q243+Q244+Q245+Q246+Q247+Q248+Q249+Q250+Q251+Q252+Q253+Q254+Q255+Q256+Q257+Q258+Q259+Q260+Q261+Q262, "NA")</f>
        <v>161417.24</v>
      </c>
      <c r="R263" s="18">
        <f>IFERROR(Q263/Q446, "NA")</f>
        <v>0.1032509596</v>
      </c>
      <c r="S263" s="8"/>
      <c r="T263" s="17">
        <f>IFERROR(T240+T241+T242+T243+T244+T245+T246+T247+T248+T249+T250+T251+T252+T253+T254+T255+T256+T257+T258+T259+T260+T261+T262, "NA")</f>
        <v>131394.93</v>
      </c>
      <c r="U263" s="18">
        <f>IFERROR(T263/T446, "NA")</f>
        <v>0.08500000197</v>
      </c>
      <c r="V263" s="8"/>
      <c r="W263" s="17">
        <f t="shared" si="71"/>
        <v>-30022.31</v>
      </c>
      <c r="X263" s="18">
        <f>IFERROR(W263/W446, "NA")</f>
        <v>-1.713025294</v>
      </c>
      <c r="Y263" s="8"/>
      <c r="Z263" s="17">
        <f>IFERROR(Z240+Z241+Z242+Z243+Z244+Z245+Z246+Z247+Z248+Z249+Z250+Z251+Z252+Z253+Z254+Z255+Z256+Z257+Z258+Z259+Z260+Z261+Z262, "NA")</f>
        <v>126392.02</v>
      </c>
      <c r="AA263" s="18">
        <f>IFERROR(Z263/Z446, "NA")</f>
        <v>0.08836056283</v>
      </c>
      <c r="AB263" s="8"/>
      <c r="AC263" s="17">
        <f t="shared" si="72"/>
        <v>-35025.22</v>
      </c>
      <c r="AD263" s="18">
        <f>IFERROR(AC263/AC446, "NA")</f>
        <v>-0.2634734115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19629.48</v>
      </c>
      <c r="C264" s="18">
        <f>IFERROR(B264/B446, "NA")</f>
        <v>0.1033764333</v>
      </c>
      <c r="D264" s="8"/>
      <c r="E264" s="17">
        <f>IFERROR(E238+E240+E241+E242+E243+E244+E245+E246+E247+E248+E249+E250+E251+E252+E253+E254+E255+E256+E257+E258+E259+E260+E261+E262, "NA")</f>
        <v>14676.97</v>
      </c>
      <c r="F264" s="18">
        <f>IFERROR(E264/E446, "NA")</f>
        <v>0.08500000753</v>
      </c>
      <c r="G264" s="8"/>
      <c r="H264" s="17">
        <f t="shared" si="69"/>
        <v>-4952.51</v>
      </c>
      <c r="I264" s="18">
        <f>IFERROR(H264/H446, "NA")</f>
        <v>-0.2877143184</v>
      </c>
      <c r="J264" s="8"/>
      <c r="K264" s="17">
        <f>IFERROR(K238+K240+K241+K242+K243+K244+K245+K246+K247+K248+K249+K250+K251+K252+K253+K254+K255+K256+K257+K258+K259+K260+K261+K262, "NA")</f>
        <v>12122.96</v>
      </c>
      <c r="L264" s="18">
        <f>IFERROR(K264/K446, "NA")</f>
        <v>0.07629935755</v>
      </c>
      <c r="M264" s="8"/>
      <c r="N264" s="17">
        <f t="shared" si="70"/>
        <v>-7506.52</v>
      </c>
      <c r="O264" s="18">
        <f>IFERROR(N264/N446, "NA")</f>
        <v>-0.2421714298</v>
      </c>
      <c r="P264" s="8"/>
      <c r="Q264" s="17">
        <f>IFERROR(Q238+Q240+Q241+Q242+Q243+Q244+Q245+Q246+Q247+Q248+Q249+Q250+Q251+Q252+Q253+Q254+Q255+Q256+Q257+Q258+Q259+Q260+Q261+Q262, "NA")</f>
        <v>161417.24</v>
      </c>
      <c r="R264" s="18">
        <f>IFERROR(Q264/Q446, "NA")</f>
        <v>0.1032509596</v>
      </c>
      <c r="S264" s="8"/>
      <c r="T264" s="17">
        <f>IFERROR(T238+T240+T241+T242+T243+T244+T245+T246+T247+T248+T249+T250+T251+T252+T253+T254+T255+T256+T257+T258+T259+T260+T261+T262, "NA")</f>
        <v>131394.93</v>
      </c>
      <c r="U264" s="18">
        <f>IFERROR(T264/T446, "NA")</f>
        <v>0.08500000197</v>
      </c>
      <c r="V264" s="8"/>
      <c r="W264" s="17">
        <f t="shared" si="71"/>
        <v>-30022.31</v>
      </c>
      <c r="X264" s="18">
        <f>IFERROR(W264/W446, "NA")</f>
        <v>-1.713025294</v>
      </c>
      <c r="Y264" s="8"/>
      <c r="Z264" s="17">
        <f>IFERROR(Z238+Z240+Z241+Z242+Z243+Z244+Z245+Z246+Z247+Z248+Z249+Z250+Z251+Z252+Z253+Z254+Z255+Z256+Z257+Z258+Z259+Z260+Z261+Z262, "NA")</f>
        <v>126392.02</v>
      </c>
      <c r="AA264" s="18">
        <f>IFERROR(Z264/Z446, "NA")</f>
        <v>0.08836056283</v>
      </c>
      <c r="AB264" s="8"/>
      <c r="AC264" s="17">
        <f t="shared" si="72"/>
        <v>-35025.22</v>
      </c>
      <c r="AD264" s="18">
        <f>IFERROR(AC264/AC446, "NA")</f>
        <v>-0.2634734115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5270.23</v>
      </c>
      <c r="C266" s="13">
        <f>IFERROR(B266/B446, "NA")</f>
        <v>0.02775506941</v>
      </c>
      <c r="D266" s="14"/>
      <c r="E266" s="12">
        <v>4144.09</v>
      </c>
      <c r="F266" s="13">
        <f>IFERROR(E266/E446, "NA")</f>
        <v>0.02400002734</v>
      </c>
      <c r="G266" s="14"/>
      <c r="H266" s="15">
        <f t="shared" ref="H266:H268" si="73">IFERROR(-(B266-E266), "NA")</f>
        <v>-1126.14</v>
      </c>
      <c r="I266" s="13">
        <f>IFERROR(H266/H446, "NA")</f>
        <v>-0.06542270536</v>
      </c>
      <c r="J266" s="14"/>
      <c r="K266" s="12">
        <v>4427.67</v>
      </c>
      <c r="L266" s="13">
        <f>IFERROR(K266/K446, "NA")</f>
        <v>0.02786682266</v>
      </c>
      <c r="M266" s="14"/>
      <c r="N266" s="15">
        <f t="shared" ref="N266:N268" si="74">IFERROR(-(B266-K266), "NA")</f>
        <v>-842.56</v>
      </c>
      <c r="O266" s="13">
        <f>IFERROR(N266/N446, "NA")</f>
        <v>-0.02718223089</v>
      </c>
      <c r="P266" s="14"/>
      <c r="Q266" s="12">
        <v>42023.84</v>
      </c>
      <c r="R266" s="13">
        <f>IFERROR(Q266/Q446, "NA")</f>
        <v>0.02688065912</v>
      </c>
      <c r="S266" s="14"/>
      <c r="T266" s="12">
        <v>37099.75</v>
      </c>
      <c r="U266" s="13">
        <f>IFERROR(T266/T446, "NA")</f>
        <v>0.02400000383</v>
      </c>
      <c r="V266" s="14"/>
      <c r="W266" s="15">
        <f t="shared" ref="W266:W268" si="75">IFERROR(-(Q266-T266), "NA")</f>
        <v>-4924.09</v>
      </c>
      <c r="X266" s="13">
        <f>IFERROR(W266/W446, "NA")</f>
        <v>-0.2809607495</v>
      </c>
      <c r="Y266" s="14"/>
      <c r="Z266" s="12">
        <v>35201.62</v>
      </c>
      <c r="AA266" s="13">
        <f>IFERROR(Z266/Z446, "NA")</f>
        <v>0.02460942515</v>
      </c>
      <c r="AB266" s="14"/>
      <c r="AC266" s="15">
        <f t="shared" ref="AC266:AC268" si="76">IFERROR(-(Q266-Z266), "NA")</f>
        <v>-6822.22</v>
      </c>
      <c r="AD266" s="13">
        <f>IFERROR(AC266/AC446, "NA")</f>
        <v>-0.05131940863</v>
      </c>
    </row>
    <row r="267" ht="16.5" hidden="1" customHeight="1">
      <c r="A267" s="11" t="s">
        <v>246</v>
      </c>
      <c r="B267" s="12">
        <v>0.0</v>
      </c>
      <c r="C267" s="13">
        <f>IFERROR(B267/B446, "NA")</f>
        <v>0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0.0</v>
      </c>
      <c r="L267" s="13">
        <f>IFERROR(K267/K446, "NA")</f>
        <v>0</v>
      </c>
      <c r="M267" s="14"/>
      <c r="N267" s="15">
        <f t="shared" si="74"/>
        <v>0</v>
      </c>
      <c r="O267" s="13">
        <f>IFERROR(N267/N446, "NA")</f>
        <v>0</v>
      </c>
      <c r="P267" s="14"/>
      <c r="Q267" s="12">
        <v>0.0</v>
      </c>
      <c r="R267" s="13">
        <f>IFERROR(Q267/Q446, "NA")</f>
        <v>0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0</v>
      </c>
      <c r="X267" s="13">
        <f>IFERROR(W267/W446, "NA")</f>
        <v>0</v>
      </c>
      <c r="Y267" s="14"/>
      <c r="Z267" s="12">
        <v>0.0</v>
      </c>
      <c r="AA267" s="13">
        <f>IFERROR(Z267/Z446, "NA")</f>
        <v>0</v>
      </c>
      <c r="AB267" s="14"/>
      <c r="AC267" s="15">
        <f t="shared" si="76"/>
        <v>0</v>
      </c>
      <c r="AD267" s="13">
        <f>IFERROR(AC267/AC446, "NA")</f>
        <v>0</v>
      </c>
    </row>
    <row r="268" ht="16.5" customHeight="1">
      <c r="A268" s="16" t="s">
        <v>247</v>
      </c>
      <c r="B268" s="17">
        <f>IFERROR(B266+B267, "NA")</f>
        <v>5270.23</v>
      </c>
      <c r="C268" s="18">
        <f>IFERROR(B268/B446, "NA")</f>
        <v>0.02775506941</v>
      </c>
      <c r="D268" s="8"/>
      <c r="E268" s="17">
        <f>IFERROR(E266+E267, "NA")</f>
        <v>4144.09</v>
      </c>
      <c r="F268" s="18">
        <f>IFERROR(E268/E446, "NA")</f>
        <v>0.02400002734</v>
      </c>
      <c r="G268" s="8"/>
      <c r="H268" s="17">
        <f t="shared" si="73"/>
        <v>-1126.14</v>
      </c>
      <c r="I268" s="18">
        <f>IFERROR(H268/H446, "NA")</f>
        <v>-0.06542270536</v>
      </c>
      <c r="J268" s="8"/>
      <c r="K268" s="17">
        <f>IFERROR(K266+K267, "NA")</f>
        <v>4427.67</v>
      </c>
      <c r="L268" s="18">
        <f>IFERROR(K268/K446, "NA")</f>
        <v>0.02786682266</v>
      </c>
      <c r="M268" s="8"/>
      <c r="N268" s="17">
        <f t="shared" si="74"/>
        <v>-842.56</v>
      </c>
      <c r="O268" s="18">
        <f>IFERROR(N268/N446, "NA")</f>
        <v>-0.02718223089</v>
      </c>
      <c r="P268" s="8"/>
      <c r="Q268" s="17">
        <f>IFERROR(Q266+Q267, "NA")</f>
        <v>42023.84</v>
      </c>
      <c r="R268" s="18">
        <f>IFERROR(Q268/Q446, "NA")</f>
        <v>0.02688065912</v>
      </c>
      <c r="S268" s="8"/>
      <c r="T268" s="17">
        <f>IFERROR(T266+T267, "NA")</f>
        <v>37099.75</v>
      </c>
      <c r="U268" s="18">
        <f>IFERROR(T268/T446, "NA")</f>
        <v>0.02400000383</v>
      </c>
      <c r="V268" s="8"/>
      <c r="W268" s="17">
        <f t="shared" si="75"/>
        <v>-4924.09</v>
      </c>
      <c r="X268" s="18">
        <f>IFERROR(W268/W446, "NA")</f>
        <v>-0.2809607495</v>
      </c>
      <c r="Y268" s="8"/>
      <c r="Z268" s="17">
        <f>IFERROR(Z266+Z267, "NA")</f>
        <v>35201.62</v>
      </c>
      <c r="AA268" s="18">
        <f>IFERROR(Z268/Z446, "NA")</f>
        <v>0.02460942515</v>
      </c>
      <c r="AB268" s="8"/>
      <c r="AC268" s="17">
        <f t="shared" si="76"/>
        <v>-6822.22</v>
      </c>
      <c r="AD268" s="18">
        <f>IFERROR(AC268/AC446, "NA")</f>
        <v>-0.05131940863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>
        <f>IFERROR(B270/B446, "NA")</f>
        <v>0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145.72</v>
      </c>
      <c r="C271" s="13">
        <f>IFERROR(B271/B446, "NA")</f>
        <v>0.0007674178764</v>
      </c>
      <c r="D271" s="14"/>
      <c r="E271" s="12">
        <v>236.63</v>
      </c>
      <c r="F271" s="13">
        <f>IFERROR(E271/E446, "NA")</f>
        <v>0.001370415813</v>
      </c>
      <c r="G271" s="14"/>
      <c r="H271" s="15">
        <f t="shared" si="77"/>
        <v>90.91</v>
      </c>
      <c r="I271" s="13">
        <f>IFERROR(H271/H446, "NA")</f>
        <v>0.005281384326</v>
      </c>
      <c r="J271" s="14"/>
      <c r="K271" s="12">
        <v>241.5</v>
      </c>
      <c r="L271" s="13">
        <f>IFERROR(K271/K446, "NA")</f>
        <v>0.001519950148</v>
      </c>
      <c r="M271" s="14"/>
      <c r="N271" s="15">
        <f t="shared" si="78"/>
        <v>95.78</v>
      </c>
      <c r="O271" s="13">
        <f>IFERROR(N271/N446, "NA")</f>
        <v>0.003090004362</v>
      </c>
      <c r="P271" s="14"/>
      <c r="Q271" s="12">
        <v>1647.06</v>
      </c>
      <c r="R271" s="13">
        <f>IFERROR(Q271/Q446, "NA")</f>
        <v>0.001053546235</v>
      </c>
      <c r="S271" s="14"/>
      <c r="T271" s="12">
        <v>1893.04</v>
      </c>
      <c r="U271" s="13">
        <f>IFERROR(T271/T446, "NA")</f>
        <v>0.001224616534</v>
      </c>
      <c r="V271" s="14"/>
      <c r="W271" s="15">
        <f t="shared" si="79"/>
        <v>245.98</v>
      </c>
      <c r="X271" s="13">
        <f>IFERROR(W271/W446, "NA")</f>
        <v>0.01403522786</v>
      </c>
      <c r="Y271" s="14"/>
      <c r="Z271" s="12">
        <v>1873.0</v>
      </c>
      <c r="AA271" s="13">
        <f>IFERROR(Z271/Z446, "NA")</f>
        <v>0.001309412843</v>
      </c>
      <c r="AB271" s="14"/>
      <c r="AC271" s="15">
        <f t="shared" si="80"/>
        <v>225.94</v>
      </c>
      <c r="AD271" s="13">
        <f>IFERROR(AC271/AC446, "NA")</f>
        <v>0.001699609099</v>
      </c>
    </row>
    <row r="272" ht="16.5" customHeight="1">
      <c r="A272" s="11" t="s">
        <v>250</v>
      </c>
      <c r="B272" s="12">
        <v>899.3</v>
      </c>
      <c r="C272" s="13">
        <f>IFERROR(B272/B446, "NA")</f>
        <v>0.004736061599</v>
      </c>
      <c r="D272" s="14"/>
      <c r="E272" s="12">
        <v>1068.3</v>
      </c>
      <c r="F272" s="13">
        <f>IFERROR(E272/E446, "NA")</f>
        <v>0.006186938315</v>
      </c>
      <c r="G272" s="14"/>
      <c r="H272" s="15">
        <f t="shared" si="77"/>
        <v>169</v>
      </c>
      <c r="I272" s="13">
        <f>IFERROR(H272/H446, "NA")</f>
        <v>0.009817995282</v>
      </c>
      <c r="J272" s="14"/>
      <c r="K272" s="12">
        <v>1068.3</v>
      </c>
      <c r="L272" s="13">
        <f>IFERROR(K272/K446, "NA")</f>
        <v>0.006723655252</v>
      </c>
      <c r="M272" s="14"/>
      <c r="N272" s="15">
        <f t="shared" si="78"/>
        <v>169</v>
      </c>
      <c r="O272" s="13">
        <f>IFERROR(N272/N446, "NA")</f>
        <v>0.00545218978</v>
      </c>
      <c r="P272" s="14"/>
      <c r="Q272" s="12">
        <v>8494.0</v>
      </c>
      <c r="R272" s="13">
        <f>IFERROR(Q272/Q446, "NA")</f>
        <v>0.005433209307</v>
      </c>
      <c r="S272" s="14"/>
      <c r="T272" s="12">
        <v>8546.4</v>
      </c>
      <c r="U272" s="13">
        <f>IFERROR(T272/T446, "NA")</f>
        <v>0.005528706601</v>
      </c>
      <c r="V272" s="14"/>
      <c r="W272" s="15">
        <f t="shared" si="79"/>
        <v>52.4</v>
      </c>
      <c r="X272" s="13">
        <f>IFERROR(W272/W446, "NA")</f>
        <v>0.00298986072</v>
      </c>
      <c r="Y272" s="14"/>
      <c r="Z272" s="12">
        <v>7209.3</v>
      </c>
      <c r="AA272" s="13">
        <f>IFERROR(Z272/Z446, "NA")</f>
        <v>0.00504001602</v>
      </c>
      <c r="AB272" s="14"/>
      <c r="AC272" s="15">
        <f t="shared" si="80"/>
        <v>-1284.7</v>
      </c>
      <c r="AD272" s="13">
        <f>IFERROR(AC272/AC446, "NA")</f>
        <v>-0.009664016152</v>
      </c>
    </row>
    <row r="273" ht="16.5" customHeight="1">
      <c r="A273" s="11" t="s">
        <v>251</v>
      </c>
      <c r="B273" s="12">
        <v>199.27</v>
      </c>
      <c r="C273" s="13">
        <f>IFERROR(B273/B446, "NA")</f>
        <v>0.001049432887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-199.27</v>
      </c>
      <c r="I273" s="13">
        <f>IFERROR(H273/H446, "NA")</f>
        <v>-0.01157652024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-199.27</v>
      </c>
      <c r="O273" s="13">
        <f>IFERROR(N273/N446, "NA")</f>
        <v>-0.006428744719</v>
      </c>
      <c r="P273" s="14"/>
      <c r="Q273" s="12">
        <v>1594.16</v>
      </c>
      <c r="R273" s="13">
        <f>IFERROR(Q273/Q446, "NA")</f>
        <v>0.001019708612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-1594.16</v>
      </c>
      <c r="X273" s="13">
        <f>IFERROR(W273/W446, "NA")</f>
        <v>-0.09096023599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-1594.16</v>
      </c>
      <c r="AD273" s="13">
        <f>IFERROR(AC273/AC446, "NA")</f>
        <v>-0.01199189538</v>
      </c>
    </row>
    <row r="274" ht="16.5" customHeight="1">
      <c r="A274" s="16" t="s">
        <v>252</v>
      </c>
      <c r="B274" s="17">
        <f>IFERROR(B270+B271+B272+B273, "NA")</f>
        <v>1244.29</v>
      </c>
      <c r="C274" s="18">
        <f>IFERROR(B274/B446, "NA")</f>
        <v>0.006552912362</v>
      </c>
      <c r="D274" s="8"/>
      <c r="E274" s="17">
        <f>IFERROR(E270+E271+E272+E273, "NA")</f>
        <v>1304.93</v>
      </c>
      <c r="F274" s="18">
        <f>IFERROR(E274/E446, "NA")</f>
        <v>0.007557354129</v>
      </c>
      <c r="G274" s="8"/>
      <c r="H274" s="17">
        <f t="shared" si="77"/>
        <v>60.64</v>
      </c>
      <c r="I274" s="18">
        <f>IFERROR(H274/H446, "NA")</f>
        <v>0.003522859372</v>
      </c>
      <c r="J274" s="8"/>
      <c r="K274" s="17">
        <f>IFERROR(K270+K271+K272+K273, "NA")</f>
        <v>1309.8</v>
      </c>
      <c r="L274" s="18">
        <f>IFERROR(K274/K446, "NA")</f>
        <v>0.0082436054</v>
      </c>
      <c r="M274" s="8"/>
      <c r="N274" s="17">
        <f t="shared" si="78"/>
        <v>65.51</v>
      </c>
      <c r="O274" s="18">
        <f>IFERROR(N274/N446, "NA")</f>
        <v>0.002113449423</v>
      </c>
      <c r="P274" s="8"/>
      <c r="Q274" s="17">
        <f>IFERROR(Q270+Q271+Q272+Q273, "NA")</f>
        <v>11735.22</v>
      </c>
      <c r="R274" s="18">
        <f>IFERROR(Q274/Q446, "NA")</f>
        <v>0.007506464153</v>
      </c>
      <c r="S274" s="8"/>
      <c r="T274" s="17">
        <f>IFERROR(T270+T271+T272+T273, "NA")</f>
        <v>10439.44</v>
      </c>
      <c r="U274" s="18">
        <f>IFERROR(T274/T446, "NA")</f>
        <v>0.006753323135</v>
      </c>
      <c r="V274" s="8"/>
      <c r="W274" s="17">
        <f t="shared" si="79"/>
        <v>-1295.78</v>
      </c>
      <c r="X274" s="18">
        <f>IFERROR(W274/W446, "NA")</f>
        <v>-0.07393514741</v>
      </c>
      <c r="Y274" s="8"/>
      <c r="Z274" s="17">
        <f>IFERROR(Z270+Z271+Z272+Z273, "NA")</f>
        <v>9082.3</v>
      </c>
      <c r="AA274" s="18">
        <f>IFERROR(Z274/Z446, "NA")</f>
        <v>0.006349428863</v>
      </c>
      <c r="AB274" s="8"/>
      <c r="AC274" s="17">
        <f t="shared" si="80"/>
        <v>-2652.92</v>
      </c>
      <c r="AD274" s="18">
        <f>IFERROR(AC274/AC446, "NA")</f>
        <v>-0.01995630243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>
        <f>IFERROR(B276/B446, "NA")</f>
        <v>0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>
        <f>IFERROR(B277/B446, "NA")</f>
        <v>0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>
        <f>IFERROR(B278/B446, "NA")</f>
        <v>0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>
        <f>IFERROR(B279/B446, "NA")</f>
        <v>0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>
        <f>IFERROR(B280/B446, "NA")</f>
        <v>0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>
        <f>IFERROR(B281/B446, "NA")</f>
        <v>0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>
        <f>IFERROR(B282/B446, "NA")</f>
        <v>0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>
        <f>IFERROR(B283/B446, "NA")</f>
        <v>0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>
        <f>IFERROR(B284/B446, "NA")</f>
        <v>0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>
        <f>IFERROR(B285/B446, "NA")</f>
        <v>0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>
        <f>IFERROR(B287/B446, "NA")</f>
        <v>0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hidden="1" customHeight="1">
      <c r="A288" s="11" t="s">
        <v>264</v>
      </c>
      <c r="B288" s="12">
        <v>0.0</v>
      </c>
      <c r="C288" s="13">
        <f>IFERROR(B288/B446, "NA")</f>
        <v>0</v>
      </c>
      <c r="D288" s="14"/>
      <c r="E288" s="12">
        <v>0.0</v>
      </c>
      <c r="F288" s="13">
        <f>IFERROR(E288/E446, "NA")</f>
        <v>0</v>
      </c>
      <c r="G288" s="14"/>
      <c r="H288" s="15">
        <f t="shared" si="85"/>
        <v>0</v>
      </c>
      <c r="I288" s="13">
        <f>IFERROR(H288/H446, "NA")</f>
        <v>0</v>
      </c>
      <c r="J288" s="14"/>
      <c r="K288" s="12">
        <v>0.0</v>
      </c>
      <c r="L288" s="13">
        <f>IFERROR(K288/K446, "NA")</f>
        <v>0</v>
      </c>
      <c r="M288" s="14"/>
      <c r="N288" s="15">
        <f t="shared" si="86"/>
        <v>0</v>
      </c>
      <c r="O288" s="13">
        <f>IFERROR(N288/N446, "NA")</f>
        <v>0</v>
      </c>
      <c r="P288" s="14"/>
      <c r="Q288" s="12">
        <v>0.0</v>
      </c>
      <c r="R288" s="13">
        <f>IFERROR(Q288/Q446, "NA")</f>
        <v>0</v>
      </c>
      <c r="S288" s="14"/>
      <c r="T288" s="12">
        <v>0.0</v>
      </c>
      <c r="U288" s="13">
        <f>IFERROR(T288/T446, "NA")</f>
        <v>0</v>
      </c>
      <c r="V288" s="14"/>
      <c r="W288" s="15">
        <f t="shared" si="87"/>
        <v>0</v>
      </c>
      <c r="X288" s="13">
        <f>IFERROR(W288/W446, "NA")</f>
        <v>0</v>
      </c>
      <c r="Y288" s="14"/>
      <c r="Z288" s="12">
        <v>0.0</v>
      </c>
      <c r="AA288" s="13">
        <f>IFERROR(Z288/Z446, "NA")</f>
        <v>0</v>
      </c>
      <c r="AB288" s="14"/>
      <c r="AC288" s="15">
        <f t="shared" si="88"/>
        <v>0</v>
      </c>
      <c r="AD288" s="13">
        <f>IFERROR(AC288/AC446, "NA")</f>
        <v>0</v>
      </c>
    </row>
    <row r="289" ht="16.5" customHeight="1">
      <c r="A289" s="11" t="s">
        <v>265</v>
      </c>
      <c r="B289" s="12">
        <v>0.0</v>
      </c>
      <c r="C289" s="13">
        <f>IFERROR(B289/B446, "NA")</f>
        <v>0</v>
      </c>
      <c r="D289" s="14"/>
      <c r="E289" s="12">
        <v>146.0</v>
      </c>
      <c r="F289" s="13">
        <f>IFERROR(E289/E446, "NA")</f>
        <v>0.000845542445</v>
      </c>
      <c r="G289" s="14"/>
      <c r="H289" s="15">
        <f t="shared" si="85"/>
        <v>146</v>
      </c>
      <c r="I289" s="13">
        <f>IFERROR(H289/H446, "NA")</f>
        <v>0.008481818409</v>
      </c>
      <c r="J289" s="14"/>
      <c r="K289" s="12">
        <v>144.65</v>
      </c>
      <c r="L289" s="13">
        <f>IFERROR(K289/K446, "NA")</f>
        <v>0.0009103966415</v>
      </c>
      <c r="M289" s="14"/>
      <c r="N289" s="15">
        <f t="shared" si="86"/>
        <v>144.65</v>
      </c>
      <c r="O289" s="13">
        <f>IFERROR(N289/N446, "NA")</f>
        <v>0.004666622791</v>
      </c>
      <c r="P289" s="14"/>
      <c r="Q289" s="12">
        <v>874.5</v>
      </c>
      <c r="R289" s="13">
        <f>IFERROR(Q289/Q446, "NA")</f>
        <v>0.0005593762113</v>
      </c>
      <c r="S289" s="14"/>
      <c r="T289" s="12">
        <v>1168.0</v>
      </c>
      <c r="U289" s="13">
        <f>IFERROR(T289/T446, "NA")</f>
        <v>0.0007555847269</v>
      </c>
      <c r="V289" s="14"/>
      <c r="W289" s="15">
        <f t="shared" si="87"/>
        <v>293.5</v>
      </c>
      <c r="X289" s="13">
        <f>IFERROR(W289/W446, "NA")</f>
        <v>0.01674664354</v>
      </c>
      <c r="Y289" s="14"/>
      <c r="Z289" s="12">
        <v>1163.8</v>
      </c>
      <c r="AA289" s="13">
        <f>IFERROR(Z289/Z446, "NA")</f>
        <v>0.0008136116744</v>
      </c>
      <c r="AB289" s="14"/>
      <c r="AC289" s="15">
        <f t="shared" si="88"/>
        <v>289.3</v>
      </c>
      <c r="AD289" s="13">
        <f>IFERROR(AC289/AC446, "NA")</f>
        <v>0.002176227814</v>
      </c>
    </row>
    <row r="290" ht="16.5" customHeight="1">
      <c r="A290" s="11" t="s">
        <v>266</v>
      </c>
      <c r="B290" s="12">
        <v>265.05</v>
      </c>
      <c r="C290" s="13">
        <f>IFERROR(B290/B446, "NA")</f>
        <v>0.001395855807</v>
      </c>
      <c r="D290" s="14"/>
      <c r="E290" s="12">
        <v>247.0</v>
      </c>
      <c r="F290" s="13">
        <f>IFERROR(E290/E446, "NA")</f>
        <v>0.001430472493</v>
      </c>
      <c r="G290" s="14"/>
      <c r="H290" s="15">
        <f t="shared" si="85"/>
        <v>-18.05</v>
      </c>
      <c r="I290" s="13">
        <f>IFERROR(H290/H446, "NA")</f>
        <v>-0.001048608372</v>
      </c>
      <c r="J290" s="14"/>
      <c r="K290" s="12">
        <v>228.98</v>
      </c>
      <c r="L290" s="13">
        <f>IFERROR(K290/K446, "NA")</f>
        <v>0.001441151904</v>
      </c>
      <c r="M290" s="14"/>
      <c r="N290" s="15">
        <f t="shared" si="86"/>
        <v>-36.07</v>
      </c>
      <c r="O290" s="13">
        <f>IFERROR(N290/N446, "NA")</f>
        <v>-0.001163671511</v>
      </c>
      <c r="P290" s="14"/>
      <c r="Q290" s="12">
        <v>2340.11</v>
      </c>
      <c r="R290" s="13">
        <f>IFERROR(Q290/Q446, "NA")</f>
        <v>0.001496857479</v>
      </c>
      <c r="S290" s="14"/>
      <c r="T290" s="12">
        <v>1976.0</v>
      </c>
      <c r="U290" s="13">
        <f>IFERROR(T290/T446, "NA")</f>
        <v>0.00127828375</v>
      </c>
      <c r="V290" s="14"/>
      <c r="W290" s="15">
        <f t="shared" si="87"/>
        <v>-364.11</v>
      </c>
      <c r="X290" s="13">
        <f>IFERROR(W290/W446, "NA")</f>
        <v>-0.02077553792</v>
      </c>
      <c r="Y290" s="14"/>
      <c r="Z290" s="12">
        <v>1794.04</v>
      </c>
      <c r="AA290" s="13">
        <f>IFERROR(Z290/Z446, "NA")</f>
        <v>0.001254211968</v>
      </c>
      <c r="AB290" s="14"/>
      <c r="AC290" s="15">
        <f t="shared" si="88"/>
        <v>-546.07</v>
      </c>
      <c r="AD290" s="13">
        <f>IFERROR(AC290/AC446, "NA")</f>
        <v>-0.004107752238</v>
      </c>
    </row>
    <row r="291" ht="16.5" customHeight="1">
      <c r="A291" s="11" t="s">
        <v>267</v>
      </c>
      <c r="B291" s="12">
        <v>1152.82</v>
      </c>
      <c r="C291" s="13">
        <f>IFERROR(B291/B446, "NA")</f>
        <v>0.006071195966</v>
      </c>
      <c r="D291" s="14"/>
      <c r="E291" s="12">
        <v>1036.02</v>
      </c>
      <c r="F291" s="13">
        <f>IFERROR(E291/E446, "NA")</f>
        <v>0.005999992355</v>
      </c>
      <c r="G291" s="14"/>
      <c r="H291" s="15">
        <f t="shared" si="85"/>
        <v>-116.8</v>
      </c>
      <c r="I291" s="13">
        <f>IFERROR(H291/H446, "NA")</f>
        <v>-0.006785454727</v>
      </c>
      <c r="J291" s="14"/>
      <c r="K291" s="12">
        <v>830.28</v>
      </c>
      <c r="L291" s="13">
        <f>IFERROR(K291/K446, "NA")</f>
        <v>0.005225607491</v>
      </c>
      <c r="M291" s="14"/>
      <c r="N291" s="15">
        <f t="shared" si="86"/>
        <v>-322.54</v>
      </c>
      <c r="O291" s="13">
        <f>IFERROR(N291/N446, "NA")</f>
        <v>-0.01040561711</v>
      </c>
      <c r="P291" s="14"/>
      <c r="Q291" s="12">
        <v>9742.38</v>
      </c>
      <c r="R291" s="13">
        <f>IFERROR(Q291/Q446, "NA")</f>
        <v>0.006231738837</v>
      </c>
      <c r="S291" s="14"/>
      <c r="T291" s="12">
        <v>8865.12</v>
      </c>
      <c r="U291" s="13">
        <f>IFERROR(T291/T446, "NA")</f>
        <v>0.005734888077</v>
      </c>
      <c r="V291" s="14"/>
      <c r="W291" s="15">
        <f t="shared" si="87"/>
        <v>-877.26</v>
      </c>
      <c r="X291" s="13">
        <f>IFERROR(W291/W446, "NA")</f>
        <v>-0.05005506137</v>
      </c>
      <c r="Y291" s="14"/>
      <c r="Z291" s="12">
        <v>8405.32</v>
      </c>
      <c r="AA291" s="13">
        <f>IFERROR(Z291/Z446, "NA")</f>
        <v>0.005876152671</v>
      </c>
      <c r="AB291" s="14"/>
      <c r="AC291" s="15">
        <f t="shared" si="88"/>
        <v>-1337.06</v>
      </c>
      <c r="AD291" s="13">
        <f>IFERROR(AC291/AC446, "NA")</f>
        <v>-0.01005788856</v>
      </c>
    </row>
    <row r="292" ht="16.5" customHeight="1">
      <c r="A292" s="11" t="s">
        <v>268</v>
      </c>
      <c r="B292" s="12">
        <v>1214.5</v>
      </c>
      <c r="C292" s="13">
        <f>IFERROR(B292/B446, "NA")</f>
        <v>0.006396026701</v>
      </c>
      <c r="D292" s="14"/>
      <c r="E292" s="12">
        <v>863.35</v>
      </c>
      <c r="F292" s="13">
        <f>IFERROR(E292/E446, "NA")</f>
        <v>0.004999993629</v>
      </c>
      <c r="G292" s="14"/>
      <c r="H292" s="15">
        <f t="shared" si="85"/>
        <v>-351.15</v>
      </c>
      <c r="I292" s="13">
        <f>IFERROR(H292/H446, "NA")</f>
        <v>-0.02039993517</v>
      </c>
      <c r="J292" s="14"/>
      <c r="K292" s="12">
        <v>941.54</v>
      </c>
      <c r="L292" s="13">
        <f>IFERROR(K292/K446, "NA")</f>
        <v>0.005925854503</v>
      </c>
      <c r="M292" s="14"/>
      <c r="N292" s="15">
        <f t="shared" si="86"/>
        <v>-272.96</v>
      </c>
      <c r="O292" s="13">
        <f>IFERROR(N292/N446, "NA")</f>
        <v>-0.008806093032</v>
      </c>
      <c r="P292" s="14"/>
      <c r="Q292" s="12">
        <v>10563.52</v>
      </c>
      <c r="R292" s="13">
        <f>IFERROR(Q292/Q446, "NA")</f>
        <v>0.006756983185</v>
      </c>
      <c r="S292" s="14"/>
      <c r="T292" s="12">
        <v>7729.11</v>
      </c>
      <c r="U292" s="13">
        <f>IFERROR(T292/T446, "NA")</f>
        <v>0.004999997833</v>
      </c>
      <c r="V292" s="14"/>
      <c r="W292" s="15">
        <f t="shared" si="87"/>
        <v>-2834.41</v>
      </c>
      <c r="X292" s="13">
        <f>IFERROR(W292/W446, "NA")</f>
        <v>-0.1617269299</v>
      </c>
      <c r="Y292" s="14"/>
      <c r="Z292" s="12">
        <v>10368.53</v>
      </c>
      <c r="AA292" s="13">
        <f>IFERROR(Z292/Z446, "NA")</f>
        <v>0.007248631255</v>
      </c>
      <c r="AB292" s="14"/>
      <c r="AC292" s="15">
        <f t="shared" si="88"/>
        <v>-194.99</v>
      </c>
      <c r="AD292" s="13">
        <f>IFERROR(AC292/AC446, "NA")</f>
        <v>-0.001466791087</v>
      </c>
    </row>
    <row r="293" ht="16.5" customHeight="1">
      <c r="A293" s="11" t="s">
        <v>269</v>
      </c>
      <c r="B293" s="12">
        <v>0.0</v>
      </c>
      <c r="C293" s="13">
        <f>IFERROR(B293/B446, "NA")</f>
        <v>0</v>
      </c>
      <c r="D293" s="14"/>
      <c r="E293" s="12">
        <v>172.67</v>
      </c>
      <c r="F293" s="13">
        <f>IFERROR(E293/E446, "NA")</f>
        <v>0.0009999987259</v>
      </c>
      <c r="G293" s="14"/>
      <c r="H293" s="15">
        <f t="shared" si="85"/>
        <v>172.67</v>
      </c>
      <c r="I293" s="13">
        <f>IFERROR(H293/H446, "NA")</f>
        <v>0.01003120263</v>
      </c>
      <c r="J293" s="14"/>
      <c r="K293" s="12">
        <v>0.0</v>
      </c>
      <c r="L293" s="13">
        <f>IFERROR(K293/K446, "NA")</f>
        <v>0</v>
      </c>
      <c r="M293" s="14"/>
      <c r="N293" s="15">
        <f t="shared" si="86"/>
        <v>0</v>
      </c>
      <c r="O293" s="13">
        <f>IFERROR(N293/N446, "NA")</f>
        <v>0</v>
      </c>
      <c r="P293" s="14"/>
      <c r="Q293" s="12">
        <v>2186.4</v>
      </c>
      <c r="R293" s="13">
        <f>IFERROR(Q293/Q446, "NA")</f>
        <v>0.001398536476</v>
      </c>
      <c r="S293" s="14"/>
      <c r="T293" s="12">
        <v>1545.81</v>
      </c>
      <c r="U293" s="13">
        <f>IFERROR(T293/T446, "NA")</f>
        <v>0.0009999918037</v>
      </c>
      <c r="V293" s="14"/>
      <c r="W293" s="15">
        <f t="shared" si="87"/>
        <v>-640.59</v>
      </c>
      <c r="X293" s="13">
        <f>IFERROR(W293/W446, "NA")</f>
        <v>-0.03655104731</v>
      </c>
      <c r="Y293" s="14"/>
      <c r="Z293" s="12">
        <v>681.63</v>
      </c>
      <c r="AA293" s="13">
        <f>IFERROR(Z293/Z446, "NA")</f>
        <v>0.0004765270026</v>
      </c>
      <c r="AB293" s="14"/>
      <c r="AC293" s="15">
        <f t="shared" si="88"/>
        <v>-1504.77</v>
      </c>
      <c r="AD293" s="13">
        <f>IFERROR(AC293/AC446, "NA")</f>
        <v>-0.01131946881</v>
      </c>
    </row>
    <row r="294" ht="16.5" customHeight="1">
      <c r="A294" s="11" t="s">
        <v>270</v>
      </c>
      <c r="B294" s="12">
        <v>1082.3</v>
      </c>
      <c r="C294" s="13">
        <f>IFERROR(B294/B446, "NA")</f>
        <v>0.005699810373</v>
      </c>
      <c r="D294" s="14"/>
      <c r="E294" s="12">
        <v>259.01</v>
      </c>
      <c r="F294" s="13">
        <f>IFERROR(E294/E446, "NA")</f>
        <v>0.001500027046</v>
      </c>
      <c r="G294" s="14"/>
      <c r="H294" s="15">
        <f t="shared" si="85"/>
        <v>-823.29</v>
      </c>
      <c r="I294" s="13">
        <f>IFERROR(H294/H446, "NA")</f>
        <v>-0.04782874163</v>
      </c>
      <c r="J294" s="14"/>
      <c r="K294" s="12">
        <v>649.88</v>
      </c>
      <c r="L294" s="13">
        <f>IFERROR(K294/K446, "NA")</f>
        <v>0.004090207877</v>
      </c>
      <c r="M294" s="14"/>
      <c r="N294" s="15">
        <f t="shared" si="86"/>
        <v>-432.42</v>
      </c>
      <c r="O294" s="13">
        <f>IFERROR(N294/N446, "NA")</f>
        <v>-0.01395050831</v>
      </c>
      <c r="P294" s="14"/>
      <c r="Q294" s="12">
        <v>3011.89</v>
      </c>
      <c r="R294" s="13">
        <f>IFERROR(Q294/Q446, "NA")</f>
        <v>0.001926563313</v>
      </c>
      <c r="S294" s="14"/>
      <c r="T294" s="12">
        <v>2318.74</v>
      </c>
      <c r="U294" s="13">
        <f>IFERROR(T294/T446, "NA")</f>
        <v>0.001500003878</v>
      </c>
      <c r="V294" s="14"/>
      <c r="W294" s="15">
        <f t="shared" si="87"/>
        <v>-693.15</v>
      </c>
      <c r="X294" s="13">
        <f>IFERROR(W294/W446, "NA")</f>
        <v>-0.03955003737</v>
      </c>
      <c r="Y294" s="14"/>
      <c r="Z294" s="12">
        <v>2390.43</v>
      </c>
      <c r="AA294" s="13">
        <f>IFERROR(Z294/Z446, "NA")</f>
        <v>0.001671147753</v>
      </c>
      <c r="AB294" s="14"/>
      <c r="AC294" s="15">
        <f t="shared" si="88"/>
        <v>-621.46</v>
      </c>
      <c r="AD294" s="13">
        <f>IFERROR(AC294/AC446, "NA")</f>
        <v>-0.004674865321</v>
      </c>
    </row>
    <row r="295" ht="16.5" customHeight="1">
      <c r="A295" s="11" t="s">
        <v>271</v>
      </c>
      <c r="B295" s="12">
        <v>0.0</v>
      </c>
      <c r="C295" s="13">
        <f>IFERROR(B295/B446, "NA")</f>
        <v>0</v>
      </c>
      <c r="D295" s="14"/>
      <c r="E295" s="12">
        <v>311.0</v>
      </c>
      <c r="F295" s="13">
        <f>IFERROR(E295/E446, "NA")</f>
        <v>0.001801121236</v>
      </c>
      <c r="G295" s="14"/>
      <c r="H295" s="15">
        <f t="shared" si="85"/>
        <v>311</v>
      </c>
      <c r="I295" s="13">
        <f>IFERROR(H295/H446, "NA")</f>
        <v>0.0180674351</v>
      </c>
      <c r="J295" s="14"/>
      <c r="K295" s="12">
        <v>325.0</v>
      </c>
      <c r="L295" s="13">
        <f>IFERROR(K295/K446, "NA")</f>
        <v>0.002045481566</v>
      </c>
      <c r="M295" s="14"/>
      <c r="N295" s="15">
        <f t="shared" si="86"/>
        <v>325</v>
      </c>
      <c r="O295" s="13">
        <f>IFERROR(N295/N446, "NA")</f>
        <v>0.01048498035</v>
      </c>
      <c r="P295" s="14"/>
      <c r="Q295" s="12">
        <v>1499.97</v>
      </c>
      <c r="R295" s="13">
        <f>IFERROR(Q295/Q446, "NA")</f>
        <v>0.000959459732</v>
      </c>
      <c r="S295" s="14"/>
      <c r="T295" s="12">
        <v>2488.0</v>
      </c>
      <c r="U295" s="13">
        <f>IFERROR(T295/T446, "NA")</f>
        <v>0.001609498973</v>
      </c>
      <c r="V295" s="14"/>
      <c r="W295" s="15">
        <f t="shared" si="87"/>
        <v>988.03</v>
      </c>
      <c r="X295" s="13">
        <f>IFERROR(W295/W446, "NA")</f>
        <v>0.05637542152</v>
      </c>
      <c r="Y295" s="14"/>
      <c r="Z295" s="12">
        <v>2813.96</v>
      </c>
      <c r="AA295" s="13">
        <f>IFERROR(Z295/Z446, "NA")</f>
        <v>0.001967237246</v>
      </c>
      <c r="AB295" s="14"/>
      <c r="AC295" s="15">
        <f t="shared" si="88"/>
        <v>1313.99</v>
      </c>
      <c r="AD295" s="13">
        <f>IFERROR(AC295/AC446, "NA")</f>
        <v>0.009884346994</v>
      </c>
    </row>
    <row r="296" ht="16.5" customHeight="1">
      <c r="A296" s="16" t="s">
        <v>272</v>
      </c>
      <c r="B296" s="17">
        <f>IFERROR(B287+B288+B289+B290+B291+B292+B293+B294+B295, "NA")</f>
        <v>3714.67</v>
      </c>
      <c r="C296" s="18">
        <f>IFERROR(B296/B446, "NA")</f>
        <v>0.01956288885</v>
      </c>
      <c r="D296" s="8"/>
      <c r="E296" s="17">
        <f>IFERROR(E287+E288+E289+E290+E291+E292+E293+E294+E295, "NA")</f>
        <v>3035.05</v>
      </c>
      <c r="F296" s="18">
        <f>IFERROR(E296/E446, "NA")</f>
        <v>0.01757714793</v>
      </c>
      <c r="G296" s="8"/>
      <c r="H296" s="17">
        <f t="shared" si="85"/>
        <v>-679.62</v>
      </c>
      <c r="I296" s="18">
        <f>IFERROR(H296/H446, "NA")</f>
        <v>-0.03948228375</v>
      </c>
      <c r="J296" s="8"/>
      <c r="K296" s="17">
        <f>IFERROR(K287+K288+K289+K290+K291+K292+K293+K294+K295, "NA")</f>
        <v>3120.33</v>
      </c>
      <c r="L296" s="18">
        <f>IFERROR(K296/K446, "NA")</f>
        <v>0.01963869998</v>
      </c>
      <c r="M296" s="8"/>
      <c r="N296" s="17">
        <f t="shared" si="86"/>
        <v>-594.34</v>
      </c>
      <c r="O296" s="18">
        <f>IFERROR(N296/N446, "NA")</f>
        <v>-0.01917428683</v>
      </c>
      <c r="P296" s="8"/>
      <c r="Q296" s="17">
        <f>IFERROR(Q287+Q288+Q289+Q290+Q291+Q292+Q293+Q294+Q295, "NA")</f>
        <v>30218.77</v>
      </c>
      <c r="R296" s="18">
        <f>IFERROR(Q296/Q446, "NA")</f>
        <v>0.01932951523</v>
      </c>
      <c r="S296" s="8"/>
      <c r="T296" s="17">
        <f>IFERROR(T287+T288+T289+T290+T291+T292+T293+T294+T295, "NA")</f>
        <v>26090.78</v>
      </c>
      <c r="U296" s="18">
        <f>IFERROR(T296/T446, "NA")</f>
        <v>0.01687824904</v>
      </c>
      <c r="V296" s="8"/>
      <c r="W296" s="17">
        <f t="shared" si="87"/>
        <v>-4127.99</v>
      </c>
      <c r="X296" s="18">
        <f>IFERROR(W296/W446, "NA")</f>
        <v>-0.2355365488</v>
      </c>
      <c r="Y296" s="8"/>
      <c r="Z296" s="17">
        <f>IFERROR(Z287+Z288+Z289+Z290+Z291+Z292+Z293+Z294+Z295, "NA")</f>
        <v>27617.71</v>
      </c>
      <c r="AA296" s="18">
        <f>IFERROR(Z296/Z446, "NA")</f>
        <v>0.01930751957</v>
      </c>
      <c r="AB296" s="8"/>
      <c r="AC296" s="17">
        <f t="shared" si="88"/>
        <v>-2601.06</v>
      </c>
      <c r="AD296" s="18">
        <f>IFERROR(AC296/AC446, "NA")</f>
        <v>-0.01956619121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>
        <f>IFERROR(B298/B446, "NA")</f>
        <v>0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>
        <f>IFERROR(B299/B446, "NA")</f>
        <v>0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2027.25</v>
      </c>
      <c r="C300" s="13">
        <f>IFERROR(B300/B446, "NA")</f>
        <v>0.01067628253</v>
      </c>
      <c r="D300" s="14"/>
      <c r="E300" s="12">
        <v>517.0</v>
      </c>
      <c r="F300" s="13">
        <f>IFERROR(E300/E446, "NA")</f>
        <v>0.002994146877</v>
      </c>
      <c r="G300" s="14"/>
      <c r="H300" s="15">
        <f t="shared" si="89"/>
        <v>-1510.25</v>
      </c>
      <c r="I300" s="13">
        <f>IFERROR(H300/H446, "NA")</f>
        <v>-0.08773744008</v>
      </c>
      <c r="J300" s="14"/>
      <c r="K300" s="12">
        <v>516.94</v>
      </c>
      <c r="L300" s="13">
        <f>IFERROR(K300/K446, "NA")</f>
        <v>0.00325351151</v>
      </c>
      <c r="M300" s="14"/>
      <c r="N300" s="15">
        <f t="shared" si="90"/>
        <v>-1510.31</v>
      </c>
      <c r="O300" s="13">
        <f>IFERROR(N300/N446, "NA")</f>
        <v>-0.04872483282</v>
      </c>
      <c r="P300" s="14"/>
      <c r="Q300" s="12">
        <v>10987.95</v>
      </c>
      <c r="R300" s="13">
        <f>IFERROR(Q300/Q446, "NA")</f>
        <v>0.007028470944</v>
      </c>
      <c r="S300" s="14"/>
      <c r="T300" s="12">
        <v>4136.0</v>
      </c>
      <c r="U300" s="13">
        <f>IFERROR(T300/T446, "NA")</f>
        <v>0.002675597971</v>
      </c>
      <c r="V300" s="14"/>
      <c r="W300" s="15">
        <f t="shared" si="91"/>
        <v>-6851.95</v>
      </c>
      <c r="X300" s="13">
        <f>IFERROR(W300/W446, "NA")</f>
        <v>-0.3909613772</v>
      </c>
      <c r="Y300" s="14"/>
      <c r="Z300" s="12">
        <v>7893.77</v>
      </c>
      <c r="AA300" s="13">
        <f>IFERROR(Z300/Z446, "NA")</f>
        <v>0.005518528464</v>
      </c>
      <c r="AB300" s="14"/>
      <c r="AC300" s="15">
        <f t="shared" si="92"/>
        <v>-3094.18</v>
      </c>
      <c r="AD300" s="13">
        <f>IFERROR(AC300/AC446, "NA")</f>
        <v>-0.02327563283</v>
      </c>
    </row>
    <row r="301" ht="16.5" hidden="1" customHeight="1">
      <c r="A301" s="11" t="s">
        <v>276</v>
      </c>
      <c r="B301" s="12">
        <v>0.0</v>
      </c>
      <c r="C301" s="13">
        <f>IFERROR(B301/B446, "NA")</f>
        <v>0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>
        <f>IFERROR(B302/B446, "NA")</f>
        <v>0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>
        <f>IFERROR(B303/B446, "NA")</f>
        <v>0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>
        <f>IFERROR(B304/B446, "NA")</f>
        <v>0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customHeight="1">
      <c r="A305" s="11" t="s">
        <v>280</v>
      </c>
      <c r="B305" s="12">
        <v>0.0</v>
      </c>
      <c r="C305" s="13">
        <f>IFERROR(B305/B446, "NA")</f>
        <v>0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515.0</v>
      </c>
      <c r="R305" s="13">
        <f>IFERROR(Q305/Q446, "NA")</f>
        <v>0.0003294210964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-515</v>
      </c>
      <c r="X305" s="13">
        <f>IFERROR(W305/W446, "NA")</f>
        <v>-0.02938508151</v>
      </c>
      <c r="Y305" s="14"/>
      <c r="Z305" s="12">
        <v>0.0</v>
      </c>
      <c r="AA305" s="13">
        <f>IFERROR(Z305/Z446, "NA")</f>
        <v>0</v>
      </c>
      <c r="AB305" s="14"/>
      <c r="AC305" s="15">
        <f t="shared" si="92"/>
        <v>-515</v>
      </c>
      <c r="AD305" s="13">
        <f>IFERROR(AC305/AC446, "NA")</f>
        <v>-0.003874031539</v>
      </c>
    </row>
    <row r="306" ht="16.5" customHeight="1">
      <c r="A306" s="11" t="s">
        <v>281</v>
      </c>
      <c r="B306" s="12">
        <v>0.0</v>
      </c>
      <c r="C306" s="13">
        <f>IFERROR(B306/B446, "NA")</f>
        <v>0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0</v>
      </c>
      <c r="I306" s="13">
        <f>IFERROR(H306/H446, "NA")</f>
        <v>0</v>
      </c>
      <c r="J306" s="14"/>
      <c r="K306" s="12">
        <v>0.0</v>
      </c>
      <c r="L306" s="13">
        <f>IFERROR(K306/K446, "NA")</f>
        <v>0</v>
      </c>
      <c r="M306" s="14"/>
      <c r="N306" s="15">
        <f t="shared" si="90"/>
        <v>0</v>
      </c>
      <c r="O306" s="13">
        <f>IFERROR(N306/N446, "NA")</f>
        <v>0</v>
      </c>
      <c r="P306" s="14"/>
      <c r="Q306" s="12">
        <v>40.48</v>
      </c>
      <c r="R306" s="13">
        <f>IFERROR(Q306/Q446, "NA")</f>
        <v>0.00002589313783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-40.48</v>
      </c>
      <c r="X306" s="13">
        <f>IFERROR(W306/W446, "NA")</f>
        <v>-0.002309724465</v>
      </c>
      <c r="Y306" s="14"/>
      <c r="Z306" s="12">
        <v>0.0</v>
      </c>
      <c r="AA306" s="13">
        <f>IFERROR(Z306/Z446, "NA")</f>
        <v>0</v>
      </c>
      <c r="AB306" s="14"/>
      <c r="AC306" s="15">
        <f t="shared" si="92"/>
        <v>-40.48</v>
      </c>
      <c r="AD306" s="13">
        <f>IFERROR(AC306/AC446, "NA")</f>
        <v>-0.0003045064014</v>
      </c>
    </row>
    <row r="307" ht="16.5" hidden="1" customHeight="1">
      <c r="A307" s="11" t="s">
        <v>282</v>
      </c>
      <c r="B307" s="12">
        <v>0.0</v>
      </c>
      <c r="C307" s="13">
        <f>IFERROR(B307/B446, "NA")</f>
        <v>0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>
        <f>IFERROR(B308/B446, "NA")</f>
        <v>0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>
        <f>IFERROR(B309/B446, "NA")</f>
        <v>0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>
        <f>IFERROR(B310/B446, "NA")</f>
        <v>0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>
        <f>IFERROR(B311/B446, "NA")</f>
        <v>0</v>
      </c>
      <c r="D311" s="14"/>
      <c r="E311" s="12">
        <v>55.0</v>
      </c>
      <c r="F311" s="13">
        <f>IFERROR(E311/E446, "NA")</f>
        <v>0.0003185262635</v>
      </c>
      <c r="G311" s="14"/>
      <c r="H311" s="15">
        <f t="shared" si="89"/>
        <v>55</v>
      </c>
      <c r="I311" s="13">
        <f>IFERROR(H311/H446, "NA")</f>
        <v>0.003195205565</v>
      </c>
      <c r="J311" s="14"/>
      <c r="K311" s="12">
        <v>29.95</v>
      </c>
      <c r="L311" s="13">
        <f>IFERROR(K311/K446, "NA")</f>
        <v>0.0001884989935</v>
      </c>
      <c r="M311" s="14"/>
      <c r="N311" s="15">
        <f t="shared" si="90"/>
        <v>29.95</v>
      </c>
      <c r="O311" s="13">
        <f>IFERROR(N311/N446, "NA")</f>
        <v>0.0009662312658</v>
      </c>
      <c r="P311" s="14"/>
      <c r="Q311" s="12">
        <v>716.74</v>
      </c>
      <c r="R311" s="13">
        <f>IFERROR(Q311/Q446, "NA")</f>
        <v>0.0004584646148</v>
      </c>
      <c r="S311" s="14"/>
      <c r="T311" s="12">
        <v>440.0</v>
      </c>
      <c r="U311" s="13">
        <f>IFERROR(T311/T446, "NA")</f>
        <v>0.0002846380821</v>
      </c>
      <c r="V311" s="14"/>
      <c r="W311" s="15">
        <f t="shared" si="91"/>
        <v>-276.74</v>
      </c>
      <c r="X311" s="13">
        <f>IFERROR(W311/W446, "NA")</f>
        <v>-0.01579034458</v>
      </c>
      <c r="Y311" s="14"/>
      <c r="Z311" s="12">
        <v>1156.84</v>
      </c>
      <c r="AA311" s="13">
        <f>IFERROR(Z311/Z446, "NA")</f>
        <v>0.0008087459438</v>
      </c>
      <c r="AB311" s="14"/>
      <c r="AC311" s="15">
        <f t="shared" si="92"/>
        <v>440.1</v>
      </c>
      <c r="AD311" s="13">
        <f>IFERROR(AC311/AC446, "NA")</f>
        <v>0.003310604428</v>
      </c>
    </row>
    <row r="312" ht="16.5" customHeight="1">
      <c r="A312" s="11" t="s">
        <v>287</v>
      </c>
      <c r="B312" s="12">
        <v>0.0</v>
      </c>
      <c r="C312" s="13">
        <f>IFERROR(B312/B446, "NA")</f>
        <v>0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26.73</v>
      </c>
      <c r="AA312" s="13">
        <f>IFERROR(Z312/Z446, "NA")</f>
        <v>0.0000186869222</v>
      </c>
      <c r="AB312" s="14"/>
      <c r="AC312" s="15">
        <f t="shared" si="92"/>
        <v>26.73</v>
      </c>
      <c r="AD312" s="13">
        <f>IFERROR(AC312/AC446, "NA")</f>
        <v>0.0002010735205</v>
      </c>
    </row>
    <row r="313" ht="16.5" customHeight="1">
      <c r="A313" s="11" t="s">
        <v>288</v>
      </c>
      <c r="B313" s="12">
        <v>561.55</v>
      </c>
      <c r="C313" s="13">
        <f>IFERROR(B313/B446, "NA")</f>
        <v>0.002957339476</v>
      </c>
      <c r="D313" s="14"/>
      <c r="E313" s="12">
        <v>35.0</v>
      </c>
      <c r="F313" s="13">
        <f>IFERROR(E313/E446, "NA")</f>
        <v>0.0002026985313</v>
      </c>
      <c r="G313" s="14"/>
      <c r="H313" s="15">
        <f t="shared" si="89"/>
        <v>-526.55</v>
      </c>
      <c r="I313" s="13">
        <f>IFERROR(H313/H446, "NA")</f>
        <v>-0.03058973619</v>
      </c>
      <c r="J313" s="14"/>
      <c r="K313" s="12">
        <v>824.01</v>
      </c>
      <c r="L313" s="13">
        <f>IFERROR(K313/K446, "NA")</f>
        <v>0.005186145431</v>
      </c>
      <c r="M313" s="14"/>
      <c r="N313" s="15">
        <f t="shared" si="90"/>
        <v>262.46</v>
      </c>
      <c r="O313" s="13">
        <f>IFERROR(N313/N446, "NA")</f>
        <v>0.008467347513</v>
      </c>
      <c r="P313" s="14"/>
      <c r="Q313" s="12">
        <v>5248.13</v>
      </c>
      <c r="R313" s="13">
        <f>IFERROR(Q313/Q446, "NA")</f>
        <v>0.003356980075</v>
      </c>
      <c r="S313" s="14"/>
      <c r="T313" s="12">
        <v>280.0</v>
      </c>
      <c r="U313" s="13">
        <f>IFERROR(T313/T446, "NA")</f>
        <v>0.0001811333249</v>
      </c>
      <c r="V313" s="14"/>
      <c r="W313" s="15">
        <f t="shared" si="91"/>
        <v>-4968.13</v>
      </c>
      <c r="X313" s="13">
        <f>IFERROR(W313/W446, "NA")</f>
        <v>-0.2834736019</v>
      </c>
      <c r="Y313" s="14"/>
      <c r="Z313" s="12">
        <v>4321.45</v>
      </c>
      <c r="AA313" s="13">
        <f>IFERROR(Z313/Z446, "NA")</f>
        <v>0.003021122332</v>
      </c>
      <c r="AB313" s="14"/>
      <c r="AC313" s="15">
        <f t="shared" si="92"/>
        <v>-926.68</v>
      </c>
      <c r="AD313" s="13">
        <f>IFERROR(AC313/AC446, "NA")</f>
        <v>-0.006970849605</v>
      </c>
    </row>
    <row r="314" ht="16.5" customHeight="1">
      <c r="A314" s="11" t="s">
        <v>289</v>
      </c>
      <c r="B314" s="12">
        <v>417.0</v>
      </c>
      <c r="C314" s="13">
        <f>IFERROR(B314/B446, "NA")</f>
        <v>0.002196083272</v>
      </c>
      <c r="D314" s="14"/>
      <c r="E314" s="12">
        <v>250.0</v>
      </c>
      <c r="F314" s="13">
        <f>IFERROR(E314/E446, "NA")</f>
        <v>0.001447846652</v>
      </c>
      <c r="G314" s="14"/>
      <c r="H314" s="15">
        <f t="shared" si="89"/>
        <v>-167</v>
      </c>
      <c r="I314" s="13">
        <f>IFERROR(H314/H446, "NA")</f>
        <v>-0.009701805988</v>
      </c>
      <c r="J314" s="14"/>
      <c r="K314" s="12">
        <v>275.0</v>
      </c>
      <c r="L314" s="13">
        <f>IFERROR(K314/K446, "NA")</f>
        <v>0.001730792094</v>
      </c>
      <c r="M314" s="14"/>
      <c r="N314" s="15">
        <f t="shared" si="90"/>
        <v>-142</v>
      </c>
      <c r="O314" s="13">
        <f>IFERROR(N314/N446, "NA")</f>
        <v>-0.004581129874</v>
      </c>
      <c r="P314" s="14"/>
      <c r="Q314" s="12">
        <v>3081.75</v>
      </c>
      <c r="R314" s="13">
        <f>IFERROR(Q314/Q446, "NA")</f>
        <v>0.001971249444</v>
      </c>
      <c r="S314" s="14"/>
      <c r="T314" s="12">
        <v>2000.0</v>
      </c>
      <c r="U314" s="13">
        <f>IFERROR(T314/T446, "NA")</f>
        <v>0.001293809464</v>
      </c>
      <c r="V314" s="14"/>
      <c r="W314" s="15">
        <f t="shared" si="91"/>
        <v>-1081.75</v>
      </c>
      <c r="X314" s="13">
        <f>IFERROR(W314/W446, "NA")</f>
        <v>-0.06172293577</v>
      </c>
      <c r="Y314" s="14"/>
      <c r="Z314" s="12">
        <v>2303.6</v>
      </c>
      <c r="AA314" s="13">
        <f>IFERROR(Z314/Z446, "NA")</f>
        <v>0.001610444967</v>
      </c>
      <c r="AB314" s="14"/>
      <c r="AC314" s="15">
        <f t="shared" si="92"/>
        <v>-778.15</v>
      </c>
      <c r="AD314" s="13">
        <f>IFERROR(AC314/AC446, "NA")</f>
        <v>-0.00585354882</v>
      </c>
    </row>
    <row r="315" ht="16.5" hidden="1" customHeight="1">
      <c r="A315" s="11" t="s">
        <v>290</v>
      </c>
      <c r="B315" s="12">
        <v>0.0</v>
      </c>
      <c r="C315" s="13">
        <f>IFERROR(B315/B446, "NA")</f>
        <v>0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hidden="1" customHeight="1">
      <c r="A316" s="11" t="s">
        <v>291</v>
      </c>
      <c r="B316" s="12">
        <v>0.0</v>
      </c>
      <c r="C316" s="13">
        <f>IFERROR(B316/B446, "NA")</f>
        <v>0</v>
      </c>
      <c r="D316" s="14"/>
      <c r="E316" s="12">
        <v>0.0</v>
      </c>
      <c r="F316" s="13">
        <f>IFERROR(E316/E446, "NA")</f>
        <v>0</v>
      </c>
      <c r="G316" s="14"/>
      <c r="H316" s="15">
        <f t="shared" si="89"/>
        <v>0</v>
      </c>
      <c r="I316" s="13">
        <f>IFERROR(H316/H446, "NA")</f>
        <v>0</v>
      </c>
      <c r="J316" s="14"/>
      <c r="K316" s="12">
        <v>0.0</v>
      </c>
      <c r="L316" s="13">
        <f>IFERROR(K316/K446, "NA")</f>
        <v>0</v>
      </c>
      <c r="M316" s="14"/>
      <c r="N316" s="15">
        <f t="shared" si="90"/>
        <v>0</v>
      </c>
      <c r="O316" s="13">
        <f>IFERROR(N316/N446, "NA")</f>
        <v>0</v>
      </c>
      <c r="P316" s="14"/>
      <c r="Q316" s="12">
        <v>0.0</v>
      </c>
      <c r="R316" s="13">
        <f>IFERROR(Q316/Q446, "NA")</f>
        <v>0</v>
      </c>
      <c r="S316" s="14"/>
      <c r="T316" s="12">
        <v>0.0</v>
      </c>
      <c r="U316" s="13">
        <f>IFERROR(T316/T446, "NA")</f>
        <v>0</v>
      </c>
      <c r="V316" s="14"/>
      <c r="W316" s="15">
        <f t="shared" si="91"/>
        <v>0</v>
      </c>
      <c r="X316" s="13">
        <f>IFERROR(W316/W446, "NA")</f>
        <v>0</v>
      </c>
      <c r="Y316" s="14"/>
      <c r="Z316" s="12">
        <v>0.0</v>
      </c>
      <c r="AA316" s="13">
        <f>IFERROR(Z316/Z446, "NA")</f>
        <v>0</v>
      </c>
      <c r="AB316" s="14"/>
      <c r="AC316" s="15">
        <f t="shared" si="92"/>
        <v>0</v>
      </c>
      <c r="AD316" s="13">
        <f>IFERROR(AC316/AC446, "NA")</f>
        <v>0</v>
      </c>
    </row>
    <row r="317" ht="16.5" customHeight="1">
      <c r="A317" s="11" t="s">
        <v>292</v>
      </c>
      <c r="B317" s="12">
        <v>-0.62</v>
      </c>
      <c r="C317" s="13">
        <f>IFERROR(B317/B446, "NA")</f>
        <v>-0.000003265159781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0.62</v>
      </c>
      <c r="I317" s="13">
        <f>IFERROR(H317/H446, "NA")</f>
        <v>0.00003601868091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0.62</v>
      </c>
      <c r="O317" s="13">
        <f>IFERROR(N317/N446, "NA")</f>
        <v>0.00002000211635</v>
      </c>
      <c r="P317" s="14"/>
      <c r="Q317" s="12">
        <v>297.52</v>
      </c>
      <c r="R317" s="13">
        <f>IFERROR(Q317/Q446, "NA")</f>
        <v>0.0001903094458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-297.52</v>
      </c>
      <c r="X317" s="13">
        <f>IFERROR(W317/W446, "NA")</f>
        <v>-0.01697601835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-297.52</v>
      </c>
      <c r="AD317" s="13">
        <f>IFERROR(AC317/AC446, "NA")</f>
        <v>-0.002238061871</v>
      </c>
    </row>
    <row r="318" ht="16.5" hidden="1" customHeight="1">
      <c r="A318" s="11" t="s">
        <v>293</v>
      </c>
      <c r="B318" s="12">
        <v>0.0</v>
      </c>
      <c r="C318" s="13">
        <f>IFERROR(B318/B446, "NA")</f>
        <v>0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hidden="1" customHeight="1">
      <c r="A319" s="11" t="s">
        <v>294</v>
      </c>
      <c r="B319" s="12">
        <v>0.0</v>
      </c>
      <c r="C319" s="13">
        <f>IFERROR(B319/B446, "NA")</f>
        <v>0</v>
      </c>
      <c r="D319" s="14"/>
      <c r="E319" s="12">
        <v>0.0</v>
      </c>
      <c r="F319" s="13">
        <f>IFERROR(E319/E446, "NA")</f>
        <v>0</v>
      </c>
      <c r="G319" s="14"/>
      <c r="H319" s="15">
        <f t="shared" si="89"/>
        <v>0</v>
      </c>
      <c r="I319" s="13">
        <f>IFERROR(H319/H446, "NA")</f>
        <v>0</v>
      </c>
      <c r="J319" s="14"/>
      <c r="K319" s="12">
        <v>0.0</v>
      </c>
      <c r="L319" s="13">
        <f>IFERROR(K319/K446, "NA")</f>
        <v>0</v>
      </c>
      <c r="M319" s="14"/>
      <c r="N319" s="15">
        <f t="shared" si="90"/>
        <v>0</v>
      </c>
      <c r="O319" s="13">
        <f>IFERROR(N319/N446, "NA")</f>
        <v>0</v>
      </c>
      <c r="P319" s="14"/>
      <c r="Q319" s="12">
        <v>0.0</v>
      </c>
      <c r="R319" s="13">
        <f>IFERROR(Q319/Q446, "NA")</f>
        <v>0</v>
      </c>
      <c r="S319" s="14"/>
      <c r="T319" s="12">
        <v>0.0</v>
      </c>
      <c r="U319" s="13">
        <f>IFERROR(T319/T446, "NA")</f>
        <v>0</v>
      </c>
      <c r="V319" s="14"/>
      <c r="W319" s="15">
        <f t="shared" si="91"/>
        <v>0</v>
      </c>
      <c r="X319" s="13">
        <f>IFERROR(W319/W446, "NA")</f>
        <v>0</v>
      </c>
      <c r="Y319" s="14"/>
      <c r="Z319" s="12">
        <v>0.0</v>
      </c>
      <c r="AA319" s="13">
        <f>IFERROR(Z319/Z446, "NA")</f>
        <v>0</v>
      </c>
      <c r="AB319" s="14"/>
      <c r="AC319" s="15">
        <f t="shared" si="92"/>
        <v>0</v>
      </c>
      <c r="AD319" s="13">
        <f>IFERROR(AC319/AC446, "NA")</f>
        <v>0</v>
      </c>
    </row>
    <row r="320" ht="16.5" customHeight="1">
      <c r="A320" s="11" t="s">
        <v>295</v>
      </c>
      <c r="B320" s="12">
        <v>324.16</v>
      </c>
      <c r="C320" s="13">
        <f>IFERROR(B320/B446, "NA")</f>
        <v>0.001707151927</v>
      </c>
      <c r="D320" s="14"/>
      <c r="E320" s="12">
        <v>314.0</v>
      </c>
      <c r="F320" s="13">
        <f>IFERROR(E320/E446, "NA")</f>
        <v>0.001818495395</v>
      </c>
      <c r="G320" s="14"/>
      <c r="H320" s="15">
        <f t="shared" si="89"/>
        <v>-10.16</v>
      </c>
      <c r="I320" s="13">
        <f>IFERROR(H320/H446, "NA")</f>
        <v>-0.0005902416098</v>
      </c>
      <c r="J320" s="14"/>
      <c r="K320" s="12">
        <v>313.28</v>
      </c>
      <c r="L320" s="13">
        <f>IFERROR(K320/K446, "NA")</f>
        <v>0.001971718354</v>
      </c>
      <c r="M320" s="14"/>
      <c r="N320" s="15">
        <f t="shared" si="90"/>
        <v>-10.88</v>
      </c>
      <c r="O320" s="13">
        <f>IFERROR(N320/N446, "NA")</f>
        <v>-0.0003510048805</v>
      </c>
      <c r="P320" s="14"/>
      <c r="Q320" s="12">
        <v>2591.78</v>
      </c>
      <c r="R320" s="13">
        <f>IFERROR(Q320/Q446, "NA")</f>
        <v>0.001657838853</v>
      </c>
      <c r="S320" s="14"/>
      <c r="T320" s="12">
        <v>2512.0</v>
      </c>
      <c r="U320" s="13">
        <f>IFERROR(T320/T446, "NA")</f>
        <v>0.001625024687</v>
      </c>
      <c r="V320" s="14"/>
      <c r="W320" s="15">
        <f t="shared" si="91"/>
        <v>-79.78</v>
      </c>
      <c r="X320" s="13">
        <f>IFERROR(W320/W446, "NA")</f>
        <v>-0.004552120005</v>
      </c>
      <c r="Y320" s="14"/>
      <c r="Z320" s="12">
        <v>2511.0</v>
      </c>
      <c r="AA320" s="13">
        <f>IFERROR(Z320/Z446, "NA")</f>
        <v>0.001755438146</v>
      </c>
      <c r="AB320" s="14"/>
      <c r="AC320" s="15">
        <f t="shared" si="92"/>
        <v>-80.78</v>
      </c>
      <c r="AD320" s="13">
        <f>IFERROR(AC320/AC446, "NA")</f>
        <v>-0.0006076587723</v>
      </c>
    </row>
    <row r="321" ht="16.5" customHeight="1">
      <c r="A321" s="11" t="s">
        <v>296</v>
      </c>
      <c r="B321" s="12">
        <v>1036.22</v>
      </c>
      <c r="C321" s="13">
        <f>IFERROR(B321/B446, "NA")</f>
        <v>0.005457135272</v>
      </c>
      <c r="D321" s="14"/>
      <c r="E321" s="12">
        <v>1101.0</v>
      </c>
      <c r="F321" s="13">
        <f>IFERROR(E321/E446, "NA")</f>
        <v>0.006376316657</v>
      </c>
      <c r="G321" s="14"/>
      <c r="H321" s="15">
        <f t="shared" si="89"/>
        <v>64.78</v>
      </c>
      <c r="I321" s="13">
        <f>IFERROR(H321/H446, "NA")</f>
        <v>0.003763371209</v>
      </c>
      <c r="J321" s="14"/>
      <c r="K321" s="12">
        <v>1228.69</v>
      </c>
      <c r="L321" s="13">
        <f>IFERROR(K321/K446, "NA")</f>
        <v>0.007733116139</v>
      </c>
      <c r="M321" s="14"/>
      <c r="N321" s="15">
        <f t="shared" si="90"/>
        <v>192.47</v>
      </c>
      <c r="O321" s="13">
        <f>IFERROR(N321/N446, "NA")</f>
        <v>0.006209366668</v>
      </c>
      <c r="P321" s="14"/>
      <c r="Q321" s="12">
        <v>8259.08</v>
      </c>
      <c r="R321" s="13">
        <f>IFERROR(Q321/Q446, "NA")</f>
        <v>0.005282942114</v>
      </c>
      <c r="S321" s="14"/>
      <c r="T321" s="12">
        <v>8808.0</v>
      </c>
      <c r="U321" s="13">
        <f>IFERROR(T321/T446, "NA")</f>
        <v>0.005697936879</v>
      </c>
      <c r="V321" s="14"/>
      <c r="W321" s="15">
        <f t="shared" si="91"/>
        <v>548.92</v>
      </c>
      <c r="X321" s="13">
        <f>IFERROR(W321/W446, "NA")</f>
        <v>0.0313205028</v>
      </c>
      <c r="Y321" s="14"/>
      <c r="Z321" s="12">
        <v>8677.32</v>
      </c>
      <c r="AA321" s="13">
        <f>IFERROR(Z321/Z446, "NA")</f>
        <v>0.00606630766</v>
      </c>
      <c r="AB321" s="14"/>
      <c r="AC321" s="15">
        <f t="shared" si="92"/>
        <v>418.24</v>
      </c>
      <c r="AD321" s="13">
        <f>IFERROR(AC321/AC446, "NA")</f>
        <v>0.003146164953</v>
      </c>
    </row>
    <row r="322" ht="16.5" customHeight="1">
      <c r="A322" s="11" t="s">
        <v>297</v>
      </c>
      <c r="B322" s="12">
        <v>2177.89</v>
      </c>
      <c r="C322" s="13">
        <f>IFERROR(B322/B446, "NA")</f>
        <v>0.01146961103</v>
      </c>
      <c r="D322" s="14"/>
      <c r="E322" s="12">
        <v>1726.7</v>
      </c>
      <c r="F322" s="13">
        <f>IFERROR(E322/E446, "NA")</f>
        <v>0.009999987259</v>
      </c>
      <c r="G322" s="14"/>
      <c r="H322" s="15">
        <f t="shared" si="89"/>
        <v>-451.19</v>
      </c>
      <c r="I322" s="13">
        <f>IFERROR(H322/H446, "NA")</f>
        <v>-0.02621172362</v>
      </c>
      <c r="J322" s="14"/>
      <c r="K322" s="12">
        <v>1855.42</v>
      </c>
      <c r="L322" s="13">
        <f>IFERROR(K322/K446, "NA")</f>
        <v>0.01167762279</v>
      </c>
      <c r="M322" s="14"/>
      <c r="N322" s="15">
        <f t="shared" si="90"/>
        <v>-322.47</v>
      </c>
      <c r="O322" s="13">
        <f>IFERROR(N322/N446, "NA")</f>
        <v>-0.01040335881</v>
      </c>
      <c r="P322" s="14"/>
      <c r="Q322" s="12">
        <v>12116.73</v>
      </c>
      <c r="R322" s="13">
        <f>IFERROR(Q322/Q446, "NA")</f>
        <v>0.007750498022</v>
      </c>
      <c r="S322" s="14"/>
      <c r="T322" s="12">
        <v>15316.05</v>
      </c>
      <c r="U322" s="13">
        <f>IFERROR(T322/T446, "NA")</f>
        <v>0.00990802522</v>
      </c>
      <c r="V322" s="14"/>
      <c r="W322" s="15">
        <f t="shared" si="91"/>
        <v>3199.32</v>
      </c>
      <c r="X322" s="13">
        <f>IFERROR(W322/W446, "NA")</f>
        <v>0.1825481145</v>
      </c>
      <c r="Y322" s="14"/>
      <c r="Z322" s="12">
        <v>18073.68</v>
      </c>
      <c r="AA322" s="13">
        <f>IFERROR(Z322/Z446, "NA")</f>
        <v>0.01263529562</v>
      </c>
      <c r="AB322" s="14"/>
      <c r="AC322" s="15">
        <f t="shared" si="92"/>
        <v>5956.95</v>
      </c>
      <c r="AD322" s="13">
        <f>IFERROR(AC322/AC446, "NA")</f>
        <v>0.04481050908</v>
      </c>
    </row>
    <row r="323" ht="16.5" customHeight="1">
      <c r="A323" s="11" t="s">
        <v>298</v>
      </c>
      <c r="B323" s="12">
        <v>224.5</v>
      </c>
      <c r="C323" s="13">
        <f>IFERROR(B323/B446, "NA")</f>
        <v>0.001182303824</v>
      </c>
      <c r="D323" s="14"/>
      <c r="E323" s="12">
        <v>191.0</v>
      </c>
      <c r="F323" s="13">
        <f>IFERROR(E323/E446, "NA")</f>
        <v>0.001106154842</v>
      </c>
      <c r="G323" s="14"/>
      <c r="H323" s="15">
        <f t="shared" si="89"/>
        <v>-33.5</v>
      </c>
      <c r="I323" s="13">
        <f>IFERROR(H323/H446, "NA")</f>
        <v>-0.001946170662</v>
      </c>
      <c r="J323" s="14"/>
      <c r="K323" s="12">
        <v>174.48</v>
      </c>
      <c r="L323" s="13">
        <f>IFERROR(K323/K446, "NA")</f>
        <v>0.00109814038</v>
      </c>
      <c r="M323" s="14"/>
      <c r="N323" s="15">
        <f t="shared" si="90"/>
        <v>-50.02</v>
      </c>
      <c r="O323" s="13">
        <f>IFERROR(N323/N446, "NA")</f>
        <v>-0.001613719129</v>
      </c>
      <c r="P323" s="14"/>
      <c r="Q323" s="12">
        <v>2191.82</v>
      </c>
      <c r="R323" s="13">
        <f>IFERROR(Q323/Q446, "NA")</f>
        <v>0.001402003393</v>
      </c>
      <c r="S323" s="14"/>
      <c r="T323" s="12">
        <v>1528.0</v>
      </c>
      <c r="U323" s="13">
        <f>IFERROR(T323/T446, "NA")</f>
        <v>0.0009884704304</v>
      </c>
      <c r="V323" s="14"/>
      <c r="W323" s="15">
        <f t="shared" si="91"/>
        <v>-663.82</v>
      </c>
      <c r="X323" s="13">
        <f>IFERROR(W323/W446, "NA")</f>
        <v>-0.03787651419</v>
      </c>
      <c r="Y323" s="14"/>
      <c r="Z323" s="12">
        <v>1519.28</v>
      </c>
      <c r="AA323" s="13">
        <f>IFERROR(Z323/Z446, "NA")</f>
        <v>0.001062127466</v>
      </c>
      <c r="AB323" s="14"/>
      <c r="AC323" s="15">
        <f t="shared" si="92"/>
        <v>-672.54</v>
      </c>
      <c r="AD323" s="13">
        <f>IFERROR(AC323/AC446, "NA")</f>
        <v>-0.005059109071</v>
      </c>
    </row>
    <row r="324" ht="16.5" customHeight="1">
      <c r="A324" s="11" t="s">
        <v>299</v>
      </c>
      <c r="B324" s="12">
        <v>0.0</v>
      </c>
      <c r="C324" s="13">
        <f>IFERROR(B324/B446, "NA")</f>
        <v>0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3.0</v>
      </c>
      <c r="R324" s="13">
        <f>IFERROR(Q324/Q446, "NA")</f>
        <v>0.000001918957843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-3</v>
      </c>
      <c r="X324" s="13">
        <f>IFERROR(W324/W446, "NA")</f>
        <v>-0.0001711752321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-3</v>
      </c>
      <c r="AD324" s="13">
        <f>IFERROR(AC324/AC446, "NA")</f>
        <v>-0.00002256717401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6767.95</v>
      </c>
      <c r="C325" s="18">
        <f>IFERROR(B325/B446, "NA")</f>
        <v>0.03564264217</v>
      </c>
      <c r="D325" s="8"/>
      <c r="E325" s="17">
        <f>IFERROR(E298+E299+E300+E301+E302+E303+E304+E305+E306+E307+E308+E309+E310+E311+E312+E313+E314+E315+E316+E317+E318+E319+E320+E321+E322+E323+E324, "NA")</f>
        <v>4189.7</v>
      </c>
      <c r="F325" s="18">
        <f>IFERROR(E325/E446, "NA")</f>
        <v>0.02426417248</v>
      </c>
      <c r="G325" s="8"/>
      <c r="H325" s="17">
        <f t="shared" si="89"/>
        <v>-2578.25</v>
      </c>
      <c r="I325" s="18">
        <f>IFERROR(H325/H446, "NA")</f>
        <v>-0.1497825227</v>
      </c>
      <c r="J325" s="8"/>
      <c r="K325" s="17">
        <f>IFERROR(K298+K299+K300+K301+K302+K303+K304+K305+K306+K307+K308+K309+K310+K311+K312+K313+K314+K315+K316+K317+K318+K319+K320+K321+K322+K323+K324, "NA")</f>
        <v>5217.77</v>
      </c>
      <c r="L325" s="18">
        <f>IFERROR(K325/K446, "NA")</f>
        <v>0.03283954569</v>
      </c>
      <c r="M325" s="8"/>
      <c r="N325" s="17">
        <f t="shared" si="90"/>
        <v>-1550.18</v>
      </c>
      <c r="O325" s="18">
        <f>IFERROR(N325/N446, "NA")</f>
        <v>-0.05001109795</v>
      </c>
      <c r="P325" s="8"/>
      <c r="Q325" s="17">
        <f>IFERROR(Q298+Q299+Q300+Q301+Q302+Q303+Q304+Q305+Q306+Q307+Q308+Q309+Q310+Q311+Q312+Q313+Q314+Q315+Q316+Q317+Q318+Q319+Q320+Q321+Q322+Q323+Q324, "NA")</f>
        <v>46049.98</v>
      </c>
      <c r="R325" s="18">
        <f>IFERROR(Q325/Q446, "NA")</f>
        <v>0.0294559901</v>
      </c>
      <c r="S325" s="8"/>
      <c r="T325" s="17">
        <f>IFERROR(T298+T299+T300+T301+T302+T303+T304+T305+T306+T307+T308+T309+T310+T311+T312+T313+T314+T315+T316+T317+T318+T319+T320+T321+T322+T323+T324, "NA")</f>
        <v>35020.05</v>
      </c>
      <c r="U325" s="18">
        <f>IFERROR(T325/T446, "NA")</f>
        <v>0.02265463606</v>
      </c>
      <c r="V325" s="8"/>
      <c r="W325" s="17">
        <f t="shared" si="91"/>
        <v>-11029.93</v>
      </c>
      <c r="X325" s="18">
        <f>IFERROR(W325/W446, "NA")</f>
        <v>-0.6293502759</v>
      </c>
      <c r="Y325" s="8"/>
      <c r="Z325" s="17">
        <f>IFERROR(Z298+Z299+Z300+Z301+Z302+Z303+Z304+Z305+Z306+Z307+Z308+Z309+Z310+Z311+Z312+Z313+Z314+Z315+Z316+Z317+Z318+Z319+Z320+Z321+Z322+Z323+Z324, "NA")</f>
        <v>46483.67</v>
      </c>
      <c r="AA325" s="18">
        <f>IFERROR(Z325/Z446, "NA")</f>
        <v>0.03249669753</v>
      </c>
      <c r="AB325" s="8"/>
      <c r="AC325" s="17">
        <f t="shared" si="92"/>
        <v>433.69</v>
      </c>
      <c r="AD325" s="18">
        <f>IFERROR(AC325/AC446, "NA")</f>
        <v>0.003262385899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52705.79</v>
      </c>
      <c r="C326" s="18">
        <f>IFERROR(B326/B446, "NA")</f>
        <v>0.2775690738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41637.02</v>
      </c>
      <c r="F326" s="18">
        <f>IFERROR(E326/E446, "NA")</f>
        <v>0.2411360801</v>
      </c>
      <c r="G326" s="8"/>
      <c r="H326" s="17">
        <f t="shared" si="89"/>
        <v>-11068.77</v>
      </c>
      <c r="I326" s="18">
        <f>IFERROR(H326/H446, "NA")</f>
        <v>-0.6430362818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36407.62</v>
      </c>
      <c r="L326" s="18">
        <f>IFERROR(K326/K446, "NA")</f>
        <v>0.229141894</v>
      </c>
      <c r="M326" s="8"/>
      <c r="N326" s="17">
        <f t="shared" si="90"/>
        <v>-16298.17</v>
      </c>
      <c r="O326" s="18">
        <f>IFERROR(N326/N446, "NA")</f>
        <v>-0.5258030527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439643.92</v>
      </c>
      <c r="R326" s="18">
        <f>IFERROR(Q326/Q446, "NA")</f>
        <v>0.2812193828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367656.57</v>
      </c>
      <c r="U326" s="18">
        <f>IFERROR(T326/T446, "NA")</f>
        <v>0.2378387749</v>
      </c>
      <c r="V326" s="8"/>
      <c r="W326" s="17">
        <f t="shared" si="91"/>
        <v>-71987.35</v>
      </c>
      <c r="X326" s="18">
        <f>IFERROR(W326/W446, "NA")</f>
        <v>-4.107483781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377444.11</v>
      </c>
      <c r="AA326" s="18">
        <f>IFERROR(Z326/Z446, "NA")</f>
        <v>0.2638708836</v>
      </c>
      <c r="AB326" s="8"/>
      <c r="AC326" s="17">
        <f t="shared" si="92"/>
        <v>-62199.81</v>
      </c>
      <c r="AD326" s="18">
        <f>IFERROR(AC326/AC446, "NA")</f>
        <v>-0.467891312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>
        <f>IFERROR(B329/B446, "NA")</f>
        <v>0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10440.49</v>
      </c>
      <c r="C330" s="13">
        <f>IFERROR(B330/B446, "NA")</f>
        <v>0.05498365814</v>
      </c>
      <c r="D330" s="14"/>
      <c r="E330" s="12">
        <v>10440.49</v>
      </c>
      <c r="F330" s="13">
        <f>IFERROR(E330/E446, "NA")</f>
        <v>0.06046491398</v>
      </c>
      <c r="G330" s="14"/>
      <c r="H330" s="15">
        <f t="shared" si="93"/>
        <v>0</v>
      </c>
      <c r="I330" s="13">
        <f>IFERROR(H330/H446, "NA")</f>
        <v>0</v>
      </c>
      <c r="J330" s="14"/>
      <c r="K330" s="12">
        <v>10136.4</v>
      </c>
      <c r="L330" s="13">
        <f>IFERROR(K330/K446, "NA")</f>
        <v>0.06379636721</v>
      </c>
      <c r="M330" s="14"/>
      <c r="N330" s="15">
        <f t="shared" si="94"/>
        <v>-304.09</v>
      </c>
      <c r="O330" s="13">
        <f>IFERROR(N330/N446, "NA")</f>
        <v>-0.009810392842</v>
      </c>
      <c r="P330" s="14"/>
      <c r="Q330" s="12">
        <v>83523.92</v>
      </c>
      <c r="R330" s="13">
        <f>IFERROR(Q330/Q446, "NA")</f>
        <v>0.05342629379</v>
      </c>
      <c r="S330" s="14"/>
      <c r="T330" s="12">
        <v>83523.92</v>
      </c>
      <c r="U330" s="13">
        <f>IFERROR(T330/T446, "NA")</f>
        <v>0.05403201908</v>
      </c>
      <c r="V330" s="14"/>
      <c r="W330" s="15">
        <f t="shared" si="95"/>
        <v>0</v>
      </c>
      <c r="X330" s="13">
        <f>IFERROR(W330/W446, "NA")</f>
        <v>0</v>
      </c>
      <c r="Y330" s="14"/>
      <c r="Z330" s="12">
        <v>81091.2</v>
      </c>
      <c r="AA330" s="13">
        <f>IFERROR(Z330/Z446, "NA")</f>
        <v>0.05669079482</v>
      </c>
      <c r="AB330" s="14"/>
      <c r="AC330" s="15">
        <f t="shared" si="96"/>
        <v>-2432.72</v>
      </c>
      <c r="AD330" s="13">
        <f>IFERROR(AC330/AC446, "NA")</f>
        <v>-0.01829987186</v>
      </c>
    </row>
    <row r="331" ht="16.5" customHeight="1">
      <c r="A331" s="11" t="s">
        <v>305</v>
      </c>
      <c r="B331" s="12">
        <v>795.57</v>
      </c>
      <c r="C331" s="13">
        <f>IFERROR(B331/B446, "NA")</f>
        <v>0.004189779302</v>
      </c>
      <c r="D331" s="14"/>
      <c r="E331" s="12">
        <v>728.65</v>
      </c>
      <c r="F331" s="13">
        <f>IFERROR(E331/E446, "NA")</f>
        <v>0.004219893853</v>
      </c>
      <c r="G331" s="14"/>
      <c r="H331" s="15">
        <f t="shared" si="93"/>
        <v>-66.92</v>
      </c>
      <c r="I331" s="13">
        <f>IFERROR(H331/H446, "NA")</f>
        <v>-0.003887693753</v>
      </c>
      <c r="J331" s="14"/>
      <c r="K331" s="12">
        <v>728.65</v>
      </c>
      <c r="L331" s="13">
        <f>IFERROR(K331/K446, "NA")</f>
        <v>0.004585969671</v>
      </c>
      <c r="M331" s="14"/>
      <c r="N331" s="15">
        <f t="shared" si="94"/>
        <v>-66.92</v>
      </c>
      <c r="O331" s="13">
        <f>IFERROR(N331/N446, "NA")</f>
        <v>-0.002158938107</v>
      </c>
      <c r="P331" s="14"/>
      <c r="Q331" s="12">
        <v>5586.69</v>
      </c>
      <c r="R331" s="13">
        <f>IFERROR(Q331/Q446, "NA")</f>
        <v>0.003573540864</v>
      </c>
      <c r="S331" s="14"/>
      <c r="T331" s="12">
        <v>5829.2</v>
      </c>
      <c r="U331" s="13">
        <f>IFERROR(T331/T446, "NA")</f>
        <v>0.003770937064</v>
      </c>
      <c r="V331" s="14"/>
      <c r="W331" s="15">
        <f t="shared" si="95"/>
        <v>242.51</v>
      </c>
      <c r="X331" s="13">
        <f>IFERROR(W331/W446, "NA")</f>
        <v>0.01383723518</v>
      </c>
      <c r="Y331" s="14"/>
      <c r="Z331" s="12">
        <v>4915.47</v>
      </c>
      <c r="AA331" s="13">
        <f>IFERROR(Z331/Z446, "NA")</f>
        <v>0.003436401252</v>
      </c>
      <c r="AB331" s="14"/>
      <c r="AC331" s="15">
        <f t="shared" si="96"/>
        <v>-671.22</v>
      </c>
      <c r="AD331" s="13">
        <f>IFERROR(AC331/AC446, "NA")</f>
        <v>-0.005049179514</v>
      </c>
    </row>
    <row r="332" ht="16.5" hidden="1" customHeight="1">
      <c r="A332" s="11" t="s">
        <v>306</v>
      </c>
      <c r="B332" s="12">
        <v>0.0</v>
      </c>
      <c r="C332" s="13">
        <f>IFERROR(B332/B446, "NA")</f>
        <v>0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customHeight="1">
      <c r="A333" s="11" t="s">
        <v>307</v>
      </c>
      <c r="B333" s="12">
        <v>15.16</v>
      </c>
      <c r="C333" s="13">
        <f>IFERROR(B333/B446, "NA")</f>
        <v>0.00007983842304</v>
      </c>
      <c r="D333" s="14"/>
      <c r="E333" s="12">
        <v>133.0</v>
      </c>
      <c r="F333" s="13">
        <f>IFERROR(E333/E446, "NA")</f>
        <v>0.0007702544191</v>
      </c>
      <c r="G333" s="14"/>
      <c r="H333" s="15">
        <f t="shared" si="93"/>
        <v>117.84</v>
      </c>
      <c r="I333" s="13">
        <f>IFERROR(H333/H446, "NA")</f>
        <v>0.00684587316</v>
      </c>
      <c r="J333" s="14"/>
      <c r="K333" s="12">
        <v>15.16</v>
      </c>
      <c r="L333" s="13">
        <f>IFERROR(K333/K446, "NA")</f>
        <v>0.00009541384781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1470.9</v>
      </c>
      <c r="R333" s="13">
        <f>IFERROR(Q333/Q446, "NA")</f>
        <v>0.0009408650305</v>
      </c>
      <c r="S333" s="14"/>
      <c r="T333" s="12">
        <v>1064.0</v>
      </c>
      <c r="U333" s="13">
        <f>IFERROR(T333/T446, "NA")</f>
        <v>0.0006883066348</v>
      </c>
      <c r="V333" s="14"/>
      <c r="W333" s="15">
        <f t="shared" si="95"/>
        <v>-406.9</v>
      </c>
      <c r="X333" s="13">
        <f>IFERROR(W333/W446, "NA")</f>
        <v>-0.02321706731</v>
      </c>
      <c r="Y333" s="14"/>
      <c r="Z333" s="12">
        <v>1416.52</v>
      </c>
      <c r="AA333" s="13">
        <f>IFERROR(Z333/Z446, "NA")</f>
        <v>0.0009902880297</v>
      </c>
      <c r="AB333" s="14"/>
      <c r="AC333" s="15">
        <f t="shared" si="96"/>
        <v>-54.38</v>
      </c>
      <c r="AD333" s="13">
        <f>IFERROR(AC333/AC446, "NA")</f>
        <v>-0.000409067641</v>
      </c>
    </row>
    <row r="334" ht="16.5" customHeight="1">
      <c r="A334" s="11" t="s">
        <v>308</v>
      </c>
      <c r="B334" s="12">
        <v>964.14</v>
      </c>
      <c r="C334" s="13">
        <f>IFERROR(B334/B446, "NA")</f>
        <v>0.005077534116</v>
      </c>
      <c r="D334" s="14"/>
      <c r="E334" s="12">
        <v>964.0</v>
      </c>
      <c r="F334" s="13">
        <f>IFERROR(E334/E446, "NA")</f>
        <v>0.005582896692</v>
      </c>
      <c r="G334" s="14"/>
      <c r="H334" s="15">
        <f t="shared" si="93"/>
        <v>-0.14</v>
      </c>
      <c r="I334" s="13">
        <f>IFERROR(H334/H446, "NA")</f>
        <v>-0.000008133250529</v>
      </c>
      <c r="J334" s="14"/>
      <c r="K334" s="12">
        <v>964.14</v>
      </c>
      <c r="L334" s="13">
        <f>IFERROR(K334/K446, "NA")</f>
        <v>0.006068094144</v>
      </c>
      <c r="M334" s="14"/>
      <c r="N334" s="15">
        <f t="shared" si="94"/>
        <v>0</v>
      </c>
      <c r="O334" s="13">
        <f>IFERROR(N334/N446, "NA")</f>
        <v>0</v>
      </c>
      <c r="P334" s="14"/>
      <c r="Q334" s="12">
        <v>7168.9</v>
      </c>
      <c r="R334" s="13">
        <f>IFERROR(Q334/Q446, "NA")</f>
        <v>0.004585605627</v>
      </c>
      <c r="S334" s="14"/>
      <c r="T334" s="12">
        <v>7712.0</v>
      </c>
      <c r="U334" s="13">
        <f>IFERROR(T334/T446, "NA")</f>
        <v>0.004988929293</v>
      </c>
      <c r="V334" s="14"/>
      <c r="W334" s="15">
        <f t="shared" si="95"/>
        <v>543.1</v>
      </c>
      <c r="X334" s="13">
        <f>IFERROR(W334/W446, "NA")</f>
        <v>0.03098842285</v>
      </c>
      <c r="Y334" s="14"/>
      <c r="Z334" s="12">
        <v>7713.12</v>
      </c>
      <c r="AA334" s="13">
        <f>IFERROR(Z334/Z446, "NA")</f>
        <v>0.00539223619</v>
      </c>
      <c r="AB334" s="14"/>
      <c r="AC334" s="15">
        <f t="shared" si="96"/>
        <v>544.22</v>
      </c>
      <c r="AD334" s="13">
        <f>IFERROR(AC334/AC446, "NA")</f>
        <v>0.004093835814</v>
      </c>
    </row>
    <row r="335" ht="16.5" customHeight="1">
      <c r="A335" s="11" t="s">
        <v>309</v>
      </c>
      <c r="B335" s="12">
        <v>-803.92</v>
      </c>
      <c r="C335" s="13">
        <f>IFERROR(B335/B446, "NA")</f>
        <v>-0.004233753631</v>
      </c>
      <c r="D335" s="14"/>
      <c r="E335" s="12">
        <v>-803.92</v>
      </c>
      <c r="F335" s="13">
        <f>IFERROR(E335/E446, "NA")</f>
        <v>-0.004655811523</v>
      </c>
      <c r="G335" s="14"/>
      <c r="H335" s="15">
        <f t="shared" si="93"/>
        <v>0</v>
      </c>
      <c r="I335" s="13">
        <f>IFERROR(H335/H446, "NA")</f>
        <v>0</v>
      </c>
      <c r="J335" s="14"/>
      <c r="K335" s="12">
        <v>-780.5</v>
      </c>
      <c r="L335" s="13">
        <f>IFERROR(K335/K446, "NA")</f>
        <v>-0.004912302653</v>
      </c>
      <c r="M335" s="14"/>
      <c r="N335" s="15">
        <f t="shared" si="94"/>
        <v>23.42</v>
      </c>
      <c r="O335" s="13">
        <f>IFERROR(N335/N446, "NA")</f>
        <v>0.0007555638145</v>
      </c>
      <c r="P335" s="14"/>
      <c r="Q335" s="12">
        <v>-1607.84</v>
      </c>
      <c r="R335" s="13">
        <f>IFERROR(Q335/Q446, "NA")</f>
        <v>-0.00102845906</v>
      </c>
      <c r="S335" s="14"/>
      <c r="T335" s="12">
        <v>-1607.84</v>
      </c>
      <c r="U335" s="13">
        <f>IFERROR(T335/T446, "NA")</f>
        <v>-0.001040119304</v>
      </c>
      <c r="V335" s="14"/>
      <c r="W335" s="15">
        <f t="shared" si="95"/>
        <v>0</v>
      </c>
      <c r="X335" s="13">
        <f>IFERROR(W335/W446, "NA")</f>
        <v>0</v>
      </c>
      <c r="Y335" s="14"/>
      <c r="Z335" s="12">
        <v>-1561.0</v>
      </c>
      <c r="AA335" s="13">
        <f>IFERROR(Z335/Z446, "NA")</f>
        <v>-0.001091293885</v>
      </c>
      <c r="AB335" s="14"/>
      <c r="AC335" s="15">
        <f t="shared" si="96"/>
        <v>46.84</v>
      </c>
      <c r="AD335" s="13">
        <f>IFERROR(AC335/AC446, "NA")</f>
        <v>0.0003523488103</v>
      </c>
    </row>
    <row r="336" ht="16.5" customHeight="1">
      <c r="A336" s="11" t="s">
        <v>310</v>
      </c>
      <c r="B336" s="12">
        <v>3115.64</v>
      </c>
      <c r="C336" s="13">
        <f>IFERROR(B336/B446, "NA")</f>
        <v>0.0164081652</v>
      </c>
      <c r="D336" s="14"/>
      <c r="E336" s="12">
        <v>259.01</v>
      </c>
      <c r="F336" s="13">
        <f>IFERROR(E336/E446, "NA")</f>
        <v>0.001500027046</v>
      </c>
      <c r="G336" s="14"/>
      <c r="H336" s="15">
        <f t="shared" si="93"/>
        <v>-2856.63</v>
      </c>
      <c r="I336" s="13">
        <f>IFERROR(H336/H446, "NA")</f>
        <v>-0.1659549104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-3115.64</v>
      </c>
      <c r="O336" s="13">
        <f>IFERROR(N336/N446, "NA")</f>
        <v>-0.1005151513</v>
      </c>
      <c r="P336" s="14"/>
      <c r="Q336" s="12">
        <v>10983.88</v>
      </c>
      <c r="R336" s="13">
        <f>IFERROR(Q336/Q446, "NA")</f>
        <v>0.007025867558</v>
      </c>
      <c r="S336" s="14"/>
      <c r="T336" s="12">
        <v>2318.74</v>
      </c>
      <c r="U336" s="13">
        <f>IFERROR(T336/T446, "NA")</f>
        <v>0.001500003878</v>
      </c>
      <c r="V336" s="14"/>
      <c r="W336" s="15">
        <f t="shared" si="95"/>
        <v>-8665.14</v>
      </c>
      <c r="X336" s="13">
        <f>IFERROR(W336/W446, "NA")</f>
        <v>-0.4944191168</v>
      </c>
      <c r="Y336" s="14"/>
      <c r="Z336" s="12">
        <v>3309.62</v>
      </c>
      <c r="AA336" s="13">
        <f>IFERROR(Z336/Z446, "NA")</f>
        <v>0.002313752767</v>
      </c>
      <c r="AB336" s="14"/>
      <c r="AC336" s="15">
        <f t="shared" si="96"/>
        <v>-7674.26</v>
      </c>
      <c r="AD336" s="13">
        <f>IFERROR(AC336/AC446, "NA")</f>
        <v>-0.05772878695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>
        <f>IFERROR(B338/B446, "NA")</f>
        <v>0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3611.73</v>
      </c>
      <c r="C339" s="13">
        <f>IFERROR(B339/B446, "NA")</f>
        <v>0.019020767</v>
      </c>
      <c r="D339" s="14"/>
      <c r="E339" s="12">
        <v>3453.4</v>
      </c>
      <c r="F339" s="13">
        <f>IFERROR(E339/E446, "NA")</f>
        <v>0.01999997452</v>
      </c>
      <c r="G339" s="14"/>
      <c r="H339" s="15">
        <f t="shared" si="97"/>
        <v>-158.33</v>
      </c>
      <c r="I339" s="13">
        <f>IFERROR(H339/H446, "NA")</f>
        <v>-0.009198125402</v>
      </c>
      <c r="J339" s="14"/>
      <c r="K339" s="12">
        <v>3915.94</v>
      </c>
      <c r="L339" s="13">
        <f>IFERROR(K339/K446, "NA")</f>
        <v>0.02464610179</v>
      </c>
      <c r="M339" s="14"/>
      <c r="N339" s="15">
        <f t="shared" si="98"/>
        <v>304.21</v>
      </c>
      <c r="O339" s="13">
        <f>IFERROR(N339/N446, "NA")</f>
        <v>0.009814264219</v>
      </c>
      <c r="P339" s="14"/>
      <c r="Q339" s="12">
        <v>28586.33</v>
      </c>
      <c r="R339" s="13">
        <f>IFERROR(Q339/Q446, "NA")</f>
        <v>0.01828532072</v>
      </c>
      <c r="S339" s="14"/>
      <c r="T339" s="12">
        <v>30916.46</v>
      </c>
      <c r="U339" s="13">
        <f>IFERROR(T339/T446, "NA")</f>
        <v>0.02000000427</v>
      </c>
      <c r="V339" s="14"/>
      <c r="W339" s="15">
        <f t="shared" si="99"/>
        <v>2330.13</v>
      </c>
      <c r="X339" s="13">
        <f>IFERROR(W339/W446, "NA")</f>
        <v>0.1329535145</v>
      </c>
      <c r="Y339" s="14"/>
      <c r="Z339" s="12">
        <v>30671.53</v>
      </c>
      <c r="AA339" s="13">
        <f>IFERROR(Z339/Z446, "NA")</f>
        <v>0.02144244276</v>
      </c>
      <c r="AB339" s="14"/>
      <c r="AC339" s="15">
        <f t="shared" si="100"/>
        <v>2085.2</v>
      </c>
      <c r="AD339" s="13">
        <f>IFERROR(AC339/AC446, "NA")</f>
        <v>0.01568569042</v>
      </c>
    </row>
    <row r="340" ht="16.5" customHeight="1">
      <c r="A340" s="11" t="s">
        <v>313</v>
      </c>
      <c r="B340" s="12">
        <v>409.64</v>
      </c>
      <c r="C340" s="13">
        <f>IFERROR(B340/B446, "NA")</f>
        <v>0.002157322666</v>
      </c>
      <c r="D340" s="14"/>
      <c r="E340" s="12">
        <v>345.34</v>
      </c>
      <c r="F340" s="13">
        <f>IFERROR(E340/E446, "NA")</f>
        <v>0.001999997452</v>
      </c>
      <c r="G340" s="14"/>
      <c r="H340" s="15">
        <f t="shared" si="97"/>
        <v>-64.3</v>
      </c>
      <c r="I340" s="13">
        <f>IFERROR(H340/H446, "NA")</f>
        <v>-0.003735485779</v>
      </c>
      <c r="J340" s="14"/>
      <c r="K340" s="12">
        <v>388.26</v>
      </c>
      <c r="L340" s="13">
        <f>IFERROR(K340/K446, "NA")</f>
        <v>0.002443626685</v>
      </c>
      <c r="M340" s="14"/>
      <c r="N340" s="15">
        <f t="shared" si="98"/>
        <v>-21.38</v>
      </c>
      <c r="O340" s="13">
        <f>IFERROR(N340/N446, "NA")</f>
        <v>-0.0006897503994</v>
      </c>
      <c r="P340" s="14"/>
      <c r="Q340" s="12">
        <v>3241.97</v>
      </c>
      <c r="R340" s="13">
        <f>IFERROR(Q340/Q446, "NA")</f>
        <v>0.002073734586</v>
      </c>
      <c r="S340" s="14"/>
      <c r="T340" s="12">
        <v>3091.66</v>
      </c>
      <c r="U340" s="13">
        <f>IFERROR(T340/T446, "NA")</f>
        <v>0.002000009484</v>
      </c>
      <c r="V340" s="14"/>
      <c r="W340" s="15">
        <f t="shared" si="99"/>
        <v>-150.31</v>
      </c>
      <c r="X340" s="13">
        <f>IFERROR(W340/W446, "NA")</f>
        <v>-0.008576449712</v>
      </c>
      <c r="Y340" s="14"/>
      <c r="Z340" s="12">
        <v>2796.44</v>
      </c>
      <c r="AA340" s="13">
        <f>IFERROR(Z340/Z446, "NA")</f>
        <v>0.001954989028</v>
      </c>
      <c r="AB340" s="14"/>
      <c r="AC340" s="15">
        <f t="shared" si="100"/>
        <v>-445.53</v>
      </c>
      <c r="AD340" s="13">
        <f>IFERROR(AC340/AC446, "NA")</f>
        <v>-0.003351451013</v>
      </c>
    </row>
    <row r="341" ht="16.5" customHeight="1">
      <c r="A341" s="11" t="s">
        <v>314</v>
      </c>
      <c r="B341" s="12">
        <v>3256.64</v>
      </c>
      <c r="C341" s="13">
        <f>IFERROR(B341/B446, "NA")</f>
        <v>0.01715072573</v>
      </c>
      <c r="D341" s="14"/>
      <c r="E341" s="12">
        <v>690.68</v>
      </c>
      <c r="F341" s="13">
        <f>IFERROR(E341/E446, "NA")</f>
        <v>0.003999994904</v>
      </c>
      <c r="G341" s="14"/>
      <c r="H341" s="15">
        <f t="shared" si="97"/>
        <v>-2565.96</v>
      </c>
      <c r="I341" s="13">
        <f>IFERROR(H341/H446, "NA")</f>
        <v>-0.1490685395</v>
      </c>
      <c r="J341" s="14"/>
      <c r="K341" s="12">
        <v>2079.67</v>
      </c>
      <c r="L341" s="13">
        <f>IFERROR(K341/K446, "NA")</f>
        <v>0.01308900507</v>
      </c>
      <c r="M341" s="14"/>
      <c r="N341" s="15">
        <f t="shared" si="98"/>
        <v>-1176.97</v>
      </c>
      <c r="O341" s="13">
        <f>IFERROR(N341/N446, "NA")</f>
        <v>-0.03797079175</v>
      </c>
      <c r="P341" s="14"/>
      <c r="Q341" s="12">
        <v>12412.25</v>
      </c>
      <c r="R341" s="13">
        <f>IFERROR(Q341/Q446, "NA")</f>
        <v>0.007939528163</v>
      </c>
      <c r="S341" s="14"/>
      <c r="T341" s="12">
        <v>6183.3</v>
      </c>
      <c r="U341" s="13">
        <f>IFERROR(T341/T446, "NA")</f>
        <v>0.004000006029</v>
      </c>
      <c r="V341" s="14"/>
      <c r="W341" s="15">
        <f t="shared" si="99"/>
        <v>-6228.95</v>
      </c>
      <c r="X341" s="13">
        <f>IFERROR(W341/W446, "NA")</f>
        <v>-0.3554139873</v>
      </c>
      <c r="Y341" s="14"/>
      <c r="Z341" s="12">
        <v>6227.51</v>
      </c>
      <c r="AA341" s="13">
        <f>IFERROR(Z341/Z446, "NA")</f>
        <v>0.004353647395</v>
      </c>
      <c r="AB341" s="14"/>
      <c r="AC341" s="15">
        <f t="shared" si="100"/>
        <v>-6184.74</v>
      </c>
      <c r="AD341" s="13">
        <f>IFERROR(AC341/AC446, "NA")</f>
        <v>-0.0465240346</v>
      </c>
    </row>
    <row r="342" ht="16.5" customHeight="1">
      <c r="A342" s="11" t="s">
        <v>315</v>
      </c>
      <c r="B342" s="12">
        <v>395.63</v>
      </c>
      <c r="C342" s="13">
        <f>IFERROR(B342/B446, "NA")</f>
        <v>0.002083540588</v>
      </c>
      <c r="D342" s="14"/>
      <c r="E342" s="12">
        <v>345.34</v>
      </c>
      <c r="F342" s="13">
        <f>IFERROR(E342/E446, "NA")</f>
        <v>0.001999997452</v>
      </c>
      <c r="G342" s="14"/>
      <c r="H342" s="15">
        <f t="shared" si="97"/>
        <v>-50.29</v>
      </c>
      <c r="I342" s="13">
        <f>IFERROR(H342/H446, "NA")</f>
        <v>-0.002921579779</v>
      </c>
      <c r="J342" s="14"/>
      <c r="K342" s="12">
        <v>380.17</v>
      </c>
      <c r="L342" s="13">
        <f>IFERROR(K342/K446, "NA")</f>
        <v>0.002392709929</v>
      </c>
      <c r="M342" s="14"/>
      <c r="N342" s="15">
        <f t="shared" si="98"/>
        <v>-15.46</v>
      </c>
      <c r="O342" s="13">
        <f>IFERROR(N342/N446, "NA")</f>
        <v>-0.0004987624497</v>
      </c>
      <c r="P342" s="14"/>
      <c r="Q342" s="12">
        <v>3134.12</v>
      </c>
      <c r="R342" s="13">
        <f>IFERROR(Q342/Q446, "NA")</f>
        <v>0.002004748052</v>
      </c>
      <c r="S342" s="14"/>
      <c r="T342" s="12">
        <v>3091.66</v>
      </c>
      <c r="U342" s="13">
        <f>IFERROR(T342/T446, "NA")</f>
        <v>0.002000009484</v>
      </c>
      <c r="V342" s="14"/>
      <c r="W342" s="15">
        <f t="shared" si="99"/>
        <v>-42.46</v>
      </c>
      <c r="X342" s="13">
        <f>IFERROR(W342/W446, "NA")</f>
        <v>-0.002422700118</v>
      </c>
      <c r="Y342" s="14"/>
      <c r="Z342" s="12">
        <v>3041.36</v>
      </c>
      <c r="AA342" s="13">
        <f>IFERROR(Z342/Z446, "NA")</f>
        <v>0.002126212409</v>
      </c>
      <c r="AB342" s="14"/>
      <c r="AC342" s="15">
        <f t="shared" si="100"/>
        <v>-92.76</v>
      </c>
      <c r="AD342" s="13">
        <f>IFERROR(AC342/AC446, "NA")</f>
        <v>-0.0006977770205</v>
      </c>
    </row>
    <row r="343" ht="16.5" customHeight="1">
      <c r="A343" s="16" t="s">
        <v>316</v>
      </c>
      <c r="B343" s="17">
        <f>IFERROR(B338+B339+B340+B341+B342, "NA")</f>
        <v>7673.64</v>
      </c>
      <c r="C343" s="18">
        <f>IFERROR(B343/B446, "NA")</f>
        <v>0.04041235598</v>
      </c>
      <c r="D343" s="8"/>
      <c r="E343" s="17">
        <f>IFERROR(E338+E339+E340+E341+E342, "NA")</f>
        <v>4834.76</v>
      </c>
      <c r="F343" s="18">
        <f>IFERROR(E343/E446, "NA")</f>
        <v>0.02799996433</v>
      </c>
      <c r="G343" s="8"/>
      <c r="H343" s="17">
        <f t="shared" si="97"/>
        <v>-2838.88</v>
      </c>
      <c r="I343" s="18">
        <f>IFERROR(H343/H446, "NA")</f>
        <v>-0.1649237304</v>
      </c>
      <c r="J343" s="8"/>
      <c r="K343" s="17">
        <f>IFERROR(K338+K339+K340+K341+K342, "NA")</f>
        <v>6764.04</v>
      </c>
      <c r="L343" s="18">
        <f>IFERROR(K343/K446, "NA")</f>
        <v>0.04257144348</v>
      </c>
      <c r="M343" s="8"/>
      <c r="N343" s="17">
        <f t="shared" si="98"/>
        <v>-909.6</v>
      </c>
      <c r="O343" s="18">
        <f>IFERROR(N343/N446, "NA")</f>
        <v>-0.02934504038</v>
      </c>
      <c r="P343" s="8"/>
      <c r="Q343" s="17">
        <f>IFERROR(Q338+Q339+Q340+Q341+Q342, "NA")</f>
        <v>47374.67</v>
      </c>
      <c r="R343" s="18">
        <f>IFERROR(Q343/Q446, "NA")</f>
        <v>0.03030333152</v>
      </c>
      <c r="S343" s="8"/>
      <c r="T343" s="17">
        <f>IFERROR(T338+T339+T340+T341+T342, "NA")</f>
        <v>43283.08</v>
      </c>
      <c r="U343" s="18">
        <f>IFERROR(T343/T446, "NA")</f>
        <v>0.02800002927</v>
      </c>
      <c r="V343" s="8"/>
      <c r="W343" s="17">
        <f t="shared" si="99"/>
        <v>-4091.59</v>
      </c>
      <c r="X343" s="18">
        <f>IFERROR(W343/W446, "NA")</f>
        <v>-0.2334596226</v>
      </c>
      <c r="Y343" s="8"/>
      <c r="Z343" s="17">
        <f>IFERROR(Z338+Z339+Z340+Z341+Z342, "NA")</f>
        <v>42736.84</v>
      </c>
      <c r="AA343" s="18">
        <f>IFERROR(Z343/Z446, "NA")</f>
        <v>0.02987729159</v>
      </c>
      <c r="AB343" s="8"/>
      <c r="AC343" s="17">
        <f t="shared" si="100"/>
        <v>-4637.83</v>
      </c>
      <c r="AD343" s="18">
        <f>IFERROR(AC343/AC446, "NA")</f>
        <v>-0.03488757222</v>
      </c>
    </row>
    <row r="344" ht="16.5" customHeight="1">
      <c r="A344" s="16" t="s">
        <v>317</v>
      </c>
      <c r="B344" s="17">
        <f>IFERROR(B329+B330+B331+B332+B333+B334+B335+B336+B338+B339+B340+B341+B342, "NA")</f>
        <v>22200.72</v>
      </c>
      <c r="C344" s="18">
        <f>IFERROR(B344/B446, "NA")</f>
        <v>0.1169175775</v>
      </c>
      <c r="D344" s="8"/>
      <c r="E344" s="17">
        <f>IFERROR(E329+E330+E331+E332+E333+E334+E335+E336+E338+E339+E340+E341+E342, "NA")</f>
        <v>16555.99</v>
      </c>
      <c r="F344" s="18">
        <f>IFERROR(E344/E446, "NA")</f>
        <v>0.0958821388</v>
      </c>
      <c r="G344" s="8"/>
      <c r="H344" s="17">
        <f t="shared" si="97"/>
        <v>-5644.73</v>
      </c>
      <c r="I344" s="18">
        <f>IFERROR(H344/H446, "NA")</f>
        <v>-0.3279285947</v>
      </c>
      <c r="J344" s="8"/>
      <c r="K344" s="17">
        <f>IFERROR(K329+K330+K331+K332+K333+K334+K335+K336+K338+K339+K340+K341+K342, "NA")</f>
        <v>17827.89</v>
      </c>
      <c r="L344" s="18">
        <f>IFERROR(K344/K446, "NA")</f>
        <v>0.1122049857</v>
      </c>
      <c r="M344" s="8"/>
      <c r="N344" s="17">
        <f t="shared" si="98"/>
        <v>-4372.83</v>
      </c>
      <c r="O344" s="18">
        <f>IFERROR(N344/N446, "NA")</f>
        <v>-0.1410739588</v>
      </c>
      <c r="P344" s="8"/>
      <c r="Q344" s="17">
        <f>IFERROR(Q329+Q330+Q331+Q332+Q333+Q334+Q335+Q336+Q338+Q339+Q340+Q341+Q342, "NA")</f>
        <v>154501.12</v>
      </c>
      <c r="R344" s="18">
        <f>IFERROR(Q344/Q446, "NA")</f>
        <v>0.09882704533</v>
      </c>
      <c r="S344" s="8"/>
      <c r="T344" s="17">
        <f>IFERROR(T329+T330+T331+T332+T333+T334+T335+T336+T338+T339+T340+T341+T342, "NA")</f>
        <v>142123.1</v>
      </c>
      <c r="U344" s="18">
        <f>IFERROR(T344/T446, "NA")</f>
        <v>0.09194010591</v>
      </c>
      <c r="V344" s="8"/>
      <c r="W344" s="17">
        <f t="shared" si="99"/>
        <v>-12378.02</v>
      </c>
      <c r="X344" s="18">
        <f>IFERROR(W344/W446, "NA")</f>
        <v>-0.7062701488</v>
      </c>
      <c r="Y344" s="8"/>
      <c r="Z344" s="17">
        <f>IFERROR(Z329+Z330+Z331+Z332+Z333+Z334+Z335+Z336+Z338+Z339+Z340+Z341+Z342, "NA")</f>
        <v>139621.77</v>
      </c>
      <c r="AA344" s="18">
        <f>IFERROR(Z344/Z446, "NA")</f>
        <v>0.09760947076</v>
      </c>
      <c r="AB344" s="8"/>
      <c r="AC344" s="17">
        <f t="shared" si="100"/>
        <v>-14879.35</v>
      </c>
      <c r="AD344" s="18">
        <f>IFERROR(AC344/AC446, "NA")</f>
        <v>-0.1119282936</v>
      </c>
    </row>
    <row r="345" ht="16.5" customHeight="1">
      <c r="A345" s="16" t="s">
        <v>318</v>
      </c>
      <c r="B345" s="17">
        <f>IFERROR(B329+B330+B331+B332+B333+B334+B335+B336+B338+B339+B340+B341+B342, "NA")</f>
        <v>22200.72</v>
      </c>
      <c r="C345" s="18">
        <f>IFERROR(B345/B446, "NA")</f>
        <v>0.1169175775</v>
      </c>
      <c r="D345" s="8"/>
      <c r="E345" s="17">
        <f>IFERROR(E329+E330+E331+E332+E333+E334+E335+E336+E338+E339+E340+E341+E342, "NA")</f>
        <v>16555.99</v>
      </c>
      <c r="F345" s="18">
        <f>IFERROR(E345/E446, "NA")</f>
        <v>0.0958821388</v>
      </c>
      <c r="G345" s="8"/>
      <c r="H345" s="17">
        <f t="shared" si="97"/>
        <v>-5644.73</v>
      </c>
      <c r="I345" s="18">
        <f>IFERROR(H345/H446, "NA")</f>
        <v>-0.3279285947</v>
      </c>
      <c r="J345" s="8"/>
      <c r="K345" s="17">
        <f>IFERROR(K329+K330+K331+K332+K333+K334+K335+K336+K338+K339+K340+K341+K342, "NA")</f>
        <v>17827.89</v>
      </c>
      <c r="L345" s="18">
        <f>IFERROR(K345/K446, "NA")</f>
        <v>0.1122049857</v>
      </c>
      <c r="M345" s="8"/>
      <c r="N345" s="17">
        <f t="shared" si="98"/>
        <v>-4372.83</v>
      </c>
      <c r="O345" s="18">
        <f>IFERROR(N345/N446, "NA")</f>
        <v>-0.1410739588</v>
      </c>
      <c r="P345" s="8"/>
      <c r="Q345" s="17">
        <f>IFERROR(Q329+Q330+Q331+Q332+Q333+Q334+Q335+Q336+Q338+Q339+Q340+Q341+Q342, "NA")</f>
        <v>154501.12</v>
      </c>
      <c r="R345" s="18">
        <f>IFERROR(Q345/Q446, "NA")</f>
        <v>0.09882704533</v>
      </c>
      <c r="S345" s="8"/>
      <c r="T345" s="17">
        <f>IFERROR(T329+T330+T331+T332+T333+T334+T335+T336+T338+T339+T340+T341+T342, "NA")</f>
        <v>142123.1</v>
      </c>
      <c r="U345" s="18">
        <f>IFERROR(T345/T446, "NA")</f>
        <v>0.09194010591</v>
      </c>
      <c r="V345" s="8"/>
      <c r="W345" s="17">
        <f t="shared" si="99"/>
        <v>-12378.02</v>
      </c>
      <c r="X345" s="18">
        <f>IFERROR(W345/W446, "NA")</f>
        <v>-0.7062701488</v>
      </c>
      <c r="Y345" s="8"/>
      <c r="Z345" s="17">
        <f>IFERROR(Z329+Z330+Z331+Z332+Z333+Z334+Z335+Z336+Z338+Z339+Z340+Z341+Z342, "NA")</f>
        <v>139621.77</v>
      </c>
      <c r="AA345" s="18">
        <f>IFERROR(Z345/Z446, "NA")</f>
        <v>0.09760947076</v>
      </c>
      <c r="AB345" s="8"/>
      <c r="AC345" s="17">
        <f t="shared" si="100"/>
        <v>-14879.35</v>
      </c>
      <c r="AD345" s="18">
        <f>IFERROR(AC345/AC446, "NA")</f>
        <v>-0.1119282936</v>
      </c>
    </row>
    <row r="346" ht="16.5" customHeight="1">
      <c r="A346" s="19" t="s">
        <v>319</v>
      </c>
      <c r="B346" s="20">
        <f>IFERROR(B198-B326-B345, "NA")</f>
        <v>23036.49</v>
      </c>
      <c r="C346" s="21">
        <f>IFERROR(B346/B446, "NA")</f>
        <v>0.1213190656</v>
      </c>
      <c r="D346" s="22"/>
      <c r="E346" s="20">
        <f>IFERROR(E198-E326-E345, "NA")</f>
        <v>27165.49</v>
      </c>
      <c r="F346" s="21">
        <f>IFERROR(E346/E446, "NA")</f>
        <v>0.157325855</v>
      </c>
      <c r="G346" s="22"/>
      <c r="H346" s="20">
        <f>IFERROR(B346-E346, "NA")</f>
        <v>-4129</v>
      </c>
      <c r="I346" s="21">
        <f>IFERROR(H346/H446, "NA")</f>
        <v>-0.239872796</v>
      </c>
      <c r="J346" s="22"/>
      <c r="K346" s="20">
        <f>IFERROR(K198-K326-K345, "NA")</f>
        <v>19316.61</v>
      </c>
      <c r="L346" s="21">
        <f>IFERROR(K346/K446, "NA")</f>
        <v>0.1215746759</v>
      </c>
      <c r="M346" s="22"/>
      <c r="N346" s="20">
        <f>IFERROR(B346-K346, "NA")</f>
        <v>3719.88</v>
      </c>
      <c r="O346" s="21">
        <f>IFERROR(N346/N446, "NA")</f>
        <v>0.1200088267</v>
      </c>
      <c r="P346" s="22"/>
      <c r="Q346" s="20">
        <f>IFERROR(Q198-Q326-Q345, "NA")</f>
        <v>211320.96</v>
      </c>
      <c r="R346" s="21">
        <f>IFERROR(Q346/Q446, "NA")</f>
        <v>0.1351720045</v>
      </c>
      <c r="S346" s="22"/>
      <c r="T346" s="20">
        <f>IFERROR(T198-T326-T345, "NA")</f>
        <v>265152.32</v>
      </c>
      <c r="U346" s="21">
        <f>IFERROR(T346/T446, "NA")</f>
        <v>0.1715282905</v>
      </c>
      <c r="V346" s="22"/>
      <c r="W346" s="20">
        <f>IFERROR(Q346-T346, "NA")</f>
        <v>-53831.36</v>
      </c>
      <c r="X346" s="21">
        <f>IFERROR(W346/W446, "NA")</f>
        <v>-3.071531847</v>
      </c>
      <c r="Y346" s="22"/>
      <c r="Z346" s="20">
        <f>IFERROR(Z198-Z326-Z345, "NA")</f>
        <v>165360.7</v>
      </c>
      <c r="AA346" s="21">
        <f>IFERROR(Z346/Z446, "NA")</f>
        <v>0.1156035367</v>
      </c>
      <c r="AB346" s="22"/>
      <c r="AC346" s="20">
        <f>IFERROR(Q346-Z346, "NA")</f>
        <v>45960.26</v>
      </c>
      <c r="AD346" s="21">
        <f>IFERROR(AC346/AC446, "NA")</f>
        <v>0.3457310617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>
        <f>IFERROR(B348/B446, "NA")</f>
        <v>0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>
        <f>IFERROR(B350/B446, "NA")</f>
        <v>0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hidden="1" customHeight="1">
      <c r="A351" s="11" t="s">
        <v>323</v>
      </c>
      <c r="B351" s="12">
        <v>0.0</v>
      </c>
      <c r="C351" s="13">
        <f>IFERROR(B351/B446, "NA")</f>
        <v>0</v>
      </c>
      <c r="D351" s="14"/>
      <c r="E351" s="12">
        <v>0.0</v>
      </c>
      <c r="F351" s="13">
        <f>IFERROR(E351/E446, "NA")</f>
        <v>0</v>
      </c>
      <c r="G351" s="14"/>
      <c r="H351" s="15">
        <f t="shared" si="101"/>
        <v>0</v>
      </c>
      <c r="I351" s="13">
        <f>IFERROR(H351/H446, "NA")</f>
        <v>0</v>
      </c>
      <c r="J351" s="14"/>
      <c r="K351" s="12">
        <v>0.0</v>
      </c>
      <c r="L351" s="13">
        <f>IFERROR(K351/K446, "NA")</f>
        <v>0</v>
      </c>
      <c r="M351" s="14"/>
      <c r="N351" s="15">
        <f t="shared" si="102"/>
        <v>0</v>
      </c>
      <c r="O351" s="13">
        <f>IFERROR(N351/N446, "NA")</f>
        <v>0</v>
      </c>
      <c r="P351" s="14"/>
      <c r="Q351" s="12">
        <v>0.0</v>
      </c>
      <c r="R351" s="13">
        <f>IFERROR(Q351/Q446, "NA")</f>
        <v>0</v>
      </c>
      <c r="S351" s="14"/>
      <c r="T351" s="12">
        <v>0.0</v>
      </c>
      <c r="U351" s="13">
        <f>IFERROR(T351/T446, "NA")</f>
        <v>0</v>
      </c>
      <c r="V351" s="14"/>
      <c r="W351" s="15">
        <f t="shared" si="103"/>
        <v>0</v>
      </c>
      <c r="X351" s="13">
        <f>IFERROR(W351/W446, "NA")</f>
        <v>0</v>
      </c>
      <c r="Y351" s="14"/>
      <c r="Z351" s="12">
        <v>0.0</v>
      </c>
      <c r="AA351" s="13">
        <f>IFERROR(Z351/Z446, "NA")</f>
        <v>0</v>
      </c>
      <c r="AB351" s="14"/>
      <c r="AC351" s="15">
        <f t="shared" si="104"/>
        <v>0</v>
      </c>
      <c r="AD351" s="13">
        <f>IFERROR(AC351/AC446, "NA")</f>
        <v>0</v>
      </c>
    </row>
    <row r="352" ht="16.5" hidden="1" customHeight="1">
      <c r="A352" s="11" t="s">
        <v>324</v>
      </c>
      <c r="B352" s="12">
        <v>0.0</v>
      </c>
      <c r="C352" s="13">
        <f>IFERROR(B352/B446, "NA")</f>
        <v>0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hidden="1" customHeight="1">
      <c r="A353" s="11" t="s">
        <v>325</v>
      </c>
      <c r="B353" s="12">
        <v>0.0</v>
      </c>
      <c r="C353" s="13">
        <f>IFERROR(B353/B446, "NA")</f>
        <v>0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0.0</v>
      </c>
      <c r="U353" s="13">
        <f>IFERROR(T353/T446, "NA")</f>
        <v>0</v>
      </c>
      <c r="V353" s="14"/>
      <c r="W353" s="15">
        <f t="shared" si="103"/>
        <v>0</v>
      </c>
      <c r="X353" s="13">
        <f>IFERROR(W353/W446, "NA")</f>
        <v>0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hidden="1" customHeight="1">
      <c r="A354" s="11" t="s">
        <v>326</v>
      </c>
      <c r="B354" s="12">
        <v>0.0</v>
      </c>
      <c r="C354" s="13">
        <f>IFERROR(B354/B446, "NA")</f>
        <v>0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0.0</v>
      </c>
      <c r="L354" s="13">
        <f>IFERROR(K354/K446, "NA")</f>
        <v>0</v>
      </c>
      <c r="M354" s="14"/>
      <c r="N354" s="15">
        <f t="shared" si="102"/>
        <v>0</v>
      </c>
      <c r="O354" s="13">
        <f>IFERROR(N354/N446, "NA")</f>
        <v>0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0.0</v>
      </c>
      <c r="AA354" s="13">
        <f>IFERROR(Z354/Z446, "NA")</f>
        <v>0</v>
      </c>
      <c r="AB354" s="14"/>
      <c r="AC354" s="15">
        <f t="shared" si="104"/>
        <v>0</v>
      </c>
      <c r="AD354" s="13">
        <f>IFERROR(AC354/AC446, "NA")</f>
        <v>0</v>
      </c>
    </row>
    <row r="355" ht="16.5" hidden="1" customHeight="1">
      <c r="A355" s="11" t="s">
        <v>327</v>
      </c>
      <c r="B355" s="12">
        <v>0.0</v>
      </c>
      <c r="C355" s="13">
        <f>IFERROR(B355/B446, "NA")</f>
        <v>0</v>
      </c>
      <c r="D355" s="14"/>
      <c r="E355" s="12">
        <v>0.0</v>
      </c>
      <c r="F355" s="13">
        <f>IFERROR(E355/E446, "NA")</f>
        <v>0</v>
      </c>
      <c r="G355" s="14"/>
      <c r="H355" s="15">
        <f t="shared" si="101"/>
        <v>0</v>
      </c>
      <c r="I355" s="13">
        <f>IFERROR(H355/H446, "NA")</f>
        <v>0</v>
      </c>
      <c r="J355" s="14"/>
      <c r="K355" s="12">
        <v>0.0</v>
      </c>
      <c r="L355" s="13">
        <f>IFERROR(K355/K446, "NA")</f>
        <v>0</v>
      </c>
      <c r="M355" s="14"/>
      <c r="N355" s="15">
        <f t="shared" si="102"/>
        <v>0</v>
      </c>
      <c r="O355" s="13">
        <f>IFERROR(N355/N446, "NA")</f>
        <v>0</v>
      </c>
      <c r="P355" s="14"/>
      <c r="Q355" s="12">
        <v>0.0</v>
      </c>
      <c r="R355" s="13">
        <f>IFERROR(Q355/Q446, "NA")</f>
        <v>0</v>
      </c>
      <c r="S355" s="14"/>
      <c r="T355" s="12">
        <v>0.0</v>
      </c>
      <c r="U355" s="13">
        <f>IFERROR(T355/T446, "NA")</f>
        <v>0</v>
      </c>
      <c r="V355" s="14"/>
      <c r="W355" s="15">
        <f t="shared" si="103"/>
        <v>0</v>
      </c>
      <c r="X355" s="13">
        <f>IFERROR(W355/W446, "NA")</f>
        <v>0</v>
      </c>
      <c r="Y355" s="14"/>
      <c r="Z355" s="12">
        <v>0.0</v>
      </c>
      <c r="AA355" s="13">
        <f>IFERROR(Z355/Z446, "NA")</f>
        <v>0</v>
      </c>
      <c r="AB355" s="14"/>
      <c r="AC355" s="15">
        <f t="shared" si="104"/>
        <v>0</v>
      </c>
      <c r="AD355" s="13">
        <f>IFERROR(AC355/AC446, "NA")</f>
        <v>0</v>
      </c>
    </row>
    <row r="356" ht="16.5" hidden="1" customHeight="1">
      <c r="A356" s="11" t="s">
        <v>328</v>
      </c>
      <c r="B356" s="12">
        <v>0.0</v>
      </c>
      <c r="C356" s="13">
        <f>IFERROR(B356/B446, "NA")</f>
        <v>0</v>
      </c>
      <c r="D356" s="14"/>
      <c r="E356" s="12">
        <v>0.0</v>
      </c>
      <c r="F356" s="13">
        <f>IFERROR(E356/E446, "NA")</f>
        <v>0</v>
      </c>
      <c r="G356" s="14"/>
      <c r="H356" s="15">
        <f t="shared" si="101"/>
        <v>0</v>
      </c>
      <c r="I356" s="13">
        <f>IFERROR(H356/H446, "NA")</f>
        <v>0</v>
      </c>
      <c r="J356" s="14"/>
      <c r="K356" s="12">
        <v>0.0</v>
      </c>
      <c r="L356" s="13">
        <f>IFERROR(K356/K446, "NA")</f>
        <v>0</v>
      </c>
      <c r="M356" s="14"/>
      <c r="N356" s="15">
        <f t="shared" si="102"/>
        <v>0</v>
      </c>
      <c r="O356" s="13">
        <f>IFERROR(N356/N446, "NA")</f>
        <v>0</v>
      </c>
      <c r="P356" s="14"/>
      <c r="Q356" s="12">
        <v>0.0</v>
      </c>
      <c r="R356" s="13">
        <f>IFERROR(Q356/Q446, "NA")</f>
        <v>0</v>
      </c>
      <c r="S356" s="14"/>
      <c r="T356" s="12">
        <v>0.0</v>
      </c>
      <c r="U356" s="13">
        <f>IFERROR(T356/T446, "NA")</f>
        <v>0</v>
      </c>
      <c r="V356" s="14"/>
      <c r="W356" s="15">
        <f t="shared" si="103"/>
        <v>0</v>
      </c>
      <c r="X356" s="13">
        <f>IFERROR(W356/W446, "NA")</f>
        <v>0</v>
      </c>
      <c r="Y356" s="14"/>
      <c r="Z356" s="12">
        <v>0.0</v>
      </c>
      <c r="AA356" s="13">
        <f>IFERROR(Z356/Z446, "NA")</f>
        <v>0</v>
      </c>
      <c r="AB356" s="14"/>
      <c r="AC356" s="15">
        <f t="shared" si="104"/>
        <v>0</v>
      </c>
      <c r="AD356" s="13">
        <f>IFERROR(AC356/AC446, "NA")</f>
        <v>0</v>
      </c>
    </row>
    <row r="357" ht="16.5" hidden="1" customHeight="1">
      <c r="A357" s="11" t="s">
        <v>329</v>
      </c>
      <c r="B357" s="12">
        <v>0.0</v>
      </c>
      <c r="C357" s="13">
        <f>IFERROR(B357/B446, "NA")</f>
        <v>0</v>
      </c>
      <c r="D357" s="14"/>
      <c r="E357" s="12">
        <v>0.0</v>
      </c>
      <c r="F357" s="13">
        <f>IFERROR(E357/E446, "NA")</f>
        <v>0</v>
      </c>
      <c r="G357" s="14"/>
      <c r="H357" s="15">
        <f t="shared" si="101"/>
        <v>0</v>
      </c>
      <c r="I357" s="13">
        <f>IFERROR(H357/H446, "NA")</f>
        <v>0</v>
      </c>
      <c r="J357" s="14"/>
      <c r="K357" s="12">
        <v>0.0</v>
      </c>
      <c r="L357" s="13">
        <f>IFERROR(K357/K446, "NA")</f>
        <v>0</v>
      </c>
      <c r="M357" s="14"/>
      <c r="N357" s="15">
        <f t="shared" si="102"/>
        <v>0</v>
      </c>
      <c r="O357" s="13">
        <f>IFERROR(N357/N446, "NA")</f>
        <v>0</v>
      </c>
      <c r="P357" s="14"/>
      <c r="Q357" s="12">
        <v>0.0</v>
      </c>
      <c r="R357" s="13">
        <f>IFERROR(Q357/Q446, "NA")</f>
        <v>0</v>
      </c>
      <c r="S357" s="14"/>
      <c r="T357" s="12">
        <v>0.0</v>
      </c>
      <c r="U357" s="13">
        <f>IFERROR(T357/T446, "NA")</f>
        <v>0</v>
      </c>
      <c r="V357" s="14"/>
      <c r="W357" s="15">
        <f t="shared" si="103"/>
        <v>0</v>
      </c>
      <c r="X357" s="13">
        <f>IFERROR(W357/W446, "NA")</f>
        <v>0</v>
      </c>
      <c r="Y357" s="14"/>
      <c r="Z357" s="12">
        <v>0.0</v>
      </c>
      <c r="AA357" s="13">
        <f>IFERROR(Z357/Z446, "NA")</f>
        <v>0</v>
      </c>
      <c r="AB357" s="14"/>
      <c r="AC357" s="15">
        <f t="shared" si="104"/>
        <v>0</v>
      </c>
      <c r="AD357" s="13">
        <f>IFERROR(AC357/AC446, "NA")</f>
        <v>0</v>
      </c>
    </row>
    <row r="358" ht="16.5" hidden="1" customHeight="1">
      <c r="A358" s="11" t="s">
        <v>330</v>
      </c>
      <c r="B358" s="12">
        <v>0.0</v>
      </c>
      <c r="C358" s="13">
        <f>IFERROR(B358/B446, "NA")</f>
        <v>0</v>
      </c>
      <c r="D358" s="14"/>
      <c r="E358" s="12">
        <v>0.0</v>
      </c>
      <c r="F358" s="13">
        <f>IFERROR(E358/E446, "NA")</f>
        <v>0</v>
      </c>
      <c r="G358" s="14"/>
      <c r="H358" s="15">
        <f t="shared" si="101"/>
        <v>0</v>
      </c>
      <c r="I358" s="13">
        <f>IFERROR(H358/H446, "NA")</f>
        <v>0</v>
      </c>
      <c r="J358" s="14"/>
      <c r="K358" s="12">
        <v>0.0</v>
      </c>
      <c r="L358" s="13">
        <f>IFERROR(K358/K446, "NA")</f>
        <v>0</v>
      </c>
      <c r="M358" s="14"/>
      <c r="N358" s="15">
        <f t="shared" si="102"/>
        <v>0</v>
      </c>
      <c r="O358" s="13">
        <f>IFERROR(N358/N446, "NA")</f>
        <v>0</v>
      </c>
      <c r="P358" s="14"/>
      <c r="Q358" s="12">
        <v>0.0</v>
      </c>
      <c r="R358" s="13">
        <f>IFERROR(Q358/Q446, "NA")</f>
        <v>0</v>
      </c>
      <c r="S358" s="14"/>
      <c r="T358" s="12">
        <v>0.0</v>
      </c>
      <c r="U358" s="13">
        <f>IFERROR(T358/T446, "NA")</f>
        <v>0</v>
      </c>
      <c r="V358" s="14"/>
      <c r="W358" s="15">
        <f t="shared" si="103"/>
        <v>0</v>
      </c>
      <c r="X358" s="13">
        <f>IFERROR(W358/W446, "NA")</f>
        <v>0</v>
      </c>
      <c r="Y358" s="14"/>
      <c r="Z358" s="12">
        <v>0.0</v>
      </c>
      <c r="AA358" s="13">
        <f>IFERROR(Z358/Z446, "NA")</f>
        <v>0</v>
      </c>
      <c r="AB358" s="14"/>
      <c r="AC358" s="15">
        <f t="shared" si="104"/>
        <v>0</v>
      </c>
      <c r="AD358" s="13">
        <f>IFERROR(AC358/AC446, "NA")</f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>
        <f>IFERROR(B359/B446, "NA")</f>
        <v>0</v>
      </c>
      <c r="D359" s="8"/>
      <c r="E359" s="17">
        <f>IFERROR(E350+E351+E352+E353+E354+E355+E356+E357+E358, "NA")</f>
        <v>0</v>
      </c>
      <c r="F359" s="18">
        <f>IFERROR(E359/E446, "NA")</f>
        <v>0</v>
      </c>
      <c r="G359" s="8"/>
      <c r="H359" s="17">
        <f t="shared" si="101"/>
        <v>0</v>
      </c>
      <c r="I359" s="18">
        <f>IFERROR(H359/H446, "NA")</f>
        <v>0</v>
      </c>
      <c r="J359" s="8"/>
      <c r="K359" s="17">
        <f>IFERROR(K350+K351+K352+K353+K354+K355+K356+K357+K358, "NA")</f>
        <v>0</v>
      </c>
      <c r="L359" s="18">
        <f>IFERROR(K359/K446, "NA")</f>
        <v>0</v>
      </c>
      <c r="M359" s="8"/>
      <c r="N359" s="17">
        <f t="shared" si="102"/>
        <v>0</v>
      </c>
      <c r="O359" s="18">
        <f>IFERROR(N359/N446, "NA")</f>
        <v>0</v>
      </c>
      <c r="P359" s="8"/>
      <c r="Q359" s="17">
        <f>IFERROR(Q350+Q351+Q352+Q353+Q354+Q355+Q356+Q357+Q358, "NA")</f>
        <v>0</v>
      </c>
      <c r="R359" s="18">
        <f>IFERROR(Q359/Q446, "NA")</f>
        <v>0</v>
      </c>
      <c r="S359" s="8"/>
      <c r="T359" s="17">
        <f>IFERROR(T350+T351+T352+T353+T354+T355+T356+T357+T358, "NA")</f>
        <v>0</v>
      </c>
      <c r="U359" s="18">
        <f>IFERROR(T359/T446, "NA")</f>
        <v>0</v>
      </c>
      <c r="V359" s="8"/>
      <c r="W359" s="17">
        <f t="shared" si="103"/>
        <v>0</v>
      </c>
      <c r="X359" s="18">
        <f>IFERROR(W359/W446, "NA")</f>
        <v>0</v>
      </c>
      <c r="Y359" s="8"/>
      <c r="Z359" s="17">
        <f>IFERROR(Z350+Z351+Z352+Z353+Z354+Z355+Z356+Z357+Z358, "NA")</f>
        <v>0</v>
      </c>
      <c r="AA359" s="18">
        <f>IFERROR(Z359/Z446, "NA")</f>
        <v>0</v>
      </c>
      <c r="AB359" s="8"/>
      <c r="AC359" s="17">
        <f t="shared" si="104"/>
        <v>0</v>
      </c>
      <c r="AD359" s="18">
        <f>IFERROR(AC359/AC446, "NA")</f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>
        <f>IFERROR(B361/B446, "NA")</f>
        <v>0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>
        <f>IFERROR(B362/B446, "NA")</f>
        <v>0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hidden="1" customHeight="1">
      <c r="A363" s="11" t="s">
        <v>334</v>
      </c>
      <c r="B363" s="12">
        <v>0.0</v>
      </c>
      <c r="C363" s="13">
        <f>IFERROR(B363/B446, "NA")</f>
        <v>0</v>
      </c>
      <c r="D363" s="14"/>
      <c r="E363" s="12">
        <v>0.0</v>
      </c>
      <c r="F363" s="13">
        <f>IFERROR(E363/E446, "NA")</f>
        <v>0</v>
      </c>
      <c r="G363" s="14"/>
      <c r="H363" s="15">
        <f t="shared" si="105"/>
        <v>0</v>
      </c>
      <c r="I363" s="13">
        <f>IFERROR(H363/H446, "NA")</f>
        <v>0</v>
      </c>
      <c r="J363" s="14"/>
      <c r="K363" s="12">
        <v>0.0</v>
      </c>
      <c r="L363" s="13">
        <f>IFERROR(K363/K446, "NA")</f>
        <v>0</v>
      </c>
      <c r="M363" s="14"/>
      <c r="N363" s="15">
        <f t="shared" si="106"/>
        <v>0</v>
      </c>
      <c r="O363" s="13">
        <f>IFERROR(N363/N446, "NA")</f>
        <v>0</v>
      </c>
      <c r="P363" s="14"/>
      <c r="Q363" s="12">
        <v>0.0</v>
      </c>
      <c r="R363" s="13">
        <f>IFERROR(Q363/Q446, "NA")</f>
        <v>0</v>
      </c>
      <c r="S363" s="14"/>
      <c r="T363" s="12">
        <v>0.0</v>
      </c>
      <c r="U363" s="13">
        <f>IFERROR(T363/T446, "NA")</f>
        <v>0</v>
      </c>
      <c r="V363" s="14"/>
      <c r="W363" s="15">
        <f t="shared" si="107"/>
        <v>0</v>
      </c>
      <c r="X363" s="13">
        <f>IFERROR(W363/W446, "NA")</f>
        <v>0</v>
      </c>
      <c r="Y363" s="14"/>
      <c r="Z363" s="12">
        <v>0.0</v>
      </c>
      <c r="AA363" s="13">
        <f>IFERROR(Z363/Z446, "NA")</f>
        <v>0</v>
      </c>
      <c r="AB363" s="14"/>
      <c r="AC363" s="15">
        <f t="shared" si="108"/>
        <v>0</v>
      </c>
      <c r="AD363" s="13">
        <f>IFERROR(AC363/AC446, "NA")</f>
        <v>0</v>
      </c>
    </row>
    <row r="364" ht="16.5" hidden="1" customHeight="1">
      <c r="A364" s="11" t="s">
        <v>335</v>
      </c>
      <c r="B364" s="12">
        <v>0.0</v>
      </c>
      <c r="C364" s="13">
        <f>IFERROR(B364/B446, "NA")</f>
        <v>0</v>
      </c>
      <c r="D364" s="14"/>
      <c r="E364" s="12">
        <v>0.0</v>
      </c>
      <c r="F364" s="13">
        <f>IFERROR(E364/E446, "NA")</f>
        <v>0</v>
      </c>
      <c r="G364" s="14"/>
      <c r="H364" s="15">
        <f t="shared" si="105"/>
        <v>0</v>
      </c>
      <c r="I364" s="13">
        <f>IFERROR(H364/H446, "NA")</f>
        <v>0</v>
      </c>
      <c r="J364" s="14"/>
      <c r="K364" s="12">
        <v>0.0</v>
      </c>
      <c r="L364" s="13">
        <f>IFERROR(K364/K446, "NA")</f>
        <v>0</v>
      </c>
      <c r="M364" s="14"/>
      <c r="N364" s="15">
        <f t="shared" si="106"/>
        <v>0</v>
      </c>
      <c r="O364" s="13">
        <f>IFERROR(N364/N446, "NA")</f>
        <v>0</v>
      </c>
      <c r="P364" s="14"/>
      <c r="Q364" s="12">
        <v>0.0</v>
      </c>
      <c r="R364" s="13">
        <f>IFERROR(Q364/Q446, "NA")</f>
        <v>0</v>
      </c>
      <c r="S364" s="14"/>
      <c r="T364" s="12">
        <v>0.0</v>
      </c>
      <c r="U364" s="13">
        <f>IFERROR(T364/T446, "NA")</f>
        <v>0</v>
      </c>
      <c r="V364" s="14"/>
      <c r="W364" s="15">
        <f t="shared" si="107"/>
        <v>0</v>
      </c>
      <c r="X364" s="13">
        <f>IFERROR(W364/W446, "NA")</f>
        <v>0</v>
      </c>
      <c r="Y364" s="14"/>
      <c r="Z364" s="12">
        <v>0.0</v>
      </c>
      <c r="AA364" s="13">
        <f>IFERROR(Z364/Z446, "NA")</f>
        <v>0</v>
      </c>
      <c r="AB364" s="14"/>
      <c r="AC364" s="15">
        <f t="shared" si="108"/>
        <v>0</v>
      </c>
      <c r="AD364" s="13">
        <f>IFERROR(AC364/AC446, "NA")</f>
        <v>0</v>
      </c>
    </row>
    <row r="365" ht="16.5" hidden="1" customHeight="1">
      <c r="A365" s="11" t="s">
        <v>336</v>
      </c>
      <c r="B365" s="12">
        <v>0.0</v>
      </c>
      <c r="C365" s="13">
        <f>IFERROR(B365/B446, "NA")</f>
        <v>0</v>
      </c>
      <c r="D365" s="14"/>
      <c r="E365" s="12">
        <v>0.0</v>
      </c>
      <c r="F365" s="13">
        <f>IFERROR(E365/E446, "NA")</f>
        <v>0</v>
      </c>
      <c r="G365" s="14"/>
      <c r="H365" s="15">
        <f t="shared" si="105"/>
        <v>0</v>
      </c>
      <c r="I365" s="13">
        <f>IFERROR(H365/H446, "NA")</f>
        <v>0</v>
      </c>
      <c r="J365" s="14"/>
      <c r="K365" s="12">
        <v>0.0</v>
      </c>
      <c r="L365" s="13">
        <f>IFERROR(K365/K446, "NA")</f>
        <v>0</v>
      </c>
      <c r="M365" s="14"/>
      <c r="N365" s="15">
        <f t="shared" si="106"/>
        <v>0</v>
      </c>
      <c r="O365" s="13">
        <f>IFERROR(N365/N446, "NA")</f>
        <v>0</v>
      </c>
      <c r="P365" s="14"/>
      <c r="Q365" s="12">
        <v>0.0</v>
      </c>
      <c r="R365" s="13">
        <f>IFERROR(Q365/Q446, "NA")</f>
        <v>0</v>
      </c>
      <c r="S365" s="14"/>
      <c r="T365" s="12">
        <v>0.0</v>
      </c>
      <c r="U365" s="13">
        <f>IFERROR(T365/T446, "NA")</f>
        <v>0</v>
      </c>
      <c r="V365" s="14"/>
      <c r="W365" s="15">
        <f t="shared" si="107"/>
        <v>0</v>
      </c>
      <c r="X365" s="13">
        <f>IFERROR(W365/W446, "NA")</f>
        <v>0</v>
      </c>
      <c r="Y365" s="14"/>
      <c r="Z365" s="12">
        <v>0.0</v>
      </c>
      <c r="AA365" s="13">
        <f>IFERROR(Z365/Z446, "NA")</f>
        <v>0</v>
      </c>
      <c r="AB365" s="14"/>
      <c r="AC365" s="15">
        <f t="shared" si="108"/>
        <v>0</v>
      </c>
      <c r="AD365" s="13">
        <f>IFERROR(AC365/AC446, "NA")</f>
        <v>0</v>
      </c>
    </row>
    <row r="366" ht="16.5" hidden="1" customHeight="1">
      <c r="A366" s="11" t="s">
        <v>337</v>
      </c>
      <c r="B366" s="12">
        <v>0.0</v>
      </c>
      <c r="C366" s="13">
        <f>IFERROR(B366/B446, "NA")</f>
        <v>0</v>
      </c>
      <c r="D366" s="14"/>
      <c r="E366" s="12">
        <v>0.0</v>
      </c>
      <c r="F366" s="13">
        <f>IFERROR(E366/E446, "NA")</f>
        <v>0</v>
      </c>
      <c r="G366" s="14"/>
      <c r="H366" s="15">
        <f t="shared" si="105"/>
        <v>0</v>
      </c>
      <c r="I366" s="13">
        <f>IFERROR(H366/H446, "NA")</f>
        <v>0</v>
      </c>
      <c r="J366" s="14"/>
      <c r="K366" s="12">
        <v>0.0</v>
      </c>
      <c r="L366" s="13">
        <f>IFERROR(K366/K446, "NA")</f>
        <v>0</v>
      </c>
      <c r="M366" s="14"/>
      <c r="N366" s="15">
        <f t="shared" si="106"/>
        <v>0</v>
      </c>
      <c r="O366" s="13">
        <f>IFERROR(N366/N446, "NA")</f>
        <v>0</v>
      </c>
      <c r="P366" s="14"/>
      <c r="Q366" s="12">
        <v>0.0</v>
      </c>
      <c r="R366" s="13">
        <f>IFERROR(Q366/Q446, "NA")</f>
        <v>0</v>
      </c>
      <c r="S366" s="14"/>
      <c r="T366" s="12">
        <v>0.0</v>
      </c>
      <c r="U366" s="13">
        <f>IFERROR(T366/T446, "NA")</f>
        <v>0</v>
      </c>
      <c r="V366" s="14"/>
      <c r="W366" s="15">
        <f t="shared" si="107"/>
        <v>0</v>
      </c>
      <c r="X366" s="13">
        <f>IFERROR(W366/W446, "NA")</f>
        <v>0</v>
      </c>
      <c r="Y366" s="14"/>
      <c r="Z366" s="12">
        <v>0.0</v>
      </c>
      <c r="AA366" s="13">
        <f>IFERROR(Z366/Z446, "NA")</f>
        <v>0</v>
      </c>
      <c r="AB366" s="14"/>
      <c r="AC366" s="15">
        <f t="shared" si="108"/>
        <v>0</v>
      </c>
      <c r="AD366" s="13">
        <f>IFERROR(AC366/AC446, "NA")</f>
        <v>0</v>
      </c>
    </row>
    <row r="367" ht="16.5" hidden="1" customHeight="1">
      <c r="A367" s="11" t="s">
        <v>338</v>
      </c>
      <c r="B367" s="12">
        <v>0.0</v>
      </c>
      <c r="C367" s="13">
        <f>IFERROR(B367/B446, "NA")</f>
        <v>0</v>
      </c>
      <c r="D367" s="14"/>
      <c r="E367" s="12">
        <v>0.0</v>
      </c>
      <c r="F367" s="13">
        <f>IFERROR(E367/E446, "NA")</f>
        <v>0</v>
      </c>
      <c r="G367" s="14"/>
      <c r="H367" s="15">
        <f t="shared" si="105"/>
        <v>0</v>
      </c>
      <c r="I367" s="13">
        <f>IFERROR(H367/H446, "NA")</f>
        <v>0</v>
      </c>
      <c r="J367" s="14"/>
      <c r="K367" s="12">
        <v>0.0</v>
      </c>
      <c r="L367" s="13">
        <f>IFERROR(K367/K446, "NA")</f>
        <v>0</v>
      </c>
      <c r="M367" s="14"/>
      <c r="N367" s="15">
        <f t="shared" si="106"/>
        <v>0</v>
      </c>
      <c r="O367" s="13">
        <f>IFERROR(N367/N446, "NA")</f>
        <v>0</v>
      </c>
      <c r="P367" s="14"/>
      <c r="Q367" s="12">
        <v>0.0</v>
      </c>
      <c r="R367" s="13">
        <f>IFERROR(Q367/Q446, "NA")</f>
        <v>0</v>
      </c>
      <c r="S367" s="14"/>
      <c r="T367" s="12">
        <v>0.0</v>
      </c>
      <c r="U367" s="13">
        <f>IFERROR(T367/T446, "NA")</f>
        <v>0</v>
      </c>
      <c r="V367" s="14"/>
      <c r="W367" s="15">
        <f t="shared" si="107"/>
        <v>0</v>
      </c>
      <c r="X367" s="13">
        <f>IFERROR(W367/W446, "NA")</f>
        <v>0</v>
      </c>
      <c r="Y367" s="14"/>
      <c r="Z367" s="12">
        <v>0.0</v>
      </c>
      <c r="AA367" s="13">
        <f>IFERROR(Z367/Z446, "NA")</f>
        <v>0</v>
      </c>
      <c r="AB367" s="14"/>
      <c r="AC367" s="15">
        <f t="shared" si="108"/>
        <v>0</v>
      </c>
      <c r="AD367" s="13">
        <f>IFERROR(AC367/AC446, "NA")</f>
        <v>0</v>
      </c>
    </row>
    <row r="368" ht="16.5" hidden="1" customHeight="1">
      <c r="A368" s="11" t="s">
        <v>339</v>
      </c>
      <c r="B368" s="12">
        <v>0.0</v>
      </c>
      <c r="C368" s="13">
        <f>IFERROR(B368/B446, "NA")</f>
        <v>0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0.0</v>
      </c>
      <c r="L368" s="13">
        <f>IFERROR(K368/K446, "NA")</f>
        <v>0</v>
      </c>
      <c r="M368" s="14"/>
      <c r="N368" s="15">
        <f t="shared" si="106"/>
        <v>0</v>
      </c>
      <c r="O368" s="13">
        <f>IFERROR(N368/N446, "NA")</f>
        <v>0</v>
      </c>
      <c r="P368" s="14"/>
      <c r="Q368" s="12">
        <v>0.0</v>
      </c>
      <c r="R368" s="13">
        <f>IFERROR(Q368/Q446, "NA")</f>
        <v>0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0</v>
      </c>
      <c r="X368" s="13">
        <f>IFERROR(W368/W446, "NA")</f>
        <v>0</v>
      </c>
      <c r="Y368" s="14"/>
      <c r="Z368" s="12">
        <v>0.0</v>
      </c>
      <c r="AA368" s="13">
        <f>IFERROR(Z368/Z446, "NA")</f>
        <v>0</v>
      </c>
      <c r="AB368" s="14"/>
      <c r="AC368" s="15">
        <f t="shared" si="108"/>
        <v>0</v>
      </c>
      <c r="AD368" s="13">
        <f>IFERROR(AC368/AC446, "NA")</f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>
        <f>IFERROR(B369/B446, "NA")</f>
        <v>0</v>
      </c>
      <c r="D369" s="8"/>
      <c r="E369" s="17">
        <f>IFERROR(E361+E362+E363+E364+E365+E366+E367+E368, "NA")</f>
        <v>0</v>
      </c>
      <c r="F369" s="18">
        <f>IFERROR(E369/E446, "NA")</f>
        <v>0</v>
      </c>
      <c r="G369" s="8"/>
      <c r="H369" s="17">
        <f t="shared" si="105"/>
        <v>0</v>
      </c>
      <c r="I369" s="18">
        <f>IFERROR(H369/H446, "NA")</f>
        <v>0</v>
      </c>
      <c r="J369" s="8"/>
      <c r="K369" s="17">
        <f>IFERROR(K361+K362+K363+K364+K365+K366+K367+K368, "NA")</f>
        <v>0</v>
      </c>
      <c r="L369" s="18">
        <f>IFERROR(K369/K446, "NA")</f>
        <v>0</v>
      </c>
      <c r="M369" s="8"/>
      <c r="N369" s="17">
        <f t="shared" si="106"/>
        <v>0</v>
      </c>
      <c r="O369" s="18">
        <f>IFERROR(N369/N446, "NA")</f>
        <v>0</v>
      </c>
      <c r="P369" s="8"/>
      <c r="Q369" s="17">
        <f>IFERROR(Q361+Q362+Q363+Q364+Q365+Q366+Q367+Q368, "NA")</f>
        <v>0</v>
      </c>
      <c r="R369" s="18">
        <f>IFERROR(Q369/Q446, "NA")</f>
        <v>0</v>
      </c>
      <c r="S369" s="8"/>
      <c r="T369" s="17">
        <f>IFERROR(T361+T362+T363+T364+T365+T366+T367+T368, "NA")</f>
        <v>0</v>
      </c>
      <c r="U369" s="18">
        <f>IFERROR(T369/T446, "NA")</f>
        <v>0</v>
      </c>
      <c r="V369" s="8"/>
      <c r="W369" s="17">
        <f t="shared" si="107"/>
        <v>0</v>
      </c>
      <c r="X369" s="18">
        <f>IFERROR(W369/W446, "NA")</f>
        <v>0</v>
      </c>
      <c r="Y369" s="8"/>
      <c r="Z369" s="17">
        <f>IFERROR(Z361+Z362+Z363+Z364+Z365+Z366+Z367+Z368, "NA")</f>
        <v>0</v>
      </c>
      <c r="AA369" s="18">
        <f>IFERROR(Z369/Z446, "NA")</f>
        <v>0</v>
      </c>
      <c r="AB369" s="8"/>
      <c r="AC369" s="17">
        <f t="shared" si="108"/>
        <v>0</v>
      </c>
      <c r="AD369" s="18">
        <f>IFERROR(AC369/AC446, "NA")</f>
        <v>0</v>
      </c>
    </row>
    <row r="370" ht="16.5" hidden="1" customHeight="1">
      <c r="A370" s="11" t="s">
        <v>341</v>
      </c>
      <c r="B370" s="12">
        <v>0.0</v>
      </c>
      <c r="C370" s="13">
        <f>IFERROR(B370/B446, "NA")</f>
        <v>0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hidden="1" customHeight="1">
      <c r="A371" s="11" t="s">
        <v>342</v>
      </c>
      <c r="B371" s="12">
        <v>0.0</v>
      </c>
      <c r="C371" s="13">
        <f>IFERROR(B371/B446, "NA")</f>
        <v>0</v>
      </c>
      <c r="D371" s="14"/>
      <c r="E371" s="12">
        <v>0.0</v>
      </c>
      <c r="F371" s="13">
        <f>IFERROR(E371/E446, "NA")</f>
        <v>0</v>
      </c>
      <c r="G371" s="14"/>
      <c r="H371" s="15">
        <f t="shared" si="105"/>
        <v>0</v>
      </c>
      <c r="I371" s="13">
        <f>IFERROR(H371/H446, "NA")</f>
        <v>0</v>
      </c>
      <c r="J371" s="14"/>
      <c r="K371" s="12">
        <v>0.0</v>
      </c>
      <c r="L371" s="13">
        <f>IFERROR(K371/K446, "NA")</f>
        <v>0</v>
      </c>
      <c r="M371" s="14"/>
      <c r="N371" s="15">
        <f t="shared" si="106"/>
        <v>0</v>
      </c>
      <c r="O371" s="13">
        <f>IFERROR(N371/N446, "NA")</f>
        <v>0</v>
      </c>
      <c r="P371" s="14"/>
      <c r="Q371" s="12">
        <v>0.0</v>
      </c>
      <c r="R371" s="13">
        <f>IFERROR(Q371/Q446, "NA")</f>
        <v>0</v>
      </c>
      <c r="S371" s="14"/>
      <c r="T371" s="12">
        <v>0.0</v>
      </c>
      <c r="U371" s="13">
        <f>IFERROR(T371/T446, "NA")</f>
        <v>0</v>
      </c>
      <c r="V371" s="14"/>
      <c r="W371" s="15">
        <f t="shared" si="107"/>
        <v>0</v>
      </c>
      <c r="X371" s="13">
        <f>IFERROR(W371/W446, "NA")</f>
        <v>0</v>
      </c>
      <c r="Y371" s="14"/>
      <c r="Z371" s="12">
        <v>0.0</v>
      </c>
      <c r="AA371" s="13">
        <f>IFERROR(Z371/Z446, "NA")</f>
        <v>0</v>
      </c>
      <c r="AB371" s="14"/>
      <c r="AC371" s="15">
        <f t="shared" si="108"/>
        <v>0</v>
      </c>
      <c r="AD371" s="13">
        <f>IFERROR(AC371/AC446, "NA")</f>
        <v>0</v>
      </c>
    </row>
    <row r="372" ht="16.5" hidden="1" customHeight="1">
      <c r="A372" s="11" t="s">
        <v>343</v>
      </c>
      <c r="B372" s="12">
        <v>0.0</v>
      </c>
      <c r="C372" s="13">
        <f>IFERROR(B372/B446, "NA")</f>
        <v>0</v>
      </c>
      <c r="D372" s="14"/>
      <c r="E372" s="12">
        <v>0.0</v>
      </c>
      <c r="F372" s="13">
        <f>IFERROR(E372/E446, "NA")</f>
        <v>0</v>
      </c>
      <c r="G372" s="14"/>
      <c r="H372" s="15">
        <f t="shared" si="105"/>
        <v>0</v>
      </c>
      <c r="I372" s="13">
        <f>IFERROR(H372/H446, "NA")</f>
        <v>0</v>
      </c>
      <c r="J372" s="14"/>
      <c r="K372" s="12">
        <v>0.0</v>
      </c>
      <c r="L372" s="13">
        <f>IFERROR(K372/K446, "NA")</f>
        <v>0</v>
      </c>
      <c r="M372" s="14"/>
      <c r="N372" s="15">
        <f t="shared" si="106"/>
        <v>0</v>
      </c>
      <c r="O372" s="13">
        <f>IFERROR(N372/N446, "NA")</f>
        <v>0</v>
      </c>
      <c r="P372" s="14"/>
      <c r="Q372" s="12">
        <v>0.0</v>
      </c>
      <c r="R372" s="13">
        <f>IFERROR(Q372/Q446, "NA")</f>
        <v>0</v>
      </c>
      <c r="S372" s="14"/>
      <c r="T372" s="12">
        <v>0.0</v>
      </c>
      <c r="U372" s="13">
        <f>IFERROR(T372/T446, "NA")</f>
        <v>0</v>
      </c>
      <c r="V372" s="14"/>
      <c r="W372" s="15">
        <f t="shared" si="107"/>
        <v>0</v>
      </c>
      <c r="X372" s="13">
        <f>IFERROR(W372/W446, "NA")</f>
        <v>0</v>
      </c>
      <c r="Y372" s="14"/>
      <c r="Z372" s="12">
        <v>0.0</v>
      </c>
      <c r="AA372" s="13">
        <f>IFERROR(Z372/Z446, "NA")</f>
        <v>0</v>
      </c>
      <c r="AB372" s="14"/>
      <c r="AC372" s="15">
        <f t="shared" si="108"/>
        <v>0</v>
      </c>
      <c r="AD372" s="13">
        <f>IFERROR(AC372/AC446, "NA")</f>
        <v>0</v>
      </c>
    </row>
    <row r="373" ht="16.5" hidden="1" customHeight="1">
      <c r="A373" s="11" t="s">
        <v>344</v>
      </c>
      <c r="B373" s="12">
        <v>0.0</v>
      </c>
      <c r="C373" s="13">
        <f>IFERROR(B373/B446, "NA")</f>
        <v>0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0</v>
      </c>
      <c r="I373" s="13">
        <f>IFERROR(H373/H446, "NA")</f>
        <v>0</v>
      </c>
      <c r="J373" s="14"/>
      <c r="K373" s="12">
        <v>0.0</v>
      </c>
      <c r="L373" s="13">
        <f>IFERROR(K373/K446, "NA")</f>
        <v>0</v>
      </c>
      <c r="M373" s="14"/>
      <c r="N373" s="15">
        <f t="shared" si="106"/>
        <v>0</v>
      </c>
      <c r="O373" s="13">
        <f>IFERROR(N373/N446, "NA")</f>
        <v>0</v>
      </c>
      <c r="P373" s="14"/>
      <c r="Q373" s="12">
        <v>0.0</v>
      </c>
      <c r="R373" s="13">
        <f>IFERROR(Q373/Q446, "NA")</f>
        <v>0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0</v>
      </c>
      <c r="X373" s="13">
        <f>IFERROR(W373/W446, "NA")</f>
        <v>0</v>
      </c>
      <c r="Y373" s="14"/>
      <c r="Z373" s="12">
        <v>0.0</v>
      </c>
      <c r="AA373" s="13">
        <f>IFERROR(Z373/Z446, "NA")</f>
        <v>0</v>
      </c>
      <c r="AB373" s="14"/>
      <c r="AC373" s="15">
        <f t="shared" si="108"/>
        <v>0</v>
      </c>
      <c r="AD373" s="13">
        <f>IFERROR(AC373/AC446, "NA")</f>
        <v>0</v>
      </c>
    </row>
    <row r="374" ht="16.5" hidden="1" customHeight="1">
      <c r="A374" s="11" t="s">
        <v>345</v>
      </c>
      <c r="B374" s="12">
        <v>0.0</v>
      </c>
      <c r="C374" s="13">
        <f>IFERROR(B374/B446, "NA")</f>
        <v>0</v>
      </c>
      <c r="D374" s="14"/>
      <c r="E374" s="12">
        <v>0.0</v>
      </c>
      <c r="F374" s="13">
        <f>IFERROR(E374/E446, "NA")</f>
        <v>0</v>
      </c>
      <c r="G374" s="14"/>
      <c r="H374" s="15">
        <f t="shared" si="105"/>
        <v>0</v>
      </c>
      <c r="I374" s="13">
        <f>IFERROR(H374/H446, "NA")</f>
        <v>0</v>
      </c>
      <c r="J374" s="14"/>
      <c r="K374" s="12">
        <v>0.0</v>
      </c>
      <c r="L374" s="13">
        <f>IFERROR(K374/K446, "NA")</f>
        <v>0</v>
      </c>
      <c r="M374" s="14"/>
      <c r="N374" s="15">
        <f t="shared" si="106"/>
        <v>0</v>
      </c>
      <c r="O374" s="13">
        <f>IFERROR(N374/N446, "NA")</f>
        <v>0</v>
      </c>
      <c r="P374" s="14"/>
      <c r="Q374" s="12">
        <v>0.0</v>
      </c>
      <c r="R374" s="13">
        <f>IFERROR(Q374/Q446, "NA")</f>
        <v>0</v>
      </c>
      <c r="S374" s="14"/>
      <c r="T374" s="12">
        <v>0.0</v>
      </c>
      <c r="U374" s="13">
        <f>IFERROR(T374/T446, "NA")</f>
        <v>0</v>
      </c>
      <c r="V374" s="14"/>
      <c r="W374" s="15">
        <f t="shared" si="107"/>
        <v>0</v>
      </c>
      <c r="X374" s="13">
        <f>IFERROR(W374/W446, "NA")</f>
        <v>0</v>
      </c>
      <c r="Y374" s="14"/>
      <c r="Z374" s="12">
        <v>0.0</v>
      </c>
      <c r="AA374" s="13">
        <f>IFERROR(Z374/Z446, "NA")</f>
        <v>0</v>
      </c>
      <c r="AB374" s="14"/>
      <c r="AC374" s="15">
        <f t="shared" si="108"/>
        <v>0</v>
      </c>
      <c r="AD374" s="13">
        <f>IFERROR(AC374/AC446, "NA")</f>
        <v>0</v>
      </c>
    </row>
    <row r="375" ht="16.5" hidden="1" customHeight="1">
      <c r="A375" s="11" t="s">
        <v>346</v>
      </c>
      <c r="B375" s="12">
        <v>0.0</v>
      </c>
      <c r="C375" s="13">
        <f>IFERROR(B375/B446, "NA")</f>
        <v>0</v>
      </c>
      <c r="D375" s="14"/>
      <c r="E375" s="12">
        <v>0.0</v>
      </c>
      <c r="F375" s="13">
        <f>IFERROR(E375/E446, "NA")</f>
        <v>0</v>
      </c>
      <c r="G375" s="14"/>
      <c r="H375" s="15">
        <f t="shared" si="105"/>
        <v>0</v>
      </c>
      <c r="I375" s="13">
        <f>IFERROR(H375/H446, "NA")</f>
        <v>0</v>
      </c>
      <c r="J375" s="14"/>
      <c r="K375" s="12">
        <v>0.0</v>
      </c>
      <c r="L375" s="13">
        <f>IFERROR(K375/K446, "NA")</f>
        <v>0</v>
      </c>
      <c r="M375" s="14"/>
      <c r="N375" s="15">
        <f t="shared" si="106"/>
        <v>0</v>
      </c>
      <c r="O375" s="13">
        <f>IFERROR(N375/N446, "NA")</f>
        <v>0</v>
      </c>
      <c r="P375" s="14"/>
      <c r="Q375" s="12">
        <v>0.0</v>
      </c>
      <c r="R375" s="13">
        <f>IFERROR(Q375/Q446, "NA")</f>
        <v>0</v>
      </c>
      <c r="S375" s="14"/>
      <c r="T375" s="12">
        <v>0.0</v>
      </c>
      <c r="U375" s="13">
        <f>IFERROR(T375/T446, "NA")</f>
        <v>0</v>
      </c>
      <c r="V375" s="14"/>
      <c r="W375" s="15">
        <f t="shared" si="107"/>
        <v>0</v>
      </c>
      <c r="X375" s="13">
        <f>IFERROR(W375/W446, "NA")</f>
        <v>0</v>
      </c>
      <c r="Y375" s="14"/>
      <c r="Z375" s="12">
        <v>0.0</v>
      </c>
      <c r="AA375" s="13">
        <f>IFERROR(Z375/Z446, "NA")</f>
        <v>0</v>
      </c>
      <c r="AB375" s="14"/>
      <c r="AC375" s="15">
        <f t="shared" si="108"/>
        <v>0</v>
      </c>
      <c r="AD375" s="13">
        <f>IFERROR(AC375/AC446, "NA")</f>
        <v>0</v>
      </c>
    </row>
    <row r="376" ht="16.5" hidden="1" customHeight="1">
      <c r="A376" s="11" t="s">
        <v>347</v>
      </c>
      <c r="B376" s="12">
        <v>0.0</v>
      </c>
      <c r="C376" s="13">
        <f>IFERROR(B376/B446, "NA")</f>
        <v>0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0.0</v>
      </c>
      <c r="L376" s="13">
        <f>IFERROR(K376/K446, "NA")</f>
        <v>0</v>
      </c>
      <c r="M376" s="14"/>
      <c r="N376" s="15">
        <f t="shared" si="106"/>
        <v>0</v>
      </c>
      <c r="O376" s="13">
        <f>IFERROR(N376/N446, "NA")</f>
        <v>0</v>
      </c>
      <c r="P376" s="14"/>
      <c r="Q376" s="12">
        <v>0.0</v>
      </c>
      <c r="R376" s="13">
        <f>IFERROR(Q376/Q446, "NA")</f>
        <v>0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0</v>
      </c>
      <c r="X376" s="13">
        <f>IFERROR(W376/W446, "NA")</f>
        <v>0</v>
      </c>
      <c r="Y376" s="14"/>
      <c r="Z376" s="12">
        <v>0.0</v>
      </c>
      <c r="AA376" s="13">
        <f>IFERROR(Z376/Z446, "NA")</f>
        <v>0</v>
      </c>
      <c r="AB376" s="14"/>
      <c r="AC376" s="15">
        <f t="shared" si="108"/>
        <v>0</v>
      </c>
      <c r="AD376" s="13">
        <f>IFERROR(AC376/AC446, "NA")</f>
        <v>0</v>
      </c>
    </row>
    <row r="377" ht="16.5" hidden="1" customHeight="1">
      <c r="A377" s="11" t="s">
        <v>348</v>
      </c>
      <c r="B377" s="12">
        <v>0.0</v>
      </c>
      <c r="C377" s="13">
        <f>IFERROR(B377/B446, "NA")</f>
        <v>0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0</v>
      </c>
      <c r="I377" s="13">
        <f>IFERROR(H377/H446, "NA")</f>
        <v>0</v>
      </c>
      <c r="J377" s="14"/>
      <c r="K377" s="12">
        <v>0.0</v>
      </c>
      <c r="L377" s="13">
        <f>IFERROR(K377/K446, "NA")</f>
        <v>0</v>
      </c>
      <c r="M377" s="14"/>
      <c r="N377" s="15">
        <f t="shared" si="106"/>
        <v>0</v>
      </c>
      <c r="O377" s="13">
        <f>IFERROR(N377/N446, "NA")</f>
        <v>0</v>
      </c>
      <c r="P377" s="14"/>
      <c r="Q377" s="12">
        <v>0.0</v>
      </c>
      <c r="R377" s="13">
        <f>IFERROR(Q377/Q446, "NA")</f>
        <v>0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0</v>
      </c>
      <c r="X377" s="13">
        <f>IFERROR(W377/W446, "NA")</f>
        <v>0</v>
      </c>
      <c r="Y377" s="14"/>
      <c r="Z377" s="12">
        <v>0.0</v>
      </c>
      <c r="AA377" s="13">
        <f>IFERROR(Z377/Z446, "NA")</f>
        <v>0</v>
      </c>
      <c r="AB377" s="14"/>
      <c r="AC377" s="15">
        <f t="shared" si="108"/>
        <v>0</v>
      </c>
      <c r="AD377" s="13">
        <f>IFERROR(AC377/AC446, "NA")</f>
        <v>0</v>
      </c>
    </row>
    <row r="378" ht="16.5" hidden="1" customHeight="1">
      <c r="A378" s="11" t="s">
        <v>349</v>
      </c>
      <c r="B378" s="12">
        <v>0.0</v>
      </c>
      <c r="C378" s="13">
        <f>IFERROR(B378/B446, "NA")</f>
        <v>0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hidden="1" customHeight="1">
      <c r="A379" s="11" t="s">
        <v>350</v>
      </c>
      <c r="B379" s="12">
        <v>0.0</v>
      </c>
      <c r="C379" s="13">
        <f>IFERROR(B379/B446, "NA")</f>
        <v>0</v>
      </c>
      <c r="D379" s="14"/>
      <c r="E379" s="12">
        <v>0.0</v>
      </c>
      <c r="F379" s="13">
        <f>IFERROR(E379/E446, "NA")</f>
        <v>0</v>
      </c>
      <c r="G379" s="14"/>
      <c r="H379" s="15">
        <f t="shared" si="105"/>
        <v>0</v>
      </c>
      <c r="I379" s="13">
        <f>IFERROR(H379/H446, "NA")</f>
        <v>0</v>
      </c>
      <c r="J379" s="14"/>
      <c r="K379" s="12">
        <v>0.0</v>
      </c>
      <c r="L379" s="13">
        <f>IFERROR(K379/K446, "NA")</f>
        <v>0</v>
      </c>
      <c r="M379" s="14"/>
      <c r="N379" s="15">
        <f t="shared" si="106"/>
        <v>0</v>
      </c>
      <c r="O379" s="13">
        <f>IFERROR(N379/N446, "NA")</f>
        <v>0</v>
      </c>
      <c r="P379" s="14"/>
      <c r="Q379" s="12">
        <v>0.0</v>
      </c>
      <c r="R379" s="13">
        <f>IFERROR(Q379/Q446, "NA")</f>
        <v>0</v>
      </c>
      <c r="S379" s="14"/>
      <c r="T379" s="12">
        <v>0.0</v>
      </c>
      <c r="U379" s="13">
        <f>IFERROR(T379/T446, "NA")</f>
        <v>0</v>
      </c>
      <c r="V379" s="14"/>
      <c r="W379" s="15">
        <f t="shared" si="107"/>
        <v>0</v>
      </c>
      <c r="X379" s="13">
        <f>IFERROR(W379/W446, "NA")</f>
        <v>0</v>
      </c>
      <c r="Y379" s="14"/>
      <c r="Z379" s="12">
        <v>0.0</v>
      </c>
      <c r="AA379" s="13">
        <f>IFERROR(Z379/Z446, "NA")</f>
        <v>0</v>
      </c>
      <c r="AB379" s="14"/>
      <c r="AC379" s="15">
        <f t="shared" si="108"/>
        <v>0</v>
      </c>
      <c r="AD379" s="13">
        <f>IFERROR(AC379/AC446, "NA")</f>
        <v>0</v>
      </c>
    </row>
    <row r="380" ht="16.5" hidden="1" customHeight="1">
      <c r="A380" s="11" t="s">
        <v>351</v>
      </c>
      <c r="B380" s="12">
        <v>0.0</v>
      </c>
      <c r="C380" s="13">
        <f>IFERROR(B380/B446, "NA")</f>
        <v>0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0</v>
      </c>
      <c r="I380" s="13">
        <f>IFERROR(H380/H446, "NA")</f>
        <v>0</v>
      </c>
      <c r="J380" s="14"/>
      <c r="K380" s="12">
        <v>0.0</v>
      </c>
      <c r="L380" s="13">
        <f>IFERROR(K380/K446, "NA")</f>
        <v>0</v>
      </c>
      <c r="M380" s="14"/>
      <c r="N380" s="15">
        <f t="shared" si="106"/>
        <v>0</v>
      </c>
      <c r="O380" s="13">
        <f>IFERROR(N380/N446, "NA")</f>
        <v>0</v>
      </c>
      <c r="P380" s="14"/>
      <c r="Q380" s="12">
        <v>0.0</v>
      </c>
      <c r="R380" s="13">
        <f>IFERROR(Q380/Q446, "NA")</f>
        <v>0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0</v>
      </c>
      <c r="X380" s="13">
        <f>IFERROR(W380/W446, "NA")</f>
        <v>0</v>
      </c>
      <c r="Y380" s="14"/>
      <c r="Z380" s="12">
        <v>0.0</v>
      </c>
      <c r="AA380" s="13">
        <f>IFERROR(Z380/Z446, "NA")</f>
        <v>0</v>
      </c>
      <c r="AB380" s="14"/>
      <c r="AC380" s="15">
        <f t="shared" si="108"/>
        <v>0</v>
      </c>
      <c r="AD380" s="13">
        <f>IFERROR(AC380/AC446, "NA")</f>
        <v>0</v>
      </c>
    </row>
    <row r="381" ht="16.5" hidden="1" customHeight="1">
      <c r="A381" s="11" t="s">
        <v>352</v>
      </c>
      <c r="B381" s="12">
        <v>0.0</v>
      </c>
      <c r="C381" s="13">
        <f>IFERROR(B381/B446, "NA")</f>
        <v>0</v>
      </c>
      <c r="D381" s="14"/>
      <c r="E381" s="12">
        <v>0.0</v>
      </c>
      <c r="F381" s="13">
        <f>IFERROR(E381/E446, "NA")</f>
        <v>0</v>
      </c>
      <c r="G381" s="14"/>
      <c r="H381" s="15">
        <f t="shared" si="105"/>
        <v>0</v>
      </c>
      <c r="I381" s="13">
        <f>IFERROR(H381/H446, "NA")</f>
        <v>0</v>
      </c>
      <c r="J381" s="14"/>
      <c r="K381" s="12">
        <v>0.0</v>
      </c>
      <c r="L381" s="13">
        <f>IFERROR(K381/K446, "NA")</f>
        <v>0</v>
      </c>
      <c r="M381" s="14"/>
      <c r="N381" s="15">
        <f t="shared" si="106"/>
        <v>0</v>
      </c>
      <c r="O381" s="13">
        <f>IFERROR(N381/N446, "NA")</f>
        <v>0</v>
      </c>
      <c r="P381" s="14"/>
      <c r="Q381" s="12">
        <v>0.0</v>
      </c>
      <c r="R381" s="13">
        <f>IFERROR(Q381/Q446, "NA")</f>
        <v>0</v>
      </c>
      <c r="S381" s="14"/>
      <c r="T381" s="12">
        <v>0.0</v>
      </c>
      <c r="U381" s="13">
        <f>IFERROR(T381/T446, "NA")</f>
        <v>0</v>
      </c>
      <c r="V381" s="14"/>
      <c r="W381" s="15">
        <f t="shared" si="107"/>
        <v>0</v>
      </c>
      <c r="X381" s="13">
        <f>IFERROR(W381/W446, "NA")</f>
        <v>0</v>
      </c>
      <c r="Y381" s="14"/>
      <c r="Z381" s="12">
        <v>0.0</v>
      </c>
      <c r="AA381" s="13">
        <f>IFERROR(Z381/Z446, "NA")</f>
        <v>0</v>
      </c>
      <c r="AB381" s="14"/>
      <c r="AC381" s="15">
        <f t="shared" si="108"/>
        <v>0</v>
      </c>
      <c r="AD381" s="13">
        <f>IFERROR(AC381/AC446, "NA")</f>
        <v>0</v>
      </c>
    </row>
    <row r="382" ht="16.5" hidden="1" customHeight="1">
      <c r="A382" s="11" t="s">
        <v>353</v>
      </c>
      <c r="B382" s="12">
        <v>0.0</v>
      </c>
      <c r="C382" s="13">
        <f>IFERROR(B382/B446, "NA")</f>
        <v>0</v>
      </c>
      <c r="D382" s="14"/>
      <c r="E382" s="12">
        <v>0.0</v>
      </c>
      <c r="F382" s="13">
        <f>IFERROR(E382/E446, "NA")</f>
        <v>0</v>
      </c>
      <c r="G382" s="14"/>
      <c r="H382" s="15">
        <f t="shared" si="105"/>
        <v>0</v>
      </c>
      <c r="I382" s="13">
        <f>IFERROR(H382/H446, "NA")</f>
        <v>0</v>
      </c>
      <c r="J382" s="14"/>
      <c r="K382" s="12">
        <v>0.0</v>
      </c>
      <c r="L382" s="13">
        <f>IFERROR(K382/K446, "NA")</f>
        <v>0</v>
      </c>
      <c r="M382" s="14"/>
      <c r="N382" s="15">
        <f t="shared" si="106"/>
        <v>0</v>
      </c>
      <c r="O382" s="13">
        <f>IFERROR(N382/N446, "NA")</f>
        <v>0</v>
      </c>
      <c r="P382" s="14"/>
      <c r="Q382" s="12">
        <v>0.0</v>
      </c>
      <c r="R382" s="13">
        <f>IFERROR(Q382/Q446, "NA")</f>
        <v>0</v>
      </c>
      <c r="S382" s="14"/>
      <c r="T382" s="12">
        <v>0.0</v>
      </c>
      <c r="U382" s="13">
        <f>IFERROR(T382/T446, "NA")</f>
        <v>0</v>
      </c>
      <c r="V382" s="14"/>
      <c r="W382" s="15">
        <f t="shared" si="107"/>
        <v>0</v>
      </c>
      <c r="X382" s="13">
        <f>IFERROR(W382/W446, "NA")</f>
        <v>0</v>
      </c>
      <c r="Y382" s="14"/>
      <c r="Z382" s="12">
        <v>0.0</v>
      </c>
      <c r="AA382" s="13">
        <f>IFERROR(Z382/Z446, "NA")</f>
        <v>0</v>
      </c>
      <c r="AB382" s="14"/>
      <c r="AC382" s="15">
        <f t="shared" si="108"/>
        <v>0</v>
      </c>
      <c r="AD382" s="13">
        <f>IFERROR(AC382/AC446, "NA")</f>
        <v>0</v>
      </c>
    </row>
    <row r="383" ht="16.5" hidden="1" customHeight="1">
      <c r="A383" s="11" t="s">
        <v>354</v>
      </c>
      <c r="B383" s="12">
        <v>0.0</v>
      </c>
      <c r="C383" s="13">
        <f>IFERROR(B383/B446, "NA")</f>
        <v>0</v>
      </c>
      <c r="D383" s="14"/>
      <c r="E383" s="12">
        <v>0.0</v>
      </c>
      <c r="F383" s="13">
        <f>IFERROR(E383/E446, "NA")</f>
        <v>0</v>
      </c>
      <c r="G383" s="14"/>
      <c r="H383" s="15">
        <f t="shared" si="105"/>
        <v>0</v>
      </c>
      <c r="I383" s="13">
        <f>IFERROR(H383/H446, "NA")</f>
        <v>0</v>
      </c>
      <c r="J383" s="14"/>
      <c r="K383" s="12">
        <v>0.0</v>
      </c>
      <c r="L383" s="13">
        <f>IFERROR(K383/K446, "NA")</f>
        <v>0</v>
      </c>
      <c r="M383" s="14"/>
      <c r="N383" s="15">
        <f t="shared" si="106"/>
        <v>0</v>
      </c>
      <c r="O383" s="13">
        <f>IFERROR(N383/N446, "NA")</f>
        <v>0</v>
      </c>
      <c r="P383" s="14"/>
      <c r="Q383" s="12">
        <v>0.0</v>
      </c>
      <c r="R383" s="13">
        <f>IFERROR(Q383/Q446, "NA")</f>
        <v>0</v>
      </c>
      <c r="S383" s="14"/>
      <c r="T383" s="12">
        <v>0.0</v>
      </c>
      <c r="U383" s="13">
        <f>IFERROR(T383/T446, "NA")</f>
        <v>0</v>
      </c>
      <c r="V383" s="14"/>
      <c r="W383" s="15">
        <f t="shared" si="107"/>
        <v>0</v>
      </c>
      <c r="X383" s="13">
        <f>IFERROR(W383/W446, "NA")</f>
        <v>0</v>
      </c>
      <c r="Y383" s="14"/>
      <c r="Z383" s="12">
        <v>0.0</v>
      </c>
      <c r="AA383" s="13">
        <f>IFERROR(Z383/Z446, "NA")</f>
        <v>0</v>
      </c>
      <c r="AB383" s="14"/>
      <c r="AC383" s="15">
        <f t="shared" si="108"/>
        <v>0</v>
      </c>
      <c r="AD383" s="13">
        <f>IFERROR(AC383/AC446, "NA")</f>
        <v>0</v>
      </c>
    </row>
    <row r="384" ht="16.5" hidden="1" customHeight="1">
      <c r="A384" s="11" t="s">
        <v>355</v>
      </c>
      <c r="B384" s="12">
        <v>0.0</v>
      </c>
      <c r="C384" s="13">
        <f>IFERROR(B384/B446, "NA")</f>
        <v>0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hidden="1" customHeight="1">
      <c r="A386" s="11" t="s">
        <v>356</v>
      </c>
      <c r="B386" s="12">
        <v>0.0</v>
      </c>
      <c r="C386" s="13">
        <f>IFERROR(B386/B446, "NA")</f>
        <v>0</v>
      </c>
      <c r="D386" s="14"/>
      <c r="E386" s="12">
        <v>0.0</v>
      </c>
      <c r="F386" s="13">
        <f>IFERROR(E386/E446, "NA")</f>
        <v>0</v>
      </c>
      <c r="G386" s="14"/>
      <c r="H386" s="15">
        <f t="shared" ref="H386:H387" si="109">IFERROR(-(B386-E386), "NA")</f>
        <v>0</v>
      </c>
      <c r="I386" s="13">
        <f>IFERROR(H386/H446, "NA")</f>
        <v>0</v>
      </c>
      <c r="J386" s="14"/>
      <c r="K386" s="12">
        <v>0.0</v>
      </c>
      <c r="L386" s="13">
        <f>IFERROR(K386/K446, "NA")</f>
        <v>0</v>
      </c>
      <c r="M386" s="14"/>
      <c r="N386" s="15">
        <f t="shared" ref="N386:N387" si="110">IFERROR(-(B386-K386), "NA")</f>
        <v>0</v>
      </c>
      <c r="O386" s="13">
        <f>IFERROR(N386/N446, "NA")</f>
        <v>0</v>
      </c>
      <c r="P386" s="14"/>
      <c r="Q386" s="12">
        <v>0.0</v>
      </c>
      <c r="R386" s="13">
        <f>IFERROR(Q386/Q446, "NA")</f>
        <v>0</v>
      </c>
      <c r="S386" s="14"/>
      <c r="T386" s="12">
        <v>0.0</v>
      </c>
      <c r="U386" s="13">
        <f>IFERROR(T386/T446, "NA")</f>
        <v>0</v>
      </c>
      <c r="V386" s="14"/>
      <c r="W386" s="15">
        <f t="shared" ref="W386:W387" si="111">IFERROR(-(Q386-T386), "NA")</f>
        <v>0</v>
      </c>
      <c r="X386" s="13">
        <f>IFERROR(W386/W446, "NA")</f>
        <v>0</v>
      </c>
      <c r="Y386" s="14"/>
      <c r="Z386" s="12">
        <v>0.0</v>
      </c>
      <c r="AA386" s="13">
        <f>IFERROR(Z386/Z446, "NA")</f>
        <v>0</v>
      </c>
      <c r="AB386" s="14"/>
      <c r="AC386" s="15">
        <f t="shared" ref="AC386:AC387" si="112">IFERROR(-(Q386-Z386), "NA")</f>
        <v>0</v>
      </c>
      <c r="AD386" s="13">
        <f>IFERROR(AC386/AC446, "NA")</f>
        <v>0</v>
      </c>
    </row>
    <row r="387" ht="16.5" hidden="1" customHeight="1">
      <c r="A387" s="11" t="s">
        <v>357</v>
      </c>
      <c r="B387" s="12">
        <v>0.0</v>
      </c>
      <c r="C387" s="13">
        <f>IFERROR(B387/B446, "NA")</f>
        <v>0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0.0</v>
      </c>
      <c r="L387" s="13">
        <f>IFERROR(K387/K446, "NA")</f>
        <v>0</v>
      </c>
      <c r="M387" s="14"/>
      <c r="N387" s="15">
        <f t="shared" si="110"/>
        <v>0</v>
      </c>
      <c r="O387" s="13">
        <f>IFERROR(N387/N446, "NA")</f>
        <v>0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0.0</v>
      </c>
      <c r="AA387" s="13">
        <f>IFERROR(Z387/Z446, "NA")</f>
        <v>0</v>
      </c>
      <c r="AB387" s="14"/>
      <c r="AC387" s="15">
        <f t="shared" si="112"/>
        <v>0</v>
      </c>
      <c r="AD387" s="13">
        <f>IFERROR(AC387/AC446, "NA")</f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hidden="1" customHeight="1">
      <c r="A389" s="11" t="s">
        <v>358</v>
      </c>
      <c r="B389" s="12">
        <v>0.0</v>
      </c>
      <c r="C389" s="13">
        <f>IFERROR(B389/B446, "NA")</f>
        <v>0</v>
      </c>
      <c r="D389" s="14"/>
      <c r="E389" s="12">
        <v>0.0</v>
      </c>
      <c r="F389" s="13">
        <f>IFERROR(E389/E446, "NA")</f>
        <v>0</v>
      </c>
      <c r="G389" s="14"/>
      <c r="H389" s="15">
        <f t="shared" ref="H389:H404" si="113">IFERROR(-(B389-E389), "NA")</f>
        <v>0</v>
      </c>
      <c r="I389" s="13">
        <f>IFERROR(H389/H446, "NA")</f>
        <v>0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0.0</v>
      </c>
      <c r="U389" s="13">
        <f>IFERROR(T389/T446, "NA")</f>
        <v>0</v>
      </c>
      <c r="V389" s="14"/>
      <c r="W389" s="15">
        <f t="shared" ref="W389:W404" si="115">IFERROR(-(Q389-T389), "NA")</f>
        <v>0</v>
      </c>
      <c r="X389" s="13">
        <f>IFERROR(W389/W446, "NA")</f>
        <v>0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hidden="1" customHeight="1">
      <c r="A390" s="11" t="s">
        <v>359</v>
      </c>
      <c r="B390" s="12">
        <v>0.0</v>
      </c>
      <c r="C390" s="13">
        <f>IFERROR(B390/B446, "NA")</f>
        <v>0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0</v>
      </c>
      <c r="I390" s="13">
        <f>IFERROR(H390/H446, "NA")</f>
        <v>0</v>
      </c>
      <c r="J390" s="14"/>
      <c r="K390" s="12">
        <v>0.0</v>
      </c>
      <c r="L390" s="13">
        <f>IFERROR(K390/K446, "NA")</f>
        <v>0</v>
      </c>
      <c r="M390" s="14"/>
      <c r="N390" s="15">
        <f t="shared" si="114"/>
        <v>0</v>
      </c>
      <c r="O390" s="13">
        <f>IFERROR(N390/N446, "NA")</f>
        <v>0</v>
      </c>
      <c r="P390" s="14"/>
      <c r="Q390" s="12">
        <v>0.0</v>
      </c>
      <c r="R390" s="13">
        <f>IFERROR(Q390/Q446, "NA")</f>
        <v>0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0</v>
      </c>
      <c r="X390" s="13">
        <f>IFERROR(W390/W446, "NA")</f>
        <v>0</v>
      </c>
      <c r="Y390" s="14"/>
      <c r="Z390" s="12">
        <v>0.0</v>
      </c>
      <c r="AA390" s="13">
        <f>IFERROR(Z390/Z446, "NA")</f>
        <v>0</v>
      </c>
      <c r="AB390" s="14"/>
      <c r="AC390" s="15">
        <f t="shared" si="116"/>
        <v>0</v>
      </c>
      <c r="AD390" s="13">
        <f>IFERROR(AC390/AC446, "NA")</f>
        <v>0</v>
      </c>
    </row>
    <row r="391" ht="16.5" hidden="1" customHeight="1">
      <c r="A391" s="11" t="s">
        <v>360</v>
      </c>
      <c r="B391" s="12">
        <v>0.0</v>
      </c>
      <c r="C391" s="13">
        <f>IFERROR(B391/B446, "NA")</f>
        <v>0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0</v>
      </c>
      <c r="I391" s="13">
        <f>IFERROR(H391/H446, "NA")</f>
        <v>0</v>
      </c>
      <c r="J391" s="14"/>
      <c r="K391" s="12">
        <v>0.0</v>
      </c>
      <c r="L391" s="13">
        <f>IFERROR(K391/K446, "NA")</f>
        <v>0</v>
      </c>
      <c r="M391" s="14"/>
      <c r="N391" s="15">
        <f t="shared" si="114"/>
        <v>0</v>
      </c>
      <c r="O391" s="13">
        <f>IFERROR(N391/N446, "NA")</f>
        <v>0</v>
      </c>
      <c r="P391" s="14"/>
      <c r="Q391" s="12">
        <v>0.0</v>
      </c>
      <c r="R391" s="13">
        <f>IFERROR(Q391/Q446, "NA")</f>
        <v>0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0</v>
      </c>
      <c r="X391" s="13">
        <f>IFERROR(W391/W446, "NA")</f>
        <v>0</v>
      </c>
      <c r="Y391" s="14"/>
      <c r="Z391" s="12">
        <v>0.0</v>
      </c>
      <c r="AA391" s="13">
        <f>IFERROR(Z391/Z446, "NA")</f>
        <v>0</v>
      </c>
      <c r="AB391" s="14"/>
      <c r="AC391" s="15">
        <f t="shared" si="116"/>
        <v>0</v>
      </c>
      <c r="AD391" s="13">
        <f>IFERROR(AC391/AC446, "NA")</f>
        <v>0</v>
      </c>
    </row>
    <row r="392" ht="16.5" hidden="1" customHeight="1">
      <c r="A392" s="11" t="s">
        <v>361</v>
      </c>
      <c r="B392" s="12">
        <v>0.0</v>
      </c>
      <c r="C392" s="13">
        <f>IFERROR(B392/B446, "NA")</f>
        <v>0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hidden="1" customHeight="1">
      <c r="A393" s="11" t="s">
        <v>362</v>
      </c>
      <c r="B393" s="12">
        <v>0.0</v>
      </c>
      <c r="C393" s="13">
        <f>IFERROR(B393/B446, "NA")</f>
        <v>0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0</v>
      </c>
      <c r="I393" s="13">
        <f>IFERROR(H393/H446, "NA")</f>
        <v>0</v>
      </c>
      <c r="J393" s="14"/>
      <c r="K393" s="12">
        <v>0.0</v>
      </c>
      <c r="L393" s="13">
        <f>IFERROR(K393/K446, "NA")</f>
        <v>0</v>
      </c>
      <c r="M393" s="14"/>
      <c r="N393" s="15">
        <f t="shared" si="114"/>
        <v>0</v>
      </c>
      <c r="O393" s="13">
        <f>IFERROR(N393/N446, "NA")</f>
        <v>0</v>
      </c>
      <c r="P393" s="14"/>
      <c r="Q393" s="12">
        <v>0.0</v>
      </c>
      <c r="R393" s="13">
        <f>IFERROR(Q393/Q446, "NA")</f>
        <v>0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0</v>
      </c>
      <c r="X393" s="13">
        <f>IFERROR(W393/W446, "NA")</f>
        <v>0</v>
      </c>
      <c r="Y393" s="14"/>
      <c r="Z393" s="12">
        <v>0.0</v>
      </c>
      <c r="AA393" s="13">
        <f>IFERROR(Z393/Z446, "NA")</f>
        <v>0</v>
      </c>
      <c r="AB393" s="14"/>
      <c r="AC393" s="15">
        <f t="shared" si="116"/>
        <v>0</v>
      </c>
      <c r="AD393" s="13">
        <f>IFERROR(AC393/AC446, "NA")</f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>
        <f>IFERROR(B394/B446, "NA")</f>
        <v>0</v>
      </c>
      <c r="D394" s="8"/>
      <c r="E394" s="17">
        <f>IFERROR(E389+E390+E391+E392+E393, "NA")</f>
        <v>0</v>
      </c>
      <c r="F394" s="18">
        <f>IFERROR(E394/E446, "NA")</f>
        <v>0</v>
      </c>
      <c r="G394" s="8"/>
      <c r="H394" s="17">
        <f t="shared" si="113"/>
        <v>0</v>
      </c>
      <c r="I394" s="18">
        <f>IFERROR(H394/H446, "NA")</f>
        <v>0</v>
      </c>
      <c r="J394" s="8"/>
      <c r="K394" s="17">
        <f>IFERROR(K389+K390+K391+K392+K393, "NA")</f>
        <v>0</v>
      </c>
      <c r="L394" s="18">
        <f>IFERROR(K394/K446, "NA")</f>
        <v>0</v>
      </c>
      <c r="M394" s="8"/>
      <c r="N394" s="17">
        <f t="shared" si="114"/>
        <v>0</v>
      </c>
      <c r="O394" s="18">
        <f>IFERROR(N394/N446, "NA")</f>
        <v>0</v>
      </c>
      <c r="P394" s="8"/>
      <c r="Q394" s="17">
        <f>IFERROR(Q389+Q390+Q391+Q392+Q393, "NA")</f>
        <v>0</v>
      </c>
      <c r="R394" s="18">
        <f>IFERROR(Q394/Q446, "NA")</f>
        <v>0</v>
      </c>
      <c r="S394" s="8"/>
      <c r="T394" s="17">
        <f>IFERROR(T389+T390+T391+T392+T393, "NA")</f>
        <v>0</v>
      </c>
      <c r="U394" s="18">
        <f>IFERROR(T394/T446, "NA")</f>
        <v>0</v>
      </c>
      <c r="V394" s="8"/>
      <c r="W394" s="17">
        <f t="shared" si="115"/>
        <v>0</v>
      </c>
      <c r="X394" s="18">
        <f>IFERROR(W394/W446, "NA")</f>
        <v>0</v>
      </c>
      <c r="Y394" s="8"/>
      <c r="Z394" s="17">
        <f>IFERROR(Z389+Z390+Z391+Z392+Z393, "NA")</f>
        <v>0</v>
      </c>
      <c r="AA394" s="18">
        <f>IFERROR(Z394/Z446, "NA")</f>
        <v>0</v>
      </c>
      <c r="AB394" s="8"/>
      <c r="AC394" s="17">
        <f t="shared" si="116"/>
        <v>0</v>
      </c>
      <c r="AD394" s="18">
        <f>IFERROR(AC394/AC446, "NA")</f>
        <v>0</v>
      </c>
    </row>
    <row r="395" ht="16.5" hidden="1" customHeight="1">
      <c r="A395" s="11" t="s">
        <v>364</v>
      </c>
      <c r="B395" s="12">
        <v>0.0</v>
      </c>
      <c r="C395" s="13">
        <f>IFERROR(B395/B446, "NA")</f>
        <v>0</v>
      </c>
      <c r="D395" s="14"/>
      <c r="E395" s="12">
        <v>0.0</v>
      </c>
      <c r="F395" s="13">
        <f>IFERROR(E395/E446, "NA")</f>
        <v>0</v>
      </c>
      <c r="G395" s="14"/>
      <c r="H395" s="15">
        <f t="shared" si="113"/>
        <v>0</v>
      </c>
      <c r="I395" s="13">
        <f>IFERROR(H395/H446, "NA")</f>
        <v>0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0</v>
      </c>
      <c r="O395" s="13">
        <f>IFERROR(N395/N446, "NA")</f>
        <v>0</v>
      </c>
      <c r="P395" s="14"/>
      <c r="Q395" s="12">
        <v>0.0</v>
      </c>
      <c r="R395" s="13">
        <f>IFERROR(Q395/Q446, "NA")</f>
        <v>0</v>
      </c>
      <c r="S395" s="14"/>
      <c r="T395" s="12">
        <v>0.0</v>
      </c>
      <c r="U395" s="13">
        <f>IFERROR(T395/T446, "NA")</f>
        <v>0</v>
      </c>
      <c r="V395" s="14"/>
      <c r="W395" s="15">
        <f t="shared" si="115"/>
        <v>0</v>
      </c>
      <c r="X395" s="13">
        <f>IFERROR(W395/W446, "NA")</f>
        <v>0</v>
      </c>
      <c r="Y395" s="14"/>
      <c r="Z395" s="12">
        <v>0.0</v>
      </c>
      <c r="AA395" s="13">
        <f>IFERROR(Z395/Z446, "NA")</f>
        <v>0</v>
      </c>
      <c r="AB395" s="14"/>
      <c r="AC395" s="15">
        <f t="shared" si="116"/>
        <v>0</v>
      </c>
      <c r="AD395" s="13">
        <f>IFERROR(AC395/AC446, "NA")</f>
        <v>0</v>
      </c>
    </row>
    <row r="396" ht="16.5" hidden="1" customHeight="1">
      <c r="A396" s="11" t="s">
        <v>365</v>
      </c>
      <c r="B396" s="12">
        <v>0.0</v>
      </c>
      <c r="C396" s="13">
        <f>IFERROR(B396/B446, "NA")</f>
        <v>0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0</v>
      </c>
      <c r="I396" s="13">
        <f>IFERROR(H396/H446, "NA")</f>
        <v>0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0</v>
      </c>
      <c r="O396" s="13">
        <f>IFERROR(N396/N446, "NA")</f>
        <v>0</v>
      </c>
      <c r="P396" s="14"/>
      <c r="Q396" s="12">
        <v>0.0</v>
      </c>
      <c r="R396" s="13">
        <f>IFERROR(Q396/Q446, "NA")</f>
        <v>0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0</v>
      </c>
      <c r="X396" s="13">
        <f>IFERROR(W396/W446, "NA")</f>
        <v>0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0</v>
      </c>
      <c r="AD396" s="13">
        <f>IFERROR(AC396/AC446, "NA")</f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>
        <f>IFERROR(B397/B446, "NA")</f>
        <v>0</v>
      </c>
      <c r="D397" s="8"/>
      <c r="E397" s="17">
        <f>IFERROR(E386+E387+E389+E390+E391+E392+E393+E395+E396, "NA")</f>
        <v>0</v>
      </c>
      <c r="F397" s="18">
        <f>IFERROR(E397/E446, "NA")</f>
        <v>0</v>
      </c>
      <c r="G397" s="8"/>
      <c r="H397" s="17">
        <f t="shared" si="113"/>
        <v>0</v>
      </c>
      <c r="I397" s="18">
        <f>IFERROR(H397/H446, "NA")</f>
        <v>0</v>
      </c>
      <c r="J397" s="8"/>
      <c r="K397" s="17">
        <f>IFERROR(K386+K387+K389+K390+K391+K392+K393+K395+K396, "NA")</f>
        <v>0</v>
      </c>
      <c r="L397" s="18">
        <f>IFERROR(K397/K446, "NA")</f>
        <v>0</v>
      </c>
      <c r="M397" s="8"/>
      <c r="N397" s="17">
        <f t="shared" si="114"/>
        <v>0</v>
      </c>
      <c r="O397" s="18">
        <f>IFERROR(N397/N446, "NA")</f>
        <v>0</v>
      </c>
      <c r="P397" s="8"/>
      <c r="Q397" s="17">
        <f>IFERROR(Q386+Q387+Q389+Q390+Q391+Q392+Q393+Q395+Q396, "NA")</f>
        <v>0</v>
      </c>
      <c r="R397" s="18">
        <f>IFERROR(Q397/Q446, "NA")</f>
        <v>0</v>
      </c>
      <c r="S397" s="8"/>
      <c r="T397" s="17">
        <f>IFERROR(T386+T387+T389+T390+T391+T392+T393+T395+T396, "NA")</f>
        <v>0</v>
      </c>
      <c r="U397" s="18">
        <f>IFERROR(T397/T446, "NA")</f>
        <v>0</v>
      </c>
      <c r="V397" s="8"/>
      <c r="W397" s="17">
        <f t="shared" si="115"/>
        <v>0</v>
      </c>
      <c r="X397" s="18">
        <f>IFERROR(W397/W446, "NA")</f>
        <v>0</v>
      </c>
      <c r="Y397" s="8"/>
      <c r="Z397" s="17">
        <f>IFERROR(Z386+Z387+Z389+Z390+Z391+Z392+Z393+Z395+Z396, "NA")</f>
        <v>0</v>
      </c>
      <c r="AA397" s="18">
        <f>IFERROR(Z397/Z446, "NA")</f>
        <v>0</v>
      </c>
      <c r="AB397" s="8"/>
      <c r="AC397" s="17">
        <f t="shared" si="116"/>
        <v>0</v>
      </c>
      <c r="AD397" s="18">
        <f>IFERROR(AC397/AC446, "NA")</f>
        <v>0</v>
      </c>
    </row>
    <row r="398" ht="16.5" hidden="1" customHeight="1">
      <c r="A398" s="11" t="s">
        <v>367</v>
      </c>
      <c r="B398" s="12">
        <v>0.0</v>
      </c>
      <c r="C398" s="13">
        <f>IFERROR(B398/B446, "NA")</f>
        <v>0</v>
      </c>
      <c r="D398" s="14"/>
      <c r="E398" s="12">
        <v>0.0</v>
      </c>
      <c r="F398" s="13">
        <f>IFERROR(E398/E446, "NA")</f>
        <v>0</v>
      </c>
      <c r="G398" s="14"/>
      <c r="H398" s="15">
        <f t="shared" si="113"/>
        <v>0</v>
      </c>
      <c r="I398" s="13">
        <f>IFERROR(H398/H446, "NA")</f>
        <v>0</v>
      </c>
      <c r="J398" s="14"/>
      <c r="K398" s="12">
        <v>0.0</v>
      </c>
      <c r="L398" s="13">
        <f>IFERROR(K398/K446, "NA")</f>
        <v>0</v>
      </c>
      <c r="M398" s="14"/>
      <c r="N398" s="15">
        <f t="shared" si="114"/>
        <v>0</v>
      </c>
      <c r="O398" s="13">
        <f>IFERROR(N398/N446, "NA")</f>
        <v>0</v>
      </c>
      <c r="P398" s="14"/>
      <c r="Q398" s="12">
        <v>0.0</v>
      </c>
      <c r="R398" s="13">
        <f>IFERROR(Q398/Q446, "NA")</f>
        <v>0</v>
      </c>
      <c r="S398" s="14"/>
      <c r="T398" s="12">
        <v>0.0</v>
      </c>
      <c r="U398" s="13">
        <f>IFERROR(T398/T446, "NA")</f>
        <v>0</v>
      </c>
      <c r="V398" s="14"/>
      <c r="W398" s="15">
        <f t="shared" si="115"/>
        <v>0</v>
      </c>
      <c r="X398" s="13">
        <f>IFERROR(W398/W446, "NA")</f>
        <v>0</v>
      </c>
      <c r="Y398" s="14"/>
      <c r="Z398" s="12">
        <v>0.0</v>
      </c>
      <c r="AA398" s="13">
        <f>IFERROR(Z398/Z446, "NA")</f>
        <v>0</v>
      </c>
      <c r="AB398" s="14"/>
      <c r="AC398" s="15">
        <f t="shared" si="116"/>
        <v>0</v>
      </c>
      <c r="AD398" s="13">
        <f>IFERROR(AC398/AC446, "NA")</f>
        <v>0</v>
      </c>
    </row>
    <row r="399" ht="16.5" hidden="1" customHeight="1">
      <c r="A399" s="11" t="s">
        <v>368</v>
      </c>
      <c r="B399" s="12">
        <v>0.0</v>
      </c>
      <c r="C399" s="13">
        <f>IFERROR(B399/B446, "NA")</f>
        <v>0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0</v>
      </c>
      <c r="I399" s="13">
        <f>IFERROR(H399/H446, "NA")</f>
        <v>0</v>
      </c>
      <c r="J399" s="14"/>
      <c r="K399" s="12">
        <v>0.0</v>
      </c>
      <c r="L399" s="13">
        <f>IFERROR(K399/K446, "NA")</f>
        <v>0</v>
      </c>
      <c r="M399" s="14"/>
      <c r="N399" s="15">
        <f t="shared" si="114"/>
        <v>0</v>
      </c>
      <c r="O399" s="13">
        <f>IFERROR(N399/N446, "NA")</f>
        <v>0</v>
      </c>
      <c r="P399" s="14"/>
      <c r="Q399" s="12">
        <v>0.0</v>
      </c>
      <c r="R399" s="13">
        <f>IFERROR(Q399/Q446, "NA")</f>
        <v>0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0</v>
      </c>
      <c r="X399" s="13">
        <f>IFERROR(W399/W446, "NA")</f>
        <v>0</v>
      </c>
      <c r="Y399" s="14"/>
      <c r="Z399" s="12">
        <v>0.0</v>
      </c>
      <c r="AA399" s="13">
        <f>IFERROR(Z399/Z446, "NA")</f>
        <v>0</v>
      </c>
      <c r="AB399" s="14"/>
      <c r="AC399" s="15">
        <f t="shared" si="116"/>
        <v>0</v>
      </c>
      <c r="AD399" s="13">
        <f>IFERROR(AC399/AC446, "NA")</f>
        <v>0</v>
      </c>
    </row>
    <row r="400" ht="16.5" hidden="1" customHeight="1">
      <c r="A400" s="11" t="s">
        <v>369</v>
      </c>
      <c r="B400" s="12">
        <v>0.0</v>
      </c>
      <c r="C400" s="13">
        <f>IFERROR(B400/B446, "NA")</f>
        <v>0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0</v>
      </c>
      <c r="I400" s="13">
        <f>IFERROR(H400/H446, "NA")</f>
        <v>0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0</v>
      </c>
      <c r="O400" s="13">
        <f>IFERROR(N400/N446, "NA")</f>
        <v>0</v>
      </c>
      <c r="P400" s="14"/>
      <c r="Q400" s="12">
        <v>0.0</v>
      </c>
      <c r="R400" s="13">
        <f>IFERROR(Q400/Q446, "NA")</f>
        <v>0</v>
      </c>
      <c r="S400" s="14"/>
      <c r="T400" s="12">
        <v>0.0</v>
      </c>
      <c r="U400" s="13">
        <f>IFERROR(T400/T446, "NA")</f>
        <v>0</v>
      </c>
      <c r="V400" s="14"/>
      <c r="W400" s="15">
        <f t="shared" si="115"/>
        <v>0</v>
      </c>
      <c r="X400" s="13">
        <f>IFERROR(W400/W446, "NA")</f>
        <v>0</v>
      </c>
      <c r="Y400" s="14"/>
      <c r="Z400" s="12">
        <v>0.0</v>
      </c>
      <c r="AA400" s="13">
        <f>IFERROR(Z400/Z446, "NA")</f>
        <v>0</v>
      </c>
      <c r="AB400" s="14"/>
      <c r="AC400" s="15">
        <f t="shared" si="116"/>
        <v>0</v>
      </c>
      <c r="AD400" s="13">
        <f>IFERROR(AC400/AC446, "NA")</f>
        <v>0</v>
      </c>
    </row>
    <row r="401" ht="16.5" hidden="1" customHeight="1">
      <c r="A401" s="11" t="s">
        <v>370</v>
      </c>
      <c r="B401" s="12">
        <v>0.0</v>
      </c>
      <c r="C401" s="13">
        <f>IFERROR(B401/B446, "NA")</f>
        <v>0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>
        <f>IFERROR(B402/B446, "NA")</f>
        <v>0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>
        <f>IFERROR(B403/B446, "NA")</f>
        <v>0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>
        <f>IFERROR(B404/B446, "NA")</f>
        <v>0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>
        <f>IFERROR(E404/E446, "NA")</f>
        <v>0</v>
      </c>
      <c r="G404" s="8"/>
      <c r="H404" s="17">
        <f t="shared" si="113"/>
        <v>0</v>
      </c>
      <c r="I404" s="18">
        <f>IFERROR(H404/H446, "NA")</f>
        <v>0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>
        <f>IFERROR(K404/K446, "NA")</f>
        <v>0</v>
      </c>
      <c r="M404" s="8"/>
      <c r="N404" s="17">
        <f t="shared" si="114"/>
        <v>0</v>
      </c>
      <c r="O404" s="18">
        <f>IFERROR(N404/N446, "NA")</f>
        <v>0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>
        <f>IFERROR(Q404/Q446, "NA")</f>
        <v>0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>
        <f>IFERROR(T404/T446, "NA")</f>
        <v>0</v>
      </c>
      <c r="V404" s="8"/>
      <c r="W404" s="17">
        <f t="shared" si="115"/>
        <v>0</v>
      </c>
      <c r="X404" s="18">
        <f>IFERROR(W404/W446, "NA")</f>
        <v>0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>
        <f>IFERROR(Z404/Z446, "NA")</f>
        <v>0</v>
      </c>
      <c r="AB404" s="8"/>
      <c r="AC404" s="17">
        <f t="shared" si="116"/>
        <v>0</v>
      </c>
      <c r="AD404" s="18">
        <f>IFERROR(AC404/AC446, "NA")</f>
        <v>0</v>
      </c>
    </row>
    <row r="405" ht="16.5" customHeight="1">
      <c r="A405" s="19" t="s">
        <v>374</v>
      </c>
      <c r="B405" s="20">
        <f>IFERROR(B346-B404, "NA")</f>
        <v>23036.49</v>
      </c>
      <c r="C405" s="21">
        <f>IFERROR(B405/B446, "NA")</f>
        <v>0.1213190656</v>
      </c>
      <c r="D405" s="22"/>
      <c r="E405" s="20">
        <f>IFERROR(E346-E404, "NA")</f>
        <v>27165.49</v>
      </c>
      <c r="F405" s="21">
        <f>IFERROR(E405/E446, "NA")</f>
        <v>0.157325855</v>
      </c>
      <c r="G405" s="22"/>
      <c r="H405" s="20">
        <f>IFERROR(B405-E405, "NA")</f>
        <v>-4129</v>
      </c>
      <c r="I405" s="21">
        <f>IFERROR(H405/H446, "NA")</f>
        <v>-0.239872796</v>
      </c>
      <c r="J405" s="22"/>
      <c r="K405" s="20">
        <f>IFERROR(K346-K404, "NA")</f>
        <v>19316.61</v>
      </c>
      <c r="L405" s="21">
        <f>IFERROR(K405/K446, "NA")</f>
        <v>0.1215746759</v>
      </c>
      <c r="M405" s="22"/>
      <c r="N405" s="20">
        <f>IFERROR(B405-K405, "NA")</f>
        <v>3719.88</v>
      </c>
      <c r="O405" s="21">
        <f>IFERROR(N405/N446, "NA")</f>
        <v>0.1200088267</v>
      </c>
      <c r="P405" s="22"/>
      <c r="Q405" s="20">
        <f>IFERROR(Q346-Q404, "NA")</f>
        <v>211320.96</v>
      </c>
      <c r="R405" s="21">
        <f>IFERROR(Q405/Q446, "NA")</f>
        <v>0.1351720045</v>
      </c>
      <c r="S405" s="22"/>
      <c r="T405" s="20">
        <f>IFERROR(T346-T404, "NA")</f>
        <v>265152.32</v>
      </c>
      <c r="U405" s="21">
        <f>IFERROR(T405/T446, "NA")</f>
        <v>0.1715282905</v>
      </c>
      <c r="V405" s="22"/>
      <c r="W405" s="20">
        <f>IFERROR(Q405-T405, "NA")</f>
        <v>-53831.36</v>
      </c>
      <c r="X405" s="21">
        <f>IFERROR(W405/W446, "NA")</f>
        <v>-3.071531847</v>
      </c>
      <c r="Y405" s="22"/>
      <c r="Z405" s="20">
        <f>IFERROR(Z346-Z404, "NA")</f>
        <v>165360.7</v>
      </c>
      <c r="AA405" s="21">
        <f>IFERROR(Z405/Z446, "NA")</f>
        <v>0.1156035367</v>
      </c>
      <c r="AB405" s="22"/>
      <c r="AC405" s="20">
        <f>IFERROR(Q405-Z405, "NA")</f>
        <v>45960.26</v>
      </c>
      <c r="AD405" s="21">
        <f>IFERROR(AC405/AC446, "NA")</f>
        <v>0.3457310617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>
        <f>IFERROR(B408/B446, "NA")</f>
        <v>0</v>
      </c>
      <c r="D408" s="14"/>
      <c r="E408" s="12">
        <v>4134.83</v>
      </c>
      <c r="F408" s="13">
        <f>IFERROR(E408/E446, "NA")</f>
        <v>0.0239463991</v>
      </c>
      <c r="G408" s="14"/>
      <c r="H408" s="15">
        <f t="shared" ref="H408:H431" si="117">IFERROR(-(B408-E408), "NA")</f>
        <v>4134.83</v>
      </c>
      <c r="I408" s="13">
        <f>IFERROR(H408/H446, "NA")</f>
        <v>0.2402114878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29398.1</v>
      </c>
      <c r="U408" s="13">
        <f>IFERROR(T408/T446, "NA")</f>
        <v>0.01901777</v>
      </c>
      <c r="V408" s="14"/>
      <c r="W408" s="15">
        <f t="shared" ref="W408:W431" si="119">IFERROR(-(Q408-T408), "NA")</f>
        <v>29398.1</v>
      </c>
      <c r="X408" s="13">
        <f>IFERROR(W408/W446, "NA")</f>
        <v>1.677408863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customHeight="1">
      <c r="A409" s="11" t="s">
        <v>377</v>
      </c>
      <c r="B409" s="12">
        <v>0.0</v>
      </c>
      <c r="C409" s="13">
        <f>IFERROR(B409/B446, "NA")</f>
        <v>0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310.05</v>
      </c>
      <c r="R409" s="13">
        <f>IFERROR(Q409/Q446, "NA")</f>
        <v>0.0001983242931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-310.05</v>
      </c>
      <c r="X409" s="13">
        <f>IFERROR(W409/W446, "NA")</f>
        <v>-0.01769096024</v>
      </c>
      <c r="Y409" s="14"/>
      <c r="Z409" s="12">
        <v>250.0</v>
      </c>
      <c r="AA409" s="13">
        <f>IFERROR(Z409/Z446, "NA")</f>
        <v>0.0001747748055</v>
      </c>
      <c r="AB409" s="14"/>
      <c r="AC409" s="15">
        <f t="shared" si="120"/>
        <v>-60.05</v>
      </c>
      <c r="AD409" s="13">
        <f>IFERROR(AC409/AC446, "NA")</f>
        <v>-0.0004517195999</v>
      </c>
    </row>
    <row r="410" ht="16.5" hidden="1" customHeight="1">
      <c r="A410" s="11" t="s">
        <v>378</v>
      </c>
      <c r="B410" s="12">
        <v>0.0</v>
      </c>
      <c r="C410" s="13">
        <f>IFERROR(B410/B446, "NA")</f>
        <v>0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5851.28</v>
      </c>
      <c r="C411" s="13">
        <f>IFERROR(B411/B446, "NA")</f>
        <v>0.03081510343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-5851.28</v>
      </c>
      <c r="I411" s="13">
        <f>IFERROR(H411/H446, "NA")</f>
        <v>-0.339928044</v>
      </c>
      <c r="J411" s="14"/>
      <c r="K411" s="12">
        <v>3920.93</v>
      </c>
      <c r="L411" s="13">
        <f>IFERROR(K411/K446, "NA")</f>
        <v>0.0246775078</v>
      </c>
      <c r="M411" s="14"/>
      <c r="N411" s="15">
        <f t="shared" si="118"/>
        <v>-1930.35</v>
      </c>
      <c r="O411" s="13">
        <f>IFERROR(N411/N446, "NA")</f>
        <v>-0.06227594404</v>
      </c>
      <c r="P411" s="14"/>
      <c r="Q411" s="12">
        <v>36689.02</v>
      </c>
      <c r="R411" s="13">
        <f>IFERROR(Q411/Q446, "NA")</f>
        <v>0.02346822756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-36689.02</v>
      </c>
      <c r="X411" s="13">
        <f>IFERROR(W411/W446, "NA")</f>
        <v>-2.093417171</v>
      </c>
      <c r="Y411" s="14"/>
      <c r="Z411" s="12">
        <v>26985.3</v>
      </c>
      <c r="AA411" s="13">
        <f>IFERROR(Z411/Z446, "NA")</f>
        <v>0.01886540223</v>
      </c>
      <c r="AB411" s="14"/>
      <c r="AC411" s="15">
        <f t="shared" si="120"/>
        <v>-9703.72</v>
      </c>
      <c r="AD411" s="13">
        <f>IFERROR(AC411/AC446, "NA")</f>
        <v>-0.07299517928</v>
      </c>
    </row>
    <row r="412" ht="16.5" hidden="1" customHeight="1">
      <c r="A412" s="11" t="s">
        <v>380</v>
      </c>
      <c r="B412" s="12">
        <v>0.0</v>
      </c>
      <c r="C412" s="13">
        <f>IFERROR(B412/B446, "NA")</f>
        <v>0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0</v>
      </c>
      <c r="I412" s="13">
        <f>IFERROR(H412/H446, "NA")</f>
        <v>0</v>
      </c>
      <c r="J412" s="14"/>
      <c r="K412" s="12">
        <v>0.0</v>
      </c>
      <c r="L412" s="13">
        <f>IFERROR(K412/K446, "NA")</f>
        <v>0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0.0</v>
      </c>
      <c r="R412" s="13">
        <f>IFERROR(Q412/Q446, "NA")</f>
        <v>0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0</v>
      </c>
      <c r="X412" s="13">
        <f>IFERROR(W412/W446, "NA")</f>
        <v>0</v>
      </c>
      <c r="Y412" s="14"/>
      <c r="Z412" s="12">
        <v>0.0</v>
      </c>
      <c r="AA412" s="13">
        <f>IFERROR(Z412/Z446, "NA")</f>
        <v>0</v>
      </c>
      <c r="AB412" s="14"/>
      <c r="AC412" s="15">
        <f t="shared" si="120"/>
        <v>0</v>
      </c>
      <c r="AD412" s="13">
        <f>IFERROR(AC412/AC446, "NA")</f>
        <v>0</v>
      </c>
    </row>
    <row r="413" ht="16.5" hidden="1" customHeight="1">
      <c r="A413" s="11" t="s">
        <v>381</v>
      </c>
      <c r="B413" s="12">
        <v>0.0</v>
      </c>
      <c r="C413" s="13">
        <f>IFERROR(B413/B446, "NA")</f>
        <v>0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>
        <f>IFERROR(B414/B446, "NA")</f>
        <v>0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>
        <f>IFERROR(B415/B446, "NA")</f>
        <v>0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>
        <f>IFERROR(B416/B446, "NA")</f>
        <v>0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0.0</v>
      </c>
      <c r="C417" s="13">
        <f>IFERROR(B417/B446, "NA")</f>
        <v>0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0</v>
      </c>
      <c r="I417" s="13">
        <f>IFERROR(H417/H446, "NA")</f>
        <v>0</v>
      </c>
      <c r="J417" s="14"/>
      <c r="K417" s="12">
        <v>0.0</v>
      </c>
      <c r="L417" s="13">
        <f>IFERROR(K417/K446, "NA")</f>
        <v>0</v>
      </c>
      <c r="M417" s="14"/>
      <c r="N417" s="15">
        <f t="shared" si="118"/>
        <v>0</v>
      </c>
      <c r="O417" s="13">
        <f>IFERROR(N417/N446, "NA")</f>
        <v>0</v>
      </c>
      <c r="P417" s="14"/>
      <c r="Q417" s="12">
        <v>-48.57</v>
      </c>
      <c r="R417" s="13">
        <f>IFERROR(Q417/Q446, "NA")</f>
        <v>-0.00003106792748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48.57</v>
      </c>
      <c r="X417" s="13">
        <f>IFERROR(W417/W446, "NA")</f>
        <v>0.002771327007</v>
      </c>
      <c r="Y417" s="14"/>
      <c r="Z417" s="12">
        <v>0.0</v>
      </c>
      <c r="AA417" s="13">
        <f>IFERROR(Z417/Z446, "NA")</f>
        <v>0</v>
      </c>
      <c r="AB417" s="14"/>
      <c r="AC417" s="15">
        <f t="shared" si="120"/>
        <v>48.57</v>
      </c>
      <c r="AD417" s="13">
        <f>IFERROR(AC417/AC446, "NA")</f>
        <v>0.0003653625473</v>
      </c>
    </row>
    <row r="418" ht="16.5" customHeight="1">
      <c r="A418" s="11" t="s">
        <v>386</v>
      </c>
      <c r="B418" s="12">
        <v>5.07</v>
      </c>
      <c r="C418" s="13">
        <f>IFERROR(B418/B446, "NA")</f>
        <v>0.00002670058079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-5.07</v>
      </c>
      <c r="I418" s="13">
        <f>IFERROR(H418/H446, "NA")</f>
        <v>-0.0002945398584</v>
      </c>
      <c r="J418" s="14"/>
      <c r="K418" s="12">
        <v>-116.16</v>
      </c>
      <c r="L418" s="13">
        <f>IFERROR(K418/K446, "NA")</f>
        <v>-0.0007310865806</v>
      </c>
      <c r="M418" s="14"/>
      <c r="N418" s="15">
        <f t="shared" si="118"/>
        <v>-121.23</v>
      </c>
      <c r="O418" s="13">
        <f>IFERROR(N418/N446, "NA")</f>
        <v>-0.003911058977</v>
      </c>
      <c r="P418" s="14"/>
      <c r="Q418" s="12">
        <v>-132.84</v>
      </c>
      <c r="R418" s="13">
        <f>IFERROR(Q418/Q446, "NA")</f>
        <v>-0.0000849714533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132.84</v>
      </c>
      <c r="X418" s="13">
        <f>IFERROR(W418/W446, "NA")</f>
        <v>0.007579639277</v>
      </c>
      <c r="Y418" s="14"/>
      <c r="Z418" s="12">
        <v>49.56</v>
      </c>
      <c r="AA418" s="13">
        <f>IFERROR(Z418/Z446, "NA")</f>
        <v>0.00003464735743</v>
      </c>
      <c r="AB418" s="14"/>
      <c r="AC418" s="15">
        <f t="shared" si="120"/>
        <v>182.4</v>
      </c>
      <c r="AD418" s="13">
        <f>IFERROR(AC418/AC446, "NA")</f>
        <v>0.00137208418</v>
      </c>
    </row>
    <row r="419" ht="16.5" hidden="1" customHeight="1">
      <c r="A419" s="11" t="s">
        <v>387</v>
      </c>
      <c r="B419" s="12">
        <v>0.0</v>
      </c>
      <c r="C419" s="13">
        <f>IFERROR(B419/B446, "NA")</f>
        <v>0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0.0</v>
      </c>
      <c r="AA419" s="13">
        <f>IFERROR(Z419/Z446, "NA")</f>
        <v>0</v>
      </c>
      <c r="AB419" s="14"/>
      <c r="AC419" s="15">
        <f t="shared" si="120"/>
        <v>0</v>
      </c>
      <c r="AD419" s="13">
        <f>IFERROR(AC419/AC446, "NA")</f>
        <v>0</v>
      </c>
    </row>
    <row r="420" ht="16.5" hidden="1" customHeight="1">
      <c r="A420" s="11" t="s">
        <v>388</v>
      </c>
      <c r="B420" s="12">
        <v>0.0</v>
      </c>
      <c r="C420" s="13">
        <f>IFERROR(B420/B446, "NA")</f>
        <v>0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0.0</v>
      </c>
      <c r="AA420" s="13">
        <f>IFERROR(Z420/Z446, "NA")</f>
        <v>0</v>
      </c>
      <c r="AB420" s="14"/>
      <c r="AC420" s="15">
        <f t="shared" si="120"/>
        <v>0</v>
      </c>
      <c r="AD420" s="13">
        <f>IFERROR(AC420/AC446, "NA")</f>
        <v>0</v>
      </c>
    </row>
    <row r="421" ht="16.5" hidden="1" customHeight="1">
      <c r="A421" s="11" t="s">
        <v>389</v>
      </c>
      <c r="B421" s="12">
        <v>0.0</v>
      </c>
      <c r="C421" s="13">
        <f>IFERROR(B421/B446, "NA")</f>
        <v>0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customHeight="1">
      <c r="A422" s="11" t="s">
        <v>390</v>
      </c>
      <c r="B422" s="12">
        <v>-10.0</v>
      </c>
      <c r="C422" s="13">
        <f>IFERROR(B422/B446, "NA")</f>
        <v>-0.00005266386744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10</v>
      </c>
      <c r="I422" s="13">
        <f>IFERROR(H422/H446, "NA")</f>
        <v>0.0005809464664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10</v>
      </c>
      <c r="O422" s="13">
        <f>IFERROR(N422/N446, "NA")</f>
        <v>0.0003226147799</v>
      </c>
      <c r="P422" s="14"/>
      <c r="Q422" s="12">
        <v>66.0</v>
      </c>
      <c r="R422" s="13">
        <f>IFERROR(Q422/Q446, "NA")</f>
        <v>0.00004221707255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-66</v>
      </c>
      <c r="X422" s="13">
        <f>IFERROR(W422/W446, "NA")</f>
        <v>-0.003765855106</v>
      </c>
      <c r="Y422" s="14"/>
      <c r="Z422" s="12">
        <v>-50.0</v>
      </c>
      <c r="AA422" s="13">
        <f>IFERROR(Z422/Z446, "NA")</f>
        <v>-0.00003495496109</v>
      </c>
      <c r="AB422" s="14"/>
      <c r="AC422" s="15">
        <f t="shared" si="120"/>
        <v>-116</v>
      </c>
      <c r="AD422" s="13">
        <f>IFERROR(AC422/AC446, "NA")</f>
        <v>-0.0008725973952</v>
      </c>
    </row>
    <row r="423" ht="16.5" hidden="1" customHeight="1">
      <c r="A423" s="11" t="s">
        <v>391</v>
      </c>
      <c r="B423" s="12">
        <v>0.0</v>
      </c>
      <c r="C423" s="13">
        <f>IFERROR(B423/B446, "NA")</f>
        <v>0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0.0</v>
      </c>
      <c r="R423" s="13">
        <f>IFERROR(Q423/Q446, "NA")</f>
        <v>0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0</v>
      </c>
      <c r="X423" s="13">
        <f>IFERROR(W423/W446, "NA")</f>
        <v>0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0</v>
      </c>
      <c r="AD423" s="13">
        <f>IFERROR(AC423/AC446, "NA")</f>
        <v>0</v>
      </c>
    </row>
    <row r="424" ht="16.5" hidden="1" customHeight="1">
      <c r="A424" s="11" t="s">
        <v>392</v>
      </c>
      <c r="B424" s="12">
        <v>0.0</v>
      </c>
      <c r="C424" s="13">
        <f>IFERROR(B424/B446, "NA")</f>
        <v>0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0</v>
      </c>
      <c r="I424" s="13">
        <f>IFERROR(H424/H446, "NA")</f>
        <v>0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0</v>
      </c>
      <c r="O424" s="13">
        <f>IFERROR(N424/N446, "NA")</f>
        <v>0</v>
      </c>
      <c r="P424" s="14"/>
      <c r="Q424" s="12">
        <v>0.0</v>
      </c>
      <c r="R424" s="13">
        <f>IFERROR(Q424/Q446, "NA")</f>
        <v>0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0</v>
      </c>
      <c r="X424" s="13">
        <f>IFERROR(W424/W446, "NA")</f>
        <v>0</v>
      </c>
      <c r="Y424" s="14"/>
      <c r="Z424" s="12">
        <v>0.0</v>
      </c>
      <c r="AA424" s="13">
        <f>IFERROR(Z424/Z446, "NA")</f>
        <v>0</v>
      </c>
      <c r="AB424" s="14"/>
      <c r="AC424" s="15">
        <f t="shared" si="120"/>
        <v>0</v>
      </c>
      <c r="AD424" s="13">
        <f>IFERROR(AC424/AC446, "NA")</f>
        <v>0</v>
      </c>
    </row>
    <row r="425" ht="16.5" hidden="1" customHeight="1">
      <c r="A425" s="11" t="s">
        <v>393</v>
      </c>
      <c r="B425" s="12">
        <v>0.0</v>
      </c>
      <c r="C425" s="13">
        <f>IFERROR(B425/B446, "NA")</f>
        <v>0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0</v>
      </c>
      <c r="I425" s="13">
        <f>IFERROR(H425/H446, "NA")</f>
        <v>0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0</v>
      </c>
      <c r="O425" s="13">
        <f>IFERROR(N425/N446, "NA")</f>
        <v>0</v>
      </c>
      <c r="P425" s="14"/>
      <c r="Q425" s="12">
        <v>0.0</v>
      </c>
      <c r="R425" s="13">
        <f>IFERROR(Q425/Q446, "NA")</f>
        <v>0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0</v>
      </c>
      <c r="X425" s="13">
        <f>IFERROR(W425/W446, "NA")</f>
        <v>0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0</v>
      </c>
      <c r="AD425" s="13">
        <f>IFERROR(AC425/AC446, "NA")</f>
        <v>0</v>
      </c>
    </row>
    <row r="426" ht="16.5" hidden="1" customHeight="1">
      <c r="A426" s="11" t="s">
        <v>394</v>
      </c>
      <c r="B426" s="12">
        <v>0.0</v>
      </c>
      <c r="C426" s="13">
        <f>IFERROR(B426/B446, "NA")</f>
        <v>0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0.0</v>
      </c>
      <c r="R426" s="13">
        <f>IFERROR(Q426/Q446, "NA")</f>
        <v>0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0</v>
      </c>
      <c r="X426" s="13">
        <f>IFERROR(W426/W446, "NA")</f>
        <v>0</v>
      </c>
      <c r="Y426" s="14"/>
      <c r="Z426" s="12">
        <v>0.0</v>
      </c>
      <c r="AA426" s="13">
        <f>IFERROR(Z426/Z446, "NA")</f>
        <v>0</v>
      </c>
      <c r="AB426" s="14"/>
      <c r="AC426" s="15">
        <f t="shared" si="120"/>
        <v>0</v>
      </c>
      <c r="AD426" s="13">
        <f>IFERROR(AC426/AC446, "NA")</f>
        <v>0</v>
      </c>
    </row>
    <row r="427" ht="16.5" hidden="1" customHeight="1">
      <c r="A427" s="11" t="s">
        <v>395</v>
      </c>
      <c r="B427" s="12">
        <v>0.0</v>
      </c>
      <c r="C427" s="13">
        <f>IFERROR(B427/B446, "NA")</f>
        <v>0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0.0</v>
      </c>
      <c r="R427" s="13">
        <f>IFERROR(Q427/Q446, "NA")</f>
        <v>0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0</v>
      </c>
      <c r="X427" s="13">
        <f>IFERROR(W427/W446, "NA")</f>
        <v>0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0</v>
      </c>
      <c r="AD427" s="13">
        <f>IFERROR(AC427/AC446, "NA")</f>
        <v>0</v>
      </c>
    </row>
    <row r="428" ht="16.5" hidden="1" customHeight="1">
      <c r="A428" s="11" t="s">
        <v>396</v>
      </c>
      <c r="B428" s="12">
        <v>0.0</v>
      </c>
      <c r="C428" s="13">
        <f>IFERROR(B428/B446, "NA")</f>
        <v>0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0</v>
      </c>
      <c r="I428" s="13">
        <f>IFERROR(H428/H446, "NA")</f>
        <v>0</v>
      </c>
      <c r="J428" s="14"/>
      <c r="K428" s="12">
        <v>0.0</v>
      </c>
      <c r="L428" s="13">
        <f>IFERROR(K428/K446, "NA")</f>
        <v>0</v>
      </c>
      <c r="M428" s="14"/>
      <c r="N428" s="15">
        <f t="shared" si="118"/>
        <v>0</v>
      </c>
      <c r="O428" s="13">
        <f>IFERROR(N428/N446, "NA")</f>
        <v>0</v>
      </c>
      <c r="P428" s="14"/>
      <c r="Q428" s="12">
        <v>0.0</v>
      </c>
      <c r="R428" s="13">
        <f>IFERROR(Q428/Q446, "NA")</f>
        <v>0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0</v>
      </c>
      <c r="X428" s="13">
        <f>IFERROR(W428/W446, "NA")</f>
        <v>0</v>
      </c>
      <c r="Y428" s="14"/>
      <c r="Z428" s="12">
        <v>0.0</v>
      </c>
      <c r="AA428" s="13">
        <f>IFERROR(Z428/Z446, "NA")</f>
        <v>0</v>
      </c>
      <c r="AB428" s="14"/>
      <c r="AC428" s="15">
        <f t="shared" si="120"/>
        <v>0</v>
      </c>
      <c r="AD428" s="13">
        <f>IFERROR(AC428/AC446, "NA")</f>
        <v>0</v>
      </c>
    </row>
    <row r="429" ht="16.5" hidden="1" customHeight="1">
      <c r="A429" s="11" t="s">
        <v>397</v>
      </c>
      <c r="B429" s="12">
        <v>0.0</v>
      </c>
      <c r="C429" s="13">
        <f>IFERROR(B429/B446, "NA")</f>
        <v>0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5846.35</v>
      </c>
      <c r="C430" s="18">
        <f>IFERROR(B430/B446, "NA")</f>
        <v>0.03078914014</v>
      </c>
      <c r="D430" s="8"/>
      <c r="E430" s="17">
        <f>IFERROR(E408+E409+E410+E411+E412+E413+E414+E415+E416+E417+E418+E419+E420+E421+E422+E423+E424+E425+E426+E427+E428+E429, "NA")</f>
        <v>4134.83</v>
      </c>
      <c r="F430" s="18">
        <f>IFERROR(E430/E446, "NA")</f>
        <v>0.0239463991</v>
      </c>
      <c r="G430" s="8"/>
      <c r="H430" s="17">
        <f t="shared" si="117"/>
        <v>-1711.52</v>
      </c>
      <c r="I430" s="18">
        <f>IFERROR(H430/H446, "NA")</f>
        <v>-0.09943014961</v>
      </c>
      <c r="J430" s="8"/>
      <c r="K430" s="17">
        <f>IFERROR(K408+K409+K410+K411+K412+K413+K414+K415+K416+K417+K418+K419+K420+K421+K422+K423+K424+K425+K426+K427+K428+K429, "NA")</f>
        <v>3804.77</v>
      </c>
      <c r="L430" s="18">
        <f>IFERROR(K430/K446, "NA")</f>
        <v>0.02394642122</v>
      </c>
      <c r="M430" s="8"/>
      <c r="N430" s="17">
        <f t="shared" si="118"/>
        <v>-2041.58</v>
      </c>
      <c r="O430" s="18">
        <f>IFERROR(N430/N446, "NA")</f>
        <v>-0.06586438823</v>
      </c>
      <c r="P430" s="8"/>
      <c r="Q430" s="17">
        <f>IFERROR(Q408+Q409+Q410+Q411+Q412+Q413+Q414+Q415+Q416+Q417+Q418+Q419+Q420+Q421+Q422+Q423+Q424+Q425+Q426+Q427+Q428+Q429, "NA")</f>
        <v>36883.66</v>
      </c>
      <c r="R430" s="18">
        <f>IFERROR(Q430/Q446, "NA")</f>
        <v>0.02359272955</v>
      </c>
      <c r="S430" s="8"/>
      <c r="T430" s="17">
        <f>IFERROR(T408+T409+T410+T411+T412+T413+T414+T415+T416+T417+T418+T419+T420+T421+T422+T423+T424+T425+T426+T427+T428+T429, "NA")</f>
        <v>29398.1</v>
      </c>
      <c r="U430" s="18">
        <f>IFERROR(T430/T446, "NA")</f>
        <v>0.01901777</v>
      </c>
      <c r="V430" s="8"/>
      <c r="W430" s="17">
        <f t="shared" si="119"/>
        <v>-7485.56</v>
      </c>
      <c r="X430" s="18">
        <f>IFERROR(W430/W446, "NA")</f>
        <v>-0.4271141568</v>
      </c>
      <c r="Y430" s="8"/>
      <c r="Z430" s="17">
        <f>IFERROR(Z408+Z409+Z410+Z411+Z412+Z413+Z414+Z415+Z416+Z417+Z418+Z419+Z420+Z421+Z422+Z423+Z424+Z425+Z426+Z427+Z428+Z429, "NA")</f>
        <v>27234.86</v>
      </c>
      <c r="AA430" s="18">
        <f>IFERROR(Z430/Z446, "NA")</f>
        <v>0.01903986943</v>
      </c>
      <c r="AB430" s="8"/>
      <c r="AC430" s="17">
        <f t="shared" si="120"/>
        <v>-9648.8</v>
      </c>
      <c r="AD430" s="18">
        <f>IFERROR(AC430/AC446, "NA")</f>
        <v>-0.07258204954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5846.35</v>
      </c>
      <c r="C431" s="18">
        <f>IFERROR(B431/B446, "NA")</f>
        <v>0.03078914014</v>
      </c>
      <c r="D431" s="8"/>
      <c r="E431" s="17">
        <f>IFERROR(E408+E409+E410+E411+E412+E413+E414+E415+E416+E417+E418+E419+E420+E421+E422+E423+E424+E425+E426+E427+E428+E429, "NA")</f>
        <v>4134.83</v>
      </c>
      <c r="F431" s="18">
        <f>IFERROR(E431/E446, "NA")</f>
        <v>0.0239463991</v>
      </c>
      <c r="G431" s="8"/>
      <c r="H431" s="17">
        <f t="shared" si="117"/>
        <v>-1711.52</v>
      </c>
      <c r="I431" s="18">
        <f>IFERROR(H431/H446, "NA")</f>
        <v>-0.09943014961</v>
      </c>
      <c r="J431" s="8"/>
      <c r="K431" s="17">
        <f>IFERROR(K408+K409+K410+K411+K412+K413+K414+K415+K416+K417+K418+K419+K420+K421+K422+K423+K424+K425+K426+K427+K428+K429, "NA")</f>
        <v>3804.77</v>
      </c>
      <c r="L431" s="18">
        <f>IFERROR(K431/K446, "NA")</f>
        <v>0.02394642122</v>
      </c>
      <c r="M431" s="8"/>
      <c r="N431" s="17">
        <f t="shared" si="118"/>
        <v>-2041.58</v>
      </c>
      <c r="O431" s="18">
        <f>IFERROR(N431/N446, "NA")</f>
        <v>-0.06586438823</v>
      </c>
      <c r="P431" s="8"/>
      <c r="Q431" s="17">
        <f>IFERROR(Q408+Q409+Q410+Q411+Q412+Q413+Q414+Q415+Q416+Q417+Q418+Q419+Q420+Q421+Q422+Q423+Q424+Q425+Q426+Q427+Q428+Q429, "NA")</f>
        <v>36883.66</v>
      </c>
      <c r="R431" s="18">
        <f>IFERROR(Q431/Q446, "NA")</f>
        <v>0.02359272955</v>
      </c>
      <c r="S431" s="8"/>
      <c r="T431" s="17">
        <f>IFERROR(T408+T409+T410+T411+T412+T413+T414+T415+T416+T417+T418+T419+T420+T421+T422+T423+T424+T425+T426+T427+T428+T429, "NA")</f>
        <v>29398.1</v>
      </c>
      <c r="U431" s="18">
        <f>IFERROR(T431/T446, "NA")</f>
        <v>0.01901777</v>
      </c>
      <c r="V431" s="8"/>
      <c r="W431" s="17">
        <f t="shared" si="119"/>
        <v>-7485.56</v>
      </c>
      <c r="X431" s="18">
        <f>IFERROR(W431/W446, "NA")</f>
        <v>-0.4271141568</v>
      </c>
      <c r="Y431" s="8"/>
      <c r="Z431" s="17">
        <f>IFERROR(Z408+Z409+Z410+Z411+Z412+Z413+Z414+Z415+Z416+Z417+Z418+Z419+Z420+Z421+Z422+Z423+Z424+Z425+Z426+Z427+Z428+Z429, "NA")</f>
        <v>27234.86</v>
      </c>
      <c r="AA431" s="18">
        <f>IFERROR(Z431/Z446, "NA")</f>
        <v>0.01903986943</v>
      </c>
      <c r="AB431" s="8"/>
      <c r="AC431" s="17">
        <f t="shared" si="120"/>
        <v>-9648.8</v>
      </c>
      <c r="AD431" s="18">
        <f>IFERROR(AC431/AC446, "NA")</f>
        <v>-0.07258204954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>
        <f>IFERROR(B434/B446, "NA")</f>
        <v>0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>
        <f>IFERROR(B435/B446, "NA")</f>
        <v>0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>
        <f>IFERROR(B436/B446, "NA")</f>
        <v>0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>
        <f>IFERROR(B437/B446, "NA")</f>
        <v>0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>
        <f>IFERROR(B438/B446, "NA")</f>
        <v>0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>
        <f>IFERROR(B439/B446, "NA")</f>
        <v>0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>
        <f>IFERROR(B440/B446, "NA")</f>
        <v>0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>
        <f>IFERROR(B441/B446, "NA")</f>
        <v>0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>
        <f>IFERROR(B442/B446, "NA")</f>
        <v>0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>
        <f>IFERROR(B443/B446, "NA")</f>
        <v>0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>
        <f>IFERROR(B444/B446, "NA")</f>
        <v>0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17190.14</v>
      </c>
      <c r="C445" s="21">
        <f>IFERROR(B445/B446, "NA")</f>
        <v>0.09052992543</v>
      </c>
      <c r="D445" s="22"/>
      <c r="E445" s="20">
        <f>IFERROR(E405-E431-E444, "NA")</f>
        <v>23030.66</v>
      </c>
      <c r="F445" s="21">
        <f>IFERROR(E445/E446, "NA")</f>
        <v>0.1333794559</v>
      </c>
      <c r="G445" s="22"/>
      <c r="H445" s="20">
        <f t="shared" ref="H445:H446" si="125">IFERROR(B445-E445, "NA")</f>
        <v>-5840.52</v>
      </c>
      <c r="I445" s="21">
        <f>IFERROR(H445/H446, "NA")</f>
        <v>-0.3393029456</v>
      </c>
      <c r="J445" s="22"/>
      <c r="K445" s="20">
        <f>IFERROR(K405-K431-K444, "NA")</f>
        <v>15511.84</v>
      </c>
      <c r="L445" s="21">
        <f>IFERROR(K445/K446, "NA")</f>
        <v>0.09762825468</v>
      </c>
      <c r="M445" s="22"/>
      <c r="N445" s="20">
        <f t="shared" ref="N445:N446" si="126">IFERROR(B445-K445, "NA")</f>
        <v>1678.3</v>
      </c>
      <c r="O445" s="21">
        <f>IFERROR(N445/N446, "NA")</f>
        <v>0.05414443851</v>
      </c>
      <c r="P445" s="22"/>
      <c r="Q445" s="20">
        <f>IFERROR(Q405-Q431-Q444, "NA")</f>
        <v>174437.3</v>
      </c>
      <c r="R445" s="21">
        <f>IFERROR(Q445/Q446, "NA")</f>
        <v>0.111579275</v>
      </c>
      <c r="S445" s="22"/>
      <c r="T445" s="20">
        <f>IFERROR(T405-T431-T444, "NA")</f>
        <v>235754.22</v>
      </c>
      <c r="U445" s="21">
        <f>IFERROR(T445/T446, "NA")</f>
        <v>0.1525105205</v>
      </c>
      <c r="V445" s="22"/>
      <c r="W445" s="20">
        <f t="shared" ref="W445:W446" si="127">IFERROR(Q445-T445, "NA")</f>
        <v>-61316.92</v>
      </c>
      <c r="X445" s="21">
        <f>IFERROR(W445/W446, "NA")</f>
        <v>-3.498646004</v>
      </c>
      <c r="Y445" s="22"/>
      <c r="Z445" s="20">
        <f>IFERROR(Z405-Z431-Z444, "NA")</f>
        <v>138125.84</v>
      </c>
      <c r="AA445" s="21">
        <f>IFERROR(Z445/Z446, "NA")</f>
        <v>0.09656366726</v>
      </c>
      <c r="AB445" s="22"/>
      <c r="AC445" s="20">
        <f t="shared" ref="AC445:AC446" si="128">IFERROR(Q445-Z445, "NA")</f>
        <v>36311.46</v>
      </c>
      <c r="AD445" s="21">
        <f>IFERROR(AC445/AC446, "NA")</f>
        <v>0.2731490122</v>
      </c>
    </row>
    <row r="446" ht="14.25" hidden="1" customHeight="1">
      <c r="A446" s="11" t="s">
        <v>120</v>
      </c>
      <c r="B446" s="12">
        <v>189883.51</v>
      </c>
      <c r="C446" s="23"/>
      <c r="D446" s="14"/>
      <c r="E446" s="12">
        <v>172670.22</v>
      </c>
      <c r="F446" s="23"/>
      <c r="G446" s="14"/>
      <c r="H446" s="15">
        <f t="shared" si="125"/>
        <v>17213.29</v>
      </c>
      <c r="I446" s="23"/>
      <c r="J446" s="14"/>
      <c r="K446" s="12">
        <v>158886.79</v>
      </c>
      <c r="L446" s="23"/>
      <c r="M446" s="14"/>
      <c r="N446" s="15">
        <f t="shared" si="126"/>
        <v>30996.72</v>
      </c>
      <c r="O446" s="23"/>
      <c r="P446" s="14"/>
      <c r="Q446" s="12">
        <v>1563348.57</v>
      </c>
      <c r="R446" s="23"/>
      <c r="S446" s="14"/>
      <c r="T446" s="12">
        <v>1545822.67</v>
      </c>
      <c r="U446" s="23"/>
      <c r="V446" s="14"/>
      <c r="W446" s="15">
        <f t="shared" si="127"/>
        <v>17525.9</v>
      </c>
      <c r="X446" s="23"/>
      <c r="Y446" s="14"/>
      <c r="Z446" s="12">
        <v>1430412.12</v>
      </c>
      <c r="AA446" s="23"/>
      <c r="AB446" s="14"/>
      <c r="AC446" s="15">
        <f t="shared" si="128"/>
        <v>132936.45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417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>
        <f>IFERROR(B8/B446, "NA")</f>
        <v>0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>
        <f>IFERROR(B10/B446, "NA")</f>
        <v>0</v>
      </c>
      <c r="D10" s="14"/>
      <c r="E10" s="12">
        <v>41118.01</v>
      </c>
      <c r="F10" s="13">
        <f>IFERROR(E10/E446, "NA")</f>
        <v>0.4259999569</v>
      </c>
      <c r="G10" s="14"/>
      <c r="H10" s="15">
        <f t="shared" ref="H10:H19" si="1">IFERROR(B10-E10, "NA")</f>
        <v>-41118.01</v>
      </c>
      <c r="I10" s="13">
        <f>IFERROR(H10/H446, "NA")</f>
        <v>-17.1437905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337185.42</v>
      </c>
      <c r="U10" s="13">
        <f>IFERROR(T10/T446, "NA")</f>
        <v>0.4259999948</v>
      </c>
      <c r="V10" s="14"/>
      <c r="W10" s="15">
        <f t="shared" ref="W10:W19" si="3">IFERROR(Q10-T10, "NA")</f>
        <v>-337185.42</v>
      </c>
      <c r="X10" s="13">
        <f>IFERROR(W10/W446, "NA")</f>
        <v>-3.150518905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36173.05</v>
      </c>
      <c r="C11" s="13">
        <f>IFERROR(B11/B446, "NA")</f>
        <v>0.3656813949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36173.05</v>
      </c>
      <c r="I11" s="13">
        <f>IFERROR(H11/H446, "NA")</f>
        <v>15.08203317</v>
      </c>
      <c r="J11" s="14"/>
      <c r="K11" s="12">
        <v>43476.3</v>
      </c>
      <c r="L11" s="13">
        <f>IFERROR(K11/K446, "NA")</f>
        <v>0.4892827493</v>
      </c>
      <c r="M11" s="14"/>
      <c r="N11" s="15">
        <f t="shared" si="2"/>
        <v>-7303.25</v>
      </c>
      <c r="O11" s="13">
        <f>IFERROR(N11/N446, "NA")</f>
        <v>-0.7257981966</v>
      </c>
      <c r="P11" s="14"/>
      <c r="Q11" s="12">
        <v>331157.72</v>
      </c>
      <c r="R11" s="13">
        <f>IFERROR(Q11/Q446, "NA")</f>
        <v>0.3685507132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331157.72</v>
      </c>
      <c r="X11" s="13">
        <f>IFERROR(W11/W446, "NA")</f>
        <v>3.094198609</v>
      </c>
      <c r="Y11" s="14"/>
      <c r="Z11" s="12">
        <v>337584.64</v>
      </c>
      <c r="AA11" s="13">
        <f>IFERROR(Z11/Z446, "NA")</f>
        <v>0.460221433</v>
      </c>
      <c r="AB11" s="14"/>
      <c r="AC11" s="15">
        <f t="shared" si="4"/>
        <v>-6426.92</v>
      </c>
      <c r="AD11" s="13">
        <f>IFERROR(AC11/AC446, "NA")</f>
        <v>-0.03894775161</v>
      </c>
    </row>
    <row r="12" ht="16.5" customHeight="1">
      <c r="A12" s="11" t="s">
        <v>17</v>
      </c>
      <c r="B12" s="12">
        <v>3574.5</v>
      </c>
      <c r="C12" s="13">
        <f>IFERROR(B12/B446, "NA")</f>
        <v>0.03613541424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3574.5</v>
      </c>
      <c r="I12" s="13">
        <f>IFERROR(H12/H446, "NA")</f>
        <v>1.490356151</v>
      </c>
      <c r="J12" s="14"/>
      <c r="K12" s="12">
        <v>4140.9</v>
      </c>
      <c r="L12" s="13">
        <f>IFERROR(K12/K446, "NA")</f>
        <v>0.04660173328</v>
      </c>
      <c r="M12" s="14"/>
      <c r="N12" s="15">
        <f t="shared" si="2"/>
        <v>-566.4</v>
      </c>
      <c r="O12" s="13">
        <f>IFERROR(N12/N446, "NA")</f>
        <v>-0.05628892597</v>
      </c>
      <c r="P12" s="14"/>
      <c r="Q12" s="12">
        <v>32569.5</v>
      </c>
      <c r="R12" s="13">
        <f>IFERROR(Q12/Q446, "NA")</f>
        <v>0.03624711649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32569.5</v>
      </c>
      <c r="X12" s="13">
        <f>IFERROR(W12/W446, "NA")</f>
        <v>0.3043157248</v>
      </c>
      <c r="Y12" s="14"/>
      <c r="Z12" s="12">
        <v>32802.2</v>
      </c>
      <c r="AA12" s="13">
        <f>IFERROR(Z12/Z446, "NA")</f>
        <v>0.04471849042</v>
      </c>
      <c r="AB12" s="14"/>
      <c r="AC12" s="15">
        <f t="shared" si="4"/>
        <v>-232.7</v>
      </c>
      <c r="AD12" s="13">
        <f>IFERROR(AC12/AC446, "NA")</f>
        <v>-0.001410184318</v>
      </c>
    </row>
    <row r="13" ht="16.5" customHeight="1">
      <c r="A13" s="11" t="s">
        <v>18</v>
      </c>
      <c r="B13" s="12">
        <v>215.0</v>
      </c>
      <c r="C13" s="13">
        <f>IFERROR(B13/B446, "NA")</f>
        <v>0.002173482742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215</v>
      </c>
      <c r="I13" s="13">
        <f>IFERROR(H13/H446, "NA")</f>
        <v>0.08964234788</v>
      </c>
      <c r="J13" s="14"/>
      <c r="K13" s="12">
        <v>156.5</v>
      </c>
      <c r="L13" s="13">
        <f>IFERROR(K13/K446, "NA")</f>
        <v>0.001761252688</v>
      </c>
      <c r="M13" s="14"/>
      <c r="N13" s="15">
        <f t="shared" si="2"/>
        <v>58.5</v>
      </c>
      <c r="O13" s="13">
        <f>IFERROR(N13/N446, "NA")</f>
        <v>0.005813739705</v>
      </c>
      <c r="P13" s="14"/>
      <c r="Q13" s="12">
        <v>1359.0</v>
      </c>
      <c r="R13" s="13">
        <f>IFERROR(Q13/Q446, "NA")</f>
        <v>0.001512452795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1359</v>
      </c>
      <c r="X13" s="13">
        <f>IFERROR(W13/W446, "NA")</f>
        <v>0.01269792505</v>
      </c>
      <c r="Y13" s="14"/>
      <c r="Z13" s="12">
        <v>1244.0</v>
      </c>
      <c r="AA13" s="13">
        <f>IFERROR(Z13/Z446, "NA")</f>
        <v>0.001695916801</v>
      </c>
      <c r="AB13" s="14"/>
      <c r="AC13" s="15">
        <f t="shared" si="4"/>
        <v>115</v>
      </c>
      <c r="AD13" s="13">
        <f>IFERROR(AC13/AC446, "NA")</f>
        <v>0.0006969110297</v>
      </c>
    </row>
    <row r="14" ht="16.5" customHeight="1">
      <c r="A14" s="11" t="s">
        <v>19</v>
      </c>
      <c r="B14" s="12">
        <v>0.0</v>
      </c>
      <c r="C14" s="13">
        <f>IFERROR(B14/B446, "NA")</f>
        <v>0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0</v>
      </c>
      <c r="I14" s="13">
        <f>IFERROR(H14/H446, "NA")</f>
        <v>0</v>
      </c>
      <c r="J14" s="14"/>
      <c r="K14" s="12">
        <v>240.0</v>
      </c>
      <c r="L14" s="13">
        <f>IFERROR(K14/K446, "NA")</f>
        <v>0.002700962589</v>
      </c>
      <c r="M14" s="14"/>
      <c r="N14" s="15">
        <f t="shared" si="2"/>
        <v>-240</v>
      </c>
      <c r="O14" s="13">
        <f>IFERROR(N14/N446, "NA")</f>
        <v>-0.02385123982</v>
      </c>
      <c r="P14" s="14"/>
      <c r="Q14" s="12">
        <v>225.0</v>
      </c>
      <c r="R14" s="13">
        <f>IFERROR(Q14/Q446, "NA")</f>
        <v>0.0002504060919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225</v>
      </c>
      <c r="X14" s="13">
        <f>IFERROR(W14/W446, "NA")</f>
        <v>0.002102305472</v>
      </c>
      <c r="Y14" s="14"/>
      <c r="Z14" s="12">
        <v>2210.0</v>
      </c>
      <c r="AA14" s="13">
        <f>IFERROR(Z14/Z446, "NA")</f>
        <v>0.003012842548</v>
      </c>
      <c r="AB14" s="14"/>
      <c r="AC14" s="15">
        <f t="shared" si="4"/>
        <v>-1985</v>
      </c>
      <c r="AD14" s="13">
        <f>IFERROR(AC14/AC446, "NA")</f>
        <v>-0.01202929038</v>
      </c>
    </row>
    <row r="15" ht="16.5" customHeight="1">
      <c r="A15" s="11" t="s">
        <v>20</v>
      </c>
      <c r="B15" s="12">
        <v>0.0</v>
      </c>
      <c r="C15" s="13">
        <f>IFERROR(B15/B446, "NA")</f>
        <v>0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0</v>
      </c>
      <c r="I15" s="13">
        <f>IFERROR(H15/H446, "NA")</f>
        <v>0</v>
      </c>
      <c r="J15" s="14"/>
      <c r="K15" s="12">
        <v>46.0</v>
      </c>
      <c r="L15" s="13">
        <f>IFERROR(K15/K446, "NA")</f>
        <v>0.0005176844963</v>
      </c>
      <c r="M15" s="14"/>
      <c r="N15" s="15">
        <f t="shared" si="2"/>
        <v>-46</v>
      </c>
      <c r="O15" s="13">
        <f>IFERROR(N15/N446, "NA")</f>
        <v>-0.004571487632</v>
      </c>
      <c r="P15" s="14"/>
      <c r="Q15" s="12">
        <v>172.0</v>
      </c>
      <c r="R15" s="13">
        <f>IFERROR(Q15/Q446, "NA")</f>
        <v>0.0001914215458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172</v>
      </c>
      <c r="X15" s="13">
        <f>IFERROR(W15/W446, "NA")</f>
        <v>0.001607095739</v>
      </c>
      <c r="Y15" s="14"/>
      <c r="Z15" s="12">
        <v>192.0</v>
      </c>
      <c r="AA15" s="13">
        <f>IFERROR(Z15/Z446, "NA")</f>
        <v>0.0002617492168</v>
      </c>
      <c r="AB15" s="14"/>
      <c r="AC15" s="15">
        <f t="shared" si="4"/>
        <v>-20</v>
      </c>
      <c r="AD15" s="13">
        <f>IFERROR(AC15/AC446, "NA")</f>
        <v>-0.0001212019182</v>
      </c>
    </row>
    <row r="16" ht="16.5" customHeight="1">
      <c r="A16" s="11" t="s">
        <v>21</v>
      </c>
      <c r="B16" s="12">
        <v>0.0</v>
      </c>
      <c r="C16" s="13">
        <f>IFERROR(B16/B446, "NA")</f>
        <v>0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</v>
      </c>
      <c r="I16" s="13">
        <f>IFERROR(H16/H446, "NA")</f>
        <v>0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</v>
      </c>
      <c r="O16" s="13">
        <f>IFERROR(N16/N446, "NA")</f>
        <v>0</v>
      </c>
      <c r="P16" s="14"/>
      <c r="Q16" s="12">
        <v>0.08</v>
      </c>
      <c r="R16" s="13">
        <f>IFERROR(Q16/Q446, "NA")</f>
        <v>0.00000008903327712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0.08</v>
      </c>
      <c r="X16" s="13">
        <f>IFERROR(W16/W446, "NA")</f>
        <v>0.0000007474863901</v>
      </c>
      <c r="Y16" s="14"/>
      <c r="Z16" s="12">
        <v>1.1</v>
      </c>
      <c r="AA16" s="13">
        <f>IFERROR(Z16/Z446, "NA")</f>
        <v>0.000001499604888</v>
      </c>
      <c r="AB16" s="14"/>
      <c r="AC16" s="15">
        <f t="shared" si="4"/>
        <v>-1.02</v>
      </c>
      <c r="AD16" s="13">
        <f>IFERROR(AC16/AC446, "NA")</f>
        <v>-0.000006181297829</v>
      </c>
    </row>
    <row r="17" ht="16.5" hidden="1" customHeight="1">
      <c r="A17" s="11" t="s">
        <v>22</v>
      </c>
      <c r="B17" s="12">
        <v>0.0</v>
      </c>
      <c r="C17" s="13">
        <f>IFERROR(B17/B446, "NA")</f>
        <v>0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39962.55</v>
      </c>
      <c r="C18" s="18">
        <f>IFERROR(B18/B446, "NA")</f>
        <v>0.4039902919</v>
      </c>
      <c r="D18" s="8"/>
      <c r="E18" s="17">
        <f>IFERROR(E10+E11+E12+E13+E14+E15+E16+E17, "NA")</f>
        <v>41118.01</v>
      </c>
      <c r="F18" s="18">
        <f>IFERROR(E18/E446, "NA")</f>
        <v>0.4259999569</v>
      </c>
      <c r="G18" s="8"/>
      <c r="H18" s="17">
        <f t="shared" si="1"/>
        <v>-1155.46</v>
      </c>
      <c r="I18" s="18">
        <f>IFERROR(H18/H446, "NA")</f>
        <v>-0.4817588246</v>
      </c>
      <c r="J18" s="8"/>
      <c r="K18" s="17">
        <f>IFERROR(K10+K11+K12+K13+K14+K15+K16+K17, "NA")</f>
        <v>48059.7</v>
      </c>
      <c r="L18" s="18">
        <f>IFERROR(K18/K446, "NA")</f>
        <v>0.5408643823</v>
      </c>
      <c r="M18" s="8"/>
      <c r="N18" s="17">
        <f t="shared" si="2"/>
        <v>-8097.15</v>
      </c>
      <c r="O18" s="18">
        <f>IFERROR(N18/N446, "NA")</f>
        <v>-0.8046961104</v>
      </c>
      <c r="P18" s="8"/>
      <c r="Q18" s="17">
        <f>IFERROR(Q10+Q11+Q12+Q13+Q14+Q15+Q16+Q17, "NA")</f>
        <v>365483.3</v>
      </c>
      <c r="R18" s="18">
        <f>IFERROR(Q18/Q446, "NA")</f>
        <v>0.4067521992</v>
      </c>
      <c r="S18" s="8"/>
      <c r="T18" s="17">
        <f>IFERROR(T10+T11+T12+T13+T14+T15+T16+T17, "NA")</f>
        <v>337185.42</v>
      </c>
      <c r="U18" s="18">
        <f>IFERROR(T18/T446, "NA")</f>
        <v>0.4259999948</v>
      </c>
      <c r="V18" s="8"/>
      <c r="W18" s="17">
        <f t="shared" si="3"/>
        <v>28297.88</v>
      </c>
      <c r="X18" s="18">
        <f>IFERROR(W18/W446, "NA")</f>
        <v>0.2644035021</v>
      </c>
      <c r="Y18" s="8"/>
      <c r="Z18" s="17">
        <f>IFERROR(Z10+Z11+Z12+Z13+Z14+Z15+Z16+Z17, "NA")</f>
        <v>374033.94</v>
      </c>
      <c r="AA18" s="18">
        <f>IFERROR(Z18/Z446, "NA")</f>
        <v>0.5099119316</v>
      </c>
      <c r="AB18" s="8"/>
      <c r="AC18" s="17">
        <f t="shared" si="4"/>
        <v>-8550.64</v>
      </c>
      <c r="AD18" s="18">
        <f>IFERROR(AC18/AC446, "NA")</f>
        <v>-0.0518176985</v>
      </c>
    </row>
    <row r="19" ht="16.5" hidden="1" customHeight="1">
      <c r="A19" s="11" t="s">
        <v>24</v>
      </c>
      <c r="B19" s="12">
        <v>0.0</v>
      </c>
      <c r="C19" s="13">
        <f>IFERROR(B19/B446, "NA")</f>
        <v>0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>
        <f>IFERROR(B21/B446, "NA")</f>
        <v>0</v>
      </c>
      <c r="D21" s="14"/>
      <c r="E21" s="12">
        <v>8879.95</v>
      </c>
      <c r="F21" s="13">
        <f>IFERROR(E21/E446, "NA")</f>
        <v>0.09200003398</v>
      </c>
      <c r="G21" s="14"/>
      <c r="H21" s="15">
        <f t="shared" ref="H21:H29" si="5">IFERROR(B21-E21, "NA")</f>
        <v>-8879.95</v>
      </c>
      <c r="I21" s="13">
        <f>IFERROR(H21/H446, "NA")</f>
        <v>-3.702416591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72819.38</v>
      </c>
      <c r="U21" s="13">
        <f>IFERROR(T21/T446, "NA")</f>
        <v>0.0919999907</v>
      </c>
      <c r="V21" s="14"/>
      <c r="W21" s="15">
        <f t="shared" ref="W21:W29" si="7">IFERROR(Q21-T21, "NA")</f>
        <v>-72819.38</v>
      </c>
      <c r="X21" s="13">
        <f>IFERROR(W21/W446, "NA")</f>
        <v>-0.6803936936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>
        <f>IFERROR(B22/B446, "NA")</f>
        <v>0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6158.5</v>
      </c>
      <c r="L22" s="13">
        <f>IFERROR(K22/K446, "NA")</f>
        <v>0.06930782544</v>
      </c>
      <c r="M22" s="14"/>
      <c r="N22" s="15">
        <f t="shared" si="6"/>
        <v>-6158.5</v>
      </c>
      <c r="O22" s="13">
        <f>IFERROR(N22/N446, "NA")</f>
        <v>-0.6120327517</v>
      </c>
      <c r="P22" s="14"/>
      <c r="Q22" s="12">
        <v>2374.68</v>
      </c>
      <c r="R22" s="13">
        <f>IFERROR(Q22/Q446, "NA")</f>
        <v>0.002642819281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2374.68</v>
      </c>
      <c r="X22" s="13">
        <f>IFERROR(W22/W446, "NA")</f>
        <v>0.02218801226</v>
      </c>
      <c r="Y22" s="14"/>
      <c r="Z22" s="12">
        <v>50883.33</v>
      </c>
      <c r="AA22" s="13">
        <f>IFERROR(Z22/Z446, "NA")</f>
        <v>0.06936808218</v>
      </c>
      <c r="AB22" s="14"/>
      <c r="AC22" s="15">
        <f t="shared" si="8"/>
        <v>-48508.65</v>
      </c>
      <c r="AD22" s="13">
        <f>IFERROR(AC22/AC446, "NA")</f>
        <v>-0.2939670715</v>
      </c>
    </row>
    <row r="23" ht="16.5" customHeight="1">
      <c r="A23" s="11" t="s">
        <v>27</v>
      </c>
      <c r="B23" s="12">
        <v>7087.14</v>
      </c>
      <c r="C23" s="13">
        <f>IFERROR(B23/B446, "NA")</f>
        <v>0.07164547201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7087.14</v>
      </c>
      <c r="I23" s="13">
        <f>IFERROR(H23/H446, "NA")</f>
        <v>2.954920323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7087.14</v>
      </c>
      <c r="O23" s="13">
        <f>IFERROR(N23/N446, "NA")</f>
        <v>0.704321149</v>
      </c>
      <c r="P23" s="14"/>
      <c r="Q23" s="12">
        <v>43727.16</v>
      </c>
      <c r="R23" s="13">
        <f>IFERROR(Q23/Q446, "NA")</f>
        <v>0.04866465443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43727.16</v>
      </c>
      <c r="X23" s="13">
        <f>IFERROR(W23/W446, "NA")</f>
        <v>0.4085682122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43727.16</v>
      </c>
      <c r="AD23" s="13">
        <f>IFERROR(AC23/AC446, "NA")</f>
        <v>0.2649907835</v>
      </c>
    </row>
    <row r="24" ht="16.5" customHeight="1">
      <c r="A24" s="11" t="s">
        <v>28</v>
      </c>
      <c r="B24" s="12">
        <v>1014.48</v>
      </c>
      <c r="C24" s="13">
        <f>IFERROR(B24/B446, "NA")</f>
        <v>0.01025560359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1014.48</v>
      </c>
      <c r="I24" s="13">
        <f>IFERROR(H24/H446, "NA")</f>
        <v>0.4229784608</v>
      </c>
      <c r="J24" s="14"/>
      <c r="K24" s="12">
        <v>320.67</v>
      </c>
      <c r="L24" s="13">
        <f>IFERROR(K24/K446, "NA")</f>
        <v>0.00360882364</v>
      </c>
      <c r="M24" s="14"/>
      <c r="N24" s="15">
        <f t="shared" si="6"/>
        <v>693.81</v>
      </c>
      <c r="O24" s="13">
        <f>IFERROR(N24/N446, "NA")</f>
        <v>0.06895095291</v>
      </c>
      <c r="P24" s="14"/>
      <c r="Q24" s="12">
        <v>9548.55</v>
      </c>
      <c r="R24" s="13">
        <f>IFERROR(Q24/Q446, "NA")</f>
        <v>0.01062673373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9548.55</v>
      </c>
      <c r="X24" s="13">
        <f>IFERROR(W24/W446, "NA")</f>
        <v>0.08921763963</v>
      </c>
      <c r="Y24" s="14"/>
      <c r="Z24" s="12">
        <v>8108.32</v>
      </c>
      <c r="AA24" s="13">
        <f>IFERROR(Z24/Z446, "NA")</f>
        <v>0.01105388755</v>
      </c>
      <c r="AB24" s="14"/>
      <c r="AC24" s="15">
        <f t="shared" si="8"/>
        <v>1440.23</v>
      </c>
      <c r="AD24" s="13">
        <f>IFERROR(AC24/AC446, "NA")</f>
        <v>0.008727931933</v>
      </c>
    </row>
    <row r="25" ht="16.5" customHeight="1">
      <c r="A25" s="11" t="s">
        <v>29</v>
      </c>
      <c r="B25" s="12">
        <v>140.12</v>
      </c>
      <c r="C25" s="13">
        <f>IFERROR(B25/B446, "NA")</f>
        <v>0.001416504195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140.12</v>
      </c>
      <c r="I25" s="13">
        <f>IFERROR(H25/H446, "NA")</f>
        <v>0.05842179435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140.12</v>
      </c>
      <c r="O25" s="13">
        <f>IFERROR(N25/N446, "NA")</f>
        <v>0.01392514885</v>
      </c>
      <c r="P25" s="14"/>
      <c r="Q25" s="12">
        <v>731.84</v>
      </c>
      <c r="R25" s="13">
        <f>IFERROR(Q25/Q446, "NA")</f>
        <v>0.0008144764191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731.84</v>
      </c>
      <c r="X25" s="13">
        <f>IFERROR(W25/W446, "NA")</f>
        <v>0.006838005497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731.84</v>
      </c>
      <c r="AD25" s="13">
        <f>IFERROR(AC25/AC446, "NA")</f>
        <v>0.004435020591</v>
      </c>
    </row>
    <row r="26" ht="16.5" customHeight="1">
      <c r="A26" s="11" t="s">
        <v>30</v>
      </c>
      <c r="B26" s="12">
        <v>1563.34</v>
      </c>
      <c r="C26" s="13">
        <f>IFERROR(B26/B446, "NA")</f>
        <v>0.01580415121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1563.34</v>
      </c>
      <c r="I26" s="13">
        <f>IFERROR(H26/H446, "NA")</f>
        <v>0.651820782</v>
      </c>
      <c r="J26" s="14"/>
      <c r="K26" s="12">
        <v>0.0</v>
      </c>
      <c r="L26" s="13">
        <f>IFERROR(K26/K446, "NA")</f>
        <v>0</v>
      </c>
      <c r="M26" s="14"/>
      <c r="N26" s="15">
        <f t="shared" si="6"/>
        <v>1563.34</v>
      </c>
      <c r="O26" s="13">
        <f>IFERROR(N26/N446, "NA")</f>
        <v>0.1553649886</v>
      </c>
      <c r="P26" s="14"/>
      <c r="Q26" s="12">
        <v>19559.16</v>
      </c>
      <c r="R26" s="13">
        <f>IFERROR(Q26/Q446, "NA")</f>
        <v>0.02176770141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19559.16</v>
      </c>
      <c r="X26" s="13">
        <f>IFERROR(W26/W446, "NA")</f>
        <v>0.1827525738</v>
      </c>
      <c r="Y26" s="14"/>
      <c r="Z26" s="12">
        <v>0.0</v>
      </c>
      <c r="AA26" s="13">
        <f>IFERROR(Z26/Z446, "NA")</f>
        <v>0</v>
      </c>
      <c r="AB26" s="14"/>
      <c r="AC26" s="15">
        <f t="shared" si="8"/>
        <v>19559.16</v>
      </c>
      <c r="AD26" s="13">
        <f>IFERROR(AC26/AC446, "NA")</f>
        <v>0.1185303855</v>
      </c>
    </row>
    <row r="27" ht="16.5" hidden="1" customHeight="1">
      <c r="A27" s="11" t="s">
        <v>31</v>
      </c>
      <c r="B27" s="12">
        <v>0.0</v>
      </c>
      <c r="C27" s="13">
        <f>IFERROR(B27/B446, "NA")</f>
        <v>0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892.57</v>
      </c>
      <c r="C28" s="13">
        <f>IFERROR(B28/B446, "NA")</f>
        <v>0.009023188331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892.57</v>
      </c>
      <c r="I28" s="13">
        <f>IFERROR(H28/H446, "NA")</f>
        <v>0.3721491649</v>
      </c>
      <c r="J28" s="14"/>
      <c r="K28" s="12">
        <v>904.49</v>
      </c>
      <c r="L28" s="13">
        <f>IFERROR(K28/K446, "NA")</f>
        <v>0.01017914022</v>
      </c>
      <c r="M28" s="14"/>
      <c r="N28" s="15">
        <f t="shared" si="6"/>
        <v>-11.92</v>
      </c>
      <c r="O28" s="13">
        <f>IFERROR(N28/N446, "NA")</f>
        <v>-0.001184611578</v>
      </c>
      <c r="P28" s="14"/>
      <c r="Q28" s="12">
        <v>6679.08</v>
      </c>
      <c r="R28" s="13">
        <f>IFERROR(Q28/Q446, "NA")</f>
        <v>0.007433254757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6679.08</v>
      </c>
      <c r="X28" s="13">
        <f>IFERROR(W28/W446, "NA")</f>
        <v>0.06240651748</v>
      </c>
      <c r="Y28" s="14"/>
      <c r="Z28" s="12">
        <v>6995.0</v>
      </c>
      <c r="AA28" s="13">
        <f>IFERROR(Z28/Z446, "NA")</f>
        <v>0.009536123812</v>
      </c>
      <c r="AB28" s="14"/>
      <c r="AC28" s="15">
        <f t="shared" si="8"/>
        <v>-315.92</v>
      </c>
      <c r="AD28" s="13">
        <f>IFERROR(AC28/AC446, "NA")</f>
        <v>-0.0019145055</v>
      </c>
    </row>
    <row r="29" ht="16.5" customHeight="1">
      <c r="A29" s="16" t="s">
        <v>33</v>
      </c>
      <c r="B29" s="17">
        <f>IFERROR(B21+B22+B23+B24+B25+B26+B27+B28, "NA")</f>
        <v>10697.65</v>
      </c>
      <c r="C29" s="18">
        <f>IFERROR(B29/B446, "NA")</f>
        <v>0.1081449193</v>
      </c>
      <c r="D29" s="8"/>
      <c r="E29" s="17">
        <f>IFERROR(E21+E22+E23+E24+E25+E26+E27+E28, "NA")</f>
        <v>8879.95</v>
      </c>
      <c r="F29" s="18">
        <f>IFERROR(E29/E446, "NA")</f>
        <v>0.09200003398</v>
      </c>
      <c r="G29" s="8"/>
      <c r="H29" s="17">
        <f t="shared" si="5"/>
        <v>1817.7</v>
      </c>
      <c r="I29" s="18">
        <f>IFERROR(H29/H446, "NA")</f>
        <v>0.7578739337</v>
      </c>
      <c r="J29" s="8"/>
      <c r="K29" s="17">
        <f>IFERROR(K21+K22+K23+K24+K25+K26+K27+K28, "NA")</f>
        <v>7383.66</v>
      </c>
      <c r="L29" s="18">
        <f>IFERROR(K29/K446, "NA")</f>
        <v>0.0830957893</v>
      </c>
      <c r="M29" s="8"/>
      <c r="N29" s="17">
        <f t="shared" si="6"/>
        <v>3313.99</v>
      </c>
      <c r="O29" s="18">
        <f>IFERROR(N29/N446, "NA")</f>
        <v>0.329344876</v>
      </c>
      <c r="P29" s="8"/>
      <c r="Q29" s="17">
        <f>IFERROR(Q21+Q22+Q23+Q24+Q25+Q26+Q27+Q28, "NA")</f>
        <v>82620.47</v>
      </c>
      <c r="R29" s="18">
        <f>IFERROR(Q29/Q446, "NA")</f>
        <v>0.09194964002</v>
      </c>
      <c r="S29" s="8"/>
      <c r="T29" s="17">
        <f>IFERROR(T21+T22+T23+T24+T25+T26+T27+T28, "NA")</f>
        <v>72819.38</v>
      </c>
      <c r="U29" s="18">
        <f>IFERROR(T29/T446, "NA")</f>
        <v>0.0919999907</v>
      </c>
      <c r="V29" s="8"/>
      <c r="W29" s="17">
        <f t="shared" si="7"/>
        <v>9801.09</v>
      </c>
      <c r="X29" s="18">
        <f>IFERROR(W29/W446, "NA")</f>
        <v>0.09157726729</v>
      </c>
      <c r="Y29" s="8"/>
      <c r="Z29" s="17">
        <f>IFERROR(Z21+Z22+Z23+Z24+Z25+Z26+Z27+Z28, "NA")</f>
        <v>65986.65</v>
      </c>
      <c r="AA29" s="18">
        <f>IFERROR(Z29/Z446, "NA")</f>
        <v>0.08995809354</v>
      </c>
      <c r="AB29" s="8"/>
      <c r="AC29" s="17">
        <f t="shared" si="8"/>
        <v>16633.82</v>
      </c>
      <c r="AD29" s="18">
        <f>IFERROR(AC29/AC446, "NA")</f>
        <v>0.1008025446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>
        <f>IFERROR(B31/B446, "NA")</f>
        <v>0</v>
      </c>
      <c r="D31" s="14"/>
      <c r="E31" s="12">
        <v>23358.12</v>
      </c>
      <c r="F31" s="13">
        <f>IFERROR(E31/E446, "NA")</f>
        <v>0.2419999925</v>
      </c>
      <c r="G31" s="14"/>
      <c r="H31" s="15">
        <f t="shared" ref="H31:H40" si="9">IFERROR(B31-E31, "NA")</f>
        <v>-23358.12</v>
      </c>
      <c r="I31" s="13">
        <f>IFERROR(H31/H446, "NA")</f>
        <v>-9.738961483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191546.67</v>
      </c>
      <c r="U31" s="13">
        <f>IFERROR(T31/T446, "NA")</f>
        <v>0.2420000261</v>
      </c>
      <c r="V31" s="14"/>
      <c r="W31" s="15">
        <f t="shared" ref="W31:W40" si="11">IFERROR(Q31-T31, "NA")</f>
        <v>-191546.67</v>
      </c>
      <c r="X31" s="13">
        <f>IFERROR(W31/W446, "NA")</f>
        <v>-1.789731611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>
        <f>IFERROR(B32/B446, "NA")</f>
        <v>0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9253.89</v>
      </c>
      <c r="C33" s="13">
        <f>IFERROR(B33/B446, "NA")</f>
        <v>0.0935496289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9253.89</v>
      </c>
      <c r="I33" s="13">
        <f>IFERROR(H33/H446, "NA")</f>
        <v>3.858327566</v>
      </c>
      <c r="J33" s="14"/>
      <c r="K33" s="12">
        <v>7929.23</v>
      </c>
      <c r="L33" s="13">
        <f>IFERROR(K33/K446, "NA")</f>
        <v>0.08923563997</v>
      </c>
      <c r="M33" s="14"/>
      <c r="N33" s="15">
        <f t="shared" si="10"/>
        <v>1324.66</v>
      </c>
      <c r="O33" s="13">
        <f>IFERROR(N33/N446, "NA")</f>
        <v>0.1316449306</v>
      </c>
      <c r="P33" s="14"/>
      <c r="Q33" s="12">
        <v>98910.8</v>
      </c>
      <c r="R33" s="13">
        <f>IFERROR(Q33/Q446, "NA")</f>
        <v>0.1100794083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98910.8</v>
      </c>
      <c r="X33" s="13">
        <f>IFERROR(W33/W446, "NA")</f>
        <v>0.9241809605</v>
      </c>
      <c r="Y33" s="14"/>
      <c r="Z33" s="12">
        <v>83836.17</v>
      </c>
      <c r="AA33" s="13">
        <f>IFERROR(Z33/Z446, "NA")</f>
        <v>0.1142919367</v>
      </c>
      <c r="AB33" s="14"/>
      <c r="AC33" s="15">
        <f t="shared" si="12"/>
        <v>15074.63</v>
      </c>
      <c r="AD33" s="13">
        <f>IFERROR(AC33/AC446, "NA")</f>
        <v>0.09135370362</v>
      </c>
    </row>
    <row r="34" ht="16.5" hidden="1" customHeight="1">
      <c r="A34" s="11" t="s">
        <v>37</v>
      </c>
      <c r="B34" s="12">
        <v>0.0</v>
      </c>
      <c r="C34" s="13">
        <f>IFERROR(B34/B446, "NA")</f>
        <v>0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630.15</v>
      </c>
      <c r="C35" s="13">
        <f>IFERROR(B35/B446, "NA")</f>
        <v>0.006370326279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630.15</v>
      </c>
      <c r="I35" s="13">
        <f>IFERROR(H35/H446, "NA")</f>
        <v>0.2627354675</v>
      </c>
      <c r="J35" s="14"/>
      <c r="K35" s="12">
        <v>1154.12</v>
      </c>
      <c r="L35" s="13">
        <f>IFERROR(K35/K446, "NA")</f>
        <v>0.01298847893</v>
      </c>
      <c r="M35" s="14"/>
      <c r="N35" s="15">
        <f t="shared" si="10"/>
        <v>-523.97</v>
      </c>
      <c r="O35" s="13">
        <f>IFERROR(N35/N446, "NA")</f>
        <v>-0.05207222553</v>
      </c>
      <c r="P35" s="14"/>
      <c r="Q35" s="12">
        <v>6760.95</v>
      </c>
      <c r="R35" s="13">
        <f>IFERROR(Q35/Q446, "NA")</f>
        <v>0.007524369187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6760.95</v>
      </c>
      <c r="X35" s="13">
        <f>IFERROR(W35/W446, "NA")</f>
        <v>0.06317147637</v>
      </c>
      <c r="Y35" s="14"/>
      <c r="Z35" s="12">
        <v>11214.27</v>
      </c>
      <c r="AA35" s="13">
        <f>IFERROR(Z35/Z446, "NA")</f>
        <v>0.01528815828</v>
      </c>
      <c r="AB35" s="14"/>
      <c r="AC35" s="15">
        <f t="shared" si="12"/>
        <v>-4453.32</v>
      </c>
      <c r="AD35" s="13">
        <f>IFERROR(AC35/AC446, "NA")</f>
        <v>-0.02698754632</v>
      </c>
    </row>
    <row r="36" ht="16.5" customHeight="1">
      <c r="A36" s="11" t="s">
        <v>39</v>
      </c>
      <c r="B36" s="12">
        <v>11537.39</v>
      </c>
      <c r="C36" s="13">
        <f>IFERROR(B36/B446, "NA")</f>
        <v>0.1166340375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11537.39</v>
      </c>
      <c r="I36" s="13">
        <f>IFERROR(H36/H446, "NA")</f>
        <v>4.810412688</v>
      </c>
      <c r="J36" s="14"/>
      <c r="K36" s="12">
        <v>5814.95</v>
      </c>
      <c r="L36" s="13">
        <f>IFERROR(K36/K446, "NA")</f>
        <v>0.06544151004</v>
      </c>
      <c r="M36" s="14"/>
      <c r="N36" s="15">
        <f t="shared" si="10"/>
        <v>5722.44</v>
      </c>
      <c r="O36" s="13">
        <f>IFERROR(N36/N446, "NA")</f>
        <v>0.5686970366</v>
      </c>
      <c r="P36" s="14"/>
      <c r="Q36" s="12">
        <v>116666.99</v>
      </c>
      <c r="R36" s="13">
        <f>IFERROR(Q36/Q446, "NA")</f>
        <v>0.1298405556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116666.99</v>
      </c>
      <c r="X36" s="13">
        <f>IFERROR(W36/W446, "NA")</f>
        <v>1.09008734</v>
      </c>
      <c r="Y36" s="14"/>
      <c r="Z36" s="12">
        <v>102485.22</v>
      </c>
      <c r="AA36" s="13">
        <f>IFERROR(Z36/Z446, "NA")</f>
        <v>0.1397157608</v>
      </c>
      <c r="AB36" s="14"/>
      <c r="AC36" s="15">
        <f t="shared" si="12"/>
        <v>14181.77</v>
      </c>
      <c r="AD36" s="13">
        <f>IFERROR(AC36/AC446, "NA")</f>
        <v>0.08594288638</v>
      </c>
    </row>
    <row r="37" ht="16.5" customHeight="1">
      <c r="A37" s="11" t="s">
        <v>40</v>
      </c>
      <c r="B37" s="12">
        <v>993.35</v>
      </c>
      <c r="C37" s="13">
        <f>IFERROR(B37/B446, "NA")</f>
        <v>0.01004199573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993.35</v>
      </c>
      <c r="I37" s="13">
        <f>IFERROR(H37/H446, "NA")</f>
        <v>0.4141684943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993.35</v>
      </c>
      <c r="O37" s="13">
        <f>IFERROR(N37/N446, "NA")</f>
        <v>0.0987192878</v>
      </c>
      <c r="P37" s="14"/>
      <c r="Q37" s="12">
        <v>6788.31</v>
      </c>
      <c r="R37" s="13">
        <f>IFERROR(Q37/Q446, "NA")</f>
        <v>0.007554818568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6788.31</v>
      </c>
      <c r="X37" s="13">
        <f>IFERROR(W37/W446, "NA")</f>
        <v>0.06342711671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6788.31</v>
      </c>
      <c r="AD37" s="13">
        <f>IFERROR(AC37/AC446, "NA")</f>
        <v>0.04113780967</v>
      </c>
    </row>
    <row r="38" ht="16.5" hidden="1" customHeight="1">
      <c r="A38" s="11" t="s">
        <v>41</v>
      </c>
      <c r="B38" s="12">
        <v>0.0</v>
      </c>
      <c r="C38" s="13">
        <f>IFERROR(B38/B446, "NA")</f>
        <v>0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>
        <f>IFERROR(B39/B446, "NA")</f>
        <v>0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444.55</v>
      </c>
      <c r="L39" s="13">
        <f>IFERROR(K39/K446, "NA")</f>
        <v>0.005002970496</v>
      </c>
      <c r="M39" s="14"/>
      <c r="N39" s="15">
        <f t="shared" si="10"/>
        <v>-444.55</v>
      </c>
      <c r="O39" s="13">
        <f>IFERROR(N39/N446, "NA")</f>
        <v>-0.04417945275</v>
      </c>
      <c r="P39" s="14"/>
      <c r="Q39" s="12">
        <v>137.65</v>
      </c>
      <c r="R39" s="13">
        <f>IFERROR(Q39/Q446, "NA")</f>
        <v>0.0001531928824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137.65</v>
      </c>
      <c r="X39" s="13">
        <f>IFERROR(W39/W446, "NA")</f>
        <v>0.00128614377</v>
      </c>
      <c r="Y39" s="14"/>
      <c r="Z39" s="12">
        <v>6552.7</v>
      </c>
      <c r="AA39" s="13">
        <f>IFERROR(Z39/Z446, "NA")</f>
        <v>0.008933146319</v>
      </c>
      <c r="AB39" s="14"/>
      <c r="AC39" s="15">
        <f t="shared" si="12"/>
        <v>-6415.05</v>
      </c>
      <c r="AD39" s="13">
        <f>IFERROR(AC39/AC446, "NA")</f>
        <v>-0.03887581827</v>
      </c>
    </row>
    <row r="40" ht="16.5" customHeight="1">
      <c r="A40" s="16" t="s">
        <v>43</v>
      </c>
      <c r="B40" s="17">
        <f>IFERROR(B31+B32+B33+B34+B35+B36+B37+B38+B39, "NA")</f>
        <v>22414.78</v>
      </c>
      <c r="C40" s="18">
        <f>IFERROR(B40/B446, "NA")</f>
        <v>0.2265959884</v>
      </c>
      <c r="D40" s="8"/>
      <c r="E40" s="17">
        <f>IFERROR(E31+E32+E33+E34+E35+E36+E37+E38+E39, "NA")</f>
        <v>23358.12</v>
      </c>
      <c r="F40" s="18">
        <f>IFERROR(E40/E446, "NA")</f>
        <v>0.2419999925</v>
      </c>
      <c r="G40" s="8"/>
      <c r="H40" s="17">
        <f t="shared" si="9"/>
        <v>-943.34</v>
      </c>
      <c r="I40" s="18">
        <f>IFERROR(H40/H446, "NA")</f>
        <v>-0.3933172672</v>
      </c>
      <c r="J40" s="8"/>
      <c r="K40" s="17">
        <f>IFERROR(K31+K32+K33+K34+K35+K36+K37+K38+K39, "NA")</f>
        <v>15342.85</v>
      </c>
      <c r="L40" s="18">
        <f>IFERROR(K40/K446, "NA")</f>
        <v>0.1726685994</v>
      </c>
      <c r="M40" s="8"/>
      <c r="N40" s="17">
        <f t="shared" si="10"/>
        <v>7071.93</v>
      </c>
      <c r="O40" s="18">
        <f>IFERROR(N40/N446, "NA")</f>
        <v>0.7028095767</v>
      </c>
      <c r="P40" s="8"/>
      <c r="Q40" s="17">
        <f>IFERROR(Q31+Q32+Q33+Q34+Q35+Q36+Q37+Q38+Q39, "NA")</f>
        <v>229264.7</v>
      </c>
      <c r="R40" s="18">
        <f>IFERROR(Q40/Q446, "NA")</f>
        <v>0.2551523446</v>
      </c>
      <c r="S40" s="8"/>
      <c r="T40" s="17">
        <f>IFERROR(T31+T32+T33+T34+T35+T36+T37+T38+T39, "NA")</f>
        <v>191546.67</v>
      </c>
      <c r="U40" s="18">
        <f>IFERROR(T40/T446, "NA")</f>
        <v>0.2420000261</v>
      </c>
      <c r="V40" s="8"/>
      <c r="W40" s="17">
        <f t="shared" si="11"/>
        <v>37718.03</v>
      </c>
      <c r="X40" s="18">
        <f>IFERROR(W40/W446, "NA")</f>
        <v>0.3524214261</v>
      </c>
      <c r="Y40" s="8"/>
      <c r="Z40" s="17">
        <f>IFERROR(Z31+Z32+Z33+Z34+Z35+Z36+Z37+Z38+Z39, "NA")</f>
        <v>204088.36</v>
      </c>
      <c r="AA40" s="18">
        <f>IFERROR(Z40/Z446, "NA")</f>
        <v>0.2782290021</v>
      </c>
      <c r="AB40" s="8"/>
      <c r="AC40" s="17">
        <f t="shared" si="12"/>
        <v>25176.34</v>
      </c>
      <c r="AD40" s="18">
        <f>IFERROR(AC40/AC446, "NA")</f>
        <v>0.1525710351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>
        <f>IFERROR(B42/B446, "NA")</f>
        <v>0</v>
      </c>
      <c r="D42" s="14"/>
      <c r="E42" s="12">
        <v>19014.67</v>
      </c>
      <c r="F42" s="13">
        <f>IFERROR(E42/E446, "NA")</f>
        <v>0.1970000153</v>
      </c>
      <c r="G42" s="14"/>
      <c r="H42" s="15">
        <f t="shared" ref="H42:H44" si="13">IFERROR(B42-E42, "NA")</f>
        <v>-19014.67</v>
      </c>
      <c r="I42" s="13">
        <f>IFERROR(H42/H446, "NA")</f>
        <v>-7.927998432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155928.47</v>
      </c>
      <c r="U42" s="13">
        <f>IFERROR(T42/T446, "NA")</f>
        <v>0.196999999</v>
      </c>
      <c r="V42" s="14"/>
      <c r="W42" s="15">
        <f t="shared" ref="W42:W44" si="15">IFERROR(Q42-T42, "NA")</f>
        <v>-155928.47</v>
      </c>
      <c r="X42" s="13">
        <f>IFERROR(W42/W446, "NA")</f>
        <v>-1.456930115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2756.9</v>
      </c>
      <c r="C43" s="13">
        <f>IFERROR(B43/B446, "NA")</f>
        <v>0.02787011429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2756.9</v>
      </c>
      <c r="I43" s="13">
        <f>IFERROR(H43/H446, "NA")</f>
        <v>1.149465065</v>
      </c>
      <c r="J43" s="14"/>
      <c r="K43" s="12">
        <v>3134.08</v>
      </c>
      <c r="L43" s="13">
        <f>IFERROR(K43/K446, "NA")</f>
        <v>0.03527097013</v>
      </c>
      <c r="M43" s="14"/>
      <c r="N43" s="15">
        <f t="shared" si="14"/>
        <v>-377.18</v>
      </c>
      <c r="O43" s="13">
        <f>IFERROR(N43/N446, "NA")</f>
        <v>-0.03748421098</v>
      </c>
      <c r="P43" s="14"/>
      <c r="Q43" s="12">
        <v>28506.27</v>
      </c>
      <c r="R43" s="13">
        <f>IFERROR(Q43/Q446, "NA")</f>
        <v>0.03172508296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28506.27</v>
      </c>
      <c r="X43" s="13">
        <f>IFERROR(W43/W446, "NA")</f>
        <v>0.2663506107</v>
      </c>
      <c r="Y43" s="14"/>
      <c r="Z43" s="12">
        <v>28136.67</v>
      </c>
      <c r="AA43" s="13">
        <f>IFERROR(Z43/Z446, "NA")</f>
        <v>0.03835807988</v>
      </c>
      <c r="AB43" s="14"/>
      <c r="AC43" s="15">
        <f t="shared" si="16"/>
        <v>369.6</v>
      </c>
      <c r="AD43" s="13">
        <f>IFERROR(AC43/AC446, "NA")</f>
        <v>0.002239811449</v>
      </c>
    </row>
    <row r="44" ht="16.5" hidden="1" customHeight="1">
      <c r="A44" s="11" t="s">
        <v>46</v>
      </c>
      <c r="B44" s="12">
        <v>0.0</v>
      </c>
      <c r="C44" s="13">
        <f>IFERROR(B44/B446, "NA")</f>
        <v>0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>
        <f>IFERROR(B46/B446, "NA")</f>
        <v>0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customHeight="1">
      <c r="A47" s="11" t="s">
        <v>48</v>
      </c>
      <c r="B47" s="12">
        <v>861.06</v>
      </c>
      <c r="C47" s="13">
        <f>IFERROR(B47/B446, "NA")</f>
        <v>0.008704646744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861.06</v>
      </c>
      <c r="I47" s="13">
        <f>IFERROR(H47/H446, "NA")</f>
        <v>0.3590113491</v>
      </c>
      <c r="J47" s="14"/>
      <c r="K47" s="12">
        <v>0.0</v>
      </c>
      <c r="L47" s="13">
        <f>IFERROR(K47/K446, "NA")</f>
        <v>0</v>
      </c>
      <c r="M47" s="14"/>
      <c r="N47" s="15">
        <f t="shared" si="18"/>
        <v>861.06</v>
      </c>
      <c r="O47" s="13">
        <f>IFERROR(N47/N446, "NA")</f>
        <v>0.08557228565</v>
      </c>
      <c r="P47" s="14"/>
      <c r="Q47" s="12">
        <v>861.06</v>
      </c>
      <c r="R47" s="13">
        <f>IFERROR(Q47/Q446, "NA")</f>
        <v>0.00095828742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861.06</v>
      </c>
      <c r="X47" s="13">
        <f>IFERROR(W47/W446, "NA")</f>
        <v>0.008045382889</v>
      </c>
      <c r="Y47" s="14"/>
      <c r="Z47" s="12">
        <v>0.0</v>
      </c>
      <c r="AA47" s="13">
        <f>IFERROR(Z47/Z446, "NA")</f>
        <v>0</v>
      </c>
      <c r="AB47" s="14"/>
      <c r="AC47" s="15">
        <f t="shared" si="20"/>
        <v>861.06</v>
      </c>
      <c r="AD47" s="13">
        <f>IFERROR(AC47/AC446, "NA")</f>
        <v>0.005218106185</v>
      </c>
    </row>
    <row r="48" ht="16.5" customHeight="1">
      <c r="A48" s="11" t="s">
        <v>49</v>
      </c>
      <c r="B48" s="12">
        <v>12328.93</v>
      </c>
      <c r="C48" s="13">
        <f>IFERROR(B48/B446, "NA")</f>
        <v>0.1246358911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12328.93</v>
      </c>
      <c r="I48" s="13">
        <f>IFERROR(H48/H446, "NA")</f>
        <v>5.140438289</v>
      </c>
      <c r="J48" s="14"/>
      <c r="K48" s="12">
        <v>10271.39</v>
      </c>
      <c r="L48" s="13">
        <f>IFERROR(K48/K446, "NA")</f>
        <v>0.1155943339</v>
      </c>
      <c r="M48" s="14"/>
      <c r="N48" s="15">
        <f t="shared" si="18"/>
        <v>2057.54</v>
      </c>
      <c r="O48" s="13">
        <f>IFERROR(N48/N446, "NA")</f>
        <v>0.2044786666</v>
      </c>
      <c r="P48" s="14"/>
      <c r="Q48" s="12">
        <v>104663.66</v>
      </c>
      <c r="R48" s="13">
        <f>IFERROR(Q48/Q446, "NA")</f>
        <v>0.1164818581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104663.66</v>
      </c>
      <c r="X48" s="13">
        <f>IFERROR(W48/W446, "NA")</f>
        <v>0.9779332674</v>
      </c>
      <c r="Y48" s="14"/>
      <c r="Z48" s="12">
        <v>57327.34</v>
      </c>
      <c r="AA48" s="13">
        <f>IFERROR(Z48/Z446, "NA")</f>
        <v>0.0781530539</v>
      </c>
      <c r="AB48" s="14"/>
      <c r="AC48" s="15">
        <f t="shared" si="20"/>
        <v>47336.32</v>
      </c>
      <c r="AD48" s="13">
        <f>IFERROR(AC48/AC446, "NA")</f>
        <v>0.2868626393</v>
      </c>
    </row>
    <row r="49" ht="16.5" customHeight="1">
      <c r="A49" s="11" t="s">
        <v>50</v>
      </c>
      <c r="B49" s="12">
        <v>0.0</v>
      </c>
      <c r="C49" s="13">
        <f>IFERROR(B49/B446, "NA")</f>
        <v>0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0.0</v>
      </c>
      <c r="L49" s="13">
        <f>IFERROR(K49/K446, "NA")</f>
        <v>0</v>
      </c>
      <c r="M49" s="14"/>
      <c r="N49" s="15">
        <f t="shared" si="18"/>
        <v>0</v>
      </c>
      <c r="O49" s="13">
        <f>IFERROR(N49/N446, "NA")</f>
        <v>0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805.47</v>
      </c>
      <c r="AA49" s="13">
        <f>IFERROR(Z49/Z446, "NA")</f>
        <v>0.001098078863</v>
      </c>
      <c r="AB49" s="14"/>
      <c r="AC49" s="15">
        <f t="shared" si="20"/>
        <v>-805.47</v>
      </c>
      <c r="AD49" s="13">
        <f>IFERROR(AC49/AC446, "NA")</f>
        <v>-0.004881225453</v>
      </c>
    </row>
    <row r="50" ht="16.5" customHeight="1">
      <c r="A50" s="11" t="s">
        <v>51</v>
      </c>
      <c r="B50" s="12">
        <v>320.04</v>
      </c>
      <c r="C50" s="13">
        <f>IFERROR(B50/B446, "NA")</f>
        <v>0.003235355427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320.04</v>
      </c>
      <c r="I50" s="13">
        <f>IFERROR(H50/H446, "NA")</f>
        <v>0.1334378466</v>
      </c>
      <c r="J50" s="14"/>
      <c r="K50" s="12">
        <v>0.0</v>
      </c>
      <c r="L50" s="13">
        <f>IFERROR(K50/K446, "NA")</f>
        <v>0</v>
      </c>
      <c r="M50" s="14"/>
      <c r="N50" s="15">
        <f t="shared" si="18"/>
        <v>320.04</v>
      </c>
      <c r="O50" s="13">
        <f>IFERROR(N50/N446, "NA")</f>
        <v>0.0318056283</v>
      </c>
      <c r="P50" s="14"/>
      <c r="Q50" s="12">
        <v>8650.7</v>
      </c>
      <c r="R50" s="13">
        <f>IFERROR(Q50/Q446, "NA")</f>
        <v>0.00962750213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8650.7</v>
      </c>
      <c r="X50" s="13">
        <f>IFERROR(W50/W446, "NA")</f>
        <v>0.08082850644</v>
      </c>
      <c r="Y50" s="14"/>
      <c r="Z50" s="12">
        <v>0.0</v>
      </c>
      <c r="AA50" s="13">
        <f>IFERROR(Z50/Z446, "NA")</f>
        <v>0</v>
      </c>
      <c r="AB50" s="14"/>
      <c r="AC50" s="15">
        <f t="shared" si="20"/>
        <v>8650.7</v>
      </c>
      <c r="AD50" s="13">
        <f>IFERROR(AC50/AC446, "NA")</f>
        <v>0.05242407169</v>
      </c>
    </row>
    <row r="51" ht="16.5" hidden="1" customHeight="1">
      <c r="A51" s="11" t="s">
        <v>52</v>
      </c>
      <c r="B51" s="12">
        <v>0.0</v>
      </c>
      <c r="C51" s="13">
        <f>IFERROR(B51/B446, "NA")</f>
        <v>0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0</v>
      </c>
      <c r="I51" s="13">
        <f>IFERROR(H51/H446, "NA")</f>
        <v>0</v>
      </c>
      <c r="J51" s="14"/>
      <c r="K51" s="12">
        <v>0.0</v>
      </c>
      <c r="L51" s="13">
        <f>IFERROR(K51/K446, "NA")</f>
        <v>0</v>
      </c>
      <c r="M51" s="14"/>
      <c r="N51" s="15">
        <f t="shared" si="18"/>
        <v>0</v>
      </c>
      <c r="O51" s="13">
        <f>IFERROR(N51/N446, "NA")</f>
        <v>0</v>
      </c>
      <c r="P51" s="14"/>
      <c r="Q51" s="12">
        <v>0.0</v>
      </c>
      <c r="R51" s="13">
        <f>IFERROR(Q51/Q446, "NA")</f>
        <v>0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0</v>
      </c>
      <c r="X51" s="13">
        <f>IFERROR(W51/W446, "NA")</f>
        <v>0</v>
      </c>
      <c r="Y51" s="14"/>
      <c r="Z51" s="12">
        <v>0.0</v>
      </c>
      <c r="AA51" s="13">
        <f>IFERROR(Z51/Z446, "NA")</f>
        <v>0</v>
      </c>
      <c r="AB51" s="14"/>
      <c r="AC51" s="15">
        <f t="shared" si="20"/>
        <v>0</v>
      </c>
      <c r="AD51" s="13">
        <f>IFERROR(AC51/AC446, "NA")</f>
        <v>0</v>
      </c>
    </row>
    <row r="52" ht="16.5" customHeight="1">
      <c r="A52" s="11" t="s">
        <v>53</v>
      </c>
      <c r="B52" s="12">
        <v>0.0</v>
      </c>
      <c r="C52" s="13">
        <f>IFERROR(B52/B446, "NA")</f>
        <v>0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7900.0</v>
      </c>
      <c r="R52" s="13">
        <f>IFERROR(Q52/Q446, "NA")</f>
        <v>0.008792036116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7900</v>
      </c>
      <c r="X52" s="13">
        <f>IFERROR(W52/W446, "NA")</f>
        <v>0.07381428103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7900</v>
      </c>
      <c r="AD52" s="13">
        <f>IFERROR(AC52/AC446, "NA")</f>
        <v>0.04787475769</v>
      </c>
    </row>
    <row r="53" ht="16.5" hidden="1" customHeight="1">
      <c r="A53" s="11" t="s">
        <v>54</v>
      </c>
      <c r="B53" s="12">
        <v>0.0</v>
      </c>
      <c r="C53" s="13">
        <f>IFERROR(B53/B446, "NA")</f>
        <v>0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0</v>
      </c>
      <c r="I53" s="13">
        <f>IFERROR(H53/H446, "NA")</f>
        <v>0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0</v>
      </c>
      <c r="O53" s="13">
        <f>IFERROR(N53/N446, "NA")</f>
        <v>0</v>
      </c>
      <c r="P53" s="14"/>
      <c r="Q53" s="12">
        <v>0.0</v>
      </c>
      <c r="R53" s="13">
        <f>IFERROR(Q53/Q446, "NA")</f>
        <v>0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0</v>
      </c>
      <c r="X53" s="13">
        <f>IFERROR(W53/W446, "NA")</f>
        <v>0</v>
      </c>
      <c r="Y53" s="14"/>
      <c r="Z53" s="12">
        <v>0.0</v>
      </c>
      <c r="AA53" s="13">
        <f>IFERROR(Z53/Z446, "NA")</f>
        <v>0</v>
      </c>
      <c r="AB53" s="14"/>
      <c r="AC53" s="15">
        <f t="shared" si="20"/>
        <v>0</v>
      </c>
      <c r="AD53" s="13">
        <f>IFERROR(AC53/AC446, "NA")</f>
        <v>0</v>
      </c>
    </row>
    <row r="54" ht="16.5" customHeight="1">
      <c r="A54" s="11" t="s">
        <v>55</v>
      </c>
      <c r="B54" s="12">
        <v>0.0</v>
      </c>
      <c r="C54" s="13">
        <f>IFERROR(B54/B446, "NA")</f>
        <v>0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31.15</v>
      </c>
      <c r="AA54" s="13">
        <f>IFERROR(Z54/Z446, "NA")</f>
        <v>0.00004246608388</v>
      </c>
      <c r="AB54" s="14"/>
      <c r="AC54" s="15">
        <f t="shared" si="20"/>
        <v>-31.15</v>
      </c>
      <c r="AD54" s="13">
        <f>IFERROR(AC54/AC446, "NA")</f>
        <v>-0.0001887719876</v>
      </c>
    </row>
    <row r="55" ht="16.5" customHeight="1">
      <c r="A55" s="11" t="s">
        <v>56</v>
      </c>
      <c r="B55" s="12">
        <v>819.13</v>
      </c>
      <c r="C55" s="13">
        <f>IFERROR(B55/B446, "NA")</f>
        <v>0.008280767064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819.13</v>
      </c>
      <c r="I55" s="13">
        <f>IFERROR(H55/H446, "NA")</f>
        <v>0.3415290066</v>
      </c>
      <c r="J55" s="14"/>
      <c r="K55" s="12">
        <v>313.92</v>
      </c>
      <c r="L55" s="13">
        <f>IFERROR(K55/K446, "NA")</f>
        <v>0.003532859067</v>
      </c>
      <c r="M55" s="14"/>
      <c r="N55" s="15">
        <f t="shared" si="18"/>
        <v>505.21</v>
      </c>
      <c r="O55" s="13">
        <f>IFERROR(N55/N446, "NA")</f>
        <v>0.05020785362</v>
      </c>
      <c r="P55" s="14"/>
      <c r="Q55" s="12">
        <v>2359.74</v>
      </c>
      <c r="R55" s="13">
        <f>IFERROR(Q55/Q446, "NA")</f>
        <v>0.002626192317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2359.74</v>
      </c>
      <c r="X55" s="13">
        <f>IFERROR(W55/W446, "NA")</f>
        <v>0.02204841918</v>
      </c>
      <c r="Y55" s="14"/>
      <c r="Z55" s="12">
        <v>2579.14</v>
      </c>
      <c r="AA55" s="13">
        <f>IFERROR(Z55/Z446, "NA")</f>
        <v>0.003516082683</v>
      </c>
      <c r="AB55" s="14"/>
      <c r="AC55" s="15">
        <f t="shared" si="20"/>
        <v>-219.4</v>
      </c>
      <c r="AD55" s="13">
        <f>IFERROR(AC55/AC446, "NA")</f>
        <v>-0.001329585043</v>
      </c>
    </row>
    <row r="56" ht="16.5" hidden="1" customHeight="1">
      <c r="A56" s="11" t="s">
        <v>57</v>
      </c>
      <c r="B56" s="12">
        <v>0.0</v>
      </c>
      <c r="C56" s="13">
        <f>IFERROR(B56/B446, "NA")</f>
        <v>0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0.0</v>
      </c>
      <c r="AA56" s="13">
        <f>IFERROR(Z56/Z446, "NA")</f>
        <v>0</v>
      </c>
      <c r="AB56" s="14"/>
      <c r="AC56" s="15">
        <f t="shared" si="20"/>
        <v>0</v>
      </c>
      <c r="AD56" s="13">
        <f>IFERROR(AC56/AC446, "NA")</f>
        <v>0</v>
      </c>
    </row>
    <row r="57" ht="16.5" customHeight="1">
      <c r="A57" s="11" t="s">
        <v>58</v>
      </c>
      <c r="B57" s="12">
        <v>445.7</v>
      </c>
      <c r="C57" s="13">
        <f>IFERROR(B57/B446, "NA")</f>
        <v>0.004505680271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445.7</v>
      </c>
      <c r="I57" s="13">
        <f>IFERROR(H57/H446, "NA")</f>
        <v>0.1858306719</v>
      </c>
      <c r="J57" s="14"/>
      <c r="K57" s="12">
        <v>0.0</v>
      </c>
      <c r="L57" s="13">
        <f>IFERROR(K57/K446, "NA")</f>
        <v>0</v>
      </c>
      <c r="M57" s="14"/>
      <c r="N57" s="15">
        <f t="shared" si="18"/>
        <v>445.7</v>
      </c>
      <c r="O57" s="13">
        <f>IFERROR(N57/N446, "NA")</f>
        <v>0.04429373994</v>
      </c>
      <c r="P57" s="14"/>
      <c r="Q57" s="12">
        <v>1710.6</v>
      </c>
      <c r="R57" s="13">
        <f>IFERROR(Q57/Q446, "NA")</f>
        <v>0.001903754048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1710.6</v>
      </c>
      <c r="X57" s="13">
        <f>IFERROR(W57/W446, "NA")</f>
        <v>0.01598312774</v>
      </c>
      <c r="Y57" s="14"/>
      <c r="Z57" s="12">
        <v>0.0</v>
      </c>
      <c r="AA57" s="13">
        <f>IFERROR(Z57/Z446, "NA")</f>
        <v>0</v>
      </c>
      <c r="AB57" s="14"/>
      <c r="AC57" s="15">
        <f t="shared" si="20"/>
        <v>1710.6</v>
      </c>
      <c r="AD57" s="13">
        <f>IFERROR(AC57/AC446, "NA")</f>
        <v>0.01036640006</v>
      </c>
    </row>
    <row r="58" ht="16.5" hidden="1" customHeight="1">
      <c r="A58" s="11" t="s">
        <v>59</v>
      </c>
      <c r="B58" s="12">
        <v>0.0</v>
      </c>
      <c r="C58" s="13">
        <f>IFERROR(B58/B446, "NA")</f>
        <v>0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0.0</v>
      </c>
      <c r="AA58" s="13">
        <f>IFERROR(Z58/Z446, "NA")</f>
        <v>0</v>
      </c>
      <c r="AB58" s="14"/>
      <c r="AC58" s="15">
        <f t="shared" si="20"/>
        <v>0</v>
      </c>
      <c r="AD58" s="13">
        <f>IFERROR(AC58/AC446, "NA")</f>
        <v>0</v>
      </c>
    </row>
    <row r="59" ht="16.5" hidden="1" customHeight="1">
      <c r="A59" s="11" t="s">
        <v>60</v>
      </c>
      <c r="B59" s="12">
        <v>0.0</v>
      </c>
      <c r="C59" s="13">
        <f>IFERROR(B59/B446, "NA")</f>
        <v>0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customHeight="1">
      <c r="A60" s="11" t="s">
        <v>61</v>
      </c>
      <c r="B60" s="12">
        <v>0.0</v>
      </c>
      <c r="C60" s="13">
        <f>IFERROR(B60/B446, "NA")</f>
        <v>0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1329.49</v>
      </c>
      <c r="R60" s="13">
        <f>IFERROR(Q60/Q446, "NA")</f>
        <v>0.001479610645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1329.49</v>
      </c>
      <c r="X60" s="13">
        <f>IFERROR(W60/W446, "NA")</f>
        <v>0.01242219601</v>
      </c>
      <c r="Y60" s="14"/>
      <c r="Z60" s="12">
        <v>12.85</v>
      </c>
      <c r="AA60" s="13">
        <f>IFERROR(Z60/Z446, "NA")</f>
        <v>0.00001751811165</v>
      </c>
      <c r="AB60" s="14"/>
      <c r="AC60" s="15">
        <f t="shared" si="20"/>
        <v>1316.64</v>
      </c>
      <c r="AD60" s="13">
        <f>IFERROR(AC60/AC446, "NA")</f>
        <v>0.00797896468</v>
      </c>
    </row>
    <row r="61" ht="16.5" customHeight="1">
      <c r="A61" s="16" t="s">
        <v>62</v>
      </c>
      <c r="B61" s="17">
        <f>IFERROR(B46+B47+B48+B49+B50+B51+B52+B53+B54+B55+B56+B57+B58+B59+B60, "NA")</f>
        <v>14774.86</v>
      </c>
      <c r="C61" s="18">
        <f>IFERROR(B61/B446, "NA")</f>
        <v>0.1493623406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14774.86</v>
      </c>
      <c r="I61" s="18">
        <f>IFERROR(H61/H446, "NA")</f>
        <v>6.160247163</v>
      </c>
      <c r="J61" s="8"/>
      <c r="K61" s="17">
        <f>IFERROR(K46+K47+K48+K49+K50+K51+K52+K53+K54+K55+K56+K57+K58+K59+K60, "NA")</f>
        <v>10585.31</v>
      </c>
      <c r="L61" s="18">
        <f>IFERROR(K61/K446, "NA")</f>
        <v>0.1191271929</v>
      </c>
      <c r="M61" s="8"/>
      <c r="N61" s="17">
        <f t="shared" si="18"/>
        <v>4189.55</v>
      </c>
      <c r="O61" s="18">
        <f>IFERROR(N61/N446, "NA")</f>
        <v>0.4163581741</v>
      </c>
      <c r="P61" s="8"/>
      <c r="Q61" s="17">
        <f>IFERROR(Q46+Q47+Q48+Q49+Q50+Q51+Q52+Q53+Q54+Q55+Q56+Q57+Q58+Q59+Q60, "NA")</f>
        <v>127475.25</v>
      </c>
      <c r="R61" s="18">
        <f>IFERROR(Q61/Q446, "NA")</f>
        <v>0.1418692407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127475.25</v>
      </c>
      <c r="X61" s="18">
        <f>IFERROR(W61/W446, "NA")</f>
        <v>1.191075181</v>
      </c>
      <c r="Y61" s="8"/>
      <c r="Z61" s="17">
        <f>IFERROR(Z46+Z47+Z48+Z49+Z50+Z51+Z52+Z53+Z54+Z55+Z56+Z57+Z58+Z59+Z60, "NA")</f>
        <v>60755.95</v>
      </c>
      <c r="AA61" s="18">
        <f>IFERROR(Z61/Z446, "NA")</f>
        <v>0.08282719964</v>
      </c>
      <c r="AB61" s="8"/>
      <c r="AC61" s="17">
        <f t="shared" si="20"/>
        <v>66719.3</v>
      </c>
      <c r="AD61" s="18">
        <f>IFERROR(AC61/AC446, "NA")</f>
        <v>0.4043253571</v>
      </c>
    </row>
    <row r="62" ht="16.5" customHeight="1">
      <c r="A62" s="16" t="s">
        <v>63</v>
      </c>
      <c r="B62" s="17">
        <f>IFERROR(B42+B43+B44+B46+B47+B48+B49+B50+B51+B52+B53+B54+B55+B56+B57+B58+B59+B60, "NA")</f>
        <v>17531.76</v>
      </c>
      <c r="C62" s="18">
        <f>IFERROR(B62/B446, "NA")</f>
        <v>0.1772324549</v>
      </c>
      <c r="D62" s="8"/>
      <c r="E62" s="17">
        <f>IFERROR(E42+E43+E44+E46+E47+E48+E49+E50+E51+E52+E53+E54+E55+E56+E57+E58+E59+E60, "NA")</f>
        <v>19014.67</v>
      </c>
      <c r="F62" s="18">
        <f>IFERROR(E62/E446, "NA")</f>
        <v>0.1970000153</v>
      </c>
      <c r="G62" s="8"/>
      <c r="H62" s="17">
        <f t="shared" si="17"/>
        <v>-1482.91</v>
      </c>
      <c r="I62" s="18">
        <f>IFERROR(H62/H446, "NA")</f>
        <v>-0.6182862051</v>
      </c>
      <c r="J62" s="8"/>
      <c r="K62" s="17">
        <f>IFERROR(K42+K43+K44+K46+K47+K48+K49+K50+K51+K52+K53+K54+K55+K56+K57+K58+K59+K60, "NA")</f>
        <v>13719.39</v>
      </c>
      <c r="L62" s="18">
        <f>IFERROR(K62/K446, "NA")</f>
        <v>0.1543981631</v>
      </c>
      <c r="M62" s="8"/>
      <c r="N62" s="17">
        <f t="shared" si="18"/>
        <v>3812.37</v>
      </c>
      <c r="O62" s="18">
        <f>IFERROR(N62/N446, "NA")</f>
        <v>0.3788739631</v>
      </c>
      <c r="P62" s="8"/>
      <c r="Q62" s="17">
        <f>IFERROR(Q42+Q43+Q44+Q46+Q47+Q48+Q49+Q50+Q51+Q52+Q53+Q54+Q55+Q56+Q57+Q58+Q59+Q60, "NA")</f>
        <v>155981.52</v>
      </c>
      <c r="R62" s="18">
        <f>IFERROR(Q62/Q446, "NA")</f>
        <v>0.1735943237</v>
      </c>
      <c r="S62" s="8"/>
      <c r="T62" s="17">
        <f>IFERROR(T42+T43+T44+T46+T47+T48+T49+T50+T51+T52+T53+T54+T55+T56+T57+T58+T59+T60, "NA")</f>
        <v>155928.47</v>
      </c>
      <c r="U62" s="18">
        <f>IFERROR(T62/T446, "NA")</f>
        <v>0.196999999</v>
      </c>
      <c r="V62" s="8"/>
      <c r="W62" s="17">
        <f t="shared" si="19"/>
        <v>53.05</v>
      </c>
      <c r="X62" s="18">
        <f>IFERROR(W62/W446, "NA")</f>
        <v>0.0004956769125</v>
      </c>
      <c r="Y62" s="8"/>
      <c r="Z62" s="17">
        <f>IFERROR(Z42+Z43+Z44+Z46+Z47+Z48+Z49+Z50+Z51+Z52+Z53+Z54+Z55+Z56+Z57+Z58+Z59+Z60, "NA")</f>
        <v>88892.62</v>
      </c>
      <c r="AA62" s="18">
        <f>IFERROR(Z62/Z446, "NA")</f>
        <v>0.1211852795</v>
      </c>
      <c r="AB62" s="8"/>
      <c r="AC62" s="17">
        <f t="shared" si="20"/>
        <v>67088.9</v>
      </c>
      <c r="AD62" s="18">
        <f>IFERROR(AC62/AC446, "NA")</f>
        <v>0.4065651685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>
        <f>IFERROR(B64/B446, "NA")</f>
        <v>0</v>
      </c>
      <c r="D64" s="14"/>
      <c r="E64" s="12">
        <v>7818.21</v>
      </c>
      <c r="F64" s="13">
        <f>IFERROR(E64/E446, "NA")</f>
        <v>0.08099995897</v>
      </c>
      <c r="G64" s="14"/>
      <c r="H64" s="15">
        <f t="shared" ref="H64:H73" si="21">IFERROR(B64-E64, "NA")</f>
        <v>-7818.21</v>
      </c>
      <c r="I64" s="13">
        <f>IFERROR(H64/H446, "NA")</f>
        <v>-3.259733491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64112.72</v>
      </c>
      <c r="U64" s="13">
        <f>IFERROR(T64/T446, "NA")</f>
        <v>0.08099999813</v>
      </c>
      <c r="V64" s="14"/>
      <c r="W64" s="15">
        <f t="shared" ref="W64:W73" si="23">IFERROR(Q64-T64, "NA")</f>
        <v>-64112.72</v>
      </c>
      <c r="X64" s="13">
        <f>IFERROR(W64/W446, "NA")</f>
        <v>-0.5990423204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11154.85</v>
      </c>
      <c r="C65" s="13">
        <f>IFERROR(B65/B446, "NA")</f>
        <v>0.1127668557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11154.85</v>
      </c>
      <c r="I65" s="13">
        <f>IFERROR(H65/H446, "NA")</f>
        <v>4.65091602</v>
      </c>
      <c r="J65" s="14"/>
      <c r="K65" s="12">
        <v>3389.01</v>
      </c>
      <c r="L65" s="13">
        <f>IFERROR(K65/K446, "NA")</f>
        <v>0.0381399551</v>
      </c>
      <c r="M65" s="14"/>
      <c r="N65" s="15">
        <f t="shared" si="22"/>
        <v>7765.84</v>
      </c>
      <c r="O65" s="13">
        <f>IFERROR(N65/N446, "NA")</f>
        <v>0.7717704676</v>
      </c>
      <c r="P65" s="14"/>
      <c r="Q65" s="12">
        <v>46471.28</v>
      </c>
      <c r="R65" s="13">
        <f>IFERROR(Q65/Q446, "NA")</f>
        <v>0.05171862938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46471.28</v>
      </c>
      <c r="X65" s="13">
        <f>IFERROR(W65/W446, "NA")</f>
        <v>0.4342081167</v>
      </c>
      <c r="Y65" s="14"/>
      <c r="Z65" s="12">
        <v>20501.68</v>
      </c>
      <c r="AA65" s="13">
        <f>IFERROR(Z65/Z446, "NA")</f>
        <v>0.02794947231</v>
      </c>
      <c r="AB65" s="14"/>
      <c r="AC65" s="15">
        <f t="shared" si="24"/>
        <v>25969.6</v>
      </c>
      <c r="AD65" s="13">
        <f>IFERROR(AC65/AC446, "NA")</f>
        <v>0.1573782668</v>
      </c>
    </row>
    <row r="66" ht="16.5" hidden="1" customHeight="1">
      <c r="A66" s="11" t="s">
        <v>66</v>
      </c>
      <c r="B66" s="12">
        <v>0.0</v>
      </c>
      <c r="C66" s="13">
        <f>IFERROR(B66/B446, "NA")</f>
        <v>0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0</v>
      </c>
      <c r="I66" s="13">
        <f>IFERROR(H66/H446, "NA")</f>
        <v>0</v>
      </c>
      <c r="J66" s="14"/>
      <c r="K66" s="12">
        <v>0.0</v>
      </c>
      <c r="L66" s="13">
        <f>IFERROR(K66/K446, "NA")</f>
        <v>0</v>
      </c>
      <c r="M66" s="14"/>
      <c r="N66" s="15">
        <f t="shared" si="22"/>
        <v>0</v>
      </c>
      <c r="O66" s="13">
        <f>IFERROR(N66/N446, "NA")</f>
        <v>0</v>
      </c>
      <c r="P66" s="14"/>
      <c r="Q66" s="12">
        <v>0.0</v>
      </c>
      <c r="R66" s="13">
        <f>IFERROR(Q66/Q446, "NA")</f>
        <v>0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0</v>
      </c>
      <c r="X66" s="13">
        <f>IFERROR(W66/W446, "NA")</f>
        <v>0</v>
      </c>
      <c r="Y66" s="14"/>
      <c r="Z66" s="12">
        <v>0.0</v>
      </c>
      <c r="AA66" s="13">
        <f>IFERROR(Z66/Z446, "NA")</f>
        <v>0</v>
      </c>
      <c r="AB66" s="14"/>
      <c r="AC66" s="15">
        <f t="shared" si="24"/>
        <v>0</v>
      </c>
      <c r="AD66" s="13">
        <f>IFERROR(AC66/AC446, "NA")</f>
        <v>0</v>
      </c>
    </row>
    <row r="67" ht="16.5" hidden="1" customHeight="1">
      <c r="A67" s="11" t="s">
        <v>67</v>
      </c>
      <c r="B67" s="12">
        <v>0.0</v>
      </c>
      <c r="C67" s="13">
        <f>IFERROR(B67/B446, "NA")</f>
        <v>0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0.0</v>
      </c>
      <c r="AA67" s="13">
        <f>IFERROR(Z67/Z446, "NA")</f>
        <v>0</v>
      </c>
      <c r="AB67" s="14"/>
      <c r="AC67" s="15">
        <f t="shared" si="24"/>
        <v>0</v>
      </c>
      <c r="AD67" s="13">
        <f>IFERROR(AC67/AC446, "NA")</f>
        <v>0</v>
      </c>
    </row>
    <row r="68" ht="16.5" customHeight="1">
      <c r="A68" s="11" t="s">
        <v>68</v>
      </c>
      <c r="B68" s="12">
        <v>2047.3</v>
      </c>
      <c r="C68" s="13">
        <f>IFERROR(B68/B446, "NA")</f>
        <v>0.02069661032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2047.3</v>
      </c>
      <c r="I68" s="13">
        <f>IFERROR(H68/H446, "NA")</f>
        <v>0.8536036224</v>
      </c>
      <c r="J68" s="14"/>
      <c r="K68" s="12">
        <v>5163.1</v>
      </c>
      <c r="L68" s="13">
        <f>IFERROR(K68/K446, "NA")</f>
        <v>0.0581055831</v>
      </c>
      <c r="M68" s="14"/>
      <c r="N68" s="15">
        <f t="shared" si="22"/>
        <v>-3115.8</v>
      </c>
      <c r="O68" s="13">
        <f>IFERROR(N68/N446, "NA")</f>
        <v>-0.3096487209</v>
      </c>
      <c r="P68" s="14"/>
      <c r="Q68" s="12">
        <v>33299.15</v>
      </c>
      <c r="R68" s="13">
        <f>IFERROR(Q68/Q446, "NA")</f>
        <v>0.03705915562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33299.15</v>
      </c>
      <c r="X68" s="13">
        <f>IFERROR(W68/W446, "NA")</f>
        <v>0.3111332679</v>
      </c>
      <c r="Y68" s="14"/>
      <c r="Z68" s="12">
        <v>13841.15</v>
      </c>
      <c r="AA68" s="13">
        <f>IFERROR(Z68/Z446, "NA")</f>
        <v>0.01886932382</v>
      </c>
      <c r="AB68" s="14"/>
      <c r="AC68" s="15">
        <f t="shared" si="24"/>
        <v>19458</v>
      </c>
      <c r="AD68" s="13">
        <f>IFERROR(AC68/AC446, "NA")</f>
        <v>0.1179173462</v>
      </c>
    </row>
    <row r="69" ht="16.5" customHeight="1">
      <c r="A69" s="11" t="s">
        <v>69</v>
      </c>
      <c r="B69" s="12">
        <v>0.0</v>
      </c>
      <c r="C69" s="13">
        <f>IFERROR(B69/B446, "NA")</f>
        <v>0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1125.0</v>
      </c>
      <c r="R69" s="13">
        <f>IFERROR(Q69/Q446, "NA")</f>
        <v>0.00125203046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1125</v>
      </c>
      <c r="X69" s="13">
        <f>IFERROR(W69/W446, "NA")</f>
        <v>0.01051152736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1125</v>
      </c>
      <c r="AD69" s="13">
        <f>IFERROR(AC69/AC446, "NA")</f>
        <v>0.0068176079</v>
      </c>
    </row>
    <row r="70" ht="16.5" customHeight="1">
      <c r="A70" s="11" t="s">
        <v>70</v>
      </c>
      <c r="B70" s="12">
        <v>-11.5</v>
      </c>
      <c r="C70" s="13">
        <f>IFERROR(B70/B446, "NA")</f>
        <v>-0.0001162560537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-11.5</v>
      </c>
      <c r="I70" s="13">
        <f>IFERROR(H70/H446, "NA")</f>
        <v>-0.004794823259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-11.5</v>
      </c>
      <c r="O70" s="13">
        <f>IFERROR(N70/N446, "NA")</f>
        <v>-0.001142871908</v>
      </c>
      <c r="P70" s="14"/>
      <c r="Q70" s="12">
        <v>4517.0</v>
      </c>
      <c r="R70" s="13">
        <f>IFERROR(Q70/Q446, "NA")</f>
        <v>0.00502704141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4517</v>
      </c>
      <c r="X70" s="13">
        <f>IFERROR(W70/W446, "NA")</f>
        <v>0.0422049503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4517</v>
      </c>
      <c r="AD70" s="13">
        <f>IFERROR(AC70/AC446, "NA")</f>
        <v>0.02737345323</v>
      </c>
    </row>
    <row r="71" ht="16.5" hidden="1" customHeight="1">
      <c r="A71" s="11" t="s">
        <v>71</v>
      </c>
      <c r="B71" s="12">
        <v>0.0</v>
      </c>
      <c r="C71" s="13">
        <f>IFERROR(B71/B446, "NA")</f>
        <v>0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0</v>
      </c>
      <c r="I71" s="13">
        <f>IFERROR(H71/H446, "NA")</f>
        <v>0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0</v>
      </c>
      <c r="O71" s="13">
        <f>IFERROR(N71/N446, "NA")</f>
        <v>0</v>
      </c>
      <c r="P71" s="14"/>
      <c r="Q71" s="12">
        <v>0.0</v>
      </c>
      <c r="R71" s="13">
        <f>IFERROR(Q71/Q446, "NA")</f>
        <v>0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0</v>
      </c>
      <c r="X71" s="13">
        <f>IFERROR(W71/W446, "NA")</f>
        <v>0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0</v>
      </c>
      <c r="AD71" s="13">
        <f>IFERROR(AC71/AC446, "NA")</f>
        <v>0</v>
      </c>
    </row>
    <row r="72" ht="16.5" customHeight="1">
      <c r="A72" s="11" t="s">
        <v>72</v>
      </c>
      <c r="B72" s="12">
        <v>0.0</v>
      </c>
      <c r="C72" s="13">
        <f>IFERROR(B72/B446, "NA")</f>
        <v>0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0</v>
      </c>
      <c r="I72" s="13">
        <f>IFERROR(H72/H446, "NA")</f>
        <v>0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0</v>
      </c>
      <c r="O72" s="13">
        <f>IFERROR(N72/N446, "NA")</f>
        <v>0</v>
      </c>
      <c r="P72" s="14"/>
      <c r="Q72" s="12">
        <v>1353.8</v>
      </c>
      <c r="R72" s="13">
        <f>IFERROR(Q72/Q446, "NA")</f>
        <v>0.001506665632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1353.8</v>
      </c>
      <c r="X72" s="13">
        <f>IFERROR(W72/W446, "NA")</f>
        <v>0.01264933844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1353.8</v>
      </c>
      <c r="AD72" s="13">
        <f>IFERROR(AC72/AC446, "NA")</f>
        <v>0.008204157844</v>
      </c>
    </row>
    <row r="73" ht="16.5" customHeight="1">
      <c r="A73" s="16" t="s">
        <v>73</v>
      </c>
      <c r="B73" s="17">
        <f>IFERROR(B64+B65+B66+B67+B68+B69+B70+B71+B72, "NA")</f>
        <v>13190.65</v>
      </c>
      <c r="C73" s="18">
        <f>IFERROR(B73/B446, "NA")</f>
        <v>0.1333472099</v>
      </c>
      <c r="D73" s="8"/>
      <c r="E73" s="17">
        <f>IFERROR(E64+E65+E66+E67+E68+E69+E70+E71+E72, "NA")</f>
        <v>7818.21</v>
      </c>
      <c r="F73" s="18">
        <f>IFERROR(E73/E446, "NA")</f>
        <v>0.08099995897</v>
      </c>
      <c r="G73" s="8"/>
      <c r="H73" s="17">
        <f t="shared" si="21"/>
        <v>5372.44</v>
      </c>
      <c r="I73" s="18">
        <f>IFERROR(H73/H446, "NA")</f>
        <v>2.239991328</v>
      </c>
      <c r="J73" s="8"/>
      <c r="K73" s="17">
        <f>IFERROR(K64+K65+K66+K67+K68+K69+K70+K71+K72, "NA")</f>
        <v>8552.11</v>
      </c>
      <c r="L73" s="18">
        <f>IFERROR(K73/K446, "NA")</f>
        <v>0.09624553821</v>
      </c>
      <c r="M73" s="8"/>
      <c r="N73" s="17">
        <f t="shared" si="22"/>
        <v>4638.54</v>
      </c>
      <c r="O73" s="18">
        <f>IFERROR(N73/N446, "NA")</f>
        <v>0.4609788748</v>
      </c>
      <c r="P73" s="8"/>
      <c r="Q73" s="17">
        <f>IFERROR(Q64+Q65+Q66+Q67+Q68+Q69+Q70+Q71+Q72, "NA")</f>
        <v>86766.23</v>
      </c>
      <c r="R73" s="18">
        <f>IFERROR(Q73/Q446, "NA")</f>
        <v>0.09656352251</v>
      </c>
      <c r="S73" s="8"/>
      <c r="T73" s="17">
        <f>IFERROR(T64+T65+T66+T67+T68+T69+T70+T71+T72, "NA")</f>
        <v>64112.72</v>
      </c>
      <c r="U73" s="18">
        <f>IFERROR(T73/T446, "NA")</f>
        <v>0.08099999813</v>
      </c>
      <c r="V73" s="8"/>
      <c r="W73" s="17">
        <f t="shared" si="23"/>
        <v>22653.51</v>
      </c>
      <c r="X73" s="18">
        <f>IFERROR(W73/W446, "NA")</f>
        <v>0.2116648802</v>
      </c>
      <c r="Y73" s="8"/>
      <c r="Z73" s="17">
        <f>IFERROR(Z64+Z65+Z66+Z67+Z68+Z69+Z70+Z71+Z72, "NA")</f>
        <v>34342.83</v>
      </c>
      <c r="AA73" s="18">
        <f>IFERROR(Z73/Z446, "NA")</f>
        <v>0.04681879613</v>
      </c>
      <c r="AB73" s="8"/>
      <c r="AC73" s="17">
        <f t="shared" si="24"/>
        <v>52423.4</v>
      </c>
      <c r="AD73" s="18">
        <f>IFERROR(AC73/AC446, "NA")</f>
        <v>0.317690832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>
        <f>IFERROR(B75/B446, "NA")</f>
        <v>0</v>
      </c>
      <c r="D75" s="14"/>
      <c r="E75" s="12">
        <v>1447.82</v>
      </c>
      <c r="F75" s="13">
        <f>IFERROR(E75/E446, "NA")</f>
        <v>0.01500002694</v>
      </c>
      <c r="G75" s="14"/>
      <c r="H75" s="15">
        <f t="shared" ref="H75:H92" si="25">IFERROR(B75-E75, "NA")</f>
        <v>-1447.82</v>
      </c>
      <c r="I75" s="13">
        <f>IFERROR(H75/H446, "NA")</f>
        <v>-0.60365574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11872.73</v>
      </c>
      <c r="U75" s="13">
        <f>IFERROR(T75/T446, "NA")</f>
        <v>0.0150000048</v>
      </c>
      <c r="V75" s="14"/>
      <c r="W75" s="15">
        <f t="shared" ref="W75:W92" si="27">IFERROR(Q75-T75, "NA")</f>
        <v>-11872.73</v>
      </c>
      <c r="X75" s="13">
        <f>IFERROR(W75/W446, "NA")</f>
        <v>-0.1109338011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>
        <f>IFERROR(B76/B446, "NA")</f>
        <v>0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171.91</v>
      </c>
      <c r="C77" s="13">
        <f>IFERROR(B77/B446, "NA")</f>
        <v>0.001737876364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171.91</v>
      </c>
      <c r="I77" s="13">
        <f>IFERROR(H77/H446, "NA")</f>
        <v>0.0716763536</v>
      </c>
      <c r="J77" s="14"/>
      <c r="K77" s="12">
        <v>373.12</v>
      </c>
      <c r="L77" s="13">
        <f>IFERROR(K77/K446, "NA")</f>
        <v>0.004199096506</v>
      </c>
      <c r="M77" s="14"/>
      <c r="N77" s="15">
        <f t="shared" si="26"/>
        <v>-201.21</v>
      </c>
      <c r="O77" s="13">
        <f>IFERROR(N77/N446, "NA")</f>
        <v>-0.01999628318</v>
      </c>
      <c r="P77" s="14"/>
      <c r="Q77" s="12">
        <v>2250.26</v>
      </c>
      <c r="R77" s="13">
        <f>IFERROR(Q77/Q446, "NA")</f>
        <v>0.002504350277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2250.26</v>
      </c>
      <c r="X77" s="13">
        <f>IFERROR(W77/W446, "NA")</f>
        <v>0.02102548405</v>
      </c>
      <c r="Y77" s="14"/>
      <c r="Z77" s="12">
        <v>2916.13</v>
      </c>
      <c r="AA77" s="13">
        <f>IFERROR(Z77/Z446, "NA")</f>
        <v>0.003975493457</v>
      </c>
      <c r="AB77" s="14"/>
      <c r="AC77" s="15">
        <f t="shared" si="28"/>
        <v>-665.87</v>
      </c>
      <c r="AD77" s="13">
        <f>IFERROR(AC77/AC446, "NA")</f>
        <v>-0.004035236064</v>
      </c>
    </row>
    <row r="78" ht="16.5" customHeight="1">
      <c r="A78" s="11" t="s">
        <v>77</v>
      </c>
      <c r="B78" s="12">
        <v>25.0</v>
      </c>
      <c r="C78" s="13">
        <f>IFERROR(B78/B446, "NA")</f>
        <v>0.0002527305514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25</v>
      </c>
      <c r="I78" s="13">
        <f>IFERROR(H78/H446, "NA")</f>
        <v>0.01042352882</v>
      </c>
      <c r="J78" s="14"/>
      <c r="K78" s="12">
        <v>0.0</v>
      </c>
      <c r="L78" s="13">
        <f>IFERROR(K78/K446, "NA")</f>
        <v>0</v>
      </c>
      <c r="M78" s="14"/>
      <c r="N78" s="15">
        <f t="shared" si="26"/>
        <v>25</v>
      </c>
      <c r="O78" s="13">
        <f>IFERROR(N78/N446, "NA")</f>
        <v>0.002484504148</v>
      </c>
      <c r="P78" s="14"/>
      <c r="Q78" s="12">
        <v>25.0</v>
      </c>
      <c r="R78" s="13">
        <f>IFERROR(Q78/Q446, "NA")</f>
        <v>0.0000278228991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25</v>
      </c>
      <c r="X78" s="13">
        <f>IFERROR(W78/W446, "NA")</f>
        <v>0.0002335894969</v>
      </c>
      <c r="Y78" s="14"/>
      <c r="Z78" s="12">
        <v>0.0</v>
      </c>
      <c r="AA78" s="13">
        <f>IFERROR(Z78/Z446, "NA")</f>
        <v>0</v>
      </c>
      <c r="AB78" s="14"/>
      <c r="AC78" s="15">
        <f t="shared" si="28"/>
        <v>25</v>
      </c>
      <c r="AD78" s="13">
        <f>IFERROR(AC78/AC446, "NA")</f>
        <v>0.0001515023978</v>
      </c>
    </row>
    <row r="79" ht="16.5" hidden="1" customHeight="1">
      <c r="A79" s="11" t="s">
        <v>78</v>
      </c>
      <c r="B79" s="12">
        <v>0.0</v>
      </c>
      <c r="C79" s="13">
        <f>IFERROR(B79/B446, "NA")</f>
        <v>0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0.0</v>
      </c>
      <c r="AA79" s="13">
        <f>IFERROR(Z79/Z446, "NA")</f>
        <v>0</v>
      </c>
      <c r="AB79" s="14"/>
      <c r="AC79" s="15">
        <f t="shared" si="28"/>
        <v>0</v>
      </c>
      <c r="AD79" s="13">
        <f>IFERROR(AC79/AC446, "NA")</f>
        <v>0</v>
      </c>
    </row>
    <row r="80" ht="16.5" customHeight="1">
      <c r="A80" s="11" t="s">
        <v>79</v>
      </c>
      <c r="B80" s="12">
        <v>1113.79</v>
      </c>
      <c r="C80" s="13">
        <f>IFERROR(B80/B446, "NA")</f>
        <v>0.01125955043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1113.79</v>
      </c>
      <c r="I80" s="13">
        <f>IFERROR(H80/H446, "NA")</f>
        <v>0.4643848867</v>
      </c>
      <c r="J80" s="14"/>
      <c r="K80" s="12">
        <v>1041.66</v>
      </c>
      <c r="L80" s="13">
        <f>IFERROR(K80/K446, "NA")</f>
        <v>0.01172285288</v>
      </c>
      <c r="M80" s="14"/>
      <c r="N80" s="15">
        <f t="shared" si="26"/>
        <v>72.13</v>
      </c>
      <c r="O80" s="13">
        <f>IFERROR(N80/N446, "NA")</f>
        <v>0.007168291367</v>
      </c>
      <c r="P80" s="14"/>
      <c r="Q80" s="12">
        <v>10212.45</v>
      </c>
      <c r="R80" s="13">
        <f>IFERROR(Q80/Q446, "NA")</f>
        <v>0.01136559864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10212.45</v>
      </c>
      <c r="X80" s="13">
        <f>IFERROR(W80/W446, "NA")</f>
        <v>0.09542084231</v>
      </c>
      <c r="Y80" s="14"/>
      <c r="Z80" s="12">
        <v>6127.47</v>
      </c>
      <c r="AA80" s="13">
        <f>IFERROR(Z80/Z446, "NA")</f>
        <v>0.008353439968</v>
      </c>
      <c r="AB80" s="14"/>
      <c r="AC80" s="15">
        <f t="shared" si="28"/>
        <v>4084.98</v>
      </c>
      <c r="AD80" s="13">
        <f>IFERROR(AC80/AC446, "NA")</f>
        <v>0.02475537059</v>
      </c>
    </row>
    <row r="81" ht="16.5" hidden="1" customHeight="1">
      <c r="A81" s="11" t="s">
        <v>80</v>
      </c>
      <c r="B81" s="12">
        <v>0.0</v>
      </c>
      <c r="C81" s="13">
        <f>IFERROR(B81/B446, "NA")</f>
        <v>0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customHeight="1">
      <c r="A82" s="11" t="s">
        <v>81</v>
      </c>
      <c r="B82" s="12">
        <v>0.0</v>
      </c>
      <c r="C82" s="13">
        <f>IFERROR(B82/B446, "NA")</f>
        <v>0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25.0</v>
      </c>
      <c r="AA82" s="13">
        <f>IFERROR(Z82/Z446, "NA")</f>
        <v>0.00003408192928</v>
      </c>
      <c r="AB82" s="14"/>
      <c r="AC82" s="15">
        <f t="shared" si="28"/>
        <v>-25</v>
      </c>
      <c r="AD82" s="13">
        <f>IFERROR(AC82/AC446, "NA")</f>
        <v>-0.0001515023978</v>
      </c>
    </row>
    <row r="83" ht="16.5" customHeight="1">
      <c r="A83" s="11" t="s">
        <v>82</v>
      </c>
      <c r="B83" s="12">
        <v>77.93</v>
      </c>
      <c r="C83" s="13">
        <f>IFERROR(B83/B446, "NA")</f>
        <v>0.0007878116749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77.93</v>
      </c>
      <c r="I83" s="13">
        <f>IFERROR(H83/H446, "NA")</f>
        <v>0.03249222405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77.93</v>
      </c>
      <c r="O83" s="13">
        <f>IFERROR(N83/N446, "NA")</f>
        <v>0.007744696329</v>
      </c>
      <c r="P83" s="14"/>
      <c r="Q83" s="12">
        <v>896.98</v>
      </c>
      <c r="R83" s="13">
        <f>IFERROR(Q83/Q446, "NA")</f>
        <v>0.0009982633614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896.98</v>
      </c>
      <c r="X83" s="13">
        <f>IFERROR(W83/W446, "NA")</f>
        <v>0.008381004278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896.98</v>
      </c>
      <c r="AD83" s="13">
        <f>IFERROR(AC83/AC446, "NA")</f>
        <v>0.00543578483</v>
      </c>
    </row>
    <row r="84" ht="16.5" hidden="1" customHeight="1">
      <c r="A84" s="11" t="s">
        <v>83</v>
      </c>
      <c r="B84" s="12">
        <v>0.0</v>
      </c>
      <c r="C84" s="13">
        <f>IFERROR(B84/B446, "NA")</f>
        <v>0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>
        <f>IFERROR(B85/B446, "NA")</f>
        <v>0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customHeight="1">
      <c r="A86" s="11" t="s">
        <v>85</v>
      </c>
      <c r="B86" s="12">
        <v>75.0</v>
      </c>
      <c r="C86" s="13">
        <f>IFERROR(B86/B446, "NA")</f>
        <v>0.0007581916543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75</v>
      </c>
      <c r="I86" s="13">
        <f>IFERROR(H86/H446, "NA")</f>
        <v>0.03127058647</v>
      </c>
      <c r="J86" s="14"/>
      <c r="K86" s="12">
        <v>0.0</v>
      </c>
      <c r="L86" s="13">
        <f>IFERROR(K86/K446, "NA")</f>
        <v>0</v>
      </c>
      <c r="M86" s="14"/>
      <c r="N86" s="15">
        <f t="shared" si="26"/>
        <v>75</v>
      </c>
      <c r="O86" s="13">
        <f>IFERROR(N86/N446, "NA")</f>
        <v>0.007453512443</v>
      </c>
      <c r="P86" s="14"/>
      <c r="Q86" s="12">
        <v>100.0</v>
      </c>
      <c r="R86" s="13">
        <f>IFERROR(Q86/Q446, "NA")</f>
        <v>0.0001112915964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100</v>
      </c>
      <c r="X86" s="13">
        <f>IFERROR(W86/W446, "NA")</f>
        <v>0.0009343579877</v>
      </c>
      <c r="Y86" s="14"/>
      <c r="Z86" s="12">
        <v>0.0</v>
      </c>
      <c r="AA86" s="13">
        <f>IFERROR(Z86/Z446, "NA")</f>
        <v>0</v>
      </c>
      <c r="AB86" s="14"/>
      <c r="AC86" s="15">
        <f t="shared" si="28"/>
        <v>100</v>
      </c>
      <c r="AD86" s="13">
        <f>IFERROR(AC86/AC446, "NA")</f>
        <v>0.0006060095911</v>
      </c>
    </row>
    <row r="87" ht="16.5" hidden="1" customHeight="1">
      <c r="A87" s="11" t="s">
        <v>86</v>
      </c>
      <c r="B87" s="12">
        <v>0.0</v>
      </c>
      <c r="C87" s="13">
        <f>IFERROR(B87/B446, "NA")</f>
        <v>0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0.0</v>
      </c>
      <c r="AA87" s="13">
        <f>IFERROR(Z87/Z446, "NA")</f>
        <v>0</v>
      </c>
      <c r="AB87" s="14"/>
      <c r="AC87" s="15">
        <f t="shared" si="28"/>
        <v>0</v>
      </c>
      <c r="AD87" s="13">
        <f>IFERROR(AC87/AC446, "NA")</f>
        <v>0</v>
      </c>
    </row>
    <row r="88" ht="16.5" customHeight="1">
      <c r="A88" s="16" t="s">
        <v>87</v>
      </c>
      <c r="B88" s="17">
        <f>IFERROR(B75+B76+B77+B78+B79+B80+B81+B82+B83+B84+B85+B86+B87, "NA")</f>
        <v>1463.63</v>
      </c>
      <c r="C88" s="18">
        <f>IFERROR(B88/B446, "NA")</f>
        <v>0.01479616068</v>
      </c>
      <c r="D88" s="8"/>
      <c r="E88" s="17">
        <f>IFERROR(E75+E76+E77+E78+E79+E80+E81+E82+E83+E84+E85+E86+E87, "NA")</f>
        <v>1447.82</v>
      </c>
      <c r="F88" s="18">
        <f>IFERROR(E88/E446, "NA")</f>
        <v>0.01500002694</v>
      </c>
      <c r="G88" s="8"/>
      <c r="H88" s="17">
        <f t="shared" si="25"/>
        <v>15.81</v>
      </c>
      <c r="I88" s="18">
        <f>IFERROR(H88/H446, "NA")</f>
        <v>0.006591839628</v>
      </c>
      <c r="J88" s="8"/>
      <c r="K88" s="17">
        <f>IFERROR(K75+K76+K77+K78+K79+K80+K81+K82+K83+K84+K85+K86+K87, "NA")</f>
        <v>1414.78</v>
      </c>
      <c r="L88" s="18">
        <f>IFERROR(K88/K446, "NA")</f>
        <v>0.01592194938</v>
      </c>
      <c r="M88" s="8"/>
      <c r="N88" s="17">
        <f t="shared" si="26"/>
        <v>48.85</v>
      </c>
      <c r="O88" s="18">
        <f>IFERROR(N88/N446, "NA")</f>
        <v>0.004854721104</v>
      </c>
      <c r="P88" s="8"/>
      <c r="Q88" s="17">
        <f>IFERROR(Q75+Q76+Q77+Q78+Q79+Q80+Q81+Q82+Q83+Q84+Q85+Q86+Q87, "NA")</f>
        <v>13484.69</v>
      </c>
      <c r="R88" s="18">
        <f>IFERROR(Q88/Q446, "NA")</f>
        <v>0.01500732677</v>
      </c>
      <c r="S88" s="8"/>
      <c r="T88" s="17">
        <f>IFERROR(T75+T76+T77+T78+T79+T80+T81+T82+T83+T84+T85+T86+T87, "NA")</f>
        <v>11872.73</v>
      </c>
      <c r="U88" s="18">
        <f>IFERROR(T88/T446, "NA")</f>
        <v>0.0150000048</v>
      </c>
      <c r="V88" s="8"/>
      <c r="W88" s="17">
        <f t="shared" si="27"/>
        <v>1611.96</v>
      </c>
      <c r="X88" s="18">
        <f>IFERROR(W88/W446, "NA")</f>
        <v>0.01506147702</v>
      </c>
      <c r="Y88" s="8"/>
      <c r="Z88" s="17">
        <f>IFERROR(Z75+Z76+Z77+Z78+Z79+Z80+Z81+Z82+Z83+Z84+Z85+Z86+Z87, "NA")</f>
        <v>9068.6</v>
      </c>
      <c r="AA88" s="18">
        <f>IFERROR(Z88/Z446, "NA")</f>
        <v>0.01236301535</v>
      </c>
      <c r="AB88" s="8"/>
      <c r="AC88" s="17">
        <f t="shared" si="28"/>
        <v>4416.09</v>
      </c>
      <c r="AD88" s="18">
        <f>IFERROR(AC88/AC446, "NA")</f>
        <v>0.02676192895</v>
      </c>
    </row>
    <row r="89" ht="16.5" customHeight="1">
      <c r="A89" s="11" t="s">
        <v>88</v>
      </c>
      <c r="B89" s="12">
        <v>0.0</v>
      </c>
      <c r="C89" s="13">
        <f>IFERROR(B89/B446, "NA")</f>
        <v>0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0</v>
      </c>
      <c r="I89" s="13">
        <f>IFERROR(H89/H446, "NA")</f>
        <v>0</v>
      </c>
      <c r="J89" s="14"/>
      <c r="K89" s="12">
        <v>0.0</v>
      </c>
      <c r="L89" s="13">
        <f>IFERROR(K89/K446, "NA")</f>
        <v>0</v>
      </c>
      <c r="M89" s="14"/>
      <c r="N89" s="15">
        <f t="shared" si="26"/>
        <v>0</v>
      </c>
      <c r="O89" s="13">
        <f>IFERROR(N89/N446, "NA")</f>
        <v>0</v>
      </c>
      <c r="P89" s="14"/>
      <c r="Q89" s="12">
        <v>-129.94</v>
      </c>
      <c r="R89" s="13">
        <f>IFERROR(Q89/Q446, "NA")</f>
        <v>-0.0001446123004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-129.94</v>
      </c>
      <c r="X89" s="13">
        <f>IFERROR(W89/W446, "NA")</f>
        <v>-0.001214104769</v>
      </c>
      <c r="Y89" s="14"/>
      <c r="Z89" s="12">
        <v>-140.33</v>
      </c>
      <c r="AA89" s="13">
        <f>IFERROR(Z89/Z446, "NA")</f>
        <v>-0.0001913086854</v>
      </c>
      <c r="AB89" s="14"/>
      <c r="AC89" s="15">
        <f t="shared" si="28"/>
        <v>10.39</v>
      </c>
      <c r="AD89" s="13">
        <f>IFERROR(AC89/AC446, "NA")</f>
        <v>0.00006296439651</v>
      </c>
    </row>
    <row r="90" ht="16.5" customHeight="1">
      <c r="A90" s="11" t="s">
        <v>89</v>
      </c>
      <c r="B90" s="12">
        <v>-519.12</v>
      </c>
      <c r="C90" s="13">
        <f>IFERROR(B90/B446, "NA")</f>
        <v>-0.005247899354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-519.12</v>
      </c>
      <c r="I90" s="13">
        <f>IFERROR(H90/H446, "NA")</f>
        <v>-0.2164424913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-519.12</v>
      </c>
      <c r="O90" s="13">
        <f>IFERROR(N90/N446, "NA")</f>
        <v>-0.05159023172</v>
      </c>
      <c r="P90" s="14"/>
      <c r="Q90" s="12">
        <v>-522.66</v>
      </c>
      <c r="R90" s="13">
        <f>IFERROR(Q90/Q446, "NA")</f>
        <v>-0.0005816766578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-522.66</v>
      </c>
      <c r="X90" s="13">
        <f>IFERROR(W90/W446, "NA")</f>
        <v>-0.004883515458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-522.66</v>
      </c>
      <c r="AD90" s="13">
        <f>IFERROR(AC90/AC446, "NA")</f>
        <v>-0.003167369729</v>
      </c>
    </row>
    <row r="91" ht="16.5" hidden="1" customHeight="1">
      <c r="A91" s="11" t="s">
        <v>90</v>
      </c>
      <c r="B91" s="12">
        <v>0.0</v>
      </c>
      <c r="C91" s="13">
        <f>IFERROR(B91/B446, "NA")</f>
        <v>0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>
        <f>IFERROR(B92/B446, "NA")</f>
        <v>0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>
        <f>IFERROR(B94/B446, "NA")</f>
        <v>0</v>
      </c>
      <c r="D94" s="14"/>
      <c r="E94" s="12">
        <v>-5115.62</v>
      </c>
      <c r="F94" s="13">
        <f>IFERROR(E94/E446, "NA")</f>
        <v>-0.05299998467</v>
      </c>
      <c r="G94" s="14"/>
      <c r="H94" s="15">
        <f t="shared" ref="H94:H124" si="29">IFERROR(B94-E94, "NA")</f>
        <v>5115.62</v>
      </c>
      <c r="I94" s="13">
        <f>IFERROR(H94/H446, "NA")</f>
        <v>2.132912501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-41950.31</v>
      </c>
      <c r="U94" s="13">
        <f>IFERROR(T94/T446, "NA")</f>
        <v>-0.05300001359</v>
      </c>
      <c r="V94" s="14"/>
      <c r="W94" s="15">
        <f t="shared" ref="W94:W124" si="31">IFERROR(Q94-T94, "NA")</f>
        <v>41950.31</v>
      </c>
      <c r="X94" s="13">
        <f>IFERROR(W94/W446, "NA")</f>
        <v>0.3919660723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>
        <f>IFERROR(B95/B446, "NA")</f>
        <v>0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-1830.75</v>
      </c>
      <c r="C96" s="13">
        <f>IFERROR(B96/B446, "NA")</f>
        <v>-0.01850745828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-1830.75</v>
      </c>
      <c r="I96" s="13">
        <f>IFERROR(H96/H446, "NA")</f>
        <v>-0.7633150157</v>
      </c>
      <c r="J96" s="14"/>
      <c r="K96" s="12">
        <v>-2012.2</v>
      </c>
      <c r="L96" s="13">
        <f>IFERROR(K96/K446, "NA")</f>
        <v>-0.02264532051</v>
      </c>
      <c r="M96" s="14"/>
      <c r="N96" s="15">
        <f t="shared" si="30"/>
        <v>181.45</v>
      </c>
      <c r="O96" s="13">
        <f>IFERROR(N96/N446, "NA")</f>
        <v>0.0180325311</v>
      </c>
      <c r="P96" s="14"/>
      <c r="Q96" s="12">
        <v>-15648.41</v>
      </c>
      <c r="R96" s="13">
        <f>IFERROR(Q96/Q446, "NA")</f>
        <v>-0.0174153653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-15648.41</v>
      </c>
      <c r="X96" s="13">
        <f>IFERROR(W96/W446, "NA")</f>
        <v>-0.1462121688</v>
      </c>
      <c r="Y96" s="14"/>
      <c r="Z96" s="12">
        <v>-15118.95</v>
      </c>
      <c r="AA96" s="13">
        <f>IFERROR(Z96/Z446, "NA")</f>
        <v>-0.02061131939</v>
      </c>
      <c r="AB96" s="14"/>
      <c r="AC96" s="15">
        <f t="shared" si="32"/>
        <v>-529.46</v>
      </c>
      <c r="AD96" s="13">
        <f>IFERROR(AC96/AC446, "NA")</f>
        <v>-0.003208578381</v>
      </c>
    </row>
    <row r="97" ht="16.5" hidden="1" customHeight="1">
      <c r="A97" s="11" t="s">
        <v>95</v>
      </c>
      <c r="B97" s="12">
        <v>0.0</v>
      </c>
      <c r="C97" s="13">
        <f>IFERROR(B97/B446, "NA")</f>
        <v>0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-2005.2</v>
      </c>
      <c r="C98" s="13">
        <f>IFERROR(B98/B446, "NA")</f>
        <v>-0.02027101207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-2005.2</v>
      </c>
      <c r="I98" s="13">
        <f>IFERROR(H98/H446, "NA")</f>
        <v>-0.8360503998</v>
      </c>
      <c r="J98" s="14"/>
      <c r="K98" s="12">
        <v>-2055.87</v>
      </c>
      <c r="L98" s="13">
        <f>IFERROR(K98/K446, "NA")</f>
        <v>-0.02313678316</v>
      </c>
      <c r="M98" s="14"/>
      <c r="N98" s="15">
        <f t="shared" si="30"/>
        <v>50.67</v>
      </c>
      <c r="O98" s="13">
        <f>IFERROR(N98/N446, "NA")</f>
        <v>0.005035593006</v>
      </c>
      <c r="P98" s="14"/>
      <c r="Q98" s="12">
        <v>-9344.5</v>
      </c>
      <c r="R98" s="13">
        <f>IFERROR(Q98/Q446, "NA")</f>
        <v>-0.01039964323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-9344.5</v>
      </c>
      <c r="X98" s="13">
        <f>IFERROR(W98/W446, "NA")</f>
        <v>-0.08731108216</v>
      </c>
      <c r="Y98" s="14"/>
      <c r="Z98" s="12">
        <v>-15106.82</v>
      </c>
      <c r="AA98" s="13">
        <f>IFERROR(Z98/Z446, "NA")</f>
        <v>-0.02059478283</v>
      </c>
      <c r="AB98" s="14"/>
      <c r="AC98" s="15">
        <f t="shared" si="32"/>
        <v>5762.32</v>
      </c>
      <c r="AD98" s="13">
        <f>IFERROR(AC98/AC446, "NA")</f>
        <v>0.03492021187</v>
      </c>
    </row>
    <row r="99" ht="16.5" hidden="1" customHeight="1">
      <c r="A99" s="11" t="s">
        <v>97</v>
      </c>
      <c r="B99" s="12">
        <v>0.0</v>
      </c>
      <c r="C99" s="13">
        <f>IFERROR(B99/B446, "NA")</f>
        <v>0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-720.81</v>
      </c>
      <c r="C100" s="13">
        <f>IFERROR(B100/B446, "NA")</f>
        <v>-0.007286828351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-720.81</v>
      </c>
      <c r="I100" s="13">
        <f>IFERROR(H100/H446, "NA")</f>
        <v>-0.3005353524</v>
      </c>
      <c r="J100" s="14"/>
      <c r="K100" s="12">
        <v>-23.25</v>
      </c>
      <c r="L100" s="13">
        <f>IFERROR(K100/K446, "NA")</f>
        <v>-0.0002616557508</v>
      </c>
      <c r="M100" s="14"/>
      <c r="N100" s="15">
        <f t="shared" si="30"/>
        <v>-697.56</v>
      </c>
      <c r="O100" s="13">
        <f>IFERROR(N100/N446, "NA")</f>
        <v>-0.06932362853</v>
      </c>
      <c r="P100" s="14"/>
      <c r="Q100" s="12">
        <v>-1508.79</v>
      </c>
      <c r="R100" s="13">
        <f>IFERROR(Q100/Q446, "NA")</f>
        <v>-0.001679156477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-1508.79</v>
      </c>
      <c r="X100" s="13">
        <f>IFERROR(W100/W446, "NA")</f>
        <v>-0.01409749988</v>
      </c>
      <c r="Y100" s="14"/>
      <c r="Z100" s="12">
        <v>-2172.63</v>
      </c>
      <c r="AA100" s="13">
        <f>IFERROR(Z100/Z446, "NA")</f>
        <v>-0.00296189688</v>
      </c>
      <c r="AB100" s="14"/>
      <c r="AC100" s="15">
        <f t="shared" si="32"/>
        <v>663.84</v>
      </c>
      <c r="AD100" s="13">
        <f>IFERROR(AC100/AC446, "NA")</f>
        <v>0.004022934069</v>
      </c>
    </row>
    <row r="101" ht="16.5" customHeight="1">
      <c r="A101" s="11" t="s">
        <v>99</v>
      </c>
      <c r="B101" s="12">
        <v>0.0</v>
      </c>
      <c r="C101" s="13">
        <f>IFERROR(B101/B446, "NA")</f>
        <v>0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-57.25</v>
      </c>
      <c r="R101" s="13">
        <f>IFERROR(Q101/Q446, "NA")</f>
        <v>-0.00006371443894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-57.25</v>
      </c>
      <c r="X101" s="13">
        <f>IFERROR(W101/W446, "NA")</f>
        <v>-0.0005349199479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-57.25</v>
      </c>
      <c r="AD101" s="13">
        <f>IFERROR(AC101/AC446, "NA")</f>
        <v>-0.0003469404909</v>
      </c>
    </row>
    <row r="102" ht="16.5" customHeight="1">
      <c r="A102" s="11" t="s">
        <v>100</v>
      </c>
      <c r="B102" s="12">
        <v>-1110.25</v>
      </c>
      <c r="C102" s="13">
        <f>IFERROR(B102/B446, "NA")</f>
        <v>-0.01122376379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-1110.25</v>
      </c>
      <c r="I102" s="13">
        <f>IFERROR(H102/H446, "NA")</f>
        <v>-0.462908915</v>
      </c>
      <c r="J102" s="14"/>
      <c r="K102" s="12">
        <v>-1113.55</v>
      </c>
      <c r="L102" s="13">
        <f>IFERROR(K102/K446, "NA")</f>
        <v>-0.01253190371</v>
      </c>
      <c r="M102" s="14"/>
      <c r="N102" s="15">
        <f t="shared" si="30"/>
        <v>3.3</v>
      </c>
      <c r="O102" s="13">
        <f>IFERROR(N102/N446, "NA")</f>
        <v>0.0003279545475</v>
      </c>
      <c r="P102" s="14"/>
      <c r="Q102" s="12">
        <v>-6865.65</v>
      </c>
      <c r="R102" s="13">
        <f>IFERROR(Q102/Q446, "NA")</f>
        <v>-0.007640891488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-6865.65</v>
      </c>
      <c r="X102" s="13">
        <f>IFERROR(W102/W446, "NA")</f>
        <v>-0.06414974918</v>
      </c>
      <c r="Y102" s="14"/>
      <c r="Z102" s="12">
        <v>-6198.55</v>
      </c>
      <c r="AA102" s="13">
        <f>IFERROR(Z102/Z446, "NA")</f>
        <v>-0.008450341709</v>
      </c>
      <c r="AB102" s="14"/>
      <c r="AC102" s="15">
        <f t="shared" si="32"/>
        <v>-667.1</v>
      </c>
      <c r="AD102" s="13">
        <f>IFERROR(AC102/AC446, "NA")</f>
        <v>-0.004042689982</v>
      </c>
    </row>
    <row r="103" ht="16.5" customHeight="1">
      <c r="A103" s="11" t="s">
        <v>101</v>
      </c>
      <c r="B103" s="12">
        <v>0.0</v>
      </c>
      <c r="C103" s="13">
        <f>IFERROR(B103/B446, "NA")</f>
        <v>0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0</v>
      </c>
      <c r="I103" s="13">
        <f>IFERROR(H103/H446, "NA")</f>
        <v>0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0</v>
      </c>
      <c r="O103" s="13">
        <f>IFERROR(N103/N446, "NA")</f>
        <v>0</v>
      </c>
      <c r="P103" s="14"/>
      <c r="Q103" s="12">
        <v>-30.0</v>
      </c>
      <c r="R103" s="13">
        <f>IFERROR(Q103/Q446, "NA")</f>
        <v>-0.00003338747892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-30</v>
      </c>
      <c r="X103" s="13">
        <f>IFERROR(W103/W446, "NA")</f>
        <v>-0.0002803073963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-30</v>
      </c>
      <c r="AD103" s="13">
        <f>IFERROR(AC103/AC446, "NA")</f>
        <v>-0.0001818028773</v>
      </c>
    </row>
    <row r="104" ht="16.5" customHeight="1">
      <c r="A104" s="11" t="s">
        <v>102</v>
      </c>
      <c r="B104" s="12">
        <v>-155.31</v>
      </c>
      <c r="C104" s="13">
        <f>IFERROR(B104/B446, "NA")</f>
        <v>-0.001570063278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-155.31</v>
      </c>
      <c r="I104" s="13">
        <f>IFERROR(H104/H446, "NA")</f>
        <v>-0.06475513046</v>
      </c>
      <c r="J104" s="14"/>
      <c r="K104" s="12">
        <v>-410.41</v>
      </c>
      <c r="L104" s="13">
        <f>IFERROR(K104/K446, "NA")</f>
        <v>-0.004618758568</v>
      </c>
      <c r="M104" s="14"/>
      <c r="N104" s="15">
        <f t="shared" si="30"/>
        <v>255.1</v>
      </c>
      <c r="O104" s="13">
        <f>IFERROR(N104/N446, "NA")</f>
        <v>0.02535188032</v>
      </c>
      <c r="P104" s="14"/>
      <c r="Q104" s="12">
        <v>-903.27</v>
      </c>
      <c r="R104" s="13">
        <f>IFERROR(Q104/Q446, "NA")</f>
        <v>-0.001005263603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-903.27</v>
      </c>
      <c r="X104" s="13">
        <f>IFERROR(W104/W446, "NA")</f>
        <v>-0.008439775395</v>
      </c>
      <c r="Y104" s="14"/>
      <c r="Z104" s="12">
        <v>-4086.92</v>
      </c>
      <c r="AA104" s="13">
        <f>IFERROR(Z104/Z446, "NA")</f>
        <v>-0.005571604736</v>
      </c>
      <c r="AB104" s="14"/>
      <c r="AC104" s="15">
        <f t="shared" si="32"/>
        <v>3183.65</v>
      </c>
      <c r="AD104" s="13">
        <f>IFERROR(AC104/AC446, "NA")</f>
        <v>0.01929322435</v>
      </c>
    </row>
    <row r="105" ht="16.5" hidden="1" customHeight="1">
      <c r="A105" s="11" t="s">
        <v>103</v>
      </c>
      <c r="B105" s="12">
        <v>0.0</v>
      </c>
      <c r="C105" s="13">
        <f>IFERROR(B105/B446, "NA")</f>
        <v>0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0.0</v>
      </c>
      <c r="C106" s="13">
        <f>IFERROR(B106/B446, "NA")</f>
        <v>0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0</v>
      </c>
      <c r="I106" s="13">
        <f>IFERROR(H106/H446, "NA")</f>
        <v>0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0</v>
      </c>
      <c r="O106" s="13">
        <f>IFERROR(N106/N446, "NA")</f>
        <v>0</v>
      </c>
      <c r="P106" s="14"/>
      <c r="Q106" s="12">
        <v>-50.0</v>
      </c>
      <c r="R106" s="13">
        <f>IFERROR(Q106/Q446, "NA")</f>
        <v>-0.0000556457982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-50</v>
      </c>
      <c r="X106" s="13">
        <f>IFERROR(W106/W446, "NA")</f>
        <v>-0.0004671789938</v>
      </c>
      <c r="Y106" s="14"/>
      <c r="Z106" s="12">
        <v>-62.25</v>
      </c>
      <c r="AA106" s="13">
        <f>IFERROR(Z106/Z446, "NA")</f>
        <v>-0.0000848640039</v>
      </c>
      <c r="AB106" s="14"/>
      <c r="AC106" s="15">
        <f t="shared" si="32"/>
        <v>12.25</v>
      </c>
      <c r="AD106" s="13">
        <f>IFERROR(AC106/AC446, "NA")</f>
        <v>0.00007423617491</v>
      </c>
    </row>
    <row r="107" ht="16.5" hidden="1" customHeight="1">
      <c r="A107" s="11" t="s">
        <v>105</v>
      </c>
      <c r="B107" s="12">
        <v>0.0</v>
      </c>
      <c r="C107" s="13">
        <f>IFERROR(B107/B446, "NA")</f>
        <v>0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>
        <f>IFERROR(B108/B446, "NA")</f>
        <v>0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>
        <f>IFERROR(B109/B446, "NA")</f>
        <v>0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>
        <f>IFERROR(B110/B446, "NA")</f>
        <v>0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>
        <f>IFERROR(B111/B446, "NA")</f>
        <v>0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>
        <f>IFERROR(B112/B446, "NA")</f>
        <v>0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>
        <f>IFERROR(B113/B446, "NA")</f>
        <v>0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>
        <f>IFERROR(B114/B446, "NA")</f>
        <v>0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>
        <f>IFERROR(B115/B446, "NA")</f>
        <v>0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>
        <f>IFERROR(B116/B446, "NA")</f>
        <v>0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>
        <f>IFERROR(B117/B446, "NA")</f>
        <v>0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-5822.32</v>
      </c>
      <c r="C118" s="18">
        <f>IFERROR(B118/B446, "NA")</f>
        <v>-0.05885912577</v>
      </c>
      <c r="D118" s="8"/>
      <c r="E118" s="17">
        <f>IFERROR(E94+E95+E96+E97+E98+E99+E100+E101+E102+E103+E104+E105+E106+E107+E108+E109+E110+E111+E112+E113+E114+E115+E116+E117, "NA")</f>
        <v>-5115.62</v>
      </c>
      <c r="F118" s="18">
        <f>IFERROR(E118/E446, "NA")</f>
        <v>-0.05299998467</v>
      </c>
      <c r="G118" s="8"/>
      <c r="H118" s="17">
        <f t="shared" si="29"/>
        <v>-706.7</v>
      </c>
      <c r="I118" s="18">
        <f>IFERROR(H118/H446, "NA")</f>
        <v>-0.2946523128</v>
      </c>
      <c r="J118" s="8"/>
      <c r="K118" s="17">
        <f>IFERROR(K94+K95+K96+K97+K98+K99+K100+K101+K102+K103+K104+K105+K106+K107+K108+K109+K110+K111+K112+K113+K114+K115+K116+K117, "NA")</f>
        <v>-5615.28</v>
      </c>
      <c r="L118" s="18">
        <f>IFERROR(K118/K446, "NA")</f>
        <v>-0.0631944217</v>
      </c>
      <c r="M118" s="8"/>
      <c r="N118" s="17">
        <f t="shared" si="30"/>
        <v>-207.04</v>
      </c>
      <c r="O118" s="18">
        <f>IFERROR(N118/N446, "NA")</f>
        <v>-0.02057566955</v>
      </c>
      <c r="P118" s="8"/>
      <c r="Q118" s="17">
        <f>IFERROR(Q94+Q95+Q96+Q97+Q98+Q99+Q100+Q101+Q102+Q103+Q104+Q105+Q106+Q107+Q108+Q109+Q110+Q111+Q112+Q113+Q114+Q115+Q116+Q117, "NA")</f>
        <v>-34407.87</v>
      </c>
      <c r="R118" s="18">
        <f>IFERROR(Q118/Q446, "NA")</f>
        <v>-0.03829306781</v>
      </c>
      <c r="S118" s="8"/>
      <c r="T118" s="17">
        <f>IFERROR(T94+T95+T96+T97+T98+T99+T100+T101+T102+T103+T104+T105+T106+T107+T108+T109+T110+T111+T112+T113+T114+T115+T116+T117, "NA")</f>
        <v>-41950.31</v>
      </c>
      <c r="U118" s="18">
        <f>IFERROR(T118/T446, "NA")</f>
        <v>-0.05300001359</v>
      </c>
      <c r="V118" s="8"/>
      <c r="W118" s="17">
        <f t="shared" si="31"/>
        <v>7542.44</v>
      </c>
      <c r="X118" s="18">
        <f>IFERROR(W118/W446, "NA")</f>
        <v>0.07047339061</v>
      </c>
      <c r="Y118" s="8"/>
      <c r="Z118" s="17">
        <f>IFERROR(Z94+Z95+Z96+Z97+Z98+Z99+Z100+Z101+Z102+Z103+Z104+Z105+Z106+Z107+Z108+Z109+Z110+Z111+Z112+Z113+Z114+Z115+Z116+Z117, "NA")</f>
        <v>-42746.12</v>
      </c>
      <c r="AA118" s="18">
        <f>IFERROR(Z118/Z446, "NA")</f>
        <v>-0.05827480955</v>
      </c>
      <c r="AB118" s="8"/>
      <c r="AC118" s="17">
        <f t="shared" si="32"/>
        <v>8338.25</v>
      </c>
      <c r="AD118" s="18">
        <f>IFERROR(AC118/AC446, "NA")</f>
        <v>0.05053059473</v>
      </c>
    </row>
    <row r="119" ht="16.5" hidden="1" customHeight="1">
      <c r="A119" s="11" t="s">
        <v>117</v>
      </c>
      <c r="B119" s="12">
        <v>0.0</v>
      </c>
      <c r="C119" s="13">
        <f>IFERROR(B119/B446, "NA")</f>
        <v>0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>
        <f>IFERROR(B120/B446, "NA")</f>
        <v>0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>
        <f>IFERROR(B121/B446, "NA")</f>
        <v>0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98919.58</v>
      </c>
      <c r="C122" s="18">
        <f>IFERROR(B122/B446, "NA")</f>
        <v>1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96521.16</v>
      </c>
      <c r="F122" s="18">
        <f>IFERROR(E122/E446, "NA")</f>
        <v>1</v>
      </c>
      <c r="G122" s="8"/>
      <c r="H122" s="17">
        <f t="shared" si="29"/>
        <v>2398.42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88857.21</v>
      </c>
      <c r="L122" s="18">
        <f>IFERROR(K122/K446, "NA")</f>
        <v>1</v>
      </c>
      <c r="M122" s="8"/>
      <c r="N122" s="17">
        <f t="shared" si="30"/>
        <v>10062.37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898540.44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791515.08</v>
      </c>
      <c r="U122" s="18">
        <f>IFERROR(T122/T446, "NA")</f>
        <v>1</v>
      </c>
      <c r="V122" s="8"/>
      <c r="W122" s="17">
        <f t="shared" si="31"/>
        <v>107025.36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733526.55</v>
      </c>
      <c r="AA122" s="18">
        <f>IFERROR(Z122/Z446, "NA")</f>
        <v>1</v>
      </c>
      <c r="AB122" s="8"/>
      <c r="AC122" s="17">
        <f t="shared" si="32"/>
        <v>165013.89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>
        <f>IFERROR(B123/B446, "NA")</f>
        <v>0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98919.58</v>
      </c>
      <c r="C124" s="18">
        <f>IFERROR(B124/B446, "NA")</f>
        <v>1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96521.16</v>
      </c>
      <c r="F124" s="18">
        <f>IFERROR(E124/E446, "NA")</f>
        <v>1</v>
      </c>
      <c r="G124" s="8"/>
      <c r="H124" s="17">
        <f t="shared" si="29"/>
        <v>2398.42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88857.21</v>
      </c>
      <c r="L124" s="18">
        <f>IFERROR(K124/K446, "NA")</f>
        <v>1</v>
      </c>
      <c r="M124" s="8"/>
      <c r="N124" s="17">
        <f t="shared" si="30"/>
        <v>10062.37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898540.44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791515.08</v>
      </c>
      <c r="U124" s="18">
        <f>IFERROR(T124/T446, "NA")</f>
        <v>1</v>
      </c>
      <c r="V124" s="8"/>
      <c r="W124" s="17">
        <f t="shared" si="31"/>
        <v>107025.36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733526.55</v>
      </c>
      <c r="AA124" s="18">
        <f>IFERROR(Z124/Z446, "NA")</f>
        <v>1</v>
      </c>
      <c r="AB124" s="8"/>
      <c r="AC124" s="17">
        <f t="shared" si="32"/>
        <v>165013.89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>
        <f>IFERROR(B127/B446, "NA")</f>
        <v>0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>
        <f>IFERROR(B129/B446, "NA")</f>
        <v>0</v>
      </c>
      <c r="D129" s="14"/>
      <c r="E129" s="12">
        <v>20365.96</v>
      </c>
      <c r="F129" s="13">
        <f>IFERROR(E129/E446, "NA")</f>
        <v>0.2109999507</v>
      </c>
      <c r="G129" s="14"/>
      <c r="H129" s="15">
        <f t="shared" ref="H129:H141" si="33">IFERROR(-(B129-E129), "NA")</f>
        <v>20365.96</v>
      </c>
      <c r="I129" s="13">
        <f>IFERROR(H129/H446, "NA")</f>
        <v>8.491406843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167418.85</v>
      </c>
      <c r="U129" s="13">
        <f>IFERROR(T129/T446, "NA")</f>
        <v>0.2115169429</v>
      </c>
      <c r="V129" s="14"/>
      <c r="W129" s="15">
        <f t="shared" ref="W129:W141" si="35">IFERROR(-(Q129-T129), "NA")</f>
        <v>167418.85</v>
      </c>
      <c r="X129" s="13">
        <f>IFERROR(W129/W446, "NA")</f>
        <v>1.564291398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3915.43</v>
      </c>
      <c r="C130" s="13">
        <f>IFERROR(B130/B446, "NA")</f>
        <v>0.03958195132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-3915.43</v>
      </c>
      <c r="I130" s="13">
        <f>IFERROR(H130/H446, "NA")</f>
        <v>-1.632503898</v>
      </c>
      <c r="J130" s="14"/>
      <c r="K130" s="12">
        <v>3524.23</v>
      </c>
      <c r="L130" s="13">
        <f>IFERROR(K130/K446, "NA")</f>
        <v>0.03966172244</v>
      </c>
      <c r="M130" s="14"/>
      <c r="N130" s="15">
        <f t="shared" si="34"/>
        <v>-391.2</v>
      </c>
      <c r="O130" s="13">
        <f>IFERROR(N130/N446, "NA")</f>
        <v>-0.0388775209</v>
      </c>
      <c r="P130" s="14"/>
      <c r="Q130" s="12">
        <v>40100.98</v>
      </c>
      <c r="R130" s="13">
        <f>IFERROR(Q130/Q446, "NA")</f>
        <v>0.04462902082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-40100.98</v>
      </c>
      <c r="X130" s="13">
        <f>IFERROR(W130/W446, "NA")</f>
        <v>-0.3746867098</v>
      </c>
      <c r="Y130" s="14"/>
      <c r="Z130" s="12">
        <v>37090.67</v>
      </c>
      <c r="AA130" s="13">
        <f>IFERROR(Z130/Z446, "NA")</f>
        <v>0.05056486367</v>
      </c>
      <c r="AB130" s="14"/>
      <c r="AC130" s="15">
        <f t="shared" si="36"/>
        <v>-3010.31</v>
      </c>
      <c r="AD130" s="13">
        <f>IFERROR(AC130/AC446, "NA")</f>
        <v>-0.01824276732</v>
      </c>
    </row>
    <row r="131" ht="16.5" customHeight="1">
      <c r="A131" s="11" t="s">
        <v>126</v>
      </c>
      <c r="B131" s="12">
        <v>2292.61</v>
      </c>
      <c r="C131" s="13">
        <f>IFERROR(B131/B446, "NA")</f>
        <v>0.02317650358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-2292.61</v>
      </c>
      <c r="I131" s="13">
        <f>IFERROR(H131/H446, "NA")</f>
        <v>-0.9558834566</v>
      </c>
      <c r="J131" s="14"/>
      <c r="K131" s="12">
        <v>2098.24</v>
      </c>
      <c r="L131" s="13">
        <f>IFERROR(K131/K446, "NA")</f>
        <v>0.0236136156</v>
      </c>
      <c r="M131" s="14"/>
      <c r="N131" s="15">
        <f t="shared" si="34"/>
        <v>-194.37</v>
      </c>
      <c r="O131" s="13">
        <f>IFERROR(N131/N446, "NA")</f>
        <v>-0.01931652285</v>
      </c>
      <c r="P131" s="14"/>
      <c r="Q131" s="12">
        <v>22678.77</v>
      </c>
      <c r="R131" s="13">
        <f>IFERROR(Q131/Q446, "NA")</f>
        <v>0.02523956518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-22678.77</v>
      </c>
      <c r="X131" s="13">
        <f>IFERROR(W131/W446, "NA")</f>
        <v>-0.211900899</v>
      </c>
      <c r="Y131" s="14"/>
      <c r="Z131" s="12">
        <v>21283.67</v>
      </c>
      <c r="AA131" s="13">
        <f>IFERROR(Z131/Z446, "NA")</f>
        <v>0.02901554143</v>
      </c>
      <c r="AB131" s="14"/>
      <c r="AC131" s="15">
        <f t="shared" si="36"/>
        <v>-1395.1</v>
      </c>
      <c r="AD131" s="13">
        <f>IFERROR(AC131/AC446, "NA")</f>
        <v>-0.008454439805</v>
      </c>
    </row>
    <row r="132" ht="16.5" customHeight="1">
      <c r="A132" s="11" t="s">
        <v>127</v>
      </c>
      <c r="B132" s="12">
        <v>3033.05</v>
      </c>
      <c r="C132" s="13">
        <f>IFERROR(B132/B446, "NA")</f>
        <v>0.03066177596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-3033.05</v>
      </c>
      <c r="I132" s="13">
        <f>IFERROR(H132/H446, "NA")</f>
        <v>-1.264603364</v>
      </c>
      <c r="J132" s="14"/>
      <c r="K132" s="12">
        <v>4778.33</v>
      </c>
      <c r="L132" s="13">
        <f>IFERROR(K132/K446, "NA")</f>
        <v>0.05377537737</v>
      </c>
      <c r="M132" s="14"/>
      <c r="N132" s="15">
        <f t="shared" si="34"/>
        <v>1745.28</v>
      </c>
      <c r="O132" s="13">
        <f>IFERROR(N132/N446, "NA")</f>
        <v>0.173446216</v>
      </c>
      <c r="P132" s="14"/>
      <c r="Q132" s="12">
        <v>33209.26</v>
      </c>
      <c r="R132" s="13">
        <f>IFERROR(Q132/Q446, "NA")</f>
        <v>0.03695911561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-33209.26</v>
      </c>
      <c r="X132" s="13">
        <f>IFERROR(W132/W446, "NA")</f>
        <v>-0.3102933735</v>
      </c>
      <c r="Y132" s="14"/>
      <c r="Z132" s="12">
        <v>32526.4</v>
      </c>
      <c r="AA132" s="13">
        <f>IFERROR(Z132/Z446, "NA")</f>
        <v>0.04434249858</v>
      </c>
      <c r="AB132" s="14"/>
      <c r="AC132" s="15">
        <f t="shared" si="36"/>
        <v>-682.86</v>
      </c>
      <c r="AD132" s="13">
        <f>IFERROR(AC132/AC446, "NA")</f>
        <v>-0.004138197094</v>
      </c>
    </row>
    <row r="133" ht="16.5" customHeight="1">
      <c r="A133" s="11" t="s">
        <v>128</v>
      </c>
      <c r="B133" s="12">
        <v>1763.66</v>
      </c>
      <c r="C133" s="13">
        <f>IFERROR(B133/B446, "NA")</f>
        <v>0.01782923057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-1763.66</v>
      </c>
      <c r="I133" s="13">
        <f>IFERROR(H133/H446, "NA")</f>
        <v>-0.7353424338</v>
      </c>
      <c r="J133" s="14"/>
      <c r="K133" s="12">
        <v>2074.91</v>
      </c>
      <c r="L133" s="13">
        <f>IFERROR(K133/K446, "NA")</f>
        <v>0.02335105953</v>
      </c>
      <c r="M133" s="14"/>
      <c r="N133" s="15">
        <f t="shared" si="34"/>
        <v>311.25</v>
      </c>
      <c r="O133" s="13">
        <f>IFERROR(N133/N446, "NA")</f>
        <v>0.03093207664</v>
      </c>
      <c r="P133" s="14"/>
      <c r="Q133" s="12">
        <v>18560.84</v>
      </c>
      <c r="R133" s="13">
        <f>IFERROR(Q133/Q446, "NA")</f>
        <v>0.02065665514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-18560.84</v>
      </c>
      <c r="X133" s="13">
        <f>IFERROR(W133/W446, "NA")</f>
        <v>-0.1734246911</v>
      </c>
      <c r="Y133" s="14"/>
      <c r="Z133" s="12">
        <v>17764.53</v>
      </c>
      <c r="AA133" s="13">
        <f>IFERROR(Z133/Z446, "NA")</f>
        <v>0.0242179782</v>
      </c>
      <c r="AB133" s="14"/>
      <c r="AC133" s="15">
        <f t="shared" si="36"/>
        <v>-796.31</v>
      </c>
      <c r="AD133" s="13">
        <f>IFERROR(AC133/AC446, "NA")</f>
        <v>-0.004825714975</v>
      </c>
    </row>
    <row r="134" ht="16.5" customHeight="1">
      <c r="A134" s="11" t="s">
        <v>129</v>
      </c>
      <c r="B134" s="12">
        <v>1227.11</v>
      </c>
      <c r="C134" s="13">
        <f>IFERROR(B134/B446, "NA")</f>
        <v>0.01240512748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-1227.11</v>
      </c>
      <c r="I134" s="13">
        <f>IFERROR(H134/H446, "NA")</f>
        <v>-0.5116326582</v>
      </c>
      <c r="J134" s="14"/>
      <c r="K134" s="12">
        <v>830.34</v>
      </c>
      <c r="L134" s="13">
        <f>IFERROR(K134/K446, "NA")</f>
        <v>0.009344655318</v>
      </c>
      <c r="M134" s="14"/>
      <c r="N134" s="15">
        <f t="shared" si="34"/>
        <v>-396.77</v>
      </c>
      <c r="O134" s="13">
        <f>IFERROR(N134/N446, "NA")</f>
        <v>-0.03943106843</v>
      </c>
      <c r="P134" s="14"/>
      <c r="Q134" s="12">
        <v>9479.95</v>
      </c>
      <c r="R134" s="13">
        <f>IFERROR(Q134/Q446, "NA")</f>
        <v>0.01055038769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-9479.95</v>
      </c>
      <c r="X134" s="13">
        <f>IFERROR(W134/W446, "NA")</f>
        <v>-0.08857667005</v>
      </c>
      <c r="Y134" s="14"/>
      <c r="Z134" s="12">
        <v>6527.89</v>
      </c>
      <c r="AA134" s="13">
        <f>IFERROR(Z134/Z446, "NA")</f>
        <v>0.008899323412</v>
      </c>
      <c r="AB134" s="14"/>
      <c r="AC134" s="15">
        <f t="shared" si="36"/>
        <v>-2952.06</v>
      </c>
      <c r="AD134" s="13">
        <f>IFERROR(AC134/AC446, "NA")</f>
        <v>-0.01788976673</v>
      </c>
    </row>
    <row r="135" ht="16.5" customHeight="1">
      <c r="A135" s="11" t="s">
        <v>130</v>
      </c>
      <c r="B135" s="12">
        <v>599.42</v>
      </c>
      <c r="C135" s="13">
        <f>IFERROR(B135/B446, "NA")</f>
        <v>0.006059669885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-599.42</v>
      </c>
      <c r="I135" s="13">
        <f>IFERROR(H135/H446, "NA")</f>
        <v>-0.2499228659</v>
      </c>
      <c r="J135" s="14"/>
      <c r="K135" s="12">
        <v>709.15</v>
      </c>
      <c r="L135" s="13">
        <f>IFERROR(K135/K446, "NA")</f>
        <v>0.007980781751</v>
      </c>
      <c r="M135" s="14"/>
      <c r="N135" s="15">
        <f t="shared" si="34"/>
        <v>109.73</v>
      </c>
      <c r="O135" s="13">
        <f>IFERROR(N135/N446, "NA")</f>
        <v>0.0109049856</v>
      </c>
      <c r="P135" s="14"/>
      <c r="Q135" s="12">
        <v>6174.8</v>
      </c>
      <c r="R135" s="13">
        <f>IFERROR(Q135/Q446, "NA")</f>
        <v>0.006872033495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-6174.8</v>
      </c>
      <c r="X135" s="13">
        <f>IFERROR(W135/W446, "NA")</f>
        <v>-0.05769473702</v>
      </c>
      <c r="Y135" s="14"/>
      <c r="Z135" s="12">
        <v>6018.77</v>
      </c>
      <c r="AA135" s="13">
        <f>IFERROR(Z135/Z446, "NA")</f>
        <v>0.008205251739</v>
      </c>
      <c r="AB135" s="14"/>
      <c r="AC135" s="15">
        <f t="shared" si="36"/>
        <v>-156.03</v>
      </c>
      <c r="AD135" s="13">
        <f>IFERROR(AC135/AC446, "NA")</f>
        <v>-0.0009455567649</v>
      </c>
    </row>
    <row r="136" ht="16.5" customHeight="1">
      <c r="A136" s="11" t="s">
        <v>131</v>
      </c>
      <c r="B136" s="12">
        <v>0.0</v>
      </c>
      <c r="C136" s="13">
        <f>IFERROR(B136/B446, "NA")</f>
        <v>0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3954.02</v>
      </c>
      <c r="AA136" s="13">
        <f>IFERROR(Z136/Z446, "NA")</f>
        <v>0.0053904252</v>
      </c>
      <c r="AB136" s="14"/>
      <c r="AC136" s="15">
        <f t="shared" si="36"/>
        <v>3954.02</v>
      </c>
      <c r="AD136" s="13">
        <f>IFERROR(AC136/AC446, "NA")</f>
        <v>0.02396174043</v>
      </c>
    </row>
    <row r="137" ht="16.5" customHeight="1">
      <c r="A137" s="11" t="s">
        <v>132</v>
      </c>
      <c r="B137" s="12">
        <v>695.47</v>
      </c>
      <c r="C137" s="13">
        <f>IFERROR(B137/B446, "NA")</f>
        <v>0.007030660664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-695.47</v>
      </c>
      <c r="I137" s="13">
        <f>IFERROR(H137/H446, "NA")</f>
        <v>-0.2899700636</v>
      </c>
      <c r="J137" s="14"/>
      <c r="K137" s="12">
        <v>446.66</v>
      </c>
      <c r="L137" s="13">
        <f>IFERROR(K137/K446, "NA")</f>
        <v>0.005026716459</v>
      </c>
      <c r="M137" s="14"/>
      <c r="N137" s="15">
        <f t="shared" si="34"/>
        <v>-248.81</v>
      </c>
      <c r="O137" s="13">
        <f>IFERROR(N137/N446, "NA")</f>
        <v>-0.02472677908</v>
      </c>
      <c r="P137" s="14"/>
      <c r="Q137" s="12">
        <v>4645.16</v>
      </c>
      <c r="R137" s="13">
        <f>IFERROR(Q137/Q446, "NA")</f>
        <v>0.005169672719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-4645.16</v>
      </c>
      <c r="X137" s="13">
        <f>IFERROR(W137/W446, "NA")</f>
        <v>-0.0434024235</v>
      </c>
      <c r="Y137" s="14"/>
      <c r="Z137" s="12">
        <v>4159.4</v>
      </c>
      <c r="AA137" s="13">
        <f>IFERROR(Z137/Z446, "NA")</f>
        <v>0.005670415065</v>
      </c>
      <c r="AB137" s="14"/>
      <c r="AC137" s="15">
        <f t="shared" si="36"/>
        <v>-485.76</v>
      </c>
      <c r="AD137" s="13">
        <f>IFERROR(AC137/AC446, "NA")</f>
        <v>-0.00294375219</v>
      </c>
    </row>
    <row r="138" ht="16.5" customHeight="1">
      <c r="A138" s="11" t="s">
        <v>133</v>
      </c>
      <c r="B138" s="12">
        <v>6121.87</v>
      </c>
      <c r="C138" s="13">
        <f>IFERROR(B138/B446, "NA")</f>
        <v>0.06188734323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-6121.87</v>
      </c>
      <c r="I138" s="13">
        <f>IFERROR(H138/H446, "NA")</f>
        <v>-2.552459536</v>
      </c>
      <c r="J138" s="14"/>
      <c r="K138" s="12">
        <v>5539.9</v>
      </c>
      <c r="L138" s="13">
        <f>IFERROR(K138/K446, "NA")</f>
        <v>0.06234609437</v>
      </c>
      <c r="M138" s="14"/>
      <c r="N138" s="15">
        <f t="shared" si="34"/>
        <v>-581.97</v>
      </c>
      <c r="O138" s="13">
        <f>IFERROR(N138/N446, "NA")</f>
        <v>-0.05783627515</v>
      </c>
      <c r="P138" s="14"/>
      <c r="Q138" s="12">
        <v>54649.57</v>
      </c>
      <c r="R138" s="13">
        <f>IFERROR(Q138/Q446, "NA")</f>
        <v>0.06082037888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-54649.57</v>
      </c>
      <c r="X138" s="13">
        <f>IFERROR(W138/W446, "NA")</f>
        <v>-0.5106226225</v>
      </c>
      <c r="Y138" s="14"/>
      <c r="Z138" s="12">
        <v>42673.69</v>
      </c>
      <c r="AA138" s="13">
        <f>IFERROR(Z138/Z446, "NA")</f>
        <v>0.05817606738</v>
      </c>
      <c r="AB138" s="14"/>
      <c r="AC138" s="15">
        <f t="shared" si="36"/>
        <v>-11975.88</v>
      </c>
      <c r="AD138" s="13">
        <f>IFERROR(AC138/AC446, "NA")</f>
        <v>-0.07257498142</v>
      </c>
    </row>
    <row r="139" ht="16.5" hidden="1" customHeight="1">
      <c r="A139" s="11" t="s">
        <v>134</v>
      </c>
      <c r="B139" s="12">
        <v>0.0</v>
      </c>
      <c r="C139" s="13">
        <f>IFERROR(B139/B446, "NA")</f>
        <v>0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customHeight="1">
      <c r="A140" s="11" t="s">
        <v>135</v>
      </c>
      <c r="B140" s="12">
        <v>0.0</v>
      </c>
      <c r="C140" s="13">
        <f>IFERROR(B140/B446, "NA")</f>
        <v>0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4.95</v>
      </c>
      <c r="L140" s="13">
        <f>IFERROR(K140/K446, "NA")</f>
        <v>0.0000557073534</v>
      </c>
      <c r="M140" s="14"/>
      <c r="N140" s="15">
        <f t="shared" si="34"/>
        <v>4.95</v>
      </c>
      <c r="O140" s="13">
        <f>IFERROR(N140/N446, "NA")</f>
        <v>0.0004919318212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87.4</v>
      </c>
      <c r="AA140" s="13">
        <f>IFERROR(Z140/Z446, "NA")</f>
        <v>0.0001191504248</v>
      </c>
      <c r="AB140" s="14"/>
      <c r="AC140" s="15">
        <f t="shared" si="36"/>
        <v>87.4</v>
      </c>
      <c r="AD140" s="13">
        <f>IFERROR(AC140/AC446, "NA")</f>
        <v>0.0005296523826</v>
      </c>
    </row>
    <row r="141" ht="16.5" customHeight="1">
      <c r="A141" s="16" t="s">
        <v>136</v>
      </c>
      <c r="B141" s="17">
        <f>IFERROR(B129+B130+B131+B132+B133+B134+B135+B136+B137+B138+B139+B140, "NA")</f>
        <v>19648.62</v>
      </c>
      <c r="C141" s="18">
        <f>IFERROR(B141/B446, "NA")</f>
        <v>0.1986322627</v>
      </c>
      <c r="D141" s="8"/>
      <c r="E141" s="17">
        <f>IFERROR(E129+E130+E131+E132+E133+E134+E135+E136+E137+E138+E139+E140, "NA")</f>
        <v>20365.96</v>
      </c>
      <c r="F141" s="18">
        <f>IFERROR(E141/E446, "NA")</f>
        <v>0.2109999507</v>
      </c>
      <c r="G141" s="8"/>
      <c r="H141" s="17">
        <f t="shared" si="33"/>
        <v>717.34</v>
      </c>
      <c r="I141" s="18">
        <f>IFERROR(H141/H446, "NA")</f>
        <v>0.2990885666</v>
      </c>
      <c r="J141" s="8"/>
      <c r="K141" s="17">
        <f>IFERROR(K129+K130+K131+K132+K133+K134+K135+K136+K137+K138+K139+K140, "NA")</f>
        <v>20006.71</v>
      </c>
      <c r="L141" s="18">
        <f>IFERROR(K141/K446, "NA")</f>
        <v>0.2251557302</v>
      </c>
      <c r="M141" s="8"/>
      <c r="N141" s="17">
        <f t="shared" si="34"/>
        <v>358.09</v>
      </c>
      <c r="O141" s="18">
        <f>IFERROR(N141/N446, "NA")</f>
        <v>0.03558704361</v>
      </c>
      <c r="P141" s="8"/>
      <c r="Q141" s="17">
        <f>IFERROR(Q129+Q130+Q131+Q132+Q133+Q134+Q135+Q136+Q137+Q138+Q139+Q140, "NA")</f>
        <v>189499.33</v>
      </c>
      <c r="R141" s="18">
        <f>IFERROR(Q141/Q446, "NA")</f>
        <v>0.2108968295</v>
      </c>
      <c r="S141" s="8"/>
      <c r="T141" s="17">
        <f>IFERROR(T129+T130+T131+T132+T133+T134+T135+T136+T137+T138+T139+T140, "NA")</f>
        <v>167418.85</v>
      </c>
      <c r="U141" s="18">
        <f>IFERROR(T141/T446, "NA")</f>
        <v>0.2115169429</v>
      </c>
      <c r="V141" s="8"/>
      <c r="W141" s="17">
        <f t="shared" si="35"/>
        <v>-22080.48</v>
      </c>
      <c r="X141" s="18">
        <f>IFERROR(W141/W446, "NA")</f>
        <v>-0.2063107286</v>
      </c>
      <c r="Y141" s="8"/>
      <c r="Z141" s="17">
        <f>IFERROR(Z129+Z130+Z131+Z132+Z133+Z134+Z135+Z136+Z137+Z138+Z139+Z140, "NA")</f>
        <v>172086.44</v>
      </c>
      <c r="AA141" s="18">
        <f>IFERROR(Z141/Z446, "NA")</f>
        <v>0.2346015151</v>
      </c>
      <c r="AB141" s="8"/>
      <c r="AC141" s="17">
        <f t="shared" si="36"/>
        <v>-17412.89</v>
      </c>
      <c r="AD141" s="18">
        <f>IFERROR(AC141/AC446, "NA")</f>
        <v>-0.1055237835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>
        <f>IFERROR(B143/B446, "NA")</f>
        <v>0</v>
      </c>
      <c r="D143" s="14"/>
      <c r="E143" s="12">
        <v>1158.25</v>
      </c>
      <c r="F143" s="13">
        <f>IFERROR(E143/E446, "NA")</f>
        <v>0.01199995939</v>
      </c>
      <c r="G143" s="14"/>
      <c r="H143" s="15">
        <f t="shared" ref="H143:H149" si="37">IFERROR(-(B143-E143), "NA")</f>
        <v>1158.25</v>
      </c>
      <c r="I143" s="13">
        <f>IFERROR(H143/H446, "NA")</f>
        <v>0.4829220904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9498.18</v>
      </c>
      <c r="U143" s="13">
        <f>IFERROR(T143/T446, "NA")</f>
        <v>0.01199999879</v>
      </c>
      <c r="V143" s="14"/>
      <c r="W143" s="15">
        <f t="shared" ref="W143:W149" si="39">IFERROR(-(Q143-T143), "NA")</f>
        <v>9498.18</v>
      </c>
      <c r="X143" s="13">
        <f>IFERROR(W143/W446, "NA")</f>
        <v>0.08874700351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1097.02</v>
      </c>
      <c r="C144" s="13">
        <f>IFERROR(B144/B446, "NA")</f>
        <v>0.01109001878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-1097.02</v>
      </c>
      <c r="I144" s="13">
        <f>IFERROR(H144/H446, "NA")</f>
        <v>-0.4573927836</v>
      </c>
      <c r="J144" s="14"/>
      <c r="K144" s="12">
        <v>1282.87</v>
      </c>
      <c r="L144" s="13">
        <f>IFERROR(K144/K446, "NA")</f>
        <v>0.01443743282</v>
      </c>
      <c r="M144" s="14"/>
      <c r="N144" s="15">
        <f t="shared" si="38"/>
        <v>185.85</v>
      </c>
      <c r="O144" s="13">
        <f>IFERROR(N144/N446, "NA")</f>
        <v>0.01846980383</v>
      </c>
      <c r="P144" s="14"/>
      <c r="Q144" s="12">
        <v>10482.02</v>
      </c>
      <c r="R144" s="13">
        <f>IFERROR(Q144/Q446, "NA")</f>
        <v>0.01166560739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-10482.02</v>
      </c>
      <c r="X144" s="13">
        <f>IFERROR(W144/W446, "NA")</f>
        <v>-0.09793959114</v>
      </c>
      <c r="Y144" s="14"/>
      <c r="Z144" s="12">
        <v>10884.55</v>
      </c>
      <c r="AA144" s="13">
        <f>IFERROR(Z144/Z446, "NA")</f>
        <v>0.01483865853</v>
      </c>
      <c r="AB144" s="14"/>
      <c r="AC144" s="15">
        <f t="shared" si="40"/>
        <v>402.53</v>
      </c>
      <c r="AD144" s="13">
        <f>IFERROR(AC144/AC446, "NA")</f>
        <v>0.002439370407</v>
      </c>
    </row>
    <row r="145" ht="16.5" customHeight="1">
      <c r="A145" s="11" t="s">
        <v>139</v>
      </c>
      <c r="B145" s="12">
        <v>66.64</v>
      </c>
      <c r="C145" s="13">
        <f>IFERROR(B145/B446, "NA")</f>
        <v>0.0006736785579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-66.64</v>
      </c>
      <c r="I145" s="13">
        <f>IFERROR(H145/H446, "NA")</f>
        <v>-0.02778495843</v>
      </c>
      <c r="J145" s="14"/>
      <c r="K145" s="12">
        <v>45.28</v>
      </c>
      <c r="L145" s="13">
        <f>IFERROR(K145/K446, "NA")</f>
        <v>0.0005095816085</v>
      </c>
      <c r="M145" s="14"/>
      <c r="N145" s="15">
        <f t="shared" si="38"/>
        <v>-21.36</v>
      </c>
      <c r="O145" s="13">
        <f>IFERROR(N145/N446, "NA")</f>
        <v>-0.002122760344</v>
      </c>
      <c r="P145" s="14"/>
      <c r="Q145" s="12">
        <v>439.2</v>
      </c>
      <c r="R145" s="13">
        <f>IFERROR(Q145/Q446, "NA")</f>
        <v>0.0004887926914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-439.2</v>
      </c>
      <c r="X145" s="13">
        <f>IFERROR(W145/W446, "NA")</f>
        <v>-0.004103700282</v>
      </c>
      <c r="Y145" s="14"/>
      <c r="Z145" s="12">
        <v>445.36</v>
      </c>
      <c r="AA145" s="13">
        <f>IFERROR(Z145/Z446, "NA")</f>
        <v>0.0006071491209</v>
      </c>
      <c r="AB145" s="14"/>
      <c r="AC145" s="15">
        <f t="shared" si="40"/>
        <v>6.16</v>
      </c>
      <c r="AD145" s="13">
        <f>IFERROR(AC145/AC446, "NA")</f>
        <v>0.00003733019081</v>
      </c>
    </row>
    <row r="146" ht="16.5" customHeight="1">
      <c r="A146" s="11" t="s">
        <v>140</v>
      </c>
      <c r="B146" s="12">
        <v>0.0</v>
      </c>
      <c r="C146" s="13">
        <f>IFERROR(B146/B446, "NA")</f>
        <v>0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0</v>
      </c>
      <c r="I146" s="13">
        <f>IFERROR(H146/H446, "NA")</f>
        <v>0</v>
      </c>
      <c r="J146" s="14"/>
      <c r="K146" s="12">
        <v>209.11</v>
      </c>
      <c r="L146" s="13">
        <f>IFERROR(K146/K446, "NA")</f>
        <v>0.002353326196</v>
      </c>
      <c r="M146" s="14"/>
      <c r="N146" s="15">
        <f t="shared" si="38"/>
        <v>209.11</v>
      </c>
      <c r="O146" s="13">
        <f>IFERROR(N146/N446, "NA")</f>
        <v>0.02078138649</v>
      </c>
      <c r="P146" s="14"/>
      <c r="Q146" s="12">
        <v>404.1</v>
      </c>
      <c r="R146" s="13">
        <f>IFERROR(Q146/Q446, "NA")</f>
        <v>0.0004497293411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-404.1</v>
      </c>
      <c r="X146" s="13">
        <f>IFERROR(W146/W446, "NA")</f>
        <v>-0.003775740628</v>
      </c>
      <c r="Y146" s="14"/>
      <c r="Z146" s="12">
        <v>196.76</v>
      </c>
      <c r="AA146" s="13">
        <f>IFERROR(Z146/Z446, "NA")</f>
        <v>0.0002682384162</v>
      </c>
      <c r="AB146" s="14"/>
      <c r="AC146" s="15">
        <f t="shared" si="40"/>
        <v>-207.34</v>
      </c>
      <c r="AD146" s="13">
        <f>IFERROR(AC146/AC446, "NA")</f>
        <v>-0.001256500286</v>
      </c>
    </row>
    <row r="147" ht="16.5" customHeight="1">
      <c r="A147" s="11" t="s">
        <v>141</v>
      </c>
      <c r="B147" s="12">
        <v>0.0</v>
      </c>
      <c r="C147" s="13">
        <f>IFERROR(B147/B446, "NA")</f>
        <v>0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0</v>
      </c>
      <c r="I147" s="13">
        <f>IFERROR(H147/H446, "NA")</f>
        <v>0</v>
      </c>
      <c r="J147" s="14"/>
      <c r="K147" s="12">
        <v>7.01</v>
      </c>
      <c r="L147" s="13">
        <f>IFERROR(K147/K446, "NA")</f>
        <v>0.00007889061563</v>
      </c>
      <c r="M147" s="14"/>
      <c r="N147" s="15">
        <f t="shared" si="38"/>
        <v>7.01</v>
      </c>
      <c r="O147" s="13">
        <f>IFERROR(N147/N446, "NA")</f>
        <v>0.000696654963</v>
      </c>
      <c r="P147" s="14"/>
      <c r="Q147" s="12">
        <v>62.99</v>
      </c>
      <c r="R147" s="13">
        <f>IFERROR(Q147/Q446, "NA")</f>
        <v>0.00007010257657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-62.99</v>
      </c>
      <c r="X147" s="13">
        <f>IFERROR(W147/W446, "NA")</f>
        <v>-0.0005885520964</v>
      </c>
      <c r="Y147" s="14"/>
      <c r="Z147" s="12">
        <v>68.97</v>
      </c>
      <c r="AA147" s="13">
        <f>IFERROR(Z147/Z446, "NA")</f>
        <v>0.00009402522649</v>
      </c>
      <c r="AB147" s="14"/>
      <c r="AC147" s="15">
        <f t="shared" si="40"/>
        <v>5.98</v>
      </c>
      <c r="AD147" s="13">
        <f>IFERROR(AC147/AC446, "NA")</f>
        <v>0.00003623937355</v>
      </c>
    </row>
    <row r="148" ht="16.5" customHeight="1">
      <c r="A148" s="16" t="s">
        <v>142</v>
      </c>
      <c r="B148" s="17">
        <f>IFERROR(B143+B144+B145+B146+B147, "NA")</f>
        <v>1163.66</v>
      </c>
      <c r="C148" s="18">
        <f>IFERROR(B148/B446, "NA")</f>
        <v>0.01176369734</v>
      </c>
      <c r="D148" s="8"/>
      <c r="E148" s="17">
        <f>IFERROR(E143+E144+E145+E146+E147, "NA")</f>
        <v>1158.25</v>
      </c>
      <c r="F148" s="18">
        <f>IFERROR(E148/E446, "NA")</f>
        <v>0.01199995939</v>
      </c>
      <c r="G148" s="8"/>
      <c r="H148" s="17">
        <f t="shared" si="37"/>
        <v>-5.41</v>
      </c>
      <c r="I148" s="18">
        <f>IFERROR(H148/H446, "NA")</f>
        <v>-0.002255651637</v>
      </c>
      <c r="J148" s="8"/>
      <c r="K148" s="17">
        <f>IFERROR(K143+K144+K145+K146+K147, "NA")</f>
        <v>1544.27</v>
      </c>
      <c r="L148" s="18">
        <f>IFERROR(K148/K446, "NA")</f>
        <v>0.01737923124</v>
      </c>
      <c r="M148" s="8"/>
      <c r="N148" s="17">
        <f t="shared" si="38"/>
        <v>380.61</v>
      </c>
      <c r="O148" s="18">
        <f>IFERROR(N148/N446, "NA")</f>
        <v>0.03782508495</v>
      </c>
      <c r="P148" s="8"/>
      <c r="Q148" s="17">
        <f>IFERROR(Q143+Q144+Q145+Q146+Q147, "NA")</f>
        <v>11388.31</v>
      </c>
      <c r="R148" s="18">
        <f>IFERROR(Q148/Q446, "NA")</f>
        <v>0.012674232</v>
      </c>
      <c r="S148" s="8"/>
      <c r="T148" s="17">
        <f>IFERROR(T143+T144+T145+T146+T147, "NA")</f>
        <v>9498.18</v>
      </c>
      <c r="U148" s="18">
        <f>IFERROR(T148/T446, "NA")</f>
        <v>0.01199999879</v>
      </c>
      <c r="V148" s="8"/>
      <c r="W148" s="17">
        <f t="shared" si="39"/>
        <v>-1890.13</v>
      </c>
      <c r="X148" s="18">
        <f>IFERROR(W148/W446, "NA")</f>
        <v>-0.01766058063</v>
      </c>
      <c r="Y148" s="8"/>
      <c r="Z148" s="17">
        <f>IFERROR(Z143+Z144+Z145+Z146+Z147, "NA")</f>
        <v>11595.64</v>
      </c>
      <c r="AA148" s="18">
        <f>IFERROR(Z148/Z446, "NA")</f>
        <v>0.0158080713</v>
      </c>
      <c r="AB148" s="8"/>
      <c r="AC148" s="17">
        <f t="shared" si="40"/>
        <v>207.33</v>
      </c>
      <c r="AD148" s="18">
        <f>IFERROR(AC148/AC446, "NA")</f>
        <v>0.001256439685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20812.28</v>
      </c>
      <c r="C149" s="18">
        <f>IFERROR(B149/B446, "NA")</f>
        <v>0.21039596</v>
      </c>
      <c r="D149" s="8"/>
      <c r="E149" s="17">
        <f>IFERROR(E127+E129+E130+E131+E132+E133+E134+E135+E136+E137+E138+E139+E140+E143+E144+E145+E146+E147, "NA")</f>
        <v>21524.21</v>
      </c>
      <c r="F149" s="18">
        <f>IFERROR(E149/E446, "NA")</f>
        <v>0.2229999101</v>
      </c>
      <c r="G149" s="8"/>
      <c r="H149" s="17">
        <f t="shared" si="37"/>
        <v>711.93</v>
      </c>
      <c r="I149" s="18">
        <f>IFERROR(H149/H446, "NA")</f>
        <v>0.296832915</v>
      </c>
      <c r="J149" s="8"/>
      <c r="K149" s="17">
        <f>IFERROR(K127+K129+K130+K131+K132+K133+K134+K135+K136+K137+K138+K139+K140+K143+K144+K145+K146+K147, "NA")</f>
        <v>21550.98</v>
      </c>
      <c r="L149" s="18">
        <f>IFERROR(K149/K446, "NA")</f>
        <v>0.2425349614</v>
      </c>
      <c r="M149" s="8"/>
      <c r="N149" s="17">
        <f t="shared" si="38"/>
        <v>738.7</v>
      </c>
      <c r="O149" s="18">
        <f>IFERROR(N149/N446, "NA")</f>
        <v>0.07341212855</v>
      </c>
      <c r="P149" s="8"/>
      <c r="Q149" s="17">
        <f>IFERROR(Q127+Q129+Q130+Q131+Q132+Q133+Q134+Q135+Q136+Q137+Q138+Q139+Q140+Q143+Q144+Q145+Q146+Q147, "NA")</f>
        <v>200887.64</v>
      </c>
      <c r="R149" s="18">
        <f>IFERROR(Q149/Q446, "NA")</f>
        <v>0.2235710615</v>
      </c>
      <c r="S149" s="8"/>
      <c r="T149" s="17">
        <f>IFERROR(T127+T129+T130+T131+T132+T133+T134+T135+T136+T137+T138+T139+T140+T143+T144+T145+T146+T147, "NA")</f>
        <v>176917.03</v>
      </c>
      <c r="U149" s="18">
        <f>IFERROR(T149/T446, "NA")</f>
        <v>0.2235169417</v>
      </c>
      <c r="V149" s="8"/>
      <c r="W149" s="17">
        <f t="shared" si="39"/>
        <v>-23970.61</v>
      </c>
      <c r="X149" s="18">
        <f>IFERROR(W149/W446, "NA")</f>
        <v>-0.2239713092</v>
      </c>
      <c r="Y149" s="8"/>
      <c r="Z149" s="17">
        <f>IFERROR(Z127+Z129+Z130+Z131+Z132+Z133+Z134+Z135+Z136+Z137+Z138+Z139+Z140+Z143+Z144+Z145+Z146+Z147, "NA")</f>
        <v>183682.08</v>
      </c>
      <c r="AA149" s="18">
        <f>IFERROR(Z149/Z446, "NA")</f>
        <v>0.2504095864</v>
      </c>
      <c r="AB149" s="8"/>
      <c r="AC149" s="17">
        <f t="shared" si="40"/>
        <v>-17205.56</v>
      </c>
      <c r="AD149" s="18">
        <f>IFERROR(AC149/AC446, "NA")</f>
        <v>-0.1042673438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>
        <f>IFERROR(B151/B446, "NA")</f>
        <v>0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>
        <f>IFERROR(B153/B446, "NA")</f>
        <v>0</v>
      </c>
      <c r="D153" s="14"/>
      <c r="E153" s="12">
        <v>3957.37</v>
      </c>
      <c r="F153" s="13">
        <f>IFERROR(E153/E446, "NA")</f>
        <v>0.04100002528</v>
      </c>
      <c r="G153" s="14"/>
      <c r="H153" s="15">
        <f t="shared" ref="H153:H158" si="41">IFERROR(-(B153-E153), "NA")</f>
        <v>3957.37</v>
      </c>
      <c r="I153" s="13">
        <f>IFERROR(H153/H446, "NA")</f>
        <v>1.64999041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32452.12</v>
      </c>
      <c r="U153" s="13">
        <f>IFERROR(T153/T446, "NA")</f>
        <v>0.04100000217</v>
      </c>
      <c r="V153" s="14"/>
      <c r="W153" s="15">
        <f t="shared" ref="W153:W158" si="43">IFERROR(-(Q153-T153), "NA")</f>
        <v>32452.12</v>
      </c>
      <c r="X153" s="13">
        <f>IFERROR(W153/W446, "NA")</f>
        <v>0.3032189754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2864.59</v>
      </c>
      <c r="C154" s="13">
        <f>IFERROR(B154/B446, "NA")</f>
        <v>0.02895877641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-2864.59</v>
      </c>
      <c r="I154" s="13">
        <f>IFERROR(H154/H446, "NA")</f>
        <v>-1.194365457</v>
      </c>
      <c r="J154" s="14"/>
      <c r="K154" s="12">
        <v>2843.91</v>
      </c>
      <c r="L154" s="13">
        <f>IFERROR(K154/K446, "NA")</f>
        <v>0.03200539382</v>
      </c>
      <c r="M154" s="14"/>
      <c r="N154" s="15">
        <f t="shared" si="42"/>
        <v>-20.68</v>
      </c>
      <c r="O154" s="13">
        <f>IFERROR(N154/N446, "NA")</f>
        <v>-0.002055181831</v>
      </c>
      <c r="P154" s="14"/>
      <c r="Q154" s="12">
        <v>26019.65</v>
      </c>
      <c r="R154" s="13">
        <f>IFERROR(Q154/Q446, "NA")</f>
        <v>0.02895768386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-26019.65</v>
      </c>
      <c r="X154" s="13">
        <f>IFERROR(W154/W446, "NA")</f>
        <v>-0.2431166781</v>
      </c>
      <c r="Y154" s="14"/>
      <c r="Z154" s="12">
        <v>25260.95</v>
      </c>
      <c r="AA154" s="13">
        <f>IFERROR(Z154/Z446, "NA")</f>
        <v>0.03443767645</v>
      </c>
      <c r="AB154" s="14"/>
      <c r="AC154" s="15">
        <f t="shared" si="44"/>
        <v>-758.7</v>
      </c>
      <c r="AD154" s="13">
        <f>IFERROR(AC154/AC446, "NA")</f>
        <v>-0.004597794767</v>
      </c>
    </row>
    <row r="155" ht="16.5" customHeight="1">
      <c r="A155" s="11" t="s">
        <v>147</v>
      </c>
      <c r="B155" s="12">
        <v>995.51</v>
      </c>
      <c r="C155" s="13">
        <f>IFERROR(B155/B446, "NA")</f>
        <v>0.01006383165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-995.51</v>
      </c>
      <c r="I155" s="13">
        <f>IFERROR(H155/H446, "NA")</f>
        <v>-0.4150690871</v>
      </c>
      <c r="J155" s="14"/>
      <c r="K155" s="12">
        <v>1103.86</v>
      </c>
      <c r="L155" s="13">
        <f>IFERROR(K155/K446, "NA")</f>
        <v>0.01242285235</v>
      </c>
      <c r="M155" s="14"/>
      <c r="N155" s="15">
        <f t="shared" si="42"/>
        <v>108.35</v>
      </c>
      <c r="O155" s="13">
        <f>IFERROR(N155/N446, "NA")</f>
        <v>0.01076784098</v>
      </c>
      <c r="P155" s="14"/>
      <c r="Q155" s="12">
        <v>9311.01</v>
      </c>
      <c r="R155" s="13">
        <f>IFERROR(Q155/Q446, "NA")</f>
        <v>0.01036237167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-9311.01</v>
      </c>
      <c r="X155" s="13">
        <f>IFERROR(W155/W446, "NA")</f>
        <v>-0.08699816567</v>
      </c>
      <c r="Y155" s="14"/>
      <c r="Z155" s="12">
        <v>5848.23</v>
      </c>
      <c r="AA155" s="13">
        <f>IFERROR(Z155/Z446, "NA")</f>
        <v>0.00797275845</v>
      </c>
      <c r="AB155" s="14"/>
      <c r="AC155" s="15">
        <f t="shared" si="44"/>
        <v>-3462.78</v>
      </c>
      <c r="AD155" s="13">
        <f>IFERROR(AC155/AC446, "NA")</f>
        <v>-0.02098477892</v>
      </c>
    </row>
    <row r="156" ht="16.5" customHeight="1">
      <c r="A156" s="11" t="s">
        <v>148</v>
      </c>
      <c r="B156" s="12">
        <v>0.0</v>
      </c>
      <c r="C156" s="13">
        <f>IFERROR(B156/B446, "NA")</f>
        <v>0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57.62</v>
      </c>
      <c r="R156" s="13">
        <f>IFERROR(Q156/Q446, "NA")</f>
        <v>0.00006412621785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-57.62</v>
      </c>
      <c r="X156" s="13">
        <f>IFERROR(W156/W446, "NA")</f>
        <v>-0.0005383770725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-57.62</v>
      </c>
      <c r="AD156" s="13">
        <f>IFERROR(AC156/AC446, "NA")</f>
        <v>-0.0003491827264</v>
      </c>
    </row>
    <row r="157" ht="16.5" hidden="1" customHeight="1">
      <c r="A157" s="11" t="s">
        <v>149</v>
      </c>
      <c r="B157" s="12">
        <v>0.0</v>
      </c>
      <c r="C157" s="13">
        <f>IFERROR(B157/B446, "NA")</f>
        <v>0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3860.1</v>
      </c>
      <c r="C158" s="18">
        <f>IFERROR(B158/B446, "NA")</f>
        <v>0.03902260806</v>
      </c>
      <c r="D158" s="8"/>
      <c r="E158" s="17">
        <f>IFERROR(E153+E154+E155+E156+E157, "NA")</f>
        <v>3957.37</v>
      </c>
      <c r="F158" s="18">
        <f>IFERROR(E158/E446, "NA")</f>
        <v>0.04100002528</v>
      </c>
      <c r="G158" s="8"/>
      <c r="H158" s="17">
        <f t="shared" si="41"/>
        <v>97.27</v>
      </c>
      <c r="I158" s="18">
        <f>IFERROR(H158/H446, "NA")</f>
        <v>0.04055586595</v>
      </c>
      <c r="J158" s="8"/>
      <c r="K158" s="17">
        <f>IFERROR(K153+K154+K155+K156+K157, "NA")</f>
        <v>3947.77</v>
      </c>
      <c r="L158" s="18">
        <f>IFERROR(K158/K446, "NA")</f>
        <v>0.04442824617</v>
      </c>
      <c r="M158" s="8"/>
      <c r="N158" s="17">
        <f t="shared" si="42"/>
        <v>87.67</v>
      </c>
      <c r="O158" s="18">
        <f>IFERROR(N158/N446, "NA")</f>
        <v>0.008712659145</v>
      </c>
      <c r="P158" s="8"/>
      <c r="Q158" s="17">
        <f>IFERROR(Q153+Q154+Q155+Q156+Q157, "NA")</f>
        <v>35388.28</v>
      </c>
      <c r="R158" s="18">
        <f>IFERROR(Q158/Q446, "NA")</f>
        <v>0.03938418175</v>
      </c>
      <c r="S158" s="8"/>
      <c r="T158" s="17">
        <f>IFERROR(T153+T154+T155+T156+T157, "NA")</f>
        <v>32452.12</v>
      </c>
      <c r="U158" s="18">
        <f>IFERROR(T158/T446, "NA")</f>
        <v>0.04100000217</v>
      </c>
      <c r="V158" s="8"/>
      <c r="W158" s="17">
        <f t="shared" si="43"/>
        <v>-2936.16</v>
      </c>
      <c r="X158" s="18">
        <f>IFERROR(W158/W446, "NA")</f>
        <v>-0.02743424549</v>
      </c>
      <c r="Y158" s="8"/>
      <c r="Z158" s="17">
        <f>IFERROR(Z153+Z154+Z155+Z156+Z157, "NA")</f>
        <v>31109.18</v>
      </c>
      <c r="AA158" s="18">
        <f>IFERROR(Z158/Z446, "NA")</f>
        <v>0.04241043491</v>
      </c>
      <c r="AB158" s="8"/>
      <c r="AC158" s="17">
        <f t="shared" si="44"/>
        <v>-4279.1</v>
      </c>
      <c r="AD158" s="18">
        <f>IFERROR(AC158/AC446, "NA")</f>
        <v>-0.02593175641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>
        <f>IFERROR(B160/B446, "NA")</f>
        <v>0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281.43</v>
      </c>
      <c r="C161" s="13">
        <f>IFERROR(B161/B446, "NA")</f>
        <v>0.002845038363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-281.43</v>
      </c>
      <c r="I161" s="13">
        <f>IFERROR(H161/H446, "NA")</f>
        <v>-0.1173397487</v>
      </c>
      <c r="J161" s="14"/>
      <c r="K161" s="12">
        <v>253.52</v>
      </c>
      <c r="L161" s="13">
        <f>IFERROR(K161/K446, "NA")</f>
        <v>0.002853116815</v>
      </c>
      <c r="M161" s="14"/>
      <c r="N161" s="15">
        <f t="shared" si="46"/>
        <v>-27.91</v>
      </c>
      <c r="O161" s="13">
        <f>IFERROR(N161/N446, "NA")</f>
        <v>-0.00277370043</v>
      </c>
      <c r="P161" s="14"/>
      <c r="Q161" s="12">
        <v>2325.38</v>
      </c>
      <c r="R161" s="13">
        <f>IFERROR(Q161/Q446, "NA")</f>
        <v>0.002587952524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-2325.38</v>
      </c>
      <c r="X161" s="13">
        <f>IFERROR(W161/W446, "NA")</f>
        <v>-0.02172737377</v>
      </c>
      <c r="Y161" s="14"/>
      <c r="Z161" s="12">
        <v>2398.96</v>
      </c>
      <c r="AA161" s="13">
        <f>IFERROR(Z161/Z446, "NA")</f>
        <v>0.003270447402</v>
      </c>
      <c r="AB161" s="14"/>
      <c r="AC161" s="15">
        <f t="shared" si="48"/>
        <v>73.58</v>
      </c>
      <c r="AD161" s="13">
        <f>IFERROR(AC161/AC446, "NA")</f>
        <v>0.0004459018571</v>
      </c>
    </row>
    <row r="162" ht="16.5" customHeight="1">
      <c r="A162" s="11" t="s">
        <v>153</v>
      </c>
      <c r="B162" s="12">
        <v>0.0</v>
      </c>
      <c r="C162" s="13">
        <f>IFERROR(B162/B446, "NA")</f>
        <v>0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14.81</v>
      </c>
      <c r="R162" s="13">
        <f>IFERROR(Q162/Q446, "NA")</f>
        <v>0.00001648228543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-14.81</v>
      </c>
      <c r="X162" s="13">
        <f>IFERROR(W162/W446, "NA")</f>
        <v>-0.000138378418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-14.81</v>
      </c>
      <c r="AD162" s="13">
        <f>IFERROR(AC162/AC446, "NA")</f>
        <v>-0.00008975002044</v>
      </c>
    </row>
    <row r="163" ht="16.5" hidden="1" customHeight="1">
      <c r="A163" s="11" t="s">
        <v>154</v>
      </c>
      <c r="B163" s="12">
        <v>0.0</v>
      </c>
      <c r="C163" s="13">
        <f>IFERROR(B163/B446, "NA")</f>
        <v>0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0.0</v>
      </c>
      <c r="R163" s="13">
        <f>IFERROR(Q163/Q446, "NA")</f>
        <v>0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0</v>
      </c>
      <c r="X163" s="13">
        <f>IFERROR(W163/W446, "NA")</f>
        <v>0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0</v>
      </c>
      <c r="AD163" s="13">
        <f>IFERROR(AC163/AC446, "NA")</f>
        <v>0</v>
      </c>
    </row>
    <row r="164" ht="16.5" hidden="1" customHeight="1">
      <c r="A164" s="11" t="s">
        <v>155</v>
      </c>
      <c r="B164" s="12">
        <v>0.0</v>
      </c>
      <c r="C164" s="13">
        <f>IFERROR(B164/B446, "NA")</f>
        <v>0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>
        <f>IFERROR(B165/B446, "NA")</f>
        <v>0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281.43</v>
      </c>
      <c r="C166" s="18">
        <f>IFERROR(B166/B446, "NA")</f>
        <v>0.002845038363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-281.43</v>
      </c>
      <c r="I166" s="18">
        <f>IFERROR(H166/H446, "NA")</f>
        <v>-0.1173397487</v>
      </c>
      <c r="J166" s="8"/>
      <c r="K166" s="17">
        <f>IFERROR(K160+K161+K162+K163+K164+K165, "NA")</f>
        <v>253.52</v>
      </c>
      <c r="L166" s="18">
        <f>IFERROR(K166/K446, "NA")</f>
        <v>0.002853116815</v>
      </c>
      <c r="M166" s="8"/>
      <c r="N166" s="17">
        <f t="shared" si="46"/>
        <v>-27.91</v>
      </c>
      <c r="O166" s="18">
        <f>IFERROR(N166/N446, "NA")</f>
        <v>-0.00277370043</v>
      </c>
      <c r="P166" s="8"/>
      <c r="Q166" s="17">
        <f>IFERROR(Q160+Q161+Q162+Q163+Q164+Q165, "NA")</f>
        <v>2340.19</v>
      </c>
      <c r="R166" s="18">
        <f>IFERROR(Q166/Q446, "NA")</f>
        <v>0.00260443481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-2340.19</v>
      </c>
      <c r="X166" s="18">
        <f>IFERROR(W166/W446, "NA")</f>
        <v>-0.02186575219</v>
      </c>
      <c r="Y166" s="8"/>
      <c r="Z166" s="17">
        <f>IFERROR(Z160+Z161+Z162+Z163+Z164+Z165, "NA")</f>
        <v>2398.96</v>
      </c>
      <c r="AA166" s="18">
        <f>IFERROR(Z166/Z446, "NA")</f>
        <v>0.003270447402</v>
      </c>
      <c r="AB166" s="8"/>
      <c r="AC166" s="17">
        <f t="shared" si="48"/>
        <v>58.77</v>
      </c>
      <c r="AD166" s="18">
        <f>IFERROR(AC166/AC446, "NA")</f>
        <v>0.0003561518367</v>
      </c>
    </row>
    <row r="167" ht="16.5" customHeight="1">
      <c r="A167" s="11" t="s">
        <v>158</v>
      </c>
      <c r="B167" s="12">
        <v>331.65</v>
      </c>
      <c r="C167" s="13">
        <f>IFERROR(B167/B446, "NA")</f>
        <v>0.003352723495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-331.65</v>
      </c>
      <c r="I167" s="13">
        <f>IFERROR(H167/H446, "NA")</f>
        <v>-0.1382785334</v>
      </c>
      <c r="J167" s="14"/>
      <c r="K167" s="12">
        <v>305.97</v>
      </c>
      <c r="L167" s="13">
        <f>IFERROR(K167/K446, "NA")</f>
        <v>0.003443389681</v>
      </c>
      <c r="M167" s="14"/>
      <c r="N167" s="15">
        <f t="shared" si="46"/>
        <v>-25.68</v>
      </c>
      <c r="O167" s="13">
        <f>IFERROR(N167/N446, "NA")</f>
        <v>-0.00255208266</v>
      </c>
      <c r="P167" s="14"/>
      <c r="Q167" s="12">
        <v>2952.84</v>
      </c>
      <c r="R167" s="13">
        <f>IFERROR(Q167/Q446, "NA")</f>
        <v>0.003286262775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-2952.84</v>
      </c>
      <c r="X167" s="13">
        <f>IFERROR(W167/W446, "NA")</f>
        <v>-0.0275900964</v>
      </c>
      <c r="Y167" s="14"/>
      <c r="Z167" s="12">
        <v>2524.14</v>
      </c>
      <c r="AA167" s="13">
        <f>IFERROR(Z167/Z446, "NA")</f>
        <v>0.003441102439</v>
      </c>
      <c r="AB167" s="14"/>
      <c r="AC167" s="15">
        <f t="shared" si="48"/>
        <v>-428.7</v>
      </c>
      <c r="AD167" s="13">
        <f>IFERROR(AC167/AC446, "NA")</f>
        <v>-0.002597963117</v>
      </c>
    </row>
    <row r="168" ht="16.5" customHeight="1">
      <c r="A168" s="11" t="s">
        <v>159</v>
      </c>
      <c r="B168" s="12">
        <v>110.0</v>
      </c>
      <c r="C168" s="13">
        <f>IFERROR(B168/B446, "NA")</f>
        <v>0.001112014426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-110</v>
      </c>
      <c r="I168" s="13">
        <f>IFERROR(H168/H446, "NA")</f>
        <v>-0.04586352682</v>
      </c>
      <c r="J168" s="14"/>
      <c r="K168" s="12">
        <v>33.62</v>
      </c>
      <c r="L168" s="13">
        <f>IFERROR(K168/K446, "NA")</f>
        <v>0.0003783598427</v>
      </c>
      <c r="M168" s="14"/>
      <c r="N168" s="15">
        <f t="shared" si="46"/>
        <v>-76.38</v>
      </c>
      <c r="O168" s="13">
        <f>IFERROR(N168/N446, "NA")</f>
        <v>-0.007590657072</v>
      </c>
      <c r="P168" s="14"/>
      <c r="Q168" s="12">
        <v>887.0</v>
      </c>
      <c r="R168" s="13">
        <f>IFERROR(Q168/Q446, "NA")</f>
        <v>0.0009871564601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-887</v>
      </c>
      <c r="X168" s="13">
        <f>IFERROR(W168/W446, "NA")</f>
        <v>-0.008287755351</v>
      </c>
      <c r="Y168" s="14"/>
      <c r="Z168" s="12">
        <v>278.64</v>
      </c>
      <c r="AA168" s="13">
        <f>IFERROR(Z168/Z446, "NA")</f>
        <v>0.000379863551</v>
      </c>
      <c r="AB168" s="14"/>
      <c r="AC168" s="15">
        <f t="shared" si="48"/>
        <v>-608.36</v>
      </c>
      <c r="AD168" s="13">
        <f>IFERROR(AC168/AC446, "NA")</f>
        <v>-0.003686719948</v>
      </c>
    </row>
    <row r="169" ht="16.5" customHeight="1">
      <c r="A169" s="11" t="s">
        <v>160</v>
      </c>
      <c r="B169" s="12">
        <v>-1278.4</v>
      </c>
      <c r="C169" s="13">
        <f>IFERROR(B169/B446, "NA")</f>
        <v>-0.01292362948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1278.4</v>
      </c>
      <c r="I169" s="13">
        <f>IFERROR(H169/H446, "NA")</f>
        <v>0.5330175699</v>
      </c>
      <c r="J169" s="14"/>
      <c r="K169" s="12">
        <v>-1403.83</v>
      </c>
      <c r="L169" s="13">
        <f>IFERROR(K169/K446, "NA")</f>
        <v>-0.01579871797</v>
      </c>
      <c r="M169" s="14"/>
      <c r="N169" s="15">
        <f t="shared" si="46"/>
        <v>-125.43</v>
      </c>
      <c r="O169" s="13">
        <f>IFERROR(N169/N446, "NA")</f>
        <v>-0.01246525421</v>
      </c>
      <c r="P169" s="14"/>
      <c r="Q169" s="12">
        <v>-8226.99</v>
      </c>
      <c r="R169" s="13">
        <f>IFERROR(Q169/Q446, "NA")</f>
        <v>-0.009155948507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8226.99</v>
      </c>
      <c r="X169" s="13">
        <f>IFERROR(W169/W446, "NA")</f>
        <v>0.07686953821</v>
      </c>
      <c r="Y169" s="14"/>
      <c r="Z169" s="12">
        <v>-13055.28</v>
      </c>
      <c r="AA169" s="13">
        <f>IFERROR(Z169/Z446, "NA")</f>
        <v>-0.01779796519</v>
      </c>
      <c r="AB169" s="14"/>
      <c r="AC169" s="15">
        <f t="shared" si="48"/>
        <v>-4828.29</v>
      </c>
      <c r="AD169" s="13">
        <f>IFERROR(AC169/AC446, "NA")</f>
        <v>-0.02925990048</v>
      </c>
    </row>
    <row r="170" ht="16.5" customHeight="1">
      <c r="A170" s="16" t="s">
        <v>161</v>
      </c>
      <c r="B170" s="17">
        <f>IFERROR(B151+B153+B154+B155+B156+B157+B160+B161+B162+B163+B164+B165+B167+B168+B169, "NA")</f>
        <v>3304.78</v>
      </c>
      <c r="C170" s="18">
        <f>IFERROR(B170/B446, "NA")</f>
        <v>0.03340875487</v>
      </c>
      <c r="D170" s="8"/>
      <c r="E170" s="17">
        <f>IFERROR(E151+E153+E154+E155+E156+E157+E160+E161+E162+E163+E164+E165+E167+E168+E169, "NA")</f>
        <v>3957.37</v>
      </c>
      <c r="F170" s="18">
        <f>IFERROR(E170/E446, "NA")</f>
        <v>0.04100002528</v>
      </c>
      <c r="G170" s="8"/>
      <c r="H170" s="17">
        <f t="shared" si="45"/>
        <v>652.59</v>
      </c>
      <c r="I170" s="18">
        <f>IFERROR(H170/H446, "NA")</f>
        <v>0.272091627</v>
      </c>
      <c r="J170" s="8"/>
      <c r="K170" s="17">
        <f>IFERROR(K151+K153+K154+K155+K156+K157+K160+K161+K162+K163+K164+K165+K167+K168+K169, "NA")</f>
        <v>3137.05</v>
      </c>
      <c r="L170" s="18">
        <f>IFERROR(K170/K446, "NA")</f>
        <v>0.03530439454</v>
      </c>
      <c r="M170" s="8"/>
      <c r="N170" s="17">
        <f t="shared" si="46"/>
        <v>-167.73</v>
      </c>
      <c r="O170" s="18">
        <f>IFERROR(N170/N446, "NA")</f>
        <v>-0.01666903523</v>
      </c>
      <c r="P170" s="8"/>
      <c r="Q170" s="17">
        <f>IFERROR(Q151+Q153+Q154+Q155+Q156+Q157+Q160+Q161+Q162+Q163+Q164+Q165+Q167+Q168+Q169, "NA")</f>
        <v>33341.32</v>
      </c>
      <c r="R170" s="18">
        <f>IFERROR(Q170/Q446, "NA")</f>
        <v>0.03710608729</v>
      </c>
      <c r="S170" s="8"/>
      <c r="T170" s="17">
        <f>IFERROR(T151+T153+T154+T155+T156+T157+T160+T161+T162+T163+T164+T165+T167+T168+T169, "NA")</f>
        <v>32452.12</v>
      </c>
      <c r="U170" s="18">
        <f>IFERROR(T170/T446, "NA")</f>
        <v>0.04100000217</v>
      </c>
      <c r="V170" s="8"/>
      <c r="W170" s="17">
        <f t="shared" si="47"/>
        <v>-889.2</v>
      </c>
      <c r="X170" s="18">
        <f>IFERROR(W170/W446, "NA")</f>
        <v>-0.008308311226</v>
      </c>
      <c r="Y170" s="8"/>
      <c r="Z170" s="17">
        <f>IFERROR(Z151+Z153+Z154+Z155+Z156+Z157+Z160+Z161+Z162+Z163+Z164+Z165+Z167+Z168+Z169, "NA")</f>
        <v>23255.64</v>
      </c>
      <c r="AA170" s="18">
        <f>IFERROR(Z170/Z446, "NA")</f>
        <v>0.03170388311</v>
      </c>
      <c r="AB170" s="8"/>
      <c r="AC170" s="17">
        <f t="shared" si="48"/>
        <v>-10085.68</v>
      </c>
      <c r="AD170" s="18">
        <f>IFERROR(AC170/AC446, "NA")</f>
        <v>-0.06112018812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24117.06</v>
      </c>
      <c r="C171" s="18">
        <f>IFERROR(B171/B446, "NA")</f>
        <v>0.2438047149</v>
      </c>
      <c r="D171" s="8"/>
      <c r="E171" s="17">
        <f>IFERROR(E127+E129+E130+E131+E132+E133+E134+E135+E136+E137+E138+E139+E140+E143+E144+E145+E146+E147+E151+E153+E154+E155+E156+E157+E160+E161+E162+E163+E164+E165+E167+E168+E169, "NA")</f>
        <v>25481.58</v>
      </c>
      <c r="F171" s="18">
        <f>IFERROR(E171/E446, "NA")</f>
        <v>0.2639999354</v>
      </c>
      <c r="G171" s="8"/>
      <c r="H171" s="17">
        <f t="shared" si="45"/>
        <v>1364.52</v>
      </c>
      <c r="I171" s="18">
        <f>IFERROR(H171/H446, "NA")</f>
        <v>0.568924542</v>
      </c>
      <c r="J171" s="8"/>
      <c r="K171" s="17">
        <f>IFERROR(K127+K129+K130+K131+K132+K133+K134+K135+K136+K137+K138+K139+K140+K143+K144+K145+K146+K147+K151+K153+K154+K155+K156+K157+K160+K161+K162+K163+K164+K165+K167+K168+K169, "NA")</f>
        <v>24688.03</v>
      </c>
      <c r="L171" s="18">
        <f>IFERROR(K171/K446, "NA")</f>
        <v>0.277839356</v>
      </c>
      <c r="M171" s="8"/>
      <c r="N171" s="17">
        <f t="shared" si="46"/>
        <v>570.97</v>
      </c>
      <c r="O171" s="18">
        <f>IFERROR(N171/N446, "NA")</f>
        <v>0.05674309333</v>
      </c>
      <c r="P171" s="8"/>
      <c r="Q171" s="17">
        <f>IFERROR(Q127+Q129+Q130+Q131+Q132+Q133+Q134+Q135+Q136+Q137+Q138+Q139+Q140+Q143+Q144+Q145+Q146+Q147+Q151+Q153+Q154+Q155+Q156+Q157+Q160+Q161+Q162+Q163+Q164+Q165+Q167+Q168+Q169, "NA")</f>
        <v>234228.96</v>
      </c>
      <c r="R171" s="18">
        <f>IFERROR(Q171/Q446, "NA")</f>
        <v>0.2606771488</v>
      </c>
      <c r="S171" s="8"/>
      <c r="T171" s="17">
        <f>IFERROR(T127+T129+T130+T131+T132+T133+T134+T135+T136+T137+T138+T139+T140+T143+T144+T145+T146+T147+T151+T153+T154+T155+T156+T157+T160+T161+T162+T163+T164+T165+T167+T168+T169, "NA")</f>
        <v>209369.15</v>
      </c>
      <c r="U171" s="18">
        <f>IFERROR(T171/T446, "NA")</f>
        <v>0.2645169439</v>
      </c>
      <c r="V171" s="8"/>
      <c r="W171" s="17">
        <f t="shared" si="47"/>
        <v>-24859.81</v>
      </c>
      <c r="X171" s="18">
        <f>IFERROR(W171/W446, "NA")</f>
        <v>-0.2322796205</v>
      </c>
      <c r="Y171" s="8"/>
      <c r="Z171" s="17">
        <f>IFERROR(Z127+Z129+Z130+Z131+Z132+Z133+Z134+Z135+Z136+Z137+Z138+Z139+Z140+Z143+Z144+Z145+Z146+Z147+Z151+Z153+Z154+Z155+Z156+Z157+Z160+Z161+Z162+Z163+Z164+Z165+Z167+Z168+Z169, "NA")</f>
        <v>206937.72</v>
      </c>
      <c r="AA171" s="18">
        <f>IFERROR(Z171/Z446, "NA")</f>
        <v>0.2821134695</v>
      </c>
      <c r="AB171" s="8"/>
      <c r="AC171" s="17">
        <f t="shared" si="48"/>
        <v>-27291.24</v>
      </c>
      <c r="AD171" s="18">
        <f>IFERROR(AC171/AC446, "NA")</f>
        <v>-0.1653875319</v>
      </c>
    </row>
    <row r="172" ht="16.5" customHeight="1">
      <c r="A172" s="19" t="s">
        <v>163</v>
      </c>
      <c r="B172" s="20">
        <f>IFERROR(B124-B171, "NA")</f>
        <v>74802.52</v>
      </c>
      <c r="C172" s="21">
        <f>IFERROR(B172/B446, "NA")</f>
        <v>0.7561952851</v>
      </c>
      <c r="D172" s="22"/>
      <c r="E172" s="20">
        <f>IFERROR(E124-E171, "NA")</f>
        <v>71039.58</v>
      </c>
      <c r="F172" s="21">
        <f>IFERROR(E172/E446, "NA")</f>
        <v>0.7360000646</v>
      </c>
      <c r="G172" s="22"/>
      <c r="H172" s="20">
        <f>IFERROR(B172-E172, "NA")</f>
        <v>3762.94</v>
      </c>
      <c r="I172" s="21">
        <f>IFERROR(H172/H446, "NA")</f>
        <v>1.568924542</v>
      </c>
      <c r="J172" s="22"/>
      <c r="K172" s="20">
        <f>IFERROR(K124-K171, "NA")</f>
        <v>64169.18</v>
      </c>
      <c r="L172" s="21">
        <f>IFERROR(K172/K446, "NA")</f>
        <v>0.722160644</v>
      </c>
      <c r="M172" s="22"/>
      <c r="N172" s="20">
        <f>IFERROR(B172-K172, "NA")</f>
        <v>10633.34</v>
      </c>
      <c r="O172" s="21">
        <f>IFERROR(N172/N446, "NA")</f>
        <v>1.056743093</v>
      </c>
      <c r="P172" s="22"/>
      <c r="Q172" s="20">
        <f>IFERROR(Q124-Q171, "NA")</f>
        <v>664311.48</v>
      </c>
      <c r="R172" s="21">
        <f>IFERROR(Q172/Q446, "NA")</f>
        <v>0.7393228512</v>
      </c>
      <c r="S172" s="22"/>
      <c r="T172" s="20">
        <f>IFERROR(T124-T171, "NA")</f>
        <v>582145.93</v>
      </c>
      <c r="U172" s="21">
        <f>IFERROR(T172/T446, "NA")</f>
        <v>0.7354830561</v>
      </c>
      <c r="V172" s="22"/>
      <c r="W172" s="20">
        <f>IFERROR(Q172-T172, "NA")</f>
        <v>82165.55</v>
      </c>
      <c r="X172" s="21">
        <f>IFERROR(W172/W446, "NA")</f>
        <v>0.7677203795</v>
      </c>
      <c r="Y172" s="22"/>
      <c r="Z172" s="20">
        <f>IFERROR(Z124-Z171, "NA")</f>
        <v>526588.83</v>
      </c>
      <c r="AA172" s="21">
        <f>IFERROR(Z172/Z446, "NA")</f>
        <v>0.7178865305</v>
      </c>
      <c r="AB172" s="22"/>
      <c r="AC172" s="20">
        <f>IFERROR(Q172-Z172, "NA")</f>
        <v>137722.65</v>
      </c>
      <c r="AD172" s="21">
        <f>IFERROR(AC172/AC446, "NA")</f>
        <v>0.8346124681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>
        <f>IFERROR(B175/B446, "NA")</f>
        <v>0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>
        <f>IFERROR(B177/B446, "NA")</f>
        <v>0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5640.0</v>
      </c>
      <c r="C178" s="13">
        <f>IFERROR(B178/B446, "NA")</f>
        <v>0.0570160124</v>
      </c>
      <c r="D178" s="14"/>
      <c r="E178" s="12">
        <v>5640.0</v>
      </c>
      <c r="F178" s="13">
        <f>IFERROR(E178/E446, "NA")</f>
        <v>0.05843278303</v>
      </c>
      <c r="G178" s="14"/>
      <c r="H178" s="15">
        <f t="shared" si="49"/>
        <v>0</v>
      </c>
      <c r="I178" s="13">
        <f>IFERROR(H178/H446, "NA")</f>
        <v>0</v>
      </c>
      <c r="J178" s="14"/>
      <c r="K178" s="12">
        <v>5640.0</v>
      </c>
      <c r="L178" s="13">
        <f>IFERROR(K178/K446, "NA")</f>
        <v>0.06347262085</v>
      </c>
      <c r="M178" s="14"/>
      <c r="N178" s="15">
        <f t="shared" si="50"/>
        <v>0</v>
      </c>
      <c r="O178" s="13">
        <f>IFERROR(N178/N446, "NA")</f>
        <v>0</v>
      </c>
      <c r="P178" s="14"/>
      <c r="Q178" s="12">
        <v>47940.0</v>
      </c>
      <c r="R178" s="13">
        <f>IFERROR(Q178/Q446, "NA")</f>
        <v>0.05335319132</v>
      </c>
      <c r="S178" s="14"/>
      <c r="T178" s="12">
        <v>47665.0</v>
      </c>
      <c r="U178" s="13">
        <f>IFERROR(T178/T446, "NA")</f>
        <v>0.06021995184</v>
      </c>
      <c r="V178" s="14"/>
      <c r="W178" s="15">
        <f t="shared" si="51"/>
        <v>-275</v>
      </c>
      <c r="X178" s="13">
        <f>IFERROR(W178/W446, "NA")</f>
        <v>-0.002569484466</v>
      </c>
      <c r="Y178" s="14"/>
      <c r="Z178" s="12">
        <v>47665.0</v>
      </c>
      <c r="AA178" s="13">
        <f>IFERROR(Z178/Z446, "NA")</f>
        <v>0.06498060636</v>
      </c>
      <c r="AB178" s="14"/>
      <c r="AC178" s="15">
        <f t="shared" si="52"/>
        <v>-275</v>
      </c>
      <c r="AD178" s="13">
        <f>IFERROR(AC178/AC446, "NA")</f>
        <v>-0.001666526375</v>
      </c>
    </row>
    <row r="179" ht="16.5" hidden="1" customHeight="1">
      <c r="A179" s="11" t="s">
        <v>167</v>
      </c>
      <c r="B179" s="12">
        <v>0.0</v>
      </c>
      <c r="C179" s="13">
        <f>IFERROR(B179/B446, "NA")</f>
        <v>0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22227.06</v>
      </c>
      <c r="C180" s="13">
        <f>IFERROR(B180/B446, "NA")</f>
        <v>0.2246982852</v>
      </c>
      <c r="D180" s="14"/>
      <c r="E180" s="12">
        <v>19304.23</v>
      </c>
      <c r="F180" s="13">
        <f>IFERROR(E180/E446, "NA")</f>
        <v>0.1999999793</v>
      </c>
      <c r="G180" s="14"/>
      <c r="H180" s="15">
        <f t="shared" si="49"/>
        <v>-2922.83</v>
      </c>
      <c r="I180" s="13">
        <f>IFERROR(H180/H446, "NA")</f>
        <v>-1.21864811</v>
      </c>
      <c r="J180" s="14"/>
      <c r="K180" s="12">
        <v>18065.3</v>
      </c>
      <c r="L180" s="13">
        <f>IFERROR(K180/K446, "NA")</f>
        <v>0.2033070811</v>
      </c>
      <c r="M180" s="14"/>
      <c r="N180" s="15">
        <f t="shared" si="50"/>
        <v>-4161.76</v>
      </c>
      <c r="O180" s="13">
        <f>IFERROR(N180/N446, "NA")</f>
        <v>-0.4135963993</v>
      </c>
      <c r="P180" s="14"/>
      <c r="Q180" s="12">
        <v>169109.2</v>
      </c>
      <c r="R180" s="13">
        <f>IFERROR(Q180/Q446, "NA")</f>
        <v>0.1882043283</v>
      </c>
      <c r="S180" s="14"/>
      <c r="T180" s="12">
        <v>160292.92</v>
      </c>
      <c r="U180" s="13">
        <f>IFERROR(T180/T446, "NA")</f>
        <v>0.2025140443</v>
      </c>
      <c r="V180" s="14"/>
      <c r="W180" s="15">
        <f t="shared" si="51"/>
        <v>-8816.28</v>
      </c>
      <c r="X180" s="13">
        <f>IFERROR(W180/W446, "NA")</f>
        <v>-0.0823756164</v>
      </c>
      <c r="Y180" s="14"/>
      <c r="Z180" s="12">
        <v>153200.68</v>
      </c>
      <c r="AA180" s="13">
        <f>IFERROR(Z180/Z446, "NA")</f>
        <v>0.2088549896</v>
      </c>
      <c r="AB180" s="14"/>
      <c r="AC180" s="15">
        <f t="shared" si="52"/>
        <v>-15908.52</v>
      </c>
      <c r="AD180" s="13">
        <f>IFERROR(AC180/AC446, "NA")</f>
        <v>-0.096407157</v>
      </c>
    </row>
    <row r="181" ht="16.5" customHeight="1">
      <c r="A181" s="11" t="s">
        <v>169</v>
      </c>
      <c r="B181" s="12">
        <v>0.0</v>
      </c>
      <c r="C181" s="13">
        <f>IFERROR(B181/B446, "NA")</f>
        <v>0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0</v>
      </c>
      <c r="I181" s="13">
        <f>IFERROR(H181/H446, "NA")</f>
        <v>0</v>
      </c>
      <c r="J181" s="14"/>
      <c r="K181" s="12">
        <v>56.84</v>
      </c>
      <c r="L181" s="13">
        <f>IFERROR(K181/K446, "NA")</f>
        <v>0.0006396779732</v>
      </c>
      <c r="M181" s="14"/>
      <c r="N181" s="15">
        <f t="shared" si="50"/>
        <v>56.84</v>
      </c>
      <c r="O181" s="13">
        <f>IFERROR(N181/N446, "NA")</f>
        <v>0.00564876863</v>
      </c>
      <c r="P181" s="14"/>
      <c r="Q181" s="12">
        <v>1384.48</v>
      </c>
      <c r="R181" s="13">
        <f>IFERROR(Q181/Q446, "NA")</f>
        <v>0.001540809894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-1384.48</v>
      </c>
      <c r="X181" s="13">
        <f>IFERROR(W181/W446, "NA")</f>
        <v>-0.01293599947</v>
      </c>
      <c r="Y181" s="14"/>
      <c r="Z181" s="12">
        <v>1150.03</v>
      </c>
      <c r="AA181" s="13">
        <f>IFERROR(Z181/Z446, "NA")</f>
        <v>0.001567809645</v>
      </c>
      <c r="AB181" s="14"/>
      <c r="AC181" s="15">
        <f t="shared" si="52"/>
        <v>-234.45</v>
      </c>
      <c r="AD181" s="13">
        <f>IFERROR(AC181/AC446, "NA")</f>
        <v>-0.001420789486</v>
      </c>
    </row>
    <row r="182" ht="16.5" customHeight="1">
      <c r="A182" s="16" t="s">
        <v>170</v>
      </c>
      <c r="B182" s="17">
        <f>IFERROR(B177+B178+B179+B180+B181, "NA")</f>
        <v>27867.06</v>
      </c>
      <c r="C182" s="18">
        <f>IFERROR(B182/B446, "NA")</f>
        <v>0.2817142976</v>
      </c>
      <c r="D182" s="8"/>
      <c r="E182" s="17">
        <f>IFERROR(E177+E178+E179+E180+E181, "NA")</f>
        <v>24944.23</v>
      </c>
      <c r="F182" s="18">
        <f>IFERROR(E182/E446, "NA")</f>
        <v>0.2584327623</v>
      </c>
      <c r="G182" s="8"/>
      <c r="H182" s="17">
        <f t="shared" si="49"/>
        <v>-2922.83</v>
      </c>
      <c r="I182" s="18">
        <f>IFERROR(H182/H446, "NA")</f>
        <v>-1.21864811</v>
      </c>
      <c r="J182" s="8"/>
      <c r="K182" s="17">
        <f>IFERROR(K177+K178+K179+K180+K181, "NA")</f>
        <v>23762.14</v>
      </c>
      <c r="L182" s="18">
        <f>IFERROR(K182/K446, "NA")</f>
        <v>0.2674193799</v>
      </c>
      <c r="M182" s="8"/>
      <c r="N182" s="17">
        <f t="shared" si="50"/>
        <v>-4104.92</v>
      </c>
      <c r="O182" s="18">
        <f>IFERROR(N182/N446, "NA")</f>
        <v>-0.4079476306</v>
      </c>
      <c r="P182" s="8"/>
      <c r="Q182" s="17">
        <f>IFERROR(Q177+Q178+Q179+Q180+Q181, "NA")</f>
        <v>218433.68</v>
      </c>
      <c r="R182" s="18">
        <f>IFERROR(Q182/Q446, "NA")</f>
        <v>0.2430983296</v>
      </c>
      <c r="S182" s="8"/>
      <c r="T182" s="17">
        <f>IFERROR(T177+T178+T179+T180+T181, "NA")</f>
        <v>207957.92</v>
      </c>
      <c r="U182" s="18">
        <f>IFERROR(T182/T446, "NA")</f>
        <v>0.2627339962</v>
      </c>
      <c r="V182" s="8"/>
      <c r="W182" s="17">
        <f t="shared" si="51"/>
        <v>-10475.76</v>
      </c>
      <c r="X182" s="18">
        <f>IFERROR(W182/W446, "NA")</f>
        <v>-0.09788110033</v>
      </c>
      <c r="Y182" s="8"/>
      <c r="Z182" s="17">
        <f>IFERROR(Z177+Z178+Z179+Z180+Z181, "NA")</f>
        <v>202015.71</v>
      </c>
      <c r="AA182" s="18">
        <f>IFERROR(Z182/Z446, "NA")</f>
        <v>0.2754034056</v>
      </c>
      <c r="AB182" s="8"/>
      <c r="AC182" s="17">
        <f t="shared" si="52"/>
        <v>-16417.97</v>
      </c>
      <c r="AD182" s="18">
        <f>IFERROR(AC182/AC446, "NA")</f>
        <v>-0.09949447286</v>
      </c>
    </row>
    <row r="183" ht="16.5" hidden="1" customHeight="1">
      <c r="A183" s="11" t="s">
        <v>171</v>
      </c>
      <c r="B183" s="12">
        <v>0.0</v>
      </c>
      <c r="C183" s="13">
        <f>IFERROR(B183/B446, "NA")</f>
        <v>0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293.0</v>
      </c>
      <c r="C184" s="13">
        <f>IFERROR(B184/B446, "NA")</f>
        <v>0.002962002063</v>
      </c>
      <c r="D184" s="14"/>
      <c r="E184" s="12">
        <v>292.5</v>
      </c>
      <c r="F184" s="13">
        <f>IFERROR(E184/E446, "NA")</f>
        <v>0.003030423588</v>
      </c>
      <c r="G184" s="14"/>
      <c r="H184" s="15">
        <f t="shared" si="49"/>
        <v>-0.5</v>
      </c>
      <c r="I184" s="13">
        <f>IFERROR(H184/H446, "NA")</f>
        <v>-0.0002084705765</v>
      </c>
      <c r="J184" s="14"/>
      <c r="K184" s="12">
        <v>500.0</v>
      </c>
      <c r="L184" s="13">
        <f>IFERROR(K184/K446, "NA")</f>
        <v>0.005627005394</v>
      </c>
      <c r="M184" s="14"/>
      <c r="N184" s="15">
        <f t="shared" si="50"/>
        <v>207</v>
      </c>
      <c r="O184" s="13">
        <f>IFERROR(N184/N446, "NA")</f>
        <v>0.02057169434</v>
      </c>
      <c r="P184" s="14"/>
      <c r="Q184" s="12">
        <v>3336.0</v>
      </c>
      <c r="R184" s="13">
        <f>IFERROR(Q184/Q446, "NA")</f>
        <v>0.003712687656</v>
      </c>
      <c r="S184" s="14"/>
      <c r="T184" s="12">
        <v>2600.0</v>
      </c>
      <c r="U184" s="13">
        <f>IFERROR(T184/T446, "NA")</f>
        <v>0.0032848395</v>
      </c>
      <c r="V184" s="14"/>
      <c r="W184" s="15">
        <f t="shared" si="51"/>
        <v>-736</v>
      </c>
      <c r="X184" s="13">
        <f>IFERROR(W184/W446, "NA")</f>
        <v>-0.006876874789</v>
      </c>
      <c r="Y184" s="14"/>
      <c r="Z184" s="12">
        <v>1700.0</v>
      </c>
      <c r="AA184" s="13">
        <f>IFERROR(Z184/Z446, "NA")</f>
        <v>0.002317571191</v>
      </c>
      <c r="AB184" s="14"/>
      <c r="AC184" s="15">
        <f t="shared" si="52"/>
        <v>-1636</v>
      </c>
      <c r="AD184" s="13">
        <f>IFERROR(AC184/AC446, "NA")</f>
        <v>-0.00991431691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2440.13</v>
      </c>
      <c r="C186" s="13">
        <f>IFERROR(B186/B446, "NA")</f>
        <v>0.02466781602</v>
      </c>
      <c r="D186" s="14"/>
      <c r="E186" s="12">
        <v>2261.76</v>
      </c>
      <c r="F186" s="13">
        <f>IFERROR(E186/E446, "NA")</f>
        <v>0.02343278925</v>
      </c>
      <c r="G186" s="14"/>
      <c r="H186" s="15">
        <f t="shared" ref="H186:H197" si="53">IFERROR(-(B186-E186), "NA")</f>
        <v>-178.37</v>
      </c>
      <c r="I186" s="13">
        <f>IFERROR(H186/H446, "NA")</f>
        <v>-0.07436979345</v>
      </c>
      <c r="J186" s="14"/>
      <c r="K186" s="12">
        <v>2082.17</v>
      </c>
      <c r="L186" s="13">
        <f>IFERROR(K186/K446, "NA")</f>
        <v>0.02343276364</v>
      </c>
      <c r="M186" s="14"/>
      <c r="N186" s="15">
        <f t="shared" ref="N186:N197" si="54">IFERROR(-(B186-K186), "NA")</f>
        <v>-357.96</v>
      </c>
      <c r="O186" s="13">
        <f>IFERROR(N186/N446, "NA")</f>
        <v>-0.03557412419</v>
      </c>
      <c r="P186" s="14"/>
      <c r="Q186" s="12">
        <v>19823.77</v>
      </c>
      <c r="R186" s="13">
        <f>IFERROR(Q186/Q446, "NA")</f>
        <v>0.0220621901</v>
      </c>
      <c r="S186" s="14"/>
      <c r="T186" s="12">
        <v>19560.76</v>
      </c>
      <c r="U186" s="13">
        <f>IFERROR(T186/T446, "NA")</f>
        <v>0.02471306043</v>
      </c>
      <c r="V186" s="14"/>
      <c r="W186" s="15">
        <f t="shared" ref="W186:W197" si="55">IFERROR(-(Q186-T186), "NA")</f>
        <v>-263.01</v>
      </c>
      <c r="X186" s="13">
        <f>IFERROR(W186/W446, "NA")</f>
        <v>-0.002457454943</v>
      </c>
      <c r="Y186" s="14"/>
      <c r="Z186" s="12">
        <v>18134.81</v>
      </c>
      <c r="AA186" s="13">
        <f>IFERROR(Z186/Z446, "NA")</f>
        <v>0.02472277247</v>
      </c>
      <c r="AB186" s="14"/>
      <c r="AC186" s="15">
        <f t="shared" ref="AC186:AC197" si="56">IFERROR(-(Q186-Z186), "NA")</f>
        <v>-1688.96</v>
      </c>
      <c r="AD186" s="13">
        <f>IFERROR(AC186/AC446, "NA")</f>
        <v>-0.01023525959</v>
      </c>
    </row>
    <row r="187" ht="16.5" hidden="1" customHeight="1">
      <c r="A187" s="11" t="s">
        <v>174</v>
      </c>
      <c r="B187" s="12">
        <v>0.0</v>
      </c>
      <c r="C187" s="13">
        <f>IFERROR(B187/B446, "NA")</f>
        <v>0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>
        <f>IFERROR(B188/B446, "NA")</f>
        <v>0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>
        <f>IFERROR(B189/B446, "NA")</f>
        <v>0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>
        <f>IFERROR(B190/B446, "NA")</f>
        <v>0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>
        <f>IFERROR(B191/B446, "NA")</f>
        <v>0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>
        <f>IFERROR(B192/B446, "NA")</f>
        <v>0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2440.13</v>
      </c>
      <c r="C193" s="18">
        <f>IFERROR(B193/B446, "NA")</f>
        <v>0.02466781602</v>
      </c>
      <c r="D193" s="8"/>
      <c r="E193" s="17">
        <f>IFERROR(E186+E187+E188+E189+E190+E191+E192, "NA")</f>
        <v>2261.76</v>
      </c>
      <c r="F193" s="18">
        <f>IFERROR(E193/E446, "NA")</f>
        <v>0.02343278925</v>
      </c>
      <c r="G193" s="8"/>
      <c r="H193" s="17">
        <f t="shared" si="53"/>
        <v>-178.37</v>
      </c>
      <c r="I193" s="18">
        <f>IFERROR(H193/H446, "NA")</f>
        <v>-0.07436979345</v>
      </c>
      <c r="J193" s="8"/>
      <c r="K193" s="17">
        <f>IFERROR(K186+K187+K188+K189+K190+K191+K192, "NA")</f>
        <v>2082.17</v>
      </c>
      <c r="L193" s="18">
        <f>IFERROR(K193/K446, "NA")</f>
        <v>0.02343276364</v>
      </c>
      <c r="M193" s="8"/>
      <c r="N193" s="17">
        <f t="shared" si="54"/>
        <v>-357.96</v>
      </c>
      <c r="O193" s="18">
        <f>IFERROR(N193/N446, "NA")</f>
        <v>-0.03557412419</v>
      </c>
      <c r="P193" s="8"/>
      <c r="Q193" s="17">
        <f>IFERROR(Q186+Q187+Q188+Q189+Q190+Q191+Q192, "NA")</f>
        <v>19823.77</v>
      </c>
      <c r="R193" s="18">
        <f>IFERROR(Q193/Q446, "NA")</f>
        <v>0.0220621901</v>
      </c>
      <c r="S193" s="8"/>
      <c r="T193" s="17">
        <f>IFERROR(T186+T187+T188+T189+T190+T191+T192, "NA")</f>
        <v>19560.76</v>
      </c>
      <c r="U193" s="18">
        <f>IFERROR(T193/T446, "NA")</f>
        <v>0.02471306043</v>
      </c>
      <c r="V193" s="8"/>
      <c r="W193" s="17">
        <f t="shared" si="55"/>
        <v>-263.01</v>
      </c>
      <c r="X193" s="18">
        <f>IFERROR(W193/W446, "NA")</f>
        <v>-0.002457454943</v>
      </c>
      <c r="Y193" s="8"/>
      <c r="Z193" s="17">
        <f>IFERROR(Z186+Z187+Z188+Z189+Z190+Z191+Z192, "NA")</f>
        <v>18134.81</v>
      </c>
      <c r="AA193" s="18">
        <f>IFERROR(Z193/Z446, "NA")</f>
        <v>0.02472277247</v>
      </c>
      <c r="AB193" s="8"/>
      <c r="AC193" s="17">
        <f t="shared" si="56"/>
        <v>-1688.96</v>
      </c>
      <c r="AD193" s="18">
        <f>IFERROR(AC193/AC446, "NA")</f>
        <v>-0.01023525959</v>
      </c>
    </row>
    <row r="194" ht="16.5" customHeight="1">
      <c r="A194" s="11" t="s">
        <v>181</v>
      </c>
      <c r="B194" s="12">
        <v>308.0</v>
      </c>
      <c r="C194" s="13">
        <f>IFERROR(B194/B446, "NA")</f>
        <v>0.003113640394</v>
      </c>
      <c r="D194" s="14"/>
      <c r="E194" s="12">
        <v>201.89</v>
      </c>
      <c r="F194" s="13">
        <f>IFERROR(E194/E446, "NA")</f>
        <v>0.002091665703</v>
      </c>
      <c r="G194" s="14"/>
      <c r="H194" s="15">
        <f t="shared" si="53"/>
        <v>-106.11</v>
      </c>
      <c r="I194" s="13">
        <f>IFERROR(H194/H446, "NA")</f>
        <v>-0.04424162574</v>
      </c>
      <c r="J194" s="14"/>
      <c r="K194" s="12">
        <v>224.0</v>
      </c>
      <c r="L194" s="13">
        <f>IFERROR(K194/K446, "NA")</f>
        <v>0.002520898417</v>
      </c>
      <c r="M194" s="14"/>
      <c r="N194" s="15">
        <f t="shared" si="54"/>
        <v>-84</v>
      </c>
      <c r="O194" s="13">
        <f>IFERROR(N194/N446, "NA")</f>
        <v>-0.008347933936</v>
      </c>
      <c r="P194" s="14"/>
      <c r="Q194" s="12">
        <v>2125.94</v>
      </c>
      <c r="R194" s="13">
        <f>IFERROR(Q194/Q446, "NA")</f>
        <v>0.002365992565</v>
      </c>
      <c r="S194" s="14"/>
      <c r="T194" s="12">
        <v>1684.46</v>
      </c>
      <c r="U194" s="13">
        <f>IFERROR(T194/T446, "NA")</f>
        <v>0.00212814644</v>
      </c>
      <c r="V194" s="14"/>
      <c r="W194" s="15">
        <f t="shared" si="55"/>
        <v>-441.48</v>
      </c>
      <c r="X194" s="13">
        <f>IFERROR(W194/W446, "NA")</f>
        <v>-0.004125003644</v>
      </c>
      <c r="Y194" s="14"/>
      <c r="Z194" s="12">
        <v>2058.0</v>
      </c>
      <c r="AA194" s="13">
        <f>IFERROR(Z194/Z446, "NA")</f>
        <v>0.002805624418</v>
      </c>
      <c r="AB194" s="14"/>
      <c r="AC194" s="15">
        <f t="shared" si="56"/>
        <v>-67.94</v>
      </c>
      <c r="AD194" s="13">
        <f>IFERROR(AC194/AC446, "NA")</f>
        <v>-0.0004117229162</v>
      </c>
    </row>
    <row r="195" ht="16.5" customHeight="1">
      <c r="A195" s="11" t="s">
        <v>182</v>
      </c>
      <c r="B195" s="12">
        <v>-4.42</v>
      </c>
      <c r="C195" s="13">
        <f>IFERROR(B195/B446, "NA")</f>
        <v>-0.00004468276149</v>
      </c>
      <c r="D195" s="14"/>
      <c r="E195" s="12">
        <v>0.0</v>
      </c>
      <c r="F195" s="13">
        <f>IFERROR(E195/E446, "NA")</f>
        <v>0</v>
      </c>
      <c r="G195" s="14"/>
      <c r="H195" s="15">
        <f t="shared" si="53"/>
        <v>4.42</v>
      </c>
      <c r="I195" s="13">
        <f>IFERROR(H195/H446, "NA")</f>
        <v>0.001842879896</v>
      </c>
      <c r="J195" s="14"/>
      <c r="K195" s="12">
        <v>0.0</v>
      </c>
      <c r="L195" s="13">
        <f>IFERROR(K195/K446, "NA")</f>
        <v>0</v>
      </c>
      <c r="M195" s="14"/>
      <c r="N195" s="15">
        <f t="shared" si="54"/>
        <v>4.42</v>
      </c>
      <c r="O195" s="13">
        <f>IFERROR(N195/N446, "NA")</f>
        <v>0.0004392603333</v>
      </c>
      <c r="P195" s="14"/>
      <c r="Q195" s="12">
        <v>2.78</v>
      </c>
      <c r="R195" s="13">
        <f>IFERROR(Q195/Q446, "NA")</f>
        <v>0.00000309390638</v>
      </c>
      <c r="S195" s="14"/>
      <c r="T195" s="12">
        <v>0.0</v>
      </c>
      <c r="U195" s="13">
        <f>IFERROR(T195/T446, "NA")</f>
        <v>0</v>
      </c>
      <c r="V195" s="14"/>
      <c r="W195" s="15">
        <f t="shared" si="55"/>
        <v>-2.78</v>
      </c>
      <c r="X195" s="13">
        <f>IFERROR(W195/W446, "NA")</f>
        <v>-0.00002597515206</v>
      </c>
      <c r="Y195" s="14"/>
      <c r="Z195" s="12">
        <v>0.0</v>
      </c>
      <c r="AA195" s="13">
        <f>IFERROR(Z195/Z446, "NA")</f>
        <v>0</v>
      </c>
      <c r="AB195" s="14"/>
      <c r="AC195" s="15">
        <f t="shared" si="56"/>
        <v>-2.78</v>
      </c>
      <c r="AD195" s="13">
        <f>IFERROR(AC195/AC446, "NA")</f>
        <v>-0.00001684706663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30903.77</v>
      </c>
      <c r="C196" s="18">
        <f>IFERROR(B196/B446, "NA")</f>
        <v>0.3124130733</v>
      </c>
      <c r="D196" s="8"/>
      <c r="E196" s="17">
        <f>IFERROR(E175+E177+E178+E179+E180+E181+E183+E184+E186+E187+E188+E189+E190+E191+E192+E194+E195, "NA")</f>
        <v>27700.38</v>
      </c>
      <c r="F196" s="18">
        <f>IFERROR(E196/E446, "NA")</f>
        <v>0.2869876408</v>
      </c>
      <c r="G196" s="8"/>
      <c r="H196" s="17">
        <f t="shared" si="53"/>
        <v>-3203.39</v>
      </c>
      <c r="I196" s="18">
        <f>IFERROR(H196/H446, "NA")</f>
        <v>-1.33562512</v>
      </c>
      <c r="J196" s="8"/>
      <c r="K196" s="17">
        <f>IFERROR(K175+K177+K178+K179+K180+K181+K183+K184+K186+K187+K188+K189+K190+K191+K192+K194+K195, "NA")</f>
        <v>26568.31</v>
      </c>
      <c r="L196" s="18">
        <f>IFERROR(K196/K446, "NA")</f>
        <v>0.2990000474</v>
      </c>
      <c r="M196" s="8"/>
      <c r="N196" s="17">
        <f t="shared" si="54"/>
        <v>-4335.46</v>
      </c>
      <c r="O196" s="18">
        <f>IFERROR(N196/N446, "NA")</f>
        <v>-0.4308587341</v>
      </c>
      <c r="P196" s="8"/>
      <c r="Q196" s="17">
        <f>IFERROR(Q175+Q177+Q178+Q179+Q180+Q181+Q183+Q184+Q186+Q187+Q188+Q189+Q190+Q191+Q192+Q194+Q195, "NA")</f>
        <v>243722.17</v>
      </c>
      <c r="R196" s="18">
        <f>IFERROR(Q196/Q446, "NA")</f>
        <v>0.2712422938</v>
      </c>
      <c r="S196" s="8"/>
      <c r="T196" s="17">
        <f>IFERROR(T175+T177+T178+T179+T180+T181+T183+T184+T186+T187+T188+T189+T190+T191+T192+T194+T195, "NA")</f>
        <v>231803.14</v>
      </c>
      <c r="U196" s="18">
        <f>IFERROR(T196/T446, "NA")</f>
        <v>0.2928600425</v>
      </c>
      <c r="V196" s="8"/>
      <c r="W196" s="17">
        <f t="shared" si="55"/>
        <v>-11919.03</v>
      </c>
      <c r="X196" s="18">
        <f>IFERROR(W196/W446, "NA")</f>
        <v>-0.1113664089</v>
      </c>
      <c r="Y196" s="8"/>
      <c r="Z196" s="17">
        <f>IFERROR(Z175+Z177+Z178+Z179+Z180+Z181+Z183+Z184+Z186+Z187+Z188+Z189+Z190+Z191+Z192+Z194+Z195, "NA")</f>
        <v>223908.52</v>
      </c>
      <c r="AA196" s="18">
        <f>IFERROR(Z196/Z446, "NA")</f>
        <v>0.3052493737</v>
      </c>
      <c r="AB196" s="8"/>
      <c r="AC196" s="17">
        <f t="shared" si="56"/>
        <v>-19813.65</v>
      </c>
      <c r="AD196" s="18">
        <f>IFERROR(AC196/AC446, "NA")</f>
        <v>-0.1200726193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30903.77</v>
      </c>
      <c r="C197" s="18">
        <f>IFERROR(B197/B446, "NA")</f>
        <v>0.3124130733</v>
      </c>
      <c r="D197" s="8"/>
      <c r="E197" s="17">
        <f>IFERROR(E175+E177+E178+E179+E180+E181+E183+E184+E186+E187+E188+E189+E190+E191+E192+E194+E195, "NA")</f>
        <v>27700.38</v>
      </c>
      <c r="F197" s="18">
        <f>IFERROR(E197/E446, "NA")</f>
        <v>0.2869876408</v>
      </c>
      <c r="G197" s="8"/>
      <c r="H197" s="17">
        <f t="shared" si="53"/>
        <v>-3203.39</v>
      </c>
      <c r="I197" s="18">
        <f>IFERROR(H197/H446, "NA")</f>
        <v>-1.33562512</v>
      </c>
      <c r="J197" s="8"/>
      <c r="K197" s="17">
        <f>IFERROR(K175+K177+K178+K179+K180+K181+K183+K184+K186+K187+K188+K189+K190+K191+K192+K194+K195, "NA")</f>
        <v>26568.31</v>
      </c>
      <c r="L197" s="18">
        <f>IFERROR(K197/K446, "NA")</f>
        <v>0.2990000474</v>
      </c>
      <c r="M197" s="8"/>
      <c r="N197" s="17">
        <f t="shared" si="54"/>
        <v>-4335.46</v>
      </c>
      <c r="O197" s="18">
        <f>IFERROR(N197/N446, "NA")</f>
        <v>-0.4308587341</v>
      </c>
      <c r="P197" s="8"/>
      <c r="Q197" s="17">
        <f>IFERROR(Q175+Q177+Q178+Q179+Q180+Q181+Q183+Q184+Q186+Q187+Q188+Q189+Q190+Q191+Q192+Q194+Q195, "NA")</f>
        <v>243722.17</v>
      </c>
      <c r="R197" s="18">
        <f>IFERROR(Q197/Q446, "NA")</f>
        <v>0.2712422938</v>
      </c>
      <c r="S197" s="8"/>
      <c r="T197" s="17">
        <f>IFERROR(T175+T177+T178+T179+T180+T181+T183+T184+T186+T187+T188+T189+T190+T191+T192+T194+T195, "NA")</f>
        <v>231803.14</v>
      </c>
      <c r="U197" s="18">
        <f>IFERROR(T197/T446, "NA")</f>
        <v>0.2928600425</v>
      </c>
      <c r="V197" s="8"/>
      <c r="W197" s="17">
        <f t="shared" si="55"/>
        <v>-11919.03</v>
      </c>
      <c r="X197" s="18">
        <f>IFERROR(W197/W446, "NA")</f>
        <v>-0.1113664089</v>
      </c>
      <c r="Y197" s="8"/>
      <c r="Z197" s="17">
        <f>IFERROR(Z175+Z177+Z178+Z179+Z180+Z181+Z183+Z184+Z186+Z187+Z188+Z189+Z190+Z191+Z192+Z194+Z195, "NA")</f>
        <v>223908.52</v>
      </c>
      <c r="AA197" s="18">
        <f>IFERROR(Z197/Z446, "NA")</f>
        <v>0.3052493737</v>
      </c>
      <c r="AB197" s="8"/>
      <c r="AC197" s="17">
        <f t="shared" si="56"/>
        <v>-19813.65</v>
      </c>
      <c r="AD197" s="18">
        <f>IFERROR(AC197/AC446, "NA")</f>
        <v>-0.1200726193</v>
      </c>
    </row>
    <row r="198" ht="16.5" customHeight="1">
      <c r="A198" s="19" t="s">
        <v>184</v>
      </c>
      <c r="B198" s="20">
        <f>IFERROR(B172-B197, "NA")</f>
        <v>43898.75</v>
      </c>
      <c r="C198" s="21">
        <f>IFERROR(B198/B446, "NA")</f>
        <v>0.4437822118</v>
      </c>
      <c r="D198" s="22"/>
      <c r="E198" s="20">
        <f>IFERROR(E172-E197, "NA")</f>
        <v>43339.2</v>
      </c>
      <c r="F198" s="21">
        <f>IFERROR(E198/E446, "NA")</f>
        <v>0.4490124238</v>
      </c>
      <c r="G198" s="22"/>
      <c r="H198" s="20">
        <f>IFERROR(B198-E198, "NA")</f>
        <v>559.55</v>
      </c>
      <c r="I198" s="21">
        <f>IFERROR(H198/H446, "NA")</f>
        <v>0.2332994221</v>
      </c>
      <c r="J198" s="22"/>
      <c r="K198" s="20">
        <f>IFERROR(K172-K197, "NA")</f>
        <v>37600.87</v>
      </c>
      <c r="L198" s="21">
        <f>IFERROR(K198/K446, "NA")</f>
        <v>0.4231605966</v>
      </c>
      <c r="M198" s="22"/>
      <c r="N198" s="20">
        <f>IFERROR(B198-K198, "NA")</f>
        <v>6297.88</v>
      </c>
      <c r="O198" s="21">
        <f>IFERROR(N198/N446, "NA")</f>
        <v>0.6258843593</v>
      </c>
      <c r="P198" s="22"/>
      <c r="Q198" s="20">
        <f>IFERROR(Q172-Q197, "NA")</f>
        <v>420589.31</v>
      </c>
      <c r="R198" s="21">
        <f>IFERROR(Q198/Q446, "NA")</f>
        <v>0.4680805574</v>
      </c>
      <c r="S198" s="22"/>
      <c r="T198" s="20">
        <f>IFERROR(T172-T197, "NA")</f>
        <v>350342.79</v>
      </c>
      <c r="U198" s="21">
        <f>IFERROR(T198/T446, "NA")</f>
        <v>0.4426230136</v>
      </c>
      <c r="V198" s="22"/>
      <c r="W198" s="20">
        <f>IFERROR(Q198-T198, "NA")</f>
        <v>70246.52</v>
      </c>
      <c r="X198" s="21">
        <f>IFERROR(W198/W446, "NA")</f>
        <v>0.6563539707</v>
      </c>
      <c r="Y198" s="22"/>
      <c r="Z198" s="20">
        <f>IFERROR(Z172-Z197, "NA")</f>
        <v>302680.31</v>
      </c>
      <c r="AA198" s="21">
        <f>IFERROR(Z198/Z446, "NA")</f>
        <v>0.4126371568</v>
      </c>
      <c r="AB198" s="22"/>
      <c r="AC198" s="20">
        <f>IFERROR(Q198-Z198, "NA")</f>
        <v>117909</v>
      </c>
      <c r="AD198" s="21">
        <f>IFERROR(AC198/AC446, "NA")</f>
        <v>0.7145398487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>
        <f>IFERROR(B201/B446, "NA")</f>
        <v>0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1270.78</v>
      </c>
      <c r="C202" s="13">
        <f>IFERROR(B202/B446, "NA")</f>
        <v>0.01284659721</v>
      </c>
      <c r="D202" s="14"/>
      <c r="E202" s="12">
        <v>868.69</v>
      </c>
      <c r="F202" s="13">
        <f>IFERROR(E202/E446, "NA")</f>
        <v>0.008999995441</v>
      </c>
      <c r="G202" s="14"/>
      <c r="H202" s="15">
        <f t="shared" si="57"/>
        <v>-402.09</v>
      </c>
      <c r="I202" s="13">
        <f>IFERROR(H202/H446, "NA")</f>
        <v>-0.1676478682</v>
      </c>
      <c r="J202" s="14"/>
      <c r="K202" s="12">
        <v>846.04</v>
      </c>
      <c r="L202" s="13">
        <f>IFERROR(K202/K446, "NA")</f>
        <v>0.009521343288</v>
      </c>
      <c r="M202" s="14"/>
      <c r="N202" s="15">
        <f t="shared" si="58"/>
        <v>-424.74</v>
      </c>
      <c r="O202" s="13">
        <f>IFERROR(N202/N446, "NA")</f>
        <v>-0.04221073167</v>
      </c>
      <c r="P202" s="14"/>
      <c r="Q202" s="12">
        <v>9764.15</v>
      </c>
      <c r="R202" s="13">
        <f>IFERROR(Q202/Q446, "NA")</f>
        <v>0.01086667841</v>
      </c>
      <c r="S202" s="14"/>
      <c r="T202" s="12">
        <v>7123.63</v>
      </c>
      <c r="U202" s="13">
        <f>IFERROR(T202/T446, "NA")</f>
        <v>0.008999992773</v>
      </c>
      <c r="V202" s="14"/>
      <c r="W202" s="15">
        <f t="shared" si="59"/>
        <v>-2640.52</v>
      </c>
      <c r="X202" s="13">
        <f>IFERROR(W202/W446, "NA")</f>
        <v>-0.02467190954</v>
      </c>
      <c r="Y202" s="14"/>
      <c r="Z202" s="12">
        <v>7710.46</v>
      </c>
      <c r="AA202" s="13">
        <f>IFERROR(Z202/Z446, "NA")</f>
        <v>0.0105114941</v>
      </c>
      <c r="AB202" s="14"/>
      <c r="AC202" s="15">
        <f t="shared" si="60"/>
        <v>-2053.69</v>
      </c>
      <c r="AD202" s="13">
        <f>IFERROR(AC202/AC446, "NA")</f>
        <v>-0.01244555837</v>
      </c>
    </row>
    <row r="203" ht="16.5" customHeight="1">
      <c r="A203" s="11" t="s">
        <v>188</v>
      </c>
      <c r="B203" s="12">
        <v>470.96</v>
      </c>
      <c r="C203" s="13">
        <f>IFERROR(B203/B446, "NA")</f>
        <v>0.00476103922</v>
      </c>
      <c r="D203" s="14"/>
      <c r="E203" s="12">
        <v>579.13</v>
      </c>
      <c r="F203" s="13">
        <f>IFERROR(E203/E446, "NA")</f>
        <v>0.006000031496</v>
      </c>
      <c r="G203" s="14"/>
      <c r="H203" s="15">
        <f t="shared" si="57"/>
        <v>108.17</v>
      </c>
      <c r="I203" s="13">
        <f>IFERROR(H203/H446, "NA")</f>
        <v>0.04510052451</v>
      </c>
      <c r="J203" s="14"/>
      <c r="K203" s="12">
        <v>565.12</v>
      </c>
      <c r="L203" s="13">
        <f>IFERROR(K203/K446, "NA")</f>
        <v>0.006359866577</v>
      </c>
      <c r="M203" s="14"/>
      <c r="N203" s="15">
        <f t="shared" si="58"/>
        <v>94.16</v>
      </c>
      <c r="O203" s="13">
        <f>IFERROR(N203/N446, "NA")</f>
        <v>0.009357636422</v>
      </c>
      <c r="P203" s="14"/>
      <c r="Q203" s="12">
        <v>4745.13</v>
      </c>
      <c r="R203" s="13">
        <f>IFERROR(Q203/Q446, "NA")</f>
        <v>0.005280930928</v>
      </c>
      <c r="S203" s="14"/>
      <c r="T203" s="12">
        <v>4749.09</v>
      </c>
      <c r="U203" s="13">
        <f>IFERROR(T203/T446, "NA")</f>
        <v>0.005999999394</v>
      </c>
      <c r="V203" s="14"/>
      <c r="W203" s="15">
        <f t="shared" si="59"/>
        <v>3.96</v>
      </c>
      <c r="X203" s="13">
        <f>IFERROR(W203/W446, "NA")</f>
        <v>0.00003700057631</v>
      </c>
      <c r="Y203" s="14"/>
      <c r="Z203" s="12">
        <v>6382.25</v>
      </c>
      <c r="AA203" s="13">
        <f>IFERROR(Z203/Z446, "NA")</f>
        <v>0.008700775725</v>
      </c>
      <c r="AB203" s="14"/>
      <c r="AC203" s="15">
        <f t="shared" si="60"/>
        <v>1637.12</v>
      </c>
      <c r="AD203" s="13">
        <f>IFERROR(AC203/AC446, "NA")</f>
        <v>0.009921104217</v>
      </c>
    </row>
    <row r="204" ht="16.5" customHeight="1">
      <c r="A204" s="11" t="s">
        <v>189</v>
      </c>
      <c r="B204" s="12">
        <v>77.39</v>
      </c>
      <c r="C204" s="13">
        <f>IFERROR(B204/B446, "NA")</f>
        <v>0.000782352695</v>
      </c>
      <c r="D204" s="14"/>
      <c r="E204" s="12">
        <v>193.04</v>
      </c>
      <c r="F204" s="13">
        <f>IFERROR(E204/E446, "NA")</f>
        <v>0.001999975964</v>
      </c>
      <c r="G204" s="14"/>
      <c r="H204" s="15">
        <f t="shared" si="57"/>
        <v>115.65</v>
      </c>
      <c r="I204" s="13">
        <f>IFERROR(H204/H446, "NA")</f>
        <v>0.04821924434</v>
      </c>
      <c r="J204" s="14"/>
      <c r="K204" s="12">
        <v>663.73</v>
      </c>
      <c r="L204" s="13">
        <f>IFERROR(K204/K446, "NA")</f>
        <v>0.007469624581</v>
      </c>
      <c r="M204" s="14"/>
      <c r="N204" s="15">
        <f t="shared" si="58"/>
        <v>586.34</v>
      </c>
      <c r="O204" s="13">
        <f>IFERROR(N204/N446, "NA")</f>
        <v>0.05827056648</v>
      </c>
      <c r="P204" s="14"/>
      <c r="Q204" s="12">
        <v>1105.97</v>
      </c>
      <c r="R204" s="13">
        <f>IFERROR(Q204/Q446, "NA")</f>
        <v>0.001230851669</v>
      </c>
      <c r="S204" s="14"/>
      <c r="T204" s="12">
        <v>1583.03</v>
      </c>
      <c r="U204" s="13">
        <f>IFERROR(T204/T446, "NA")</f>
        <v>0.001999999798</v>
      </c>
      <c r="V204" s="14"/>
      <c r="W204" s="15">
        <f t="shared" si="59"/>
        <v>477.06</v>
      </c>
      <c r="X204" s="13">
        <f>IFERROR(W204/W446, "NA")</f>
        <v>0.004457448216</v>
      </c>
      <c r="Y204" s="14"/>
      <c r="Z204" s="12">
        <v>1986.78</v>
      </c>
      <c r="AA204" s="13">
        <f>IFERROR(Z204/Z446, "NA")</f>
        <v>0.002708531818</v>
      </c>
      <c r="AB204" s="14"/>
      <c r="AC204" s="15">
        <f t="shared" si="60"/>
        <v>880.81</v>
      </c>
      <c r="AD204" s="13">
        <f>IFERROR(AC204/AC446, "NA")</f>
        <v>0.005337793079</v>
      </c>
    </row>
    <row r="205" ht="16.5" customHeight="1">
      <c r="A205" s="11" t="s">
        <v>190</v>
      </c>
      <c r="B205" s="12">
        <v>357.52</v>
      </c>
      <c r="C205" s="13">
        <f>IFERROR(B205/B446, "NA")</f>
        <v>0.00361424907</v>
      </c>
      <c r="D205" s="14"/>
      <c r="E205" s="12">
        <v>289.56</v>
      </c>
      <c r="F205" s="13">
        <f>IFERROR(E205/E446, "NA")</f>
        <v>0.002999963946</v>
      </c>
      <c r="G205" s="14"/>
      <c r="H205" s="15">
        <f t="shared" si="57"/>
        <v>-67.96</v>
      </c>
      <c r="I205" s="13">
        <f>IFERROR(H205/H446, "NA")</f>
        <v>-0.02833532075</v>
      </c>
      <c r="J205" s="14"/>
      <c r="K205" s="12">
        <v>373.1</v>
      </c>
      <c r="L205" s="13">
        <f>IFERROR(K205/K446, "NA")</f>
        <v>0.004198871425</v>
      </c>
      <c r="M205" s="14"/>
      <c r="N205" s="15">
        <f t="shared" si="58"/>
        <v>15.58</v>
      </c>
      <c r="O205" s="13">
        <f>IFERROR(N205/N446, "NA")</f>
        <v>0.001548342985</v>
      </c>
      <c r="P205" s="14"/>
      <c r="Q205" s="12">
        <v>3178.97</v>
      </c>
      <c r="R205" s="13">
        <f>IFERROR(Q205/Q446, "NA")</f>
        <v>0.003537926462</v>
      </c>
      <c r="S205" s="14"/>
      <c r="T205" s="12">
        <v>2374.56</v>
      </c>
      <c r="U205" s="13">
        <f>IFERROR(T205/T446, "NA")</f>
        <v>0.003000018648</v>
      </c>
      <c r="V205" s="14"/>
      <c r="W205" s="15">
        <f t="shared" si="59"/>
        <v>-804.41</v>
      </c>
      <c r="X205" s="13">
        <f>IFERROR(W205/W446, "NA")</f>
        <v>-0.007516069089</v>
      </c>
      <c r="Y205" s="14"/>
      <c r="Z205" s="12">
        <v>2810.88</v>
      </c>
      <c r="AA205" s="13">
        <f>IFERROR(Z205/Z446, "NA")</f>
        <v>0.003832008535</v>
      </c>
      <c r="AB205" s="14"/>
      <c r="AC205" s="15">
        <f t="shared" si="60"/>
        <v>-368.09</v>
      </c>
      <c r="AD205" s="13">
        <f>IFERROR(AC205/AC446, "NA")</f>
        <v>-0.002230660704</v>
      </c>
    </row>
    <row r="206" ht="16.5" customHeight="1">
      <c r="A206" s="11" t="s">
        <v>191</v>
      </c>
      <c r="B206" s="12">
        <v>35.01</v>
      </c>
      <c r="C206" s="13">
        <f>IFERROR(B206/B446, "NA")</f>
        <v>0.0003539238642</v>
      </c>
      <c r="D206" s="14"/>
      <c r="E206" s="12">
        <v>96.52</v>
      </c>
      <c r="F206" s="13">
        <f>IFERROR(E206/E446, "NA")</f>
        <v>0.0009999879819</v>
      </c>
      <c r="G206" s="14"/>
      <c r="H206" s="15">
        <f t="shared" si="57"/>
        <v>61.51</v>
      </c>
      <c r="I206" s="13">
        <f>IFERROR(H206/H446, "NA")</f>
        <v>0.02564605032</v>
      </c>
      <c r="J206" s="14"/>
      <c r="K206" s="12">
        <v>0.0</v>
      </c>
      <c r="L206" s="13">
        <f>IFERROR(K206/K446, "NA")</f>
        <v>0</v>
      </c>
      <c r="M206" s="14"/>
      <c r="N206" s="15">
        <f t="shared" si="58"/>
        <v>-35.01</v>
      </c>
      <c r="O206" s="13">
        <f>IFERROR(N206/N446, "NA")</f>
        <v>-0.003479299608</v>
      </c>
      <c r="P206" s="14"/>
      <c r="Q206" s="12">
        <v>342.33</v>
      </c>
      <c r="R206" s="13">
        <f>IFERROR(Q206/Q446, "NA")</f>
        <v>0.000380984522</v>
      </c>
      <c r="S206" s="14"/>
      <c r="T206" s="12">
        <v>791.52</v>
      </c>
      <c r="U206" s="13">
        <f>IFERROR(T206/T446, "NA")</f>
        <v>0.001000006216</v>
      </c>
      <c r="V206" s="14"/>
      <c r="W206" s="15">
        <f t="shared" si="59"/>
        <v>449.19</v>
      </c>
      <c r="X206" s="13">
        <f>IFERROR(W206/W446, "NA")</f>
        <v>0.004197042645</v>
      </c>
      <c r="Y206" s="14"/>
      <c r="Z206" s="12">
        <v>490.43</v>
      </c>
      <c r="AA206" s="13">
        <f>IFERROR(Z206/Z446, "NA")</f>
        <v>0.000668592023</v>
      </c>
      <c r="AB206" s="14"/>
      <c r="AC206" s="15">
        <f t="shared" si="60"/>
        <v>148.1</v>
      </c>
      <c r="AD206" s="13">
        <f>IFERROR(AC206/AC446, "NA")</f>
        <v>0.0008975002044</v>
      </c>
    </row>
    <row r="207" ht="16.5" customHeight="1">
      <c r="A207" s="11" t="s">
        <v>192</v>
      </c>
      <c r="B207" s="12">
        <v>0.0</v>
      </c>
      <c r="C207" s="13">
        <f>IFERROR(B207/B446, "NA")</f>
        <v>0</v>
      </c>
      <c r="D207" s="14"/>
      <c r="E207" s="12">
        <v>100.0</v>
      </c>
      <c r="F207" s="13">
        <f>IFERROR(E207/E446, "NA")</f>
        <v>0.001036042252</v>
      </c>
      <c r="G207" s="14"/>
      <c r="H207" s="15">
        <f t="shared" si="57"/>
        <v>100</v>
      </c>
      <c r="I207" s="13">
        <f>IFERROR(H207/H446, "NA")</f>
        <v>0.04169411529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652.28</v>
      </c>
      <c r="R207" s="13">
        <f>IFERROR(Q207/Q446, "NA")</f>
        <v>0.000725932825</v>
      </c>
      <c r="S207" s="14"/>
      <c r="T207" s="12">
        <v>800.0</v>
      </c>
      <c r="U207" s="13">
        <f>IFERROR(T207/T446, "NA")</f>
        <v>0.001010719846</v>
      </c>
      <c r="V207" s="14"/>
      <c r="W207" s="15">
        <f t="shared" si="59"/>
        <v>147.72</v>
      </c>
      <c r="X207" s="13">
        <f>IFERROR(W207/W446, "NA")</f>
        <v>0.001380233619</v>
      </c>
      <c r="Y207" s="14"/>
      <c r="Z207" s="12">
        <v>762.98</v>
      </c>
      <c r="AA207" s="13">
        <f>IFERROR(Z207/Z446, "NA")</f>
        <v>0.001040153216</v>
      </c>
      <c r="AB207" s="14"/>
      <c r="AC207" s="15">
        <f t="shared" si="60"/>
        <v>110.7</v>
      </c>
      <c r="AD207" s="13">
        <f>IFERROR(AC207/AC446, "NA")</f>
        <v>0.0006708526173</v>
      </c>
    </row>
    <row r="208" ht="16.5" customHeight="1">
      <c r="A208" s="11" t="s">
        <v>193</v>
      </c>
      <c r="B208" s="12">
        <v>75.71</v>
      </c>
      <c r="C208" s="13">
        <f>IFERROR(B208/B446, "NA")</f>
        <v>0.0007653692019</v>
      </c>
      <c r="D208" s="14"/>
      <c r="E208" s="12">
        <v>100.0</v>
      </c>
      <c r="F208" s="13">
        <f>IFERROR(E208/E446, "NA")</f>
        <v>0.001036042252</v>
      </c>
      <c r="G208" s="14"/>
      <c r="H208" s="15">
        <f t="shared" si="57"/>
        <v>24.29</v>
      </c>
      <c r="I208" s="13">
        <f>IFERROR(H208/H446, "NA")</f>
        <v>0.0101275006</v>
      </c>
      <c r="J208" s="14"/>
      <c r="K208" s="12">
        <v>290.3</v>
      </c>
      <c r="L208" s="13">
        <f>IFERROR(K208/K446, "NA")</f>
        <v>0.003267039332</v>
      </c>
      <c r="M208" s="14"/>
      <c r="N208" s="15">
        <f t="shared" si="58"/>
        <v>214.59</v>
      </c>
      <c r="O208" s="13">
        <f>IFERROR(N208/N446, "NA")</f>
        <v>0.0213259898</v>
      </c>
      <c r="P208" s="14"/>
      <c r="Q208" s="12">
        <v>776.49</v>
      </c>
      <c r="R208" s="13">
        <f>IFERROR(Q208/Q446, "NA")</f>
        <v>0.0008641681169</v>
      </c>
      <c r="S208" s="14"/>
      <c r="T208" s="12">
        <v>800.0</v>
      </c>
      <c r="U208" s="13">
        <f>IFERROR(T208/T446, "NA")</f>
        <v>0.001010719846</v>
      </c>
      <c r="V208" s="14"/>
      <c r="W208" s="15">
        <f t="shared" si="59"/>
        <v>23.51</v>
      </c>
      <c r="X208" s="13">
        <f>IFERROR(W208/W446, "NA")</f>
        <v>0.0002196675629</v>
      </c>
      <c r="Y208" s="14"/>
      <c r="Z208" s="12">
        <v>1198.14</v>
      </c>
      <c r="AA208" s="13">
        <f>IFERROR(Z208/Z446, "NA")</f>
        <v>0.00163339691</v>
      </c>
      <c r="AB208" s="14"/>
      <c r="AC208" s="15">
        <f t="shared" si="60"/>
        <v>421.65</v>
      </c>
      <c r="AD208" s="13">
        <f>IFERROR(AC208/AC446, "NA")</f>
        <v>0.002555239441</v>
      </c>
    </row>
    <row r="209" ht="16.5" customHeight="1">
      <c r="A209" s="16" t="s">
        <v>194</v>
      </c>
      <c r="B209" s="17">
        <f>IFERROR(B201+B202+B203+B204+B205+B206+B207+B208, "NA")</f>
        <v>2287.37</v>
      </c>
      <c r="C209" s="18">
        <f>IFERROR(B209/B446, "NA")</f>
        <v>0.02312353126</v>
      </c>
      <c r="D209" s="8"/>
      <c r="E209" s="17">
        <f>IFERROR(E201+E202+E203+E204+E205+E206+E207+E208, "NA")</f>
        <v>2226.94</v>
      </c>
      <c r="F209" s="18">
        <f>IFERROR(E209/E446, "NA")</f>
        <v>0.02307203933</v>
      </c>
      <c r="G209" s="8"/>
      <c r="H209" s="17">
        <f t="shared" si="57"/>
        <v>-60.43</v>
      </c>
      <c r="I209" s="18">
        <f>IFERROR(H209/H446, "NA")</f>
        <v>-0.02519575387</v>
      </c>
      <c r="J209" s="8"/>
      <c r="K209" s="17">
        <f>IFERROR(K201+K202+K203+K204+K205+K206+K207+K208, "NA")</f>
        <v>2738.29</v>
      </c>
      <c r="L209" s="18">
        <f>IFERROR(K209/K446, "NA")</f>
        <v>0.0308167452</v>
      </c>
      <c r="M209" s="8"/>
      <c r="N209" s="17">
        <f t="shared" si="58"/>
        <v>450.92</v>
      </c>
      <c r="O209" s="18">
        <f>IFERROR(N209/N446, "NA")</f>
        <v>0.04481250441</v>
      </c>
      <c r="P209" s="8"/>
      <c r="Q209" s="17">
        <f>IFERROR(Q201+Q202+Q203+Q204+Q205+Q206+Q207+Q208, "NA")</f>
        <v>20565.32</v>
      </c>
      <c r="R209" s="18">
        <f>IFERROR(Q209/Q446, "NA")</f>
        <v>0.02288747293</v>
      </c>
      <c r="S209" s="8"/>
      <c r="T209" s="17">
        <f>IFERROR(T201+T202+T203+T204+T205+T206+T207+T208, "NA")</f>
        <v>18221.83</v>
      </c>
      <c r="U209" s="18">
        <f>IFERROR(T209/T446, "NA")</f>
        <v>0.02302145652</v>
      </c>
      <c r="V209" s="8"/>
      <c r="W209" s="17">
        <f t="shared" si="59"/>
        <v>-2343.49</v>
      </c>
      <c r="X209" s="18">
        <f>IFERROR(W209/W446, "NA")</f>
        <v>-0.02189658601</v>
      </c>
      <c r="Y209" s="8"/>
      <c r="Z209" s="17">
        <f>IFERROR(Z201+Z202+Z203+Z204+Z205+Z206+Z207+Z208, "NA")</f>
        <v>21341.92</v>
      </c>
      <c r="AA209" s="18">
        <f>IFERROR(Z209/Z446, "NA")</f>
        <v>0.02909495232</v>
      </c>
      <c r="AB209" s="8"/>
      <c r="AC209" s="17">
        <f t="shared" si="60"/>
        <v>776.6</v>
      </c>
      <c r="AD209" s="18">
        <f>IFERROR(AC209/AC446, "NA")</f>
        <v>0.004706270484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>
        <f>IFERROR(B211/B446, "NA")</f>
        <v>0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>
        <f>IFERROR(B213/B446, "NA")</f>
        <v>0</v>
      </c>
      <c r="D213" s="14"/>
      <c r="E213" s="12">
        <v>3957.37</v>
      </c>
      <c r="F213" s="13">
        <f>IFERROR(E213/E446, "NA")</f>
        <v>0.04100002528</v>
      </c>
      <c r="G213" s="14"/>
      <c r="H213" s="15">
        <f t="shared" ref="H213:H227" si="61">IFERROR(-(B213-E213), "NA")</f>
        <v>3957.37</v>
      </c>
      <c r="I213" s="13">
        <f>IFERROR(H213/H446, "NA")</f>
        <v>1.64999041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32452.12</v>
      </c>
      <c r="U213" s="13">
        <f>IFERROR(T213/T446, "NA")</f>
        <v>0.04100000217</v>
      </c>
      <c r="V213" s="14"/>
      <c r="W213" s="15">
        <f t="shared" ref="W213:W227" si="63">IFERROR(-(Q213-T213), "NA")</f>
        <v>32452.12</v>
      </c>
      <c r="X213" s="13">
        <f>IFERROR(W213/W446, "NA")</f>
        <v>0.3032189754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1312.41</v>
      </c>
      <c r="C214" s="13">
        <f>IFERROR(B214/B446, "NA")</f>
        <v>0.01326744412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-1312.41</v>
      </c>
      <c r="I214" s="13">
        <f>IFERROR(H214/H446, "NA")</f>
        <v>-0.5471977385</v>
      </c>
      <c r="J214" s="14"/>
      <c r="K214" s="12">
        <v>623.11</v>
      </c>
      <c r="L214" s="13">
        <f>IFERROR(K214/K446, "NA")</f>
        <v>0.007012486663</v>
      </c>
      <c r="M214" s="14"/>
      <c r="N214" s="15">
        <f t="shared" si="62"/>
        <v>-689.3</v>
      </c>
      <c r="O214" s="13">
        <f>IFERROR(N214/N446, "NA")</f>
        <v>-0.06850274836</v>
      </c>
      <c r="P214" s="14"/>
      <c r="Q214" s="12">
        <v>12217.12</v>
      </c>
      <c r="R214" s="13">
        <f>IFERROR(Q214/Q446, "NA")</f>
        <v>0.01359662788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-12217.12</v>
      </c>
      <c r="X214" s="13">
        <f>IFERROR(W214/W446, "NA")</f>
        <v>-0.1141516366</v>
      </c>
      <c r="Y214" s="14"/>
      <c r="Z214" s="12">
        <v>19360.58</v>
      </c>
      <c r="AA214" s="13">
        <f>IFERROR(Z214/Z446, "NA")</f>
        <v>0.02639383673</v>
      </c>
      <c r="AB214" s="14"/>
      <c r="AC214" s="15">
        <f t="shared" si="64"/>
        <v>7143.46</v>
      </c>
      <c r="AD214" s="13">
        <f>IFERROR(AC214/AC446, "NA")</f>
        <v>0.04329005273</v>
      </c>
    </row>
    <row r="215" ht="16.5" customHeight="1">
      <c r="A215" s="11" t="s">
        <v>198</v>
      </c>
      <c r="B215" s="12">
        <v>569.89</v>
      </c>
      <c r="C215" s="13">
        <f>IFERROR(B215/B446, "NA")</f>
        <v>0.005761144558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-569.89</v>
      </c>
      <c r="I215" s="13">
        <f>IFERROR(H215/H446, "NA")</f>
        <v>-0.2376105936</v>
      </c>
      <c r="J215" s="14"/>
      <c r="K215" s="12">
        <v>374.23</v>
      </c>
      <c r="L215" s="13">
        <f>IFERROR(K215/K446, "NA")</f>
        <v>0.004211588457</v>
      </c>
      <c r="M215" s="14"/>
      <c r="N215" s="15">
        <f t="shared" si="62"/>
        <v>-195.66</v>
      </c>
      <c r="O215" s="13">
        <f>IFERROR(N215/N446, "NA")</f>
        <v>-0.01944472326</v>
      </c>
      <c r="P215" s="14"/>
      <c r="Q215" s="12">
        <v>6007.5</v>
      </c>
      <c r="R215" s="13">
        <f>IFERROR(Q215/Q446, "NA")</f>
        <v>0.006685842654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-6007.5</v>
      </c>
      <c r="X215" s="13">
        <f>IFERROR(W215/W446, "NA")</f>
        <v>-0.05613155611</v>
      </c>
      <c r="Y215" s="14"/>
      <c r="Z215" s="12">
        <v>567.35</v>
      </c>
      <c r="AA215" s="13">
        <f>IFERROR(Z215/Z446, "NA")</f>
        <v>0.000773455303</v>
      </c>
      <c r="AB215" s="14"/>
      <c r="AC215" s="15">
        <f t="shared" si="64"/>
        <v>-5440.15</v>
      </c>
      <c r="AD215" s="13">
        <f>IFERROR(AC215/AC446, "NA")</f>
        <v>-0.03296783077</v>
      </c>
    </row>
    <row r="216" ht="16.5" customHeight="1">
      <c r="A216" s="11" t="s">
        <v>199</v>
      </c>
      <c r="B216" s="12">
        <v>35.0</v>
      </c>
      <c r="C216" s="13">
        <f>IFERROR(B216/B446, "NA")</f>
        <v>0.000353822772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-35</v>
      </c>
      <c r="I216" s="13">
        <f>IFERROR(H216/H446, "NA")</f>
        <v>-0.01459294035</v>
      </c>
      <c r="J216" s="14"/>
      <c r="K216" s="12">
        <v>0.0</v>
      </c>
      <c r="L216" s="13">
        <f>IFERROR(K216/K446, "NA")</f>
        <v>0</v>
      </c>
      <c r="M216" s="14"/>
      <c r="N216" s="15">
        <f t="shared" si="62"/>
        <v>-35</v>
      </c>
      <c r="O216" s="13">
        <f>IFERROR(N216/N446, "NA")</f>
        <v>-0.003478305807</v>
      </c>
      <c r="P216" s="14"/>
      <c r="Q216" s="12">
        <v>420.0</v>
      </c>
      <c r="R216" s="13">
        <f>IFERROR(Q216/Q446, "NA")</f>
        <v>0.0004674247049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-420</v>
      </c>
      <c r="X216" s="13">
        <f>IFERROR(W216/W446, "NA")</f>
        <v>-0.003924303548</v>
      </c>
      <c r="Y216" s="14"/>
      <c r="Z216" s="12">
        <v>5.73</v>
      </c>
      <c r="AA216" s="13">
        <f>IFERROR(Z216/Z446, "NA")</f>
        <v>0.00000781157819</v>
      </c>
      <c r="AB216" s="14"/>
      <c r="AC216" s="15">
        <f t="shared" si="64"/>
        <v>-414.27</v>
      </c>
      <c r="AD216" s="13">
        <f>IFERROR(AC216/AC446, "NA")</f>
        <v>-0.002510515933</v>
      </c>
    </row>
    <row r="217" ht="16.5" customHeight="1">
      <c r="A217" s="11" t="s">
        <v>200</v>
      </c>
      <c r="B217" s="12">
        <v>1989.23</v>
      </c>
      <c r="C217" s="13">
        <f>IFERROR(B217/B446, "NA")</f>
        <v>0.02010956779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-1989.23</v>
      </c>
      <c r="I217" s="13">
        <f>IFERROR(H217/H446, "NA")</f>
        <v>-0.8293918496</v>
      </c>
      <c r="J217" s="14"/>
      <c r="K217" s="12">
        <v>455.64</v>
      </c>
      <c r="L217" s="13">
        <f>IFERROR(K217/K446, "NA")</f>
        <v>0.005127777476</v>
      </c>
      <c r="M217" s="14"/>
      <c r="N217" s="15">
        <f t="shared" si="62"/>
        <v>-1533.59</v>
      </c>
      <c r="O217" s="13">
        <f>IFERROR(N217/N446, "NA")</f>
        <v>-0.1524084286</v>
      </c>
      <c r="P217" s="14"/>
      <c r="Q217" s="12">
        <v>25277.59</v>
      </c>
      <c r="R217" s="13">
        <f>IFERROR(Q217/Q446, "NA")</f>
        <v>0.02813183344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-25277.59</v>
      </c>
      <c r="X217" s="13">
        <f>IFERROR(W217/W446, "NA")</f>
        <v>-0.2361831813</v>
      </c>
      <c r="Y217" s="14"/>
      <c r="Z217" s="12">
        <v>18560.13</v>
      </c>
      <c r="AA217" s="13">
        <f>IFERROR(Z217/Z446, "NA")</f>
        <v>0.02530260152</v>
      </c>
      <c r="AB217" s="14"/>
      <c r="AC217" s="15">
        <f t="shared" si="64"/>
        <v>-6717.46</v>
      </c>
      <c r="AD217" s="13">
        <f>IFERROR(AC217/AC446, "NA")</f>
        <v>-0.04070845188</v>
      </c>
    </row>
    <row r="218" ht="16.5" customHeight="1">
      <c r="A218" s="16" t="s">
        <v>201</v>
      </c>
      <c r="B218" s="17">
        <f>IFERROR(B213+B214+B215+B216+B217, "NA")</f>
        <v>3906.53</v>
      </c>
      <c r="C218" s="18">
        <f>IFERROR(B218/B446, "NA")</f>
        <v>0.03949197924</v>
      </c>
      <c r="D218" s="8"/>
      <c r="E218" s="17">
        <f>IFERROR(E213+E214+E215+E216+E217, "NA")</f>
        <v>3957.37</v>
      </c>
      <c r="F218" s="18">
        <f>IFERROR(E218/E446, "NA")</f>
        <v>0.04100002528</v>
      </c>
      <c r="G218" s="8"/>
      <c r="H218" s="17">
        <f t="shared" si="61"/>
        <v>50.84</v>
      </c>
      <c r="I218" s="18">
        <f>IFERROR(H218/H446, "NA")</f>
        <v>0.02119728821</v>
      </c>
      <c r="J218" s="8"/>
      <c r="K218" s="17">
        <f>IFERROR(K213+K214+K215+K216+K217, "NA")</f>
        <v>1452.98</v>
      </c>
      <c r="L218" s="18">
        <f>IFERROR(K218/K446, "NA")</f>
        <v>0.0163518526</v>
      </c>
      <c r="M218" s="8"/>
      <c r="N218" s="17">
        <f t="shared" si="62"/>
        <v>-2453.55</v>
      </c>
      <c r="O218" s="18">
        <f>IFERROR(N218/N446, "NA")</f>
        <v>-0.2438342061</v>
      </c>
      <c r="P218" s="8"/>
      <c r="Q218" s="17">
        <f>IFERROR(Q213+Q214+Q215+Q216+Q217, "NA")</f>
        <v>43922.21</v>
      </c>
      <c r="R218" s="18">
        <f>IFERROR(Q218/Q446, "NA")</f>
        <v>0.04888172868</v>
      </c>
      <c r="S218" s="8"/>
      <c r="T218" s="17">
        <f>IFERROR(T213+T214+T215+T216+T217, "NA")</f>
        <v>32452.12</v>
      </c>
      <c r="U218" s="18">
        <f>IFERROR(T218/T446, "NA")</f>
        <v>0.04100000217</v>
      </c>
      <c r="V218" s="8"/>
      <c r="W218" s="17">
        <f t="shared" si="63"/>
        <v>-11470.09</v>
      </c>
      <c r="X218" s="18">
        <f>IFERROR(W218/W446, "NA")</f>
        <v>-0.1071717021</v>
      </c>
      <c r="Y218" s="8"/>
      <c r="Z218" s="17">
        <f>IFERROR(Z213+Z214+Z215+Z216+Z217, "NA")</f>
        <v>38493.79</v>
      </c>
      <c r="AA218" s="18">
        <f>IFERROR(Z218/Z446, "NA")</f>
        <v>0.05247770514</v>
      </c>
      <c r="AB218" s="8"/>
      <c r="AC218" s="17">
        <f t="shared" si="64"/>
        <v>-5428.42</v>
      </c>
      <c r="AD218" s="18">
        <f>IFERROR(AC218/AC446, "NA")</f>
        <v>-0.03289674584</v>
      </c>
    </row>
    <row r="219" ht="16.5" hidden="1" customHeight="1">
      <c r="A219" s="11" t="s">
        <v>202</v>
      </c>
      <c r="B219" s="12">
        <v>0.0</v>
      </c>
      <c r="C219" s="13">
        <f>IFERROR(B219/B446, "NA")</f>
        <v>0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>
        <f>IFERROR(B220/B446, "NA")</f>
        <v>0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>
        <f>IFERROR(B221/B446, "NA")</f>
        <v>0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420.43</v>
      </c>
      <c r="C222" s="13">
        <f>IFERROR(B222/B446, "NA")</f>
        <v>0.004250220229</v>
      </c>
      <c r="D222" s="14"/>
      <c r="E222" s="12">
        <v>100.0</v>
      </c>
      <c r="F222" s="13">
        <f>IFERROR(E222/E446, "NA")</f>
        <v>0.001036042252</v>
      </c>
      <c r="G222" s="14"/>
      <c r="H222" s="15">
        <f t="shared" si="61"/>
        <v>-320.43</v>
      </c>
      <c r="I222" s="13">
        <f>IFERROR(H222/H446, "NA")</f>
        <v>-0.1336004536</v>
      </c>
      <c r="J222" s="14"/>
      <c r="K222" s="12">
        <v>0.0</v>
      </c>
      <c r="L222" s="13">
        <f>IFERROR(K222/K446, "NA")</f>
        <v>0</v>
      </c>
      <c r="M222" s="14"/>
      <c r="N222" s="15">
        <f t="shared" si="62"/>
        <v>-420.43</v>
      </c>
      <c r="O222" s="13">
        <f>IFERROR(N222/N446, "NA")</f>
        <v>-0.04178240315</v>
      </c>
      <c r="P222" s="14"/>
      <c r="Q222" s="12">
        <v>1402.86</v>
      </c>
      <c r="R222" s="13">
        <f>IFERROR(Q222/Q446, "NA")</f>
        <v>0.001561265289</v>
      </c>
      <c r="S222" s="14"/>
      <c r="T222" s="12">
        <v>800.0</v>
      </c>
      <c r="U222" s="13">
        <f>IFERROR(T222/T446, "NA")</f>
        <v>0.001010719846</v>
      </c>
      <c r="V222" s="14"/>
      <c r="W222" s="15">
        <f t="shared" si="63"/>
        <v>-602.86</v>
      </c>
      <c r="X222" s="13">
        <f>IFERROR(W222/W446, "NA")</f>
        <v>-0.005632870565</v>
      </c>
      <c r="Y222" s="14"/>
      <c r="Z222" s="12">
        <v>1255.93</v>
      </c>
      <c r="AA222" s="13">
        <f>IFERROR(Z222/Z446, "NA")</f>
        <v>0.001712180697</v>
      </c>
      <c r="AB222" s="14"/>
      <c r="AC222" s="15">
        <f t="shared" si="64"/>
        <v>-146.93</v>
      </c>
      <c r="AD222" s="13">
        <f>IFERROR(AC222/AC446, "NA")</f>
        <v>-0.0008904098922</v>
      </c>
    </row>
    <row r="223" ht="16.5" hidden="1" customHeight="1">
      <c r="A223" s="11" t="s">
        <v>206</v>
      </c>
      <c r="B223" s="12">
        <v>0.0</v>
      </c>
      <c r="C223" s="13">
        <f>IFERROR(B223/B446, "NA")</f>
        <v>0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>
        <f>IFERROR(B224/B446, "NA")</f>
        <v>0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>
        <f>IFERROR(B225/B446, "NA")</f>
        <v>0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>
        <f>IFERROR(B226/B446, "NA")</f>
        <v>0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4326.96</v>
      </c>
      <c r="C227" s="18">
        <f>IFERROR(B227/B446, "NA")</f>
        <v>0.04374219947</v>
      </c>
      <c r="D227" s="8"/>
      <c r="E227" s="17">
        <f>IFERROR(E211+E213+E214+E215+E216+E217+E219+E220+E221+E222+E223+E224+E225+E226, "NA")</f>
        <v>4057.37</v>
      </c>
      <c r="F227" s="18">
        <f>IFERROR(E227/E446, "NA")</f>
        <v>0.04203606753</v>
      </c>
      <c r="G227" s="8"/>
      <c r="H227" s="17">
        <f t="shared" si="61"/>
        <v>-269.59</v>
      </c>
      <c r="I227" s="18">
        <f>IFERROR(H227/H446, "NA")</f>
        <v>-0.1124031654</v>
      </c>
      <c r="J227" s="8"/>
      <c r="K227" s="17">
        <f>IFERROR(K211+K213+K214+K215+K216+K217+K219+K220+K221+K222+K223+K224+K225+K226, "NA")</f>
        <v>1452.98</v>
      </c>
      <c r="L227" s="18">
        <f>IFERROR(K227/K446, "NA")</f>
        <v>0.0163518526</v>
      </c>
      <c r="M227" s="8"/>
      <c r="N227" s="17">
        <f t="shared" si="62"/>
        <v>-2873.98</v>
      </c>
      <c r="O227" s="18">
        <f>IFERROR(N227/N446, "NA")</f>
        <v>-0.2856166092</v>
      </c>
      <c r="P227" s="8"/>
      <c r="Q227" s="17">
        <f>IFERROR(Q211+Q213+Q214+Q215+Q216+Q217+Q219+Q220+Q221+Q222+Q223+Q224+Q225+Q226, "NA")</f>
        <v>45325.07</v>
      </c>
      <c r="R227" s="18">
        <f>IFERROR(Q227/Q446, "NA")</f>
        <v>0.05044299397</v>
      </c>
      <c r="S227" s="8"/>
      <c r="T227" s="17">
        <f>IFERROR(T211+T213+T214+T215+T216+T217+T219+T220+T221+T222+T223+T224+T225+T226, "NA")</f>
        <v>33252.12</v>
      </c>
      <c r="U227" s="18">
        <f>IFERROR(T227/T446, "NA")</f>
        <v>0.04201072202</v>
      </c>
      <c r="V227" s="8"/>
      <c r="W227" s="17">
        <f t="shared" si="63"/>
        <v>-12072.95</v>
      </c>
      <c r="X227" s="18">
        <f>IFERROR(W227/W446, "NA")</f>
        <v>-0.1128045727</v>
      </c>
      <c r="Y227" s="8"/>
      <c r="Z227" s="17">
        <f>IFERROR(Z211+Z213+Z214+Z215+Z216+Z217+Z219+Z220+Z221+Z222+Z223+Z224+Z225+Z226, "NA")</f>
        <v>39749.72</v>
      </c>
      <c r="AA227" s="18">
        <f>IFERROR(Z227/Z446, "NA")</f>
        <v>0.05418988583</v>
      </c>
      <c r="AB227" s="8"/>
      <c r="AC227" s="17">
        <f t="shared" si="64"/>
        <v>-5575.35</v>
      </c>
      <c r="AD227" s="18">
        <f>IFERROR(AC227/AC446, "NA")</f>
        <v>-0.03378715574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>
        <f>IFERROR(B229/B446, "NA")</f>
        <v>0</v>
      </c>
      <c r="D229" s="14"/>
      <c r="E229" s="12">
        <v>1447.82</v>
      </c>
      <c r="F229" s="13">
        <f>IFERROR(E229/E446, "NA")</f>
        <v>0.01500002694</v>
      </c>
      <c r="G229" s="14"/>
      <c r="H229" s="15">
        <f t="shared" ref="H229:H236" si="65">IFERROR(-(B229-E229), "NA")</f>
        <v>1447.82</v>
      </c>
      <c r="I229" s="13">
        <f>IFERROR(H229/H446, "NA")</f>
        <v>0.60365574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11872.73</v>
      </c>
      <c r="U229" s="13">
        <f>IFERROR(T229/T446, "NA")</f>
        <v>0.0150000048</v>
      </c>
      <c r="V229" s="14"/>
      <c r="W229" s="15">
        <f t="shared" ref="W229:W236" si="67">IFERROR(-(Q229-T229), "NA")</f>
        <v>11872.73</v>
      </c>
      <c r="X229" s="13">
        <f>IFERROR(W229/W446, "NA")</f>
        <v>0.1109338011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hidden="1" customHeight="1">
      <c r="A230" s="11" t="s">
        <v>212</v>
      </c>
      <c r="B230" s="12">
        <v>0.0</v>
      </c>
      <c r="C230" s="13">
        <f>IFERROR(B230/B446, "NA")</f>
        <v>0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0.0</v>
      </c>
      <c r="AA230" s="13">
        <f>IFERROR(Z230/Z446, "NA")</f>
        <v>0</v>
      </c>
      <c r="AB230" s="14"/>
      <c r="AC230" s="15">
        <f t="shared" si="68"/>
        <v>0</v>
      </c>
      <c r="AD230" s="13">
        <f>IFERROR(AC230/AC446, "NA")</f>
        <v>0</v>
      </c>
    </row>
    <row r="231" ht="16.5" customHeight="1">
      <c r="A231" s="11" t="s">
        <v>213</v>
      </c>
      <c r="B231" s="12">
        <v>0.0</v>
      </c>
      <c r="C231" s="13">
        <f>IFERROR(B231/B446, "NA")</f>
        <v>0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133.0</v>
      </c>
      <c r="L231" s="13">
        <f>IFERROR(K231/K446, "NA")</f>
        <v>0.001496783435</v>
      </c>
      <c r="M231" s="14"/>
      <c r="N231" s="15">
        <f t="shared" si="66"/>
        <v>133</v>
      </c>
      <c r="O231" s="13">
        <f>IFERROR(N231/N446, "NA")</f>
        <v>0.01321756207</v>
      </c>
      <c r="P231" s="14"/>
      <c r="Q231" s="12">
        <v>217.0</v>
      </c>
      <c r="R231" s="13">
        <f>IFERROR(Q231/Q446, "NA")</f>
        <v>0.0002415027642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-217</v>
      </c>
      <c r="X231" s="13">
        <f>IFERROR(W231/W446, "NA")</f>
        <v>-0.002027556833</v>
      </c>
      <c r="Y231" s="14"/>
      <c r="Z231" s="12">
        <v>1795.13</v>
      </c>
      <c r="AA231" s="13">
        <f>IFERROR(Z231/Z446, "NA")</f>
        <v>0.002447259748</v>
      </c>
      <c r="AB231" s="14"/>
      <c r="AC231" s="15">
        <f t="shared" si="68"/>
        <v>1578.13</v>
      </c>
      <c r="AD231" s="13">
        <f>IFERROR(AC231/AC446, "NA")</f>
        <v>0.00956361916</v>
      </c>
    </row>
    <row r="232" ht="16.5" hidden="1" customHeight="1">
      <c r="A232" s="11" t="s">
        <v>214</v>
      </c>
      <c r="B232" s="12">
        <v>0.0</v>
      </c>
      <c r="C232" s="13">
        <f>IFERROR(B232/B446, "NA")</f>
        <v>0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hidden="1" customHeight="1">
      <c r="A233" s="11" t="s">
        <v>215</v>
      </c>
      <c r="B233" s="12">
        <v>0.0</v>
      </c>
      <c r="C233" s="13">
        <f>IFERROR(B233/B446, "NA")</f>
        <v>0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0.0</v>
      </c>
      <c r="L233" s="13">
        <f>IFERROR(K233/K446, "NA")</f>
        <v>0</v>
      </c>
      <c r="M233" s="14"/>
      <c r="N233" s="15">
        <f t="shared" si="66"/>
        <v>0</v>
      </c>
      <c r="O233" s="13">
        <f>IFERROR(N233/N446, "NA")</f>
        <v>0</v>
      </c>
      <c r="P233" s="14"/>
      <c r="Q233" s="12">
        <v>0.0</v>
      </c>
      <c r="R233" s="13">
        <f>IFERROR(Q233/Q446, "NA")</f>
        <v>0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0</v>
      </c>
      <c r="X233" s="13">
        <f>IFERROR(W233/W446, "NA")</f>
        <v>0</v>
      </c>
      <c r="Y233" s="14"/>
      <c r="Z233" s="12">
        <v>0.0</v>
      </c>
      <c r="AA233" s="13">
        <f>IFERROR(Z233/Z446, "NA")</f>
        <v>0</v>
      </c>
      <c r="AB233" s="14"/>
      <c r="AC233" s="15">
        <f t="shared" si="68"/>
        <v>0</v>
      </c>
      <c r="AD233" s="13">
        <f>IFERROR(AC233/AC446, "NA")</f>
        <v>0</v>
      </c>
    </row>
    <row r="234" ht="16.5" customHeight="1">
      <c r="A234" s="11" t="s">
        <v>216</v>
      </c>
      <c r="B234" s="12">
        <v>1316.58</v>
      </c>
      <c r="C234" s="13">
        <f>IFERROR(B234/B446, "NA")</f>
        <v>0.01330959958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-1316.58</v>
      </c>
      <c r="I234" s="13">
        <f>IFERROR(H234/H446, "NA")</f>
        <v>-0.5489363831</v>
      </c>
      <c r="J234" s="14"/>
      <c r="K234" s="12">
        <v>981.24</v>
      </c>
      <c r="L234" s="13">
        <f>IFERROR(K234/K446, "NA")</f>
        <v>0.01104288555</v>
      </c>
      <c r="M234" s="14"/>
      <c r="N234" s="15">
        <f t="shared" si="66"/>
        <v>-335.34</v>
      </c>
      <c r="O234" s="13">
        <f>IFERROR(N234/N446, "NA")</f>
        <v>-0.03332614483</v>
      </c>
      <c r="P234" s="14"/>
      <c r="Q234" s="12">
        <v>12802.03</v>
      </c>
      <c r="R234" s="13">
        <f>IFERROR(Q234/Q446, "NA")</f>
        <v>0.01424758356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-12802.03</v>
      </c>
      <c r="X234" s="13">
        <f>IFERROR(W234/W446, "NA")</f>
        <v>-0.1196167899</v>
      </c>
      <c r="Y234" s="14"/>
      <c r="Z234" s="12">
        <v>7983.77</v>
      </c>
      <c r="AA234" s="13">
        <f>IFERROR(Z234/Z446, "NA")</f>
        <v>0.01088409138</v>
      </c>
      <c r="AB234" s="14"/>
      <c r="AC234" s="15">
        <f t="shared" si="68"/>
        <v>-4818.26</v>
      </c>
      <c r="AD234" s="13">
        <f>IFERROR(AC234/AC446, "NA")</f>
        <v>-0.02919911772</v>
      </c>
    </row>
    <row r="235" ht="16.5" customHeight="1">
      <c r="A235" s="11" t="s">
        <v>217</v>
      </c>
      <c r="B235" s="12">
        <v>83.59</v>
      </c>
      <c r="C235" s="13">
        <f>IFERROR(B235/B446, "NA")</f>
        <v>0.0008450298717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-83.59</v>
      </c>
      <c r="I235" s="13">
        <f>IFERROR(H235/H446, "NA")</f>
        <v>-0.03485211097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-83.59</v>
      </c>
      <c r="O235" s="13">
        <f>IFERROR(N235/N446, "NA")</f>
        <v>-0.008307188068</v>
      </c>
      <c r="P235" s="14"/>
      <c r="Q235" s="12">
        <v>328.61</v>
      </c>
      <c r="R235" s="13">
        <f>IFERROR(Q235/Q446, "NA")</f>
        <v>0.0003657153149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-328.61</v>
      </c>
      <c r="X235" s="13">
        <f>IFERROR(W235/W446, "NA")</f>
        <v>-0.003070393783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-328.61</v>
      </c>
      <c r="AD235" s="13">
        <f>IFERROR(AC235/AC446, "NA")</f>
        <v>-0.001991408117</v>
      </c>
    </row>
    <row r="236" ht="16.5" customHeight="1">
      <c r="A236" s="16" t="s">
        <v>218</v>
      </c>
      <c r="B236" s="17">
        <f>IFERROR(B229+B230+B231+B232+B233+B234+B235, "NA")</f>
        <v>1400.17</v>
      </c>
      <c r="C236" s="18">
        <f>IFERROR(B236/B446, "NA")</f>
        <v>0.01415462945</v>
      </c>
      <c r="D236" s="8"/>
      <c r="E236" s="17">
        <f>IFERROR(E229+E230+E231+E232+E233+E234+E235, "NA")</f>
        <v>1447.82</v>
      </c>
      <c r="F236" s="18">
        <f>IFERROR(E236/E446, "NA")</f>
        <v>0.01500002694</v>
      </c>
      <c r="G236" s="8"/>
      <c r="H236" s="17">
        <f t="shared" si="65"/>
        <v>47.65</v>
      </c>
      <c r="I236" s="18">
        <f>IFERROR(H236/H446, "NA")</f>
        <v>0.01986724594</v>
      </c>
      <c r="J236" s="8"/>
      <c r="K236" s="17">
        <f>IFERROR(K229+K230+K231+K232+K233+K234+K235, "NA")</f>
        <v>1114.24</v>
      </c>
      <c r="L236" s="18">
        <f>IFERROR(K236/K446, "NA")</f>
        <v>0.01253966898</v>
      </c>
      <c r="M236" s="8"/>
      <c r="N236" s="17">
        <f t="shared" si="66"/>
        <v>-285.93</v>
      </c>
      <c r="O236" s="18">
        <f>IFERROR(N236/N446, "NA")</f>
        <v>-0.02841577084</v>
      </c>
      <c r="P236" s="8"/>
      <c r="Q236" s="17">
        <f>IFERROR(Q229+Q230+Q231+Q232+Q233+Q234+Q235, "NA")</f>
        <v>13347.64</v>
      </c>
      <c r="R236" s="18">
        <f>IFERROR(Q236/Q446, "NA")</f>
        <v>0.01485480164</v>
      </c>
      <c r="S236" s="8"/>
      <c r="T236" s="17">
        <f>IFERROR(T229+T230+T231+T232+T233+T234+T235, "NA")</f>
        <v>11872.73</v>
      </c>
      <c r="U236" s="18">
        <f>IFERROR(T236/T446, "NA")</f>
        <v>0.0150000048</v>
      </c>
      <c r="V236" s="8"/>
      <c r="W236" s="17">
        <f t="shared" si="67"/>
        <v>-1474.91</v>
      </c>
      <c r="X236" s="18">
        <f>IFERROR(W236/W446, "NA")</f>
        <v>-0.0137809394</v>
      </c>
      <c r="Y236" s="8"/>
      <c r="Z236" s="17">
        <f>IFERROR(Z229+Z230+Z231+Z232+Z233+Z234+Z235, "NA")</f>
        <v>9778.9</v>
      </c>
      <c r="AA236" s="18">
        <f>IFERROR(Z236/Z446, "NA")</f>
        <v>0.01333135113</v>
      </c>
      <c r="AB236" s="8"/>
      <c r="AC236" s="17">
        <f t="shared" si="68"/>
        <v>-3568.74</v>
      </c>
      <c r="AD236" s="18">
        <f>IFERROR(AC236/AC446, "NA")</f>
        <v>-0.02162690668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>
        <f>IFERROR(B238/B446, "NA")</f>
        <v>0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>
        <f>IFERROR(B240/B446, "NA")</f>
        <v>0</v>
      </c>
      <c r="D240" s="14"/>
      <c r="E240" s="12">
        <v>6273.87</v>
      </c>
      <c r="F240" s="13">
        <f>IFERROR(E240/E446, "NA")</f>
        <v>0.06499994405</v>
      </c>
      <c r="G240" s="14"/>
      <c r="H240" s="15">
        <f t="shared" ref="H240:H264" si="69">IFERROR(-(B240-E240), "NA")</f>
        <v>6273.87</v>
      </c>
      <c r="I240" s="13">
        <f>IFERROR(H240/H446, "NA")</f>
        <v>2.615834591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51448.47</v>
      </c>
      <c r="U240" s="13">
        <f>IFERROR(T240/T446, "NA")</f>
        <v>0.06499998711</v>
      </c>
      <c r="V240" s="14"/>
      <c r="W240" s="15">
        <f t="shared" ref="W240:W264" si="71">IFERROR(-(Q240-T240), "NA")</f>
        <v>51448.47</v>
      </c>
      <c r="X240" s="13">
        <f>IFERROR(W240/W446, "NA")</f>
        <v>0.480712889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customHeight="1">
      <c r="A241" s="11" t="s">
        <v>221</v>
      </c>
      <c r="B241" s="12">
        <v>133.89</v>
      </c>
      <c r="C241" s="13">
        <f>IFERROR(B241/B446, "NA")</f>
        <v>0.001353523741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-133.89</v>
      </c>
      <c r="I241" s="13">
        <f>IFERROR(H241/H446, "NA")</f>
        <v>-0.05582425097</v>
      </c>
      <c r="J241" s="14"/>
      <c r="K241" s="12">
        <v>0.0</v>
      </c>
      <c r="L241" s="13">
        <f>IFERROR(K241/K446, "NA")</f>
        <v>0</v>
      </c>
      <c r="M241" s="14"/>
      <c r="N241" s="15">
        <f t="shared" si="70"/>
        <v>-133.89</v>
      </c>
      <c r="O241" s="13">
        <f>IFERROR(N241/N446, "NA")</f>
        <v>-0.01330601041</v>
      </c>
      <c r="P241" s="14"/>
      <c r="Q241" s="12">
        <v>133.89</v>
      </c>
      <c r="R241" s="13">
        <f>IFERROR(Q241/Q446, "NA")</f>
        <v>0.0001490083184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-133.89</v>
      </c>
      <c r="X241" s="13">
        <f>IFERROR(W241/W446, "NA")</f>
        <v>-0.00125101191</v>
      </c>
      <c r="Y241" s="14"/>
      <c r="Z241" s="12">
        <v>0.0</v>
      </c>
      <c r="AA241" s="13">
        <f>IFERROR(Z241/Z446, "NA")</f>
        <v>0</v>
      </c>
      <c r="AB241" s="14"/>
      <c r="AC241" s="15">
        <f t="shared" si="72"/>
        <v>-133.89</v>
      </c>
      <c r="AD241" s="13">
        <f>IFERROR(AC241/AC446, "NA")</f>
        <v>-0.0008113862415</v>
      </c>
    </row>
    <row r="242" ht="16.5" customHeight="1">
      <c r="A242" s="11" t="s">
        <v>222</v>
      </c>
      <c r="B242" s="12">
        <v>1414.76</v>
      </c>
      <c r="C242" s="13">
        <f>IFERROR(B242/B446, "NA")</f>
        <v>0.014302123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-1414.76</v>
      </c>
      <c r="I242" s="13">
        <f>IFERROR(H242/H446, "NA")</f>
        <v>-0.5898716655</v>
      </c>
      <c r="J242" s="14"/>
      <c r="K242" s="12">
        <v>1233.99</v>
      </c>
      <c r="L242" s="13">
        <f>IFERROR(K242/K446, "NA")</f>
        <v>0.01388733677</v>
      </c>
      <c r="M242" s="14"/>
      <c r="N242" s="15">
        <f t="shared" si="70"/>
        <v>-180.77</v>
      </c>
      <c r="O242" s="13">
        <f>IFERROR(N242/N446, "NA")</f>
        <v>-0.01796495259</v>
      </c>
      <c r="P242" s="14"/>
      <c r="Q242" s="12">
        <v>15187.18</v>
      </c>
      <c r="R242" s="13">
        <f>IFERROR(Q242/Q446, "NA")</f>
        <v>0.01690205507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-15187.18</v>
      </c>
      <c r="X242" s="13">
        <f>IFERROR(W242/W446, "NA")</f>
        <v>-0.1419026294</v>
      </c>
      <c r="Y242" s="14"/>
      <c r="Z242" s="12">
        <v>11366.16</v>
      </c>
      <c r="AA242" s="13">
        <f>IFERROR(Z242/Z446, "NA")</f>
        <v>0.01549522645</v>
      </c>
      <c r="AB242" s="14"/>
      <c r="AC242" s="15">
        <f t="shared" si="72"/>
        <v>-3821.02</v>
      </c>
      <c r="AD242" s="13">
        <f>IFERROR(AC242/AC446, "NA")</f>
        <v>-0.02315574768</v>
      </c>
    </row>
    <row r="243" ht="16.5" customHeight="1">
      <c r="A243" s="11" t="s">
        <v>223</v>
      </c>
      <c r="B243" s="12">
        <v>2020.01</v>
      </c>
      <c r="C243" s="13">
        <f>IFERROR(B243/B446, "NA")</f>
        <v>0.02042072965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-2020.01</v>
      </c>
      <c r="I243" s="13">
        <f>IFERROR(H243/H446, "NA")</f>
        <v>-0.8422252983</v>
      </c>
      <c r="J243" s="14"/>
      <c r="K243" s="12">
        <v>1718.71</v>
      </c>
      <c r="L243" s="13">
        <f>IFERROR(K243/K446, "NA")</f>
        <v>0.01934238088</v>
      </c>
      <c r="M243" s="14"/>
      <c r="N243" s="15">
        <f t="shared" si="70"/>
        <v>-301.3</v>
      </c>
      <c r="O243" s="13">
        <f>IFERROR(N243/N446, "NA")</f>
        <v>-0.02994324399</v>
      </c>
      <c r="P243" s="14"/>
      <c r="Q243" s="12">
        <v>17652.03</v>
      </c>
      <c r="R243" s="13">
        <f>IFERROR(Q243/Q446, "NA")</f>
        <v>0.01964522598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-17652.03</v>
      </c>
      <c r="X243" s="13">
        <f>IFERROR(W243/W446, "NA")</f>
        <v>-0.1649331523</v>
      </c>
      <c r="Y243" s="14"/>
      <c r="Z243" s="12">
        <v>10287.11</v>
      </c>
      <c r="AA243" s="13">
        <f>IFERROR(Z243/Z446, "NA")</f>
        <v>0.01402418222</v>
      </c>
      <c r="AB243" s="14"/>
      <c r="AC243" s="15">
        <f t="shared" si="72"/>
        <v>-7364.92</v>
      </c>
      <c r="AD243" s="13">
        <f>IFERROR(AC243/AC446, "NA")</f>
        <v>-0.04463212157</v>
      </c>
    </row>
    <row r="244" ht="16.5" customHeight="1">
      <c r="A244" s="11" t="s">
        <v>224</v>
      </c>
      <c r="B244" s="12">
        <v>2409.91</v>
      </c>
      <c r="C244" s="13">
        <f>IFERROR(B244/B446, "NA")</f>
        <v>0.02436231533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-2409.91</v>
      </c>
      <c r="I244" s="13">
        <f>IFERROR(H244/H446, "NA")</f>
        <v>-1.004790654</v>
      </c>
      <c r="J244" s="14"/>
      <c r="K244" s="12">
        <v>763.44</v>
      </c>
      <c r="L244" s="13">
        <f>IFERROR(K244/K446, "NA")</f>
        <v>0.008591761997</v>
      </c>
      <c r="M244" s="14"/>
      <c r="N244" s="15">
        <f t="shared" si="70"/>
        <v>-1646.47</v>
      </c>
      <c r="O244" s="13">
        <f>IFERROR(N244/N446, "NA")</f>
        <v>-0.1636264618</v>
      </c>
      <c r="P244" s="14"/>
      <c r="Q244" s="12">
        <v>11010.35</v>
      </c>
      <c r="R244" s="13">
        <f>IFERROR(Q244/Q446, "NA")</f>
        <v>0.01225359428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-11010.35</v>
      </c>
      <c r="X244" s="13">
        <f>IFERROR(W244/W446, "NA")</f>
        <v>-0.1028760847</v>
      </c>
      <c r="Y244" s="14"/>
      <c r="Z244" s="12">
        <v>4715.34</v>
      </c>
      <c r="AA244" s="13">
        <f>IFERROR(Z244/Z446, "NA")</f>
        <v>0.006428315376</v>
      </c>
      <c r="AB244" s="14"/>
      <c r="AC244" s="15">
        <f t="shared" si="72"/>
        <v>-6295.01</v>
      </c>
      <c r="AD244" s="13">
        <f>IFERROR(AC244/AC446, "NA")</f>
        <v>-0.03814836436</v>
      </c>
    </row>
    <row r="245" ht="16.5" hidden="1" customHeight="1">
      <c r="A245" s="11" t="s">
        <v>225</v>
      </c>
      <c r="B245" s="12">
        <v>0.0</v>
      </c>
      <c r="C245" s="13">
        <f>IFERROR(B245/B446, "NA")</f>
        <v>0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135.65</v>
      </c>
      <c r="C246" s="13">
        <f>IFERROR(B246/B446, "NA")</f>
        <v>0.001371315972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-135.65</v>
      </c>
      <c r="I246" s="13">
        <f>IFERROR(H246/H446, "NA")</f>
        <v>-0.05655806739</v>
      </c>
      <c r="J246" s="14"/>
      <c r="K246" s="12">
        <v>327.11</v>
      </c>
      <c r="L246" s="13">
        <f>IFERROR(K246/K446, "NA")</f>
        <v>0.003681299469</v>
      </c>
      <c r="M246" s="14"/>
      <c r="N246" s="15">
        <f t="shared" si="70"/>
        <v>191.46</v>
      </c>
      <c r="O246" s="13">
        <f>IFERROR(N246/N446, "NA")</f>
        <v>0.01902732656</v>
      </c>
      <c r="P246" s="14"/>
      <c r="Q246" s="12">
        <v>1374.01</v>
      </c>
      <c r="R246" s="13">
        <f>IFERROR(Q246/Q446, "NA")</f>
        <v>0.001529157664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-1374.01</v>
      </c>
      <c r="X246" s="13">
        <f>IFERROR(W246/W446, "NA")</f>
        <v>-0.01283817219</v>
      </c>
      <c r="Y246" s="14"/>
      <c r="Z246" s="12">
        <v>3219.3</v>
      </c>
      <c r="AA246" s="13">
        <f>IFERROR(Z246/Z446, "NA")</f>
        <v>0.004388798197</v>
      </c>
      <c r="AB246" s="14"/>
      <c r="AC246" s="15">
        <f t="shared" si="72"/>
        <v>1845.29</v>
      </c>
      <c r="AD246" s="13">
        <f>IFERROR(AC246/AC446, "NA")</f>
        <v>0.01118263438</v>
      </c>
    </row>
    <row r="247" ht="16.5" hidden="1" customHeight="1">
      <c r="A247" s="11" t="s">
        <v>227</v>
      </c>
      <c r="B247" s="12">
        <v>0.0</v>
      </c>
      <c r="C247" s="13">
        <f>IFERROR(B247/B446, "NA")</f>
        <v>0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241.38</v>
      </c>
      <c r="C248" s="13">
        <f>IFERROR(B248/B446, "NA")</f>
        <v>0.00244016402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-241.38</v>
      </c>
      <c r="I248" s="13">
        <f>IFERROR(H248/H446, "NA")</f>
        <v>-0.1006412555</v>
      </c>
      <c r="J248" s="14"/>
      <c r="K248" s="12">
        <v>270.29</v>
      </c>
      <c r="L248" s="13">
        <f>IFERROR(K248/K446, "NA")</f>
        <v>0.003041846576</v>
      </c>
      <c r="M248" s="14"/>
      <c r="N248" s="15">
        <f t="shared" si="70"/>
        <v>28.91</v>
      </c>
      <c r="O248" s="13">
        <f>IFERROR(N248/N446, "NA")</f>
        <v>0.002873080596</v>
      </c>
      <c r="P248" s="14"/>
      <c r="Q248" s="12">
        <v>2006.57</v>
      </c>
      <c r="R248" s="13">
        <f>IFERROR(Q248/Q446, "NA")</f>
        <v>0.002233143786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-2006.57</v>
      </c>
      <c r="X248" s="13">
        <f>IFERROR(W248/W446, "NA")</f>
        <v>-0.01874854707</v>
      </c>
      <c r="Y248" s="14"/>
      <c r="Z248" s="12">
        <v>2128.24</v>
      </c>
      <c r="AA248" s="13">
        <f>IFERROR(Z248/Z446, "NA")</f>
        <v>0.002901381007</v>
      </c>
      <c r="AB248" s="14"/>
      <c r="AC248" s="15">
        <f t="shared" si="72"/>
        <v>121.67</v>
      </c>
      <c r="AD248" s="13">
        <f>IFERROR(AC248/AC446, "NA")</f>
        <v>0.0007373318695</v>
      </c>
    </row>
    <row r="249" ht="16.5" customHeight="1">
      <c r="A249" s="11" t="s">
        <v>229</v>
      </c>
      <c r="B249" s="12">
        <v>2212.97</v>
      </c>
      <c r="C249" s="13">
        <f>IFERROR(B249/B446, "NA")</f>
        <v>0.02237140514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-2212.97</v>
      </c>
      <c r="I249" s="13">
        <f>IFERROR(H249/H446, "NA")</f>
        <v>-0.9226782632</v>
      </c>
      <c r="J249" s="14"/>
      <c r="K249" s="12">
        <v>982.84</v>
      </c>
      <c r="L249" s="13">
        <f>IFERROR(K249/K446, "NA")</f>
        <v>0.01106089196</v>
      </c>
      <c r="M249" s="14"/>
      <c r="N249" s="15">
        <f t="shared" si="70"/>
        <v>-1230.13</v>
      </c>
      <c r="O249" s="13">
        <f>IFERROR(N249/N446, "NA")</f>
        <v>-0.1222505235</v>
      </c>
      <c r="P249" s="14"/>
      <c r="Q249" s="12">
        <v>21595.92</v>
      </c>
      <c r="R249" s="13">
        <f>IFERROR(Q249/Q446, "NA")</f>
        <v>0.02403444413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-21595.92</v>
      </c>
      <c r="X249" s="13">
        <f>IFERROR(W249/W446, "NA")</f>
        <v>-0.2017832035</v>
      </c>
      <c r="Y249" s="14"/>
      <c r="Z249" s="12">
        <v>13763.47</v>
      </c>
      <c r="AA249" s="13">
        <f>IFERROR(Z249/Z446, "NA")</f>
        <v>0.01876342445</v>
      </c>
      <c r="AB249" s="14"/>
      <c r="AC249" s="15">
        <f t="shared" si="72"/>
        <v>-7832.45</v>
      </c>
      <c r="AD249" s="13">
        <f>IFERROR(AC249/AC446, "NA")</f>
        <v>-0.04746539822</v>
      </c>
    </row>
    <row r="250" ht="16.5" hidden="1" customHeight="1">
      <c r="A250" s="11" t="s">
        <v>230</v>
      </c>
      <c r="B250" s="12">
        <v>0.0</v>
      </c>
      <c r="C250" s="13">
        <f>IFERROR(B250/B446, "NA")</f>
        <v>0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customHeight="1">
      <c r="A251" s="11" t="s">
        <v>231</v>
      </c>
      <c r="B251" s="12">
        <v>102.4</v>
      </c>
      <c r="C251" s="13">
        <f>IFERROR(B251/B446, "NA")</f>
        <v>0.001035184339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-102.4</v>
      </c>
      <c r="I251" s="13">
        <f>IFERROR(H251/H446, "NA")</f>
        <v>-0.04269477406</v>
      </c>
      <c r="J251" s="14"/>
      <c r="K251" s="12">
        <v>85.24</v>
      </c>
      <c r="L251" s="13">
        <f>IFERROR(K251/K446, "NA")</f>
        <v>0.0009592918796</v>
      </c>
      <c r="M251" s="14"/>
      <c r="N251" s="15">
        <f t="shared" si="70"/>
        <v>-17.16</v>
      </c>
      <c r="O251" s="13">
        <f>IFERROR(N251/N446, "NA")</f>
        <v>-0.001705363647</v>
      </c>
      <c r="P251" s="14"/>
      <c r="Q251" s="12">
        <v>299.89</v>
      </c>
      <c r="R251" s="13">
        <f>IFERROR(Q251/Q446, "NA")</f>
        <v>0.0003337523685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-299.89</v>
      </c>
      <c r="X251" s="13">
        <f>IFERROR(W251/W446, "NA")</f>
        <v>-0.002802046169</v>
      </c>
      <c r="Y251" s="14"/>
      <c r="Z251" s="12">
        <v>433.71</v>
      </c>
      <c r="AA251" s="13">
        <f>IFERROR(Z251/Z446, "NA")</f>
        <v>0.0005912669419</v>
      </c>
      <c r="AB251" s="14"/>
      <c r="AC251" s="15">
        <f t="shared" si="72"/>
        <v>133.82</v>
      </c>
      <c r="AD251" s="13">
        <f>IFERROR(AC251/AC446, "NA")</f>
        <v>0.0008109620348</v>
      </c>
    </row>
    <row r="252" ht="16.5" hidden="1" customHeight="1">
      <c r="A252" s="11" t="s">
        <v>232</v>
      </c>
      <c r="B252" s="12">
        <v>0.0</v>
      </c>
      <c r="C252" s="13">
        <f>IFERROR(B252/B446, "NA")</f>
        <v>0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customHeight="1">
      <c r="A253" s="11" t="s">
        <v>233</v>
      </c>
      <c r="B253" s="12">
        <v>236.19</v>
      </c>
      <c r="C253" s="13">
        <f>IFERROR(B253/B446, "NA")</f>
        <v>0.002387697158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-236.19</v>
      </c>
      <c r="I253" s="13">
        <f>IFERROR(H253/H446, "NA")</f>
        <v>-0.09847733091</v>
      </c>
      <c r="J253" s="14"/>
      <c r="K253" s="12">
        <v>0.0</v>
      </c>
      <c r="L253" s="13">
        <f>IFERROR(K253/K446, "NA")</f>
        <v>0</v>
      </c>
      <c r="M253" s="14"/>
      <c r="N253" s="15">
        <f t="shared" si="70"/>
        <v>-236.19</v>
      </c>
      <c r="O253" s="13">
        <f>IFERROR(N253/N446, "NA")</f>
        <v>-0.02347260139</v>
      </c>
      <c r="P253" s="14"/>
      <c r="Q253" s="12">
        <v>378.23</v>
      </c>
      <c r="R253" s="13">
        <f>IFERROR(Q253/Q446, "NA")</f>
        <v>0.0004209382051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-378.23</v>
      </c>
      <c r="X253" s="13">
        <f>IFERROR(W253/W446, "NA")</f>
        <v>-0.003534022217</v>
      </c>
      <c r="Y253" s="14"/>
      <c r="Z253" s="12">
        <v>0.0</v>
      </c>
      <c r="AA253" s="13">
        <f>IFERROR(Z253/Z446, "NA")</f>
        <v>0</v>
      </c>
      <c r="AB253" s="14"/>
      <c r="AC253" s="15">
        <f t="shared" si="72"/>
        <v>-378.23</v>
      </c>
      <c r="AD253" s="13">
        <f>IFERROR(AC253/AC446, "NA")</f>
        <v>-0.002292110076</v>
      </c>
    </row>
    <row r="254" ht="16.5" hidden="1" customHeight="1">
      <c r="A254" s="11" t="s">
        <v>234</v>
      </c>
      <c r="B254" s="12">
        <v>0.0</v>
      </c>
      <c r="C254" s="13">
        <f>IFERROR(B254/B446, "NA")</f>
        <v>0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0</v>
      </c>
      <c r="I254" s="13">
        <f>IFERROR(H254/H446, "NA")</f>
        <v>0</v>
      </c>
      <c r="J254" s="14"/>
      <c r="K254" s="12">
        <v>0.0</v>
      </c>
      <c r="L254" s="13">
        <f>IFERROR(K254/K446, "NA")</f>
        <v>0</v>
      </c>
      <c r="M254" s="14"/>
      <c r="N254" s="15">
        <f t="shared" si="70"/>
        <v>0</v>
      </c>
      <c r="O254" s="13">
        <f>IFERROR(N254/N446, "NA")</f>
        <v>0</v>
      </c>
      <c r="P254" s="14"/>
      <c r="Q254" s="12">
        <v>0.0</v>
      </c>
      <c r="R254" s="13">
        <f>IFERROR(Q254/Q446, "NA")</f>
        <v>0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0</v>
      </c>
      <c r="X254" s="13">
        <f>IFERROR(W254/W446, "NA")</f>
        <v>0</v>
      </c>
      <c r="Y254" s="14"/>
      <c r="Z254" s="12">
        <v>0.0</v>
      </c>
      <c r="AA254" s="13">
        <f>IFERROR(Z254/Z446, "NA")</f>
        <v>0</v>
      </c>
      <c r="AB254" s="14"/>
      <c r="AC254" s="15">
        <f t="shared" si="72"/>
        <v>0</v>
      </c>
      <c r="AD254" s="13">
        <f>IFERROR(AC254/AC446, "NA")</f>
        <v>0</v>
      </c>
    </row>
    <row r="255" ht="16.5" hidden="1" customHeight="1">
      <c r="A255" s="11" t="s">
        <v>235</v>
      </c>
      <c r="B255" s="12">
        <v>0.0</v>
      </c>
      <c r="C255" s="13">
        <f>IFERROR(B255/B446, "NA")</f>
        <v>0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>
        <f>IFERROR(B256/B446, "NA")</f>
        <v>0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hidden="1" customHeight="1">
      <c r="A257" s="11" t="s">
        <v>237</v>
      </c>
      <c r="B257" s="12">
        <v>0.0</v>
      </c>
      <c r="C257" s="13">
        <f>IFERROR(B257/B446, "NA")</f>
        <v>0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0.0</v>
      </c>
      <c r="AA257" s="13">
        <f>IFERROR(Z257/Z446, "NA")</f>
        <v>0</v>
      </c>
      <c r="AB257" s="14"/>
      <c r="AC257" s="15">
        <f t="shared" si="72"/>
        <v>0</v>
      </c>
      <c r="AD257" s="13">
        <f>IFERROR(AC257/AC446, "NA")</f>
        <v>0</v>
      </c>
    </row>
    <row r="258" ht="16.5" customHeight="1">
      <c r="A258" s="11" t="s">
        <v>238</v>
      </c>
      <c r="B258" s="12">
        <v>511.83</v>
      </c>
      <c r="C258" s="13">
        <f>IFERROR(B258/B446, "NA")</f>
        <v>0.005174203125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-511.83</v>
      </c>
      <c r="I258" s="13">
        <f>IFERROR(H258/H446, "NA")</f>
        <v>-0.2134029903</v>
      </c>
      <c r="J258" s="14"/>
      <c r="K258" s="12">
        <v>1389.1</v>
      </c>
      <c r="L258" s="13">
        <f>IFERROR(K258/K446, "NA")</f>
        <v>0.01563294639</v>
      </c>
      <c r="M258" s="14"/>
      <c r="N258" s="15">
        <f t="shared" si="70"/>
        <v>877.27</v>
      </c>
      <c r="O258" s="13">
        <f>IFERROR(N258/N446, "NA")</f>
        <v>0.08718323814</v>
      </c>
      <c r="P258" s="14"/>
      <c r="Q258" s="12">
        <v>8445.12</v>
      </c>
      <c r="R258" s="13">
        <f>IFERROR(Q258/Q446, "NA")</f>
        <v>0.009398708866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-8445.12</v>
      </c>
      <c r="X258" s="13">
        <f>IFERROR(W258/W446, "NA")</f>
        <v>-0.07890765329</v>
      </c>
      <c r="Y258" s="14"/>
      <c r="Z258" s="12">
        <v>3558.53</v>
      </c>
      <c r="AA258" s="13">
        <f>IFERROR(Z258/Z446, "NA")</f>
        <v>0.004851262712</v>
      </c>
      <c r="AB258" s="14"/>
      <c r="AC258" s="15">
        <f t="shared" si="72"/>
        <v>-4886.59</v>
      </c>
      <c r="AD258" s="13">
        <f>IFERROR(AC258/AC446, "NA")</f>
        <v>-0.02961320408</v>
      </c>
    </row>
    <row r="259" ht="16.5" hidden="1" customHeight="1">
      <c r="A259" s="11" t="s">
        <v>239</v>
      </c>
      <c r="B259" s="12">
        <v>0.0</v>
      </c>
      <c r="C259" s="13">
        <f>IFERROR(B259/B446, "NA")</f>
        <v>0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customHeight="1">
      <c r="A260" s="11" t="s">
        <v>240</v>
      </c>
      <c r="B260" s="12">
        <v>296.4</v>
      </c>
      <c r="C260" s="13">
        <f>IFERROR(B260/B446, "NA")</f>
        <v>0.002996373418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-296.4</v>
      </c>
      <c r="I260" s="13">
        <f>IFERROR(H260/H446, "NA")</f>
        <v>-0.1235813577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-296.4</v>
      </c>
      <c r="O260" s="13">
        <f>IFERROR(N260/N446, "NA")</f>
        <v>-0.02945628117</v>
      </c>
      <c r="P260" s="14"/>
      <c r="Q260" s="12">
        <v>903.4</v>
      </c>
      <c r="R260" s="13">
        <f>IFERROR(Q260/Q446, "NA")</f>
        <v>0.001005408282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-903.4</v>
      </c>
      <c r="X260" s="13">
        <f>IFERROR(W260/W446, "NA")</f>
        <v>-0.008440990061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-903.4</v>
      </c>
      <c r="AD260" s="13">
        <f>IFERROR(AC260/AC446, "NA")</f>
        <v>-0.005474690646</v>
      </c>
    </row>
    <row r="261" ht="16.5" hidden="1" customHeight="1">
      <c r="A261" s="11" t="s">
        <v>241</v>
      </c>
      <c r="B261" s="12">
        <v>0.0</v>
      </c>
      <c r="C261" s="13">
        <f>IFERROR(B261/B446, "NA")</f>
        <v>0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0.0</v>
      </c>
      <c r="R261" s="13">
        <f>IFERROR(Q261/Q446, "NA")</f>
        <v>0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0</v>
      </c>
      <c r="X261" s="13">
        <f>IFERROR(W261/W446, "NA")</f>
        <v>0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0</v>
      </c>
      <c r="AD261" s="13">
        <f>IFERROR(AC261/AC446, "NA")</f>
        <v>0</v>
      </c>
    </row>
    <row r="262" ht="16.5" hidden="1" customHeight="1">
      <c r="A262" s="11" t="s">
        <v>242</v>
      </c>
      <c r="B262" s="12">
        <v>0.0</v>
      </c>
      <c r="C262" s="13">
        <f>IFERROR(B262/B446, "NA")</f>
        <v>0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0</v>
      </c>
      <c r="I262" s="13">
        <f>IFERROR(H262/H446, "NA")</f>
        <v>0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0</v>
      </c>
      <c r="O262" s="13">
        <f>IFERROR(N262/N446, "NA")</f>
        <v>0</v>
      </c>
      <c r="P262" s="14"/>
      <c r="Q262" s="12">
        <v>0.0</v>
      </c>
      <c r="R262" s="13">
        <f>IFERROR(Q262/Q446, "NA")</f>
        <v>0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0</v>
      </c>
      <c r="X262" s="13">
        <f>IFERROR(W262/W446, "NA")</f>
        <v>0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0</v>
      </c>
      <c r="AD262" s="13">
        <f>IFERROR(AC262/AC446, "NA")</f>
        <v>0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9715.39</v>
      </c>
      <c r="C263" s="18">
        <f>IFERROR(B263/B446, "NA")</f>
        <v>0.09821503488</v>
      </c>
      <c r="D263" s="8"/>
      <c r="E263" s="17">
        <f>IFERROR(E240+E241+E242+E243+E244+E245+E246+E247+E248+E249+E250+E251+E252+E253+E254+E255+E256+E257+E258+E259+E260+E261+E262, "NA")</f>
        <v>6273.87</v>
      </c>
      <c r="F263" s="18">
        <f>IFERROR(E263/E446, "NA")</f>
        <v>0.06499994405</v>
      </c>
      <c r="G263" s="8"/>
      <c r="H263" s="17">
        <f t="shared" si="69"/>
        <v>-3441.52</v>
      </c>
      <c r="I263" s="18">
        <f>IFERROR(H263/H446, "NA")</f>
        <v>-1.434911317</v>
      </c>
      <c r="J263" s="8"/>
      <c r="K263" s="17">
        <f>IFERROR(K240+K241+K242+K243+K244+K245+K246+K247+K248+K249+K250+K251+K252+K253+K254+K255+K256+K257+K258+K259+K260+K261+K262, "NA")</f>
        <v>6770.72</v>
      </c>
      <c r="L263" s="18">
        <f>IFERROR(K263/K446, "NA")</f>
        <v>0.07619775593</v>
      </c>
      <c r="M263" s="8"/>
      <c r="N263" s="17">
        <f t="shared" si="70"/>
        <v>-2944.67</v>
      </c>
      <c r="O263" s="18">
        <f>IFERROR(N263/N446, "NA")</f>
        <v>-0.2926417931</v>
      </c>
      <c r="P263" s="8"/>
      <c r="Q263" s="17">
        <f>IFERROR(Q240+Q241+Q242+Q243+Q244+Q245+Q246+Q247+Q248+Q249+Q250+Q251+Q252+Q253+Q254+Q255+Q256+Q257+Q258+Q259+Q260+Q261+Q262, "NA")</f>
        <v>78986.59</v>
      </c>
      <c r="R263" s="18">
        <f>IFERROR(Q263/Q446, "NA")</f>
        <v>0.08790543696</v>
      </c>
      <c r="S263" s="8"/>
      <c r="T263" s="17">
        <f>IFERROR(T240+T241+T242+T243+T244+T245+T246+T247+T248+T249+T250+T251+T252+T253+T254+T255+T256+T257+T258+T259+T260+T261+T262, "NA")</f>
        <v>51448.47</v>
      </c>
      <c r="U263" s="18">
        <f>IFERROR(T263/T446, "NA")</f>
        <v>0.06499998711</v>
      </c>
      <c r="V263" s="8"/>
      <c r="W263" s="17">
        <f t="shared" si="71"/>
        <v>-27538.12</v>
      </c>
      <c r="X263" s="18">
        <f>IFERROR(W263/W446, "NA")</f>
        <v>-0.2573046239</v>
      </c>
      <c r="Y263" s="8"/>
      <c r="Z263" s="17">
        <f>IFERROR(Z240+Z241+Z242+Z243+Z244+Z245+Z246+Z247+Z248+Z249+Z250+Z251+Z252+Z253+Z254+Z255+Z256+Z257+Z258+Z259+Z260+Z261+Z262, "NA")</f>
        <v>49471.86</v>
      </c>
      <c r="AA263" s="18">
        <f>IFERROR(Z263/Z446, "NA")</f>
        <v>0.06744385735</v>
      </c>
      <c r="AB263" s="8"/>
      <c r="AC263" s="17">
        <f t="shared" si="72"/>
        <v>-29514.73</v>
      </c>
      <c r="AD263" s="18">
        <f>IFERROR(AC263/AC446, "NA")</f>
        <v>-0.1788620946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9715.39</v>
      </c>
      <c r="C264" s="18">
        <f>IFERROR(B264/B446, "NA")</f>
        <v>0.09821503488</v>
      </c>
      <c r="D264" s="8"/>
      <c r="E264" s="17">
        <f>IFERROR(E238+E240+E241+E242+E243+E244+E245+E246+E247+E248+E249+E250+E251+E252+E253+E254+E255+E256+E257+E258+E259+E260+E261+E262, "NA")</f>
        <v>6273.87</v>
      </c>
      <c r="F264" s="18">
        <f>IFERROR(E264/E446, "NA")</f>
        <v>0.06499994405</v>
      </c>
      <c r="G264" s="8"/>
      <c r="H264" s="17">
        <f t="shared" si="69"/>
        <v>-3441.52</v>
      </c>
      <c r="I264" s="18">
        <f>IFERROR(H264/H446, "NA")</f>
        <v>-1.434911317</v>
      </c>
      <c r="J264" s="8"/>
      <c r="K264" s="17">
        <f>IFERROR(K238+K240+K241+K242+K243+K244+K245+K246+K247+K248+K249+K250+K251+K252+K253+K254+K255+K256+K257+K258+K259+K260+K261+K262, "NA")</f>
        <v>6770.72</v>
      </c>
      <c r="L264" s="18">
        <f>IFERROR(K264/K446, "NA")</f>
        <v>0.07619775593</v>
      </c>
      <c r="M264" s="8"/>
      <c r="N264" s="17">
        <f t="shared" si="70"/>
        <v>-2944.67</v>
      </c>
      <c r="O264" s="18">
        <f>IFERROR(N264/N446, "NA")</f>
        <v>-0.2926417931</v>
      </c>
      <c r="P264" s="8"/>
      <c r="Q264" s="17">
        <f>IFERROR(Q238+Q240+Q241+Q242+Q243+Q244+Q245+Q246+Q247+Q248+Q249+Q250+Q251+Q252+Q253+Q254+Q255+Q256+Q257+Q258+Q259+Q260+Q261+Q262, "NA")</f>
        <v>78986.59</v>
      </c>
      <c r="R264" s="18">
        <f>IFERROR(Q264/Q446, "NA")</f>
        <v>0.08790543696</v>
      </c>
      <c r="S264" s="8"/>
      <c r="T264" s="17">
        <f>IFERROR(T238+T240+T241+T242+T243+T244+T245+T246+T247+T248+T249+T250+T251+T252+T253+T254+T255+T256+T257+T258+T259+T260+T261+T262, "NA")</f>
        <v>51448.47</v>
      </c>
      <c r="U264" s="18">
        <f>IFERROR(T264/T446, "NA")</f>
        <v>0.06499998711</v>
      </c>
      <c r="V264" s="8"/>
      <c r="W264" s="17">
        <f t="shared" si="71"/>
        <v>-27538.12</v>
      </c>
      <c r="X264" s="18">
        <f>IFERROR(W264/W446, "NA")</f>
        <v>-0.2573046239</v>
      </c>
      <c r="Y264" s="8"/>
      <c r="Z264" s="17">
        <f>IFERROR(Z238+Z240+Z241+Z242+Z243+Z244+Z245+Z246+Z247+Z248+Z249+Z250+Z251+Z252+Z253+Z254+Z255+Z256+Z257+Z258+Z259+Z260+Z261+Z262, "NA")</f>
        <v>49471.86</v>
      </c>
      <c r="AA264" s="18">
        <f>IFERROR(Z264/Z446, "NA")</f>
        <v>0.06744385735</v>
      </c>
      <c r="AB264" s="8"/>
      <c r="AC264" s="17">
        <f t="shared" si="72"/>
        <v>-29514.73</v>
      </c>
      <c r="AD264" s="18">
        <f>IFERROR(AC264/AC446, "NA")</f>
        <v>-0.1788620946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2686.47</v>
      </c>
      <c r="C266" s="13">
        <f>IFERROR(B266/B446, "NA")</f>
        <v>0.02715812178</v>
      </c>
      <c r="D266" s="14"/>
      <c r="E266" s="12">
        <v>2316.51</v>
      </c>
      <c r="F266" s="13">
        <f>IFERROR(E266/E446, "NA")</f>
        <v>0.02400002238</v>
      </c>
      <c r="G266" s="14"/>
      <c r="H266" s="15">
        <f t="shared" ref="H266:H268" si="73">IFERROR(-(B266-E266), "NA")</f>
        <v>-369.96</v>
      </c>
      <c r="I266" s="13">
        <f>IFERROR(H266/H446, "NA")</f>
        <v>-0.1542515489</v>
      </c>
      <c r="J266" s="14"/>
      <c r="K266" s="12">
        <v>2356.11</v>
      </c>
      <c r="L266" s="13">
        <f>IFERROR(K266/K446, "NA")</f>
        <v>0.02651568736</v>
      </c>
      <c r="M266" s="14"/>
      <c r="N266" s="15">
        <f t="shared" ref="N266:N268" si="74">IFERROR(-(B266-K266), "NA")</f>
        <v>-330.36</v>
      </c>
      <c r="O266" s="13">
        <f>IFERROR(N266/N446, "NA")</f>
        <v>-0.03283123161</v>
      </c>
      <c r="P266" s="14"/>
      <c r="Q266" s="12">
        <v>23194.9</v>
      </c>
      <c r="R266" s="13">
        <f>IFERROR(Q266/Q446, "NA")</f>
        <v>0.02581397449</v>
      </c>
      <c r="S266" s="14"/>
      <c r="T266" s="12">
        <v>18996.36</v>
      </c>
      <c r="U266" s="13">
        <f>IFERROR(T266/T446, "NA")</f>
        <v>0.02399999757</v>
      </c>
      <c r="V266" s="14"/>
      <c r="W266" s="15">
        <f t="shared" ref="W266:W268" si="75">IFERROR(-(Q266-T266), "NA")</f>
        <v>-4198.54</v>
      </c>
      <c r="X266" s="13">
        <f>IFERROR(W266/W446, "NA")</f>
        <v>-0.03922939386</v>
      </c>
      <c r="Y266" s="14"/>
      <c r="Z266" s="12">
        <v>17819.89</v>
      </c>
      <c r="AA266" s="13">
        <f>IFERROR(Z266/Z446, "NA")</f>
        <v>0.02429344923</v>
      </c>
      <c r="AB266" s="14"/>
      <c r="AC266" s="15">
        <f t="shared" ref="AC266:AC268" si="76">IFERROR(-(Q266-Z266), "NA")</f>
        <v>-5375.01</v>
      </c>
      <c r="AD266" s="13">
        <f>IFERROR(AC266/AC446, "NA")</f>
        <v>-0.03257307612</v>
      </c>
    </row>
    <row r="267" ht="16.5" customHeight="1">
      <c r="A267" s="11" t="s">
        <v>246</v>
      </c>
      <c r="B267" s="12">
        <v>0.0</v>
      </c>
      <c r="C267" s="13">
        <f>IFERROR(B267/B446, "NA")</f>
        <v>0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0.0</v>
      </c>
      <c r="L267" s="13">
        <f>IFERROR(K267/K446, "NA")</f>
        <v>0</v>
      </c>
      <c r="M267" s="14"/>
      <c r="N267" s="15">
        <f t="shared" si="74"/>
        <v>0</v>
      </c>
      <c r="O267" s="13">
        <f>IFERROR(N267/N446, "NA")</f>
        <v>0</v>
      </c>
      <c r="P267" s="14"/>
      <c r="Q267" s="12">
        <v>-17.96</v>
      </c>
      <c r="R267" s="13">
        <f>IFERROR(Q267/Q446, "NA")</f>
        <v>-0.00001998797071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17.96</v>
      </c>
      <c r="X267" s="13">
        <f>IFERROR(W267/W446, "NA")</f>
        <v>0.0001678106946</v>
      </c>
      <c r="Y267" s="14"/>
      <c r="Z267" s="12">
        <v>0.0</v>
      </c>
      <c r="AA267" s="13">
        <f>IFERROR(Z267/Z446, "NA")</f>
        <v>0</v>
      </c>
      <c r="AB267" s="14"/>
      <c r="AC267" s="15">
        <f t="shared" si="76"/>
        <v>17.96</v>
      </c>
      <c r="AD267" s="13">
        <f>IFERROR(AC267/AC446, "NA")</f>
        <v>0.0001088393226</v>
      </c>
    </row>
    <row r="268" ht="16.5" customHeight="1">
      <c r="A268" s="16" t="s">
        <v>247</v>
      </c>
      <c r="B268" s="17">
        <f>IFERROR(B266+B267, "NA")</f>
        <v>2686.47</v>
      </c>
      <c r="C268" s="18">
        <f>IFERROR(B268/B446, "NA")</f>
        <v>0.02715812178</v>
      </c>
      <c r="D268" s="8"/>
      <c r="E268" s="17">
        <f>IFERROR(E266+E267, "NA")</f>
        <v>2316.51</v>
      </c>
      <c r="F268" s="18">
        <f>IFERROR(E268/E446, "NA")</f>
        <v>0.02400002238</v>
      </c>
      <c r="G268" s="8"/>
      <c r="H268" s="17">
        <f t="shared" si="73"/>
        <v>-369.96</v>
      </c>
      <c r="I268" s="18">
        <f>IFERROR(H268/H446, "NA")</f>
        <v>-0.1542515489</v>
      </c>
      <c r="J268" s="8"/>
      <c r="K268" s="17">
        <f>IFERROR(K266+K267, "NA")</f>
        <v>2356.11</v>
      </c>
      <c r="L268" s="18">
        <f>IFERROR(K268/K446, "NA")</f>
        <v>0.02651568736</v>
      </c>
      <c r="M268" s="8"/>
      <c r="N268" s="17">
        <f t="shared" si="74"/>
        <v>-330.36</v>
      </c>
      <c r="O268" s="18">
        <f>IFERROR(N268/N446, "NA")</f>
        <v>-0.03283123161</v>
      </c>
      <c r="P268" s="8"/>
      <c r="Q268" s="17">
        <f>IFERROR(Q266+Q267, "NA")</f>
        <v>23176.94</v>
      </c>
      <c r="R268" s="18">
        <f>IFERROR(Q268/Q446, "NA")</f>
        <v>0.02579398652</v>
      </c>
      <c r="S268" s="8"/>
      <c r="T268" s="17">
        <f>IFERROR(T266+T267, "NA")</f>
        <v>18996.36</v>
      </c>
      <c r="U268" s="18">
        <f>IFERROR(T268/T446, "NA")</f>
        <v>0.02399999757</v>
      </c>
      <c r="V268" s="8"/>
      <c r="W268" s="17">
        <f t="shared" si="75"/>
        <v>-4180.58</v>
      </c>
      <c r="X268" s="18">
        <f>IFERROR(W268/W446, "NA")</f>
        <v>-0.03906158316</v>
      </c>
      <c r="Y268" s="8"/>
      <c r="Z268" s="17">
        <f>IFERROR(Z266+Z267, "NA")</f>
        <v>17819.89</v>
      </c>
      <c r="AA268" s="18">
        <f>IFERROR(Z268/Z446, "NA")</f>
        <v>0.02429344923</v>
      </c>
      <c r="AB268" s="8"/>
      <c r="AC268" s="17">
        <f t="shared" si="76"/>
        <v>-5357.05</v>
      </c>
      <c r="AD268" s="18">
        <f>IFERROR(AC268/AC446, "NA")</f>
        <v>-0.0324642368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>
        <f>IFERROR(B270/B446, "NA")</f>
        <v>0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212.56</v>
      </c>
      <c r="C271" s="13">
        <f>IFERROR(B271/B446, "NA")</f>
        <v>0.00214881624</v>
      </c>
      <c r="D271" s="14"/>
      <c r="E271" s="12">
        <v>354.13</v>
      </c>
      <c r="F271" s="13">
        <f>IFERROR(E271/E446, "NA")</f>
        <v>0.003668936428</v>
      </c>
      <c r="G271" s="14"/>
      <c r="H271" s="15">
        <f t="shared" si="77"/>
        <v>141.57</v>
      </c>
      <c r="I271" s="13">
        <f>IFERROR(H271/H446, "NA")</f>
        <v>0.05902635902</v>
      </c>
      <c r="J271" s="14"/>
      <c r="K271" s="12">
        <v>307.92</v>
      </c>
      <c r="L271" s="13">
        <f>IFERROR(K271/K446, "NA")</f>
        <v>0.003465335002</v>
      </c>
      <c r="M271" s="14"/>
      <c r="N271" s="15">
        <f t="shared" si="78"/>
        <v>95.36</v>
      </c>
      <c r="O271" s="13">
        <f>IFERROR(N271/N446, "NA")</f>
        <v>0.009476892621</v>
      </c>
      <c r="P271" s="14"/>
      <c r="Q271" s="12">
        <v>2031.16</v>
      </c>
      <c r="R271" s="13">
        <f>IFERROR(Q271/Q446, "NA")</f>
        <v>0.002260510389</v>
      </c>
      <c r="S271" s="14"/>
      <c r="T271" s="12">
        <v>2833.04</v>
      </c>
      <c r="U271" s="13">
        <f>IFERROR(T271/T446, "NA")</f>
        <v>0.003579262192</v>
      </c>
      <c r="V271" s="14"/>
      <c r="W271" s="15">
        <f t="shared" si="79"/>
        <v>801.88</v>
      </c>
      <c r="X271" s="13">
        <f>IFERROR(W271/W446, "NA")</f>
        <v>0.007492429832</v>
      </c>
      <c r="Y271" s="14"/>
      <c r="Z271" s="12">
        <v>3017.83</v>
      </c>
      <c r="AA271" s="13">
        <f>IFERROR(Z271/Z446, "NA")</f>
        <v>0.004114138745</v>
      </c>
      <c r="AB271" s="14"/>
      <c r="AC271" s="15">
        <f t="shared" si="80"/>
        <v>986.67</v>
      </c>
      <c r="AD271" s="13">
        <f>IFERROR(AC271/AC446, "NA")</f>
        <v>0.005979314832</v>
      </c>
    </row>
    <row r="272" ht="16.5" customHeight="1">
      <c r="A272" s="11" t="s">
        <v>250</v>
      </c>
      <c r="B272" s="12">
        <v>1311.48</v>
      </c>
      <c r="C272" s="13">
        <f>IFERROR(B272/B446, "NA")</f>
        <v>0.01325804254</v>
      </c>
      <c r="D272" s="14"/>
      <c r="E272" s="12">
        <v>905.41</v>
      </c>
      <c r="F272" s="13">
        <f>IFERROR(E272/E446, "NA")</f>
        <v>0.009380430156</v>
      </c>
      <c r="G272" s="14"/>
      <c r="H272" s="15">
        <f t="shared" si="77"/>
        <v>-406.07</v>
      </c>
      <c r="I272" s="13">
        <f>IFERROR(H272/H446, "NA")</f>
        <v>-0.169307294</v>
      </c>
      <c r="J272" s="14"/>
      <c r="K272" s="12">
        <v>905.41</v>
      </c>
      <c r="L272" s="13">
        <f>IFERROR(K272/K446, "NA")</f>
        <v>0.01018949391</v>
      </c>
      <c r="M272" s="14"/>
      <c r="N272" s="15">
        <f t="shared" si="78"/>
        <v>-406.07</v>
      </c>
      <c r="O272" s="13">
        <f>IFERROR(N272/N446, "NA")</f>
        <v>-0.04035530397</v>
      </c>
      <c r="P272" s="14"/>
      <c r="Q272" s="12">
        <v>7905.36</v>
      </c>
      <c r="R272" s="13">
        <f>IFERROR(Q272/Q446, "NA")</f>
        <v>0.008798001345</v>
      </c>
      <c r="S272" s="14"/>
      <c r="T272" s="12">
        <v>7243.28</v>
      </c>
      <c r="U272" s="13">
        <f>IFERROR(T272/T446, "NA")</f>
        <v>0.00915115856</v>
      </c>
      <c r="V272" s="14"/>
      <c r="W272" s="15">
        <f t="shared" si="79"/>
        <v>-662.08</v>
      </c>
      <c r="X272" s="13">
        <f>IFERROR(W272/W446, "NA")</f>
        <v>-0.006186197365</v>
      </c>
      <c r="Y272" s="14"/>
      <c r="Z272" s="12">
        <v>7527.33</v>
      </c>
      <c r="AA272" s="13">
        <f>IFERROR(Z272/Z446, "NA")</f>
        <v>0.01026183715</v>
      </c>
      <c r="AB272" s="14"/>
      <c r="AC272" s="15">
        <f t="shared" si="80"/>
        <v>-378.03</v>
      </c>
      <c r="AD272" s="13">
        <f>IFERROR(AC272/AC446, "NA")</f>
        <v>-0.002290898057</v>
      </c>
    </row>
    <row r="273" ht="16.5" hidden="1" customHeight="1">
      <c r="A273" s="11" t="s">
        <v>251</v>
      </c>
      <c r="B273" s="12">
        <v>0.0</v>
      </c>
      <c r="C273" s="13">
        <f>IFERROR(B273/B446, "NA")</f>
        <v>0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0</v>
      </c>
      <c r="I273" s="13">
        <f>IFERROR(H273/H446, "NA")</f>
        <v>0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0</v>
      </c>
      <c r="O273" s="13">
        <f>IFERROR(N273/N446, "NA")</f>
        <v>0</v>
      </c>
      <c r="P273" s="14"/>
      <c r="Q273" s="12">
        <v>0.0</v>
      </c>
      <c r="R273" s="13">
        <f>IFERROR(Q273/Q446, "NA")</f>
        <v>0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0</v>
      </c>
      <c r="X273" s="13">
        <f>IFERROR(W273/W446, "NA")</f>
        <v>0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0</v>
      </c>
      <c r="AD273" s="13">
        <f>IFERROR(AC273/AC446, "NA")</f>
        <v>0</v>
      </c>
    </row>
    <row r="274" ht="16.5" customHeight="1">
      <c r="A274" s="16" t="s">
        <v>252</v>
      </c>
      <c r="B274" s="17">
        <f>IFERROR(B270+B271+B272+B273, "NA")</f>
        <v>1524.04</v>
      </c>
      <c r="C274" s="18">
        <f>IFERROR(B274/B446, "NA")</f>
        <v>0.01540685878</v>
      </c>
      <c r="D274" s="8"/>
      <c r="E274" s="17">
        <f>IFERROR(E270+E271+E272+E273, "NA")</f>
        <v>1259.54</v>
      </c>
      <c r="F274" s="18">
        <f>IFERROR(E274/E446, "NA")</f>
        <v>0.01304936658</v>
      </c>
      <c r="G274" s="8"/>
      <c r="H274" s="17">
        <f t="shared" si="77"/>
        <v>-264.5</v>
      </c>
      <c r="I274" s="18">
        <f>IFERROR(H274/H446, "NA")</f>
        <v>-0.1102809349</v>
      </c>
      <c r="J274" s="8"/>
      <c r="K274" s="17">
        <f>IFERROR(K270+K271+K272+K273, "NA")</f>
        <v>1213.33</v>
      </c>
      <c r="L274" s="18">
        <f>IFERROR(K274/K446, "NA")</f>
        <v>0.01365482891</v>
      </c>
      <c r="M274" s="8"/>
      <c r="N274" s="17">
        <f t="shared" si="78"/>
        <v>-310.71</v>
      </c>
      <c r="O274" s="18">
        <f>IFERROR(N274/N446, "NA")</f>
        <v>-0.03087841135</v>
      </c>
      <c r="P274" s="8"/>
      <c r="Q274" s="17">
        <f>IFERROR(Q270+Q271+Q272+Q273, "NA")</f>
        <v>9936.52</v>
      </c>
      <c r="R274" s="18">
        <f>IFERROR(Q274/Q446, "NA")</f>
        <v>0.01105851173</v>
      </c>
      <c r="S274" s="8"/>
      <c r="T274" s="17">
        <f>IFERROR(T270+T271+T272+T273, "NA")</f>
        <v>10076.32</v>
      </c>
      <c r="U274" s="18">
        <f>IFERROR(T274/T446, "NA")</f>
        <v>0.01273042075</v>
      </c>
      <c r="V274" s="8"/>
      <c r="W274" s="17">
        <f t="shared" si="79"/>
        <v>139.8</v>
      </c>
      <c r="X274" s="18">
        <f>IFERROR(W274/W446, "NA")</f>
        <v>0.001306232467</v>
      </c>
      <c r="Y274" s="8"/>
      <c r="Z274" s="17">
        <f>IFERROR(Z270+Z271+Z272+Z273, "NA")</f>
        <v>10545.16</v>
      </c>
      <c r="AA274" s="18">
        <f>IFERROR(Z274/Z446, "NA")</f>
        <v>0.01437597589</v>
      </c>
      <c r="AB274" s="8"/>
      <c r="AC274" s="17">
        <f t="shared" si="80"/>
        <v>608.64</v>
      </c>
      <c r="AD274" s="18">
        <f>IFERROR(AC274/AC446, "NA")</f>
        <v>0.003688416775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>
        <f>IFERROR(B276/B446, "NA")</f>
        <v>0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>
        <f>IFERROR(B277/B446, "NA")</f>
        <v>0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>
        <f>IFERROR(B278/B446, "NA")</f>
        <v>0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>
        <f>IFERROR(B279/B446, "NA")</f>
        <v>0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>
        <f>IFERROR(B280/B446, "NA")</f>
        <v>0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>
        <f>IFERROR(B281/B446, "NA")</f>
        <v>0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>
        <f>IFERROR(B282/B446, "NA")</f>
        <v>0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>
        <f>IFERROR(B283/B446, "NA")</f>
        <v>0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>
        <f>IFERROR(B284/B446, "NA")</f>
        <v>0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>
        <f>IFERROR(B285/B446, "NA")</f>
        <v>0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>
        <f>IFERROR(B287/B446, "NA")</f>
        <v>0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hidden="1" customHeight="1">
      <c r="A288" s="11" t="s">
        <v>264</v>
      </c>
      <c r="B288" s="12">
        <v>0.0</v>
      </c>
      <c r="C288" s="13">
        <f>IFERROR(B288/B446, "NA")</f>
        <v>0</v>
      </c>
      <c r="D288" s="14"/>
      <c r="E288" s="12">
        <v>0.0</v>
      </c>
      <c r="F288" s="13">
        <f>IFERROR(E288/E446, "NA")</f>
        <v>0</v>
      </c>
      <c r="G288" s="14"/>
      <c r="H288" s="15">
        <f t="shared" si="85"/>
        <v>0</v>
      </c>
      <c r="I288" s="13">
        <f>IFERROR(H288/H446, "NA")</f>
        <v>0</v>
      </c>
      <c r="J288" s="14"/>
      <c r="K288" s="12">
        <v>0.0</v>
      </c>
      <c r="L288" s="13">
        <f>IFERROR(K288/K446, "NA")</f>
        <v>0</v>
      </c>
      <c r="M288" s="14"/>
      <c r="N288" s="15">
        <f t="shared" si="86"/>
        <v>0</v>
      </c>
      <c r="O288" s="13">
        <f>IFERROR(N288/N446, "NA")</f>
        <v>0</v>
      </c>
      <c r="P288" s="14"/>
      <c r="Q288" s="12">
        <v>0.0</v>
      </c>
      <c r="R288" s="13">
        <f>IFERROR(Q288/Q446, "NA")</f>
        <v>0</v>
      </c>
      <c r="S288" s="14"/>
      <c r="T288" s="12">
        <v>0.0</v>
      </c>
      <c r="U288" s="13">
        <f>IFERROR(T288/T446, "NA")</f>
        <v>0</v>
      </c>
      <c r="V288" s="14"/>
      <c r="W288" s="15">
        <f t="shared" si="87"/>
        <v>0</v>
      </c>
      <c r="X288" s="13">
        <f>IFERROR(W288/W446, "NA")</f>
        <v>0</v>
      </c>
      <c r="Y288" s="14"/>
      <c r="Z288" s="12">
        <v>0.0</v>
      </c>
      <c r="AA288" s="13">
        <f>IFERROR(Z288/Z446, "NA")</f>
        <v>0</v>
      </c>
      <c r="AB288" s="14"/>
      <c r="AC288" s="15">
        <f t="shared" si="88"/>
        <v>0</v>
      </c>
      <c r="AD288" s="13">
        <f>IFERROR(AC288/AC446, "NA")</f>
        <v>0</v>
      </c>
    </row>
    <row r="289" ht="16.5" customHeight="1">
      <c r="A289" s="11" t="s">
        <v>265</v>
      </c>
      <c r="B289" s="12">
        <v>137.5</v>
      </c>
      <c r="C289" s="13">
        <f>IFERROR(B289/B446, "NA")</f>
        <v>0.001390018033</v>
      </c>
      <c r="D289" s="14"/>
      <c r="E289" s="12">
        <v>138.0</v>
      </c>
      <c r="F289" s="13">
        <f>IFERROR(E289/E446, "NA")</f>
        <v>0.001429738308</v>
      </c>
      <c r="G289" s="14"/>
      <c r="H289" s="15">
        <f t="shared" si="85"/>
        <v>0.5</v>
      </c>
      <c r="I289" s="13">
        <f>IFERROR(H289/H446, "NA")</f>
        <v>0.0002084705765</v>
      </c>
      <c r="J289" s="14"/>
      <c r="K289" s="12">
        <v>137.5</v>
      </c>
      <c r="L289" s="13">
        <f>IFERROR(K289/K446, "NA")</f>
        <v>0.001547426483</v>
      </c>
      <c r="M289" s="14"/>
      <c r="N289" s="15">
        <f t="shared" si="86"/>
        <v>0</v>
      </c>
      <c r="O289" s="13">
        <f>IFERROR(N289/N446, "NA")</f>
        <v>0</v>
      </c>
      <c r="P289" s="14"/>
      <c r="Q289" s="12">
        <v>1100.0</v>
      </c>
      <c r="R289" s="13">
        <f>IFERROR(Q289/Q446, "NA")</f>
        <v>0.00122420756</v>
      </c>
      <c r="S289" s="14"/>
      <c r="T289" s="12">
        <v>1104.0</v>
      </c>
      <c r="U289" s="13">
        <f>IFERROR(T289/T446, "NA")</f>
        <v>0.001394793388</v>
      </c>
      <c r="V289" s="14"/>
      <c r="W289" s="15">
        <f t="shared" si="87"/>
        <v>4</v>
      </c>
      <c r="X289" s="13">
        <f>IFERROR(W289/W446, "NA")</f>
        <v>0.00003737431951</v>
      </c>
      <c r="Y289" s="14"/>
      <c r="Z289" s="12">
        <v>1100.0</v>
      </c>
      <c r="AA289" s="13">
        <f>IFERROR(Z289/Z446, "NA")</f>
        <v>0.001499604888</v>
      </c>
      <c r="AB289" s="14"/>
      <c r="AC289" s="15">
        <f t="shared" si="88"/>
        <v>0</v>
      </c>
      <c r="AD289" s="13">
        <f>IFERROR(AC289/AC446, "NA")</f>
        <v>0</v>
      </c>
    </row>
    <row r="290" ht="16.5" customHeight="1">
      <c r="A290" s="11" t="s">
        <v>266</v>
      </c>
      <c r="B290" s="12">
        <v>250.75</v>
      </c>
      <c r="C290" s="13">
        <f>IFERROR(B290/B446, "NA")</f>
        <v>0.002534887431</v>
      </c>
      <c r="D290" s="14"/>
      <c r="E290" s="12">
        <v>234.0</v>
      </c>
      <c r="F290" s="13">
        <f>IFERROR(E290/E446, "NA")</f>
        <v>0.00242433887</v>
      </c>
      <c r="G290" s="14"/>
      <c r="H290" s="15">
        <f t="shared" si="85"/>
        <v>-16.75</v>
      </c>
      <c r="I290" s="13">
        <f>IFERROR(H290/H446, "NA")</f>
        <v>-0.006983764312</v>
      </c>
      <c r="J290" s="14"/>
      <c r="K290" s="12">
        <v>228.86</v>
      </c>
      <c r="L290" s="13">
        <f>IFERROR(K290/K446, "NA")</f>
        <v>0.002575592909</v>
      </c>
      <c r="M290" s="14"/>
      <c r="N290" s="15">
        <f t="shared" si="86"/>
        <v>-21.89</v>
      </c>
      <c r="O290" s="13">
        <f>IFERROR(N290/N446, "NA")</f>
        <v>-0.002175431832</v>
      </c>
      <c r="P290" s="14"/>
      <c r="Q290" s="12">
        <v>2002.05</v>
      </c>
      <c r="R290" s="13">
        <f>IFERROR(Q290/Q446, "NA")</f>
        <v>0.002228113406</v>
      </c>
      <c r="S290" s="14"/>
      <c r="T290" s="12">
        <v>1872.0</v>
      </c>
      <c r="U290" s="13">
        <f>IFERROR(T290/T446, "NA")</f>
        <v>0.00236508444</v>
      </c>
      <c r="V290" s="14"/>
      <c r="W290" s="15">
        <f t="shared" si="87"/>
        <v>-130.05</v>
      </c>
      <c r="X290" s="13">
        <f>IFERROR(W290/W446, "NA")</f>
        <v>-0.001215132563</v>
      </c>
      <c r="Y290" s="14"/>
      <c r="Z290" s="12">
        <v>1793.14</v>
      </c>
      <c r="AA290" s="13">
        <f>IFERROR(Z290/Z446, "NA")</f>
        <v>0.002444546827</v>
      </c>
      <c r="AB290" s="14"/>
      <c r="AC290" s="15">
        <f t="shared" si="88"/>
        <v>-208.91</v>
      </c>
      <c r="AD290" s="13">
        <f>IFERROR(AC290/AC446, "NA")</f>
        <v>-0.001266014637</v>
      </c>
    </row>
    <row r="291" ht="16.5" customHeight="1">
      <c r="A291" s="11" t="s">
        <v>267</v>
      </c>
      <c r="B291" s="12">
        <v>329.44</v>
      </c>
      <c r="C291" s="13">
        <f>IFERROR(B291/B446, "NA")</f>
        <v>0.003330382114</v>
      </c>
      <c r="D291" s="14"/>
      <c r="E291" s="12">
        <v>675.65</v>
      </c>
      <c r="F291" s="13">
        <f>IFERROR(E291/E446, "NA")</f>
        <v>0.007000019478</v>
      </c>
      <c r="G291" s="14"/>
      <c r="H291" s="15">
        <f t="shared" si="85"/>
        <v>346.21</v>
      </c>
      <c r="I291" s="13">
        <f>IFERROR(H291/H446, "NA")</f>
        <v>0.1443491966</v>
      </c>
      <c r="J291" s="14"/>
      <c r="K291" s="12">
        <v>2069.6</v>
      </c>
      <c r="L291" s="13">
        <f>IFERROR(K291/K446, "NA")</f>
        <v>0.02329130073</v>
      </c>
      <c r="M291" s="14"/>
      <c r="N291" s="15">
        <f t="shared" si="86"/>
        <v>1740.16</v>
      </c>
      <c r="O291" s="13">
        <f>IFERROR(N291/N446, "NA")</f>
        <v>0.1729373895</v>
      </c>
      <c r="P291" s="14"/>
      <c r="Q291" s="12">
        <v>5709.51</v>
      </c>
      <c r="R291" s="13">
        <f>IFERROR(Q291/Q446, "NA")</f>
        <v>0.006354204826</v>
      </c>
      <c r="S291" s="14"/>
      <c r="T291" s="12">
        <v>5319.61</v>
      </c>
      <c r="U291" s="13">
        <f>IFERROR(T291/T446, "NA")</f>
        <v>0.006720794252</v>
      </c>
      <c r="V291" s="14"/>
      <c r="W291" s="15">
        <f t="shared" si="87"/>
        <v>-389.9</v>
      </c>
      <c r="X291" s="13">
        <f>IFERROR(W291/W446, "NA")</f>
        <v>-0.003643061794</v>
      </c>
      <c r="Y291" s="14"/>
      <c r="Z291" s="12">
        <v>10314.04</v>
      </c>
      <c r="AA291" s="13">
        <f>IFERROR(Z291/Z446, "NA")</f>
        <v>0.01406089527</v>
      </c>
      <c r="AB291" s="14"/>
      <c r="AC291" s="15">
        <f t="shared" si="88"/>
        <v>4604.53</v>
      </c>
      <c r="AD291" s="13">
        <f>IFERROR(AC291/AC446, "NA")</f>
        <v>0.02790389342</v>
      </c>
    </row>
    <row r="292" ht="16.5" customHeight="1">
      <c r="A292" s="11" t="s">
        <v>268</v>
      </c>
      <c r="B292" s="12">
        <v>307.69</v>
      </c>
      <c r="C292" s="13">
        <f>IFERROR(B292/B446, "NA")</f>
        <v>0.003110506535</v>
      </c>
      <c r="D292" s="14"/>
      <c r="E292" s="12">
        <v>965.21</v>
      </c>
      <c r="F292" s="13">
        <f>IFERROR(E292/E446, "NA")</f>
        <v>0.009999983423</v>
      </c>
      <c r="G292" s="14"/>
      <c r="H292" s="15">
        <f t="shared" si="85"/>
        <v>657.52</v>
      </c>
      <c r="I292" s="13">
        <f>IFERROR(H292/H446, "NA")</f>
        <v>0.2741471469</v>
      </c>
      <c r="J292" s="14"/>
      <c r="K292" s="12">
        <v>1134.21</v>
      </c>
      <c r="L292" s="13">
        <f>IFERROR(K292/K446, "NA")</f>
        <v>0.01276441158</v>
      </c>
      <c r="M292" s="14"/>
      <c r="N292" s="15">
        <f t="shared" si="86"/>
        <v>826.52</v>
      </c>
      <c r="O292" s="13">
        <f>IFERROR(N292/N446, "NA")</f>
        <v>0.08213969472</v>
      </c>
      <c r="P292" s="14"/>
      <c r="Q292" s="12">
        <v>9435.39</v>
      </c>
      <c r="R292" s="13">
        <f>IFERROR(Q292/Q446, "NA")</f>
        <v>0.01050079616</v>
      </c>
      <c r="S292" s="14"/>
      <c r="T292" s="12">
        <v>7915.15</v>
      </c>
      <c r="U292" s="13">
        <f>IFERROR(T292/T446, "NA")</f>
        <v>0.009999998989</v>
      </c>
      <c r="V292" s="14"/>
      <c r="W292" s="15">
        <f t="shared" si="87"/>
        <v>-1520.24</v>
      </c>
      <c r="X292" s="13">
        <f>IFERROR(W292/W446, "NA")</f>
        <v>-0.01420448387</v>
      </c>
      <c r="Y292" s="14"/>
      <c r="Z292" s="12">
        <v>12457.5</v>
      </c>
      <c r="AA292" s="13">
        <f>IFERROR(Z292/Z446, "NA")</f>
        <v>0.01698302536</v>
      </c>
      <c r="AB292" s="14"/>
      <c r="AC292" s="15">
        <f t="shared" si="88"/>
        <v>3022.11</v>
      </c>
      <c r="AD292" s="13">
        <f>IFERROR(AC292/AC446, "NA")</f>
        <v>0.01831427645</v>
      </c>
    </row>
    <row r="293" ht="16.5" customHeight="1">
      <c r="A293" s="11" t="s">
        <v>269</v>
      </c>
      <c r="B293" s="12">
        <v>0.0</v>
      </c>
      <c r="C293" s="13">
        <f>IFERROR(B293/B446, "NA")</f>
        <v>0</v>
      </c>
      <c r="D293" s="14"/>
      <c r="E293" s="12">
        <v>193.04</v>
      </c>
      <c r="F293" s="13">
        <f>IFERROR(E293/E446, "NA")</f>
        <v>0.001999975964</v>
      </c>
      <c r="G293" s="14"/>
      <c r="H293" s="15">
        <f t="shared" si="85"/>
        <v>193.04</v>
      </c>
      <c r="I293" s="13">
        <f>IFERROR(H293/H446, "NA")</f>
        <v>0.08048632016</v>
      </c>
      <c r="J293" s="14"/>
      <c r="K293" s="12">
        <v>336.68</v>
      </c>
      <c r="L293" s="13">
        <f>IFERROR(K293/K446, "NA")</f>
        <v>0.003789000352</v>
      </c>
      <c r="M293" s="14"/>
      <c r="N293" s="15">
        <f t="shared" si="86"/>
        <v>336.68</v>
      </c>
      <c r="O293" s="13">
        <f>IFERROR(N293/N446, "NA")</f>
        <v>0.03345931426</v>
      </c>
      <c r="P293" s="14"/>
      <c r="Q293" s="12">
        <v>259.95</v>
      </c>
      <c r="R293" s="13">
        <f>IFERROR(Q293/Q446, "NA")</f>
        <v>0.0002893025048</v>
      </c>
      <c r="S293" s="14"/>
      <c r="T293" s="12">
        <v>1583.03</v>
      </c>
      <c r="U293" s="13">
        <f>IFERROR(T293/T446, "NA")</f>
        <v>0.001999999798</v>
      </c>
      <c r="V293" s="14"/>
      <c r="W293" s="15">
        <f t="shared" si="87"/>
        <v>1323.08</v>
      </c>
      <c r="X293" s="13">
        <f>IFERROR(W293/W446, "NA")</f>
        <v>0.01236230366</v>
      </c>
      <c r="Y293" s="14"/>
      <c r="Z293" s="12">
        <v>2647.1</v>
      </c>
      <c r="AA293" s="13">
        <f>IFERROR(Z293/Z446, "NA")</f>
        <v>0.003608731</v>
      </c>
      <c r="AB293" s="14"/>
      <c r="AC293" s="15">
        <f t="shared" si="88"/>
        <v>2387.15</v>
      </c>
      <c r="AD293" s="13">
        <f>IFERROR(AC293/AC446, "NA")</f>
        <v>0.01446635795</v>
      </c>
    </row>
    <row r="294" ht="16.5" customHeight="1">
      <c r="A294" s="11" t="s">
        <v>270</v>
      </c>
      <c r="B294" s="12">
        <v>0.0</v>
      </c>
      <c r="C294" s="13">
        <f>IFERROR(B294/B446, "NA")</f>
        <v>0</v>
      </c>
      <c r="D294" s="14"/>
      <c r="E294" s="12">
        <v>193.04</v>
      </c>
      <c r="F294" s="13">
        <f>IFERROR(E294/E446, "NA")</f>
        <v>0.001999975964</v>
      </c>
      <c r="G294" s="14"/>
      <c r="H294" s="15">
        <f t="shared" si="85"/>
        <v>193.04</v>
      </c>
      <c r="I294" s="13">
        <f>IFERROR(H294/H446, "NA")</f>
        <v>0.08048632016</v>
      </c>
      <c r="J294" s="14"/>
      <c r="K294" s="12">
        <v>0.0</v>
      </c>
      <c r="L294" s="13">
        <f>IFERROR(K294/K446, "NA")</f>
        <v>0</v>
      </c>
      <c r="M294" s="14"/>
      <c r="N294" s="15">
        <f t="shared" si="86"/>
        <v>0</v>
      </c>
      <c r="O294" s="13">
        <f>IFERROR(N294/N446, "NA")</f>
        <v>0</v>
      </c>
      <c r="P294" s="14"/>
      <c r="Q294" s="12">
        <v>0.0</v>
      </c>
      <c r="R294" s="13">
        <f>IFERROR(Q294/Q446, "NA")</f>
        <v>0</v>
      </c>
      <c r="S294" s="14"/>
      <c r="T294" s="12">
        <v>1583.03</v>
      </c>
      <c r="U294" s="13">
        <f>IFERROR(T294/T446, "NA")</f>
        <v>0.001999999798</v>
      </c>
      <c r="V294" s="14"/>
      <c r="W294" s="15">
        <f t="shared" si="87"/>
        <v>1583.03</v>
      </c>
      <c r="X294" s="13">
        <f>IFERROR(W294/W446, "NA")</f>
        <v>0.01479116725</v>
      </c>
      <c r="Y294" s="14"/>
      <c r="Z294" s="12">
        <v>1398.84</v>
      </c>
      <c r="AA294" s="13">
        <f>IFERROR(Z294/Z446, "NA")</f>
        <v>0.001907006638</v>
      </c>
      <c r="AB294" s="14"/>
      <c r="AC294" s="15">
        <f t="shared" si="88"/>
        <v>1398.84</v>
      </c>
      <c r="AD294" s="13">
        <f>IFERROR(AC294/AC446, "NA")</f>
        <v>0.008477104564</v>
      </c>
    </row>
    <row r="295" ht="16.5" customHeight="1">
      <c r="A295" s="11" t="s">
        <v>271</v>
      </c>
      <c r="B295" s="12">
        <v>367.99</v>
      </c>
      <c r="C295" s="13">
        <f>IFERROR(B295/B446, "NA")</f>
        <v>0.003720092625</v>
      </c>
      <c r="D295" s="14"/>
      <c r="E295" s="12">
        <v>365.0</v>
      </c>
      <c r="F295" s="13">
        <f>IFERROR(E295/E446, "NA")</f>
        <v>0.003781554221</v>
      </c>
      <c r="G295" s="14"/>
      <c r="H295" s="15">
        <f t="shared" si="85"/>
        <v>-2.99</v>
      </c>
      <c r="I295" s="13">
        <f>IFERROR(H295/H446, "NA")</f>
        <v>-0.001246654047</v>
      </c>
      <c r="J295" s="14"/>
      <c r="K295" s="12">
        <v>312.5</v>
      </c>
      <c r="L295" s="13">
        <f>IFERROR(K295/K446, "NA")</f>
        <v>0.003516878371</v>
      </c>
      <c r="M295" s="14"/>
      <c r="N295" s="15">
        <f t="shared" si="86"/>
        <v>-55.49</v>
      </c>
      <c r="O295" s="13">
        <f>IFERROR(N295/N446, "NA")</f>
        <v>-0.005514605406</v>
      </c>
      <c r="P295" s="14"/>
      <c r="Q295" s="12">
        <v>2081.39</v>
      </c>
      <c r="R295" s="13">
        <f>IFERROR(Q295/Q446, "NA")</f>
        <v>0.002316412158</v>
      </c>
      <c r="S295" s="14"/>
      <c r="T295" s="12">
        <v>2920.0</v>
      </c>
      <c r="U295" s="13">
        <f>IFERROR(T295/T446, "NA")</f>
        <v>0.003689127439</v>
      </c>
      <c r="V295" s="14"/>
      <c r="W295" s="15">
        <f t="shared" si="87"/>
        <v>838.61</v>
      </c>
      <c r="X295" s="13">
        <f>IFERROR(W295/W446, "NA")</f>
        <v>0.00783561952</v>
      </c>
      <c r="Y295" s="14"/>
      <c r="Z295" s="12">
        <v>2935.43</v>
      </c>
      <c r="AA295" s="13">
        <f>IFERROR(Z295/Z446, "NA")</f>
        <v>0.004001804706</v>
      </c>
      <c r="AB295" s="14"/>
      <c r="AC295" s="15">
        <f t="shared" si="88"/>
        <v>854.04</v>
      </c>
      <c r="AD295" s="13">
        <f>IFERROR(AC295/AC446, "NA")</f>
        <v>0.005175564312</v>
      </c>
    </row>
    <row r="296" ht="16.5" customHeight="1">
      <c r="A296" s="16" t="s">
        <v>272</v>
      </c>
      <c r="B296" s="17">
        <f>IFERROR(B287+B288+B289+B290+B291+B292+B293+B294+B295, "NA")</f>
        <v>1393.37</v>
      </c>
      <c r="C296" s="18">
        <f>IFERROR(B296/B446, "NA")</f>
        <v>0.01408588674</v>
      </c>
      <c r="D296" s="8"/>
      <c r="E296" s="17">
        <f>IFERROR(E287+E288+E289+E290+E291+E292+E293+E294+E295, "NA")</f>
        <v>2763.94</v>
      </c>
      <c r="F296" s="18">
        <f>IFERROR(E296/E446, "NA")</f>
        <v>0.02863558623</v>
      </c>
      <c r="G296" s="8"/>
      <c r="H296" s="17">
        <f t="shared" si="85"/>
        <v>1370.57</v>
      </c>
      <c r="I296" s="18">
        <f>IFERROR(H296/H446, "NA")</f>
        <v>0.571447036</v>
      </c>
      <c r="J296" s="8"/>
      <c r="K296" s="17">
        <f>IFERROR(K287+K288+K289+K290+K291+K292+K293+K294+K295, "NA")</f>
        <v>4219.35</v>
      </c>
      <c r="L296" s="18">
        <f>IFERROR(K296/K446, "NA")</f>
        <v>0.04748461042</v>
      </c>
      <c r="M296" s="8"/>
      <c r="N296" s="17">
        <f t="shared" si="86"/>
        <v>2825.98</v>
      </c>
      <c r="O296" s="18">
        <f>IFERROR(N296/N446, "NA")</f>
        <v>0.2808463612</v>
      </c>
      <c r="P296" s="8"/>
      <c r="Q296" s="17">
        <f>IFERROR(Q287+Q288+Q289+Q290+Q291+Q292+Q293+Q294+Q295, "NA")</f>
        <v>20588.29</v>
      </c>
      <c r="R296" s="18">
        <f>IFERROR(Q296/Q446, "NA")</f>
        <v>0.02291303661</v>
      </c>
      <c r="S296" s="8"/>
      <c r="T296" s="17">
        <f>IFERROR(T287+T288+T289+T290+T291+T292+T293+T294+T295, "NA")</f>
        <v>22296.82</v>
      </c>
      <c r="U296" s="18">
        <f>IFERROR(T296/T446, "NA")</f>
        <v>0.0281697981</v>
      </c>
      <c r="V296" s="8"/>
      <c r="W296" s="17">
        <f t="shared" si="87"/>
        <v>1708.53</v>
      </c>
      <c r="X296" s="18">
        <f>IFERROR(W296/W446, "NA")</f>
        <v>0.01596378653</v>
      </c>
      <c r="Y296" s="8"/>
      <c r="Z296" s="17">
        <f>IFERROR(Z287+Z288+Z289+Z290+Z291+Z292+Z293+Z294+Z295, "NA")</f>
        <v>32646.05</v>
      </c>
      <c r="AA296" s="18">
        <f>IFERROR(Z296/Z446, "NA")</f>
        <v>0.04450561469</v>
      </c>
      <c r="AB296" s="8"/>
      <c r="AC296" s="17">
        <f t="shared" si="88"/>
        <v>12057.76</v>
      </c>
      <c r="AD296" s="18">
        <f>IFERROR(AC296/AC446, "NA")</f>
        <v>0.07307118207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>
        <f>IFERROR(B298/B446, "NA")</f>
        <v>0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>
        <f>IFERROR(B299/B446, "NA")</f>
        <v>0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159.0</v>
      </c>
      <c r="C300" s="13">
        <f>IFERROR(B300/B446, "NA")</f>
        <v>0.001607366307</v>
      </c>
      <c r="D300" s="14"/>
      <c r="E300" s="12">
        <v>159.0</v>
      </c>
      <c r="F300" s="13">
        <f>IFERROR(E300/E446, "NA")</f>
        <v>0.001647307181</v>
      </c>
      <c r="G300" s="14"/>
      <c r="H300" s="15">
        <f t="shared" si="89"/>
        <v>0</v>
      </c>
      <c r="I300" s="13">
        <f>IFERROR(H300/H446, "NA")</f>
        <v>0</v>
      </c>
      <c r="J300" s="14"/>
      <c r="K300" s="12">
        <v>0.0</v>
      </c>
      <c r="L300" s="13">
        <f>IFERROR(K300/K446, "NA")</f>
        <v>0</v>
      </c>
      <c r="M300" s="14"/>
      <c r="N300" s="15">
        <f t="shared" si="90"/>
        <v>-159</v>
      </c>
      <c r="O300" s="13">
        <f>IFERROR(N300/N446, "NA")</f>
        <v>-0.01580144638</v>
      </c>
      <c r="P300" s="14"/>
      <c r="Q300" s="12">
        <v>1272.0</v>
      </c>
      <c r="R300" s="13">
        <f>IFERROR(Q300/Q446, "NA")</f>
        <v>0.001415629106</v>
      </c>
      <c r="S300" s="14"/>
      <c r="T300" s="12">
        <v>1272.0</v>
      </c>
      <c r="U300" s="13">
        <f>IFERROR(T300/T446, "NA")</f>
        <v>0.001607044556</v>
      </c>
      <c r="V300" s="14"/>
      <c r="W300" s="15">
        <f t="shared" si="91"/>
        <v>0</v>
      </c>
      <c r="X300" s="13">
        <f>IFERROR(W300/W446, "NA")</f>
        <v>0</v>
      </c>
      <c r="Y300" s="14"/>
      <c r="Z300" s="12">
        <v>411.65</v>
      </c>
      <c r="AA300" s="13">
        <f>IFERROR(Z300/Z446, "NA")</f>
        <v>0.0005611930475</v>
      </c>
      <c r="AB300" s="14"/>
      <c r="AC300" s="15">
        <f t="shared" si="92"/>
        <v>-860.35</v>
      </c>
      <c r="AD300" s="13">
        <f>IFERROR(AC300/AC446, "NA")</f>
        <v>-0.005213803517</v>
      </c>
    </row>
    <row r="301" ht="16.5" hidden="1" customHeight="1">
      <c r="A301" s="11" t="s">
        <v>276</v>
      </c>
      <c r="B301" s="12">
        <v>0.0</v>
      </c>
      <c r="C301" s="13">
        <f>IFERROR(B301/B446, "NA")</f>
        <v>0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>
        <f>IFERROR(B302/B446, "NA")</f>
        <v>0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>
        <f>IFERROR(B303/B446, "NA")</f>
        <v>0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>
        <f>IFERROR(B304/B446, "NA")</f>
        <v>0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customHeight="1">
      <c r="A305" s="11" t="s">
        <v>280</v>
      </c>
      <c r="B305" s="12">
        <v>0.0</v>
      </c>
      <c r="C305" s="13">
        <f>IFERROR(B305/B446, "NA")</f>
        <v>0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0.0</v>
      </c>
      <c r="R305" s="13">
        <f>IFERROR(Q305/Q446, "NA")</f>
        <v>0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0</v>
      </c>
      <c r="X305" s="13">
        <f>IFERROR(W305/W446, "NA")</f>
        <v>0</v>
      </c>
      <c r="Y305" s="14"/>
      <c r="Z305" s="12">
        <v>268.25</v>
      </c>
      <c r="AA305" s="13">
        <f>IFERROR(Z305/Z446, "NA")</f>
        <v>0.0003656991011</v>
      </c>
      <c r="AB305" s="14"/>
      <c r="AC305" s="15">
        <f t="shared" si="92"/>
        <v>268.25</v>
      </c>
      <c r="AD305" s="13">
        <f>IFERROR(AC305/AC446, "NA")</f>
        <v>0.001625620728</v>
      </c>
    </row>
    <row r="306" ht="16.5" customHeight="1">
      <c r="A306" s="11" t="s">
        <v>281</v>
      </c>
      <c r="B306" s="12">
        <v>50.97</v>
      </c>
      <c r="C306" s="13">
        <f>IFERROR(B306/B446, "NA")</f>
        <v>0.0005152670482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-50.97</v>
      </c>
      <c r="I306" s="13">
        <f>IFERROR(H306/H446, "NA")</f>
        <v>-0.02125149056</v>
      </c>
      <c r="J306" s="14"/>
      <c r="K306" s="12">
        <v>143.14</v>
      </c>
      <c r="L306" s="13">
        <f>IFERROR(K306/K446, "NA")</f>
        <v>0.001610899104</v>
      </c>
      <c r="M306" s="14"/>
      <c r="N306" s="15">
        <f t="shared" si="90"/>
        <v>92.17</v>
      </c>
      <c r="O306" s="13">
        <f>IFERROR(N306/N446, "NA")</f>
        <v>0.009159869891</v>
      </c>
      <c r="P306" s="14"/>
      <c r="Q306" s="12">
        <v>826.11</v>
      </c>
      <c r="R306" s="13">
        <f>IFERROR(Q306/Q446, "NA")</f>
        <v>0.000919391007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-826.11</v>
      </c>
      <c r="X306" s="13">
        <f>IFERROR(W306/W446, "NA")</f>
        <v>-0.007718824772</v>
      </c>
      <c r="Y306" s="14"/>
      <c r="Z306" s="12">
        <v>285.33</v>
      </c>
      <c r="AA306" s="13">
        <f>IFERROR(Z306/Z446, "NA")</f>
        <v>0.0003889838752</v>
      </c>
      <c r="AB306" s="14"/>
      <c r="AC306" s="15">
        <f t="shared" si="92"/>
        <v>-540.78</v>
      </c>
      <c r="AD306" s="13">
        <f>IFERROR(AC306/AC446, "NA")</f>
        <v>-0.003277178667</v>
      </c>
    </row>
    <row r="307" ht="16.5" hidden="1" customHeight="1">
      <c r="A307" s="11" t="s">
        <v>282</v>
      </c>
      <c r="B307" s="12">
        <v>0.0</v>
      </c>
      <c r="C307" s="13">
        <f>IFERROR(B307/B446, "NA")</f>
        <v>0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>
        <f>IFERROR(B308/B446, "NA")</f>
        <v>0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>
        <f>IFERROR(B309/B446, "NA")</f>
        <v>0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>
        <f>IFERROR(B310/B446, "NA")</f>
        <v>0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>
        <f>IFERROR(B311/B446, "NA")</f>
        <v>0</v>
      </c>
      <c r="D311" s="14"/>
      <c r="E311" s="12">
        <v>55.0</v>
      </c>
      <c r="F311" s="13">
        <f>IFERROR(E311/E446, "NA")</f>
        <v>0.0005698232388</v>
      </c>
      <c r="G311" s="14"/>
      <c r="H311" s="15">
        <f t="shared" si="89"/>
        <v>55</v>
      </c>
      <c r="I311" s="13">
        <f>IFERROR(H311/H446, "NA")</f>
        <v>0.02293176341</v>
      </c>
      <c r="J311" s="14"/>
      <c r="K311" s="12">
        <v>38.15</v>
      </c>
      <c r="L311" s="13">
        <f>IFERROR(K311/K446, "NA")</f>
        <v>0.0004293405116</v>
      </c>
      <c r="M311" s="14"/>
      <c r="N311" s="15">
        <f t="shared" si="90"/>
        <v>38.15</v>
      </c>
      <c r="O311" s="13">
        <f>IFERROR(N311/N446, "NA")</f>
        <v>0.003791353329</v>
      </c>
      <c r="P311" s="14"/>
      <c r="Q311" s="12">
        <v>334.75</v>
      </c>
      <c r="R311" s="13">
        <f>IFERROR(Q311/Q446, "NA")</f>
        <v>0.000372548619</v>
      </c>
      <c r="S311" s="14"/>
      <c r="T311" s="12">
        <v>440.0</v>
      </c>
      <c r="U311" s="13">
        <f>IFERROR(T311/T446, "NA")</f>
        <v>0.0005558959155</v>
      </c>
      <c r="V311" s="14"/>
      <c r="W311" s="15">
        <f t="shared" si="91"/>
        <v>105.25</v>
      </c>
      <c r="X311" s="13">
        <f>IFERROR(W311/W446, "NA")</f>
        <v>0.000983411782</v>
      </c>
      <c r="Y311" s="14"/>
      <c r="Z311" s="12">
        <v>323.8</v>
      </c>
      <c r="AA311" s="13">
        <f>IFERROR(Z311/Z446, "NA")</f>
        <v>0.000441429148</v>
      </c>
      <c r="AB311" s="14"/>
      <c r="AC311" s="15">
        <f t="shared" si="92"/>
        <v>-10.95</v>
      </c>
      <c r="AD311" s="13">
        <f>IFERROR(AC311/AC446, "NA")</f>
        <v>-0.00006635805022</v>
      </c>
    </row>
    <row r="312" ht="16.5" customHeight="1">
      <c r="A312" s="11" t="s">
        <v>287</v>
      </c>
      <c r="B312" s="12">
        <v>0.0</v>
      </c>
      <c r="C312" s="13">
        <f>IFERROR(B312/B446, "NA")</f>
        <v>0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60.62</v>
      </c>
      <c r="AA312" s="13">
        <f>IFERROR(Z312/Z446, "NA")</f>
        <v>0.00008264186211</v>
      </c>
      <c r="AB312" s="14"/>
      <c r="AC312" s="15">
        <f t="shared" si="92"/>
        <v>60.62</v>
      </c>
      <c r="AD312" s="13">
        <f>IFERROR(AC312/AC446, "NA")</f>
        <v>0.0003673630141</v>
      </c>
    </row>
    <row r="313" ht="16.5" customHeight="1">
      <c r="A313" s="11" t="s">
        <v>288</v>
      </c>
      <c r="B313" s="12">
        <v>207.86</v>
      </c>
      <c r="C313" s="13">
        <f>IFERROR(B313/B446, "NA")</f>
        <v>0.002101302897</v>
      </c>
      <c r="D313" s="14"/>
      <c r="E313" s="12">
        <v>35.0</v>
      </c>
      <c r="F313" s="13">
        <f>IFERROR(E313/E446, "NA")</f>
        <v>0.0003626147883</v>
      </c>
      <c r="G313" s="14"/>
      <c r="H313" s="15">
        <f t="shared" si="89"/>
        <v>-172.86</v>
      </c>
      <c r="I313" s="13">
        <f>IFERROR(H313/H446, "NA")</f>
        <v>-0.07207244769</v>
      </c>
      <c r="J313" s="14"/>
      <c r="K313" s="12">
        <v>532.33</v>
      </c>
      <c r="L313" s="13">
        <f>IFERROR(K313/K446, "NA")</f>
        <v>0.005990847563</v>
      </c>
      <c r="M313" s="14"/>
      <c r="N313" s="15">
        <f t="shared" si="90"/>
        <v>324.47</v>
      </c>
      <c r="O313" s="13">
        <f>IFERROR(N313/N446, "NA")</f>
        <v>0.03224588243</v>
      </c>
      <c r="P313" s="14"/>
      <c r="Q313" s="12">
        <v>2012.62</v>
      </c>
      <c r="R313" s="13">
        <f>IFERROR(Q313/Q446, "NA")</f>
        <v>0.002239876928</v>
      </c>
      <c r="S313" s="14"/>
      <c r="T313" s="12">
        <v>280.0</v>
      </c>
      <c r="U313" s="13">
        <f>IFERROR(T313/T446, "NA")</f>
        <v>0.0003537519462</v>
      </c>
      <c r="V313" s="14"/>
      <c r="W313" s="15">
        <f t="shared" si="91"/>
        <v>-1732.62</v>
      </c>
      <c r="X313" s="13">
        <f>IFERROR(W313/W446, "NA")</f>
        <v>-0.01618887337</v>
      </c>
      <c r="Y313" s="14"/>
      <c r="Z313" s="12">
        <v>1244.4</v>
      </c>
      <c r="AA313" s="13">
        <f>IFERROR(Z313/Z446, "NA")</f>
        <v>0.001696462112</v>
      </c>
      <c r="AB313" s="14"/>
      <c r="AC313" s="15">
        <f t="shared" si="92"/>
        <v>-768.22</v>
      </c>
      <c r="AD313" s="13">
        <f>IFERROR(AC313/AC446, "NA")</f>
        <v>-0.004655486881</v>
      </c>
    </row>
    <row r="314" ht="16.5" customHeight="1">
      <c r="A314" s="11" t="s">
        <v>289</v>
      </c>
      <c r="B314" s="12">
        <v>29.42</v>
      </c>
      <c r="C314" s="13">
        <f>IFERROR(B314/B446, "NA")</f>
        <v>0.0002974133129</v>
      </c>
      <c r="D314" s="14"/>
      <c r="E314" s="12">
        <v>15.0</v>
      </c>
      <c r="F314" s="13">
        <f>IFERROR(E314/E446, "NA")</f>
        <v>0.0001554063378</v>
      </c>
      <c r="G314" s="14"/>
      <c r="H314" s="15">
        <f t="shared" si="89"/>
        <v>-14.42</v>
      </c>
      <c r="I314" s="13">
        <f>IFERROR(H314/H446, "NA")</f>
        <v>-0.006012291425</v>
      </c>
      <c r="J314" s="14"/>
      <c r="K314" s="12">
        <v>24.0</v>
      </c>
      <c r="L314" s="13">
        <f>IFERROR(K314/K446, "NA")</f>
        <v>0.0002700962589</v>
      </c>
      <c r="M314" s="14"/>
      <c r="N314" s="15">
        <f t="shared" si="90"/>
        <v>-5.42</v>
      </c>
      <c r="O314" s="13">
        <f>IFERROR(N314/N446, "NA")</f>
        <v>-0.0005386404992</v>
      </c>
      <c r="P314" s="14"/>
      <c r="Q314" s="12">
        <v>213.81</v>
      </c>
      <c r="R314" s="13">
        <f>IFERROR(Q314/Q446, "NA")</f>
        <v>0.0002379525623</v>
      </c>
      <c r="S314" s="14"/>
      <c r="T314" s="12">
        <v>120.0</v>
      </c>
      <c r="U314" s="13">
        <f>IFERROR(T314/T446, "NA")</f>
        <v>0.0001516079769</v>
      </c>
      <c r="V314" s="14"/>
      <c r="W314" s="15">
        <f t="shared" si="91"/>
        <v>-93.81</v>
      </c>
      <c r="X314" s="13">
        <f>IFERROR(W314/W446, "NA")</f>
        <v>-0.0008765212282</v>
      </c>
      <c r="Y314" s="14"/>
      <c r="Z314" s="12">
        <v>58.0</v>
      </c>
      <c r="AA314" s="13">
        <f>IFERROR(Z314/Z446, "NA")</f>
        <v>0.00007907007592</v>
      </c>
      <c r="AB314" s="14"/>
      <c r="AC314" s="15">
        <f t="shared" si="92"/>
        <v>-155.81</v>
      </c>
      <c r="AD314" s="13">
        <f>IFERROR(AC314/AC446, "NA")</f>
        <v>-0.0009442235438</v>
      </c>
    </row>
    <row r="315" ht="16.5" hidden="1" customHeight="1">
      <c r="A315" s="11" t="s">
        <v>290</v>
      </c>
      <c r="B315" s="12">
        <v>0.0</v>
      </c>
      <c r="C315" s="13">
        <f>IFERROR(B315/B446, "NA")</f>
        <v>0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customHeight="1">
      <c r="A316" s="11" t="s">
        <v>291</v>
      </c>
      <c r="B316" s="12">
        <v>353.23</v>
      </c>
      <c r="C316" s="13">
        <f>IFERROR(B316/B446, "NA")</f>
        <v>0.003570880507</v>
      </c>
      <c r="D316" s="14"/>
      <c r="E316" s="12">
        <v>386.08</v>
      </c>
      <c r="F316" s="13">
        <f>IFERROR(E316/E446, "NA")</f>
        <v>0.003999951928</v>
      </c>
      <c r="G316" s="14"/>
      <c r="H316" s="15">
        <f t="shared" si="89"/>
        <v>32.85</v>
      </c>
      <c r="I316" s="13">
        <f>IFERROR(H316/H446, "NA")</f>
        <v>0.01369651687</v>
      </c>
      <c r="J316" s="14"/>
      <c r="K316" s="12">
        <v>408.07</v>
      </c>
      <c r="L316" s="13">
        <f>IFERROR(K316/K446, "NA")</f>
        <v>0.004592424183</v>
      </c>
      <c r="M316" s="14"/>
      <c r="N316" s="15">
        <f t="shared" si="90"/>
        <v>54.84</v>
      </c>
      <c r="O316" s="13">
        <f>IFERROR(N316/N446, "NA")</f>
        <v>0.005450008298</v>
      </c>
      <c r="P316" s="14"/>
      <c r="Q316" s="12">
        <v>3209.71</v>
      </c>
      <c r="R316" s="13">
        <f>IFERROR(Q316/Q446, "NA")</f>
        <v>0.003572137499</v>
      </c>
      <c r="S316" s="14"/>
      <c r="T316" s="12">
        <v>3166.06</v>
      </c>
      <c r="U316" s="13">
        <f>IFERROR(T316/T446, "NA")</f>
        <v>0.003999999596</v>
      </c>
      <c r="V316" s="14"/>
      <c r="W316" s="15">
        <f t="shared" si="91"/>
        <v>-43.65</v>
      </c>
      <c r="X316" s="13">
        <f>IFERROR(W316/W446, "NA")</f>
        <v>-0.0004078472616</v>
      </c>
      <c r="Y316" s="14"/>
      <c r="Z316" s="12">
        <v>3596.79</v>
      </c>
      <c r="AA316" s="13">
        <f>IFERROR(Z316/Z446, "NA")</f>
        <v>0.004903421696</v>
      </c>
      <c r="AB316" s="14"/>
      <c r="AC316" s="15">
        <f t="shared" si="92"/>
        <v>387.08</v>
      </c>
      <c r="AD316" s="13">
        <f>IFERROR(AC316/AC446, "NA")</f>
        <v>0.002345741925</v>
      </c>
    </row>
    <row r="317" ht="16.5" customHeight="1">
      <c r="A317" s="11" t="s">
        <v>292</v>
      </c>
      <c r="B317" s="12">
        <v>-0.62</v>
      </c>
      <c r="C317" s="13">
        <f>IFERROR(B317/B446, "NA")</f>
        <v>-0.000006267717675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0.62</v>
      </c>
      <c r="I317" s="13">
        <f>IFERROR(H317/H446, "NA")</f>
        <v>0.0002585035148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0.62</v>
      </c>
      <c r="O317" s="13">
        <f>IFERROR(N317/N446, "NA")</f>
        <v>0.00006161570286</v>
      </c>
      <c r="P317" s="14"/>
      <c r="Q317" s="12">
        <v>297.52</v>
      </c>
      <c r="R317" s="13">
        <f>IFERROR(Q317/Q446, "NA")</f>
        <v>0.0003311147576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-297.52</v>
      </c>
      <c r="X317" s="13">
        <f>IFERROR(W317/W446, "NA")</f>
        <v>-0.002779901885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-297.52</v>
      </c>
      <c r="AD317" s="13">
        <f>IFERROR(AC317/AC446, "NA")</f>
        <v>-0.001802999735</v>
      </c>
    </row>
    <row r="318" ht="16.5" hidden="1" customHeight="1">
      <c r="A318" s="11" t="s">
        <v>293</v>
      </c>
      <c r="B318" s="12">
        <v>0.0</v>
      </c>
      <c r="C318" s="13">
        <f>IFERROR(B318/B446, "NA")</f>
        <v>0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customHeight="1">
      <c r="A319" s="11" t="s">
        <v>294</v>
      </c>
      <c r="B319" s="12">
        <v>0.0</v>
      </c>
      <c r="C319" s="13">
        <f>IFERROR(B319/B446, "NA")</f>
        <v>0</v>
      </c>
      <c r="D319" s="14"/>
      <c r="E319" s="12">
        <v>415.0</v>
      </c>
      <c r="F319" s="13">
        <f>IFERROR(E319/E446, "NA")</f>
        <v>0.004299575347</v>
      </c>
      <c r="G319" s="14"/>
      <c r="H319" s="15">
        <f t="shared" si="89"/>
        <v>415</v>
      </c>
      <c r="I319" s="13">
        <f>IFERROR(H319/H446, "NA")</f>
        <v>0.1730305785</v>
      </c>
      <c r="J319" s="14"/>
      <c r="K319" s="12">
        <v>414.58</v>
      </c>
      <c r="L319" s="13">
        <f>IFERROR(K319/K446, "NA")</f>
        <v>0.004665687793</v>
      </c>
      <c r="M319" s="14"/>
      <c r="N319" s="15">
        <f t="shared" si="90"/>
        <v>414.58</v>
      </c>
      <c r="O319" s="13">
        <f>IFERROR(N319/N446, "NA")</f>
        <v>0.04120102918</v>
      </c>
      <c r="P319" s="14"/>
      <c r="Q319" s="12">
        <v>2072.9</v>
      </c>
      <c r="R319" s="13">
        <f>IFERROR(Q319/Q446, "NA")</f>
        <v>0.002306963502</v>
      </c>
      <c r="S319" s="14"/>
      <c r="T319" s="12">
        <v>3320.0</v>
      </c>
      <c r="U319" s="13">
        <f>IFERROR(T319/T446, "NA")</f>
        <v>0.004194487362</v>
      </c>
      <c r="V319" s="14"/>
      <c r="W319" s="15">
        <f t="shared" si="91"/>
        <v>1247.1</v>
      </c>
      <c r="X319" s="13">
        <f>IFERROR(W319/W446, "NA")</f>
        <v>0.01165237846</v>
      </c>
      <c r="Y319" s="14"/>
      <c r="Z319" s="12">
        <v>3316.64</v>
      </c>
      <c r="AA319" s="13">
        <f>IFERROR(Z319/Z446, "NA")</f>
        <v>0.004521499597</v>
      </c>
      <c r="AB319" s="14"/>
      <c r="AC319" s="15">
        <f t="shared" si="92"/>
        <v>1243.74</v>
      </c>
      <c r="AD319" s="13">
        <f>IFERROR(AC319/AC446, "NA")</f>
        <v>0.007537183688</v>
      </c>
    </row>
    <row r="320" ht="16.5" customHeight="1">
      <c r="A320" s="11" t="s">
        <v>295</v>
      </c>
      <c r="B320" s="12">
        <v>318.74</v>
      </c>
      <c r="C320" s="13">
        <f>IFERROR(B320/B446, "NA")</f>
        <v>0.003222213438</v>
      </c>
      <c r="D320" s="14"/>
      <c r="E320" s="12">
        <v>309.0</v>
      </c>
      <c r="F320" s="13">
        <f>IFERROR(E320/E446, "NA")</f>
        <v>0.00320137056</v>
      </c>
      <c r="G320" s="14"/>
      <c r="H320" s="15">
        <f t="shared" si="89"/>
        <v>-9.74</v>
      </c>
      <c r="I320" s="13">
        <f>IFERROR(H320/H446, "NA")</f>
        <v>-0.004061006829</v>
      </c>
      <c r="J320" s="14"/>
      <c r="K320" s="12">
        <v>308.5</v>
      </c>
      <c r="L320" s="13">
        <f>IFERROR(K320/K446, "NA")</f>
        <v>0.003471862328</v>
      </c>
      <c r="M320" s="14"/>
      <c r="N320" s="15">
        <f t="shared" si="90"/>
        <v>-10.24</v>
      </c>
      <c r="O320" s="13">
        <f>IFERROR(N320/N446, "NA")</f>
        <v>-0.001017652899</v>
      </c>
      <c r="P320" s="14"/>
      <c r="Q320" s="12">
        <v>2548.21</v>
      </c>
      <c r="R320" s="13">
        <f>IFERROR(Q320/Q446, "NA")</f>
        <v>0.002835943589</v>
      </c>
      <c r="S320" s="14"/>
      <c r="T320" s="12">
        <v>2472.0</v>
      </c>
      <c r="U320" s="13">
        <f>IFERROR(T320/T446, "NA")</f>
        <v>0.003123124325</v>
      </c>
      <c r="V320" s="14"/>
      <c r="W320" s="15">
        <f t="shared" si="91"/>
        <v>-76.21</v>
      </c>
      <c r="X320" s="13">
        <f>IFERROR(W320/W446, "NA")</f>
        <v>-0.0007120742224</v>
      </c>
      <c r="Y320" s="14"/>
      <c r="Z320" s="12">
        <v>2246.55</v>
      </c>
      <c r="AA320" s="13">
        <f>IFERROR(Z320/Z446, "NA")</f>
        <v>0.003062670329</v>
      </c>
      <c r="AB320" s="14"/>
      <c r="AC320" s="15">
        <f t="shared" si="92"/>
        <v>-301.66</v>
      </c>
      <c r="AD320" s="13">
        <f>IFERROR(AC320/AC446, "NA")</f>
        <v>-0.001828088532</v>
      </c>
    </row>
    <row r="321" ht="16.5" customHeight="1">
      <c r="A321" s="11" t="s">
        <v>296</v>
      </c>
      <c r="B321" s="12">
        <v>1060.87</v>
      </c>
      <c r="C321" s="13">
        <f>IFERROR(B321/B446, "NA")</f>
        <v>0.0107245704</v>
      </c>
      <c r="D321" s="14"/>
      <c r="E321" s="12">
        <v>1133.0</v>
      </c>
      <c r="F321" s="13">
        <f>IFERROR(E321/E446, "NA")</f>
        <v>0.01173835872</v>
      </c>
      <c r="G321" s="14"/>
      <c r="H321" s="15">
        <f t="shared" si="89"/>
        <v>72.13</v>
      </c>
      <c r="I321" s="13">
        <f>IFERROR(H321/H446, "NA")</f>
        <v>0.03007396536</v>
      </c>
      <c r="J321" s="14"/>
      <c r="K321" s="12">
        <v>1148.58</v>
      </c>
      <c r="L321" s="13">
        <f>IFERROR(K321/K446, "NA")</f>
        <v>0.01292613171</v>
      </c>
      <c r="M321" s="14"/>
      <c r="N321" s="15">
        <f t="shared" si="90"/>
        <v>87.71</v>
      </c>
      <c r="O321" s="13">
        <f>IFERROR(N321/N446, "NA")</f>
        <v>0.008716634352</v>
      </c>
      <c r="P321" s="14"/>
      <c r="Q321" s="12">
        <v>8493.63</v>
      </c>
      <c r="R321" s="13">
        <f>IFERROR(Q321/Q446, "NA")</f>
        <v>0.00945269642</v>
      </c>
      <c r="S321" s="14"/>
      <c r="T321" s="12">
        <v>9064.0</v>
      </c>
      <c r="U321" s="13">
        <f>IFERROR(T321/T446, "NA")</f>
        <v>0.01145145586</v>
      </c>
      <c r="V321" s="14"/>
      <c r="W321" s="15">
        <f t="shared" si="91"/>
        <v>570.37</v>
      </c>
      <c r="X321" s="13">
        <f>IFERROR(W321/W446, "NA")</f>
        <v>0.005329297654</v>
      </c>
      <c r="Y321" s="14"/>
      <c r="Z321" s="12">
        <v>9458.44</v>
      </c>
      <c r="AA321" s="13">
        <f>IFERROR(Z321/Z446, "NA")</f>
        <v>0.01289447533</v>
      </c>
      <c r="AB321" s="14"/>
      <c r="AC321" s="15">
        <f t="shared" si="92"/>
        <v>964.81</v>
      </c>
      <c r="AD321" s="13">
        <f>IFERROR(AC321/AC446, "NA")</f>
        <v>0.005846841136</v>
      </c>
    </row>
    <row r="322" ht="16.5" customHeight="1">
      <c r="A322" s="11" t="s">
        <v>297</v>
      </c>
      <c r="B322" s="12">
        <v>1278.4</v>
      </c>
      <c r="C322" s="13">
        <f>IFERROR(B322/B446, "NA")</f>
        <v>0.01292362948</v>
      </c>
      <c r="D322" s="14"/>
      <c r="E322" s="12">
        <v>1158.25</v>
      </c>
      <c r="F322" s="13">
        <f>IFERROR(E322/E446, "NA")</f>
        <v>0.01199995939</v>
      </c>
      <c r="G322" s="14"/>
      <c r="H322" s="15">
        <f t="shared" si="89"/>
        <v>-120.15</v>
      </c>
      <c r="I322" s="13">
        <f>IFERROR(H322/H446, "NA")</f>
        <v>-0.05009547952</v>
      </c>
      <c r="J322" s="14"/>
      <c r="K322" s="12">
        <v>1403.83</v>
      </c>
      <c r="L322" s="13">
        <f>IFERROR(K322/K446, "NA")</f>
        <v>0.01579871797</v>
      </c>
      <c r="M322" s="14"/>
      <c r="N322" s="15">
        <f t="shared" si="90"/>
        <v>125.43</v>
      </c>
      <c r="O322" s="13">
        <f>IFERROR(N322/N446, "NA")</f>
        <v>0.01246525421</v>
      </c>
      <c r="P322" s="14"/>
      <c r="Q322" s="12">
        <v>8226.99</v>
      </c>
      <c r="R322" s="13">
        <f>IFERROR(Q322/Q446, "NA")</f>
        <v>0.009155948507</v>
      </c>
      <c r="S322" s="14"/>
      <c r="T322" s="12">
        <v>9429.99</v>
      </c>
      <c r="U322" s="13">
        <f>IFERROR(T322/T446, "NA")</f>
        <v>0.01191384755</v>
      </c>
      <c r="V322" s="14"/>
      <c r="W322" s="15">
        <f t="shared" si="91"/>
        <v>1203</v>
      </c>
      <c r="X322" s="13">
        <f>IFERROR(W322/W446, "NA")</f>
        <v>0.01124032659</v>
      </c>
      <c r="Y322" s="14"/>
      <c r="Z322" s="12">
        <v>13055.28</v>
      </c>
      <c r="AA322" s="13">
        <f>IFERROR(Z322/Z446, "NA")</f>
        <v>0.01779796519</v>
      </c>
      <c r="AB322" s="14"/>
      <c r="AC322" s="15">
        <f t="shared" si="92"/>
        <v>4828.29</v>
      </c>
      <c r="AD322" s="13">
        <f>IFERROR(AC322/AC446, "NA")</f>
        <v>0.02925990048</v>
      </c>
    </row>
    <row r="323" ht="16.5" customHeight="1">
      <c r="A323" s="11" t="s">
        <v>298</v>
      </c>
      <c r="B323" s="12">
        <v>316.11</v>
      </c>
      <c r="C323" s="13">
        <f>IFERROR(B323/B446, "NA")</f>
        <v>0.003195626184</v>
      </c>
      <c r="D323" s="14"/>
      <c r="E323" s="12">
        <v>354.0</v>
      </c>
      <c r="F323" s="13">
        <f>IFERROR(E323/E446, "NA")</f>
        <v>0.003667589573</v>
      </c>
      <c r="G323" s="14"/>
      <c r="H323" s="15">
        <f t="shared" si="89"/>
        <v>37.89</v>
      </c>
      <c r="I323" s="13">
        <f>IFERROR(H323/H446, "NA")</f>
        <v>0.01579790028</v>
      </c>
      <c r="J323" s="14"/>
      <c r="K323" s="12">
        <v>302.16</v>
      </c>
      <c r="L323" s="13">
        <f>IFERROR(K323/K446, "NA")</f>
        <v>0.0034005119</v>
      </c>
      <c r="M323" s="14"/>
      <c r="N323" s="15">
        <f t="shared" si="90"/>
        <v>-13.95</v>
      </c>
      <c r="O323" s="13">
        <f>IFERROR(N323/N446, "NA")</f>
        <v>-0.001386353314</v>
      </c>
      <c r="P323" s="14"/>
      <c r="Q323" s="12">
        <v>3325.9</v>
      </c>
      <c r="R323" s="13">
        <f>IFERROR(Q323/Q446, "NA")</f>
        <v>0.003701447205</v>
      </c>
      <c r="S323" s="14"/>
      <c r="T323" s="12">
        <v>2832.0</v>
      </c>
      <c r="U323" s="13">
        <f>IFERROR(T323/T446, "NA")</f>
        <v>0.003577948256</v>
      </c>
      <c r="V323" s="14"/>
      <c r="W323" s="15">
        <f t="shared" si="91"/>
        <v>-493.9</v>
      </c>
      <c r="X323" s="13">
        <f>IFERROR(W323/W446, "NA")</f>
        <v>-0.004614794101</v>
      </c>
      <c r="Y323" s="14"/>
      <c r="Z323" s="12">
        <v>3043.57</v>
      </c>
      <c r="AA323" s="13">
        <f>IFERROR(Z323/Z446, "NA")</f>
        <v>0.0041492295</v>
      </c>
      <c r="AB323" s="14"/>
      <c r="AC323" s="15">
        <f t="shared" si="92"/>
        <v>-282.33</v>
      </c>
      <c r="AD323" s="13">
        <f>IFERROR(AC323/AC446, "NA")</f>
        <v>-0.001710946878</v>
      </c>
    </row>
    <row r="324" ht="16.5" hidden="1" customHeight="1">
      <c r="A324" s="11" t="s">
        <v>299</v>
      </c>
      <c r="B324" s="12">
        <v>0.0</v>
      </c>
      <c r="C324" s="13">
        <f>IFERROR(B324/B446, "NA")</f>
        <v>0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0.0</v>
      </c>
      <c r="R324" s="13">
        <f>IFERROR(Q324/Q446, "NA")</f>
        <v>0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0</v>
      </c>
      <c r="X324" s="13">
        <f>IFERROR(W324/W446, "NA")</f>
        <v>0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0</v>
      </c>
      <c r="AD324" s="13">
        <f>IFERROR(AC324/AC446, "NA")</f>
        <v>0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3773.98</v>
      </c>
      <c r="C325" s="18">
        <f>IFERROR(B325/B446, "NA")</f>
        <v>0.03815200186</v>
      </c>
      <c r="D325" s="8"/>
      <c r="E325" s="17">
        <f>IFERROR(E298+E299+E300+E301+E302+E303+E304+E305+E306+E307+E308+E309+E310+E311+E312+E313+E314+E315+E316+E317+E318+E319+E320+E321+E322+E323+E324, "NA")</f>
        <v>4019.33</v>
      </c>
      <c r="F325" s="18">
        <f>IFERROR(E325/E446, "NA")</f>
        <v>0.04164195706</v>
      </c>
      <c r="G325" s="8"/>
      <c r="H325" s="17">
        <f t="shared" si="89"/>
        <v>245.35</v>
      </c>
      <c r="I325" s="18">
        <f>IFERROR(H325/H446, "NA")</f>
        <v>0.1022965119</v>
      </c>
      <c r="J325" s="8"/>
      <c r="K325" s="17">
        <f>IFERROR(K298+K299+K300+K301+K302+K303+K304+K305+K306+K307+K308+K309+K310+K311+K312+K313+K314+K315+K316+K317+K318+K319+K320+K321+K322+K323+K324, "NA")</f>
        <v>4723.34</v>
      </c>
      <c r="L325" s="18">
        <f>IFERROR(K325/K446, "NA")</f>
        <v>0.05315651932</v>
      </c>
      <c r="M325" s="8"/>
      <c r="N325" s="17">
        <f t="shared" si="90"/>
        <v>949.36</v>
      </c>
      <c r="O325" s="18">
        <f>IFERROR(N325/N446, "NA")</f>
        <v>0.0943475543</v>
      </c>
      <c r="P325" s="8"/>
      <c r="Q325" s="17">
        <f>IFERROR(Q298+Q299+Q300+Q301+Q302+Q303+Q304+Q305+Q306+Q307+Q308+Q309+Q310+Q311+Q312+Q313+Q314+Q315+Q316+Q317+Q318+Q319+Q320+Q321+Q322+Q323+Q324, "NA")</f>
        <v>32834.15</v>
      </c>
      <c r="R325" s="18">
        <f>IFERROR(Q325/Q446, "NA")</f>
        <v>0.0365416497</v>
      </c>
      <c r="S325" s="8"/>
      <c r="T325" s="17">
        <f>IFERROR(T298+T299+T300+T301+T302+T303+T304+T305+T306+T307+T308+T309+T310+T311+T312+T313+T314+T315+T316+T317+T318+T319+T320+T321+T322+T323+T324, "NA")</f>
        <v>32396.05</v>
      </c>
      <c r="U325" s="18">
        <f>IFERROR(T325/T446, "NA")</f>
        <v>0.04092916335</v>
      </c>
      <c r="V325" s="8"/>
      <c r="W325" s="17">
        <f t="shared" si="91"/>
        <v>-438.1</v>
      </c>
      <c r="X325" s="18">
        <f>IFERROR(W325/W446, "NA")</f>
        <v>-0.004093422344</v>
      </c>
      <c r="Y325" s="8"/>
      <c r="Z325" s="17">
        <f>IFERROR(Z298+Z299+Z300+Z301+Z302+Z303+Z304+Z305+Z306+Z307+Z308+Z309+Z310+Z311+Z312+Z313+Z314+Z315+Z316+Z317+Z318+Z319+Z320+Z321+Z322+Z323+Z324, "NA")</f>
        <v>37369.32</v>
      </c>
      <c r="AA325" s="18">
        <f>IFERROR(Z325/Z446, "NA")</f>
        <v>0.05094474085</v>
      </c>
      <c r="AB325" s="8"/>
      <c r="AC325" s="17">
        <f t="shared" si="92"/>
        <v>4535.17</v>
      </c>
      <c r="AD325" s="18">
        <f>IFERROR(AC325/AC446, "NA")</f>
        <v>0.02748356517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27107.75</v>
      </c>
      <c r="C326" s="18">
        <f>IFERROR(B326/B446, "NA")</f>
        <v>0.2740382642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24365.32</v>
      </c>
      <c r="F326" s="18">
        <f>IFERROR(E326/E446, "NA")</f>
        <v>0.2524350101</v>
      </c>
      <c r="G326" s="8"/>
      <c r="H326" s="17">
        <f t="shared" si="89"/>
        <v>-2742.43</v>
      </c>
      <c r="I326" s="18">
        <f>IFERROR(H326/H446, "NA")</f>
        <v>-1.143431926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24588.36</v>
      </c>
      <c r="L326" s="18">
        <f>IFERROR(K326/K446, "NA")</f>
        <v>0.2767176687</v>
      </c>
      <c r="M326" s="8"/>
      <c r="N326" s="17">
        <f t="shared" si="90"/>
        <v>-2519.39</v>
      </c>
      <c r="O326" s="18">
        <f>IFERROR(N326/N446, "NA")</f>
        <v>-0.2503773962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244760.52</v>
      </c>
      <c r="R326" s="18">
        <f>IFERROR(Q326/Q446, "NA")</f>
        <v>0.2723978901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198560.7</v>
      </c>
      <c r="U326" s="18">
        <f>IFERROR(T326/T446, "NA")</f>
        <v>0.2508615502</v>
      </c>
      <c r="V326" s="8"/>
      <c r="W326" s="17">
        <f t="shared" si="91"/>
        <v>-46199.82</v>
      </c>
      <c r="X326" s="18">
        <f>IFERROR(W326/W446, "NA")</f>
        <v>-0.4316717085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218722.82</v>
      </c>
      <c r="AA326" s="18">
        <f>IFERROR(Z326/Z446, "NA")</f>
        <v>0.2981798273</v>
      </c>
      <c r="AB326" s="8"/>
      <c r="AC326" s="17">
        <f t="shared" si="92"/>
        <v>-26037.7</v>
      </c>
      <c r="AD326" s="18">
        <f>IFERROR(AC326/AC446, "NA")</f>
        <v>-0.1577909593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>
        <f>IFERROR(B329/B446, "NA")</f>
        <v>0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11785.18</v>
      </c>
      <c r="C330" s="13">
        <f>IFERROR(B330/B446, "NA")</f>
        <v>0.1191390016</v>
      </c>
      <c r="D330" s="14"/>
      <c r="E330" s="12">
        <v>11785.18</v>
      </c>
      <c r="F330" s="13">
        <f>IFERROR(E330/E446, "NA")</f>
        <v>0.1220994443</v>
      </c>
      <c r="G330" s="14"/>
      <c r="H330" s="15">
        <f t="shared" si="93"/>
        <v>0</v>
      </c>
      <c r="I330" s="13">
        <f>IFERROR(H330/H446, "NA")</f>
        <v>0</v>
      </c>
      <c r="J330" s="14"/>
      <c r="K330" s="12">
        <v>11441.92</v>
      </c>
      <c r="L330" s="13">
        <f>IFERROR(K330/K446, "NA")</f>
        <v>0.1287674911</v>
      </c>
      <c r="M330" s="14"/>
      <c r="N330" s="15">
        <f t="shared" si="94"/>
        <v>-343.26</v>
      </c>
      <c r="O330" s="13">
        <f>IFERROR(N330/N446, "NA")</f>
        <v>-0.03411323575</v>
      </c>
      <c r="P330" s="14"/>
      <c r="Q330" s="12">
        <v>92221.88</v>
      </c>
      <c r="R330" s="13">
        <f>IFERROR(Q330/Q446, "NA")</f>
        <v>0.1026352025</v>
      </c>
      <c r="S330" s="14"/>
      <c r="T330" s="12">
        <v>92221.88</v>
      </c>
      <c r="U330" s="13">
        <f>IFERROR(T330/T446, "NA")</f>
        <v>0.1165131055</v>
      </c>
      <c r="V330" s="14"/>
      <c r="W330" s="15">
        <f t="shared" si="95"/>
        <v>0</v>
      </c>
      <c r="X330" s="13">
        <f>IFERROR(W330/W446, "NA")</f>
        <v>0</v>
      </c>
      <c r="Y330" s="14"/>
      <c r="Z330" s="12">
        <v>72389.21</v>
      </c>
      <c r="AA330" s="13">
        <f>IFERROR(Z330/Z446, "NA")</f>
        <v>0.09868655743</v>
      </c>
      <c r="AB330" s="14"/>
      <c r="AC330" s="15">
        <f t="shared" si="96"/>
        <v>-19832.67</v>
      </c>
      <c r="AD330" s="13">
        <f>IFERROR(AC330/AC446, "NA")</f>
        <v>-0.1201878824</v>
      </c>
    </row>
    <row r="331" ht="16.5" customHeight="1">
      <c r="A331" s="11" t="s">
        <v>305</v>
      </c>
      <c r="B331" s="12">
        <v>1183.37</v>
      </c>
      <c r="C331" s="13">
        <f>IFERROR(B331/B446, "NA")</f>
        <v>0.01196295011</v>
      </c>
      <c r="D331" s="14"/>
      <c r="E331" s="12">
        <v>1183.37</v>
      </c>
      <c r="F331" s="13">
        <f>IFERROR(E331/E446, "NA")</f>
        <v>0.0122602132</v>
      </c>
      <c r="G331" s="14"/>
      <c r="H331" s="15">
        <f t="shared" si="93"/>
        <v>0</v>
      </c>
      <c r="I331" s="13">
        <f>IFERROR(H331/H446, "NA")</f>
        <v>0</v>
      </c>
      <c r="J331" s="14"/>
      <c r="K331" s="12">
        <v>1026.43</v>
      </c>
      <c r="L331" s="13">
        <f>IFERROR(K331/K446, "NA")</f>
        <v>0.01155145429</v>
      </c>
      <c r="M331" s="14"/>
      <c r="N331" s="15">
        <f t="shared" si="94"/>
        <v>-156.94</v>
      </c>
      <c r="O331" s="13">
        <f>IFERROR(N331/N446, "NA")</f>
        <v>-0.01559672324</v>
      </c>
      <c r="P331" s="14"/>
      <c r="Q331" s="12">
        <v>9347.85</v>
      </c>
      <c r="R331" s="13">
        <f>IFERROR(Q331/Q446, "NA")</f>
        <v>0.01040337149</v>
      </c>
      <c r="S331" s="14"/>
      <c r="T331" s="12">
        <v>9466.96</v>
      </c>
      <c r="U331" s="13">
        <f>IFERROR(T331/T446, "NA")</f>
        <v>0.01196055545</v>
      </c>
      <c r="V331" s="14"/>
      <c r="W331" s="15">
        <f t="shared" si="95"/>
        <v>119.11</v>
      </c>
      <c r="X331" s="13">
        <f>IFERROR(W331/W446, "NA")</f>
        <v>0.001112913799</v>
      </c>
      <c r="Y331" s="14"/>
      <c r="Z331" s="12">
        <v>6001.74</v>
      </c>
      <c r="AA331" s="13">
        <f>IFERROR(Z331/Z446, "NA")</f>
        <v>0.008182035129</v>
      </c>
      <c r="AB331" s="14"/>
      <c r="AC331" s="15">
        <f t="shared" si="96"/>
        <v>-3346.11</v>
      </c>
      <c r="AD331" s="13">
        <f>IFERROR(AC331/AC446, "NA")</f>
        <v>-0.02027774753</v>
      </c>
    </row>
    <row r="332" ht="16.5" hidden="1" customHeight="1">
      <c r="A332" s="11" t="s">
        <v>306</v>
      </c>
      <c r="B332" s="12">
        <v>0.0</v>
      </c>
      <c r="C332" s="13">
        <f>IFERROR(B332/B446, "NA")</f>
        <v>0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hidden="1" customHeight="1">
      <c r="A333" s="11" t="s">
        <v>307</v>
      </c>
      <c r="B333" s="12">
        <v>0.0</v>
      </c>
      <c r="C333" s="13">
        <f>IFERROR(B333/B446, "NA")</f>
        <v>0</v>
      </c>
      <c r="D333" s="14"/>
      <c r="E333" s="12">
        <v>0.0</v>
      </c>
      <c r="F333" s="13">
        <f>IFERROR(E333/E446, "NA")</f>
        <v>0</v>
      </c>
      <c r="G333" s="14"/>
      <c r="H333" s="15">
        <f t="shared" si="93"/>
        <v>0</v>
      </c>
      <c r="I333" s="13">
        <f>IFERROR(H333/H446, "NA")</f>
        <v>0</v>
      </c>
      <c r="J333" s="14"/>
      <c r="K333" s="12">
        <v>0.0</v>
      </c>
      <c r="L333" s="13">
        <f>IFERROR(K333/K446, "NA")</f>
        <v>0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0.0</v>
      </c>
      <c r="R333" s="13">
        <f>IFERROR(Q333/Q446, "NA")</f>
        <v>0</v>
      </c>
      <c r="S333" s="14"/>
      <c r="T333" s="12">
        <v>0.0</v>
      </c>
      <c r="U333" s="13">
        <f>IFERROR(T333/T446, "NA")</f>
        <v>0</v>
      </c>
      <c r="V333" s="14"/>
      <c r="W333" s="15">
        <f t="shared" si="95"/>
        <v>0</v>
      </c>
      <c r="X333" s="13">
        <f>IFERROR(W333/W446, "NA")</f>
        <v>0</v>
      </c>
      <c r="Y333" s="14"/>
      <c r="Z333" s="12">
        <v>0.0</v>
      </c>
      <c r="AA333" s="13">
        <f>IFERROR(Z333/Z446, "NA")</f>
        <v>0</v>
      </c>
      <c r="AB333" s="14"/>
      <c r="AC333" s="15">
        <f t="shared" si="96"/>
        <v>0</v>
      </c>
      <c r="AD333" s="13">
        <f>IFERROR(AC333/AC446, "NA")</f>
        <v>0</v>
      </c>
    </row>
    <row r="334" ht="16.5" customHeight="1">
      <c r="A334" s="11" t="s">
        <v>308</v>
      </c>
      <c r="B334" s="12">
        <v>781.76</v>
      </c>
      <c r="C334" s="13">
        <f>IFERROR(B334/B446, "NA")</f>
        <v>0.007902985435</v>
      </c>
      <c r="D334" s="14"/>
      <c r="E334" s="12">
        <v>860.0</v>
      </c>
      <c r="F334" s="13">
        <f>IFERROR(E334/E446, "NA")</f>
        <v>0.00890996337</v>
      </c>
      <c r="G334" s="14"/>
      <c r="H334" s="15">
        <f t="shared" si="93"/>
        <v>78.24</v>
      </c>
      <c r="I334" s="13">
        <f>IFERROR(H334/H446, "NA")</f>
        <v>0.0326214758</v>
      </c>
      <c r="J334" s="14"/>
      <c r="K334" s="12">
        <v>860.16</v>
      </c>
      <c r="L334" s="13">
        <f>IFERROR(K334/K446, "NA")</f>
        <v>0.00968024992</v>
      </c>
      <c r="M334" s="14"/>
      <c r="N334" s="15">
        <f t="shared" si="94"/>
        <v>78.4</v>
      </c>
      <c r="O334" s="13">
        <f>IFERROR(N334/N446, "NA")</f>
        <v>0.007791405007</v>
      </c>
      <c r="P334" s="14"/>
      <c r="Q334" s="12">
        <v>5321.3</v>
      </c>
      <c r="R334" s="13">
        <f>IFERROR(Q334/Q446, "NA")</f>
        <v>0.005922159719</v>
      </c>
      <c r="S334" s="14"/>
      <c r="T334" s="12">
        <v>6880.0</v>
      </c>
      <c r="U334" s="13">
        <f>IFERROR(T334/T446, "NA")</f>
        <v>0.008692190678</v>
      </c>
      <c r="V334" s="14"/>
      <c r="W334" s="15">
        <f t="shared" si="95"/>
        <v>1558.7</v>
      </c>
      <c r="X334" s="13">
        <f>IFERROR(W334/W446, "NA")</f>
        <v>0.01456383795</v>
      </c>
      <c r="Y334" s="14"/>
      <c r="Z334" s="12">
        <v>8170.31</v>
      </c>
      <c r="AA334" s="13">
        <f>IFERROR(Z334/Z446, "NA")</f>
        <v>0.0111383971</v>
      </c>
      <c r="AB334" s="14"/>
      <c r="AC334" s="15">
        <f t="shared" si="96"/>
        <v>2849.01</v>
      </c>
      <c r="AD334" s="13">
        <f>IFERROR(AC334/AC446, "NA")</f>
        <v>0.01726527385</v>
      </c>
    </row>
    <row r="335" ht="16.5" customHeight="1">
      <c r="A335" s="11" t="s">
        <v>309</v>
      </c>
      <c r="B335" s="12">
        <v>-907.46</v>
      </c>
      <c r="C335" s="13">
        <f>IFERROR(B335/B446, "NA")</f>
        <v>-0.009173714648</v>
      </c>
      <c r="D335" s="14"/>
      <c r="E335" s="12">
        <v>-907.46</v>
      </c>
      <c r="F335" s="13">
        <f>IFERROR(E335/E446, "NA")</f>
        <v>-0.009401669023</v>
      </c>
      <c r="G335" s="14"/>
      <c r="H335" s="15">
        <f t="shared" si="93"/>
        <v>0</v>
      </c>
      <c r="I335" s="13">
        <f>IFERROR(H335/H446, "NA")</f>
        <v>0</v>
      </c>
      <c r="J335" s="14"/>
      <c r="K335" s="12">
        <v>-881.03</v>
      </c>
      <c r="L335" s="13">
        <f>IFERROR(K335/K446, "NA")</f>
        <v>-0.009915121125</v>
      </c>
      <c r="M335" s="14"/>
      <c r="N335" s="15">
        <f t="shared" si="94"/>
        <v>26.43</v>
      </c>
      <c r="O335" s="13">
        <f>IFERROR(N335/N446, "NA")</f>
        <v>0.002626617785</v>
      </c>
      <c r="P335" s="14"/>
      <c r="Q335" s="12">
        <v>-1814.92</v>
      </c>
      <c r="R335" s="13">
        <f>IFERROR(Q335/Q446, "NA")</f>
        <v>-0.002019853441</v>
      </c>
      <c r="S335" s="14"/>
      <c r="T335" s="12">
        <v>-1814.92</v>
      </c>
      <c r="U335" s="13">
        <f>IFERROR(T335/T446, "NA")</f>
        <v>-0.002292969579</v>
      </c>
      <c r="V335" s="14"/>
      <c r="W335" s="15">
        <f t="shared" si="95"/>
        <v>0</v>
      </c>
      <c r="X335" s="13">
        <f>IFERROR(W335/W446, "NA")</f>
        <v>0</v>
      </c>
      <c r="Y335" s="14"/>
      <c r="Z335" s="12">
        <v>-1762.06</v>
      </c>
      <c r="AA335" s="13">
        <f>IFERROR(Z335/Z446, "NA")</f>
        <v>-0.002402176172</v>
      </c>
      <c r="AB335" s="14"/>
      <c r="AC335" s="15">
        <f t="shared" si="96"/>
        <v>52.86</v>
      </c>
      <c r="AD335" s="13">
        <f>IFERROR(AC335/AC446, "NA")</f>
        <v>0.0003203366698</v>
      </c>
    </row>
    <row r="336" ht="16.5" hidden="1" customHeight="1">
      <c r="A336" s="11" t="s">
        <v>310</v>
      </c>
      <c r="B336" s="12">
        <v>0.0</v>
      </c>
      <c r="C336" s="13">
        <f>IFERROR(B336/B446, "NA")</f>
        <v>0</v>
      </c>
      <c r="D336" s="14"/>
      <c r="E336" s="12">
        <v>0.0</v>
      </c>
      <c r="F336" s="13">
        <f>IFERROR(E336/E446, "NA")</f>
        <v>0</v>
      </c>
      <c r="G336" s="14"/>
      <c r="H336" s="15">
        <f t="shared" si="93"/>
        <v>0</v>
      </c>
      <c r="I336" s="13">
        <f>IFERROR(H336/H446, "NA")</f>
        <v>0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0</v>
      </c>
      <c r="O336" s="13">
        <f>IFERROR(N336/N446, "NA")</f>
        <v>0</v>
      </c>
      <c r="P336" s="14"/>
      <c r="Q336" s="12">
        <v>0.0</v>
      </c>
      <c r="R336" s="13">
        <f>IFERROR(Q336/Q446, "NA")</f>
        <v>0</v>
      </c>
      <c r="S336" s="14"/>
      <c r="T336" s="12">
        <v>0.0</v>
      </c>
      <c r="U336" s="13">
        <f>IFERROR(T336/T446, "NA")</f>
        <v>0</v>
      </c>
      <c r="V336" s="14"/>
      <c r="W336" s="15">
        <f t="shared" si="95"/>
        <v>0</v>
      </c>
      <c r="X336" s="13">
        <f>IFERROR(W336/W446, "NA")</f>
        <v>0</v>
      </c>
      <c r="Y336" s="14"/>
      <c r="Z336" s="12">
        <v>0.0</v>
      </c>
      <c r="AA336" s="13">
        <f>IFERROR(Z336/Z446, "NA")</f>
        <v>0</v>
      </c>
      <c r="AB336" s="14"/>
      <c r="AC336" s="15">
        <f t="shared" si="96"/>
        <v>0</v>
      </c>
      <c r="AD336" s="13">
        <f>IFERROR(AC336/AC446, "NA")</f>
        <v>0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>
        <f>IFERROR(B338/B446, "NA")</f>
        <v>0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2084.73</v>
      </c>
      <c r="C339" s="13">
        <f>IFERROR(B339/B446, "NA")</f>
        <v>0.0210749985</v>
      </c>
      <c r="D339" s="14"/>
      <c r="E339" s="12">
        <v>1158.25</v>
      </c>
      <c r="F339" s="13">
        <f>IFERROR(E339/E446, "NA")</f>
        <v>0.01199995939</v>
      </c>
      <c r="G339" s="14"/>
      <c r="H339" s="15">
        <f t="shared" si="97"/>
        <v>-926.48</v>
      </c>
      <c r="I339" s="13">
        <f>IFERROR(H339/H446, "NA")</f>
        <v>-0.3862876394</v>
      </c>
      <c r="J339" s="14"/>
      <c r="K339" s="12">
        <v>1575.6</v>
      </c>
      <c r="L339" s="13">
        <f>IFERROR(K339/K446, "NA")</f>
        <v>0.0177318194</v>
      </c>
      <c r="M339" s="14"/>
      <c r="N339" s="15">
        <f t="shared" si="98"/>
        <v>-509.13</v>
      </c>
      <c r="O339" s="13">
        <f>IFERROR(N339/N446, "NA")</f>
        <v>-0.05059742387</v>
      </c>
      <c r="P339" s="14"/>
      <c r="Q339" s="12">
        <v>11314.27</v>
      </c>
      <c r="R339" s="13">
        <f>IFERROR(Q339/Q446, "NA")</f>
        <v>0.0125918317</v>
      </c>
      <c r="S339" s="14"/>
      <c r="T339" s="12">
        <v>9498.18</v>
      </c>
      <c r="U339" s="13">
        <f>IFERROR(T339/T446, "NA")</f>
        <v>0.01199999879</v>
      </c>
      <c r="V339" s="14"/>
      <c r="W339" s="15">
        <f t="shared" si="99"/>
        <v>-1816.09</v>
      </c>
      <c r="X339" s="13">
        <f>IFERROR(W339/W446, "NA")</f>
        <v>-0.01696878198</v>
      </c>
      <c r="Y339" s="14"/>
      <c r="Z339" s="12">
        <v>9389.63</v>
      </c>
      <c r="AA339" s="13">
        <f>IFERROR(Z339/Z446, "NA")</f>
        <v>0.01280066822</v>
      </c>
      <c r="AB339" s="14"/>
      <c r="AC339" s="15">
        <f t="shared" si="100"/>
        <v>-1924.64</v>
      </c>
      <c r="AD339" s="13">
        <f>IFERROR(AC339/AC446, "NA")</f>
        <v>-0.01166350299</v>
      </c>
    </row>
    <row r="340" ht="16.5" customHeight="1">
      <c r="A340" s="11" t="s">
        <v>313</v>
      </c>
      <c r="B340" s="12">
        <v>267.73</v>
      </c>
      <c r="C340" s="13">
        <f>IFERROR(B340/B446, "NA")</f>
        <v>0.002706542021</v>
      </c>
      <c r="D340" s="14"/>
      <c r="E340" s="12">
        <v>482.61</v>
      </c>
      <c r="F340" s="13">
        <f>IFERROR(E340/E446, "NA")</f>
        <v>0.005000043514</v>
      </c>
      <c r="G340" s="14"/>
      <c r="H340" s="15">
        <f t="shared" si="97"/>
        <v>214.88</v>
      </c>
      <c r="I340" s="13">
        <f>IFERROR(H340/H446, "NA")</f>
        <v>0.08959231494</v>
      </c>
      <c r="J340" s="14"/>
      <c r="K340" s="12">
        <v>273.56</v>
      </c>
      <c r="L340" s="13">
        <f>IFERROR(K340/K446, "NA")</f>
        <v>0.003078647191</v>
      </c>
      <c r="M340" s="14"/>
      <c r="N340" s="15">
        <f t="shared" si="98"/>
        <v>5.83</v>
      </c>
      <c r="O340" s="13">
        <f>IFERROR(N340/N446, "NA")</f>
        <v>0.0005793863672</v>
      </c>
      <c r="P340" s="14"/>
      <c r="Q340" s="12">
        <v>3535.87</v>
      </c>
      <c r="R340" s="13">
        <f>IFERROR(Q340/Q446, "NA")</f>
        <v>0.00393512617</v>
      </c>
      <c r="S340" s="14"/>
      <c r="T340" s="12">
        <v>3957.58</v>
      </c>
      <c r="U340" s="13">
        <f>IFERROR(T340/T446, "NA")</f>
        <v>0.005000005812</v>
      </c>
      <c r="V340" s="14"/>
      <c r="W340" s="15">
        <f t="shared" si="99"/>
        <v>421.71</v>
      </c>
      <c r="X340" s="13">
        <f>IFERROR(W340/W446, "NA")</f>
        <v>0.00394028107</v>
      </c>
      <c r="Y340" s="14"/>
      <c r="Z340" s="12">
        <v>3718.04</v>
      </c>
      <c r="AA340" s="13">
        <f>IFERROR(Z340/Z446, "NA")</f>
        <v>0.005068719053</v>
      </c>
      <c r="AB340" s="14"/>
      <c r="AC340" s="15">
        <f t="shared" si="100"/>
        <v>182.17</v>
      </c>
      <c r="AD340" s="13">
        <f>IFERROR(AC340/AC446, "NA")</f>
        <v>0.001103967672</v>
      </c>
    </row>
    <row r="341" ht="16.5" customHeight="1">
      <c r="A341" s="11" t="s">
        <v>314</v>
      </c>
      <c r="B341" s="12">
        <v>447.23</v>
      </c>
      <c r="C341" s="13">
        <f>IFERROR(B341/B446, "NA")</f>
        <v>0.004521147381</v>
      </c>
      <c r="D341" s="14"/>
      <c r="E341" s="12">
        <v>386.08</v>
      </c>
      <c r="F341" s="13">
        <f>IFERROR(E341/E446, "NA")</f>
        <v>0.003999951928</v>
      </c>
      <c r="G341" s="14"/>
      <c r="H341" s="15">
        <f t="shared" si="97"/>
        <v>-61.15</v>
      </c>
      <c r="I341" s="13">
        <f>IFERROR(H341/H446, "NA")</f>
        <v>-0.0254959515</v>
      </c>
      <c r="J341" s="14"/>
      <c r="K341" s="12">
        <v>492.84</v>
      </c>
      <c r="L341" s="13">
        <f>IFERROR(K341/K446, "NA")</f>
        <v>0.005546426677</v>
      </c>
      <c r="M341" s="14"/>
      <c r="N341" s="15">
        <f t="shared" si="98"/>
        <v>45.61</v>
      </c>
      <c r="O341" s="13">
        <f>IFERROR(N341/N446, "NA")</f>
        <v>0.004532729367</v>
      </c>
      <c r="P341" s="14"/>
      <c r="Q341" s="12">
        <v>3280.68</v>
      </c>
      <c r="R341" s="13">
        <f>IFERROR(Q341/Q446, "NA")</f>
        <v>0.003651121145</v>
      </c>
      <c r="S341" s="14"/>
      <c r="T341" s="12">
        <v>3166.06</v>
      </c>
      <c r="U341" s="13">
        <f>IFERROR(T341/T446, "NA")</f>
        <v>0.003999999596</v>
      </c>
      <c r="V341" s="14"/>
      <c r="W341" s="15">
        <f t="shared" si="99"/>
        <v>-114.62</v>
      </c>
      <c r="X341" s="13">
        <f>IFERROR(W341/W446, "NA")</f>
        <v>-0.001070961125</v>
      </c>
      <c r="Y341" s="14"/>
      <c r="Z341" s="12">
        <v>3256.56</v>
      </c>
      <c r="AA341" s="13">
        <f>IFERROR(Z341/Z446, "NA")</f>
        <v>0.004439593904</v>
      </c>
      <c r="AB341" s="14"/>
      <c r="AC341" s="15">
        <f t="shared" si="100"/>
        <v>-24.12</v>
      </c>
      <c r="AD341" s="13">
        <f>IFERROR(AC341/AC446, "NA")</f>
        <v>-0.0001461695134</v>
      </c>
    </row>
    <row r="342" ht="16.5" hidden="1" customHeight="1">
      <c r="A342" s="11" t="s">
        <v>315</v>
      </c>
      <c r="B342" s="12">
        <v>0.0</v>
      </c>
      <c r="C342" s="13">
        <f>IFERROR(B342/B446, "NA")</f>
        <v>0</v>
      </c>
      <c r="D342" s="14"/>
      <c r="E342" s="12">
        <v>0.0</v>
      </c>
      <c r="F342" s="13">
        <f>IFERROR(E342/E446, "NA")</f>
        <v>0</v>
      </c>
      <c r="G342" s="14"/>
      <c r="H342" s="15">
        <f t="shared" si="97"/>
        <v>0</v>
      </c>
      <c r="I342" s="13">
        <f>IFERROR(H342/H446, "NA")</f>
        <v>0</v>
      </c>
      <c r="J342" s="14"/>
      <c r="K342" s="12">
        <v>0.0</v>
      </c>
      <c r="L342" s="13">
        <f>IFERROR(K342/K446, "NA")</f>
        <v>0</v>
      </c>
      <c r="M342" s="14"/>
      <c r="N342" s="15">
        <f t="shared" si="98"/>
        <v>0</v>
      </c>
      <c r="O342" s="13">
        <f>IFERROR(N342/N446, "NA")</f>
        <v>0</v>
      </c>
      <c r="P342" s="14"/>
      <c r="Q342" s="12">
        <v>0.0</v>
      </c>
      <c r="R342" s="13">
        <f>IFERROR(Q342/Q446, "NA")</f>
        <v>0</v>
      </c>
      <c r="S342" s="14"/>
      <c r="T342" s="12">
        <v>0.0</v>
      </c>
      <c r="U342" s="13">
        <f>IFERROR(T342/T446, "NA")</f>
        <v>0</v>
      </c>
      <c r="V342" s="14"/>
      <c r="W342" s="15">
        <f t="shared" si="99"/>
        <v>0</v>
      </c>
      <c r="X342" s="13">
        <f>IFERROR(W342/W446, "NA")</f>
        <v>0</v>
      </c>
      <c r="Y342" s="14"/>
      <c r="Z342" s="12">
        <v>0.0</v>
      </c>
      <c r="AA342" s="13">
        <f>IFERROR(Z342/Z446, "NA")</f>
        <v>0</v>
      </c>
      <c r="AB342" s="14"/>
      <c r="AC342" s="15">
        <f t="shared" si="100"/>
        <v>0</v>
      </c>
      <c r="AD342" s="13">
        <f>IFERROR(AC342/AC446, "NA")</f>
        <v>0</v>
      </c>
    </row>
    <row r="343" ht="16.5" customHeight="1">
      <c r="A343" s="16" t="s">
        <v>316</v>
      </c>
      <c r="B343" s="17">
        <f>IFERROR(B338+B339+B340+B341+B342, "NA")</f>
        <v>2799.69</v>
      </c>
      <c r="C343" s="18">
        <f>IFERROR(B343/B446, "NA")</f>
        <v>0.0283026879</v>
      </c>
      <c r="D343" s="8"/>
      <c r="E343" s="17">
        <f>IFERROR(E338+E339+E340+E341+E342, "NA")</f>
        <v>2026.94</v>
      </c>
      <c r="F343" s="18">
        <f>IFERROR(E343/E446, "NA")</f>
        <v>0.02099995483</v>
      </c>
      <c r="G343" s="8"/>
      <c r="H343" s="17">
        <f t="shared" si="97"/>
        <v>-772.75</v>
      </c>
      <c r="I343" s="18">
        <f>IFERROR(H343/H446, "NA")</f>
        <v>-0.3221912759</v>
      </c>
      <c r="J343" s="8"/>
      <c r="K343" s="17">
        <f>IFERROR(K338+K339+K340+K341+K342, "NA")</f>
        <v>2342</v>
      </c>
      <c r="L343" s="18">
        <f>IFERROR(K343/K446, "NA")</f>
        <v>0.02635689327</v>
      </c>
      <c r="M343" s="8"/>
      <c r="N343" s="17">
        <f t="shared" si="98"/>
        <v>-457.69</v>
      </c>
      <c r="O343" s="18">
        <f>IFERROR(N343/N446, "NA")</f>
        <v>-0.04548530813</v>
      </c>
      <c r="P343" s="8"/>
      <c r="Q343" s="17">
        <f>IFERROR(Q338+Q339+Q340+Q341+Q342, "NA")</f>
        <v>18130.82</v>
      </c>
      <c r="R343" s="18">
        <f>IFERROR(Q343/Q446, "NA")</f>
        <v>0.02017807902</v>
      </c>
      <c r="S343" s="8"/>
      <c r="T343" s="17">
        <f>IFERROR(T338+T339+T340+T341+T342, "NA")</f>
        <v>16621.82</v>
      </c>
      <c r="U343" s="18">
        <f>IFERROR(T343/T446, "NA")</f>
        <v>0.02100000419</v>
      </c>
      <c r="V343" s="8"/>
      <c r="W343" s="17">
        <f t="shared" si="99"/>
        <v>-1509</v>
      </c>
      <c r="X343" s="18">
        <f>IFERROR(W343/W446, "NA")</f>
        <v>-0.01409946203</v>
      </c>
      <c r="Y343" s="8"/>
      <c r="Z343" s="17">
        <f>IFERROR(Z338+Z339+Z340+Z341+Z342, "NA")</f>
        <v>16364.23</v>
      </c>
      <c r="AA343" s="18">
        <f>IFERROR(Z343/Z446, "NA")</f>
        <v>0.02230898118</v>
      </c>
      <c r="AB343" s="8"/>
      <c r="AC343" s="17">
        <f t="shared" si="100"/>
        <v>-1766.59</v>
      </c>
      <c r="AD343" s="18">
        <f>IFERROR(AC343/AC446, "NA")</f>
        <v>-0.01070570483</v>
      </c>
    </row>
    <row r="344" ht="16.5" customHeight="1">
      <c r="A344" s="16" t="s">
        <v>317</v>
      </c>
      <c r="B344" s="17">
        <f>IFERROR(B329+B330+B331+B332+B333+B334+B335+B336+B338+B339+B340+B341+B342, "NA")</f>
        <v>15642.54</v>
      </c>
      <c r="C344" s="18">
        <f>IFERROR(B344/B446, "NA")</f>
        <v>0.1581339104</v>
      </c>
      <c r="D344" s="8"/>
      <c r="E344" s="17">
        <f>IFERROR(E329+E330+E331+E332+E333+E334+E335+E336+E338+E339+E340+E341+E342, "NA")</f>
        <v>14948.03</v>
      </c>
      <c r="F344" s="18">
        <f>IFERROR(E344/E446, "NA")</f>
        <v>0.1548679067</v>
      </c>
      <c r="G344" s="8"/>
      <c r="H344" s="17">
        <f t="shared" si="97"/>
        <v>-694.51</v>
      </c>
      <c r="I344" s="18">
        <f>IFERROR(H344/H446, "NA")</f>
        <v>-0.2895698001</v>
      </c>
      <c r="J344" s="8"/>
      <c r="K344" s="17">
        <f>IFERROR(K329+K330+K331+K332+K333+K334+K335+K336+K338+K339+K340+K341+K342, "NA")</f>
        <v>14789.48</v>
      </c>
      <c r="L344" s="18">
        <f>IFERROR(K344/K446, "NA")</f>
        <v>0.1664409675</v>
      </c>
      <c r="M344" s="8"/>
      <c r="N344" s="17">
        <f t="shared" si="98"/>
        <v>-853.06</v>
      </c>
      <c r="O344" s="18">
        <f>IFERROR(N344/N446, "NA")</f>
        <v>-0.08477724433</v>
      </c>
      <c r="P344" s="8"/>
      <c r="Q344" s="17">
        <f>IFERROR(Q329+Q330+Q331+Q332+Q333+Q334+Q335+Q336+Q338+Q339+Q340+Q341+Q342, "NA")</f>
        <v>123206.93</v>
      </c>
      <c r="R344" s="18">
        <f>IFERROR(Q344/Q446, "NA")</f>
        <v>0.1371189593</v>
      </c>
      <c r="S344" s="8"/>
      <c r="T344" s="17">
        <f>IFERROR(T329+T330+T331+T332+T333+T334+T335+T336+T338+T339+T340+T341+T342, "NA")</f>
        <v>123375.74</v>
      </c>
      <c r="U344" s="18">
        <f>IFERROR(T344/T446, "NA")</f>
        <v>0.1558728862</v>
      </c>
      <c r="V344" s="8"/>
      <c r="W344" s="17">
        <f t="shared" si="99"/>
        <v>168.81</v>
      </c>
      <c r="X344" s="18">
        <f>IFERROR(W344/W446, "NA")</f>
        <v>0.001577289719</v>
      </c>
      <c r="Y344" s="8"/>
      <c r="Z344" s="17">
        <f>IFERROR(Z329+Z330+Z331+Z332+Z333+Z334+Z335+Z336+Z338+Z339+Z340+Z341+Z342, "NA")</f>
        <v>101163.43</v>
      </c>
      <c r="AA344" s="18">
        <f>IFERROR(Z344/Z446, "NA")</f>
        <v>0.1379137947</v>
      </c>
      <c r="AB344" s="8"/>
      <c r="AC344" s="17">
        <f t="shared" si="100"/>
        <v>-22043.5</v>
      </c>
      <c r="AD344" s="18">
        <f>IFERROR(AC344/AC446, "NA")</f>
        <v>-0.1335857242</v>
      </c>
    </row>
    <row r="345" ht="16.5" customHeight="1">
      <c r="A345" s="16" t="s">
        <v>318</v>
      </c>
      <c r="B345" s="17">
        <f>IFERROR(B329+B330+B331+B332+B333+B334+B335+B336+B338+B339+B340+B341+B342, "NA")</f>
        <v>15642.54</v>
      </c>
      <c r="C345" s="18">
        <f>IFERROR(B345/B446, "NA")</f>
        <v>0.1581339104</v>
      </c>
      <c r="D345" s="8"/>
      <c r="E345" s="17">
        <f>IFERROR(E329+E330+E331+E332+E333+E334+E335+E336+E338+E339+E340+E341+E342, "NA")</f>
        <v>14948.03</v>
      </c>
      <c r="F345" s="18">
        <f>IFERROR(E345/E446, "NA")</f>
        <v>0.1548679067</v>
      </c>
      <c r="G345" s="8"/>
      <c r="H345" s="17">
        <f t="shared" si="97"/>
        <v>-694.51</v>
      </c>
      <c r="I345" s="18">
        <f>IFERROR(H345/H446, "NA")</f>
        <v>-0.2895698001</v>
      </c>
      <c r="J345" s="8"/>
      <c r="K345" s="17">
        <f>IFERROR(K329+K330+K331+K332+K333+K334+K335+K336+K338+K339+K340+K341+K342, "NA")</f>
        <v>14789.48</v>
      </c>
      <c r="L345" s="18">
        <f>IFERROR(K345/K446, "NA")</f>
        <v>0.1664409675</v>
      </c>
      <c r="M345" s="8"/>
      <c r="N345" s="17">
        <f t="shared" si="98"/>
        <v>-853.06</v>
      </c>
      <c r="O345" s="18">
        <f>IFERROR(N345/N446, "NA")</f>
        <v>-0.08477724433</v>
      </c>
      <c r="P345" s="8"/>
      <c r="Q345" s="17">
        <f>IFERROR(Q329+Q330+Q331+Q332+Q333+Q334+Q335+Q336+Q338+Q339+Q340+Q341+Q342, "NA")</f>
        <v>123206.93</v>
      </c>
      <c r="R345" s="18">
        <f>IFERROR(Q345/Q446, "NA")</f>
        <v>0.1371189593</v>
      </c>
      <c r="S345" s="8"/>
      <c r="T345" s="17">
        <f>IFERROR(T329+T330+T331+T332+T333+T334+T335+T336+T338+T339+T340+T341+T342, "NA")</f>
        <v>123375.74</v>
      </c>
      <c r="U345" s="18">
        <f>IFERROR(T345/T446, "NA")</f>
        <v>0.1558728862</v>
      </c>
      <c r="V345" s="8"/>
      <c r="W345" s="17">
        <f t="shared" si="99"/>
        <v>168.81</v>
      </c>
      <c r="X345" s="18">
        <f>IFERROR(W345/W446, "NA")</f>
        <v>0.001577289719</v>
      </c>
      <c r="Y345" s="8"/>
      <c r="Z345" s="17">
        <f>IFERROR(Z329+Z330+Z331+Z332+Z333+Z334+Z335+Z336+Z338+Z339+Z340+Z341+Z342, "NA")</f>
        <v>101163.43</v>
      </c>
      <c r="AA345" s="18">
        <f>IFERROR(Z345/Z446, "NA")</f>
        <v>0.1379137947</v>
      </c>
      <c r="AB345" s="8"/>
      <c r="AC345" s="17">
        <f t="shared" si="100"/>
        <v>-22043.5</v>
      </c>
      <c r="AD345" s="18">
        <f>IFERROR(AC345/AC446, "NA")</f>
        <v>-0.1335857242</v>
      </c>
    </row>
    <row r="346" ht="16.5" customHeight="1">
      <c r="A346" s="19" t="s">
        <v>319</v>
      </c>
      <c r="B346" s="20">
        <f>IFERROR(B198-B326-B345, "NA")</f>
        <v>1148.46</v>
      </c>
      <c r="C346" s="21">
        <f>IFERROR(B346/B446, "NA")</f>
        <v>0.01161003716</v>
      </c>
      <c r="D346" s="22"/>
      <c r="E346" s="20">
        <f>IFERROR(E198-E326-E345, "NA")</f>
        <v>4025.85</v>
      </c>
      <c r="F346" s="21">
        <f>IFERROR(E346/E446, "NA")</f>
        <v>0.04170950701</v>
      </c>
      <c r="G346" s="22"/>
      <c r="H346" s="20">
        <f>IFERROR(B346-E346, "NA")</f>
        <v>-2877.39</v>
      </c>
      <c r="I346" s="21">
        <f>IFERROR(H346/H446, "NA")</f>
        <v>-1.199702304</v>
      </c>
      <c r="J346" s="22"/>
      <c r="K346" s="20">
        <f>IFERROR(K198-K326-K345, "NA")</f>
        <v>-1776.97</v>
      </c>
      <c r="L346" s="21">
        <f>IFERROR(K346/K446, "NA")</f>
        <v>-0.01999803955</v>
      </c>
      <c r="M346" s="22"/>
      <c r="N346" s="20">
        <f>IFERROR(B346-K346, "NA")</f>
        <v>2925.43</v>
      </c>
      <c r="O346" s="21">
        <f>IFERROR(N346/N446, "NA")</f>
        <v>0.2907297187</v>
      </c>
      <c r="P346" s="22"/>
      <c r="Q346" s="20">
        <f>IFERROR(Q198-Q326-Q345, "NA")</f>
        <v>52621.86</v>
      </c>
      <c r="R346" s="21">
        <f>IFERROR(Q346/Q446, "NA")</f>
        <v>0.05856370805</v>
      </c>
      <c r="S346" s="22"/>
      <c r="T346" s="20">
        <f>IFERROR(T198-T326-T345, "NA")</f>
        <v>28406.35</v>
      </c>
      <c r="U346" s="21">
        <f>IFERROR(T346/T446, "NA")</f>
        <v>0.03588857713</v>
      </c>
      <c r="V346" s="22"/>
      <c r="W346" s="20">
        <f>IFERROR(Q346-T346, "NA")</f>
        <v>24215.51</v>
      </c>
      <c r="X346" s="21">
        <f>IFERROR(W346/W446, "NA")</f>
        <v>0.2262595519</v>
      </c>
      <c r="Y346" s="22"/>
      <c r="Z346" s="20">
        <f>IFERROR(Z198-Z326-Z345, "NA")</f>
        <v>-17205.94</v>
      </c>
      <c r="AA346" s="21">
        <f>IFERROR(Z346/Z446, "NA")</f>
        <v>-0.02345646521</v>
      </c>
      <c r="AB346" s="22"/>
      <c r="AC346" s="20">
        <f>IFERROR(Q346-Z346, "NA")</f>
        <v>69827.8</v>
      </c>
      <c r="AD346" s="21">
        <f>IFERROR(AC346/AC446, "NA")</f>
        <v>0.4231631652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>
        <f>IFERROR(B348/B446, "NA")</f>
        <v>0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>
        <f>IFERROR(B350/B446, "NA")</f>
        <v>0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hidden="1" customHeight="1">
      <c r="A351" s="11" t="s">
        <v>323</v>
      </c>
      <c r="B351" s="12">
        <v>0.0</v>
      </c>
      <c r="C351" s="13">
        <f>IFERROR(B351/B446, "NA")</f>
        <v>0</v>
      </c>
      <c r="D351" s="14"/>
      <c r="E351" s="12">
        <v>0.0</v>
      </c>
      <c r="F351" s="13">
        <f>IFERROR(E351/E446, "NA")</f>
        <v>0</v>
      </c>
      <c r="G351" s="14"/>
      <c r="H351" s="15">
        <f t="shared" si="101"/>
        <v>0</v>
      </c>
      <c r="I351" s="13">
        <f>IFERROR(H351/H446, "NA")</f>
        <v>0</v>
      </c>
      <c r="J351" s="14"/>
      <c r="K351" s="12">
        <v>0.0</v>
      </c>
      <c r="L351" s="13">
        <f>IFERROR(K351/K446, "NA")</f>
        <v>0</v>
      </c>
      <c r="M351" s="14"/>
      <c r="N351" s="15">
        <f t="shared" si="102"/>
        <v>0</v>
      </c>
      <c r="O351" s="13">
        <f>IFERROR(N351/N446, "NA")</f>
        <v>0</v>
      </c>
      <c r="P351" s="14"/>
      <c r="Q351" s="12">
        <v>0.0</v>
      </c>
      <c r="R351" s="13">
        <f>IFERROR(Q351/Q446, "NA")</f>
        <v>0</v>
      </c>
      <c r="S351" s="14"/>
      <c r="T351" s="12">
        <v>0.0</v>
      </c>
      <c r="U351" s="13">
        <f>IFERROR(T351/T446, "NA")</f>
        <v>0</v>
      </c>
      <c r="V351" s="14"/>
      <c r="W351" s="15">
        <f t="shared" si="103"/>
        <v>0</v>
      </c>
      <c r="X351" s="13">
        <f>IFERROR(W351/W446, "NA")</f>
        <v>0</v>
      </c>
      <c r="Y351" s="14"/>
      <c r="Z351" s="12">
        <v>0.0</v>
      </c>
      <c r="AA351" s="13">
        <f>IFERROR(Z351/Z446, "NA")</f>
        <v>0</v>
      </c>
      <c r="AB351" s="14"/>
      <c r="AC351" s="15">
        <f t="shared" si="104"/>
        <v>0</v>
      </c>
      <c r="AD351" s="13">
        <f>IFERROR(AC351/AC446, "NA")</f>
        <v>0</v>
      </c>
    </row>
    <row r="352" ht="16.5" hidden="1" customHeight="1">
      <c r="A352" s="11" t="s">
        <v>324</v>
      </c>
      <c r="B352" s="12">
        <v>0.0</v>
      </c>
      <c r="C352" s="13">
        <f>IFERROR(B352/B446, "NA")</f>
        <v>0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hidden="1" customHeight="1">
      <c r="A353" s="11" t="s">
        <v>325</v>
      </c>
      <c r="B353" s="12">
        <v>0.0</v>
      </c>
      <c r="C353" s="13">
        <f>IFERROR(B353/B446, "NA")</f>
        <v>0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0.0</v>
      </c>
      <c r="U353" s="13">
        <f>IFERROR(T353/T446, "NA")</f>
        <v>0</v>
      </c>
      <c r="V353" s="14"/>
      <c r="W353" s="15">
        <f t="shared" si="103"/>
        <v>0</v>
      </c>
      <c r="X353" s="13">
        <f>IFERROR(W353/W446, "NA")</f>
        <v>0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hidden="1" customHeight="1">
      <c r="A354" s="11" t="s">
        <v>326</v>
      </c>
      <c r="B354" s="12">
        <v>0.0</v>
      </c>
      <c r="C354" s="13">
        <f>IFERROR(B354/B446, "NA")</f>
        <v>0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0.0</v>
      </c>
      <c r="L354" s="13">
        <f>IFERROR(K354/K446, "NA")</f>
        <v>0</v>
      </c>
      <c r="M354" s="14"/>
      <c r="N354" s="15">
        <f t="shared" si="102"/>
        <v>0</v>
      </c>
      <c r="O354" s="13">
        <f>IFERROR(N354/N446, "NA")</f>
        <v>0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0.0</v>
      </c>
      <c r="AA354" s="13">
        <f>IFERROR(Z354/Z446, "NA")</f>
        <v>0</v>
      </c>
      <c r="AB354" s="14"/>
      <c r="AC354" s="15">
        <f t="shared" si="104"/>
        <v>0</v>
      </c>
      <c r="AD354" s="13">
        <f>IFERROR(AC354/AC446, "NA")</f>
        <v>0</v>
      </c>
    </row>
    <row r="355" ht="16.5" hidden="1" customHeight="1">
      <c r="A355" s="11" t="s">
        <v>327</v>
      </c>
      <c r="B355" s="12">
        <v>0.0</v>
      </c>
      <c r="C355" s="13">
        <f>IFERROR(B355/B446, "NA")</f>
        <v>0</v>
      </c>
      <c r="D355" s="14"/>
      <c r="E355" s="12">
        <v>0.0</v>
      </c>
      <c r="F355" s="13">
        <f>IFERROR(E355/E446, "NA")</f>
        <v>0</v>
      </c>
      <c r="G355" s="14"/>
      <c r="H355" s="15">
        <f t="shared" si="101"/>
        <v>0</v>
      </c>
      <c r="I355" s="13">
        <f>IFERROR(H355/H446, "NA")</f>
        <v>0</v>
      </c>
      <c r="J355" s="14"/>
      <c r="K355" s="12">
        <v>0.0</v>
      </c>
      <c r="L355" s="13">
        <f>IFERROR(K355/K446, "NA")</f>
        <v>0</v>
      </c>
      <c r="M355" s="14"/>
      <c r="N355" s="15">
        <f t="shared" si="102"/>
        <v>0</v>
      </c>
      <c r="O355" s="13">
        <f>IFERROR(N355/N446, "NA")</f>
        <v>0</v>
      </c>
      <c r="P355" s="14"/>
      <c r="Q355" s="12">
        <v>0.0</v>
      </c>
      <c r="R355" s="13">
        <f>IFERROR(Q355/Q446, "NA")</f>
        <v>0</v>
      </c>
      <c r="S355" s="14"/>
      <c r="T355" s="12">
        <v>0.0</v>
      </c>
      <c r="U355" s="13">
        <f>IFERROR(T355/T446, "NA")</f>
        <v>0</v>
      </c>
      <c r="V355" s="14"/>
      <c r="W355" s="15">
        <f t="shared" si="103"/>
        <v>0</v>
      </c>
      <c r="X355" s="13">
        <f>IFERROR(W355/W446, "NA")</f>
        <v>0</v>
      </c>
      <c r="Y355" s="14"/>
      <c r="Z355" s="12">
        <v>0.0</v>
      </c>
      <c r="AA355" s="13">
        <f>IFERROR(Z355/Z446, "NA")</f>
        <v>0</v>
      </c>
      <c r="AB355" s="14"/>
      <c r="AC355" s="15">
        <f t="shared" si="104"/>
        <v>0</v>
      </c>
      <c r="AD355" s="13">
        <f>IFERROR(AC355/AC446, "NA")</f>
        <v>0</v>
      </c>
    </row>
    <row r="356" ht="16.5" hidden="1" customHeight="1">
      <c r="A356" s="11" t="s">
        <v>328</v>
      </c>
      <c r="B356" s="12">
        <v>0.0</v>
      </c>
      <c r="C356" s="13">
        <f>IFERROR(B356/B446, "NA")</f>
        <v>0</v>
      </c>
      <c r="D356" s="14"/>
      <c r="E356" s="12">
        <v>0.0</v>
      </c>
      <c r="F356" s="13">
        <f>IFERROR(E356/E446, "NA")</f>
        <v>0</v>
      </c>
      <c r="G356" s="14"/>
      <c r="H356" s="15">
        <f t="shared" si="101"/>
        <v>0</v>
      </c>
      <c r="I356" s="13">
        <f>IFERROR(H356/H446, "NA")</f>
        <v>0</v>
      </c>
      <c r="J356" s="14"/>
      <c r="K356" s="12">
        <v>0.0</v>
      </c>
      <c r="L356" s="13">
        <f>IFERROR(K356/K446, "NA")</f>
        <v>0</v>
      </c>
      <c r="M356" s="14"/>
      <c r="N356" s="15">
        <f t="shared" si="102"/>
        <v>0</v>
      </c>
      <c r="O356" s="13">
        <f>IFERROR(N356/N446, "NA")</f>
        <v>0</v>
      </c>
      <c r="P356" s="14"/>
      <c r="Q356" s="12">
        <v>0.0</v>
      </c>
      <c r="R356" s="13">
        <f>IFERROR(Q356/Q446, "NA")</f>
        <v>0</v>
      </c>
      <c r="S356" s="14"/>
      <c r="T356" s="12">
        <v>0.0</v>
      </c>
      <c r="U356" s="13">
        <f>IFERROR(T356/T446, "NA")</f>
        <v>0</v>
      </c>
      <c r="V356" s="14"/>
      <c r="W356" s="15">
        <f t="shared" si="103"/>
        <v>0</v>
      </c>
      <c r="X356" s="13">
        <f>IFERROR(W356/W446, "NA")</f>
        <v>0</v>
      </c>
      <c r="Y356" s="14"/>
      <c r="Z356" s="12">
        <v>0.0</v>
      </c>
      <c r="AA356" s="13">
        <f>IFERROR(Z356/Z446, "NA")</f>
        <v>0</v>
      </c>
      <c r="AB356" s="14"/>
      <c r="AC356" s="15">
        <f t="shared" si="104"/>
        <v>0</v>
      </c>
      <c r="AD356" s="13">
        <f>IFERROR(AC356/AC446, "NA")</f>
        <v>0</v>
      </c>
    </row>
    <row r="357" ht="16.5" hidden="1" customHeight="1">
      <c r="A357" s="11" t="s">
        <v>329</v>
      </c>
      <c r="B357" s="12">
        <v>0.0</v>
      </c>
      <c r="C357" s="13">
        <f>IFERROR(B357/B446, "NA")</f>
        <v>0</v>
      </c>
      <c r="D357" s="14"/>
      <c r="E357" s="12">
        <v>0.0</v>
      </c>
      <c r="F357" s="13">
        <f>IFERROR(E357/E446, "NA")</f>
        <v>0</v>
      </c>
      <c r="G357" s="14"/>
      <c r="H357" s="15">
        <f t="shared" si="101"/>
        <v>0</v>
      </c>
      <c r="I357" s="13">
        <f>IFERROR(H357/H446, "NA")</f>
        <v>0</v>
      </c>
      <c r="J357" s="14"/>
      <c r="K357" s="12">
        <v>0.0</v>
      </c>
      <c r="L357" s="13">
        <f>IFERROR(K357/K446, "NA")</f>
        <v>0</v>
      </c>
      <c r="M357" s="14"/>
      <c r="N357" s="15">
        <f t="shared" si="102"/>
        <v>0</v>
      </c>
      <c r="O357" s="13">
        <f>IFERROR(N357/N446, "NA")</f>
        <v>0</v>
      </c>
      <c r="P357" s="14"/>
      <c r="Q357" s="12">
        <v>0.0</v>
      </c>
      <c r="R357" s="13">
        <f>IFERROR(Q357/Q446, "NA")</f>
        <v>0</v>
      </c>
      <c r="S357" s="14"/>
      <c r="T357" s="12">
        <v>0.0</v>
      </c>
      <c r="U357" s="13">
        <f>IFERROR(T357/T446, "NA")</f>
        <v>0</v>
      </c>
      <c r="V357" s="14"/>
      <c r="W357" s="15">
        <f t="shared" si="103"/>
        <v>0</v>
      </c>
      <c r="X357" s="13">
        <f>IFERROR(W357/W446, "NA")</f>
        <v>0</v>
      </c>
      <c r="Y357" s="14"/>
      <c r="Z357" s="12">
        <v>0.0</v>
      </c>
      <c r="AA357" s="13">
        <f>IFERROR(Z357/Z446, "NA")</f>
        <v>0</v>
      </c>
      <c r="AB357" s="14"/>
      <c r="AC357" s="15">
        <f t="shared" si="104"/>
        <v>0</v>
      </c>
      <c r="AD357" s="13">
        <f>IFERROR(AC357/AC446, "NA")</f>
        <v>0</v>
      </c>
    </row>
    <row r="358" ht="16.5" hidden="1" customHeight="1">
      <c r="A358" s="11" t="s">
        <v>330</v>
      </c>
      <c r="B358" s="12">
        <v>0.0</v>
      </c>
      <c r="C358" s="13">
        <f>IFERROR(B358/B446, "NA")</f>
        <v>0</v>
      </c>
      <c r="D358" s="14"/>
      <c r="E358" s="12">
        <v>0.0</v>
      </c>
      <c r="F358" s="13">
        <f>IFERROR(E358/E446, "NA")</f>
        <v>0</v>
      </c>
      <c r="G358" s="14"/>
      <c r="H358" s="15">
        <f t="shared" si="101"/>
        <v>0</v>
      </c>
      <c r="I358" s="13">
        <f>IFERROR(H358/H446, "NA")</f>
        <v>0</v>
      </c>
      <c r="J358" s="14"/>
      <c r="K358" s="12">
        <v>0.0</v>
      </c>
      <c r="L358" s="13">
        <f>IFERROR(K358/K446, "NA")</f>
        <v>0</v>
      </c>
      <c r="M358" s="14"/>
      <c r="N358" s="15">
        <f t="shared" si="102"/>
        <v>0</v>
      </c>
      <c r="O358" s="13">
        <f>IFERROR(N358/N446, "NA")</f>
        <v>0</v>
      </c>
      <c r="P358" s="14"/>
      <c r="Q358" s="12">
        <v>0.0</v>
      </c>
      <c r="R358" s="13">
        <f>IFERROR(Q358/Q446, "NA")</f>
        <v>0</v>
      </c>
      <c r="S358" s="14"/>
      <c r="T358" s="12">
        <v>0.0</v>
      </c>
      <c r="U358" s="13">
        <f>IFERROR(T358/T446, "NA")</f>
        <v>0</v>
      </c>
      <c r="V358" s="14"/>
      <c r="W358" s="15">
        <f t="shared" si="103"/>
        <v>0</v>
      </c>
      <c r="X358" s="13">
        <f>IFERROR(W358/W446, "NA")</f>
        <v>0</v>
      </c>
      <c r="Y358" s="14"/>
      <c r="Z358" s="12">
        <v>0.0</v>
      </c>
      <c r="AA358" s="13">
        <f>IFERROR(Z358/Z446, "NA")</f>
        <v>0</v>
      </c>
      <c r="AB358" s="14"/>
      <c r="AC358" s="15">
        <f t="shared" si="104"/>
        <v>0</v>
      </c>
      <c r="AD358" s="13">
        <f>IFERROR(AC358/AC446, "NA")</f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>
        <f>IFERROR(B359/B446, "NA")</f>
        <v>0</v>
      </c>
      <c r="D359" s="8"/>
      <c r="E359" s="17">
        <f>IFERROR(E350+E351+E352+E353+E354+E355+E356+E357+E358, "NA")</f>
        <v>0</v>
      </c>
      <c r="F359" s="18">
        <f>IFERROR(E359/E446, "NA")</f>
        <v>0</v>
      </c>
      <c r="G359" s="8"/>
      <c r="H359" s="17">
        <f t="shared" si="101"/>
        <v>0</v>
      </c>
      <c r="I359" s="18">
        <f>IFERROR(H359/H446, "NA")</f>
        <v>0</v>
      </c>
      <c r="J359" s="8"/>
      <c r="K359" s="17">
        <f>IFERROR(K350+K351+K352+K353+K354+K355+K356+K357+K358, "NA")</f>
        <v>0</v>
      </c>
      <c r="L359" s="18">
        <f>IFERROR(K359/K446, "NA")</f>
        <v>0</v>
      </c>
      <c r="M359" s="8"/>
      <c r="N359" s="17">
        <f t="shared" si="102"/>
        <v>0</v>
      </c>
      <c r="O359" s="18">
        <f>IFERROR(N359/N446, "NA")</f>
        <v>0</v>
      </c>
      <c r="P359" s="8"/>
      <c r="Q359" s="17">
        <f>IFERROR(Q350+Q351+Q352+Q353+Q354+Q355+Q356+Q357+Q358, "NA")</f>
        <v>0</v>
      </c>
      <c r="R359" s="18">
        <f>IFERROR(Q359/Q446, "NA")</f>
        <v>0</v>
      </c>
      <c r="S359" s="8"/>
      <c r="T359" s="17">
        <f>IFERROR(T350+T351+T352+T353+T354+T355+T356+T357+T358, "NA")</f>
        <v>0</v>
      </c>
      <c r="U359" s="18">
        <f>IFERROR(T359/T446, "NA")</f>
        <v>0</v>
      </c>
      <c r="V359" s="8"/>
      <c r="W359" s="17">
        <f t="shared" si="103"/>
        <v>0</v>
      </c>
      <c r="X359" s="18">
        <f>IFERROR(W359/W446, "NA")</f>
        <v>0</v>
      </c>
      <c r="Y359" s="8"/>
      <c r="Z359" s="17">
        <f>IFERROR(Z350+Z351+Z352+Z353+Z354+Z355+Z356+Z357+Z358, "NA")</f>
        <v>0</v>
      </c>
      <c r="AA359" s="18">
        <f>IFERROR(Z359/Z446, "NA")</f>
        <v>0</v>
      </c>
      <c r="AB359" s="8"/>
      <c r="AC359" s="17">
        <f t="shared" si="104"/>
        <v>0</v>
      </c>
      <c r="AD359" s="18">
        <f>IFERROR(AC359/AC446, "NA")</f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>
        <f>IFERROR(B361/B446, "NA")</f>
        <v>0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>
        <f>IFERROR(B362/B446, "NA")</f>
        <v>0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hidden="1" customHeight="1">
      <c r="A363" s="11" t="s">
        <v>334</v>
      </c>
      <c r="B363" s="12">
        <v>0.0</v>
      </c>
      <c r="C363" s="13">
        <f>IFERROR(B363/B446, "NA")</f>
        <v>0</v>
      </c>
      <c r="D363" s="14"/>
      <c r="E363" s="12">
        <v>0.0</v>
      </c>
      <c r="F363" s="13">
        <f>IFERROR(E363/E446, "NA")</f>
        <v>0</v>
      </c>
      <c r="G363" s="14"/>
      <c r="H363" s="15">
        <f t="shared" si="105"/>
        <v>0</v>
      </c>
      <c r="I363" s="13">
        <f>IFERROR(H363/H446, "NA")</f>
        <v>0</v>
      </c>
      <c r="J363" s="14"/>
      <c r="K363" s="12">
        <v>0.0</v>
      </c>
      <c r="L363" s="13">
        <f>IFERROR(K363/K446, "NA")</f>
        <v>0</v>
      </c>
      <c r="M363" s="14"/>
      <c r="N363" s="15">
        <f t="shared" si="106"/>
        <v>0</v>
      </c>
      <c r="O363" s="13">
        <f>IFERROR(N363/N446, "NA")</f>
        <v>0</v>
      </c>
      <c r="P363" s="14"/>
      <c r="Q363" s="12">
        <v>0.0</v>
      </c>
      <c r="R363" s="13">
        <f>IFERROR(Q363/Q446, "NA")</f>
        <v>0</v>
      </c>
      <c r="S363" s="14"/>
      <c r="T363" s="12">
        <v>0.0</v>
      </c>
      <c r="U363" s="13">
        <f>IFERROR(T363/T446, "NA")</f>
        <v>0</v>
      </c>
      <c r="V363" s="14"/>
      <c r="W363" s="15">
        <f t="shared" si="107"/>
        <v>0</v>
      </c>
      <c r="X363" s="13">
        <f>IFERROR(W363/W446, "NA")</f>
        <v>0</v>
      </c>
      <c r="Y363" s="14"/>
      <c r="Z363" s="12">
        <v>0.0</v>
      </c>
      <c r="AA363" s="13">
        <f>IFERROR(Z363/Z446, "NA")</f>
        <v>0</v>
      </c>
      <c r="AB363" s="14"/>
      <c r="AC363" s="15">
        <f t="shared" si="108"/>
        <v>0</v>
      </c>
      <c r="AD363" s="13">
        <f>IFERROR(AC363/AC446, "NA")</f>
        <v>0</v>
      </c>
    </row>
    <row r="364" ht="16.5" hidden="1" customHeight="1">
      <c r="A364" s="11" t="s">
        <v>335</v>
      </c>
      <c r="B364" s="12">
        <v>0.0</v>
      </c>
      <c r="C364" s="13">
        <f>IFERROR(B364/B446, "NA")</f>
        <v>0</v>
      </c>
      <c r="D364" s="14"/>
      <c r="E364" s="12">
        <v>0.0</v>
      </c>
      <c r="F364" s="13">
        <f>IFERROR(E364/E446, "NA")</f>
        <v>0</v>
      </c>
      <c r="G364" s="14"/>
      <c r="H364" s="15">
        <f t="shared" si="105"/>
        <v>0</v>
      </c>
      <c r="I364" s="13">
        <f>IFERROR(H364/H446, "NA")</f>
        <v>0</v>
      </c>
      <c r="J364" s="14"/>
      <c r="K364" s="12">
        <v>0.0</v>
      </c>
      <c r="L364" s="13">
        <f>IFERROR(K364/K446, "NA")</f>
        <v>0</v>
      </c>
      <c r="M364" s="14"/>
      <c r="N364" s="15">
        <f t="shared" si="106"/>
        <v>0</v>
      </c>
      <c r="O364" s="13">
        <f>IFERROR(N364/N446, "NA")</f>
        <v>0</v>
      </c>
      <c r="P364" s="14"/>
      <c r="Q364" s="12">
        <v>0.0</v>
      </c>
      <c r="R364" s="13">
        <f>IFERROR(Q364/Q446, "NA")</f>
        <v>0</v>
      </c>
      <c r="S364" s="14"/>
      <c r="T364" s="12">
        <v>0.0</v>
      </c>
      <c r="U364" s="13">
        <f>IFERROR(T364/T446, "NA")</f>
        <v>0</v>
      </c>
      <c r="V364" s="14"/>
      <c r="W364" s="15">
        <f t="shared" si="107"/>
        <v>0</v>
      </c>
      <c r="X364" s="13">
        <f>IFERROR(W364/W446, "NA")</f>
        <v>0</v>
      </c>
      <c r="Y364" s="14"/>
      <c r="Z364" s="12">
        <v>0.0</v>
      </c>
      <c r="AA364" s="13">
        <f>IFERROR(Z364/Z446, "NA")</f>
        <v>0</v>
      </c>
      <c r="AB364" s="14"/>
      <c r="AC364" s="15">
        <f t="shared" si="108"/>
        <v>0</v>
      </c>
      <c r="AD364" s="13">
        <f>IFERROR(AC364/AC446, "NA")</f>
        <v>0</v>
      </c>
    </row>
    <row r="365" ht="16.5" hidden="1" customHeight="1">
      <c r="A365" s="11" t="s">
        <v>336</v>
      </c>
      <c r="B365" s="12">
        <v>0.0</v>
      </c>
      <c r="C365" s="13">
        <f>IFERROR(B365/B446, "NA")</f>
        <v>0</v>
      </c>
      <c r="D365" s="14"/>
      <c r="E365" s="12">
        <v>0.0</v>
      </c>
      <c r="F365" s="13">
        <f>IFERROR(E365/E446, "NA")</f>
        <v>0</v>
      </c>
      <c r="G365" s="14"/>
      <c r="H365" s="15">
        <f t="shared" si="105"/>
        <v>0</v>
      </c>
      <c r="I365" s="13">
        <f>IFERROR(H365/H446, "NA")</f>
        <v>0</v>
      </c>
      <c r="J365" s="14"/>
      <c r="K365" s="12">
        <v>0.0</v>
      </c>
      <c r="L365" s="13">
        <f>IFERROR(K365/K446, "NA")</f>
        <v>0</v>
      </c>
      <c r="M365" s="14"/>
      <c r="N365" s="15">
        <f t="shared" si="106"/>
        <v>0</v>
      </c>
      <c r="O365" s="13">
        <f>IFERROR(N365/N446, "NA")</f>
        <v>0</v>
      </c>
      <c r="P365" s="14"/>
      <c r="Q365" s="12">
        <v>0.0</v>
      </c>
      <c r="R365" s="13">
        <f>IFERROR(Q365/Q446, "NA")</f>
        <v>0</v>
      </c>
      <c r="S365" s="14"/>
      <c r="T365" s="12">
        <v>0.0</v>
      </c>
      <c r="U365" s="13">
        <f>IFERROR(T365/T446, "NA")</f>
        <v>0</v>
      </c>
      <c r="V365" s="14"/>
      <c r="W365" s="15">
        <f t="shared" si="107"/>
        <v>0</v>
      </c>
      <c r="X365" s="13">
        <f>IFERROR(W365/W446, "NA")</f>
        <v>0</v>
      </c>
      <c r="Y365" s="14"/>
      <c r="Z365" s="12">
        <v>0.0</v>
      </c>
      <c r="AA365" s="13">
        <f>IFERROR(Z365/Z446, "NA")</f>
        <v>0</v>
      </c>
      <c r="AB365" s="14"/>
      <c r="AC365" s="15">
        <f t="shared" si="108"/>
        <v>0</v>
      </c>
      <c r="AD365" s="13">
        <f>IFERROR(AC365/AC446, "NA")</f>
        <v>0</v>
      </c>
    </row>
    <row r="366" ht="16.5" hidden="1" customHeight="1">
      <c r="A366" s="11" t="s">
        <v>337</v>
      </c>
      <c r="B366" s="12">
        <v>0.0</v>
      </c>
      <c r="C366" s="13">
        <f>IFERROR(B366/B446, "NA")</f>
        <v>0</v>
      </c>
      <c r="D366" s="14"/>
      <c r="E366" s="12">
        <v>0.0</v>
      </c>
      <c r="F366" s="13">
        <f>IFERROR(E366/E446, "NA")</f>
        <v>0</v>
      </c>
      <c r="G366" s="14"/>
      <c r="H366" s="15">
        <f t="shared" si="105"/>
        <v>0</v>
      </c>
      <c r="I366" s="13">
        <f>IFERROR(H366/H446, "NA")</f>
        <v>0</v>
      </c>
      <c r="J366" s="14"/>
      <c r="K366" s="12">
        <v>0.0</v>
      </c>
      <c r="L366" s="13">
        <f>IFERROR(K366/K446, "NA")</f>
        <v>0</v>
      </c>
      <c r="M366" s="14"/>
      <c r="N366" s="15">
        <f t="shared" si="106"/>
        <v>0</v>
      </c>
      <c r="O366" s="13">
        <f>IFERROR(N366/N446, "NA")</f>
        <v>0</v>
      </c>
      <c r="P366" s="14"/>
      <c r="Q366" s="12">
        <v>0.0</v>
      </c>
      <c r="R366" s="13">
        <f>IFERROR(Q366/Q446, "NA")</f>
        <v>0</v>
      </c>
      <c r="S366" s="14"/>
      <c r="T366" s="12">
        <v>0.0</v>
      </c>
      <c r="U366" s="13">
        <f>IFERROR(T366/T446, "NA")</f>
        <v>0</v>
      </c>
      <c r="V366" s="14"/>
      <c r="W366" s="15">
        <f t="shared" si="107"/>
        <v>0</v>
      </c>
      <c r="X366" s="13">
        <f>IFERROR(W366/W446, "NA")</f>
        <v>0</v>
      </c>
      <c r="Y366" s="14"/>
      <c r="Z366" s="12">
        <v>0.0</v>
      </c>
      <c r="AA366" s="13">
        <f>IFERROR(Z366/Z446, "NA")</f>
        <v>0</v>
      </c>
      <c r="AB366" s="14"/>
      <c r="AC366" s="15">
        <f t="shared" si="108"/>
        <v>0</v>
      </c>
      <c r="AD366" s="13">
        <f>IFERROR(AC366/AC446, "NA")</f>
        <v>0</v>
      </c>
    </row>
    <row r="367" ht="16.5" hidden="1" customHeight="1">
      <c r="A367" s="11" t="s">
        <v>338</v>
      </c>
      <c r="B367" s="12">
        <v>0.0</v>
      </c>
      <c r="C367" s="13">
        <f>IFERROR(B367/B446, "NA")</f>
        <v>0</v>
      </c>
      <c r="D367" s="14"/>
      <c r="E367" s="12">
        <v>0.0</v>
      </c>
      <c r="F367" s="13">
        <f>IFERROR(E367/E446, "NA")</f>
        <v>0</v>
      </c>
      <c r="G367" s="14"/>
      <c r="H367" s="15">
        <f t="shared" si="105"/>
        <v>0</v>
      </c>
      <c r="I367" s="13">
        <f>IFERROR(H367/H446, "NA")</f>
        <v>0</v>
      </c>
      <c r="J367" s="14"/>
      <c r="K367" s="12">
        <v>0.0</v>
      </c>
      <c r="L367" s="13">
        <f>IFERROR(K367/K446, "NA")</f>
        <v>0</v>
      </c>
      <c r="M367" s="14"/>
      <c r="N367" s="15">
        <f t="shared" si="106"/>
        <v>0</v>
      </c>
      <c r="O367" s="13">
        <f>IFERROR(N367/N446, "NA")</f>
        <v>0</v>
      </c>
      <c r="P367" s="14"/>
      <c r="Q367" s="12">
        <v>0.0</v>
      </c>
      <c r="R367" s="13">
        <f>IFERROR(Q367/Q446, "NA")</f>
        <v>0</v>
      </c>
      <c r="S367" s="14"/>
      <c r="T367" s="12">
        <v>0.0</v>
      </c>
      <c r="U367" s="13">
        <f>IFERROR(T367/T446, "NA")</f>
        <v>0</v>
      </c>
      <c r="V367" s="14"/>
      <c r="W367" s="15">
        <f t="shared" si="107"/>
        <v>0</v>
      </c>
      <c r="X367" s="13">
        <f>IFERROR(W367/W446, "NA")</f>
        <v>0</v>
      </c>
      <c r="Y367" s="14"/>
      <c r="Z367" s="12">
        <v>0.0</v>
      </c>
      <c r="AA367" s="13">
        <f>IFERROR(Z367/Z446, "NA")</f>
        <v>0</v>
      </c>
      <c r="AB367" s="14"/>
      <c r="AC367" s="15">
        <f t="shared" si="108"/>
        <v>0</v>
      </c>
      <c r="AD367" s="13">
        <f>IFERROR(AC367/AC446, "NA")</f>
        <v>0</v>
      </c>
    </row>
    <row r="368" ht="16.5" hidden="1" customHeight="1">
      <c r="A368" s="11" t="s">
        <v>339</v>
      </c>
      <c r="B368" s="12">
        <v>0.0</v>
      </c>
      <c r="C368" s="13">
        <f>IFERROR(B368/B446, "NA")</f>
        <v>0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0.0</v>
      </c>
      <c r="L368" s="13">
        <f>IFERROR(K368/K446, "NA")</f>
        <v>0</v>
      </c>
      <c r="M368" s="14"/>
      <c r="N368" s="15">
        <f t="shared" si="106"/>
        <v>0</v>
      </c>
      <c r="O368" s="13">
        <f>IFERROR(N368/N446, "NA")</f>
        <v>0</v>
      </c>
      <c r="P368" s="14"/>
      <c r="Q368" s="12">
        <v>0.0</v>
      </c>
      <c r="R368" s="13">
        <f>IFERROR(Q368/Q446, "NA")</f>
        <v>0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0</v>
      </c>
      <c r="X368" s="13">
        <f>IFERROR(W368/W446, "NA")</f>
        <v>0</v>
      </c>
      <c r="Y368" s="14"/>
      <c r="Z368" s="12">
        <v>0.0</v>
      </c>
      <c r="AA368" s="13">
        <f>IFERROR(Z368/Z446, "NA")</f>
        <v>0</v>
      </c>
      <c r="AB368" s="14"/>
      <c r="AC368" s="15">
        <f t="shared" si="108"/>
        <v>0</v>
      </c>
      <c r="AD368" s="13">
        <f>IFERROR(AC368/AC446, "NA")</f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>
        <f>IFERROR(B369/B446, "NA")</f>
        <v>0</v>
      </c>
      <c r="D369" s="8"/>
      <c r="E369" s="17">
        <f>IFERROR(E361+E362+E363+E364+E365+E366+E367+E368, "NA")</f>
        <v>0</v>
      </c>
      <c r="F369" s="18">
        <f>IFERROR(E369/E446, "NA")</f>
        <v>0</v>
      </c>
      <c r="G369" s="8"/>
      <c r="H369" s="17">
        <f t="shared" si="105"/>
        <v>0</v>
      </c>
      <c r="I369" s="18">
        <f>IFERROR(H369/H446, "NA")</f>
        <v>0</v>
      </c>
      <c r="J369" s="8"/>
      <c r="K369" s="17">
        <f>IFERROR(K361+K362+K363+K364+K365+K366+K367+K368, "NA")</f>
        <v>0</v>
      </c>
      <c r="L369" s="18">
        <f>IFERROR(K369/K446, "NA")</f>
        <v>0</v>
      </c>
      <c r="M369" s="8"/>
      <c r="N369" s="17">
        <f t="shared" si="106"/>
        <v>0</v>
      </c>
      <c r="O369" s="18">
        <f>IFERROR(N369/N446, "NA")</f>
        <v>0</v>
      </c>
      <c r="P369" s="8"/>
      <c r="Q369" s="17">
        <f>IFERROR(Q361+Q362+Q363+Q364+Q365+Q366+Q367+Q368, "NA")</f>
        <v>0</v>
      </c>
      <c r="R369" s="18">
        <f>IFERROR(Q369/Q446, "NA")</f>
        <v>0</v>
      </c>
      <c r="S369" s="8"/>
      <c r="T369" s="17">
        <f>IFERROR(T361+T362+T363+T364+T365+T366+T367+T368, "NA")</f>
        <v>0</v>
      </c>
      <c r="U369" s="18">
        <f>IFERROR(T369/T446, "NA")</f>
        <v>0</v>
      </c>
      <c r="V369" s="8"/>
      <c r="W369" s="17">
        <f t="shared" si="107"/>
        <v>0</v>
      </c>
      <c r="X369" s="18">
        <f>IFERROR(W369/W446, "NA")</f>
        <v>0</v>
      </c>
      <c r="Y369" s="8"/>
      <c r="Z369" s="17">
        <f>IFERROR(Z361+Z362+Z363+Z364+Z365+Z366+Z367+Z368, "NA")</f>
        <v>0</v>
      </c>
      <c r="AA369" s="18">
        <f>IFERROR(Z369/Z446, "NA")</f>
        <v>0</v>
      </c>
      <c r="AB369" s="8"/>
      <c r="AC369" s="17">
        <f t="shared" si="108"/>
        <v>0</v>
      </c>
      <c r="AD369" s="18">
        <f>IFERROR(AC369/AC446, "NA")</f>
        <v>0</v>
      </c>
    </row>
    <row r="370" ht="16.5" hidden="1" customHeight="1">
      <c r="A370" s="11" t="s">
        <v>341</v>
      </c>
      <c r="B370" s="12">
        <v>0.0</v>
      </c>
      <c r="C370" s="13">
        <f>IFERROR(B370/B446, "NA")</f>
        <v>0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hidden="1" customHeight="1">
      <c r="A371" s="11" t="s">
        <v>342</v>
      </c>
      <c r="B371" s="12">
        <v>0.0</v>
      </c>
      <c r="C371" s="13">
        <f>IFERROR(B371/B446, "NA")</f>
        <v>0</v>
      </c>
      <c r="D371" s="14"/>
      <c r="E371" s="12">
        <v>0.0</v>
      </c>
      <c r="F371" s="13">
        <f>IFERROR(E371/E446, "NA")</f>
        <v>0</v>
      </c>
      <c r="G371" s="14"/>
      <c r="H371" s="15">
        <f t="shared" si="105"/>
        <v>0</v>
      </c>
      <c r="I371" s="13">
        <f>IFERROR(H371/H446, "NA")</f>
        <v>0</v>
      </c>
      <c r="J371" s="14"/>
      <c r="K371" s="12">
        <v>0.0</v>
      </c>
      <c r="L371" s="13">
        <f>IFERROR(K371/K446, "NA")</f>
        <v>0</v>
      </c>
      <c r="M371" s="14"/>
      <c r="N371" s="15">
        <f t="shared" si="106"/>
        <v>0</v>
      </c>
      <c r="O371" s="13">
        <f>IFERROR(N371/N446, "NA")</f>
        <v>0</v>
      </c>
      <c r="P371" s="14"/>
      <c r="Q371" s="12">
        <v>0.0</v>
      </c>
      <c r="R371" s="13">
        <f>IFERROR(Q371/Q446, "NA")</f>
        <v>0</v>
      </c>
      <c r="S371" s="14"/>
      <c r="T371" s="12">
        <v>0.0</v>
      </c>
      <c r="U371" s="13">
        <f>IFERROR(T371/T446, "NA")</f>
        <v>0</v>
      </c>
      <c r="V371" s="14"/>
      <c r="W371" s="15">
        <f t="shared" si="107"/>
        <v>0</v>
      </c>
      <c r="X371" s="13">
        <f>IFERROR(W371/W446, "NA")</f>
        <v>0</v>
      </c>
      <c r="Y371" s="14"/>
      <c r="Z371" s="12">
        <v>0.0</v>
      </c>
      <c r="AA371" s="13">
        <f>IFERROR(Z371/Z446, "NA")</f>
        <v>0</v>
      </c>
      <c r="AB371" s="14"/>
      <c r="AC371" s="15">
        <f t="shared" si="108"/>
        <v>0</v>
      </c>
      <c r="AD371" s="13">
        <f>IFERROR(AC371/AC446, "NA")</f>
        <v>0</v>
      </c>
    </row>
    <row r="372" ht="16.5" hidden="1" customHeight="1">
      <c r="A372" s="11" t="s">
        <v>343</v>
      </c>
      <c r="B372" s="12">
        <v>0.0</v>
      </c>
      <c r="C372" s="13">
        <f>IFERROR(B372/B446, "NA")</f>
        <v>0</v>
      </c>
      <c r="D372" s="14"/>
      <c r="E372" s="12">
        <v>0.0</v>
      </c>
      <c r="F372" s="13">
        <f>IFERROR(E372/E446, "NA")</f>
        <v>0</v>
      </c>
      <c r="G372" s="14"/>
      <c r="H372" s="15">
        <f t="shared" si="105"/>
        <v>0</v>
      </c>
      <c r="I372" s="13">
        <f>IFERROR(H372/H446, "NA")</f>
        <v>0</v>
      </c>
      <c r="J372" s="14"/>
      <c r="K372" s="12">
        <v>0.0</v>
      </c>
      <c r="L372" s="13">
        <f>IFERROR(K372/K446, "NA")</f>
        <v>0</v>
      </c>
      <c r="M372" s="14"/>
      <c r="N372" s="15">
        <f t="shared" si="106"/>
        <v>0</v>
      </c>
      <c r="O372" s="13">
        <f>IFERROR(N372/N446, "NA")</f>
        <v>0</v>
      </c>
      <c r="P372" s="14"/>
      <c r="Q372" s="12">
        <v>0.0</v>
      </c>
      <c r="R372" s="13">
        <f>IFERROR(Q372/Q446, "NA")</f>
        <v>0</v>
      </c>
      <c r="S372" s="14"/>
      <c r="T372" s="12">
        <v>0.0</v>
      </c>
      <c r="U372" s="13">
        <f>IFERROR(T372/T446, "NA")</f>
        <v>0</v>
      </c>
      <c r="V372" s="14"/>
      <c r="W372" s="15">
        <f t="shared" si="107"/>
        <v>0</v>
      </c>
      <c r="X372" s="13">
        <f>IFERROR(W372/W446, "NA")</f>
        <v>0</v>
      </c>
      <c r="Y372" s="14"/>
      <c r="Z372" s="12">
        <v>0.0</v>
      </c>
      <c r="AA372" s="13">
        <f>IFERROR(Z372/Z446, "NA")</f>
        <v>0</v>
      </c>
      <c r="AB372" s="14"/>
      <c r="AC372" s="15">
        <f t="shared" si="108"/>
        <v>0</v>
      </c>
      <c r="AD372" s="13">
        <f>IFERROR(AC372/AC446, "NA")</f>
        <v>0</v>
      </c>
    </row>
    <row r="373" ht="16.5" hidden="1" customHeight="1">
      <c r="A373" s="11" t="s">
        <v>344</v>
      </c>
      <c r="B373" s="12">
        <v>0.0</v>
      </c>
      <c r="C373" s="13">
        <f>IFERROR(B373/B446, "NA")</f>
        <v>0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0</v>
      </c>
      <c r="I373" s="13">
        <f>IFERROR(H373/H446, "NA")</f>
        <v>0</v>
      </c>
      <c r="J373" s="14"/>
      <c r="K373" s="12">
        <v>0.0</v>
      </c>
      <c r="L373" s="13">
        <f>IFERROR(K373/K446, "NA")</f>
        <v>0</v>
      </c>
      <c r="M373" s="14"/>
      <c r="N373" s="15">
        <f t="shared" si="106"/>
        <v>0</v>
      </c>
      <c r="O373" s="13">
        <f>IFERROR(N373/N446, "NA")</f>
        <v>0</v>
      </c>
      <c r="P373" s="14"/>
      <c r="Q373" s="12">
        <v>0.0</v>
      </c>
      <c r="R373" s="13">
        <f>IFERROR(Q373/Q446, "NA")</f>
        <v>0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0</v>
      </c>
      <c r="X373" s="13">
        <f>IFERROR(W373/W446, "NA")</f>
        <v>0</v>
      </c>
      <c r="Y373" s="14"/>
      <c r="Z373" s="12">
        <v>0.0</v>
      </c>
      <c r="AA373" s="13">
        <f>IFERROR(Z373/Z446, "NA")</f>
        <v>0</v>
      </c>
      <c r="AB373" s="14"/>
      <c r="AC373" s="15">
        <f t="shared" si="108"/>
        <v>0</v>
      </c>
      <c r="AD373" s="13">
        <f>IFERROR(AC373/AC446, "NA")</f>
        <v>0</v>
      </c>
    </row>
    <row r="374" ht="16.5" hidden="1" customHeight="1">
      <c r="A374" s="11" t="s">
        <v>345</v>
      </c>
      <c r="B374" s="12">
        <v>0.0</v>
      </c>
      <c r="C374" s="13">
        <f>IFERROR(B374/B446, "NA")</f>
        <v>0</v>
      </c>
      <c r="D374" s="14"/>
      <c r="E374" s="12">
        <v>0.0</v>
      </c>
      <c r="F374" s="13">
        <f>IFERROR(E374/E446, "NA")</f>
        <v>0</v>
      </c>
      <c r="G374" s="14"/>
      <c r="H374" s="15">
        <f t="shared" si="105"/>
        <v>0</v>
      </c>
      <c r="I374" s="13">
        <f>IFERROR(H374/H446, "NA")</f>
        <v>0</v>
      </c>
      <c r="J374" s="14"/>
      <c r="K374" s="12">
        <v>0.0</v>
      </c>
      <c r="L374" s="13">
        <f>IFERROR(K374/K446, "NA")</f>
        <v>0</v>
      </c>
      <c r="M374" s="14"/>
      <c r="N374" s="15">
        <f t="shared" si="106"/>
        <v>0</v>
      </c>
      <c r="O374" s="13">
        <f>IFERROR(N374/N446, "NA")</f>
        <v>0</v>
      </c>
      <c r="P374" s="14"/>
      <c r="Q374" s="12">
        <v>0.0</v>
      </c>
      <c r="R374" s="13">
        <f>IFERROR(Q374/Q446, "NA")</f>
        <v>0</v>
      </c>
      <c r="S374" s="14"/>
      <c r="T374" s="12">
        <v>0.0</v>
      </c>
      <c r="U374" s="13">
        <f>IFERROR(T374/T446, "NA")</f>
        <v>0</v>
      </c>
      <c r="V374" s="14"/>
      <c r="W374" s="15">
        <f t="shared" si="107"/>
        <v>0</v>
      </c>
      <c r="X374" s="13">
        <f>IFERROR(W374/W446, "NA")</f>
        <v>0</v>
      </c>
      <c r="Y374" s="14"/>
      <c r="Z374" s="12">
        <v>0.0</v>
      </c>
      <c r="AA374" s="13">
        <f>IFERROR(Z374/Z446, "NA")</f>
        <v>0</v>
      </c>
      <c r="AB374" s="14"/>
      <c r="AC374" s="15">
        <f t="shared" si="108"/>
        <v>0</v>
      </c>
      <c r="AD374" s="13">
        <f>IFERROR(AC374/AC446, "NA")</f>
        <v>0</v>
      </c>
    </row>
    <row r="375" ht="16.5" hidden="1" customHeight="1">
      <c r="A375" s="11" t="s">
        <v>346</v>
      </c>
      <c r="B375" s="12">
        <v>0.0</v>
      </c>
      <c r="C375" s="13">
        <f>IFERROR(B375/B446, "NA")</f>
        <v>0</v>
      </c>
      <c r="D375" s="14"/>
      <c r="E375" s="12">
        <v>0.0</v>
      </c>
      <c r="F375" s="13">
        <f>IFERROR(E375/E446, "NA")</f>
        <v>0</v>
      </c>
      <c r="G375" s="14"/>
      <c r="H375" s="15">
        <f t="shared" si="105"/>
        <v>0</v>
      </c>
      <c r="I375" s="13">
        <f>IFERROR(H375/H446, "NA")</f>
        <v>0</v>
      </c>
      <c r="J375" s="14"/>
      <c r="K375" s="12">
        <v>0.0</v>
      </c>
      <c r="L375" s="13">
        <f>IFERROR(K375/K446, "NA")</f>
        <v>0</v>
      </c>
      <c r="M375" s="14"/>
      <c r="N375" s="15">
        <f t="shared" si="106"/>
        <v>0</v>
      </c>
      <c r="O375" s="13">
        <f>IFERROR(N375/N446, "NA")</f>
        <v>0</v>
      </c>
      <c r="P375" s="14"/>
      <c r="Q375" s="12">
        <v>0.0</v>
      </c>
      <c r="R375" s="13">
        <f>IFERROR(Q375/Q446, "NA")</f>
        <v>0</v>
      </c>
      <c r="S375" s="14"/>
      <c r="T375" s="12">
        <v>0.0</v>
      </c>
      <c r="U375" s="13">
        <f>IFERROR(T375/T446, "NA")</f>
        <v>0</v>
      </c>
      <c r="V375" s="14"/>
      <c r="W375" s="15">
        <f t="shared" si="107"/>
        <v>0</v>
      </c>
      <c r="X375" s="13">
        <f>IFERROR(W375/W446, "NA")</f>
        <v>0</v>
      </c>
      <c r="Y375" s="14"/>
      <c r="Z375" s="12">
        <v>0.0</v>
      </c>
      <c r="AA375" s="13">
        <f>IFERROR(Z375/Z446, "NA")</f>
        <v>0</v>
      </c>
      <c r="AB375" s="14"/>
      <c r="AC375" s="15">
        <f t="shared" si="108"/>
        <v>0</v>
      </c>
      <c r="AD375" s="13">
        <f>IFERROR(AC375/AC446, "NA")</f>
        <v>0</v>
      </c>
    </row>
    <row r="376" ht="16.5" hidden="1" customHeight="1">
      <c r="A376" s="11" t="s">
        <v>347</v>
      </c>
      <c r="B376" s="12">
        <v>0.0</v>
      </c>
      <c r="C376" s="13">
        <f>IFERROR(B376/B446, "NA")</f>
        <v>0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0.0</v>
      </c>
      <c r="L376" s="13">
        <f>IFERROR(K376/K446, "NA")</f>
        <v>0</v>
      </c>
      <c r="M376" s="14"/>
      <c r="N376" s="15">
        <f t="shared" si="106"/>
        <v>0</v>
      </c>
      <c r="O376" s="13">
        <f>IFERROR(N376/N446, "NA")</f>
        <v>0</v>
      </c>
      <c r="P376" s="14"/>
      <c r="Q376" s="12">
        <v>0.0</v>
      </c>
      <c r="R376" s="13">
        <f>IFERROR(Q376/Q446, "NA")</f>
        <v>0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0</v>
      </c>
      <c r="X376" s="13">
        <f>IFERROR(W376/W446, "NA")</f>
        <v>0</v>
      </c>
      <c r="Y376" s="14"/>
      <c r="Z376" s="12">
        <v>0.0</v>
      </c>
      <c r="AA376" s="13">
        <f>IFERROR(Z376/Z446, "NA")</f>
        <v>0</v>
      </c>
      <c r="AB376" s="14"/>
      <c r="AC376" s="15">
        <f t="shared" si="108"/>
        <v>0</v>
      </c>
      <c r="AD376" s="13">
        <f>IFERROR(AC376/AC446, "NA")</f>
        <v>0</v>
      </c>
    </row>
    <row r="377" ht="16.5" hidden="1" customHeight="1">
      <c r="A377" s="11" t="s">
        <v>348</v>
      </c>
      <c r="B377" s="12">
        <v>0.0</v>
      </c>
      <c r="C377" s="13">
        <f>IFERROR(B377/B446, "NA")</f>
        <v>0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0</v>
      </c>
      <c r="I377" s="13">
        <f>IFERROR(H377/H446, "NA")</f>
        <v>0</v>
      </c>
      <c r="J377" s="14"/>
      <c r="K377" s="12">
        <v>0.0</v>
      </c>
      <c r="L377" s="13">
        <f>IFERROR(K377/K446, "NA")</f>
        <v>0</v>
      </c>
      <c r="M377" s="14"/>
      <c r="N377" s="15">
        <f t="shared" si="106"/>
        <v>0</v>
      </c>
      <c r="O377" s="13">
        <f>IFERROR(N377/N446, "NA")</f>
        <v>0</v>
      </c>
      <c r="P377" s="14"/>
      <c r="Q377" s="12">
        <v>0.0</v>
      </c>
      <c r="R377" s="13">
        <f>IFERROR(Q377/Q446, "NA")</f>
        <v>0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0</v>
      </c>
      <c r="X377" s="13">
        <f>IFERROR(W377/W446, "NA")</f>
        <v>0</v>
      </c>
      <c r="Y377" s="14"/>
      <c r="Z377" s="12">
        <v>0.0</v>
      </c>
      <c r="AA377" s="13">
        <f>IFERROR(Z377/Z446, "NA")</f>
        <v>0</v>
      </c>
      <c r="AB377" s="14"/>
      <c r="AC377" s="15">
        <f t="shared" si="108"/>
        <v>0</v>
      </c>
      <c r="AD377" s="13">
        <f>IFERROR(AC377/AC446, "NA")</f>
        <v>0</v>
      </c>
    </row>
    <row r="378" ht="16.5" hidden="1" customHeight="1">
      <c r="A378" s="11" t="s">
        <v>349</v>
      </c>
      <c r="B378" s="12">
        <v>0.0</v>
      </c>
      <c r="C378" s="13">
        <f>IFERROR(B378/B446, "NA")</f>
        <v>0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hidden="1" customHeight="1">
      <c r="A379" s="11" t="s">
        <v>350</v>
      </c>
      <c r="B379" s="12">
        <v>0.0</v>
      </c>
      <c r="C379" s="13">
        <f>IFERROR(B379/B446, "NA")</f>
        <v>0</v>
      </c>
      <c r="D379" s="14"/>
      <c r="E379" s="12">
        <v>0.0</v>
      </c>
      <c r="F379" s="13">
        <f>IFERROR(E379/E446, "NA")</f>
        <v>0</v>
      </c>
      <c r="G379" s="14"/>
      <c r="H379" s="15">
        <f t="shared" si="105"/>
        <v>0</v>
      </c>
      <c r="I379" s="13">
        <f>IFERROR(H379/H446, "NA")</f>
        <v>0</v>
      </c>
      <c r="J379" s="14"/>
      <c r="K379" s="12">
        <v>0.0</v>
      </c>
      <c r="L379" s="13">
        <f>IFERROR(K379/K446, "NA")</f>
        <v>0</v>
      </c>
      <c r="M379" s="14"/>
      <c r="N379" s="15">
        <f t="shared" si="106"/>
        <v>0</v>
      </c>
      <c r="O379" s="13">
        <f>IFERROR(N379/N446, "NA")</f>
        <v>0</v>
      </c>
      <c r="P379" s="14"/>
      <c r="Q379" s="12">
        <v>0.0</v>
      </c>
      <c r="R379" s="13">
        <f>IFERROR(Q379/Q446, "NA")</f>
        <v>0</v>
      </c>
      <c r="S379" s="14"/>
      <c r="T379" s="12">
        <v>0.0</v>
      </c>
      <c r="U379" s="13">
        <f>IFERROR(T379/T446, "NA")</f>
        <v>0</v>
      </c>
      <c r="V379" s="14"/>
      <c r="W379" s="15">
        <f t="shared" si="107"/>
        <v>0</v>
      </c>
      <c r="X379" s="13">
        <f>IFERROR(W379/W446, "NA")</f>
        <v>0</v>
      </c>
      <c r="Y379" s="14"/>
      <c r="Z379" s="12">
        <v>0.0</v>
      </c>
      <c r="AA379" s="13">
        <f>IFERROR(Z379/Z446, "NA")</f>
        <v>0</v>
      </c>
      <c r="AB379" s="14"/>
      <c r="AC379" s="15">
        <f t="shared" si="108"/>
        <v>0</v>
      </c>
      <c r="AD379" s="13">
        <f>IFERROR(AC379/AC446, "NA")</f>
        <v>0</v>
      </c>
    </row>
    <row r="380" ht="16.5" hidden="1" customHeight="1">
      <c r="A380" s="11" t="s">
        <v>351</v>
      </c>
      <c r="B380" s="12">
        <v>0.0</v>
      </c>
      <c r="C380" s="13">
        <f>IFERROR(B380/B446, "NA")</f>
        <v>0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0</v>
      </c>
      <c r="I380" s="13">
        <f>IFERROR(H380/H446, "NA")</f>
        <v>0</v>
      </c>
      <c r="J380" s="14"/>
      <c r="K380" s="12">
        <v>0.0</v>
      </c>
      <c r="L380" s="13">
        <f>IFERROR(K380/K446, "NA")</f>
        <v>0</v>
      </c>
      <c r="M380" s="14"/>
      <c r="N380" s="15">
        <f t="shared" si="106"/>
        <v>0</v>
      </c>
      <c r="O380" s="13">
        <f>IFERROR(N380/N446, "NA")</f>
        <v>0</v>
      </c>
      <c r="P380" s="14"/>
      <c r="Q380" s="12">
        <v>0.0</v>
      </c>
      <c r="R380" s="13">
        <f>IFERROR(Q380/Q446, "NA")</f>
        <v>0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0</v>
      </c>
      <c r="X380" s="13">
        <f>IFERROR(W380/W446, "NA")</f>
        <v>0</v>
      </c>
      <c r="Y380" s="14"/>
      <c r="Z380" s="12">
        <v>0.0</v>
      </c>
      <c r="AA380" s="13">
        <f>IFERROR(Z380/Z446, "NA")</f>
        <v>0</v>
      </c>
      <c r="AB380" s="14"/>
      <c r="AC380" s="15">
        <f t="shared" si="108"/>
        <v>0</v>
      </c>
      <c r="AD380" s="13">
        <f>IFERROR(AC380/AC446, "NA")</f>
        <v>0</v>
      </c>
    </row>
    <row r="381" ht="16.5" hidden="1" customHeight="1">
      <c r="A381" s="11" t="s">
        <v>352</v>
      </c>
      <c r="B381" s="12">
        <v>0.0</v>
      </c>
      <c r="C381" s="13">
        <f>IFERROR(B381/B446, "NA")</f>
        <v>0</v>
      </c>
      <c r="D381" s="14"/>
      <c r="E381" s="12">
        <v>0.0</v>
      </c>
      <c r="F381" s="13">
        <f>IFERROR(E381/E446, "NA")</f>
        <v>0</v>
      </c>
      <c r="G381" s="14"/>
      <c r="H381" s="15">
        <f t="shared" si="105"/>
        <v>0</v>
      </c>
      <c r="I381" s="13">
        <f>IFERROR(H381/H446, "NA")</f>
        <v>0</v>
      </c>
      <c r="J381" s="14"/>
      <c r="K381" s="12">
        <v>0.0</v>
      </c>
      <c r="L381" s="13">
        <f>IFERROR(K381/K446, "NA")</f>
        <v>0</v>
      </c>
      <c r="M381" s="14"/>
      <c r="N381" s="15">
        <f t="shared" si="106"/>
        <v>0</v>
      </c>
      <c r="O381" s="13">
        <f>IFERROR(N381/N446, "NA")</f>
        <v>0</v>
      </c>
      <c r="P381" s="14"/>
      <c r="Q381" s="12">
        <v>0.0</v>
      </c>
      <c r="R381" s="13">
        <f>IFERROR(Q381/Q446, "NA")</f>
        <v>0</v>
      </c>
      <c r="S381" s="14"/>
      <c r="T381" s="12">
        <v>0.0</v>
      </c>
      <c r="U381" s="13">
        <f>IFERROR(T381/T446, "NA")</f>
        <v>0</v>
      </c>
      <c r="V381" s="14"/>
      <c r="W381" s="15">
        <f t="shared" si="107"/>
        <v>0</v>
      </c>
      <c r="X381" s="13">
        <f>IFERROR(W381/W446, "NA")</f>
        <v>0</v>
      </c>
      <c r="Y381" s="14"/>
      <c r="Z381" s="12">
        <v>0.0</v>
      </c>
      <c r="AA381" s="13">
        <f>IFERROR(Z381/Z446, "NA")</f>
        <v>0</v>
      </c>
      <c r="AB381" s="14"/>
      <c r="AC381" s="15">
        <f t="shared" si="108"/>
        <v>0</v>
      </c>
      <c r="AD381" s="13">
        <f>IFERROR(AC381/AC446, "NA")</f>
        <v>0</v>
      </c>
    </row>
    <row r="382" ht="16.5" hidden="1" customHeight="1">
      <c r="A382" s="11" t="s">
        <v>353</v>
      </c>
      <c r="B382" s="12">
        <v>0.0</v>
      </c>
      <c r="C382" s="13">
        <f>IFERROR(B382/B446, "NA")</f>
        <v>0</v>
      </c>
      <c r="D382" s="14"/>
      <c r="E382" s="12">
        <v>0.0</v>
      </c>
      <c r="F382" s="13">
        <f>IFERROR(E382/E446, "NA")</f>
        <v>0</v>
      </c>
      <c r="G382" s="14"/>
      <c r="H382" s="15">
        <f t="shared" si="105"/>
        <v>0</v>
      </c>
      <c r="I382" s="13">
        <f>IFERROR(H382/H446, "NA")</f>
        <v>0</v>
      </c>
      <c r="J382" s="14"/>
      <c r="K382" s="12">
        <v>0.0</v>
      </c>
      <c r="L382" s="13">
        <f>IFERROR(K382/K446, "NA")</f>
        <v>0</v>
      </c>
      <c r="M382" s="14"/>
      <c r="N382" s="15">
        <f t="shared" si="106"/>
        <v>0</v>
      </c>
      <c r="O382" s="13">
        <f>IFERROR(N382/N446, "NA")</f>
        <v>0</v>
      </c>
      <c r="P382" s="14"/>
      <c r="Q382" s="12">
        <v>0.0</v>
      </c>
      <c r="R382" s="13">
        <f>IFERROR(Q382/Q446, "NA")</f>
        <v>0</v>
      </c>
      <c r="S382" s="14"/>
      <c r="T382" s="12">
        <v>0.0</v>
      </c>
      <c r="U382" s="13">
        <f>IFERROR(T382/T446, "NA")</f>
        <v>0</v>
      </c>
      <c r="V382" s="14"/>
      <c r="W382" s="15">
        <f t="shared" si="107"/>
        <v>0</v>
      </c>
      <c r="X382" s="13">
        <f>IFERROR(W382/W446, "NA")</f>
        <v>0</v>
      </c>
      <c r="Y382" s="14"/>
      <c r="Z382" s="12">
        <v>0.0</v>
      </c>
      <c r="AA382" s="13">
        <f>IFERROR(Z382/Z446, "NA")</f>
        <v>0</v>
      </c>
      <c r="AB382" s="14"/>
      <c r="AC382" s="15">
        <f t="shared" si="108"/>
        <v>0</v>
      </c>
      <c r="AD382" s="13">
        <f>IFERROR(AC382/AC446, "NA")</f>
        <v>0</v>
      </c>
    </row>
    <row r="383" ht="16.5" hidden="1" customHeight="1">
      <c r="A383" s="11" t="s">
        <v>354</v>
      </c>
      <c r="B383" s="12">
        <v>0.0</v>
      </c>
      <c r="C383" s="13">
        <f>IFERROR(B383/B446, "NA")</f>
        <v>0</v>
      </c>
      <c r="D383" s="14"/>
      <c r="E383" s="12">
        <v>0.0</v>
      </c>
      <c r="F383" s="13">
        <f>IFERROR(E383/E446, "NA")</f>
        <v>0</v>
      </c>
      <c r="G383" s="14"/>
      <c r="H383" s="15">
        <f t="shared" si="105"/>
        <v>0</v>
      </c>
      <c r="I383" s="13">
        <f>IFERROR(H383/H446, "NA")</f>
        <v>0</v>
      </c>
      <c r="J383" s="14"/>
      <c r="K383" s="12">
        <v>0.0</v>
      </c>
      <c r="L383" s="13">
        <f>IFERROR(K383/K446, "NA")</f>
        <v>0</v>
      </c>
      <c r="M383" s="14"/>
      <c r="N383" s="15">
        <f t="shared" si="106"/>
        <v>0</v>
      </c>
      <c r="O383" s="13">
        <f>IFERROR(N383/N446, "NA")</f>
        <v>0</v>
      </c>
      <c r="P383" s="14"/>
      <c r="Q383" s="12">
        <v>0.0</v>
      </c>
      <c r="R383" s="13">
        <f>IFERROR(Q383/Q446, "NA")</f>
        <v>0</v>
      </c>
      <c r="S383" s="14"/>
      <c r="T383" s="12">
        <v>0.0</v>
      </c>
      <c r="U383" s="13">
        <f>IFERROR(T383/T446, "NA")</f>
        <v>0</v>
      </c>
      <c r="V383" s="14"/>
      <c r="W383" s="15">
        <f t="shared" si="107"/>
        <v>0</v>
      </c>
      <c r="X383" s="13">
        <f>IFERROR(W383/W446, "NA")</f>
        <v>0</v>
      </c>
      <c r="Y383" s="14"/>
      <c r="Z383" s="12">
        <v>0.0</v>
      </c>
      <c r="AA383" s="13">
        <f>IFERROR(Z383/Z446, "NA")</f>
        <v>0</v>
      </c>
      <c r="AB383" s="14"/>
      <c r="AC383" s="15">
        <f t="shared" si="108"/>
        <v>0</v>
      </c>
      <c r="AD383" s="13">
        <f>IFERROR(AC383/AC446, "NA")</f>
        <v>0</v>
      </c>
    </row>
    <row r="384" ht="16.5" hidden="1" customHeight="1">
      <c r="A384" s="11" t="s">
        <v>355</v>
      </c>
      <c r="B384" s="12">
        <v>0.0</v>
      </c>
      <c r="C384" s="13">
        <f>IFERROR(B384/B446, "NA")</f>
        <v>0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hidden="1" customHeight="1">
      <c r="A386" s="11" t="s">
        <v>356</v>
      </c>
      <c r="B386" s="12">
        <v>0.0</v>
      </c>
      <c r="C386" s="13">
        <f>IFERROR(B386/B446, "NA")</f>
        <v>0</v>
      </c>
      <c r="D386" s="14"/>
      <c r="E386" s="12">
        <v>0.0</v>
      </c>
      <c r="F386" s="13">
        <f>IFERROR(E386/E446, "NA")</f>
        <v>0</v>
      </c>
      <c r="G386" s="14"/>
      <c r="H386" s="15">
        <f t="shared" ref="H386:H387" si="109">IFERROR(-(B386-E386), "NA")</f>
        <v>0</v>
      </c>
      <c r="I386" s="13">
        <f>IFERROR(H386/H446, "NA")</f>
        <v>0</v>
      </c>
      <c r="J386" s="14"/>
      <c r="K386" s="12">
        <v>0.0</v>
      </c>
      <c r="L386" s="13">
        <f>IFERROR(K386/K446, "NA")</f>
        <v>0</v>
      </c>
      <c r="M386" s="14"/>
      <c r="N386" s="15">
        <f t="shared" ref="N386:N387" si="110">IFERROR(-(B386-K386), "NA")</f>
        <v>0</v>
      </c>
      <c r="O386" s="13">
        <f>IFERROR(N386/N446, "NA")</f>
        <v>0</v>
      </c>
      <c r="P386" s="14"/>
      <c r="Q386" s="12">
        <v>0.0</v>
      </c>
      <c r="R386" s="13">
        <f>IFERROR(Q386/Q446, "NA")</f>
        <v>0</v>
      </c>
      <c r="S386" s="14"/>
      <c r="T386" s="12">
        <v>0.0</v>
      </c>
      <c r="U386" s="13">
        <f>IFERROR(T386/T446, "NA")</f>
        <v>0</v>
      </c>
      <c r="V386" s="14"/>
      <c r="W386" s="15">
        <f t="shared" ref="W386:W387" si="111">IFERROR(-(Q386-T386), "NA")</f>
        <v>0</v>
      </c>
      <c r="X386" s="13">
        <f>IFERROR(W386/W446, "NA")</f>
        <v>0</v>
      </c>
      <c r="Y386" s="14"/>
      <c r="Z386" s="12">
        <v>0.0</v>
      </c>
      <c r="AA386" s="13">
        <f>IFERROR(Z386/Z446, "NA")</f>
        <v>0</v>
      </c>
      <c r="AB386" s="14"/>
      <c r="AC386" s="15">
        <f t="shared" ref="AC386:AC387" si="112">IFERROR(-(Q386-Z386), "NA")</f>
        <v>0</v>
      </c>
      <c r="AD386" s="13">
        <f>IFERROR(AC386/AC446, "NA")</f>
        <v>0</v>
      </c>
    </row>
    <row r="387" ht="16.5" hidden="1" customHeight="1">
      <c r="A387" s="11" t="s">
        <v>357</v>
      </c>
      <c r="B387" s="12">
        <v>0.0</v>
      </c>
      <c r="C387" s="13">
        <f>IFERROR(B387/B446, "NA")</f>
        <v>0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0.0</v>
      </c>
      <c r="L387" s="13">
        <f>IFERROR(K387/K446, "NA")</f>
        <v>0</v>
      </c>
      <c r="M387" s="14"/>
      <c r="N387" s="15">
        <f t="shared" si="110"/>
        <v>0</v>
      </c>
      <c r="O387" s="13">
        <f>IFERROR(N387/N446, "NA")</f>
        <v>0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0.0</v>
      </c>
      <c r="AA387" s="13">
        <f>IFERROR(Z387/Z446, "NA")</f>
        <v>0</v>
      </c>
      <c r="AB387" s="14"/>
      <c r="AC387" s="15">
        <f t="shared" si="112"/>
        <v>0</v>
      </c>
      <c r="AD387" s="13">
        <f>IFERROR(AC387/AC446, "NA")</f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hidden="1" customHeight="1">
      <c r="A389" s="11" t="s">
        <v>358</v>
      </c>
      <c r="B389" s="12">
        <v>0.0</v>
      </c>
      <c r="C389" s="13">
        <f>IFERROR(B389/B446, "NA")</f>
        <v>0</v>
      </c>
      <c r="D389" s="14"/>
      <c r="E389" s="12">
        <v>0.0</v>
      </c>
      <c r="F389" s="13">
        <f>IFERROR(E389/E446, "NA")</f>
        <v>0</v>
      </c>
      <c r="G389" s="14"/>
      <c r="H389" s="15">
        <f t="shared" ref="H389:H404" si="113">IFERROR(-(B389-E389), "NA")</f>
        <v>0</v>
      </c>
      <c r="I389" s="13">
        <f>IFERROR(H389/H446, "NA")</f>
        <v>0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0.0</v>
      </c>
      <c r="U389" s="13">
        <f>IFERROR(T389/T446, "NA")</f>
        <v>0</v>
      </c>
      <c r="V389" s="14"/>
      <c r="W389" s="15">
        <f t="shared" ref="W389:W404" si="115">IFERROR(-(Q389-T389), "NA")</f>
        <v>0</v>
      </c>
      <c r="X389" s="13">
        <f>IFERROR(W389/W446, "NA")</f>
        <v>0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hidden="1" customHeight="1">
      <c r="A390" s="11" t="s">
        <v>359</v>
      </c>
      <c r="B390" s="12">
        <v>0.0</v>
      </c>
      <c r="C390" s="13">
        <f>IFERROR(B390/B446, "NA")</f>
        <v>0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0</v>
      </c>
      <c r="I390" s="13">
        <f>IFERROR(H390/H446, "NA")</f>
        <v>0</v>
      </c>
      <c r="J390" s="14"/>
      <c r="K390" s="12">
        <v>0.0</v>
      </c>
      <c r="L390" s="13">
        <f>IFERROR(K390/K446, "NA")</f>
        <v>0</v>
      </c>
      <c r="M390" s="14"/>
      <c r="N390" s="15">
        <f t="shared" si="114"/>
        <v>0</v>
      </c>
      <c r="O390" s="13">
        <f>IFERROR(N390/N446, "NA")</f>
        <v>0</v>
      </c>
      <c r="P390" s="14"/>
      <c r="Q390" s="12">
        <v>0.0</v>
      </c>
      <c r="R390" s="13">
        <f>IFERROR(Q390/Q446, "NA")</f>
        <v>0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0</v>
      </c>
      <c r="X390" s="13">
        <f>IFERROR(W390/W446, "NA")</f>
        <v>0</v>
      </c>
      <c r="Y390" s="14"/>
      <c r="Z390" s="12">
        <v>0.0</v>
      </c>
      <c r="AA390" s="13">
        <f>IFERROR(Z390/Z446, "NA")</f>
        <v>0</v>
      </c>
      <c r="AB390" s="14"/>
      <c r="AC390" s="15">
        <f t="shared" si="116"/>
        <v>0</v>
      </c>
      <c r="AD390" s="13">
        <f>IFERROR(AC390/AC446, "NA")</f>
        <v>0</v>
      </c>
    </row>
    <row r="391" ht="16.5" hidden="1" customHeight="1">
      <c r="A391" s="11" t="s">
        <v>360</v>
      </c>
      <c r="B391" s="12">
        <v>0.0</v>
      </c>
      <c r="C391" s="13">
        <f>IFERROR(B391/B446, "NA")</f>
        <v>0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0</v>
      </c>
      <c r="I391" s="13">
        <f>IFERROR(H391/H446, "NA")</f>
        <v>0</v>
      </c>
      <c r="J391" s="14"/>
      <c r="K391" s="12">
        <v>0.0</v>
      </c>
      <c r="L391" s="13">
        <f>IFERROR(K391/K446, "NA")</f>
        <v>0</v>
      </c>
      <c r="M391" s="14"/>
      <c r="N391" s="15">
        <f t="shared" si="114"/>
        <v>0</v>
      </c>
      <c r="O391" s="13">
        <f>IFERROR(N391/N446, "NA")</f>
        <v>0</v>
      </c>
      <c r="P391" s="14"/>
      <c r="Q391" s="12">
        <v>0.0</v>
      </c>
      <c r="R391" s="13">
        <f>IFERROR(Q391/Q446, "NA")</f>
        <v>0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0</v>
      </c>
      <c r="X391" s="13">
        <f>IFERROR(W391/W446, "NA")</f>
        <v>0</v>
      </c>
      <c r="Y391" s="14"/>
      <c r="Z391" s="12">
        <v>0.0</v>
      </c>
      <c r="AA391" s="13">
        <f>IFERROR(Z391/Z446, "NA")</f>
        <v>0</v>
      </c>
      <c r="AB391" s="14"/>
      <c r="AC391" s="15">
        <f t="shared" si="116"/>
        <v>0</v>
      </c>
      <c r="AD391" s="13">
        <f>IFERROR(AC391/AC446, "NA")</f>
        <v>0</v>
      </c>
    </row>
    <row r="392" ht="16.5" hidden="1" customHeight="1">
      <c r="A392" s="11" t="s">
        <v>361</v>
      </c>
      <c r="B392" s="12">
        <v>0.0</v>
      </c>
      <c r="C392" s="13">
        <f>IFERROR(B392/B446, "NA")</f>
        <v>0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hidden="1" customHeight="1">
      <c r="A393" s="11" t="s">
        <v>362</v>
      </c>
      <c r="B393" s="12">
        <v>0.0</v>
      </c>
      <c r="C393" s="13">
        <f>IFERROR(B393/B446, "NA")</f>
        <v>0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0</v>
      </c>
      <c r="I393" s="13">
        <f>IFERROR(H393/H446, "NA")</f>
        <v>0</v>
      </c>
      <c r="J393" s="14"/>
      <c r="K393" s="12">
        <v>0.0</v>
      </c>
      <c r="L393" s="13">
        <f>IFERROR(K393/K446, "NA")</f>
        <v>0</v>
      </c>
      <c r="M393" s="14"/>
      <c r="N393" s="15">
        <f t="shared" si="114"/>
        <v>0</v>
      </c>
      <c r="O393" s="13">
        <f>IFERROR(N393/N446, "NA")</f>
        <v>0</v>
      </c>
      <c r="P393" s="14"/>
      <c r="Q393" s="12">
        <v>0.0</v>
      </c>
      <c r="R393" s="13">
        <f>IFERROR(Q393/Q446, "NA")</f>
        <v>0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0</v>
      </c>
      <c r="X393" s="13">
        <f>IFERROR(W393/W446, "NA")</f>
        <v>0</v>
      </c>
      <c r="Y393" s="14"/>
      <c r="Z393" s="12">
        <v>0.0</v>
      </c>
      <c r="AA393" s="13">
        <f>IFERROR(Z393/Z446, "NA")</f>
        <v>0</v>
      </c>
      <c r="AB393" s="14"/>
      <c r="AC393" s="15">
        <f t="shared" si="116"/>
        <v>0</v>
      </c>
      <c r="AD393" s="13">
        <f>IFERROR(AC393/AC446, "NA")</f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>
        <f>IFERROR(B394/B446, "NA")</f>
        <v>0</v>
      </c>
      <c r="D394" s="8"/>
      <c r="E394" s="17">
        <f>IFERROR(E389+E390+E391+E392+E393, "NA")</f>
        <v>0</v>
      </c>
      <c r="F394" s="18">
        <f>IFERROR(E394/E446, "NA")</f>
        <v>0</v>
      </c>
      <c r="G394" s="8"/>
      <c r="H394" s="17">
        <f t="shared" si="113"/>
        <v>0</v>
      </c>
      <c r="I394" s="18">
        <f>IFERROR(H394/H446, "NA")</f>
        <v>0</v>
      </c>
      <c r="J394" s="8"/>
      <c r="K394" s="17">
        <f>IFERROR(K389+K390+K391+K392+K393, "NA")</f>
        <v>0</v>
      </c>
      <c r="L394" s="18">
        <f>IFERROR(K394/K446, "NA")</f>
        <v>0</v>
      </c>
      <c r="M394" s="8"/>
      <c r="N394" s="17">
        <f t="shared" si="114"/>
        <v>0</v>
      </c>
      <c r="O394" s="18">
        <f>IFERROR(N394/N446, "NA")</f>
        <v>0</v>
      </c>
      <c r="P394" s="8"/>
      <c r="Q394" s="17">
        <f>IFERROR(Q389+Q390+Q391+Q392+Q393, "NA")</f>
        <v>0</v>
      </c>
      <c r="R394" s="18">
        <f>IFERROR(Q394/Q446, "NA")</f>
        <v>0</v>
      </c>
      <c r="S394" s="8"/>
      <c r="T394" s="17">
        <f>IFERROR(T389+T390+T391+T392+T393, "NA")</f>
        <v>0</v>
      </c>
      <c r="U394" s="18">
        <f>IFERROR(T394/T446, "NA")</f>
        <v>0</v>
      </c>
      <c r="V394" s="8"/>
      <c r="W394" s="17">
        <f t="shared" si="115"/>
        <v>0</v>
      </c>
      <c r="X394" s="18">
        <f>IFERROR(W394/W446, "NA")</f>
        <v>0</v>
      </c>
      <c r="Y394" s="8"/>
      <c r="Z394" s="17">
        <f>IFERROR(Z389+Z390+Z391+Z392+Z393, "NA")</f>
        <v>0</v>
      </c>
      <c r="AA394" s="18">
        <f>IFERROR(Z394/Z446, "NA")</f>
        <v>0</v>
      </c>
      <c r="AB394" s="8"/>
      <c r="AC394" s="17">
        <f t="shared" si="116"/>
        <v>0</v>
      </c>
      <c r="AD394" s="18">
        <f>IFERROR(AC394/AC446, "NA")</f>
        <v>0</v>
      </c>
    </row>
    <row r="395" ht="16.5" hidden="1" customHeight="1">
      <c r="A395" s="11" t="s">
        <v>364</v>
      </c>
      <c r="B395" s="12">
        <v>0.0</v>
      </c>
      <c r="C395" s="13">
        <f>IFERROR(B395/B446, "NA")</f>
        <v>0</v>
      </c>
      <c r="D395" s="14"/>
      <c r="E395" s="12">
        <v>0.0</v>
      </c>
      <c r="F395" s="13">
        <f>IFERROR(E395/E446, "NA")</f>
        <v>0</v>
      </c>
      <c r="G395" s="14"/>
      <c r="H395" s="15">
        <f t="shared" si="113"/>
        <v>0</v>
      </c>
      <c r="I395" s="13">
        <f>IFERROR(H395/H446, "NA")</f>
        <v>0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0</v>
      </c>
      <c r="O395" s="13">
        <f>IFERROR(N395/N446, "NA")</f>
        <v>0</v>
      </c>
      <c r="P395" s="14"/>
      <c r="Q395" s="12">
        <v>0.0</v>
      </c>
      <c r="R395" s="13">
        <f>IFERROR(Q395/Q446, "NA")</f>
        <v>0</v>
      </c>
      <c r="S395" s="14"/>
      <c r="T395" s="12">
        <v>0.0</v>
      </c>
      <c r="U395" s="13">
        <f>IFERROR(T395/T446, "NA")</f>
        <v>0</v>
      </c>
      <c r="V395" s="14"/>
      <c r="W395" s="15">
        <f t="shared" si="115"/>
        <v>0</v>
      </c>
      <c r="X395" s="13">
        <f>IFERROR(W395/W446, "NA")</f>
        <v>0</v>
      </c>
      <c r="Y395" s="14"/>
      <c r="Z395" s="12">
        <v>0.0</v>
      </c>
      <c r="AA395" s="13">
        <f>IFERROR(Z395/Z446, "NA")</f>
        <v>0</v>
      </c>
      <c r="AB395" s="14"/>
      <c r="AC395" s="15">
        <f t="shared" si="116"/>
        <v>0</v>
      </c>
      <c r="AD395" s="13">
        <f>IFERROR(AC395/AC446, "NA")</f>
        <v>0</v>
      </c>
    </row>
    <row r="396" ht="16.5" hidden="1" customHeight="1">
      <c r="A396" s="11" t="s">
        <v>365</v>
      </c>
      <c r="B396" s="12">
        <v>0.0</v>
      </c>
      <c r="C396" s="13">
        <f>IFERROR(B396/B446, "NA")</f>
        <v>0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0</v>
      </c>
      <c r="I396" s="13">
        <f>IFERROR(H396/H446, "NA")</f>
        <v>0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0</v>
      </c>
      <c r="O396" s="13">
        <f>IFERROR(N396/N446, "NA")</f>
        <v>0</v>
      </c>
      <c r="P396" s="14"/>
      <c r="Q396" s="12">
        <v>0.0</v>
      </c>
      <c r="R396" s="13">
        <f>IFERROR(Q396/Q446, "NA")</f>
        <v>0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0</v>
      </c>
      <c r="X396" s="13">
        <f>IFERROR(W396/W446, "NA")</f>
        <v>0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0</v>
      </c>
      <c r="AD396" s="13">
        <f>IFERROR(AC396/AC446, "NA")</f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>
        <f>IFERROR(B397/B446, "NA")</f>
        <v>0</v>
      </c>
      <c r="D397" s="8"/>
      <c r="E397" s="17">
        <f>IFERROR(E386+E387+E389+E390+E391+E392+E393+E395+E396, "NA")</f>
        <v>0</v>
      </c>
      <c r="F397" s="18">
        <f>IFERROR(E397/E446, "NA")</f>
        <v>0</v>
      </c>
      <c r="G397" s="8"/>
      <c r="H397" s="17">
        <f t="shared" si="113"/>
        <v>0</v>
      </c>
      <c r="I397" s="18">
        <f>IFERROR(H397/H446, "NA")</f>
        <v>0</v>
      </c>
      <c r="J397" s="8"/>
      <c r="K397" s="17">
        <f>IFERROR(K386+K387+K389+K390+K391+K392+K393+K395+K396, "NA")</f>
        <v>0</v>
      </c>
      <c r="L397" s="18">
        <f>IFERROR(K397/K446, "NA")</f>
        <v>0</v>
      </c>
      <c r="M397" s="8"/>
      <c r="N397" s="17">
        <f t="shared" si="114"/>
        <v>0</v>
      </c>
      <c r="O397" s="18">
        <f>IFERROR(N397/N446, "NA")</f>
        <v>0</v>
      </c>
      <c r="P397" s="8"/>
      <c r="Q397" s="17">
        <f>IFERROR(Q386+Q387+Q389+Q390+Q391+Q392+Q393+Q395+Q396, "NA")</f>
        <v>0</v>
      </c>
      <c r="R397" s="18">
        <f>IFERROR(Q397/Q446, "NA")</f>
        <v>0</v>
      </c>
      <c r="S397" s="8"/>
      <c r="T397" s="17">
        <f>IFERROR(T386+T387+T389+T390+T391+T392+T393+T395+T396, "NA")</f>
        <v>0</v>
      </c>
      <c r="U397" s="18">
        <f>IFERROR(T397/T446, "NA")</f>
        <v>0</v>
      </c>
      <c r="V397" s="8"/>
      <c r="W397" s="17">
        <f t="shared" si="115"/>
        <v>0</v>
      </c>
      <c r="X397" s="18">
        <f>IFERROR(W397/W446, "NA")</f>
        <v>0</v>
      </c>
      <c r="Y397" s="8"/>
      <c r="Z397" s="17">
        <f>IFERROR(Z386+Z387+Z389+Z390+Z391+Z392+Z393+Z395+Z396, "NA")</f>
        <v>0</v>
      </c>
      <c r="AA397" s="18">
        <f>IFERROR(Z397/Z446, "NA")</f>
        <v>0</v>
      </c>
      <c r="AB397" s="8"/>
      <c r="AC397" s="17">
        <f t="shared" si="116"/>
        <v>0</v>
      </c>
      <c r="AD397" s="18">
        <f>IFERROR(AC397/AC446, "NA")</f>
        <v>0</v>
      </c>
    </row>
    <row r="398" ht="16.5" hidden="1" customHeight="1">
      <c r="A398" s="11" t="s">
        <v>367</v>
      </c>
      <c r="B398" s="12">
        <v>0.0</v>
      </c>
      <c r="C398" s="13">
        <f>IFERROR(B398/B446, "NA")</f>
        <v>0</v>
      </c>
      <c r="D398" s="14"/>
      <c r="E398" s="12">
        <v>0.0</v>
      </c>
      <c r="F398" s="13">
        <f>IFERROR(E398/E446, "NA")</f>
        <v>0</v>
      </c>
      <c r="G398" s="14"/>
      <c r="H398" s="15">
        <f t="shared" si="113"/>
        <v>0</v>
      </c>
      <c r="I398" s="13">
        <f>IFERROR(H398/H446, "NA")</f>
        <v>0</v>
      </c>
      <c r="J398" s="14"/>
      <c r="K398" s="12">
        <v>0.0</v>
      </c>
      <c r="L398" s="13">
        <f>IFERROR(K398/K446, "NA")</f>
        <v>0</v>
      </c>
      <c r="M398" s="14"/>
      <c r="N398" s="15">
        <f t="shared" si="114"/>
        <v>0</v>
      </c>
      <c r="O398" s="13">
        <f>IFERROR(N398/N446, "NA")</f>
        <v>0</v>
      </c>
      <c r="P398" s="14"/>
      <c r="Q398" s="12">
        <v>0.0</v>
      </c>
      <c r="R398" s="13">
        <f>IFERROR(Q398/Q446, "NA")</f>
        <v>0</v>
      </c>
      <c r="S398" s="14"/>
      <c r="T398" s="12">
        <v>0.0</v>
      </c>
      <c r="U398" s="13">
        <f>IFERROR(T398/T446, "NA")</f>
        <v>0</v>
      </c>
      <c r="V398" s="14"/>
      <c r="W398" s="15">
        <f t="shared" si="115"/>
        <v>0</v>
      </c>
      <c r="X398" s="13">
        <f>IFERROR(W398/W446, "NA")</f>
        <v>0</v>
      </c>
      <c r="Y398" s="14"/>
      <c r="Z398" s="12">
        <v>0.0</v>
      </c>
      <c r="AA398" s="13">
        <f>IFERROR(Z398/Z446, "NA")</f>
        <v>0</v>
      </c>
      <c r="AB398" s="14"/>
      <c r="AC398" s="15">
        <f t="shared" si="116"/>
        <v>0</v>
      </c>
      <c r="AD398" s="13">
        <f>IFERROR(AC398/AC446, "NA")</f>
        <v>0</v>
      </c>
    </row>
    <row r="399" ht="16.5" hidden="1" customHeight="1">
      <c r="A399" s="11" t="s">
        <v>368</v>
      </c>
      <c r="B399" s="12">
        <v>0.0</v>
      </c>
      <c r="C399" s="13">
        <f>IFERROR(B399/B446, "NA")</f>
        <v>0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0</v>
      </c>
      <c r="I399" s="13">
        <f>IFERROR(H399/H446, "NA")</f>
        <v>0</v>
      </c>
      <c r="J399" s="14"/>
      <c r="K399" s="12">
        <v>0.0</v>
      </c>
      <c r="L399" s="13">
        <f>IFERROR(K399/K446, "NA")</f>
        <v>0</v>
      </c>
      <c r="M399" s="14"/>
      <c r="N399" s="15">
        <f t="shared" si="114"/>
        <v>0</v>
      </c>
      <c r="O399" s="13">
        <f>IFERROR(N399/N446, "NA")</f>
        <v>0</v>
      </c>
      <c r="P399" s="14"/>
      <c r="Q399" s="12">
        <v>0.0</v>
      </c>
      <c r="R399" s="13">
        <f>IFERROR(Q399/Q446, "NA")</f>
        <v>0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0</v>
      </c>
      <c r="X399" s="13">
        <f>IFERROR(W399/W446, "NA")</f>
        <v>0</v>
      </c>
      <c r="Y399" s="14"/>
      <c r="Z399" s="12">
        <v>0.0</v>
      </c>
      <c r="AA399" s="13">
        <f>IFERROR(Z399/Z446, "NA")</f>
        <v>0</v>
      </c>
      <c r="AB399" s="14"/>
      <c r="AC399" s="15">
        <f t="shared" si="116"/>
        <v>0</v>
      </c>
      <c r="AD399" s="13">
        <f>IFERROR(AC399/AC446, "NA")</f>
        <v>0</v>
      </c>
    </row>
    <row r="400" ht="16.5" hidden="1" customHeight="1">
      <c r="A400" s="11" t="s">
        <v>369</v>
      </c>
      <c r="B400" s="12">
        <v>0.0</v>
      </c>
      <c r="C400" s="13">
        <f>IFERROR(B400/B446, "NA")</f>
        <v>0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0</v>
      </c>
      <c r="I400" s="13">
        <f>IFERROR(H400/H446, "NA")</f>
        <v>0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0</v>
      </c>
      <c r="O400" s="13">
        <f>IFERROR(N400/N446, "NA")</f>
        <v>0</v>
      </c>
      <c r="P400" s="14"/>
      <c r="Q400" s="12">
        <v>0.0</v>
      </c>
      <c r="R400" s="13">
        <f>IFERROR(Q400/Q446, "NA")</f>
        <v>0</v>
      </c>
      <c r="S400" s="14"/>
      <c r="T400" s="12">
        <v>0.0</v>
      </c>
      <c r="U400" s="13">
        <f>IFERROR(T400/T446, "NA")</f>
        <v>0</v>
      </c>
      <c r="V400" s="14"/>
      <c r="W400" s="15">
        <f t="shared" si="115"/>
        <v>0</v>
      </c>
      <c r="X400" s="13">
        <f>IFERROR(W400/W446, "NA")</f>
        <v>0</v>
      </c>
      <c r="Y400" s="14"/>
      <c r="Z400" s="12">
        <v>0.0</v>
      </c>
      <c r="AA400" s="13">
        <f>IFERROR(Z400/Z446, "NA")</f>
        <v>0</v>
      </c>
      <c r="AB400" s="14"/>
      <c r="AC400" s="15">
        <f t="shared" si="116"/>
        <v>0</v>
      </c>
      <c r="AD400" s="13">
        <f>IFERROR(AC400/AC446, "NA")</f>
        <v>0</v>
      </c>
    </row>
    <row r="401" ht="16.5" hidden="1" customHeight="1">
      <c r="A401" s="11" t="s">
        <v>370</v>
      </c>
      <c r="B401" s="12">
        <v>0.0</v>
      </c>
      <c r="C401" s="13">
        <f>IFERROR(B401/B446, "NA")</f>
        <v>0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>
        <f>IFERROR(B402/B446, "NA")</f>
        <v>0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>
        <f>IFERROR(B403/B446, "NA")</f>
        <v>0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>
        <f>IFERROR(B404/B446, "NA")</f>
        <v>0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>
        <f>IFERROR(E404/E446, "NA")</f>
        <v>0</v>
      </c>
      <c r="G404" s="8"/>
      <c r="H404" s="17">
        <f t="shared" si="113"/>
        <v>0</v>
      </c>
      <c r="I404" s="18">
        <f>IFERROR(H404/H446, "NA")</f>
        <v>0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>
        <f>IFERROR(K404/K446, "NA")</f>
        <v>0</v>
      </c>
      <c r="M404" s="8"/>
      <c r="N404" s="17">
        <f t="shared" si="114"/>
        <v>0</v>
      </c>
      <c r="O404" s="18">
        <f>IFERROR(N404/N446, "NA")</f>
        <v>0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>
        <f>IFERROR(Q404/Q446, "NA")</f>
        <v>0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>
        <f>IFERROR(T404/T446, "NA")</f>
        <v>0</v>
      </c>
      <c r="V404" s="8"/>
      <c r="W404" s="17">
        <f t="shared" si="115"/>
        <v>0</v>
      </c>
      <c r="X404" s="18">
        <f>IFERROR(W404/W446, "NA")</f>
        <v>0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>
        <f>IFERROR(Z404/Z446, "NA")</f>
        <v>0</v>
      </c>
      <c r="AB404" s="8"/>
      <c r="AC404" s="17">
        <f t="shared" si="116"/>
        <v>0</v>
      </c>
      <c r="AD404" s="18">
        <f>IFERROR(AC404/AC446, "NA")</f>
        <v>0</v>
      </c>
    </row>
    <row r="405" ht="16.5" customHeight="1">
      <c r="A405" s="19" t="s">
        <v>374</v>
      </c>
      <c r="B405" s="20">
        <f>IFERROR(B346-B404, "NA")</f>
        <v>1148.46</v>
      </c>
      <c r="C405" s="21">
        <f>IFERROR(B405/B446, "NA")</f>
        <v>0.01161003716</v>
      </c>
      <c r="D405" s="22"/>
      <c r="E405" s="20">
        <f>IFERROR(E346-E404, "NA")</f>
        <v>4025.85</v>
      </c>
      <c r="F405" s="21">
        <f>IFERROR(E405/E446, "NA")</f>
        <v>0.04170950701</v>
      </c>
      <c r="G405" s="22"/>
      <c r="H405" s="20">
        <f>IFERROR(B405-E405, "NA")</f>
        <v>-2877.39</v>
      </c>
      <c r="I405" s="21">
        <f>IFERROR(H405/H446, "NA")</f>
        <v>-1.199702304</v>
      </c>
      <c r="J405" s="22"/>
      <c r="K405" s="20">
        <f>IFERROR(K346-K404, "NA")</f>
        <v>-1776.97</v>
      </c>
      <c r="L405" s="21">
        <f>IFERROR(K405/K446, "NA")</f>
        <v>-0.01999803955</v>
      </c>
      <c r="M405" s="22"/>
      <c r="N405" s="20">
        <f>IFERROR(B405-K405, "NA")</f>
        <v>2925.43</v>
      </c>
      <c r="O405" s="21">
        <f>IFERROR(N405/N446, "NA")</f>
        <v>0.2907297187</v>
      </c>
      <c r="P405" s="22"/>
      <c r="Q405" s="20">
        <f>IFERROR(Q346-Q404, "NA")</f>
        <v>52621.86</v>
      </c>
      <c r="R405" s="21">
        <f>IFERROR(Q405/Q446, "NA")</f>
        <v>0.05856370805</v>
      </c>
      <c r="S405" s="22"/>
      <c r="T405" s="20">
        <f>IFERROR(T346-T404, "NA")</f>
        <v>28406.35</v>
      </c>
      <c r="U405" s="21">
        <f>IFERROR(T405/T446, "NA")</f>
        <v>0.03588857713</v>
      </c>
      <c r="V405" s="22"/>
      <c r="W405" s="20">
        <f>IFERROR(Q405-T405, "NA")</f>
        <v>24215.51</v>
      </c>
      <c r="X405" s="21">
        <f>IFERROR(W405/W446, "NA")</f>
        <v>0.2262595519</v>
      </c>
      <c r="Y405" s="22"/>
      <c r="Z405" s="20">
        <f>IFERROR(Z346-Z404, "NA")</f>
        <v>-17205.94</v>
      </c>
      <c r="AA405" s="21">
        <f>IFERROR(Z405/Z446, "NA")</f>
        <v>-0.02345646521</v>
      </c>
      <c r="AB405" s="22"/>
      <c r="AC405" s="20">
        <f>IFERROR(Q405-Z405, "NA")</f>
        <v>69827.8</v>
      </c>
      <c r="AD405" s="21">
        <f>IFERROR(AC405/AC446, "NA")</f>
        <v>0.4231631652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>
        <f>IFERROR(B408/B446, "NA")</f>
        <v>0</v>
      </c>
      <c r="D408" s="14"/>
      <c r="E408" s="12">
        <v>3505.32</v>
      </c>
      <c r="F408" s="13">
        <f>IFERROR(E408/E446, "NA")</f>
        <v>0.03631659628</v>
      </c>
      <c r="G408" s="14"/>
      <c r="H408" s="15">
        <f t="shared" ref="H408:H431" si="117">IFERROR(-(B408-E408), "NA")</f>
        <v>3505.32</v>
      </c>
      <c r="I408" s="13">
        <f>IFERROR(H408/H446, "NA")</f>
        <v>1.461512162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25651.6</v>
      </c>
      <c r="U408" s="13">
        <f>IFERROR(T408/T446, "NA")</f>
        <v>0.03240822651</v>
      </c>
      <c r="V408" s="14"/>
      <c r="W408" s="15">
        <f t="shared" ref="W408:W431" si="119">IFERROR(-(Q408-T408), "NA")</f>
        <v>25651.6</v>
      </c>
      <c r="X408" s="13">
        <f>IFERROR(W408/W446, "NA")</f>
        <v>0.2396777736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hidden="1" customHeight="1">
      <c r="A409" s="11" t="s">
        <v>377</v>
      </c>
      <c r="B409" s="12">
        <v>0.0</v>
      </c>
      <c r="C409" s="13">
        <f>IFERROR(B409/B446, "NA")</f>
        <v>0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0.0</v>
      </c>
      <c r="R409" s="13">
        <f>IFERROR(Q409/Q446, "NA")</f>
        <v>0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0</v>
      </c>
      <c r="X409" s="13">
        <f>IFERROR(W409/W446, "NA")</f>
        <v>0</v>
      </c>
      <c r="Y409" s="14"/>
      <c r="Z409" s="12">
        <v>0.0</v>
      </c>
      <c r="AA409" s="13">
        <f>IFERROR(Z409/Z446, "NA")</f>
        <v>0</v>
      </c>
      <c r="AB409" s="14"/>
      <c r="AC409" s="15">
        <f t="shared" si="120"/>
        <v>0</v>
      </c>
      <c r="AD409" s="13">
        <f>IFERROR(AC409/AC446, "NA")</f>
        <v>0</v>
      </c>
    </row>
    <row r="410" ht="16.5" hidden="1" customHeight="1">
      <c r="A410" s="11" t="s">
        <v>378</v>
      </c>
      <c r="B410" s="12">
        <v>0.0</v>
      </c>
      <c r="C410" s="13">
        <f>IFERROR(B410/B446, "NA")</f>
        <v>0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3298.51</v>
      </c>
      <c r="C411" s="13">
        <f>IFERROR(B411/B446, "NA")</f>
        <v>0.03334537005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-3298.51</v>
      </c>
      <c r="I411" s="13">
        <f>IFERROR(H411/H446, "NA")</f>
        <v>-1.375284562</v>
      </c>
      <c r="J411" s="14"/>
      <c r="K411" s="12">
        <v>3263.09</v>
      </c>
      <c r="L411" s="13">
        <f>IFERROR(K411/K446, "NA")</f>
        <v>0.03672285006</v>
      </c>
      <c r="M411" s="14"/>
      <c r="N411" s="15">
        <f t="shared" si="118"/>
        <v>-35.42</v>
      </c>
      <c r="O411" s="13">
        <f>IFERROR(N411/N446, "NA")</f>
        <v>-0.003520045476</v>
      </c>
      <c r="P411" s="14"/>
      <c r="Q411" s="12">
        <v>26948.19</v>
      </c>
      <c r="R411" s="13">
        <f>IFERROR(Q411/Q446, "NA")</f>
        <v>0.02999107085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-26948.19</v>
      </c>
      <c r="X411" s="13">
        <f>IFERROR(W411/W446, "NA")</f>
        <v>-0.2517925658</v>
      </c>
      <c r="Y411" s="14"/>
      <c r="Z411" s="12">
        <v>23949.11</v>
      </c>
      <c r="AA411" s="13">
        <f>IFERROR(Z411/Z446, "NA")</f>
        <v>0.03264927493</v>
      </c>
      <c r="AB411" s="14"/>
      <c r="AC411" s="15">
        <f t="shared" si="120"/>
        <v>-2999.08</v>
      </c>
      <c r="AD411" s="13">
        <f>IFERROR(AC411/AC446, "NA")</f>
        <v>-0.01817471244</v>
      </c>
    </row>
    <row r="412" ht="16.5" hidden="1" customHeight="1">
      <c r="A412" s="11" t="s">
        <v>380</v>
      </c>
      <c r="B412" s="12">
        <v>0.0</v>
      </c>
      <c r="C412" s="13">
        <f>IFERROR(B412/B446, "NA")</f>
        <v>0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0</v>
      </c>
      <c r="I412" s="13">
        <f>IFERROR(H412/H446, "NA")</f>
        <v>0</v>
      </c>
      <c r="J412" s="14"/>
      <c r="K412" s="12">
        <v>0.0</v>
      </c>
      <c r="L412" s="13">
        <f>IFERROR(K412/K446, "NA")</f>
        <v>0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0.0</v>
      </c>
      <c r="R412" s="13">
        <f>IFERROR(Q412/Q446, "NA")</f>
        <v>0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0</v>
      </c>
      <c r="X412" s="13">
        <f>IFERROR(W412/W446, "NA")</f>
        <v>0</v>
      </c>
      <c r="Y412" s="14"/>
      <c r="Z412" s="12">
        <v>0.0</v>
      </c>
      <c r="AA412" s="13">
        <f>IFERROR(Z412/Z446, "NA")</f>
        <v>0</v>
      </c>
      <c r="AB412" s="14"/>
      <c r="AC412" s="15">
        <f t="shared" si="120"/>
        <v>0</v>
      </c>
      <c r="AD412" s="13">
        <f>IFERROR(AC412/AC446, "NA")</f>
        <v>0</v>
      </c>
    </row>
    <row r="413" ht="16.5" hidden="1" customHeight="1">
      <c r="A413" s="11" t="s">
        <v>381</v>
      </c>
      <c r="B413" s="12">
        <v>0.0</v>
      </c>
      <c r="C413" s="13">
        <f>IFERROR(B413/B446, "NA")</f>
        <v>0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>
        <f>IFERROR(B414/B446, "NA")</f>
        <v>0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>
        <f>IFERROR(B415/B446, "NA")</f>
        <v>0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>
        <f>IFERROR(B416/B446, "NA")</f>
        <v>0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-30.68</v>
      </c>
      <c r="C417" s="13">
        <f>IFERROR(B417/B446, "NA")</f>
        <v>-0.0003101509327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30.68</v>
      </c>
      <c r="I417" s="13">
        <f>IFERROR(H417/H446, "NA")</f>
        <v>0.01279175457</v>
      </c>
      <c r="J417" s="14"/>
      <c r="K417" s="12">
        <v>-26.96</v>
      </c>
      <c r="L417" s="13">
        <f>IFERROR(K417/K446, "NA")</f>
        <v>-0.0003034081309</v>
      </c>
      <c r="M417" s="14"/>
      <c r="N417" s="15">
        <f t="shared" si="118"/>
        <v>3.72</v>
      </c>
      <c r="O417" s="13">
        <f>IFERROR(N417/N446, "NA")</f>
        <v>0.0003696942172</v>
      </c>
      <c r="P417" s="14"/>
      <c r="Q417" s="12">
        <v>-57.68</v>
      </c>
      <c r="R417" s="13">
        <f>IFERROR(Q417/Q446, "NA")</f>
        <v>-0.00006419299281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57.68</v>
      </c>
      <c r="X417" s="13">
        <f>IFERROR(W417/W446, "NA")</f>
        <v>0.0005389376873</v>
      </c>
      <c r="Y417" s="14"/>
      <c r="Z417" s="12">
        <v>-195.45</v>
      </c>
      <c r="AA417" s="13">
        <f>IFERROR(Z417/Z446, "NA")</f>
        <v>-0.0002664525231</v>
      </c>
      <c r="AB417" s="14"/>
      <c r="AC417" s="15">
        <f t="shared" si="120"/>
        <v>-137.77</v>
      </c>
      <c r="AD417" s="13">
        <f>IFERROR(AC417/AC446, "NA")</f>
        <v>-0.0008348994136</v>
      </c>
    </row>
    <row r="418" ht="16.5" customHeight="1">
      <c r="A418" s="11" t="s">
        <v>386</v>
      </c>
      <c r="B418" s="12">
        <v>37.52</v>
      </c>
      <c r="C418" s="13">
        <f>IFERROR(B418/B446, "NA")</f>
        <v>0.0003792980116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-37.52</v>
      </c>
      <c r="I418" s="13">
        <f>IFERROR(H418/H446, "NA")</f>
        <v>-0.01564363206</v>
      </c>
      <c r="J418" s="14"/>
      <c r="K418" s="12">
        <v>-9.14</v>
      </c>
      <c r="L418" s="13">
        <f>IFERROR(K418/K446, "NA")</f>
        <v>-0.0001028616586</v>
      </c>
      <c r="M418" s="14"/>
      <c r="N418" s="15">
        <f t="shared" si="118"/>
        <v>-46.66</v>
      </c>
      <c r="O418" s="13">
        <f>IFERROR(N418/N446, "NA")</f>
        <v>-0.004637078541</v>
      </c>
      <c r="P418" s="14"/>
      <c r="Q418" s="12">
        <v>236.05</v>
      </c>
      <c r="R418" s="13">
        <f>IFERROR(Q418/Q446, "NA")</f>
        <v>0.0002627038133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-236.05</v>
      </c>
      <c r="X418" s="13">
        <f>IFERROR(W418/W446, "NA")</f>
        <v>-0.00220555203</v>
      </c>
      <c r="Y418" s="14"/>
      <c r="Z418" s="12">
        <v>65.49</v>
      </c>
      <c r="AA418" s="13">
        <f>IFERROR(Z418/Z446, "NA")</f>
        <v>0.00008928102193</v>
      </c>
      <c r="AB418" s="14"/>
      <c r="AC418" s="15">
        <f t="shared" si="120"/>
        <v>-170.56</v>
      </c>
      <c r="AD418" s="13">
        <f>IFERROR(AC418/AC446, "NA")</f>
        <v>-0.001033609959</v>
      </c>
    </row>
    <row r="419" ht="16.5" hidden="1" customHeight="1">
      <c r="A419" s="11" t="s">
        <v>387</v>
      </c>
      <c r="B419" s="12">
        <v>0.0</v>
      </c>
      <c r="C419" s="13">
        <f>IFERROR(B419/B446, "NA")</f>
        <v>0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0.0</v>
      </c>
      <c r="AA419" s="13">
        <f>IFERROR(Z419/Z446, "NA")</f>
        <v>0</v>
      </c>
      <c r="AB419" s="14"/>
      <c r="AC419" s="15">
        <f t="shared" si="120"/>
        <v>0</v>
      </c>
      <c r="AD419" s="13">
        <f>IFERROR(AC419/AC446, "NA")</f>
        <v>0</v>
      </c>
    </row>
    <row r="420" ht="16.5" hidden="1" customHeight="1">
      <c r="A420" s="11" t="s">
        <v>388</v>
      </c>
      <c r="B420" s="12">
        <v>0.0</v>
      </c>
      <c r="C420" s="13">
        <f>IFERROR(B420/B446, "NA")</f>
        <v>0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0.0</v>
      </c>
      <c r="AA420" s="13">
        <f>IFERROR(Z420/Z446, "NA")</f>
        <v>0</v>
      </c>
      <c r="AB420" s="14"/>
      <c r="AC420" s="15">
        <f t="shared" si="120"/>
        <v>0</v>
      </c>
      <c r="AD420" s="13">
        <f>IFERROR(AC420/AC446, "NA")</f>
        <v>0</v>
      </c>
    </row>
    <row r="421" ht="16.5" hidden="1" customHeight="1">
      <c r="A421" s="11" t="s">
        <v>389</v>
      </c>
      <c r="B421" s="12">
        <v>0.0</v>
      </c>
      <c r="C421" s="13">
        <f>IFERROR(B421/B446, "NA")</f>
        <v>0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hidden="1" customHeight="1">
      <c r="A422" s="11" t="s">
        <v>390</v>
      </c>
      <c r="B422" s="12">
        <v>0.0</v>
      </c>
      <c r="C422" s="13">
        <f>IFERROR(B422/B446, "NA")</f>
        <v>0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0</v>
      </c>
      <c r="I422" s="13">
        <f>IFERROR(H422/H446, "NA")</f>
        <v>0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0</v>
      </c>
      <c r="O422" s="13">
        <f>IFERROR(N422/N446, "NA")</f>
        <v>0</v>
      </c>
      <c r="P422" s="14"/>
      <c r="Q422" s="12">
        <v>0.0</v>
      </c>
      <c r="R422" s="13">
        <f>IFERROR(Q422/Q446, "NA")</f>
        <v>0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0</v>
      </c>
      <c r="X422" s="13">
        <f>IFERROR(W422/W446, "NA")</f>
        <v>0</v>
      </c>
      <c r="Y422" s="14"/>
      <c r="Z422" s="12">
        <v>0.0</v>
      </c>
      <c r="AA422" s="13">
        <f>IFERROR(Z422/Z446, "NA")</f>
        <v>0</v>
      </c>
      <c r="AB422" s="14"/>
      <c r="AC422" s="15">
        <f t="shared" si="120"/>
        <v>0</v>
      </c>
      <c r="AD422" s="13">
        <f>IFERROR(AC422/AC446, "NA")</f>
        <v>0</v>
      </c>
    </row>
    <row r="423" ht="16.5" hidden="1" customHeight="1">
      <c r="A423" s="11" t="s">
        <v>391</v>
      </c>
      <c r="B423" s="12">
        <v>0.0</v>
      </c>
      <c r="C423" s="13">
        <f>IFERROR(B423/B446, "NA")</f>
        <v>0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0.0</v>
      </c>
      <c r="R423" s="13">
        <f>IFERROR(Q423/Q446, "NA")</f>
        <v>0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0</v>
      </c>
      <c r="X423" s="13">
        <f>IFERROR(W423/W446, "NA")</f>
        <v>0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0</v>
      </c>
      <c r="AD423" s="13">
        <f>IFERROR(AC423/AC446, "NA")</f>
        <v>0</v>
      </c>
    </row>
    <row r="424" ht="16.5" hidden="1" customHeight="1">
      <c r="A424" s="11" t="s">
        <v>392</v>
      </c>
      <c r="B424" s="12">
        <v>0.0</v>
      </c>
      <c r="C424" s="13">
        <f>IFERROR(B424/B446, "NA")</f>
        <v>0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0</v>
      </c>
      <c r="I424" s="13">
        <f>IFERROR(H424/H446, "NA")</f>
        <v>0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0</v>
      </c>
      <c r="O424" s="13">
        <f>IFERROR(N424/N446, "NA")</f>
        <v>0</v>
      </c>
      <c r="P424" s="14"/>
      <c r="Q424" s="12">
        <v>0.0</v>
      </c>
      <c r="R424" s="13">
        <f>IFERROR(Q424/Q446, "NA")</f>
        <v>0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0</v>
      </c>
      <c r="X424" s="13">
        <f>IFERROR(W424/W446, "NA")</f>
        <v>0</v>
      </c>
      <c r="Y424" s="14"/>
      <c r="Z424" s="12">
        <v>0.0</v>
      </c>
      <c r="AA424" s="13">
        <f>IFERROR(Z424/Z446, "NA")</f>
        <v>0</v>
      </c>
      <c r="AB424" s="14"/>
      <c r="AC424" s="15">
        <f t="shared" si="120"/>
        <v>0</v>
      </c>
      <c r="AD424" s="13">
        <f>IFERROR(AC424/AC446, "NA")</f>
        <v>0</v>
      </c>
    </row>
    <row r="425" ht="16.5" hidden="1" customHeight="1">
      <c r="A425" s="11" t="s">
        <v>393</v>
      </c>
      <c r="B425" s="12">
        <v>0.0</v>
      </c>
      <c r="C425" s="13">
        <f>IFERROR(B425/B446, "NA")</f>
        <v>0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0</v>
      </c>
      <c r="I425" s="13">
        <f>IFERROR(H425/H446, "NA")</f>
        <v>0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0</v>
      </c>
      <c r="O425" s="13">
        <f>IFERROR(N425/N446, "NA")</f>
        <v>0</v>
      </c>
      <c r="P425" s="14"/>
      <c r="Q425" s="12">
        <v>0.0</v>
      </c>
      <c r="R425" s="13">
        <f>IFERROR(Q425/Q446, "NA")</f>
        <v>0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0</v>
      </c>
      <c r="X425" s="13">
        <f>IFERROR(W425/W446, "NA")</f>
        <v>0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0</v>
      </c>
      <c r="AD425" s="13">
        <f>IFERROR(AC425/AC446, "NA")</f>
        <v>0</v>
      </c>
    </row>
    <row r="426" ht="16.5" hidden="1" customHeight="1">
      <c r="A426" s="11" t="s">
        <v>394</v>
      </c>
      <c r="B426" s="12">
        <v>0.0</v>
      </c>
      <c r="C426" s="13">
        <f>IFERROR(B426/B446, "NA")</f>
        <v>0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0.0</v>
      </c>
      <c r="R426" s="13">
        <f>IFERROR(Q426/Q446, "NA")</f>
        <v>0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0</v>
      </c>
      <c r="X426" s="13">
        <f>IFERROR(W426/W446, "NA")</f>
        <v>0</v>
      </c>
      <c r="Y426" s="14"/>
      <c r="Z426" s="12">
        <v>0.0</v>
      </c>
      <c r="AA426" s="13">
        <f>IFERROR(Z426/Z446, "NA")</f>
        <v>0</v>
      </c>
      <c r="AB426" s="14"/>
      <c r="AC426" s="15">
        <f t="shared" si="120"/>
        <v>0</v>
      </c>
      <c r="AD426" s="13">
        <f>IFERROR(AC426/AC446, "NA")</f>
        <v>0</v>
      </c>
    </row>
    <row r="427" ht="16.5" hidden="1" customHeight="1">
      <c r="A427" s="11" t="s">
        <v>395</v>
      </c>
      <c r="B427" s="12">
        <v>0.0</v>
      </c>
      <c r="C427" s="13">
        <f>IFERROR(B427/B446, "NA")</f>
        <v>0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0.0</v>
      </c>
      <c r="R427" s="13">
        <f>IFERROR(Q427/Q446, "NA")</f>
        <v>0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0</v>
      </c>
      <c r="X427" s="13">
        <f>IFERROR(W427/W446, "NA")</f>
        <v>0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0</v>
      </c>
      <c r="AD427" s="13">
        <f>IFERROR(AC427/AC446, "NA")</f>
        <v>0</v>
      </c>
    </row>
    <row r="428" ht="16.5" hidden="1" customHeight="1">
      <c r="A428" s="11" t="s">
        <v>396</v>
      </c>
      <c r="B428" s="12">
        <v>0.0</v>
      </c>
      <c r="C428" s="13">
        <f>IFERROR(B428/B446, "NA")</f>
        <v>0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0</v>
      </c>
      <c r="I428" s="13">
        <f>IFERROR(H428/H446, "NA")</f>
        <v>0</v>
      </c>
      <c r="J428" s="14"/>
      <c r="K428" s="12">
        <v>0.0</v>
      </c>
      <c r="L428" s="13">
        <f>IFERROR(K428/K446, "NA")</f>
        <v>0</v>
      </c>
      <c r="M428" s="14"/>
      <c r="N428" s="15">
        <f t="shared" si="118"/>
        <v>0</v>
      </c>
      <c r="O428" s="13">
        <f>IFERROR(N428/N446, "NA")</f>
        <v>0</v>
      </c>
      <c r="P428" s="14"/>
      <c r="Q428" s="12">
        <v>0.0</v>
      </c>
      <c r="R428" s="13">
        <f>IFERROR(Q428/Q446, "NA")</f>
        <v>0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0</v>
      </c>
      <c r="X428" s="13">
        <f>IFERROR(W428/W446, "NA")</f>
        <v>0</v>
      </c>
      <c r="Y428" s="14"/>
      <c r="Z428" s="12">
        <v>0.0</v>
      </c>
      <c r="AA428" s="13">
        <f>IFERROR(Z428/Z446, "NA")</f>
        <v>0</v>
      </c>
      <c r="AB428" s="14"/>
      <c r="AC428" s="15">
        <f t="shared" si="120"/>
        <v>0</v>
      </c>
      <c r="AD428" s="13">
        <f>IFERROR(AC428/AC446, "NA")</f>
        <v>0</v>
      </c>
    </row>
    <row r="429" ht="16.5" hidden="1" customHeight="1">
      <c r="A429" s="11" t="s">
        <v>397</v>
      </c>
      <c r="B429" s="12">
        <v>0.0</v>
      </c>
      <c r="C429" s="13">
        <f>IFERROR(B429/B446, "NA")</f>
        <v>0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3305.35</v>
      </c>
      <c r="C430" s="18">
        <f>IFERROR(B430/B446, "NA")</f>
        <v>0.03341451713</v>
      </c>
      <c r="D430" s="8"/>
      <c r="E430" s="17">
        <f>IFERROR(E408+E409+E410+E411+E412+E413+E414+E415+E416+E417+E418+E419+E420+E421+E422+E423+E424+E425+E426+E427+E428+E429, "NA")</f>
        <v>3505.32</v>
      </c>
      <c r="F430" s="18">
        <f>IFERROR(E430/E446, "NA")</f>
        <v>0.03631659628</v>
      </c>
      <c r="G430" s="8"/>
      <c r="H430" s="17">
        <f t="shared" si="117"/>
        <v>199.97</v>
      </c>
      <c r="I430" s="18">
        <f>IFERROR(H430/H446, "NA")</f>
        <v>0.08337572235</v>
      </c>
      <c r="J430" s="8"/>
      <c r="K430" s="17">
        <f>IFERROR(K408+K409+K410+K411+K412+K413+K414+K415+K416+K417+K418+K419+K420+K421+K422+K423+K424+K425+K426+K427+K428+K429, "NA")</f>
        <v>3226.99</v>
      </c>
      <c r="L430" s="18">
        <f>IFERROR(K430/K446, "NA")</f>
        <v>0.03631658028</v>
      </c>
      <c r="M430" s="8"/>
      <c r="N430" s="17">
        <f t="shared" si="118"/>
        <v>-78.36</v>
      </c>
      <c r="O430" s="18">
        <f>IFERROR(N430/N446, "NA")</f>
        <v>-0.0077874298</v>
      </c>
      <c r="P430" s="8"/>
      <c r="Q430" s="17">
        <f>IFERROR(Q408+Q409+Q410+Q411+Q412+Q413+Q414+Q415+Q416+Q417+Q418+Q419+Q420+Q421+Q422+Q423+Q424+Q425+Q426+Q427+Q428+Q429, "NA")</f>
        <v>27126.56</v>
      </c>
      <c r="R430" s="18">
        <f>IFERROR(Q430/Q446, "NA")</f>
        <v>0.03018958167</v>
      </c>
      <c r="S430" s="8"/>
      <c r="T430" s="17">
        <f>IFERROR(T408+T409+T410+T411+T412+T413+T414+T415+T416+T417+T418+T419+T420+T421+T422+T423+T424+T425+T426+T427+T428+T429, "NA")</f>
        <v>25651.6</v>
      </c>
      <c r="U430" s="18">
        <f>IFERROR(T430/T446, "NA")</f>
        <v>0.03240822651</v>
      </c>
      <c r="V430" s="8"/>
      <c r="W430" s="17">
        <f t="shared" si="119"/>
        <v>-1474.96</v>
      </c>
      <c r="X430" s="18">
        <f>IFERROR(W430/W446, "NA")</f>
        <v>-0.01378140658</v>
      </c>
      <c r="Y430" s="8"/>
      <c r="Z430" s="17">
        <f>IFERROR(Z408+Z409+Z410+Z411+Z412+Z413+Z414+Z415+Z416+Z417+Z418+Z419+Z420+Z421+Z422+Z423+Z424+Z425+Z426+Z427+Z428+Z429, "NA")</f>
        <v>23819.15</v>
      </c>
      <c r="AA430" s="18">
        <f>IFERROR(Z430/Z446, "NA")</f>
        <v>0.03247210343</v>
      </c>
      <c r="AB430" s="8"/>
      <c r="AC430" s="17">
        <f t="shared" si="120"/>
        <v>-3307.41</v>
      </c>
      <c r="AD430" s="18">
        <f>IFERROR(AC430/AC446, "NA")</f>
        <v>-0.02004322182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3305.35</v>
      </c>
      <c r="C431" s="18">
        <f>IFERROR(B431/B446, "NA")</f>
        <v>0.03341451713</v>
      </c>
      <c r="D431" s="8"/>
      <c r="E431" s="17">
        <f>IFERROR(E408+E409+E410+E411+E412+E413+E414+E415+E416+E417+E418+E419+E420+E421+E422+E423+E424+E425+E426+E427+E428+E429, "NA")</f>
        <v>3505.32</v>
      </c>
      <c r="F431" s="18">
        <f>IFERROR(E431/E446, "NA")</f>
        <v>0.03631659628</v>
      </c>
      <c r="G431" s="8"/>
      <c r="H431" s="17">
        <f t="shared" si="117"/>
        <v>199.97</v>
      </c>
      <c r="I431" s="18">
        <f>IFERROR(H431/H446, "NA")</f>
        <v>0.08337572235</v>
      </c>
      <c r="J431" s="8"/>
      <c r="K431" s="17">
        <f>IFERROR(K408+K409+K410+K411+K412+K413+K414+K415+K416+K417+K418+K419+K420+K421+K422+K423+K424+K425+K426+K427+K428+K429, "NA")</f>
        <v>3226.99</v>
      </c>
      <c r="L431" s="18">
        <f>IFERROR(K431/K446, "NA")</f>
        <v>0.03631658028</v>
      </c>
      <c r="M431" s="8"/>
      <c r="N431" s="17">
        <f t="shared" si="118"/>
        <v>-78.36</v>
      </c>
      <c r="O431" s="18">
        <f>IFERROR(N431/N446, "NA")</f>
        <v>-0.0077874298</v>
      </c>
      <c r="P431" s="8"/>
      <c r="Q431" s="17">
        <f>IFERROR(Q408+Q409+Q410+Q411+Q412+Q413+Q414+Q415+Q416+Q417+Q418+Q419+Q420+Q421+Q422+Q423+Q424+Q425+Q426+Q427+Q428+Q429, "NA")</f>
        <v>27126.56</v>
      </c>
      <c r="R431" s="18">
        <f>IFERROR(Q431/Q446, "NA")</f>
        <v>0.03018958167</v>
      </c>
      <c r="S431" s="8"/>
      <c r="T431" s="17">
        <f>IFERROR(T408+T409+T410+T411+T412+T413+T414+T415+T416+T417+T418+T419+T420+T421+T422+T423+T424+T425+T426+T427+T428+T429, "NA")</f>
        <v>25651.6</v>
      </c>
      <c r="U431" s="18">
        <f>IFERROR(T431/T446, "NA")</f>
        <v>0.03240822651</v>
      </c>
      <c r="V431" s="8"/>
      <c r="W431" s="17">
        <f t="shared" si="119"/>
        <v>-1474.96</v>
      </c>
      <c r="X431" s="18">
        <f>IFERROR(W431/W446, "NA")</f>
        <v>-0.01378140658</v>
      </c>
      <c r="Y431" s="8"/>
      <c r="Z431" s="17">
        <f>IFERROR(Z408+Z409+Z410+Z411+Z412+Z413+Z414+Z415+Z416+Z417+Z418+Z419+Z420+Z421+Z422+Z423+Z424+Z425+Z426+Z427+Z428+Z429, "NA")</f>
        <v>23819.15</v>
      </c>
      <c r="AA431" s="18">
        <f>IFERROR(Z431/Z446, "NA")</f>
        <v>0.03247210343</v>
      </c>
      <c r="AB431" s="8"/>
      <c r="AC431" s="17">
        <f t="shared" si="120"/>
        <v>-3307.41</v>
      </c>
      <c r="AD431" s="18">
        <f>IFERROR(AC431/AC446, "NA")</f>
        <v>-0.02004322182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>
        <f>IFERROR(B434/B446, "NA")</f>
        <v>0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>
        <f>IFERROR(B435/B446, "NA")</f>
        <v>0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>
        <f>IFERROR(B436/B446, "NA")</f>
        <v>0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>
        <f>IFERROR(B437/B446, "NA")</f>
        <v>0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>
        <f>IFERROR(B438/B446, "NA")</f>
        <v>0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>
        <f>IFERROR(B439/B446, "NA")</f>
        <v>0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>
        <f>IFERROR(B440/B446, "NA")</f>
        <v>0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>
        <f>IFERROR(B441/B446, "NA")</f>
        <v>0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>
        <f>IFERROR(B442/B446, "NA")</f>
        <v>0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>
        <f>IFERROR(B443/B446, "NA")</f>
        <v>0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>
        <f>IFERROR(B444/B446, "NA")</f>
        <v>0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-2156.89</v>
      </c>
      <c r="C445" s="21">
        <f>IFERROR(B445/B446, "NA")</f>
        <v>-0.02180447996</v>
      </c>
      <c r="D445" s="22"/>
      <c r="E445" s="20">
        <f>IFERROR(E405-E431-E444, "NA")</f>
        <v>520.53</v>
      </c>
      <c r="F445" s="21">
        <f>IFERROR(E445/E446, "NA")</f>
        <v>0.005392910736</v>
      </c>
      <c r="G445" s="22"/>
      <c r="H445" s="20">
        <f t="shared" ref="H445:H446" si="125">IFERROR(B445-E445, "NA")</f>
        <v>-2677.42</v>
      </c>
      <c r="I445" s="21">
        <f>IFERROR(H445/H446, "NA")</f>
        <v>-1.116326582</v>
      </c>
      <c r="J445" s="22"/>
      <c r="K445" s="20">
        <f>IFERROR(K405-K431-K444, "NA")</f>
        <v>-5003.96</v>
      </c>
      <c r="L445" s="21">
        <f>IFERROR(K445/K446, "NA")</f>
        <v>-0.05631461983</v>
      </c>
      <c r="M445" s="22"/>
      <c r="N445" s="20">
        <f t="shared" ref="N445:N446" si="126">IFERROR(B445-K445, "NA")</f>
        <v>2847.07</v>
      </c>
      <c r="O445" s="21">
        <f>IFERROR(N445/N446, "NA")</f>
        <v>0.2829422889</v>
      </c>
      <c r="P445" s="22"/>
      <c r="Q445" s="20">
        <f>IFERROR(Q405-Q431-Q444, "NA")</f>
        <v>25495.3</v>
      </c>
      <c r="R445" s="21">
        <f>IFERROR(Q445/Q446, "NA")</f>
        <v>0.02837412638</v>
      </c>
      <c r="S445" s="22"/>
      <c r="T445" s="20">
        <f>IFERROR(T405-T431-T444, "NA")</f>
        <v>2754.75</v>
      </c>
      <c r="U445" s="21">
        <f>IFERROR(T445/T446, "NA")</f>
        <v>0.003480350621</v>
      </c>
      <c r="V445" s="22"/>
      <c r="W445" s="20">
        <f t="shared" ref="W445:W446" si="127">IFERROR(Q445-T445, "NA")</f>
        <v>22740.55</v>
      </c>
      <c r="X445" s="21">
        <f>IFERROR(W445/W446, "NA")</f>
        <v>0.2124781454</v>
      </c>
      <c r="Y445" s="22"/>
      <c r="Z445" s="20">
        <f>IFERROR(Z405-Z431-Z444, "NA")</f>
        <v>-41025.09</v>
      </c>
      <c r="AA445" s="21">
        <f>IFERROR(Z445/Z446, "NA")</f>
        <v>-0.05592856864</v>
      </c>
      <c r="AB445" s="22"/>
      <c r="AC445" s="20">
        <f t="shared" ref="AC445:AC446" si="128">IFERROR(Q445-Z445, "NA")</f>
        <v>66520.39</v>
      </c>
      <c r="AD445" s="21">
        <f>IFERROR(AC445/AC446, "NA")</f>
        <v>0.4031199434</v>
      </c>
    </row>
    <row r="446" ht="14.25" hidden="1" customHeight="1">
      <c r="A446" s="11" t="s">
        <v>120</v>
      </c>
      <c r="B446" s="12">
        <v>98919.58</v>
      </c>
      <c r="C446" s="23"/>
      <c r="D446" s="14"/>
      <c r="E446" s="12">
        <v>96521.16</v>
      </c>
      <c r="F446" s="23"/>
      <c r="G446" s="14"/>
      <c r="H446" s="15">
        <f t="shared" si="125"/>
        <v>2398.42</v>
      </c>
      <c r="I446" s="23"/>
      <c r="J446" s="14"/>
      <c r="K446" s="12">
        <v>88857.21</v>
      </c>
      <c r="L446" s="23"/>
      <c r="M446" s="14"/>
      <c r="N446" s="15">
        <f t="shared" si="126"/>
        <v>10062.37</v>
      </c>
      <c r="O446" s="23"/>
      <c r="P446" s="14"/>
      <c r="Q446" s="12">
        <v>898540.44</v>
      </c>
      <c r="R446" s="23"/>
      <c r="S446" s="14"/>
      <c r="T446" s="12">
        <v>791515.08</v>
      </c>
      <c r="U446" s="23"/>
      <c r="V446" s="14"/>
      <c r="W446" s="15">
        <f t="shared" si="127"/>
        <v>107025.36</v>
      </c>
      <c r="X446" s="23"/>
      <c r="Y446" s="14"/>
      <c r="Z446" s="12">
        <v>733526.55</v>
      </c>
      <c r="AA446" s="23"/>
      <c r="AB446" s="14"/>
      <c r="AC446" s="15">
        <f t="shared" si="128"/>
        <v>165013.89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418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>
        <f>IFERROR(B8/B446, "NA")</f>
        <v>0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>
        <f>IFERROR(B10/B446, "NA")</f>
        <v>0</v>
      </c>
      <c r="D10" s="14"/>
      <c r="E10" s="12">
        <v>59132.52</v>
      </c>
      <c r="F10" s="13">
        <f>IFERROR(E10/E446, "NA")</f>
        <v>0.5520000538</v>
      </c>
      <c r="G10" s="14"/>
      <c r="H10" s="15">
        <f t="shared" ref="H10:H19" si="1">IFERROR(B10-E10, "NA")</f>
        <v>-59132.52</v>
      </c>
      <c r="I10" s="13">
        <f>IFERROR(H10/H446, "NA")</f>
        <v>33.77900912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531092.59</v>
      </c>
      <c r="U10" s="13">
        <f>IFERROR(T10/T446, "NA")</f>
        <v>0.5519999984</v>
      </c>
      <c r="V10" s="14"/>
      <c r="W10" s="15">
        <f t="shared" ref="W10:W19" si="3">IFERROR(Q10-T10, "NA")</f>
        <v>-531092.59</v>
      </c>
      <c r="X10" s="13">
        <f>IFERROR(W10/W446, "NA")</f>
        <v>8.847445325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51663.8</v>
      </c>
      <c r="C11" s="13">
        <f>IFERROR(B11/B446, "NA")</f>
        <v>0.4902919186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51663.8</v>
      </c>
      <c r="I11" s="13">
        <f>IFERROR(H11/H446, "NA")</f>
        <v>-29.51255877</v>
      </c>
      <c r="J11" s="14"/>
      <c r="K11" s="12">
        <v>60185.75</v>
      </c>
      <c r="L11" s="13">
        <f>IFERROR(K11/K446, "NA")</f>
        <v>0.6101494308</v>
      </c>
      <c r="M11" s="14"/>
      <c r="N11" s="15">
        <f t="shared" si="2"/>
        <v>-8521.95</v>
      </c>
      <c r="O11" s="13">
        <f>IFERROR(N11/N446, "NA")</f>
        <v>-1.265783396</v>
      </c>
      <c r="P11" s="14"/>
      <c r="Q11" s="12">
        <v>421663.3</v>
      </c>
      <c r="R11" s="13">
        <f>IFERROR(Q11/Q446, "NA")</f>
        <v>0.4674259506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421663.3</v>
      </c>
      <c r="X11" s="13">
        <f>IFERROR(W11/W446, "NA")</f>
        <v>-7.024468167</v>
      </c>
      <c r="Y11" s="14"/>
      <c r="Z11" s="12">
        <v>480452.39</v>
      </c>
      <c r="AA11" s="13">
        <f>IFERROR(Z11/Z446, "NA")</f>
        <v>0.5397891616</v>
      </c>
      <c r="AB11" s="14"/>
      <c r="AC11" s="15">
        <f t="shared" si="4"/>
        <v>-58789.09</v>
      </c>
      <c r="AD11" s="13">
        <f>IFERROR(AC11/AC446, "NA")</f>
        <v>-4.890003577</v>
      </c>
    </row>
    <row r="12" ht="16.5" customHeight="1">
      <c r="A12" s="11" t="s">
        <v>17</v>
      </c>
      <c r="B12" s="12">
        <v>6986.75</v>
      </c>
      <c r="C12" s="13">
        <f>IFERROR(B12/B446, "NA")</f>
        <v>0.06630458972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6986.75</v>
      </c>
      <c r="I12" s="13">
        <f>IFERROR(H12/H446, "NA")</f>
        <v>-3.991128604</v>
      </c>
      <c r="J12" s="14"/>
      <c r="K12" s="12">
        <v>5904.25</v>
      </c>
      <c r="L12" s="13">
        <f>IFERROR(K12/K446, "NA")</f>
        <v>0.05985594226</v>
      </c>
      <c r="M12" s="14"/>
      <c r="N12" s="15">
        <f t="shared" si="2"/>
        <v>1082.5</v>
      </c>
      <c r="O12" s="13">
        <f>IFERROR(N12/N446, "NA")</f>
        <v>0.160786032</v>
      </c>
      <c r="P12" s="14"/>
      <c r="Q12" s="12">
        <v>50091.0</v>
      </c>
      <c r="R12" s="13">
        <f>IFERROR(Q12/Q446, "NA")</f>
        <v>0.05552732071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50091</v>
      </c>
      <c r="X12" s="13">
        <f>IFERROR(W12/W446, "NA")</f>
        <v>-0.8344635043</v>
      </c>
      <c r="Y12" s="14"/>
      <c r="Z12" s="12">
        <v>53292.55</v>
      </c>
      <c r="AA12" s="13">
        <f>IFERROR(Z12/Z446, "NA")</f>
        <v>0.05987427992</v>
      </c>
      <c r="AB12" s="14"/>
      <c r="AC12" s="15">
        <f t="shared" si="4"/>
        <v>-3201.55</v>
      </c>
      <c r="AD12" s="13">
        <f>IFERROR(AC12/AC446, "NA")</f>
        <v>-0.2663009574</v>
      </c>
    </row>
    <row r="13" ht="16.5" customHeight="1">
      <c r="A13" s="11" t="s">
        <v>18</v>
      </c>
      <c r="B13" s="12">
        <v>106.0</v>
      </c>
      <c r="C13" s="13">
        <f>IFERROR(B13/B446, "NA")</f>
        <v>0.00100594504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106</v>
      </c>
      <c r="I13" s="13">
        <f>IFERROR(H13/H446, "NA")</f>
        <v>-0.06055170602</v>
      </c>
      <c r="J13" s="14"/>
      <c r="K13" s="12">
        <v>192.0</v>
      </c>
      <c r="L13" s="13">
        <f>IFERROR(K13/K446, "NA")</f>
        <v>0.001946452287</v>
      </c>
      <c r="M13" s="14"/>
      <c r="N13" s="15">
        <f t="shared" si="2"/>
        <v>-86</v>
      </c>
      <c r="O13" s="13">
        <f>IFERROR(N13/N446, "NA")</f>
        <v>-0.01277376328</v>
      </c>
      <c r="P13" s="14"/>
      <c r="Q13" s="12">
        <v>1135.0</v>
      </c>
      <c r="R13" s="13">
        <f>IFERROR(Q13/Q446, "NA")</f>
        <v>0.001258180292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1135</v>
      </c>
      <c r="X13" s="13">
        <f>IFERROR(W13/W446, "NA")</f>
        <v>-0.01890790915</v>
      </c>
      <c r="Y13" s="14"/>
      <c r="Z13" s="12">
        <v>2590.0</v>
      </c>
      <c r="AA13" s="13">
        <f>IFERROR(Z13/Z446, "NA")</f>
        <v>0.002909869859</v>
      </c>
      <c r="AB13" s="14"/>
      <c r="AC13" s="15">
        <f t="shared" si="4"/>
        <v>-1455</v>
      </c>
      <c r="AD13" s="13">
        <f>IFERROR(AC13/AC446, "NA")</f>
        <v>-0.121025095</v>
      </c>
    </row>
    <row r="14" ht="16.5" customHeight="1">
      <c r="A14" s="11" t="s">
        <v>19</v>
      </c>
      <c r="B14" s="12">
        <v>0.0</v>
      </c>
      <c r="C14" s="13">
        <f>IFERROR(B14/B446, "NA")</f>
        <v>0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0</v>
      </c>
      <c r="I14" s="13">
        <f>IFERROR(H14/H446, "NA")</f>
        <v>0</v>
      </c>
      <c r="J14" s="14"/>
      <c r="K14" s="12">
        <v>50.0</v>
      </c>
      <c r="L14" s="13">
        <f>IFERROR(K14/K446, "NA")</f>
        <v>0.0005068886163</v>
      </c>
      <c r="M14" s="14"/>
      <c r="N14" s="15">
        <f t="shared" si="2"/>
        <v>-50</v>
      </c>
      <c r="O14" s="13">
        <f>IFERROR(N14/N446, "NA")</f>
        <v>-0.007426606561</v>
      </c>
      <c r="P14" s="14"/>
      <c r="Q14" s="12">
        <v>15.0</v>
      </c>
      <c r="R14" s="13">
        <f>IFERROR(Q14/Q446, "NA")</f>
        <v>0.00001662793337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15</v>
      </c>
      <c r="X14" s="13">
        <f>IFERROR(W14/W446, "NA")</f>
        <v>-0.0002498842619</v>
      </c>
      <c r="Y14" s="14"/>
      <c r="Z14" s="12">
        <v>3240.0</v>
      </c>
      <c r="AA14" s="13">
        <f>IFERROR(Z14/Z446, "NA")</f>
        <v>0.003640146079</v>
      </c>
      <c r="AB14" s="14"/>
      <c r="AC14" s="15">
        <f t="shared" si="4"/>
        <v>-3225</v>
      </c>
      <c r="AD14" s="13">
        <f>IFERROR(AC14/AC446, "NA")</f>
        <v>-0.2682514993</v>
      </c>
    </row>
    <row r="15" ht="16.5" customHeight="1">
      <c r="A15" s="11" t="s">
        <v>20</v>
      </c>
      <c r="B15" s="12">
        <v>13.0</v>
      </c>
      <c r="C15" s="13">
        <f>IFERROR(B15/B446, "NA")</f>
        <v>0.0001233706181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13</v>
      </c>
      <c r="I15" s="13">
        <f>IFERROR(H15/H446, "NA")</f>
        <v>-0.007426152625</v>
      </c>
      <c r="J15" s="14"/>
      <c r="K15" s="12">
        <v>5.0</v>
      </c>
      <c r="L15" s="13">
        <f>IFERROR(K15/K446, "NA")</f>
        <v>0.00005068886163</v>
      </c>
      <c r="M15" s="14"/>
      <c r="N15" s="15">
        <f t="shared" si="2"/>
        <v>8</v>
      </c>
      <c r="O15" s="13">
        <f>IFERROR(N15/N446, "NA")</f>
        <v>0.00118825705</v>
      </c>
      <c r="P15" s="14"/>
      <c r="Q15" s="12">
        <v>221.0</v>
      </c>
      <c r="R15" s="13">
        <f>IFERROR(Q15/Q446, "NA")</f>
        <v>0.000244984885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221</v>
      </c>
      <c r="X15" s="13">
        <f>IFERROR(W15/W446, "NA")</f>
        <v>-0.003681628126</v>
      </c>
      <c r="Y15" s="14"/>
      <c r="Z15" s="12">
        <v>383.0</v>
      </c>
      <c r="AA15" s="13">
        <f>IFERROR(Z15/Z446, "NA")</f>
        <v>0.0004303012186</v>
      </c>
      <c r="AB15" s="14"/>
      <c r="AC15" s="15">
        <f t="shared" si="4"/>
        <v>-162</v>
      </c>
      <c r="AD15" s="13">
        <f>IFERROR(AC15/AC446, "NA")</f>
        <v>-0.01347495903</v>
      </c>
    </row>
    <row r="16" ht="16.5" customHeight="1">
      <c r="A16" s="11" t="s">
        <v>21</v>
      </c>
      <c r="B16" s="12">
        <v>0.0</v>
      </c>
      <c r="C16" s="13">
        <f>IFERROR(B16/B446, "NA")</f>
        <v>0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</v>
      </c>
      <c r="I16" s="13">
        <f>IFERROR(H16/H446, "NA")</f>
        <v>0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</v>
      </c>
      <c r="O16" s="13">
        <f>IFERROR(N16/N446, "NA")</f>
        <v>0</v>
      </c>
      <c r="P16" s="14"/>
      <c r="Q16" s="12">
        <v>0.1</v>
      </c>
      <c r="R16" s="13">
        <f>IFERROR(Q16/Q446, "NA")</f>
        <v>0.0000001108528892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0.1</v>
      </c>
      <c r="X16" s="13">
        <f>IFERROR(W16/W446, "NA")</f>
        <v>-0.00000166589508</v>
      </c>
      <c r="Y16" s="14"/>
      <c r="Z16" s="12">
        <v>0.0</v>
      </c>
      <c r="AA16" s="13">
        <f>IFERROR(Z16/Z446, "NA")</f>
        <v>0</v>
      </c>
      <c r="AB16" s="14"/>
      <c r="AC16" s="15">
        <f t="shared" si="4"/>
        <v>0.1</v>
      </c>
      <c r="AD16" s="13">
        <f>IFERROR(AC16/AC446, "NA")</f>
        <v>0.000008317875947</v>
      </c>
    </row>
    <row r="17" ht="16.5" hidden="1" customHeight="1">
      <c r="A17" s="11" t="s">
        <v>22</v>
      </c>
      <c r="B17" s="12">
        <v>0.0</v>
      </c>
      <c r="C17" s="13">
        <f>IFERROR(B17/B446, "NA")</f>
        <v>0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58769.55</v>
      </c>
      <c r="C18" s="18">
        <f>IFERROR(B18/B446, "NA")</f>
        <v>0.557725824</v>
      </c>
      <c r="D18" s="8"/>
      <c r="E18" s="17">
        <f>IFERROR(E10+E11+E12+E13+E14+E15+E16+E17, "NA")</f>
        <v>59132.52</v>
      </c>
      <c r="F18" s="18">
        <f>IFERROR(E18/E446, "NA")</f>
        <v>0.5520000538</v>
      </c>
      <c r="G18" s="8"/>
      <c r="H18" s="17">
        <f t="shared" si="1"/>
        <v>-362.97</v>
      </c>
      <c r="I18" s="18">
        <f>IFERROR(H18/H446, "NA")</f>
        <v>0.2073438937</v>
      </c>
      <c r="J18" s="8"/>
      <c r="K18" s="17">
        <f>IFERROR(K10+K11+K12+K13+K14+K15+K16+K17, "NA")</f>
        <v>66337</v>
      </c>
      <c r="L18" s="18">
        <f>IFERROR(K18/K446, "NA")</f>
        <v>0.6725094028</v>
      </c>
      <c r="M18" s="8"/>
      <c r="N18" s="17">
        <f t="shared" si="2"/>
        <v>-7567.45</v>
      </c>
      <c r="O18" s="18">
        <f>IFERROR(N18/N446, "NA")</f>
        <v>-1.124009476</v>
      </c>
      <c r="P18" s="8"/>
      <c r="Q18" s="17">
        <f>IFERROR(Q10+Q11+Q12+Q13+Q14+Q15+Q16+Q17, "NA")</f>
        <v>473125.4</v>
      </c>
      <c r="R18" s="18">
        <f>IFERROR(Q18/Q446, "NA")</f>
        <v>0.5244731752</v>
      </c>
      <c r="S18" s="8"/>
      <c r="T18" s="17">
        <f>IFERROR(T10+T11+T12+T13+T14+T15+T16+T17, "NA")</f>
        <v>531092.59</v>
      </c>
      <c r="U18" s="18">
        <f>IFERROR(T18/T446, "NA")</f>
        <v>0.5519999984</v>
      </c>
      <c r="V18" s="8"/>
      <c r="W18" s="17">
        <f t="shared" si="3"/>
        <v>-57967.19</v>
      </c>
      <c r="X18" s="18">
        <f>IFERROR(W18/W446, "NA")</f>
        <v>0.965672566</v>
      </c>
      <c r="Y18" s="8"/>
      <c r="Z18" s="17">
        <f>IFERROR(Z10+Z11+Z12+Z13+Z14+Z15+Z16+Z17, "NA")</f>
        <v>539957.94</v>
      </c>
      <c r="AA18" s="18">
        <f>IFERROR(Z18/Z446, "NA")</f>
        <v>0.6066437587</v>
      </c>
      <c r="AB18" s="8"/>
      <c r="AC18" s="17">
        <f t="shared" si="4"/>
        <v>-66832.54</v>
      </c>
      <c r="AD18" s="18">
        <f>IFERROR(AC18/AC446, "NA")</f>
        <v>-5.55904777</v>
      </c>
    </row>
    <row r="19" ht="16.5" hidden="1" customHeight="1">
      <c r="A19" s="11" t="s">
        <v>24</v>
      </c>
      <c r="B19" s="12">
        <v>0.0</v>
      </c>
      <c r="C19" s="13">
        <f>IFERROR(B19/B446, "NA")</f>
        <v>0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>
        <f>IFERROR(B21/B446, "NA")</f>
        <v>0</v>
      </c>
      <c r="D21" s="14"/>
      <c r="E21" s="12">
        <v>9855.42</v>
      </c>
      <c r="F21" s="13">
        <f>IFERROR(E21/E446, "NA")</f>
        <v>0.09200000896</v>
      </c>
      <c r="G21" s="14"/>
      <c r="H21" s="15">
        <f t="shared" ref="H21:H29" si="5">IFERROR(B21-E21, "NA")</f>
        <v>-9855.42</v>
      </c>
      <c r="I21" s="13">
        <f>IFERROR(H21/H446, "NA")</f>
        <v>5.629834854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88515.44</v>
      </c>
      <c r="U21" s="13">
        <f>IFERROR(T21/T446, "NA")</f>
        <v>0.0920000084</v>
      </c>
      <c r="V21" s="14"/>
      <c r="W21" s="15">
        <f t="shared" ref="W21:W29" si="7">IFERROR(Q21-T21, "NA")</f>
        <v>-88515.44</v>
      </c>
      <c r="X21" s="13">
        <f>IFERROR(W21/W446, "NA")</f>
        <v>1.47457436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>
        <f>IFERROR(B22/B446, "NA")</f>
        <v>0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7536.55</v>
      </c>
      <c r="L22" s="13">
        <f>IFERROR(K22/K446, "NA")</f>
        <v>0.07640382802</v>
      </c>
      <c r="M22" s="14"/>
      <c r="N22" s="15">
        <f t="shared" si="6"/>
        <v>-7536.55</v>
      </c>
      <c r="O22" s="13">
        <f>IFERROR(N22/N446, "NA")</f>
        <v>-1.119419833</v>
      </c>
      <c r="P22" s="14"/>
      <c r="Q22" s="12">
        <v>2793.44</v>
      </c>
      <c r="R22" s="13">
        <f>IFERROR(Q22/Q446, "NA")</f>
        <v>0.003096608947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2793.44</v>
      </c>
      <c r="X22" s="13">
        <f>IFERROR(W22/W446, "NA")</f>
        <v>-0.04653577951</v>
      </c>
      <c r="Y22" s="14"/>
      <c r="Z22" s="12">
        <v>63746.89</v>
      </c>
      <c r="AA22" s="13">
        <f>IFERROR(Z22/Z446, "NA")</f>
        <v>0.07161975052</v>
      </c>
      <c r="AB22" s="14"/>
      <c r="AC22" s="15">
        <f t="shared" si="8"/>
        <v>-60953.45</v>
      </c>
      <c r="AD22" s="13">
        <f>IFERROR(AC22/AC446, "NA")</f>
        <v>-5.070032357</v>
      </c>
    </row>
    <row r="23" ht="16.5" customHeight="1">
      <c r="A23" s="11" t="s">
        <v>27</v>
      </c>
      <c r="B23" s="12">
        <v>8105.52</v>
      </c>
      <c r="C23" s="13">
        <f>IFERROR(B23/B446, "NA")</f>
        <v>0.07692177022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8105.52</v>
      </c>
      <c r="I23" s="13">
        <f>IFERROR(H23/H446, "NA")</f>
        <v>-4.630217586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8105.52</v>
      </c>
      <c r="O23" s="13">
        <f>IFERROR(N23/N446, "NA")</f>
        <v>1.20393016</v>
      </c>
      <c r="P23" s="14"/>
      <c r="Q23" s="12">
        <v>50962.85</v>
      </c>
      <c r="R23" s="13">
        <f>IFERROR(Q23/Q446, "NA")</f>
        <v>0.05649379162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50962.85</v>
      </c>
      <c r="X23" s="13">
        <f>IFERROR(W23/W446, "NA")</f>
        <v>-0.8489876106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50962.85</v>
      </c>
      <c r="AD23" s="13">
        <f>IFERROR(AC23/AC446, "NA")</f>
        <v>4.239026642</v>
      </c>
    </row>
    <row r="24" ht="16.5" customHeight="1">
      <c r="A24" s="11" t="s">
        <v>28</v>
      </c>
      <c r="B24" s="12">
        <v>1232.9</v>
      </c>
      <c r="C24" s="13">
        <f>IFERROR(B24/B446, "NA")</f>
        <v>0.01170027962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1232.9</v>
      </c>
      <c r="I24" s="13">
        <f>IFERROR(H24/H446, "NA")</f>
        <v>-0.7042848901</v>
      </c>
      <c r="J24" s="14"/>
      <c r="K24" s="12">
        <v>277.27</v>
      </c>
      <c r="L24" s="13">
        <f>IFERROR(K24/K446, "NA")</f>
        <v>0.002810900133</v>
      </c>
      <c r="M24" s="14"/>
      <c r="N24" s="15">
        <f t="shared" si="6"/>
        <v>955.63</v>
      </c>
      <c r="O24" s="13">
        <f>IFERROR(N24/N446, "NA")</f>
        <v>0.1419417606</v>
      </c>
      <c r="P24" s="14"/>
      <c r="Q24" s="12">
        <v>6696.55</v>
      </c>
      <c r="R24" s="13">
        <f>IFERROR(Q24/Q446, "NA")</f>
        <v>0.007423319149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6696.55</v>
      </c>
      <c r="X24" s="13">
        <f>IFERROR(W24/W446, "NA")</f>
        <v>-0.111557497</v>
      </c>
      <c r="Y24" s="14"/>
      <c r="Z24" s="12">
        <v>7384.27</v>
      </c>
      <c r="AA24" s="13">
        <f>IFERROR(Z24/Z446, "NA")</f>
        <v>0.0082962412</v>
      </c>
      <c r="AB24" s="14"/>
      <c r="AC24" s="15">
        <f t="shared" si="8"/>
        <v>-687.72</v>
      </c>
      <c r="AD24" s="13">
        <f>IFERROR(AC24/AC446, "NA")</f>
        <v>-0.05720369646</v>
      </c>
    </row>
    <row r="25" ht="16.5" customHeight="1">
      <c r="A25" s="11" t="s">
        <v>29</v>
      </c>
      <c r="B25" s="12">
        <v>17.55</v>
      </c>
      <c r="C25" s="13">
        <f>IFERROR(B25/B446, "NA")</f>
        <v>0.0001665503345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17.55</v>
      </c>
      <c r="I25" s="13">
        <f>IFERROR(H25/H446, "NA")</f>
        <v>-0.01002530604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17.55</v>
      </c>
      <c r="O25" s="13">
        <f>IFERROR(N25/N446, "NA")</f>
        <v>0.002606738903</v>
      </c>
      <c r="P25" s="14"/>
      <c r="Q25" s="12">
        <v>401.18</v>
      </c>
      <c r="R25" s="13">
        <f>IFERROR(Q25/Q446, "NA")</f>
        <v>0.0004447196207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401.18</v>
      </c>
      <c r="X25" s="13">
        <f>IFERROR(W25/W446, "NA")</f>
        <v>-0.00668323788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401.18</v>
      </c>
      <c r="AD25" s="13">
        <f>IFERROR(AC25/AC446, "NA")</f>
        <v>0.03336965472</v>
      </c>
    </row>
    <row r="26" ht="16.5" customHeight="1">
      <c r="A26" s="11" t="s">
        <v>30</v>
      </c>
      <c r="B26" s="12">
        <v>2120.56</v>
      </c>
      <c r="C26" s="13">
        <f>IFERROR(B26/B446, "NA")</f>
        <v>0.02012421523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2120.56</v>
      </c>
      <c r="I26" s="13">
        <f>IFERROR(H26/H446, "NA")</f>
        <v>-1.211354016</v>
      </c>
      <c r="J26" s="14"/>
      <c r="K26" s="12">
        <v>0.0</v>
      </c>
      <c r="L26" s="13">
        <f>IFERROR(K26/K446, "NA")</f>
        <v>0</v>
      </c>
      <c r="M26" s="14"/>
      <c r="N26" s="15">
        <f t="shared" si="6"/>
        <v>2120.56</v>
      </c>
      <c r="O26" s="13">
        <f>IFERROR(N26/N446, "NA")</f>
        <v>0.3149712962</v>
      </c>
      <c r="P26" s="14"/>
      <c r="Q26" s="12">
        <v>17974.41</v>
      </c>
      <c r="R26" s="13">
        <f>IFERROR(Q26/Q446, "NA")</f>
        <v>0.01992515279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17974.41</v>
      </c>
      <c r="X26" s="13">
        <f>IFERROR(W26/W446, "NA")</f>
        <v>-0.2994348118</v>
      </c>
      <c r="Y26" s="14"/>
      <c r="Z26" s="12">
        <v>0.0</v>
      </c>
      <c r="AA26" s="13">
        <f>IFERROR(Z26/Z446, "NA")</f>
        <v>0</v>
      </c>
      <c r="AB26" s="14"/>
      <c r="AC26" s="15">
        <f t="shared" si="8"/>
        <v>17974.41</v>
      </c>
      <c r="AD26" s="13">
        <f>IFERROR(AC26/AC446, "NA")</f>
        <v>1.495089126</v>
      </c>
    </row>
    <row r="27" ht="16.5" hidden="1" customHeight="1">
      <c r="A27" s="11" t="s">
        <v>31</v>
      </c>
      <c r="B27" s="12">
        <v>0.0</v>
      </c>
      <c r="C27" s="13">
        <f>IFERROR(B27/B446, "NA")</f>
        <v>0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736.77</v>
      </c>
      <c r="C28" s="13">
        <f>IFERROR(B28/B446, "NA")</f>
        <v>0.006991982333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736.77</v>
      </c>
      <c r="I28" s="13">
        <f>IFERROR(H28/H446, "NA")</f>
        <v>-0.4208743438</v>
      </c>
      <c r="J28" s="14"/>
      <c r="K28" s="12">
        <v>922.46</v>
      </c>
      <c r="L28" s="13">
        <f>IFERROR(K28/K446, "NA")</f>
        <v>0.00935168946</v>
      </c>
      <c r="M28" s="14"/>
      <c r="N28" s="15">
        <f t="shared" si="6"/>
        <v>-185.69</v>
      </c>
      <c r="O28" s="13">
        <f>IFERROR(N28/N446, "NA")</f>
        <v>-0.02758093144</v>
      </c>
      <c r="P28" s="14"/>
      <c r="Q28" s="12">
        <v>6055.89</v>
      </c>
      <c r="R28" s="13">
        <f>IFERROR(Q28/Q446, "NA")</f>
        <v>0.006713129029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6055.89</v>
      </c>
      <c r="X28" s="13">
        <f>IFERROR(W28/W446, "NA")</f>
        <v>-0.1008847735</v>
      </c>
      <c r="Y28" s="14"/>
      <c r="Z28" s="12">
        <v>7158.05</v>
      </c>
      <c r="AA28" s="13">
        <f>IFERROR(Z28/Z446, "NA")</f>
        <v>0.008042082605</v>
      </c>
      <c r="AB28" s="14"/>
      <c r="AC28" s="15">
        <f t="shared" si="8"/>
        <v>-1102.16</v>
      </c>
      <c r="AD28" s="13">
        <f>IFERROR(AC28/AC446, "NA")</f>
        <v>-0.09167630154</v>
      </c>
    </row>
    <row r="29" ht="16.5" customHeight="1">
      <c r="A29" s="16" t="s">
        <v>33</v>
      </c>
      <c r="B29" s="17">
        <f>IFERROR(B21+B22+B23+B24+B25+B26+B27+B28, "NA")</f>
        <v>12213.3</v>
      </c>
      <c r="C29" s="18">
        <f>IFERROR(B29/B446, "NA")</f>
        <v>0.1159047977</v>
      </c>
      <c r="D29" s="8"/>
      <c r="E29" s="17">
        <f>IFERROR(E21+E22+E23+E24+E25+E26+E27+E28, "NA")</f>
        <v>9855.42</v>
      </c>
      <c r="F29" s="18">
        <f>IFERROR(E29/E446, "NA")</f>
        <v>0.09200000896</v>
      </c>
      <c r="G29" s="8"/>
      <c r="H29" s="17">
        <f t="shared" si="5"/>
        <v>2357.88</v>
      </c>
      <c r="I29" s="18">
        <f>IFERROR(H29/H446, "NA")</f>
        <v>-1.346921288</v>
      </c>
      <c r="J29" s="8"/>
      <c r="K29" s="17">
        <f>IFERROR(K21+K22+K23+K24+K25+K26+K27+K28, "NA")</f>
        <v>8736.28</v>
      </c>
      <c r="L29" s="18">
        <f>IFERROR(K29/K446, "NA")</f>
        <v>0.08856641762</v>
      </c>
      <c r="M29" s="8"/>
      <c r="N29" s="17">
        <f t="shared" si="6"/>
        <v>3477.02</v>
      </c>
      <c r="O29" s="18">
        <f>IFERROR(N29/N446, "NA")</f>
        <v>0.5164491909</v>
      </c>
      <c r="P29" s="8"/>
      <c r="Q29" s="17">
        <f>IFERROR(Q21+Q22+Q23+Q24+Q25+Q26+Q27+Q28, "NA")</f>
        <v>84884.32</v>
      </c>
      <c r="R29" s="18">
        <f>IFERROR(Q29/Q446, "NA")</f>
        <v>0.09409672116</v>
      </c>
      <c r="S29" s="8"/>
      <c r="T29" s="17">
        <f>IFERROR(T21+T22+T23+T24+T25+T26+T27+T28, "NA")</f>
        <v>88515.44</v>
      </c>
      <c r="U29" s="18">
        <f>IFERROR(T29/T446, "NA")</f>
        <v>0.0920000084</v>
      </c>
      <c r="V29" s="8"/>
      <c r="W29" s="17">
        <f t="shared" si="7"/>
        <v>-3631.12</v>
      </c>
      <c r="X29" s="18">
        <f>IFERROR(W29/W446, "NA")</f>
        <v>0.06049064941</v>
      </c>
      <c r="Y29" s="8"/>
      <c r="Z29" s="17">
        <f>IFERROR(Z21+Z22+Z23+Z24+Z25+Z26+Z27+Z28, "NA")</f>
        <v>78289.21</v>
      </c>
      <c r="AA29" s="18">
        <f>IFERROR(Z29/Z446, "NA")</f>
        <v>0.08795807433</v>
      </c>
      <c r="AB29" s="8"/>
      <c r="AC29" s="17">
        <f t="shared" si="8"/>
        <v>6595.11</v>
      </c>
      <c r="AD29" s="18">
        <f>IFERROR(AC29/AC446, "NA")</f>
        <v>0.5485730684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>
        <f>IFERROR(B31/B446, "NA")</f>
        <v>0</v>
      </c>
      <c r="D31" s="14"/>
      <c r="E31" s="12">
        <v>18532.47</v>
      </c>
      <c r="F31" s="13">
        <f>IFERROR(E31/E446, "NA")</f>
        <v>0.1729999742</v>
      </c>
      <c r="G31" s="14"/>
      <c r="H31" s="15">
        <f t="shared" ref="H31:H40" si="9">IFERROR(B31-E31, "NA")</f>
        <v>-18532.47</v>
      </c>
      <c r="I31" s="13">
        <f>IFERROR(H31/H446, "NA")</f>
        <v>10.58653467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166447.5</v>
      </c>
      <c r="U31" s="13">
        <f>IFERROR(T31/T446, "NA")</f>
        <v>0.1730000031</v>
      </c>
      <c r="V31" s="14"/>
      <c r="W31" s="15">
        <f t="shared" ref="W31:W40" si="11">IFERROR(Q31-T31, "NA")</f>
        <v>-166447.5</v>
      </c>
      <c r="X31" s="13">
        <f>IFERROR(W31/W446, "NA")</f>
        <v>2.772840713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>
        <f>IFERROR(B32/B446, "NA")</f>
        <v>0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10188.01</v>
      </c>
      <c r="C33" s="13">
        <f>IFERROR(B33/B446, "NA")</f>
        <v>0.09668469934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10188.01</v>
      </c>
      <c r="I33" s="13">
        <f>IFERROR(H33/H446, "NA")</f>
        <v>-5.8198244</v>
      </c>
      <c r="J33" s="14"/>
      <c r="K33" s="12">
        <v>5385.21</v>
      </c>
      <c r="L33" s="13">
        <f>IFERROR(K33/K446, "NA")</f>
        <v>0.05459403291</v>
      </c>
      <c r="M33" s="14"/>
      <c r="N33" s="15">
        <f t="shared" si="10"/>
        <v>4802.8</v>
      </c>
      <c r="O33" s="13">
        <f>IFERROR(N33/N446, "NA")</f>
        <v>0.7133701198</v>
      </c>
      <c r="P33" s="14"/>
      <c r="Q33" s="12">
        <v>76351.92</v>
      </c>
      <c r="R33" s="13">
        <f>IFERROR(Q33/Q446, "NA")</f>
        <v>0.08463830925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76351.92</v>
      </c>
      <c r="X33" s="13">
        <f>IFERROR(W33/W446, "NA")</f>
        <v>-1.271942878</v>
      </c>
      <c r="Y33" s="14"/>
      <c r="Z33" s="12">
        <v>71147.53</v>
      </c>
      <c r="AA33" s="13">
        <f>IFERROR(Z33/Z446, "NA")</f>
        <v>0.07993438345</v>
      </c>
      <c r="AB33" s="14"/>
      <c r="AC33" s="15">
        <f t="shared" si="12"/>
        <v>5204.39</v>
      </c>
      <c r="AD33" s="13">
        <f>IFERROR(AC33/AC446, "NA")</f>
        <v>0.432894704</v>
      </c>
    </row>
    <row r="34" ht="16.5" hidden="1" customHeight="1">
      <c r="A34" s="11" t="s">
        <v>37</v>
      </c>
      <c r="B34" s="12">
        <v>0.0</v>
      </c>
      <c r="C34" s="13">
        <f>IFERROR(B34/B446, "NA")</f>
        <v>0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480.01</v>
      </c>
      <c r="C35" s="13">
        <f>IFERROR(B35/B446, "NA")</f>
        <v>0.004555317724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480.01</v>
      </c>
      <c r="I35" s="13">
        <f>IFERROR(H35/H446, "NA")</f>
        <v>-0.274202117</v>
      </c>
      <c r="J35" s="14"/>
      <c r="K35" s="12">
        <v>791.05</v>
      </c>
      <c r="L35" s="13">
        <f>IFERROR(K35/K446, "NA")</f>
        <v>0.008019484798</v>
      </c>
      <c r="M35" s="14"/>
      <c r="N35" s="15">
        <f t="shared" si="10"/>
        <v>-311.04</v>
      </c>
      <c r="O35" s="13">
        <f>IFERROR(N35/N446, "NA")</f>
        <v>-0.04619943409</v>
      </c>
      <c r="P35" s="14"/>
      <c r="Q35" s="12">
        <v>4091.39</v>
      </c>
      <c r="R35" s="13">
        <f>IFERROR(Q35/Q446, "NA")</f>
        <v>0.004535424022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4091.39</v>
      </c>
      <c r="X35" s="13">
        <f>IFERROR(W35/W446, "NA")</f>
        <v>-0.0681582647</v>
      </c>
      <c r="Y35" s="14"/>
      <c r="Z35" s="12">
        <v>8119.57</v>
      </c>
      <c r="AA35" s="13">
        <f>IFERROR(Z35/Z446, "NA")</f>
        <v>0.009122352129</v>
      </c>
      <c r="AB35" s="14"/>
      <c r="AC35" s="15">
        <f t="shared" si="12"/>
        <v>-4028.18</v>
      </c>
      <c r="AD35" s="13">
        <f>IFERROR(AC35/AC446, "NA")</f>
        <v>-0.3350590153</v>
      </c>
    </row>
    <row r="36" ht="16.5" customHeight="1">
      <c r="A36" s="11" t="s">
        <v>39</v>
      </c>
      <c r="B36" s="12">
        <v>6867.55</v>
      </c>
      <c r="C36" s="13">
        <f>IFERROR(B36/B446, "NA")</f>
        <v>0.06517337605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6867.55</v>
      </c>
      <c r="I36" s="13">
        <f>IFERROR(H36/H446, "NA")</f>
        <v>-3.923036497</v>
      </c>
      <c r="J36" s="14"/>
      <c r="K36" s="12">
        <v>3296.43</v>
      </c>
      <c r="L36" s="13">
        <f>IFERROR(K36/K446, "NA")</f>
        <v>0.03341845683</v>
      </c>
      <c r="M36" s="14"/>
      <c r="N36" s="15">
        <f t="shared" si="10"/>
        <v>3571.12</v>
      </c>
      <c r="O36" s="13">
        <f>IFERROR(N36/N446, "NA")</f>
        <v>0.5304260644</v>
      </c>
      <c r="P36" s="14"/>
      <c r="Q36" s="12">
        <v>64113.76</v>
      </c>
      <c r="R36" s="13">
        <f>IFERROR(Q36/Q446, "NA")</f>
        <v>0.07107195531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64113.76</v>
      </c>
      <c r="X36" s="13">
        <f>IFERROR(W36/W446, "NA")</f>
        <v>-1.068067973</v>
      </c>
      <c r="Y36" s="14"/>
      <c r="Z36" s="12">
        <v>60067.33</v>
      </c>
      <c r="AA36" s="13">
        <f>IFERROR(Z36/Z446, "NA")</f>
        <v>0.06748575796</v>
      </c>
      <c r="AB36" s="14"/>
      <c r="AC36" s="15">
        <f t="shared" si="12"/>
        <v>4046.43</v>
      </c>
      <c r="AD36" s="13">
        <f>IFERROR(AC36/AC446, "NA")</f>
        <v>0.3365770277</v>
      </c>
    </row>
    <row r="37" ht="16.5" customHeight="1">
      <c r="A37" s="11" t="s">
        <v>40</v>
      </c>
      <c r="B37" s="12">
        <v>1479.39</v>
      </c>
      <c r="C37" s="13">
        <f>IFERROR(B37/B446, "NA")</f>
        <v>0.01403948144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1479.39</v>
      </c>
      <c r="I37" s="13">
        <f>IFERROR(H37/H446, "NA")</f>
        <v>-0.8450904563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1479.39</v>
      </c>
      <c r="O37" s="13">
        <f>IFERROR(N37/N446, "NA")</f>
        <v>0.2197369496</v>
      </c>
      <c r="P37" s="14"/>
      <c r="Q37" s="12">
        <v>8273.26</v>
      </c>
      <c r="R37" s="13">
        <f>IFERROR(Q37/Q446, "NA")</f>
        <v>0.009171147738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8273.26</v>
      </c>
      <c r="X37" s="13">
        <f>IFERROR(W37/W446, "NA")</f>
        <v>-0.1378238313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8273.26</v>
      </c>
      <c r="AD37" s="13">
        <f>IFERROR(AC37/AC446, "NA")</f>
        <v>0.6881595036</v>
      </c>
    </row>
    <row r="38" ht="16.5" hidden="1" customHeight="1">
      <c r="A38" s="11" t="s">
        <v>41</v>
      </c>
      <c r="B38" s="12">
        <v>0.0</v>
      </c>
      <c r="C38" s="13">
        <f>IFERROR(B38/B446, "NA")</f>
        <v>0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>
        <f>IFERROR(B39/B446, "NA")</f>
        <v>0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1178.0</v>
      </c>
      <c r="L39" s="13">
        <f>IFERROR(K39/K446, "NA")</f>
        <v>0.0119422958</v>
      </c>
      <c r="M39" s="14"/>
      <c r="N39" s="15">
        <f t="shared" si="10"/>
        <v>-1178</v>
      </c>
      <c r="O39" s="13">
        <f>IFERROR(N39/N446, "NA")</f>
        <v>-0.1749708506</v>
      </c>
      <c r="P39" s="14"/>
      <c r="Q39" s="12">
        <v>0.0</v>
      </c>
      <c r="R39" s="13">
        <f>IFERROR(Q39/Q446, "NA")</f>
        <v>0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0</v>
      </c>
      <c r="X39" s="13">
        <f>IFERROR(W39/W446, "NA")</f>
        <v>0</v>
      </c>
      <c r="Y39" s="14"/>
      <c r="Z39" s="12">
        <v>6873.12</v>
      </c>
      <c r="AA39" s="13">
        <f>IFERROR(Z39/Z446, "NA")</f>
        <v>0.007721963216</v>
      </c>
      <c r="AB39" s="14"/>
      <c r="AC39" s="15">
        <f t="shared" si="12"/>
        <v>-6873.12</v>
      </c>
      <c r="AD39" s="13">
        <f>IFERROR(AC39/AC446, "NA")</f>
        <v>-0.5716975953</v>
      </c>
    </row>
    <row r="40" ht="16.5" customHeight="1">
      <c r="A40" s="16" t="s">
        <v>43</v>
      </c>
      <c r="B40" s="17">
        <f>IFERROR(B31+B32+B33+B34+B35+B36+B37+B38+B39, "NA")</f>
        <v>19014.96</v>
      </c>
      <c r="C40" s="18">
        <f>IFERROR(B40/B446, "NA")</f>
        <v>0.1804528746</v>
      </c>
      <c r="D40" s="8"/>
      <c r="E40" s="17">
        <f>IFERROR(E31+E32+E33+E34+E35+E36+E37+E38+E39, "NA")</f>
        <v>18532.47</v>
      </c>
      <c r="F40" s="18">
        <f>IFERROR(E40/E446, "NA")</f>
        <v>0.1729999742</v>
      </c>
      <c r="G40" s="8"/>
      <c r="H40" s="17">
        <f t="shared" si="9"/>
        <v>482.49</v>
      </c>
      <c r="I40" s="18">
        <f>IFERROR(H40/H446, "NA")</f>
        <v>-0.2756187984</v>
      </c>
      <c r="J40" s="8"/>
      <c r="K40" s="17">
        <f>IFERROR(K31+K32+K33+K34+K35+K36+K37+K38+K39, "NA")</f>
        <v>10650.69</v>
      </c>
      <c r="L40" s="18">
        <f>IFERROR(K40/K446, "NA")</f>
        <v>0.1079742703</v>
      </c>
      <c r="M40" s="8"/>
      <c r="N40" s="17">
        <f t="shared" si="10"/>
        <v>8364.27</v>
      </c>
      <c r="O40" s="18">
        <f>IFERROR(N40/N446, "NA")</f>
        <v>1.242362849</v>
      </c>
      <c r="P40" s="8"/>
      <c r="Q40" s="17">
        <f>IFERROR(Q31+Q32+Q33+Q34+Q35+Q36+Q37+Q38+Q39, "NA")</f>
        <v>152830.33</v>
      </c>
      <c r="R40" s="18">
        <f>IFERROR(Q40/Q446, "NA")</f>
        <v>0.1694168363</v>
      </c>
      <c r="S40" s="8"/>
      <c r="T40" s="17">
        <f>IFERROR(T31+T32+T33+T34+T35+T36+T37+T38+T39, "NA")</f>
        <v>166447.5</v>
      </c>
      <c r="U40" s="18">
        <f>IFERROR(T40/T446, "NA")</f>
        <v>0.1730000031</v>
      </c>
      <c r="V40" s="8"/>
      <c r="W40" s="17">
        <f t="shared" si="11"/>
        <v>-13617.17</v>
      </c>
      <c r="X40" s="18">
        <f>IFERROR(W40/W446, "NA")</f>
        <v>0.226847765</v>
      </c>
      <c r="Y40" s="8"/>
      <c r="Z40" s="17">
        <f>IFERROR(Z31+Z32+Z33+Z34+Z35+Z36+Z37+Z38+Z39, "NA")</f>
        <v>146207.55</v>
      </c>
      <c r="AA40" s="18">
        <f>IFERROR(Z40/Z446, "NA")</f>
        <v>0.1642644567</v>
      </c>
      <c r="AB40" s="8"/>
      <c r="AC40" s="17">
        <f t="shared" si="12"/>
        <v>6622.78</v>
      </c>
      <c r="AD40" s="18">
        <f>IFERROR(AC40/AC446, "NA")</f>
        <v>0.5508746247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>
        <f>IFERROR(B42/B446, "NA")</f>
        <v>0</v>
      </c>
      <c r="D42" s="14"/>
      <c r="E42" s="12">
        <v>20353.58</v>
      </c>
      <c r="F42" s="13">
        <f>IFERROR(E42/E446, "NA")</f>
        <v>0.1899999739</v>
      </c>
      <c r="G42" s="14"/>
      <c r="H42" s="15">
        <f t="shared" ref="H42:H44" si="13">IFERROR(B42-E42, "NA")</f>
        <v>-20353.58</v>
      </c>
      <c r="I42" s="13">
        <f>IFERROR(H42/H446, "NA")</f>
        <v>11.62683012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182803.61</v>
      </c>
      <c r="U42" s="13">
        <f>IFERROR(T42/T446, "NA")</f>
        <v>0.1900000006</v>
      </c>
      <c r="V42" s="14"/>
      <c r="W42" s="15">
        <f t="shared" ref="W42:W44" si="15">IFERROR(Q42-T42, "NA")</f>
        <v>-182803.61</v>
      </c>
      <c r="X42" s="13">
        <f>IFERROR(W42/W446, "NA")</f>
        <v>3.045316344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2582.6</v>
      </c>
      <c r="C43" s="13">
        <f>IFERROR(B43/B446, "NA")</f>
        <v>0.0245089968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2582.6</v>
      </c>
      <c r="I43" s="13">
        <f>IFERROR(H43/H446, "NA")</f>
        <v>-1.475290905</v>
      </c>
      <c r="J43" s="14"/>
      <c r="K43" s="12">
        <v>4035.39</v>
      </c>
      <c r="L43" s="13">
        <f>IFERROR(K43/K446, "NA")</f>
        <v>0.04090986507</v>
      </c>
      <c r="M43" s="14"/>
      <c r="N43" s="15">
        <f t="shared" si="14"/>
        <v>-1452.79</v>
      </c>
      <c r="O43" s="13">
        <f>IFERROR(N43/N446, "NA")</f>
        <v>-0.2157859949</v>
      </c>
      <c r="P43" s="14"/>
      <c r="Q43" s="12">
        <v>26389.06</v>
      </c>
      <c r="R43" s="13">
        <f>IFERROR(Q43/Q446, "NA")</f>
        <v>0.02925303543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26389.06</v>
      </c>
      <c r="X43" s="13">
        <f>IFERROR(W43/W446, "NA")</f>
        <v>-0.4396140521</v>
      </c>
      <c r="Y43" s="14"/>
      <c r="Z43" s="12">
        <v>20444.21</v>
      </c>
      <c r="AA43" s="13">
        <f>IFERROR(Z43/Z446, "NA")</f>
        <v>0.02296910829</v>
      </c>
      <c r="AB43" s="14"/>
      <c r="AC43" s="15">
        <f t="shared" si="16"/>
        <v>5944.85</v>
      </c>
      <c r="AD43" s="13">
        <f>IFERROR(AC43/AC446, "NA")</f>
        <v>0.4944852482</v>
      </c>
    </row>
    <row r="44" ht="16.5" hidden="1" customHeight="1">
      <c r="A44" s="11" t="s">
        <v>46</v>
      </c>
      <c r="B44" s="12">
        <v>0.0</v>
      </c>
      <c r="C44" s="13">
        <f>IFERROR(B44/B446, "NA")</f>
        <v>0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>
        <f>IFERROR(B46/B446, "NA")</f>
        <v>0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hidden="1" customHeight="1">
      <c r="A47" s="11" t="s">
        <v>48</v>
      </c>
      <c r="B47" s="12">
        <v>0.0</v>
      </c>
      <c r="C47" s="13">
        <f>IFERROR(B47/B446, "NA")</f>
        <v>0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0</v>
      </c>
      <c r="I47" s="13">
        <f>IFERROR(H47/H446, "NA")</f>
        <v>0</v>
      </c>
      <c r="J47" s="14"/>
      <c r="K47" s="12">
        <v>0.0</v>
      </c>
      <c r="L47" s="13">
        <f>IFERROR(K47/K446, "NA")</f>
        <v>0</v>
      </c>
      <c r="M47" s="14"/>
      <c r="N47" s="15">
        <f t="shared" si="18"/>
        <v>0</v>
      </c>
      <c r="O47" s="13">
        <f>IFERROR(N47/N446, "NA")</f>
        <v>0</v>
      </c>
      <c r="P47" s="14"/>
      <c r="Q47" s="12">
        <v>0.0</v>
      </c>
      <c r="R47" s="13">
        <f>IFERROR(Q47/Q446, "NA")</f>
        <v>0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0</v>
      </c>
      <c r="X47" s="13">
        <f>IFERROR(W47/W446, "NA")</f>
        <v>0</v>
      </c>
      <c r="Y47" s="14"/>
      <c r="Z47" s="12">
        <v>0.0</v>
      </c>
      <c r="AA47" s="13">
        <f>IFERROR(Z47/Z446, "NA")</f>
        <v>0</v>
      </c>
      <c r="AB47" s="14"/>
      <c r="AC47" s="15">
        <f t="shared" si="20"/>
        <v>0</v>
      </c>
      <c r="AD47" s="13">
        <f>IFERROR(AC47/AC446, "NA")</f>
        <v>0</v>
      </c>
    </row>
    <row r="48" ht="16.5" customHeight="1">
      <c r="A48" s="11" t="s">
        <v>49</v>
      </c>
      <c r="B48" s="12">
        <v>9331.13</v>
      </c>
      <c r="C48" s="13">
        <f>IFERROR(B48/B446, "NA")</f>
        <v>0.08855286739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9331.13</v>
      </c>
      <c r="I48" s="13">
        <f>IFERROR(H48/H446, "NA")</f>
        <v>-5.330338118</v>
      </c>
      <c r="J48" s="14"/>
      <c r="K48" s="12">
        <v>9615.03</v>
      </c>
      <c r="L48" s="13">
        <f>IFERROR(K48/K446, "NA")</f>
        <v>0.09747498505</v>
      </c>
      <c r="M48" s="14"/>
      <c r="N48" s="15">
        <f t="shared" si="18"/>
        <v>-283.9</v>
      </c>
      <c r="O48" s="13">
        <f>IFERROR(N48/N446, "NA")</f>
        <v>-0.04216827205</v>
      </c>
      <c r="P48" s="14"/>
      <c r="Q48" s="12">
        <v>109076.88</v>
      </c>
      <c r="R48" s="13">
        <f>IFERROR(Q48/Q446, "NA")</f>
        <v>0.1209148729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109076.88</v>
      </c>
      <c r="X48" s="13">
        <f>IFERROR(W48/W446, "NA")</f>
        <v>-1.817106377</v>
      </c>
      <c r="Y48" s="14"/>
      <c r="Z48" s="12">
        <v>105666.37</v>
      </c>
      <c r="AA48" s="13">
        <f>IFERROR(Z48/Z446, "NA")</f>
        <v>0.118716365</v>
      </c>
      <c r="AB48" s="14"/>
      <c r="AC48" s="15">
        <f t="shared" si="20"/>
        <v>3410.51</v>
      </c>
      <c r="AD48" s="13">
        <f>IFERROR(AC48/AC446, "NA")</f>
        <v>0.283681991</v>
      </c>
    </row>
    <row r="49" ht="16.5" customHeight="1">
      <c r="A49" s="11" t="s">
        <v>50</v>
      </c>
      <c r="B49" s="12">
        <v>0.0</v>
      </c>
      <c r="C49" s="13">
        <f>IFERROR(B49/B446, "NA")</f>
        <v>0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0.0</v>
      </c>
      <c r="L49" s="13">
        <f>IFERROR(K49/K446, "NA")</f>
        <v>0</v>
      </c>
      <c r="M49" s="14"/>
      <c r="N49" s="15">
        <f t="shared" si="18"/>
        <v>0</v>
      </c>
      <c r="O49" s="13">
        <f>IFERROR(N49/N446, "NA")</f>
        <v>0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36153.55</v>
      </c>
      <c r="AA49" s="13">
        <f>IFERROR(Z49/Z446, "NA")</f>
        <v>0.04061858126</v>
      </c>
      <c r="AB49" s="14"/>
      <c r="AC49" s="15">
        <f t="shared" si="20"/>
        <v>-36153.55</v>
      </c>
      <c r="AD49" s="13">
        <f>IFERROR(AC49/AC446, "NA")</f>
        <v>-3.00720744</v>
      </c>
    </row>
    <row r="50" ht="16.5" hidden="1" customHeight="1">
      <c r="A50" s="11" t="s">
        <v>51</v>
      </c>
      <c r="B50" s="12">
        <v>0.0</v>
      </c>
      <c r="C50" s="13">
        <f>IFERROR(B50/B446, "NA")</f>
        <v>0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0</v>
      </c>
      <c r="I50" s="13">
        <f>IFERROR(H50/H446, "NA")</f>
        <v>0</v>
      </c>
      <c r="J50" s="14"/>
      <c r="K50" s="12">
        <v>0.0</v>
      </c>
      <c r="L50" s="13">
        <f>IFERROR(K50/K446, "NA")</f>
        <v>0</v>
      </c>
      <c r="M50" s="14"/>
      <c r="N50" s="15">
        <f t="shared" si="18"/>
        <v>0</v>
      </c>
      <c r="O50" s="13">
        <f>IFERROR(N50/N446, "NA")</f>
        <v>0</v>
      </c>
      <c r="P50" s="14"/>
      <c r="Q50" s="12">
        <v>0.0</v>
      </c>
      <c r="R50" s="13">
        <f>IFERROR(Q50/Q446, "NA")</f>
        <v>0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0</v>
      </c>
      <c r="X50" s="13">
        <f>IFERROR(W50/W446, "NA")</f>
        <v>0</v>
      </c>
      <c r="Y50" s="14"/>
      <c r="Z50" s="12">
        <v>0.0</v>
      </c>
      <c r="AA50" s="13">
        <f>IFERROR(Z50/Z446, "NA")</f>
        <v>0</v>
      </c>
      <c r="AB50" s="14"/>
      <c r="AC50" s="15">
        <f t="shared" si="20"/>
        <v>0</v>
      </c>
      <c r="AD50" s="13">
        <f>IFERROR(AC50/AC446, "NA")</f>
        <v>0</v>
      </c>
    </row>
    <row r="51" ht="16.5" hidden="1" customHeight="1">
      <c r="A51" s="11" t="s">
        <v>52</v>
      </c>
      <c r="B51" s="12">
        <v>0.0</v>
      </c>
      <c r="C51" s="13">
        <f>IFERROR(B51/B446, "NA")</f>
        <v>0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0</v>
      </c>
      <c r="I51" s="13">
        <f>IFERROR(H51/H446, "NA")</f>
        <v>0</v>
      </c>
      <c r="J51" s="14"/>
      <c r="K51" s="12">
        <v>0.0</v>
      </c>
      <c r="L51" s="13">
        <f>IFERROR(K51/K446, "NA")</f>
        <v>0</v>
      </c>
      <c r="M51" s="14"/>
      <c r="N51" s="15">
        <f t="shared" si="18"/>
        <v>0</v>
      </c>
      <c r="O51" s="13">
        <f>IFERROR(N51/N446, "NA")</f>
        <v>0</v>
      </c>
      <c r="P51" s="14"/>
      <c r="Q51" s="12">
        <v>0.0</v>
      </c>
      <c r="R51" s="13">
        <f>IFERROR(Q51/Q446, "NA")</f>
        <v>0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0</v>
      </c>
      <c r="X51" s="13">
        <f>IFERROR(W51/W446, "NA")</f>
        <v>0</v>
      </c>
      <c r="Y51" s="14"/>
      <c r="Z51" s="12">
        <v>0.0</v>
      </c>
      <c r="AA51" s="13">
        <f>IFERROR(Z51/Z446, "NA")</f>
        <v>0</v>
      </c>
      <c r="AB51" s="14"/>
      <c r="AC51" s="15">
        <f t="shared" si="20"/>
        <v>0</v>
      </c>
      <c r="AD51" s="13">
        <f>IFERROR(AC51/AC446, "NA")</f>
        <v>0</v>
      </c>
    </row>
    <row r="52" ht="16.5" customHeight="1">
      <c r="A52" s="11" t="s">
        <v>53</v>
      </c>
      <c r="B52" s="12">
        <v>0.0</v>
      </c>
      <c r="C52" s="13">
        <f>IFERROR(B52/B446, "NA")</f>
        <v>0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7800.0</v>
      </c>
      <c r="R52" s="13">
        <f>IFERROR(Q52/Q446, "NA")</f>
        <v>0.008646525354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7800</v>
      </c>
      <c r="X52" s="13">
        <f>IFERROR(W52/W446, "NA")</f>
        <v>-0.1299398162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7800</v>
      </c>
      <c r="AD52" s="13">
        <f>IFERROR(AC52/AC446, "NA")</f>
        <v>0.6487943239</v>
      </c>
    </row>
    <row r="53" ht="16.5" customHeight="1">
      <c r="A53" s="11" t="s">
        <v>54</v>
      </c>
      <c r="B53" s="12">
        <v>4387.25</v>
      </c>
      <c r="C53" s="13">
        <f>IFERROR(B53/B446, "NA")</f>
        <v>0.04163521111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4387.25</v>
      </c>
      <c r="I53" s="13">
        <f>IFERROR(H53/H446, "NA")</f>
        <v>-2.5061837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4387.25</v>
      </c>
      <c r="O53" s="13">
        <f>IFERROR(N53/N446, "NA")</f>
        <v>0.6516475927</v>
      </c>
      <c r="P53" s="14"/>
      <c r="Q53" s="12">
        <v>20825.4</v>
      </c>
      <c r="R53" s="13">
        <f>IFERROR(Q53/Q446, "NA")</f>
        <v>0.02308555758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20825.4</v>
      </c>
      <c r="X53" s="13">
        <f>IFERROR(W53/W446, "NA")</f>
        <v>-0.3469293139</v>
      </c>
      <c r="Y53" s="14"/>
      <c r="Z53" s="12">
        <v>0.0</v>
      </c>
      <c r="AA53" s="13">
        <f>IFERROR(Z53/Z446, "NA")</f>
        <v>0</v>
      </c>
      <c r="AB53" s="14"/>
      <c r="AC53" s="15">
        <f t="shared" si="20"/>
        <v>20825.4</v>
      </c>
      <c r="AD53" s="13">
        <f>IFERROR(AC53/AC446, "NA")</f>
        <v>1.732230938</v>
      </c>
    </row>
    <row r="54" ht="16.5" customHeight="1">
      <c r="A54" s="11" t="s">
        <v>55</v>
      </c>
      <c r="B54" s="12">
        <v>0.0</v>
      </c>
      <c r="C54" s="13">
        <f>IFERROR(B54/B446, "NA")</f>
        <v>0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11.65</v>
      </c>
      <c r="AA54" s="13">
        <f>IFERROR(Z54/Z446, "NA")</f>
        <v>0.00001308879686</v>
      </c>
      <c r="AB54" s="14"/>
      <c r="AC54" s="15">
        <f t="shared" si="20"/>
        <v>-11.65</v>
      </c>
      <c r="AD54" s="13">
        <f>IFERROR(AC54/AC446, "NA")</f>
        <v>-0.0009690325478</v>
      </c>
    </row>
    <row r="55" ht="16.5" hidden="1" customHeight="1">
      <c r="A55" s="11" t="s">
        <v>56</v>
      </c>
      <c r="B55" s="12">
        <v>0.0</v>
      </c>
      <c r="C55" s="13">
        <f>IFERROR(B55/B446, "NA")</f>
        <v>0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0</v>
      </c>
      <c r="I55" s="13">
        <f>IFERROR(H55/H446, "NA")</f>
        <v>0</v>
      </c>
      <c r="J55" s="14"/>
      <c r="K55" s="12">
        <v>0.0</v>
      </c>
      <c r="L55" s="13">
        <f>IFERROR(K55/K446, "NA")</f>
        <v>0</v>
      </c>
      <c r="M55" s="14"/>
      <c r="N55" s="15">
        <f t="shared" si="18"/>
        <v>0</v>
      </c>
      <c r="O55" s="13">
        <f>IFERROR(N55/N446, "NA")</f>
        <v>0</v>
      </c>
      <c r="P55" s="14"/>
      <c r="Q55" s="12">
        <v>0.0</v>
      </c>
      <c r="R55" s="13">
        <f>IFERROR(Q55/Q446, "NA")</f>
        <v>0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0</v>
      </c>
      <c r="X55" s="13">
        <f>IFERROR(W55/W446, "NA")</f>
        <v>0</v>
      </c>
      <c r="Y55" s="14"/>
      <c r="Z55" s="12">
        <v>0.0</v>
      </c>
      <c r="AA55" s="13">
        <f>IFERROR(Z55/Z446, "NA")</f>
        <v>0</v>
      </c>
      <c r="AB55" s="14"/>
      <c r="AC55" s="15">
        <f t="shared" si="20"/>
        <v>0</v>
      </c>
      <c r="AD55" s="13">
        <f>IFERROR(AC55/AC446, "NA")</f>
        <v>0</v>
      </c>
    </row>
    <row r="56" ht="16.5" customHeight="1">
      <c r="A56" s="11" t="s">
        <v>57</v>
      </c>
      <c r="B56" s="12">
        <v>0.0</v>
      </c>
      <c r="C56" s="13">
        <f>IFERROR(B56/B446, "NA")</f>
        <v>0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32.8</v>
      </c>
      <c r="AA56" s="13">
        <f>IFERROR(Z56/Z446, "NA")</f>
        <v>0.00003685086154</v>
      </c>
      <c r="AB56" s="14"/>
      <c r="AC56" s="15">
        <f t="shared" si="20"/>
        <v>-32.8</v>
      </c>
      <c r="AD56" s="13">
        <f>IFERROR(AC56/AC446, "NA")</f>
        <v>-0.002728263311</v>
      </c>
    </row>
    <row r="57" ht="16.5" hidden="1" customHeight="1">
      <c r="A57" s="11" t="s">
        <v>58</v>
      </c>
      <c r="B57" s="12">
        <v>0.0</v>
      </c>
      <c r="C57" s="13">
        <f>IFERROR(B57/B446, "NA")</f>
        <v>0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0</v>
      </c>
      <c r="I57" s="13">
        <f>IFERROR(H57/H446, "NA")</f>
        <v>0</v>
      </c>
      <c r="J57" s="14"/>
      <c r="K57" s="12">
        <v>0.0</v>
      </c>
      <c r="L57" s="13">
        <f>IFERROR(K57/K446, "NA")</f>
        <v>0</v>
      </c>
      <c r="M57" s="14"/>
      <c r="N57" s="15">
        <f t="shared" si="18"/>
        <v>0</v>
      </c>
      <c r="O57" s="13">
        <f>IFERROR(N57/N446, "NA")</f>
        <v>0</v>
      </c>
      <c r="P57" s="14"/>
      <c r="Q57" s="12">
        <v>0.0</v>
      </c>
      <c r="R57" s="13">
        <f>IFERROR(Q57/Q446, "NA")</f>
        <v>0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0</v>
      </c>
      <c r="X57" s="13">
        <f>IFERROR(W57/W446, "NA")</f>
        <v>0</v>
      </c>
      <c r="Y57" s="14"/>
      <c r="Z57" s="12">
        <v>0.0</v>
      </c>
      <c r="AA57" s="13">
        <f>IFERROR(Z57/Z446, "NA")</f>
        <v>0</v>
      </c>
      <c r="AB57" s="14"/>
      <c r="AC57" s="15">
        <f t="shared" si="20"/>
        <v>0</v>
      </c>
      <c r="AD57" s="13">
        <f>IFERROR(AC57/AC446, "NA")</f>
        <v>0</v>
      </c>
    </row>
    <row r="58" ht="16.5" hidden="1" customHeight="1">
      <c r="A58" s="11" t="s">
        <v>59</v>
      </c>
      <c r="B58" s="12">
        <v>0.0</v>
      </c>
      <c r="C58" s="13">
        <f>IFERROR(B58/B446, "NA")</f>
        <v>0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0.0</v>
      </c>
      <c r="AA58" s="13">
        <f>IFERROR(Z58/Z446, "NA")</f>
        <v>0</v>
      </c>
      <c r="AB58" s="14"/>
      <c r="AC58" s="15">
        <f t="shared" si="20"/>
        <v>0</v>
      </c>
      <c r="AD58" s="13">
        <f>IFERROR(AC58/AC446, "NA")</f>
        <v>0</v>
      </c>
    </row>
    <row r="59" ht="16.5" hidden="1" customHeight="1">
      <c r="A59" s="11" t="s">
        <v>60</v>
      </c>
      <c r="B59" s="12">
        <v>0.0</v>
      </c>
      <c r="C59" s="13">
        <f>IFERROR(B59/B446, "NA")</f>
        <v>0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hidden="1" customHeight="1">
      <c r="A60" s="11" t="s">
        <v>61</v>
      </c>
      <c r="B60" s="12">
        <v>0.0</v>
      </c>
      <c r="C60" s="13">
        <f>IFERROR(B60/B446, "NA")</f>
        <v>0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0.0</v>
      </c>
      <c r="R60" s="13">
        <f>IFERROR(Q60/Q446, "NA")</f>
        <v>0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0</v>
      </c>
      <c r="X60" s="13">
        <f>IFERROR(W60/W446, "NA")</f>
        <v>0</v>
      </c>
      <c r="Y60" s="14"/>
      <c r="Z60" s="12">
        <v>0.0</v>
      </c>
      <c r="AA60" s="13">
        <f>IFERROR(Z60/Z446, "NA")</f>
        <v>0</v>
      </c>
      <c r="AB60" s="14"/>
      <c r="AC60" s="15">
        <f t="shared" si="20"/>
        <v>0</v>
      </c>
      <c r="AD60" s="13">
        <f>IFERROR(AC60/AC446, "NA")</f>
        <v>0</v>
      </c>
    </row>
    <row r="61" ht="16.5" customHeight="1">
      <c r="A61" s="16" t="s">
        <v>62</v>
      </c>
      <c r="B61" s="17">
        <f>IFERROR(B46+B47+B48+B49+B50+B51+B52+B53+B54+B55+B56+B57+B58+B59+B60, "NA")</f>
        <v>13718.38</v>
      </c>
      <c r="C61" s="18">
        <f>IFERROR(B61/B446, "NA")</f>
        <v>0.1301880785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13718.38</v>
      </c>
      <c r="I61" s="18">
        <f>IFERROR(H61/H446, "NA")</f>
        <v>-7.836521819</v>
      </c>
      <c r="J61" s="8"/>
      <c r="K61" s="17">
        <f>IFERROR(K46+K47+K48+K49+K50+K51+K52+K53+K54+K55+K56+K57+K58+K59+K60, "NA")</f>
        <v>9615.03</v>
      </c>
      <c r="L61" s="18">
        <f>IFERROR(K61/K446, "NA")</f>
        <v>0.09747498505</v>
      </c>
      <c r="M61" s="8"/>
      <c r="N61" s="17">
        <f t="shared" si="18"/>
        <v>4103.35</v>
      </c>
      <c r="O61" s="18">
        <f>IFERROR(N61/N446, "NA")</f>
        <v>0.6094793206</v>
      </c>
      <c r="P61" s="8"/>
      <c r="Q61" s="17">
        <f>IFERROR(Q46+Q47+Q48+Q49+Q50+Q51+Q52+Q53+Q54+Q55+Q56+Q57+Q58+Q59+Q60, "NA")</f>
        <v>137702.28</v>
      </c>
      <c r="R61" s="18">
        <f>IFERROR(Q61/Q446, "NA")</f>
        <v>0.1526469558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137702.28</v>
      </c>
      <c r="X61" s="18">
        <f>IFERROR(W61/W446, "NA")</f>
        <v>-2.293975507</v>
      </c>
      <c r="Y61" s="8"/>
      <c r="Z61" s="17">
        <f>IFERROR(Z46+Z47+Z48+Z49+Z50+Z51+Z52+Z53+Z54+Z55+Z56+Z57+Z58+Z59+Z60, "NA")</f>
        <v>141864.37</v>
      </c>
      <c r="AA61" s="18">
        <f>IFERROR(Z61/Z446, "NA")</f>
        <v>0.1593848859</v>
      </c>
      <c r="AB61" s="8"/>
      <c r="AC61" s="17">
        <f t="shared" si="20"/>
        <v>-4162.09</v>
      </c>
      <c r="AD61" s="18">
        <f>IFERROR(AC61/AC446, "NA")</f>
        <v>-0.346197483</v>
      </c>
    </row>
    <row r="62" ht="16.5" customHeight="1">
      <c r="A62" s="16" t="s">
        <v>63</v>
      </c>
      <c r="B62" s="17">
        <f>IFERROR(B42+B43+B44+B46+B47+B48+B49+B50+B51+B52+B53+B54+B55+B56+B57+B58+B59+B60, "NA")</f>
        <v>16300.98</v>
      </c>
      <c r="C62" s="18">
        <f>IFERROR(B62/B446, "NA")</f>
        <v>0.1546970753</v>
      </c>
      <c r="D62" s="8"/>
      <c r="E62" s="17">
        <f>IFERROR(E42+E43+E44+E46+E47+E48+E49+E50+E51+E52+E53+E54+E55+E56+E57+E58+E59+E60, "NA")</f>
        <v>20353.58</v>
      </c>
      <c r="F62" s="18">
        <f>IFERROR(E62/E446, "NA")</f>
        <v>0.1899999739</v>
      </c>
      <c r="G62" s="8"/>
      <c r="H62" s="17">
        <f t="shared" si="17"/>
        <v>-4052.6</v>
      </c>
      <c r="I62" s="18">
        <f>IFERROR(H62/H446, "NA")</f>
        <v>2.315017394</v>
      </c>
      <c r="J62" s="8"/>
      <c r="K62" s="17">
        <f>IFERROR(K42+K43+K44+K46+K47+K48+K49+K50+K51+K52+K53+K54+K55+K56+K57+K58+K59+K60, "NA")</f>
        <v>13650.42</v>
      </c>
      <c r="L62" s="18">
        <f>IFERROR(K62/K446, "NA")</f>
        <v>0.1383848501</v>
      </c>
      <c r="M62" s="8"/>
      <c r="N62" s="17">
        <f t="shared" si="18"/>
        <v>2650.56</v>
      </c>
      <c r="O62" s="18">
        <f>IFERROR(N62/N446, "NA")</f>
        <v>0.3936933257</v>
      </c>
      <c r="P62" s="8"/>
      <c r="Q62" s="17">
        <f>IFERROR(Q42+Q43+Q44+Q46+Q47+Q48+Q49+Q50+Q51+Q52+Q53+Q54+Q55+Q56+Q57+Q58+Q59+Q60, "NA")</f>
        <v>164091.34</v>
      </c>
      <c r="R62" s="18">
        <f>IFERROR(Q62/Q446, "NA")</f>
        <v>0.1818999913</v>
      </c>
      <c r="S62" s="8"/>
      <c r="T62" s="17">
        <f>IFERROR(T42+T43+T44+T46+T47+T48+T49+T50+T51+T52+T53+T54+T55+T56+T57+T58+T59+T60, "NA")</f>
        <v>182803.61</v>
      </c>
      <c r="U62" s="18">
        <f>IFERROR(T62/T446, "NA")</f>
        <v>0.1900000006</v>
      </c>
      <c r="V62" s="8"/>
      <c r="W62" s="17">
        <f t="shared" si="19"/>
        <v>-18712.27</v>
      </c>
      <c r="X62" s="18">
        <f>IFERROR(W62/W446, "NA")</f>
        <v>0.3117267852</v>
      </c>
      <c r="Y62" s="8"/>
      <c r="Z62" s="17">
        <f>IFERROR(Z42+Z43+Z44+Z46+Z47+Z48+Z49+Z50+Z51+Z52+Z53+Z54+Z55+Z56+Z57+Z58+Z59+Z60, "NA")</f>
        <v>162308.58</v>
      </c>
      <c r="AA62" s="18">
        <f>IFERROR(Z62/Z446, "NA")</f>
        <v>0.1823539942</v>
      </c>
      <c r="AB62" s="8"/>
      <c r="AC62" s="17">
        <f t="shared" si="20"/>
        <v>1782.76</v>
      </c>
      <c r="AD62" s="18">
        <f>IFERROR(AC62/AC446, "NA")</f>
        <v>0.1482877652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>
        <f>IFERROR(B64/B446, "NA")</f>
        <v>0</v>
      </c>
      <c r="D64" s="14"/>
      <c r="E64" s="12">
        <v>4392.09</v>
      </c>
      <c r="F64" s="13">
        <f>IFERROR(E64/E446, "NA")</f>
        <v>0.04100001008</v>
      </c>
      <c r="G64" s="14"/>
      <c r="H64" s="15">
        <f t="shared" ref="H64:H73" si="21">IFERROR(B64-E64, "NA")</f>
        <v>-4392.09</v>
      </c>
      <c r="I64" s="13">
        <f>IFERROR(H64/H446, "NA")</f>
        <v>2.508948514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39447.09</v>
      </c>
      <c r="U64" s="13">
        <f>IFERROR(T64/T446, "NA")</f>
        <v>0.04099999516</v>
      </c>
      <c r="V64" s="14"/>
      <c r="W64" s="15">
        <f t="shared" ref="W64:W73" si="23">IFERROR(Q64-T64, "NA")</f>
        <v>-39447.09</v>
      </c>
      <c r="X64" s="13">
        <f>IFERROR(W64/W446, "NA")</f>
        <v>0.6571471314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1796.0</v>
      </c>
      <c r="C65" s="13">
        <f>IFERROR(B65/B446, "NA")</f>
        <v>0.0170441254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1796</v>
      </c>
      <c r="I65" s="13">
        <f>IFERROR(H65/H446, "NA")</f>
        <v>-1.025951547</v>
      </c>
      <c r="J65" s="14"/>
      <c r="K65" s="12">
        <v>4747.58</v>
      </c>
      <c r="L65" s="13">
        <f>IFERROR(K65/K446, "NA")</f>
        <v>0.04812988514</v>
      </c>
      <c r="M65" s="14"/>
      <c r="N65" s="15">
        <f t="shared" si="22"/>
        <v>-2951.58</v>
      </c>
      <c r="O65" s="13">
        <f>IFERROR(N65/N446, "NA")</f>
        <v>-0.4384044678</v>
      </c>
      <c r="P65" s="14"/>
      <c r="Q65" s="12">
        <v>31964.52</v>
      </c>
      <c r="R65" s="13">
        <f>IFERROR(Q65/Q446, "NA")</f>
        <v>0.03543359393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31964.52</v>
      </c>
      <c r="X65" s="13">
        <f>IFERROR(W65/W446, "NA")</f>
        <v>-0.5324953659</v>
      </c>
      <c r="Y65" s="14"/>
      <c r="Z65" s="12">
        <v>7357.17</v>
      </c>
      <c r="AA65" s="13">
        <f>IFERROR(Z65/Z446, "NA")</f>
        <v>0.008265794299</v>
      </c>
      <c r="AB65" s="14"/>
      <c r="AC65" s="15">
        <f t="shared" si="24"/>
        <v>24607.35</v>
      </c>
      <c r="AD65" s="13">
        <f>IFERROR(AC65/AC446, "NA")</f>
        <v>2.046808847</v>
      </c>
    </row>
    <row r="66" ht="16.5" customHeight="1">
      <c r="A66" s="11" t="s">
        <v>66</v>
      </c>
      <c r="B66" s="12">
        <v>0.0</v>
      </c>
      <c r="C66" s="13">
        <f>IFERROR(B66/B446, "NA")</f>
        <v>0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0</v>
      </c>
      <c r="I66" s="13">
        <f>IFERROR(H66/H446, "NA")</f>
        <v>0</v>
      </c>
      <c r="J66" s="14"/>
      <c r="K66" s="12">
        <v>0.0</v>
      </c>
      <c r="L66" s="13">
        <f>IFERROR(K66/K446, "NA")</f>
        <v>0</v>
      </c>
      <c r="M66" s="14"/>
      <c r="N66" s="15">
        <f t="shared" si="22"/>
        <v>0</v>
      </c>
      <c r="O66" s="13">
        <f>IFERROR(N66/N446, "NA")</f>
        <v>0</v>
      </c>
      <c r="P66" s="14"/>
      <c r="Q66" s="12">
        <v>0.0</v>
      </c>
      <c r="R66" s="13">
        <f>IFERROR(Q66/Q446, "NA")</f>
        <v>0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0</v>
      </c>
      <c r="X66" s="13">
        <f>IFERROR(W66/W446, "NA")</f>
        <v>0</v>
      </c>
      <c r="Y66" s="14"/>
      <c r="Z66" s="12">
        <v>11.85</v>
      </c>
      <c r="AA66" s="13">
        <f>IFERROR(Z66/Z446, "NA")</f>
        <v>0.00001331349723</v>
      </c>
      <c r="AB66" s="14"/>
      <c r="AC66" s="15">
        <f t="shared" si="24"/>
        <v>-11.85</v>
      </c>
      <c r="AD66" s="13">
        <f>IFERROR(AC66/AC446, "NA")</f>
        <v>-0.0009856682997</v>
      </c>
    </row>
    <row r="67" ht="16.5" hidden="1" customHeight="1">
      <c r="A67" s="11" t="s">
        <v>67</v>
      </c>
      <c r="B67" s="12">
        <v>0.0</v>
      </c>
      <c r="C67" s="13">
        <f>IFERROR(B67/B446, "NA")</f>
        <v>0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0.0</v>
      </c>
      <c r="AA67" s="13">
        <f>IFERROR(Z67/Z446, "NA")</f>
        <v>0</v>
      </c>
      <c r="AB67" s="14"/>
      <c r="AC67" s="15">
        <f t="shared" si="24"/>
        <v>0</v>
      </c>
      <c r="AD67" s="13">
        <f>IFERROR(AC67/AC446, "NA")</f>
        <v>0</v>
      </c>
    </row>
    <row r="68" ht="16.5" customHeight="1">
      <c r="A68" s="11" t="s">
        <v>68</v>
      </c>
      <c r="B68" s="12">
        <v>0.0</v>
      </c>
      <c r="C68" s="13">
        <f>IFERROR(B68/B446, "NA")</f>
        <v>0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0</v>
      </c>
      <c r="I68" s="13">
        <f>IFERROR(H68/H446, "NA")</f>
        <v>0</v>
      </c>
      <c r="J68" s="14"/>
      <c r="K68" s="12">
        <v>0.0</v>
      </c>
      <c r="L68" s="13">
        <f>IFERROR(K68/K446, "NA")</f>
        <v>0</v>
      </c>
      <c r="M68" s="14"/>
      <c r="N68" s="15">
        <f t="shared" si="22"/>
        <v>0</v>
      </c>
      <c r="O68" s="13">
        <f>IFERROR(N68/N446, "NA")</f>
        <v>0</v>
      </c>
      <c r="P68" s="14"/>
      <c r="Q68" s="12">
        <v>-13.75</v>
      </c>
      <c r="R68" s="13">
        <f>IFERROR(Q68/Q446, "NA")</f>
        <v>-0.00001524227226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-13.75</v>
      </c>
      <c r="X68" s="13">
        <f>IFERROR(W68/W446, "NA")</f>
        <v>0.0002290605734</v>
      </c>
      <c r="Y68" s="14"/>
      <c r="Z68" s="12">
        <v>0.0</v>
      </c>
      <c r="AA68" s="13">
        <f>IFERROR(Z68/Z446, "NA")</f>
        <v>0</v>
      </c>
      <c r="AB68" s="14"/>
      <c r="AC68" s="15">
        <f t="shared" si="24"/>
        <v>-13.75</v>
      </c>
      <c r="AD68" s="13">
        <f>IFERROR(AC68/AC446, "NA")</f>
        <v>-0.001143707943</v>
      </c>
    </row>
    <row r="69" ht="16.5" hidden="1" customHeight="1">
      <c r="A69" s="11" t="s">
        <v>69</v>
      </c>
      <c r="B69" s="12">
        <v>0.0</v>
      </c>
      <c r="C69" s="13">
        <f>IFERROR(B69/B446, "NA")</f>
        <v>0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0.0</v>
      </c>
      <c r="R69" s="13">
        <f>IFERROR(Q69/Q446, "NA")</f>
        <v>0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0</v>
      </c>
      <c r="X69" s="13">
        <f>IFERROR(W69/W446, "NA")</f>
        <v>0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0</v>
      </c>
      <c r="AD69" s="13">
        <f>IFERROR(AC69/AC446, "NA")</f>
        <v>0</v>
      </c>
    </row>
    <row r="70" ht="16.5" hidden="1" customHeight="1">
      <c r="A70" s="11" t="s">
        <v>70</v>
      </c>
      <c r="B70" s="12">
        <v>0.0</v>
      </c>
      <c r="C70" s="13">
        <f>IFERROR(B70/B446, "NA")</f>
        <v>0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0</v>
      </c>
      <c r="I70" s="13">
        <f>IFERROR(H70/H446, "NA")</f>
        <v>0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0</v>
      </c>
      <c r="O70" s="13">
        <f>IFERROR(N70/N446, "NA")</f>
        <v>0</v>
      </c>
      <c r="P70" s="14"/>
      <c r="Q70" s="12">
        <v>0.0</v>
      </c>
      <c r="R70" s="13">
        <f>IFERROR(Q70/Q446, "NA")</f>
        <v>0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0</v>
      </c>
      <c r="X70" s="13">
        <f>IFERROR(W70/W446, "NA")</f>
        <v>0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0</v>
      </c>
      <c r="AD70" s="13">
        <f>IFERROR(AC70/AC446, "NA")</f>
        <v>0</v>
      </c>
    </row>
    <row r="71" ht="16.5" customHeight="1">
      <c r="A71" s="11" t="s">
        <v>71</v>
      </c>
      <c r="B71" s="12">
        <v>1485.05</v>
      </c>
      <c r="C71" s="13">
        <f>IFERROR(B71/B446, "NA")</f>
        <v>0.01409319511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1485.05</v>
      </c>
      <c r="I71" s="13">
        <f>IFERROR(H71/H446, "NA")</f>
        <v>-0.8483236889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1485.05</v>
      </c>
      <c r="O71" s="13">
        <f>IFERROR(N71/N446, "NA")</f>
        <v>0.2205776415</v>
      </c>
      <c r="P71" s="14"/>
      <c r="Q71" s="12">
        <v>13386.62</v>
      </c>
      <c r="R71" s="13">
        <f>IFERROR(Q71/Q446, "NA")</f>
        <v>0.01483945503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13386.62</v>
      </c>
      <c r="X71" s="13">
        <f>IFERROR(W71/W446, "NA")</f>
        <v>-0.2230070439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13386.62</v>
      </c>
      <c r="AD71" s="13">
        <f>IFERROR(AC71/AC446, "NA")</f>
        <v>1.113482445</v>
      </c>
    </row>
    <row r="72" ht="16.5" hidden="1" customHeight="1">
      <c r="A72" s="11" t="s">
        <v>72</v>
      </c>
      <c r="B72" s="12">
        <v>0.0</v>
      </c>
      <c r="C72" s="13">
        <f>IFERROR(B72/B446, "NA")</f>
        <v>0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0</v>
      </c>
      <c r="I72" s="13">
        <f>IFERROR(H72/H446, "NA")</f>
        <v>0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0</v>
      </c>
      <c r="O72" s="13">
        <f>IFERROR(N72/N446, "NA")</f>
        <v>0</v>
      </c>
      <c r="P72" s="14"/>
      <c r="Q72" s="12">
        <v>0.0</v>
      </c>
      <c r="R72" s="13">
        <f>IFERROR(Q72/Q446, "NA")</f>
        <v>0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0</v>
      </c>
      <c r="X72" s="13">
        <f>IFERROR(W72/W446, "NA")</f>
        <v>0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0</v>
      </c>
      <c r="AD72" s="13">
        <f>IFERROR(AC72/AC446, "NA")</f>
        <v>0</v>
      </c>
    </row>
    <row r="73" ht="16.5" customHeight="1">
      <c r="A73" s="16" t="s">
        <v>73</v>
      </c>
      <c r="B73" s="17">
        <f>IFERROR(B64+B65+B66+B67+B68+B69+B70+B71+B72, "NA")</f>
        <v>3281.05</v>
      </c>
      <c r="C73" s="18">
        <f>IFERROR(B73/B446, "NA")</f>
        <v>0.03113732051</v>
      </c>
      <c r="D73" s="8"/>
      <c r="E73" s="17">
        <f>IFERROR(E64+E65+E66+E67+E68+E69+E70+E71+E72, "NA")</f>
        <v>4392.09</v>
      </c>
      <c r="F73" s="18">
        <f>IFERROR(E73/E446, "NA")</f>
        <v>0.04100001008</v>
      </c>
      <c r="G73" s="8"/>
      <c r="H73" s="17">
        <f t="shared" si="21"/>
        <v>-1111.04</v>
      </c>
      <c r="I73" s="18">
        <f>IFERROR(H73/H446, "NA")</f>
        <v>0.6346732778</v>
      </c>
      <c r="J73" s="8"/>
      <c r="K73" s="17">
        <f>IFERROR(K64+K65+K66+K67+K68+K69+K70+K71+K72, "NA")</f>
        <v>4747.58</v>
      </c>
      <c r="L73" s="18">
        <f>IFERROR(K73/K446, "NA")</f>
        <v>0.04812988514</v>
      </c>
      <c r="M73" s="8"/>
      <c r="N73" s="17">
        <f t="shared" si="22"/>
        <v>-1466.53</v>
      </c>
      <c r="O73" s="18">
        <f>IFERROR(N73/N446, "NA")</f>
        <v>-0.2178268264</v>
      </c>
      <c r="P73" s="8"/>
      <c r="Q73" s="17">
        <f>IFERROR(Q64+Q65+Q66+Q67+Q68+Q69+Q70+Q71+Q72, "NA")</f>
        <v>45337.39</v>
      </c>
      <c r="R73" s="18">
        <f>IFERROR(Q73/Q446, "NA")</f>
        <v>0.05025780668</v>
      </c>
      <c r="S73" s="8"/>
      <c r="T73" s="17">
        <f>IFERROR(T64+T65+T66+T67+T68+T69+T70+T71+T72, "NA")</f>
        <v>39447.09</v>
      </c>
      <c r="U73" s="18">
        <f>IFERROR(T73/T446, "NA")</f>
        <v>0.04099999516</v>
      </c>
      <c r="V73" s="8"/>
      <c r="W73" s="17">
        <f t="shared" si="23"/>
        <v>5890.3</v>
      </c>
      <c r="X73" s="18">
        <f>IFERROR(W73/W446, "NA")</f>
        <v>-0.09812621787</v>
      </c>
      <c r="Y73" s="8"/>
      <c r="Z73" s="17">
        <f>IFERROR(Z64+Z65+Z66+Z67+Z68+Z69+Z70+Z71+Z72, "NA")</f>
        <v>7369.02</v>
      </c>
      <c r="AA73" s="18">
        <f>IFERROR(Z73/Z446, "NA")</f>
        <v>0.008279107796</v>
      </c>
      <c r="AB73" s="8"/>
      <c r="AC73" s="17">
        <f t="shared" si="24"/>
        <v>37968.37</v>
      </c>
      <c r="AD73" s="18">
        <f>IFERROR(AC73/AC446, "NA")</f>
        <v>3.158161916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>
        <f>IFERROR(B75/B446, "NA")</f>
        <v>0</v>
      </c>
      <c r="D75" s="14"/>
      <c r="E75" s="12">
        <v>1499.74</v>
      </c>
      <c r="F75" s="13">
        <f>IFERROR(E75/E446, "NA")</f>
        <v>0.01400002166</v>
      </c>
      <c r="G75" s="14"/>
      <c r="H75" s="15">
        <f t="shared" ref="H75:H92" si="25">IFERROR(B75-E75, "NA")</f>
        <v>-1499.74</v>
      </c>
      <c r="I75" s="13">
        <f>IFERROR(H75/H446, "NA")</f>
        <v>0.8567152413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13469.74</v>
      </c>
      <c r="U75" s="13">
        <f>IFERROR(T75/T446, "NA")</f>
        <v>0.01400000037</v>
      </c>
      <c r="V75" s="14"/>
      <c r="W75" s="15">
        <f t="shared" ref="W75:W92" si="27">IFERROR(Q75-T75, "NA")</f>
        <v>-13469.74</v>
      </c>
      <c r="X75" s="13">
        <f>IFERROR(W75/W446, "NA")</f>
        <v>0.2243917359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>
        <f>IFERROR(B76/B446, "NA")</f>
        <v>0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173.01</v>
      </c>
      <c r="C77" s="13">
        <f>IFERROR(B77/B446, "NA")</f>
        <v>0.001641873127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173.01</v>
      </c>
      <c r="I77" s="13">
        <f>IFERROR(H77/H446, "NA")</f>
        <v>-0.09883066658</v>
      </c>
      <c r="J77" s="14"/>
      <c r="K77" s="12">
        <v>363.77</v>
      </c>
      <c r="L77" s="13">
        <f>IFERROR(K77/K446, "NA")</f>
        <v>0.003687817439</v>
      </c>
      <c r="M77" s="14"/>
      <c r="N77" s="15">
        <f t="shared" si="26"/>
        <v>-190.76</v>
      </c>
      <c r="O77" s="13">
        <f>IFERROR(N77/N446, "NA")</f>
        <v>-0.02833398935</v>
      </c>
      <c r="P77" s="14"/>
      <c r="Q77" s="12">
        <v>2228.72</v>
      </c>
      <c r="R77" s="13">
        <f>IFERROR(Q77/Q446, "NA")</f>
        <v>0.002470600511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2228.72</v>
      </c>
      <c r="X77" s="13">
        <f>IFERROR(W77/W446, "NA")</f>
        <v>-0.03712813682</v>
      </c>
      <c r="Y77" s="14"/>
      <c r="Z77" s="12">
        <v>2242.34</v>
      </c>
      <c r="AA77" s="13">
        <f>IFERROR(Z77/Z446, "NA")</f>
        <v>0.002519273197</v>
      </c>
      <c r="AB77" s="14"/>
      <c r="AC77" s="15">
        <f t="shared" si="28"/>
        <v>-13.62</v>
      </c>
      <c r="AD77" s="13">
        <f>IFERROR(AC77/AC446, "NA")</f>
        <v>-0.001132894704</v>
      </c>
    </row>
    <row r="78" ht="16.5" hidden="1" customHeight="1">
      <c r="A78" s="11" t="s">
        <v>77</v>
      </c>
      <c r="B78" s="12">
        <v>0.0</v>
      </c>
      <c r="C78" s="13">
        <f>IFERROR(B78/B446, "NA")</f>
        <v>0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0</v>
      </c>
      <c r="I78" s="13">
        <f>IFERROR(H78/H446, "NA")</f>
        <v>0</v>
      </c>
      <c r="J78" s="14"/>
      <c r="K78" s="12">
        <v>0.0</v>
      </c>
      <c r="L78" s="13">
        <f>IFERROR(K78/K446, "NA")</f>
        <v>0</v>
      </c>
      <c r="M78" s="14"/>
      <c r="N78" s="15">
        <f t="shared" si="26"/>
        <v>0</v>
      </c>
      <c r="O78" s="13">
        <f>IFERROR(N78/N446, "NA")</f>
        <v>0</v>
      </c>
      <c r="P78" s="14"/>
      <c r="Q78" s="12">
        <v>0.0</v>
      </c>
      <c r="R78" s="13">
        <f>IFERROR(Q78/Q446, "NA")</f>
        <v>0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0</v>
      </c>
      <c r="X78" s="13">
        <f>IFERROR(W78/W446, "NA")</f>
        <v>0</v>
      </c>
      <c r="Y78" s="14"/>
      <c r="Z78" s="12">
        <v>0.0</v>
      </c>
      <c r="AA78" s="13">
        <f>IFERROR(Z78/Z446, "NA")</f>
        <v>0</v>
      </c>
      <c r="AB78" s="14"/>
      <c r="AC78" s="15">
        <f t="shared" si="28"/>
        <v>0</v>
      </c>
      <c r="AD78" s="13">
        <f>IFERROR(AC78/AC446, "NA")</f>
        <v>0</v>
      </c>
    </row>
    <row r="79" ht="16.5" customHeight="1">
      <c r="A79" s="11" t="s">
        <v>78</v>
      </c>
      <c r="B79" s="12">
        <v>0.0</v>
      </c>
      <c r="C79" s="13">
        <f>IFERROR(B79/B446, "NA")</f>
        <v>0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5.11</v>
      </c>
      <c r="AA79" s="13">
        <f>IFERROR(Z79/Z446, "NA")</f>
        <v>0.000005741094588</v>
      </c>
      <c r="AB79" s="14"/>
      <c r="AC79" s="15">
        <f t="shared" si="28"/>
        <v>-5.11</v>
      </c>
      <c r="AD79" s="13">
        <f>IFERROR(AC79/AC446, "NA")</f>
        <v>-0.0004250434609</v>
      </c>
    </row>
    <row r="80" ht="16.5" customHeight="1">
      <c r="A80" s="11" t="s">
        <v>79</v>
      </c>
      <c r="B80" s="12">
        <v>721.51</v>
      </c>
      <c r="C80" s="13">
        <f>IFERROR(B80/B446, "NA")</f>
        <v>0.006847164208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721.51</v>
      </c>
      <c r="I80" s="13">
        <f>IFERROR(H80/H446, "NA")</f>
        <v>-0.4121571831</v>
      </c>
      <c r="J80" s="14"/>
      <c r="K80" s="12">
        <v>896.1</v>
      </c>
      <c r="L80" s="13">
        <f>IFERROR(K80/K446, "NA")</f>
        <v>0.009084457781</v>
      </c>
      <c r="M80" s="14"/>
      <c r="N80" s="15">
        <f t="shared" si="26"/>
        <v>-174.59</v>
      </c>
      <c r="O80" s="13">
        <f>IFERROR(N80/N446, "NA")</f>
        <v>-0.02593222479</v>
      </c>
      <c r="P80" s="14"/>
      <c r="Q80" s="12">
        <v>10163.25</v>
      </c>
      <c r="R80" s="13">
        <f>IFERROR(Q80/Q446, "NA")</f>
        <v>0.01126625626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10163.25</v>
      </c>
      <c r="X80" s="13">
        <f>IFERROR(W80/W446, "NA")</f>
        <v>-0.1693090817</v>
      </c>
      <c r="Y80" s="14"/>
      <c r="Z80" s="12">
        <v>9100.85</v>
      </c>
      <c r="AA80" s="13">
        <f>IFERROR(Z80/Z446, "NA")</f>
        <v>0.01022482205</v>
      </c>
      <c r="AB80" s="14"/>
      <c r="AC80" s="15">
        <f t="shared" si="28"/>
        <v>1062.4</v>
      </c>
      <c r="AD80" s="13">
        <f>IFERROR(AC80/AC446, "NA")</f>
        <v>0.08836911406</v>
      </c>
    </row>
    <row r="81" ht="16.5" hidden="1" customHeight="1">
      <c r="A81" s="11" t="s">
        <v>80</v>
      </c>
      <c r="B81" s="12">
        <v>0.0</v>
      </c>
      <c r="C81" s="13">
        <f>IFERROR(B81/B446, "NA")</f>
        <v>0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hidden="1" customHeight="1">
      <c r="A82" s="11" t="s">
        <v>81</v>
      </c>
      <c r="B82" s="12">
        <v>0.0</v>
      </c>
      <c r="C82" s="13">
        <f>IFERROR(B82/B446, "NA")</f>
        <v>0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0.0</v>
      </c>
      <c r="AA82" s="13">
        <f>IFERROR(Z82/Z446, "NA")</f>
        <v>0</v>
      </c>
      <c r="AB82" s="14"/>
      <c r="AC82" s="15">
        <f t="shared" si="28"/>
        <v>0</v>
      </c>
      <c r="AD82" s="13">
        <f>IFERROR(AC82/AC446, "NA")</f>
        <v>0</v>
      </c>
    </row>
    <row r="83" ht="16.5" hidden="1" customHeight="1">
      <c r="A83" s="11" t="s">
        <v>82</v>
      </c>
      <c r="B83" s="12">
        <v>0.0</v>
      </c>
      <c r="C83" s="13">
        <f>IFERROR(B83/B446, "NA")</f>
        <v>0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0</v>
      </c>
      <c r="I83" s="13">
        <f>IFERROR(H83/H446, "NA")</f>
        <v>0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0</v>
      </c>
      <c r="O83" s="13">
        <f>IFERROR(N83/N446, "NA")</f>
        <v>0</v>
      </c>
      <c r="P83" s="14"/>
      <c r="Q83" s="12">
        <v>0.0</v>
      </c>
      <c r="R83" s="13">
        <f>IFERROR(Q83/Q446, "NA")</f>
        <v>0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0</v>
      </c>
      <c r="X83" s="13">
        <f>IFERROR(W83/W446, "NA")</f>
        <v>0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0</v>
      </c>
      <c r="AD83" s="13">
        <f>IFERROR(AC83/AC446, "NA")</f>
        <v>0</v>
      </c>
    </row>
    <row r="84" ht="16.5" hidden="1" customHeight="1">
      <c r="A84" s="11" t="s">
        <v>83</v>
      </c>
      <c r="B84" s="12">
        <v>0.0</v>
      </c>
      <c r="C84" s="13">
        <f>IFERROR(B84/B446, "NA")</f>
        <v>0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>
        <f>IFERROR(B85/B446, "NA")</f>
        <v>0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hidden="1" customHeight="1">
      <c r="A86" s="11" t="s">
        <v>85</v>
      </c>
      <c r="B86" s="12">
        <v>0.0</v>
      </c>
      <c r="C86" s="13">
        <f>IFERROR(B86/B446, "NA")</f>
        <v>0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0</v>
      </c>
      <c r="I86" s="13">
        <f>IFERROR(H86/H446, "NA")</f>
        <v>0</v>
      </c>
      <c r="J86" s="14"/>
      <c r="K86" s="12">
        <v>0.0</v>
      </c>
      <c r="L86" s="13">
        <f>IFERROR(K86/K446, "NA")</f>
        <v>0</v>
      </c>
      <c r="M86" s="14"/>
      <c r="N86" s="15">
        <f t="shared" si="26"/>
        <v>0</v>
      </c>
      <c r="O86" s="13">
        <f>IFERROR(N86/N446, "NA")</f>
        <v>0</v>
      </c>
      <c r="P86" s="14"/>
      <c r="Q86" s="12">
        <v>0.0</v>
      </c>
      <c r="R86" s="13">
        <f>IFERROR(Q86/Q446, "NA")</f>
        <v>0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0</v>
      </c>
      <c r="X86" s="13">
        <f>IFERROR(W86/W446, "NA")</f>
        <v>0</v>
      </c>
      <c r="Y86" s="14"/>
      <c r="Z86" s="12">
        <v>0.0</v>
      </c>
      <c r="AA86" s="13">
        <f>IFERROR(Z86/Z446, "NA")</f>
        <v>0</v>
      </c>
      <c r="AB86" s="14"/>
      <c r="AC86" s="15">
        <f t="shared" si="28"/>
        <v>0</v>
      </c>
      <c r="AD86" s="13">
        <f>IFERROR(AC86/AC446, "NA")</f>
        <v>0</v>
      </c>
    </row>
    <row r="87" ht="16.5" hidden="1" customHeight="1">
      <c r="A87" s="11" t="s">
        <v>86</v>
      </c>
      <c r="B87" s="12">
        <v>0.0</v>
      </c>
      <c r="C87" s="13">
        <f>IFERROR(B87/B446, "NA")</f>
        <v>0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0.0</v>
      </c>
      <c r="AA87" s="13">
        <f>IFERROR(Z87/Z446, "NA")</f>
        <v>0</v>
      </c>
      <c r="AB87" s="14"/>
      <c r="AC87" s="15">
        <f t="shared" si="28"/>
        <v>0</v>
      </c>
      <c r="AD87" s="13">
        <f>IFERROR(AC87/AC446, "NA")</f>
        <v>0</v>
      </c>
    </row>
    <row r="88" ht="16.5" customHeight="1">
      <c r="A88" s="16" t="s">
        <v>87</v>
      </c>
      <c r="B88" s="17">
        <f>IFERROR(B75+B76+B77+B78+B79+B80+B81+B82+B83+B84+B85+B86+B87, "NA")</f>
        <v>894.52</v>
      </c>
      <c r="C88" s="18">
        <f>IFERROR(B88/B446, "NA")</f>
        <v>0.008489037334</v>
      </c>
      <c r="D88" s="8"/>
      <c r="E88" s="17">
        <f>IFERROR(E75+E76+E77+E78+E79+E80+E81+E82+E83+E84+E85+E86+E87, "NA")</f>
        <v>1499.74</v>
      </c>
      <c r="F88" s="18">
        <f>IFERROR(E88/E446, "NA")</f>
        <v>0.01400002166</v>
      </c>
      <c r="G88" s="8"/>
      <c r="H88" s="17">
        <f t="shared" si="25"/>
        <v>-605.22</v>
      </c>
      <c r="I88" s="18">
        <f>IFERROR(H88/H446, "NA")</f>
        <v>0.3457273916</v>
      </c>
      <c r="J88" s="8"/>
      <c r="K88" s="17">
        <f>IFERROR(K75+K76+K77+K78+K79+K80+K81+K82+K83+K84+K85+K86+K87, "NA")</f>
        <v>1259.87</v>
      </c>
      <c r="L88" s="18">
        <f>IFERROR(K88/K446, "NA")</f>
        <v>0.01277227522</v>
      </c>
      <c r="M88" s="8"/>
      <c r="N88" s="17">
        <f t="shared" si="26"/>
        <v>-365.35</v>
      </c>
      <c r="O88" s="18">
        <f>IFERROR(N88/N446, "NA")</f>
        <v>-0.05426621414</v>
      </c>
      <c r="P88" s="8"/>
      <c r="Q88" s="17">
        <f>IFERROR(Q75+Q76+Q77+Q78+Q79+Q80+Q81+Q82+Q83+Q84+Q85+Q86+Q87, "NA")</f>
        <v>12391.97</v>
      </c>
      <c r="R88" s="18">
        <f>IFERROR(Q88/Q446, "NA")</f>
        <v>0.01373685677</v>
      </c>
      <c r="S88" s="8"/>
      <c r="T88" s="17">
        <f>IFERROR(T75+T76+T77+T78+T79+T80+T81+T82+T83+T84+T85+T86+T87, "NA")</f>
        <v>13469.74</v>
      </c>
      <c r="U88" s="18">
        <f>IFERROR(T88/T446, "NA")</f>
        <v>0.01400000037</v>
      </c>
      <c r="V88" s="8"/>
      <c r="W88" s="17">
        <f t="shared" si="27"/>
        <v>-1077.77</v>
      </c>
      <c r="X88" s="18">
        <f>IFERROR(W88/W446, "NA")</f>
        <v>0.0179545174</v>
      </c>
      <c r="Y88" s="8"/>
      <c r="Z88" s="17">
        <f>IFERROR(Z75+Z76+Z77+Z78+Z79+Z80+Z81+Z82+Z83+Z84+Z85+Z86+Z87, "NA")</f>
        <v>11348.3</v>
      </c>
      <c r="AA88" s="18">
        <f>IFERROR(Z88/Z446, "NA")</f>
        <v>0.01274983634</v>
      </c>
      <c r="AB88" s="8"/>
      <c r="AC88" s="17">
        <f t="shared" si="28"/>
        <v>1043.67</v>
      </c>
      <c r="AD88" s="18">
        <f>IFERROR(AC88/AC446, "NA")</f>
        <v>0.0868111759</v>
      </c>
    </row>
    <row r="89" ht="16.5" customHeight="1">
      <c r="A89" s="11" t="s">
        <v>88</v>
      </c>
      <c r="B89" s="12">
        <v>-56.98</v>
      </c>
      <c r="C89" s="13">
        <f>IFERROR(B89/B446, "NA")</f>
        <v>-0.0005407429094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-56.98</v>
      </c>
      <c r="I89" s="13">
        <f>IFERROR(H89/H446, "NA")</f>
        <v>0.0325493982</v>
      </c>
      <c r="J89" s="14"/>
      <c r="K89" s="12">
        <v>-95.97</v>
      </c>
      <c r="L89" s="13">
        <f>IFERROR(K89/K446, "NA")</f>
        <v>-0.0009729220101</v>
      </c>
      <c r="M89" s="14"/>
      <c r="N89" s="15">
        <f t="shared" si="26"/>
        <v>38.99</v>
      </c>
      <c r="O89" s="13">
        <f>IFERROR(N89/N446, "NA")</f>
        <v>0.005791267796</v>
      </c>
      <c r="P89" s="14"/>
      <c r="Q89" s="12">
        <v>-181.63</v>
      </c>
      <c r="R89" s="13">
        <f>IFERROR(Q89/Q446, "NA")</f>
        <v>-0.0002013421026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-181.63</v>
      </c>
      <c r="X89" s="13">
        <f>IFERROR(W89/W446, "NA")</f>
        <v>0.003025765233</v>
      </c>
      <c r="Y89" s="14"/>
      <c r="Z89" s="12">
        <v>121.65</v>
      </c>
      <c r="AA89" s="13">
        <f>IFERROR(Z89/Z446, "NA")</f>
        <v>0.0001366740032</v>
      </c>
      <c r="AB89" s="14"/>
      <c r="AC89" s="15">
        <f t="shared" si="28"/>
        <v>-303.28</v>
      </c>
      <c r="AD89" s="13">
        <f>IFERROR(AC89/AC446, "NA")</f>
        <v>-0.02522645417</v>
      </c>
    </row>
    <row r="90" ht="16.5" customHeight="1">
      <c r="A90" s="11" t="s">
        <v>89</v>
      </c>
      <c r="B90" s="12">
        <v>-540.75</v>
      </c>
      <c r="C90" s="13">
        <f>IFERROR(B90/B446, "NA")</f>
        <v>-0.005131743213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-540.75</v>
      </c>
      <c r="I90" s="13">
        <f>IFERROR(H90/H446, "NA")</f>
        <v>0.3088993871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-540.75</v>
      </c>
      <c r="O90" s="13">
        <f>IFERROR(N90/N446, "NA")</f>
        <v>-0.08031874995</v>
      </c>
      <c r="P90" s="14"/>
      <c r="Q90" s="12">
        <v>-612.74</v>
      </c>
      <c r="R90" s="13">
        <f>IFERROR(Q90/Q446, "NA")</f>
        <v>-0.000679239993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-612.74</v>
      </c>
      <c r="X90" s="13">
        <f>IFERROR(W90/W446, "NA")</f>
        <v>0.01020760551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-612.74</v>
      </c>
      <c r="AD90" s="13">
        <f>IFERROR(AC90/AC446, "NA")</f>
        <v>-0.05096695308</v>
      </c>
    </row>
    <row r="91" ht="16.5" hidden="1" customHeight="1">
      <c r="A91" s="11" t="s">
        <v>90</v>
      </c>
      <c r="B91" s="12">
        <v>0.0</v>
      </c>
      <c r="C91" s="13">
        <f>IFERROR(B91/B446, "NA")</f>
        <v>0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>
        <f>IFERROR(B92/B446, "NA")</f>
        <v>0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>
        <f>IFERROR(B94/B446, "NA")</f>
        <v>0</v>
      </c>
      <c r="D94" s="14"/>
      <c r="E94" s="12">
        <v>-6641.7</v>
      </c>
      <c r="F94" s="13">
        <f>IFERROR(E94/E446, "NA")</f>
        <v>-0.06200004257</v>
      </c>
      <c r="G94" s="14"/>
      <c r="H94" s="15">
        <f t="shared" ref="H94:H124" si="29">IFERROR(B94-E94, "NA")</f>
        <v>6641.7</v>
      </c>
      <c r="I94" s="13">
        <f>IFERROR(H94/H446, "NA")</f>
        <v>-3.794021376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-59651.71</v>
      </c>
      <c r="U94" s="13">
        <f>IFERROR(T94/T446, "NA")</f>
        <v>-0.06200000611</v>
      </c>
      <c r="V94" s="14"/>
      <c r="W94" s="15">
        <f t="shared" ref="W94:W124" si="31">IFERROR(Q94-T94, "NA")</f>
        <v>59651.71</v>
      </c>
      <c r="X94" s="13">
        <f>IFERROR(W94/W446, "NA")</f>
        <v>-0.9937349018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>
        <f>IFERROR(B95/B446, "NA")</f>
        <v>0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-892.44</v>
      </c>
      <c r="C96" s="13">
        <f>IFERROR(B96/B446, "NA")</f>
        <v>-0.008469298035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-892.44</v>
      </c>
      <c r="I96" s="13">
        <f>IFERROR(H96/H446, "NA")</f>
        <v>0.5097996653</v>
      </c>
      <c r="J96" s="14"/>
      <c r="K96" s="12">
        <v>-1805.45</v>
      </c>
      <c r="L96" s="13">
        <f>IFERROR(K96/K446, "NA")</f>
        <v>-0.01830324105</v>
      </c>
      <c r="M96" s="14"/>
      <c r="N96" s="15">
        <f t="shared" si="30"/>
        <v>913.01</v>
      </c>
      <c r="O96" s="13">
        <f>IFERROR(N96/N446, "NA")</f>
        <v>0.1356113211</v>
      </c>
      <c r="P96" s="14"/>
      <c r="Q96" s="12">
        <v>-7301.01</v>
      </c>
      <c r="R96" s="13">
        <f>IFERROR(Q96/Q446, "NA")</f>
        <v>-0.008093380523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-7301.01</v>
      </c>
      <c r="X96" s="13">
        <f>IFERROR(W96/W446, "NA")</f>
        <v>0.1216271664</v>
      </c>
      <c r="Y96" s="14"/>
      <c r="Z96" s="12">
        <v>-13063.72</v>
      </c>
      <c r="AA96" s="13">
        <f>IFERROR(Z96/Z446, "NA")</f>
        <v>-0.01467711393</v>
      </c>
      <c r="AB96" s="14"/>
      <c r="AC96" s="15">
        <f t="shared" si="32"/>
        <v>5762.71</v>
      </c>
      <c r="AD96" s="13">
        <f>IFERROR(AC96/AC446, "NA")</f>
        <v>0.479335069</v>
      </c>
    </row>
    <row r="97" ht="16.5" hidden="1" customHeight="1">
      <c r="A97" s="11" t="s">
        <v>95</v>
      </c>
      <c r="B97" s="12">
        <v>0.0</v>
      </c>
      <c r="C97" s="13">
        <f>IFERROR(B97/B446, "NA")</f>
        <v>0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-2678.55</v>
      </c>
      <c r="C98" s="13">
        <f>IFERROR(B98/B446, "NA")</f>
        <v>-0.02541956686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-2678.55</v>
      </c>
      <c r="I98" s="13">
        <f>IFERROR(H98/H446, "NA")</f>
        <v>1.530101624</v>
      </c>
      <c r="J98" s="14"/>
      <c r="K98" s="12">
        <v>-2166.36</v>
      </c>
      <c r="L98" s="13">
        <f>IFERROR(K98/K446, "NA")</f>
        <v>-0.02196206446</v>
      </c>
      <c r="M98" s="14"/>
      <c r="N98" s="15">
        <f t="shared" si="30"/>
        <v>-512.19</v>
      </c>
      <c r="O98" s="13">
        <f>IFERROR(N98/N446, "NA")</f>
        <v>-0.07607667229</v>
      </c>
      <c r="P98" s="14"/>
      <c r="Q98" s="12">
        <v>-12301.91</v>
      </c>
      <c r="R98" s="13">
        <f>IFERROR(Q98/Q446, "NA")</f>
        <v>-0.01363702266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-12301.91</v>
      </c>
      <c r="X98" s="13">
        <f>IFERROR(W98/W446, "NA")</f>
        <v>0.2049369134</v>
      </c>
      <c r="Y98" s="14"/>
      <c r="Z98" s="12">
        <v>-20324.73</v>
      </c>
      <c r="AA98" s="13">
        <f>IFERROR(Z98/Z446, "NA")</f>
        <v>-0.02283487229</v>
      </c>
      <c r="AB98" s="14"/>
      <c r="AC98" s="15">
        <f t="shared" si="32"/>
        <v>8022.82</v>
      </c>
      <c r="AD98" s="13">
        <f>IFERROR(AC98/AC446, "NA")</f>
        <v>0.6673282151</v>
      </c>
    </row>
    <row r="99" ht="16.5" hidden="1" customHeight="1">
      <c r="A99" s="11" t="s">
        <v>97</v>
      </c>
      <c r="B99" s="12">
        <v>0.0</v>
      </c>
      <c r="C99" s="13">
        <f>IFERROR(B99/B446, "NA")</f>
        <v>0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-20.95</v>
      </c>
      <c r="C100" s="13">
        <f>IFERROR(B100/B446, "NA")</f>
        <v>-0.0001988164962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-20.95</v>
      </c>
      <c r="I100" s="13">
        <f>IFERROR(H100/H446, "NA")</f>
        <v>0.01196753058</v>
      </c>
      <c r="J100" s="14"/>
      <c r="K100" s="12">
        <v>-767.8</v>
      </c>
      <c r="L100" s="13">
        <f>IFERROR(K100/K446, "NA")</f>
        <v>-0.007783781592</v>
      </c>
      <c r="M100" s="14"/>
      <c r="N100" s="15">
        <f t="shared" si="30"/>
        <v>746.85</v>
      </c>
      <c r="O100" s="13">
        <f>IFERROR(N100/N446, "NA")</f>
        <v>0.1109312222</v>
      </c>
      <c r="P100" s="14"/>
      <c r="Q100" s="12">
        <v>-367.67</v>
      </c>
      <c r="R100" s="13">
        <f>IFERROR(Q100/Q446, "NA")</f>
        <v>-0.0004075728176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-367.67</v>
      </c>
      <c r="X100" s="13">
        <f>IFERROR(W100/W446, "NA")</f>
        <v>0.006124996439</v>
      </c>
      <c r="Y100" s="14"/>
      <c r="Z100" s="12">
        <v>-1460.79</v>
      </c>
      <c r="AA100" s="13">
        <f>IFERROR(Z100/Z446, "NA")</f>
        <v>-0.001641200306</v>
      </c>
      <c r="AB100" s="14"/>
      <c r="AC100" s="15">
        <f t="shared" si="32"/>
        <v>1093.12</v>
      </c>
      <c r="AD100" s="13">
        <f>IFERROR(AC100/AC446, "NA")</f>
        <v>0.09092436555</v>
      </c>
    </row>
    <row r="101" ht="16.5" customHeight="1">
      <c r="A101" s="11" t="s">
        <v>99</v>
      </c>
      <c r="B101" s="12">
        <v>0.0</v>
      </c>
      <c r="C101" s="13">
        <f>IFERROR(B101/B446, "NA")</f>
        <v>0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-89.09</v>
      </c>
      <c r="R101" s="13">
        <f>IFERROR(Q101/Q446, "NA")</f>
        <v>-0.00009875883895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-89.09</v>
      </c>
      <c r="X101" s="13">
        <f>IFERROR(W101/W446, "NA")</f>
        <v>0.001484145926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-89.09</v>
      </c>
      <c r="AD101" s="13">
        <f>IFERROR(AC101/AC446, "NA")</f>
        <v>-0.007410395681</v>
      </c>
    </row>
    <row r="102" ht="16.5" customHeight="1">
      <c r="A102" s="11" t="s">
        <v>100</v>
      </c>
      <c r="B102" s="12">
        <v>-606.5</v>
      </c>
      <c r="C102" s="13">
        <f>IFERROR(B102/B446, "NA")</f>
        <v>-0.005755713839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-606.5</v>
      </c>
      <c r="I102" s="13">
        <f>IFERROR(H102/H446, "NA")</f>
        <v>0.3464585821</v>
      </c>
      <c r="J102" s="14"/>
      <c r="K102" s="12">
        <v>-924.62</v>
      </c>
      <c r="L102" s="13">
        <f>IFERROR(K102/K446, "NA")</f>
        <v>-0.009373587048</v>
      </c>
      <c r="M102" s="14"/>
      <c r="N102" s="15">
        <f t="shared" si="30"/>
        <v>318.12</v>
      </c>
      <c r="O102" s="13">
        <f>IFERROR(N102/N446, "NA")</f>
        <v>0.04725104158</v>
      </c>
      <c r="P102" s="14"/>
      <c r="Q102" s="12">
        <v>-5642.9</v>
      </c>
      <c r="R102" s="13">
        <f>IFERROR(Q102/Q446, "NA")</f>
        <v>-0.006255317682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-5642.9</v>
      </c>
      <c r="X102" s="13">
        <f>IFERROR(W102/W446, "NA")</f>
        <v>0.09400479345</v>
      </c>
      <c r="Y102" s="14"/>
      <c r="Z102" s="12">
        <v>-11541.83</v>
      </c>
      <c r="AA102" s="13">
        <f>IFERROR(Z102/Z446, "NA")</f>
        <v>-0.01296726766</v>
      </c>
      <c r="AB102" s="14"/>
      <c r="AC102" s="15">
        <f t="shared" si="32"/>
        <v>5898.93</v>
      </c>
      <c r="AD102" s="13">
        <f>IFERROR(AC102/AC446, "NA")</f>
        <v>0.4906656796</v>
      </c>
    </row>
    <row r="103" ht="16.5" customHeight="1">
      <c r="A103" s="11" t="s">
        <v>101</v>
      </c>
      <c r="B103" s="12">
        <v>0.0</v>
      </c>
      <c r="C103" s="13">
        <f>IFERROR(B103/B446, "NA")</f>
        <v>0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0</v>
      </c>
      <c r="I103" s="13">
        <f>IFERROR(H103/H446, "NA")</f>
        <v>0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0</v>
      </c>
      <c r="O103" s="13">
        <f>IFERROR(N103/N446, "NA")</f>
        <v>0</v>
      </c>
      <c r="P103" s="14"/>
      <c r="Q103" s="12">
        <v>-47.91</v>
      </c>
      <c r="R103" s="13">
        <f>IFERROR(Q103/Q446, "NA")</f>
        <v>-0.0000531096192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-47.91</v>
      </c>
      <c r="X103" s="13">
        <f>IFERROR(W103/W446, "NA")</f>
        <v>0.0007981303326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-47.91</v>
      </c>
      <c r="AD103" s="13">
        <f>IFERROR(AC103/AC446, "NA")</f>
        <v>-0.003985094366</v>
      </c>
    </row>
    <row r="104" ht="16.5" customHeight="1">
      <c r="A104" s="11" t="s">
        <v>102</v>
      </c>
      <c r="B104" s="12">
        <v>-158.66</v>
      </c>
      <c r="C104" s="13">
        <f>IFERROR(B104/B446, "NA")</f>
        <v>-0.001505690944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-158.66</v>
      </c>
      <c r="I104" s="13">
        <f>IFERROR(H104/H446, "NA")</f>
        <v>0.09063333657</v>
      </c>
      <c r="J104" s="14"/>
      <c r="K104" s="12">
        <v>-980.64</v>
      </c>
      <c r="L104" s="13">
        <f>IFERROR(K104/K446, "NA")</f>
        <v>-0.009941505054</v>
      </c>
      <c r="M104" s="14"/>
      <c r="N104" s="15">
        <f t="shared" si="30"/>
        <v>821.98</v>
      </c>
      <c r="O104" s="13">
        <f>IFERROR(N104/N446, "NA")</f>
        <v>0.1220904412</v>
      </c>
      <c r="P104" s="14"/>
      <c r="Q104" s="12">
        <v>-3551.89</v>
      </c>
      <c r="R104" s="13">
        <f>IFERROR(Q104/Q446, "NA")</f>
        <v>-0.003937372685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-3551.89</v>
      </c>
      <c r="X104" s="13">
        <f>IFERROR(W104/W446, "NA")</f>
        <v>0.05917076074</v>
      </c>
      <c r="Y104" s="14"/>
      <c r="Z104" s="12">
        <v>-7940.77</v>
      </c>
      <c r="AA104" s="13">
        <f>IFERROR(Z104/Z446, "NA")</f>
        <v>-0.008921469994</v>
      </c>
      <c r="AB104" s="14"/>
      <c r="AC104" s="15">
        <f t="shared" si="32"/>
        <v>4388.88</v>
      </c>
      <c r="AD104" s="13">
        <f>IFERROR(AC104/AC446, "NA")</f>
        <v>0.3650615939</v>
      </c>
    </row>
    <row r="105" ht="16.5" hidden="1" customHeight="1">
      <c r="A105" s="11" t="s">
        <v>103</v>
      </c>
      <c r="B105" s="12">
        <v>0.0</v>
      </c>
      <c r="C105" s="13">
        <f>IFERROR(B105/B446, "NA")</f>
        <v>0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-145.98</v>
      </c>
      <c r="C106" s="13">
        <f>IFERROR(B106/B446, "NA")</f>
        <v>-0.001385357141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-145.98</v>
      </c>
      <c r="I106" s="13">
        <f>IFERROR(H106/H446, "NA")</f>
        <v>0.08338998155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-145.98</v>
      </c>
      <c r="O106" s="13">
        <f>IFERROR(N106/N446, "NA")</f>
        <v>-0.02168272051</v>
      </c>
      <c r="P106" s="14"/>
      <c r="Q106" s="12">
        <v>-467.53</v>
      </c>
      <c r="R106" s="13">
        <f>IFERROR(Q106/Q446, "NA")</f>
        <v>-0.0005182705127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-467.53</v>
      </c>
      <c r="X106" s="13">
        <f>IFERROR(W106/W446, "NA")</f>
        <v>0.007788559266</v>
      </c>
      <c r="Y106" s="14"/>
      <c r="Z106" s="12">
        <v>-1196.24</v>
      </c>
      <c r="AA106" s="13">
        <f>IFERROR(Z106/Z446, "NA")</f>
        <v>-0.001343977884</v>
      </c>
      <c r="AB106" s="14"/>
      <c r="AC106" s="15">
        <f t="shared" si="32"/>
        <v>728.71</v>
      </c>
      <c r="AD106" s="13">
        <f>IFERROR(AC106/AC446, "NA")</f>
        <v>0.06061319381</v>
      </c>
    </row>
    <row r="107" ht="16.5" hidden="1" customHeight="1">
      <c r="A107" s="11" t="s">
        <v>105</v>
      </c>
      <c r="B107" s="12">
        <v>0.0</v>
      </c>
      <c r="C107" s="13">
        <f>IFERROR(B107/B446, "NA")</f>
        <v>0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>
        <f>IFERROR(B108/B446, "NA")</f>
        <v>0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>
        <f>IFERROR(B109/B446, "NA")</f>
        <v>0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>
        <f>IFERROR(B110/B446, "NA")</f>
        <v>0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>
        <f>IFERROR(B111/B446, "NA")</f>
        <v>0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>
        <f>IFERROR(B112/B446, "NA")</f>
        <v>0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>
        <f>IFERROR(B113/B446, "NA")</f>
        <v>0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>
        <f>IFERROR(B114/B446, "NA")</f>
        <v>0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>
        <f>IFERROR(B115/B446, "NA")</f>
        <v>0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>
        <f>IFERROR(B116/B446, "NA")</f>
        <v>0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>
        <f>IFERROR(B117/B446, "NA")</f>
        <v>0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-4503.08</v>
      </c>
      <c r="C118" s="18">
        <f>IFERROR(B118/B446, "NA")</f>
        <v>-0.04273444332</v>
      </c>
      <c r="D118" s="8"/>
      <c r="E118" s="17">
        <f>IFERROR(E94+E95+E96+E97+E98+E99+E100+E101+E102+E103+E104+E105+E106+E107+E108+E109+E110+E111+E112+E113+E114+E115+E116+E117, "NA")</f>
        <v>-6641.7</v>
      </c>
      <c r="F118" s="18">
        <f>IFERROR(E118/E446, "NA")</f>
        <v>-0.06200004257</v>
      </c>
      <c r="G118" s="8"/>
      <c r="H118" s="17">
        <f t="shared" si="29"/>
        <v>2138.62</v>
      </c>
      <c r="I118" s="18">
        <f>IFERROR(H118/H446, "NA")</f>
        <v>-1.221670656</v>
      </c>
      <c r="J118" s="8"/>
      <c r="K118" s="17">
        <f>IFERROR(K94+K95+K96+K97+K98+K99+K100+K101+K102+K103+K104+K105+K106+K107+K108+K109+K110+K111+K112+K113+K114+K115+K116+K117, "NA")</f>
        <v>-6644.87</v>
      </c>
      <c r="L118" s="18">
        <f>IFERROR(K118/K446, "NA")</f>
        <v>-0.0673641792</v>
      </c>
      <c r="M118" s="8"/>
      <c r="N118" s="17">
        <f t="shared" si="30"/>
        <v>2141.79</v>
      </c>
      <c r="O118" s="18">
        <f>IFERROR(N118/N446, "NA")</f>
        <v>0.3181246333</v>
      </c>
      <c r="P118" s="8"/>
      <c r="Q118" s="17">
        <f>IFERROR(Q94+Q95+Q96+Q97+Q98+Q99+Q100+Q101+Q102+Q103+Q104+Q105+Q106+Q107+Q108+Q109+Q110+Q111+Q112+Q113+Q114+Q115+Q116+Q117, "NA")</f>
        <v>-29769.91</v>
      </c>
      <c r="R118" s="18">
        <f>IFERROR(Q118/Q446, "NA")</f>
        <v>-0.03300080534</v>
      </c>
      <c r="S118" s="8"/>
      <c r="T118" s="17">
        <f>IFERROR(T94+T95+T96+T97+T98+T99+T100+T101+T102+T103+T104+T105+T106+T107+T108+T109+T110+T111+T112+T113+T114+T115+T116+T117, "NA")</f>
        <v>-59651.71</v>
      </c>
      <c r="U118" s="18">
        <f>IFERROR(T118/T446, "NA")</f>
        <v>-0.06200000611</v>
      </c>
      <c r="V118" s="8"/>
      <c r="W118" s="17">
        <f t="shared" si="31"/>
        <v>29881.8</v>
      </c>
      <c r="X118" s="18">
        <f>IFERROR(W118/W446, "NA")</f>
        <v>-0.4977994359</v>
      </c>
      <c r="Y118" s="8"/>
      <c r="Z118" s="17">
        <f>IFERROR(Z94+Z95+Z96+Z97+Z98+Z99+Z100+Z101+Z102+Z103+Z104+Z105+Z106+Z107+Z108+Z109+Z110+Z111+Z112+Z113+Z114+Z115+Z116+Z117, "NA")</f>
        <v>-55528.08</v>
      </c>
      <c r="AA118" s="18">
        <f>IFERROR(Z118/Z446, "NA")</f>
        <v>-0.06238590206</v>
      </c>
      <c r="AB118" s="8"/>
      <c r="AC118" s="17">
        <f t="shared" si="32"/>
        <v>25758.17</v>
      </c>
      <c r="AD118" s="18">
        <f>IFERROR(AC118/AC446, "NA")</f>
        <v>2.142532627</v>
      </c>
    </row>
    <row r="119" ht="16.5" hidden="1" customHeight="1">
      <c r="A119" s="11" t="s">
        <v>117</v>
      </c>
      <c r="B119" s="12">
        <v>0.0</v>
      </c>
      <c r="C119" s="13">
        <f>IFERROR(B119/B446, "NA")</f>
        <v>0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>
        <f>IFERROR(B120/B446, "NA")</f>
        <v>0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>
        <f>IFERROR(B121/B446, "NA")</f>
        <v>0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105373.55</v>
      </c>
      <c r="C122" s="18">
        <f>IFERROR(B122/B446, "NA")</f>
        <v>1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107124.12</v>
      </c>
      <c r="F122" s="18">
        <f>IFERROR(E122/E446, "NA")</f>
        <v>1</v>
      </c>
      <c r="G122" s="8"/>
      <c r="H122" s="17">
        <f t="shared" si="29"/>
        <v>-1750.57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98641</v>
      </c>
      <c r="L122" s="18">
        <f>IFERROR(K122/K446, "NA")</f>
        <v>1</v>
      </c>
      <c r="M122" s="8"/>
      <c r="N122" s="17">
        <f t="shared" si="30"/>
        <v>6732.55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902096.47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962124.26</v>
      </c>
      <c r="U122" s="18">
        <f>IFERROR(T122/T446, "NA")</f>
        <v>1</v>
      </c>
      <c r="V122" s="8"/>
      <c r="W122" s="17">
        <f t="shared" si="31"/>
        <v>-60027.79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890074.17</v>
      </c>
      <c r="AA122" s="18">
        <f>IFERROR(Z122/Z446, "NA")</f>
        <v>1</v>
      </c>
      <c r="AB122" s="8"/>
      <c r="AC122" s="17">
        <f t="shared" si="32"/>
        <v>12022.3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>
        <f>IFERROR(B123/B446, "NA")</f>
        <v>0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105373.55</v>
      </c>
      <c r="C124" s="18">
        <f>IFERROR(B124/B446, "NA")</f>
        <v>1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107124.12</v>
      </c>
      <c r="F124" s="18">
        <f>IFERROR(E124/E446, "NA")</f>
        <v>1</v>
      </c>
      <c r="G124" s="8"/>
      <c r="H124" s="17">
        <f t="shared" si="29"/>
        <v>-1750.57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98641</v>
      </c>
      <c r="L124" s="18">
        <f>IFERROR(K124/K446, "NA")</f>
        <v>1</v>
      </c>
      <c r="M124" s="8"/>
      <c r="N124" s="17">
        <f t="shared" si="30"/>
        <v>6732.55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902096.47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962124.26</v>
      </c>
      <c r="U124" s="18">
        <f>IFERROR(T124/T446, "NA")</f>
        <v>1</v>
      </c>
      <c r="V124" s="8"/>
      <c r="W124" s="17">
        <f t="shared" si="31"/>
        <v>-60027.79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890074.17</v>
      </c>
      <c r="AA124" s="18">
        <f>IFERROR(Z124/Z446, "NA")</f>
        <v>1</v>
      </c>
      <c r="AB124" s="8"/>
      <c r="AC124" s="17">
        <f t="shared" si="32"/>
        <v>12022.3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>
        <f>IFERROR(B127/B446, "NA")</f>
        <v>0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>
        <f>IFERROR(B129/B446, "NA")</f>
        <v>0</v>
      </c>
      <c r="D129" s="14"/>
      <c r="E129" s="12">
        <v>22924.56</v>
      </c>
      <c r="F129" s="13">
        <f>IFERROR(E129/E446, "NA")</f>
        <v>0.2139999843</v>
      </c>
      <c r="G129" s="14"/>
      <c r="H129" s="15">
        <f t="shared" ref="H129:H141" si="33">IFERROR(-(B129-E129), "NA")</f>
        <v>22924.56</v>
      </c>
      <c r="I129" s="13">
        <f>IFERROR(H129/H446, "NA")</f>
        <v>-13.09548319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206726.78</v>
      </c>
      <c r="U129" s="13">
        <f>IFERROR(T129/T446, "NA")</f>
        <v>0.2148649489</v>
      </c>
      <c r="V129" s="14"/>
      <c r="W129" s="15">
        <f t="shared" ref="W129:W141" si="35">IFERROR(-(Q129-T129), "NA")</f>
        <v>206726.78</v>
      </c>
      <c r="X129" s="13">
        <f>IFERROR(W129/W446, "NA")</f>
        <v>-3.443851256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5037.29</v>
      </c>
      <c r="C130" s="13">
        <f>IFERROR(B130/B446, "NA")</f>
        <v>0.04780412162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-5037.29</v>
      </c>
      <c r="I130" s="13">
        <f>IFERROR(H130/H446, "NA")</f>
        <v>2.877514181</v>
      </c>
      <c r="J130" s="14"/>
      <c r="K130" s="12">
        <v>4148.7</v>
      </c>
      <c r="L130" s="13">
        <f>IFERROR(K130/K446, "NA")</f>
        <v>0.04205857605</v>
      </c>
      <c r="M130" s="14"/>
      <c r="N130" s="15">
        <f t="shared" si="34"/>
        <v>-888.59</v>
      </c>
      <c r="O130" s="13">
        <f>IFERROR(N130/N446, "NA")</f>
        <v>-0.1319841665</v>
      </c>
      <c r="P130" s="14"/>
      <c r="Q130" s="12">
        <v>45003.84</v>
      </c>
      <c r="R130" s="13">
        <f>IFERROR(Q130/Q446, "NA")</f>
        <v>0.04988805687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-45003.84</v>
      </c>
      <c r="X130" s="13">
        <f>IFERROR(W130/W446, "NA")</f>
        <v>0.7497167562</v>
      </c>
      <c r="Y130" s="14"/>
      <c r="Z130" s="12">
        <v>48294.43</v>
      </c>
      <c r="AA130" s="13">
        <f>IFERROR(Z130/Z446, "NA")</f>
        <v>0.05425888272</v>
      </c>
      <c r="AB130" s="14"/>
      <c r="AC130" s="15">
        <f t="shared" si="36"/>
        <v>3290.59</v>
      </c>
      <c r="AD130" s="13">
        <f>IFERROR(AC130/AC446, "NA")</f>
        <v>0.2737071941</v>
      </c>
    </row>
    <row r="131" ht="16.5" customHeight="1">
      <c r="A131" s="11" t="s">
        <v>126</v>
      </c>
      <c r="B131" s="12">
        <v>3488.38</v>
      </c>
      <c r="C131" s="13">
        <f>IFERROR(B131/B446, "NA")</f>
        <v>0.03310489207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-3488.38</v>
      </c>
      <c r="I131" s="13">
        <f>IFERROR(H131/H446, "NA")</f>
        <v>1.992710946</v>
      </c>
      <c r="J131" s="14"/>
      <c r="K131" s="12">
        <v>2872.03</v>
      </c>
      <c r="L131" s="13">
        <f>IFERROR(K131/K446, "NA")</f>
        <v>0.02911598625</v>
      </c>
      <c r="M131" s="14"/>
      <c r="N131" s="15">
        <f t="shared" si="34"/>
        <v>-616.35</v>
      </c>
      <c r="O131" s="13">
        <f>IFERROR(N131/N446, "NA")</f>
        <v>-0.09154777907</v>
      </c>
      <c r="P131" s="14"/>
      <c r="Q131" s="12">
        <v>26303.63</v>
      </c>
      <c r="R131" s="13">
        <f>IFERROR(Q131/Q446, "NA")</f>
        <v>0.02915833381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-26303.63</v>
      </c>
      <c r="X131" s="13">
        <f>IFERROR(W131/W446, "NA")</f>
        <v>0.4381908779</v>
      </c>
      <c r="Y131" s="14"/>
      <c r="Z131" s="12">
        <v>29292.86</v>
      </c>
      <c r="AA131" s="13">
        <f>IFERROR(Z131/Z446, "NA")</f>
        <v>0.03291058317</v>
      </c>
      <c r="AB131" s="14"/>
      <c r="AC131" s="15">
        <f t="shared" si="36"/>
        <v>2989.23</v>
      </c>
      <c r="AD131" s="13">
        <f>IFERROR(AC131/AC446, "NA")</f>
        <v>0.2486404432</v>
      </c>
    </row>
    <row r="132" ht="16.5" customHeight="1">
      <c r="A132" s="11" t="s">
        <v>127</v>
      </c>
      <c r="B132" s="12">
        <v>3646.86</v>
      </c>
      <c r="C132" s="13">
        <f>IFERROR(B132/B446, "NA")</f>
        <v>0.03460887481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-3646.86</v>
      </c>
      <c r="I132" s="13">
        <f>IFERROR(H132/H446, "NA")</f>
        <v>2.083241458</v>
      </c>
      <c r="J132" s="14"/>
      <c r="K132" s="12">
        <v>5489.51</v>
      </c>
      <c r="L132" s="13">
        <f>IFERROR(K132/K446, "NA")</f>
        <v>0.05565140256</v>
      </c>
      <c r="M132" s="14"/>
      <c r="N132" s="15">
        <f t="shared" si="34"/>
        <v>1842.65</v>
      </c>
      <c r="O132" s="13">
        <f>IFERROR(N132/N446, "NA")</f>
        <v>0.2736927316</v>
      </c>
      <c r="P132" s="14"/>
      <c r="Q132" s="12">
        <v>34940.79</v>
      </c>
      <c r="R132" s="13">
        <f>IFERROR(Q132/Q446, "NA")</f>
        <v>0.03873287521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-34940.79</v>
      </c>
      <c r="X132" s="13">
        <f>IFERROR(W132/W446, "NA")</f>
        <v>0.5820769014</v>
      </c>
      <c r="Y132" s="14"/>
      <c r="Z132" s="12">
        <v>41814.23</v>
      </c>
      <c r="AA132" s="13">
        <f>IFERROR(Z132/Z446, "NA")</f>
        <v>0.04697836586</v>
      </c>
      <c r="AB132" s="14"/>
      <c r="AC132" s="15">
        <f t="shared" si="36"/>
        <v>6873.44</v>
      </c>
      <c r="AD132" s="13">
        <f>IFERROR(AC132/AC446, "NA")</f>
        <v>0.5717242125</v>
      </c>
    </row>
    <row r="133" ht="16.5" customHeight="1">
      <c r="A133" s="11" t="s">
        <v>128</v>
      </c>
      <c r="B133" s="12">
        <v>2482.0</v>
      </c>
      <c r="C133" s="13">
        <f>IFERROR(B133/B446, "NA")</f>
        <v>0.02355429802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-2482</v>
      </c>
      <c r="I133" s="13">
        <f>IFERROR(H133/H446, "NA")</f>
        <v>1.417823909</v>
      </c>
      <c r="J133" s="14"/>
      <c r="K133" s="12">
        <v>2654.2</v>
      </c>
      <c r="L133" s="13">
        <f>IFERROR(K133/K446, "NA")</f>
        <v>0.02690767531</v>
      </c>
      <c r="M133" s="14"/>
      <c r="N133" s="15">
        <f t="shared" si="34"/>
        <v>172.2</v>
      </c>
      <c r="O133" s="13">
        <f>IFERROR(N133/N446, "NA")</f>
        <v>0.02557723299</v>
      </c>
      <c r="P133" s="14"/>
      <c r="Q133" s="12">
        <v>21006.89</v>
      </c>
      <c r="R133" s="13">
        <f>IFERROR(Q133/Q446, "NA")</f>
        <v>0.02328674449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-21006.89</v>
      </c>
      <c r="X133" s="13">
        <f>IFERROR(W133/W446, "NA")</f>
        <v>0.3499527469</v>
      </c>
      <c r="Y133" s="14"/>
      <c r="Z133" s="12">
        <v>23109.68</v>
      </c>
      <c r="AA133" s="13">
        <f>IFERROR(Z133/Z446, "NA")</f>
        <v>0.02596376884</v>
      </c>
      <c r="AB133" s="14"/>
      <c r="AC133" s="15">
        <f t="shared" si="36"/>
        <v>2102.79</v>
      </c>
      <c r="AD133" s="13">
        <f>IFERROR(AC133/AC446, "NA")</f>
        <v>0.1749074636</v>
      </c>
    </row>
    <row r="134" ht="16.5" customHeight="1">
      <c r="A134" s="11" t="s">
        <v>129</v>
      </c>
      <c r="B134" s="12">
        <v>1249.4</v>
      </c>
      <c r="C134" s="13">
        <f>IFERROR(B134/B446, "NA")</f>
        <v>0.01185686541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-1249.4</v>
      </c>
      <c r="I134" s="13">
        <f>IFERROR(H134/H446, "NA")</f>
        <v>0.7137103915</v>
      </c>
      <c r="J134" s="14"/>
      <c r="K134" s="12">
        <v>1044.12</v>
      </c>
      <c r="L134" s="13">
        <f>IFERROR(K134/K446, "NA")</f>
        <v>0.01058505084</v>
      </c>
      <c r="M134" s="14"/>
      <c r="N134" s="15">
        <f t="shared" si="34"/>
        <v>-205.28</v>
      </c>
      <c r="O134" s="13">
        <f>IFERROR(N134/N446, "NA")</f>
        <v>-0.0304906759</v>
      </c>
      <c r="P134" s="14"/>
      <c r="Q134" s="12">
        <v>10405.07</v>
      </c>
      <c r="R134" s="13">
        <f>IFERROR(Q134/Q446, "NA")</f>
        <v>0.01153432071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-10405.07</v>
      </c>
      <c r="X134" s="13">
        <f>IFERROR(W134/W446, "NA")</f>
        <v>0.1733375492</v>
      </c>
      <c r="Y134" s="14"/>
      <c r="Z134" s="12">
        <v>7586.63</v>
      </c>
      <c r="AA134" s="13">
        <f>IFERROR(Z134/Z446, "NA")</f>
        <v>0.008523593039</v>
      </c>
      <c r="AB134" s="14"/>
      <c r="AC134" s="15">
        <f t="shared" si="36"/>
        <v>-2818.44</v>
      </c>
      <c r="AD134" s="13">
        <f>IFERROR(AC134/AC446, "NA")</f>
        <v>-0.2344343428</v>
      </c>
    </row>
    <row r="135" ht="16.5" customHeight="1">
      <c r="A135" s="11" t="s">
        <v>130</v>
      </c>
      <c r="B135" s="12">
        <v>630.16</v>
      </c>
      <c r="C135" s="13">
        <f>IFERROR(B135/B446, "NA")</f>
        <v>0.005980248364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-630.16</v>
      </c>
      <c r="I135" s="13">
        <f>IFERROR(H135/H446, "NA")</f>
        <v>0.3599741798</v>
      </c>
      <c r="J135" s="14"/>
      <c r="K135" s="12">
        <v>695.93</v>
      </c>
      <c r="L135" s="13">
        <f>IFERROR(K135/K446, "NA")</f>
        <v>0.007055179895</v>
      </c>
      <c r="M135" s="14"/>
      <c r="N135" s="15">
        <f t="shared" si="34"/>
        <v>65.77</v>
      </c>
      <c r="O135" s="13">
        <f>IFERROR(N135/N446, "NA")</f>
        <v>0.00976895827</v>
      </c>
      <c r="P135" s="14"/>
      <c r="Q135" s="12">
        <v>6011.34</v>
      </c>
      <c r="R135" s="13">
        <f>IFERROR(Q135/Q446, "NA")</f>
        <v>0.006663744067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-6011.34</v>
      </c>
      <c r="X135" s="13">
        <f>IFERROR(W135/W446, "NA")</f>
        <v>0.1001426173</v>
      </c>
      <c r="Y135" s="14"/>
      <c r="Z135" s="12">
        <v>6236.07</v>
      </c>
      <c r="AA135" s="13">
        <f>IFERROR(Z135/Z446, "NA")</f>
        <v>0.007006236345</v>
      </c>
      <c r="AB135" s="14"/>
      <c r="AC135" s="15">
        <f t="shared" si="36"/>
        <v>224.73</v>
      </c>
      <c r="AD135" s="13">
        <f>IFERROR(AC135/AC446, "NA")</f>
        <v>0.01869276262</v>
      </c>
    </row>
    <row r="136" ht="16.5" customHeight="1">
      <c r="A136" s="11" t="s">
        <v>131</v>
      </c>
      <c r="B136" s="12">
        <v>0.0</v>
      </c>
      <c r="C136" s="13">
        <f>IFERROR(B136/B446, "NA")</f>
        <v>0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4617.18</v>
      </c>
      <c r="AA136" s="13">
        <f>IFERROR(Z136/Z446, "NA")</f>
        <v>0.005187410393</v>
      </c>
      <c r="AB136" s="14"/>
      <c r="AC136" s="15">
        <f t="shared" si="36"/>
        <v>4617.18</v>
      </c>
      <c r="AD136" s="13">
        <f>IFERROR(AC136/AC446, "NA")</f>
        <v>0.3840513047</v>
      </c>
    </row>
    <row r="137" ht="16.5" customHeight="1">
      <c r="A137" s="11" t="s">
        <v>132</v>
      </c>
      <c r="B137" s="12">
        <v>695.7</v>
      </c>
      <c r="C137" s="13">
        <f>IFERROR(B137/B446, "NA")</f>
        <v>0.00660222608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-695.7</v>
      </c>
      <c r="I137" s="13">
        <f>IFERROR(H137/H446, "NA")</f>
        <v>0.3974134139</v>
      </c>
      <c r="J137" s="14"/>
      <c r="K137" s="12">
        <v>498.02</v>
      </c>
      <c r="L137" s="13">
        <f>IFERROR(K137/K446, "NA")</f>
        <v>0.005048813374</v>
      </c>
      <c r="M137" s="14"/>
      <c r="N137" s="15">
        <f t="shared" si="34"/>
        <v>-197.68</v>
      </c>
      <c r="O137" s="13">
        <f>IFERROR(N137/N446, "NA")</f>
        <v>-0.0293618317</v>
      </c>
      <c r="P137" s="14"/>
      <c r="Q137" s="12">
        <v>4994.34</v>
      </c>
      <c r="R137" s="13">
        <f>IFERROR(Q137/Q446, "NA")</f>
        <v>0.005536370184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-4994.34</v>
      </c>
      <c r="X137" s="13">
        <f>IFERROR(W137/W446, "NA")</f>
        <v>0.08320046432</v>
      </c>
      <c r="Y137" s="14"/>
      <c r="Z137" s="12">
        <v>5189.56</v>
      </c>
      <c r="AA137" s="13">
        <f>IFERROR(Z137/Z446, "NA")</f>
        <v>0.005830480397</v>
      </c>
      <c r="AB137" s="14"/>
      <c r="AC137" s="15">
        <f t="shared" si="36"/>
        <v>195.22</v>
      </c>
      <c r="AD137" s="13">
        <f>IFERROR(AC137/AC446, "NA")</f>
        <v>0.01623815742</v>
      </c>
    </row>
    <row r="138" ht="16.5" customHeight="1">
      <c r="A138" s="11" t="s">
        <v>133</v>
      </c>
      <c r="B138" s="12">
        <v>6696.77</v>
      </c>
      <c r="C138" s="13">
        <f>IFERROR(B138/B446, "NA")</f>
        <v>0.06355266573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-6696.77</v>
      </c>
      <c r="I138" s="13">
        <f>IFERROR(H138/H446, "NA")</f>
        <v>3.825479701</v>
      </c>
      <c r="J138" s="14"/>
      <c r="K138" s="12">
        <v>5834.83</v>
      </c>
      <c r="L138" s="13">
        <f>IFERROR(K138/K446, "NA")</f>
        <v>0.0591521781</v>
      </c>
      <c r="M138" s="14"/>
      <c r="N138" s="15">
        <f t="shared" si="34"/>
        <v>-861.94</v>
      </c>
      <c r="O138" s="13">
        <f>IFERROR(N138/N446, "NA")</f>
        <v>-0.1280257852</v>
      </c>
      <c r="P138" s="14"/>
      <c r="Q138" s="12">
        <v>56696.51</v>
      </c>
      <c r="R138" s="13">
        <f>IFERROR(Q138/Q446, "NA")</f>
        <v>0.06284971939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-56696.51</v>
      </c>
      <c r="X138" s="13">
        <f>IFERROR(W138/W446, "NA")</f>
        <v>0.9445043704</v>
      </c>
      <c r="Y138" s="14"/>
      <c r="Z138" s="12">
        <v>53654.14</v>
      </c>
      <c r="AA138" s="13">
        <f>IFERROR(Z138/Z446, "NA")</f>
        <v>0.06028052696</v>
      </c>
      <c r="AB138" s="14"/>
      <c r="AC138" s="15">
        <f t="shared" si="36"/>
        <v>-3042.37</v>
      </c>
      <c r="AD138" s="13">
        <f>IFERROR(AC138/AC446, "NA")</f>
        <v>-0.2530605625</v>
      </c>
    </row>
    <row r="139" ht="16.5" hidden="1" customHeight="1">
      <c r="A139" s="11" t="s">
        <v>134</v>
      </c>
      <c r="B139" s="12">
        <v>0.0</v>
      </c>
      <c r="C139" s="13">
        <f>IFERROR(B139/B446, "NA")</f>
        <v>0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hidden="1" customHeight="1">
      <c r="A140" s="11" t="s">
        <v>135</v>
      </c>
      <c r="B140" s="12">
        <v>0.0</v>
      </c>
      <c r="C140" s="13">
        <f>IFERROR(B140/B446, "NA")</f>
        <v>0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0.0</v>
      </c>
      <c r="L140" s="13">
        <f>IFERROR(K140/K446, "NA")</f>
        <v>0</v>
      </c>
      <c r="M140" s="14"/>
      <c r="N140" s="15">
        <f t="shared" si="34"/>
        <v>0</v>
      </c>
      <c r="O140" s="13">
        <f>IFERROR(N140/N446, "NA")</f>
        <v>0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0.0</v>
      </c>
      <c r="AA140" s="13">
        <f>IFERROR(Z140/Z446, "NA")</f>
        <v>0</v>
      </c>
      <c r="AB140" s="14"/>
      <c r="AC140" s="15">
        <f t="shared" si="36"/>
        <v>0</v>
      </c>
      <c r="AD140" s="13">
        <f>IFERROR(AC140/AC446, "NA")</f>
        <v>0</v>
      </c>
    </row>
    <row r="141" ht="16.5" customHeight="1">
      <c r="A141" s="16" t="s">
        <v>136</v>
      </c>
      <c r="B141" s="17">
        <f>IFERROR(B129+B130+B131+B132+B133+B134+B135+B136+B137+B138+B139+B140, "NA")</f>
        <v>23926.56</v>
      </c>
      <c r="C141" s="18">
        <f>IFERROR(B141/B446, "NA")</f>
        <v>0.2270641921</v>
      </c>
      <c r="D141" s="8"/>
      <c r="E141" s="17">
        <f>IFERROR(E129+E130+E131+E132+E133+E134+E135+E136+E137+E138+E139+E140, "NA")</f>
        <v>22924.56</v>
      </c>
      <c r="F141" s="18">
        <f>IFERROR(E141/E446, "NA")</f>
        <v>0.2139999843</v>
      </c>
      <c r="G141" s="8"/>
      <c r="H141" s="17">
        <f t="shared" si="33"/>
        <v>-1002</v>
      </c>
      <c r="I141" s="18">
        <f>IFERROR(H141/H446, "NA")</f>
        <v>0.5723849946</v>
      </c>
      <c r="J141" s="8"/>
      <c r="K141" s="17">
        <f>IFERROR(K129+K130+K131+K132+K133+K134+K135+K136+K137+K138+K139+K140, "NA")</f>
        <v>23237.34</v>
      </c>
      <c r="L141" s="18">
        <f>IFERROR(K141/K446, "NA")</f>
        <v>0.2355748624</v>
      </c>
      <c r="M141" s="8"/>
      <c r="N141" s="17">
        <f t="shared" si="34"/>
        <v>-689.22</v>
      </c>
      <c r="O141" s="18">
        <f>IFERROR(N141/N446, "NA")</f>
        <v>-0.1023713155</v>
      </c>
      <c r="P141" s="8"/>
      <c r="Q141" s="17">
        <f>IFERROR(Q129+Q130+Q131+Q132+Q133+Q134+Q135+Q136+Q137+Q138+Q139+Q140, "NA")</f>
        <v>205362.41</v>
      </c>
      <c r="R141" s="18">
        <f>IFERROR(Q141/Q446, "NA")</f>
        <v>0.2276501647</v>
      </c>
      <c r="S141" s="8"/>
      <c r="T141" s="17">
        <f>IFERROR(T129+T130+T131+T132+T133+T134+T135+T136+T137+T138+T139+T140, "NA")</f>
        <v>206726.78</v>
      </c>
      <c r="U141" s="18">
        <f>IFERROR(T141/T446, "NA")</f>
        <v>0.2148649489</v>
      </c>
      <c r="V141" s="8"/>
      <c r="W141" s="17">
        <f t="shared" si="35"/>
        <v>1364.37</v>
      </c>
      <c r="X141" s="18">
        <f>IFERROR(W141/W446, "NA")</f>
        <v>-0.0227289727</v>
      </c>
      <c r="Y141" s="8"/>
      <c r="Z141" s="17">
        <f>IFERROR(Z129+Z130+Z131+Z132+Z133+Z134+Z135+Z136+Z137+Z138+Z139+Z140, "NA")</f>
        <v>219794.78</v>
      </c>
      <c r="AA141" s="18">
        <f>IFERROR(Z141/Z446, "NA")</f>
        <v>0.2469398477</v>
      </c>
      <c r="AB141" s="8"/>
      <c r="AC141" s="17">
        <f t="shared" si="36"/>
        <v>14432.37</v>
      </c>
      <c r="AD141" s="18">
        <f>IFERROR(AC141/AC446, "NA")</f>
        <v>1.200466633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>
        <f>IFERROR(B143/B446, "NA")</f>
        <v>0</v>
      </c>
      <c r="D143" s="14"/>
      <c r="E143" s="12">
        <v>1178.37</v>
      </c>
      <c r="F143" s="13">
        <f>IFERROR(E143/E446, "NA")</f>
        <v>0.01100004369</v>
      </c>
      <c r="G143" s="14"/>
      <c r="H143" s="15">
        <f t="shared" ref="H143:H149" si="37">IFERROR(-(B143-E143), "NA")</f>
        <v>1178.37</v>
      </c>
      <c r="I143" s="13">
        <f>IFERROR(H143/H446, "NA")</f>
        <v>-0.673135036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10583.38</v>
      </c>
      <c r="U143" s="13">
        <f>IFERROR(T143/T446, "NA")</f>
        <v>0.01100001366</v>
      </c>
      <c r="V143" s="14"/>
      <c r="W143" s="15">
        <f t="shared" ref="W143:W149" si="39">IFERROR(-(Q143-T143), "NA")</f>
        <v>10583.38</v>
      </c>
      <c r="X143" s="13">
        <f>IFERROR(W143/W446, "NA")</f>
        <v>-0.1763080067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1297.17</v>
      </c>
      <c r="C144" s="13">
        <f>IFERROR(B144/B446, "NA")</f>
        <v>0.01231020498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-1297.17</v>
      </c>
      <c r="I144" s="13">
        <f>IFERROR(H144/H446, "NA")</f>
        <v>0.7409986462</v>
      </c>
      <c r="J144" s="14"/>
      <c r="K144" s="12">
        <v>969.82</v>
      </c>
      <c r="L144" s="13">
        <f>IFERROR(K144/K446, "NA")</f>
        <v>0.009831814357</v>
      </c>
      <c r="M144" s="14"/>
      <c r="N144" s="15">
        <f t="shared" si="38"/>
        <v>-327.35</v>
      </c>
      <c r="O144" s="13">
        <f>IFERROR(N144/N446, "NA")</f>
        <v>-0.04862199315</v>
      </c>
      <c r="P144" s="14"/>
      <c r="Q144" s="12">
        <v>11071.44</v>
      </c>
      <c r="R144" s="13">
        <f>IFERROR(Q144/Q446, "NA")</f>
        <v>0.01227301111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-11071.44</v>
      </c>
      <c r="X144" s="13">
        <f>IFERROR(W144/W446, "NA")</f>
        <v>0.1844385742</v>
      </c>
      <c r="Y144" s="14"/>
      <c r="Z144" s="12">
        <v>11370.73</v>
      </c>
      <c r="AA144" s="13">
        <f>IFERROR(Z144/Z446, "NA")</f>
        <v>0.01277503649</v>
      </c>
      <c r="AB144" s="14"/>
      <c r="AC144" s="15">
        <f t="shared" si="40"/>
        <v>299.29</v>
      </c>
      <c r="AD144" s="13">
        <f>IFERROR(AC144/AC446, "NA")</f>
        <v>0.02489457092</v>
      </c>
    </row>
    <row r="145" ht="16.5" customHeight="1">
      <c r="A145" s="11" t="s">
        <v>139</v>
      </c>
      <c r="B145" s="12">
        <v>58.45</v>
      </c>
      <c r="C145" s="13">
        <f>IFERROR(B145/B446, "NA")</f>
        <v>0.0005546932793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-58.45</v>
      </c>
      <c r="I145" s="13">
        <f>IFERROR(H145/H446, "NA")</f>
        <v>0.03338912469</v>
      </c>
      <c r="J145" s="14"/>
      <c r="K145" s="12">
        <v>66.66</v>
      </c>
      <c r="L145" s="13">
        <f>IFERROR(K145/K446, "NA")</f>
        <v>0.0006757839032</v>
      </c>
      <c r="M145" s="14"/>
      <c r="N145" s="15">
        <f t="shared" si="38"/>
        <v>8.21</v>
      </c>
      <c r="O145" s="13">
        <f>IFERROR(N145/N446, "NA")</f>
        <v>0.001219448797</v>
      </c>
      <c r="P145" s="14"/>
      <c r="Q145" s="12">
        <v>557.4</v>
      </c>
      <c r="R145" s="13">
        <f>IFERROR(Q145/Q446, "NA")</f>
        <v>0.0006178940042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-557.4</v>
      </c>
      <c r="X145" s="13">
        <f>IFERROR(W145/W446, "NA")</f>
        <v>0.009285699174</v>
      </c>
      <c r="Y145" s="14"/>
      <c r="Z145" s="12">
        <v>564.77</v>
      </c>
      <c r="AA145" s="13">
        <f>IFERROR(Z145/Z446, "NA")</f>
        <v>0.0006345201547</v>
      </c>
      <c r="AB145" s="14"/>
      <c r="AC145" s="15">
        <f t="shared" si="40"/>
        <v>7.37</v>
      </c>
      <c r="AD145" s="13">
        <f>IFERROR(AC145/AC446, "NA")</f>
        <v>0.0006130274573</v>
      </c>
    </row>
    <row r="146" ht="16.5" customHeight="1">
      <c r="A146" s="11" t="s">
        <v>140</v>
      </c>
      <c r="B146" s="12">
        <v>3.0</v>
      </c>
      <c r="C146" s="13">
        <f>IFERROR(B146/B446, "NA")</f>
        <v>0.00002847014265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-3</v>
      </c>
      <c r="I146" s="13">
        <f>IFERROR(H146/H446, "NA")</f>
        <v>0.001713727529</v>
      </c>
      <c r="J146" s="14"/>
      <c r="K146" s="12">
        <v>41.16</v>
      </c>
      <c r="L146" s="13">
        <f>IFERROR(K146/K446, "NA")</f>
        <v>0.0004172707089</v>
      </c>
      <c r="M146" s="14"/>
      <c r="N146" s="15">
        <f t="shared" si="38"/>
        <v>38.16</v>
      </c>
      <c r="O146" s="13">
        <f>IFERROR(N146/N446, "NA")</f>
        <v>0.005667986127</v>
      </c>
      <c r="P146" s="14"/>
      <c r="Q146" s="12">
        <v>57.89</v>
      </c>
      <c r="R146" s="13">
        <f>IFERROR(Q146/Q446, "NA")</f>
        <v>0.00006417273753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-57.89</v>
      </c>
      <c r="X146" s="13">
        <f>IFERROR(W146/W446, "NA")</f>
        <v>0.0009643866616</v>
      </c>
      <c r="Y146" s="14"/>
      <c r="Z146" s="12">
        <v>929.69</v>
      </c>
      <c r="AA146" s="13">
        <f>IFERROR(Z146/Z446, "NA")</f>
        <v>0.001044508459</v>
      </c>
      <c r="AB146" s="14"/>
      <c r="AC146" s="15">
        <f t="shared" si="40"/>
        <v>871.8</v>
      </c>
      <c r="AD146" s="13">
        <f>IFERROR(AC146/AC446, "NA")</f>
        <v>0.07251524251</v>
      </c>
    </row>
    <row r="147" ht="16.5" customHeight="1">
      <c r="A147" s="11" t="s">
        <v>141</v>
      </c>
      <c r="B147" s="12">
        <v>7.35</v>
      </c>
      <c r="C147" s="13">
        <f>IFERROR(B147/B446, "NA")</f>
        <v>0.00006975184949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-7.35</v>
      </c>
      <c r="I147" s="13">
        <f>IFERROR(H147/H446, "NA")</f>
        <v>0.004198632445</v>
      </c>
      <c r="J147" s="14"/>
      <c r="K147" s="12">
        <v>21.71</v>
      </c>
      <c r="L147" s="13">
        <f>IFERROR(K147/K446, "NA")</f>
        <v>0.0002200910372</v>
      </c>
      <c r="M147" s="14"/>
      <c r="N147" s="15">
        <f t="shared" si="38"/>
        <v>14.36</v>
      </c>
      <c r="O147" s="13">
        <f>IFERROR(N147/N446, "NA")</f>
        <v>0.002132921404</v>
      </c>
      <c r="P147" s="14"/>
      <c r="Q147" s="12">
        <v>122.91</v>
      </c>
      <c r="R147" s="13">
        <f>IFERROR(Q147/Q446, "NA")</f>
        <v>0.0001362492861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-122.91</v>
      </c>
      <c r="X147" s="13">
        <f>IFERROR(W147/W446, "NA")</f>
        <v>0.002047551642</v>
      </c>
      <c r="Y147" s="14"/>
      <c r="Z147" s="12">
        <v>111.48</v>
      </c>
      <c r="AA147" s="13">
        <f>IFERROR(Z147/Z446, "NA")</f>
        <v>0.0001252479892</v>
      </c>
      <c r="AB147" s="14"/>
      <c r="AC147" s="15">
        <f t="shared" si="40"/>
        <v>-11.43</v>
      </c>
      <c r="AD147" s="13">
        <f>IFERROR(AC147/AC446, "NA")</f>
        <v>-0.0009507332208</v>
      </c>
    </row>
    <row r="148" ht="16.5" customHeight="1">
      <c r="A148" s="16" t="s">
        <v>142</v>
      </c>
      <c r="B148" s="17">
        <f>IFERROR(B143+B144+B145+B146+B147, "NA")</f>
        <v>1365.97</v>
      </c>
      <c r="C148" s="18">
        <f>IFERROR(B148/B446, "NA")</f>
        <v>0.01296312025</v>
      </c>
      <c r="D148" s="8"/>
      <c r="E148" s="17">
        <f>IFERROR(E143+E144+E145+E146+E147, "NA")</f>
        <v>1178.37</v>
      </c>
      <c r="F148" s="18">
        <f>IFERROR(E148/E446, "NA")</f>
        <v>0.01100004369</v>
      </c>
      <c r="G148" s="8"/>
      <c r="H148" s="17">
        <f t="shared" si="37"/>
        <v>-187.6</v>
      </c>
      <c r="I148" s="18">
        <f>IFERROR(H148/H446, "NA")</f>
        <v>0.1071650948</v>
      </c>
      <c r="J148" s="8"/>
      <c r="K148" s="17">
        <f>IFERROR(K143+K144+K145+K146+K147, "NA")</f>
        <v>1099.35</v>
      </c>
      <c r="L148" s="18">
        <f>IFERROR(K148/K446, "NA")</f>
        <v>0.01114496001</v>
      </c>
      <c r="M148" s="8"/>
      <c r="N148" s="17">
        <f t="shared" si="38"/>
        <v>-266.62</v>
      </c>
      <c r="O148" s="18">
        <f>IFERROR(N148/N446, "NA")</f>
        <v>-0.03960163682</v>
      </c>
      <c r="P148" s="8"/>
      <c r="Q148" s="17">
        <f>IFERROR(Q143+Q144+Q145+Q146+Q147, "NA")</f>
        <v>11809.64</v>
      </c>
      <c r="R148" s="18">
        <f>IFERROR(Q148/Q446, "NA")</f>
        <v>0.01309132714</v>
      </c>
      <c r="S148" s="8"/>
      <c r="T148" s="17">
        <f>IFERROR(T143+T144+T145+T146+T147, "NA")</f>
        <v>10583.38</v>
      </c>
      <c r="U148" s="18">
        <f>IFERROR(T148/T446, "NA")</f>
        <v>0.01100001366</v>
      </c>
      <c r="V148" s="8"/>
      <c r="W148" s="17">
        <f t="shared" si="39"/>
        <v>-1226.26</v>
      </c>
      <c r="X148" s="18">
        <f>IFERROR(W148/W446, "NA")</f>
        <v>0.020428205</v>
      </c>
      <c r="Y148" s="8"/>
      <c r="Z148" s="17">
        <f>IFERROR(Z143+Z144+Z145+Z146+Z147, "NA")</f>
        <v>12976.67</v>
      </c>
      <c r="AA148" s="18">
        <f>IFERROR(Z148/Z446, "NA")</f>
        <v>0.01457931309</v>
      </c>
      <c r="AB148" s="8"/>
      <c r="AC148" s="17">
        <f t="shared" si="40"/>
        <v>1167.03</v>
      </c>
      <c r="AD148" s="18">
        <f>IFERROR(AC148/AC446, "NA")</f>
        <v>0.09707210767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25292.53</v>
      </c>
      <c r="C149" s="18">
        <f>IFERROR(B149/B446, "NA")</f>
        <v>0.2400273124</v>
      </c>
      <c r="D149" s="8"/>
      <c r="E149" s="17">
        <f>IFERROR(E127+E129+E130+E131+E132+E133+E134+E135+E136+E137+E138+E139+E140+E143+E144+E145+E146+E147, "NA")</f>
        <v>24102.93</v>
      </c>
      <c r="F149" s="18">
        <f>IFERROR(E149/E446, "NA")</f>
        <v>0.225000028</v>
      </c>
      <c r="G149" s="8"/>
      <c r="H149" s="17">
        <f t="shared" si="37"/>
        <v>-1189.6</v>
      </c>
      <c r="I149" s="18">
        <f>IFERROR(H149/H446, "NA")</f>
        <v>0.6795500894</v>
      </c>
      <c r="J149" s="8"/>
      <c r="K149" s="17">
        <f>IFERROR(K127+K129+K130+K131+K132+K133+K134+K135+K136+K137+K138+K139+K140+K143+K144+K145+K146+K147, "NA")</f>
        <v>24336.69</v>
      </c>
      <c r="L149" s="18">
        <f>IFERROR(K149/K446, "NA")</f>
        <v>0.2467198224</v>
      </c>
      <c r="M149" s="8"/>
      <c r="N149" s="17">
        <f t="shared" si="38"/>
        <v>-955.84</v>
      </c>
      <c r="O149" s="18">
        <f>IFERROR(N149/N446, "NA")</f>
        <v>-0.1419729523</v>
      </c>
      <c r="P149" s="8"/>
      <c r="Q149" s="17">
        <f>IFERROR(Q127+Q129+Q130+Q131+Q132+Q133+Q134+Q135+Q136+Q137+Q138+Q139+Q140+Q143+Q144+Q145+Q146+Q147, "NA")</f>
        <v>217172.05</v>
      </c>
      <c r="R149" s="18">
        <f>IFERROR(Q149/Q446, "NA")</f>
        <v>0.2407414919</v>
      </c>
      <c r="S149" s="8"/>
      <c r="T149" s="17">
        <f>IFERROR(T127+T129+T130+T131+T132+T133+T134+T135+T136+T137+T138+T139+T140+T143+T144+T145+T146+T147, "NA")</f>
        <v>217310.16</v>
      </c>
      <c r="U149" s="18">
        <f>IFERROR(T149/T446, "NA")</f>
        <v>0.2258649626</v>
      </c>
      <c r="V149" s="8"/>
      <c r="W149" s="17">
        <f t="shared" si="39"/>
        <v>138.11</v>
      </c>
      <c r="X149" s="18">
        <f>IFERROR(W149/W446, "NA")</f>
        <v>-0.002300767694</v>
      </c>
      <c r="Y149" s="8"/>
      <c r="Z149" s="17">
        <f>IFERROR(Z127+Z129+Z130+Z131+Z132+Z133+Z134+Z135+Z136+Z137+Z138+Z139+Z140+Z143+Z144+Z145+Z146+Z147, "NA")</f>
        <v>232771.45</v>
      </c>
      <c r="AA149" s="18">
        <f>IFERROR(Z149/Z446, "NA")</f>
        <v>0.2615191608</v>
      </c>
      <c r="AB149" s="8"/>
      <c r="AC149" s="17">
        <f t="shared" si="40"/>
        <v>15599.4</v>
      </c>
      <c r="AD149" s="18">
        <f>IFERROR(AC149/AC446, "NA")</f>
        <v>1.297538741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>
        <f>IFERROR(B151/B446, "NA")</f>
        <v>0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>
        <f>IFERROR(B153/B446, "NA")</f>
        <v>0</v>
      </c>
      <c r="D153" s="14"/>
      <c r="E153" s="12">
        <v>4499.21</v>
      </c>
      <c r="F153" s="13">
        <f>IFERROR(E153/E446, "NA")</f>
        <v>0.04199997162</v>
      </c>
      <c r="G153" s="14"/>
      <c r="H153" s="15">
        <f t="shared" ref="H153:H158" si="41">IFERROR(-(B153-E153), "NA")</f>
        <v>4499.21</v>
      </c>
      <c r="I153" s="13">
        <f>IFERROR(H153/H446, "NA")</f>
        <v>-2.570140012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40409.23</v>
      </c>
      <c r="U153" s="13">
        <f>IFERROR(T153/T446, "NA")</f>
        <v>0.04200001152</v>
      </c>
      <c r="V153" s="14"/>
      <c r="W153" s="15">
        <f t="shared" ref="W153:W158" si="43">IFERROR(-(Q153-T153), "NA")</f>
        <v>40409.23</v>
      </c>
      <c r="X153" s="13">
        <f>IFERROR(W153/W446, "NA")</f>
        <v>-0.6731753743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3049.69</v>
      </c>
      <c r="C154" s="13">
        <f>IFERROR(B154/B446, "NA")</f>
        <v>0.02894170311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-3049.69</v>
      </c>
      <c r="I154" s="13">
        <f>IFERROR(H154/H446, "NA")</f>
        <v>1.742112569</v>
      </c>
      <c r="J154" s="14"/>
      <c r="K154" s="12">
        <v>3687.75</v>
      </c>
      <c r="L154" s="13">
        <f>IFERROR(K154/K446, "NA")</f>
        <v>0.03738556989</v>
      </c>
      <c r="M154" s="14"/>
      <c r="N154" s="15">
        <f t="shared" si="42"/>
        <v>638.06</v>
      </c>
      <c r="O154" s="13">
        <f>IFERROR(N154/N446, "NA")</f>
        <v>0.09477241164</v>
      </c>
      <c r="P154" s="14"/>
      <c r="Q154" s="12">
        <v>26750.52</v>
      </c>
      <c r="R154" s="13">
        <f>IFERROR(Q154/Q446, "NA")</f>
        <v>0.02965372429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-26750.52</v>
      </c>
      <c r="X154" s="13">
        <f>IFERROR(W154/W446, "NA")</f>
        <v>0.4456355964</v>
      </c>
      <c r="Y154" s="14"/>
      <c r="Z154" s="12">
        <v>31333.52</v>
      </c>
      <c r="AA154" s="13">
        <f>IFERROR(Z154/Z446, "NA")</f>
        <v>0.03520326851</v>
      </c>
      <c r="AB154" s="14"/>
      <c r="AC154" s="15">
        <f t="shared" si="44"/>
        <v>4583</v>
      </c>
      <c r="AD154" s="13">
        <f>IFERROR(AC154/AC446, "NA")</f>
        <v>0.3812082547</v>
      </c>
    </row>
    <row r="155" ht="16.5" customHeight="1">
      <c r="A155" s="11" t="s">
        <v>147</v>
      </c>
      <c r="B155" s="12">
        <v>983.23</v>
      </c>
      <c r="C155" s="13">
        <f>IFERROR(B155/B446, "NA")</f>
        <v>0.009330899452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-983.23</v>
      </c>
      <c r="I155" s="13">
        <f>IFERROR(H155/H446, "NA")</f>
        <v>0.5616627727</v>
      </c>
      <c r="J155" s="14"/>
      <c r="K155" s="12">
        <v>866.94</v>
      </c>
      <c r="L155" s="13">
        <f>IFERROR(K155/K446, "NA")</f>
        <v>0.00878884034</v>
      </c>
      <c r="M155" s="14"/>
      <c r="N155" s="15">
        <f t="shared" si="42"/>
        <v>-116.29</v>
      </c>
      <c r="O155" s="13">
        <f>IFERROR(N155/N446, "NA")</f>
        <v>-0.01727280154</v>
      </c>
      <c r="P155" s="14"/>
      <c r="Q155" s="12">
        <v>9786.21</v>
      </c>
      <c r="R155" s="13">
        <f>IFERROR(Q155/Q446, "NA")</f>
        <v>0.01084829652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-9786.21</v>
      </c>
      <c r="X155" s="13">
        <f>IFERROR(W155/W446, "NA")</f>
        <v>0.1630279909</v>
      </c>
      <c r="Y155" s="14"/>
      <c r="Z155" s="12">
        <v>8291.21</v>
      </c>
      <c r="AA155" s="13">
        <f>IFERROR(Z155/Z446, "NA")</f>
        <v>0.009315189991</v>
      </c>
      <c r="AB155" s="14"/>
      <c r="AC155" s="15">
        <f t="shared" si="44"/>
        <v>-1495</v>
      </c>
      <c r="AD155" s="13">
        <f>IFERROR(AC155/AC446, "NA")</f>
        <v>-0.1243522454</v>
      </c>
    </row>
    <row r="156" ht="16.5" customHeight="1">
      <c r="A156" s="11" t="s">
        <v>148</v>
      </c>
      <c r="B156" s="12">
        <v>0.0</v>
      </c>
      <c r="C156" s="13">
        <f>IFERROR(B156/B446, "NA")</f>
        <v>0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20.6</v>
      </c>
      <c r="R156" s="13">
        <f>IFERROR(Q156/Q446, "NA")</f>
        <v>0.00002283569517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-20.6</v>
      </c>
      <c r="X156" s="13">
        <f>IFERROR(W156/W446, "NA")</f>
        <v>0.0003431743864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-20.6</v>
      </c>
      <c r="AD156" s="13">
        <f>IFERROR(AC156/AC446, "NA")</f>
        <v>-0.001713482445</v>
      </c>
    </row>
    <row r="157" ht="16.5" hidden="1" customHeight="1">
      <c r="A157" s="11" t="s">
        <v>149</v>
      </c>
      <c r="B157" s="12">
        <v>0.0</v>
      </c>
      <c r="C157" s="13">
        <f>IFERROR(B157/B446, "NA")</f>
        <v>0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4032.92</v>
      </c>
      <c r="C158" s="18">
        <f>IFERROR(B158/B446, "NA")</f>
        <v>0.03827260256</v>
      </c>
      <c r="D158" s="8"/>
      <c r="E158" s="17">
        <f>IFERROR(E153+E154+E155+E156+E157, "NA")</f>
        <v>4499.21</v>
      </c>
      <c r="F158" s="18">
        <f>IFERROR(E158/E446, "NA")</f>
        <v>0.04199997162</v>
      </c>
      <c r="G158" s="8"/>
      <c r="H158" s="17">
        <f t="shared" si="41"/>
        <v>466.29</v>
      </c>
      <c r="I158" s="18">
        <f>IFERROR(H158/H446, "NA")</f>
        <v>-0.2663646698</v>
      </c>
      <c r="J158" s="8"/>
      <c r="K158" s="17">
        <f>IFERROR(K153+K154+K155+K156+K157, "NA")</f>
        <v>4554.69</v>
      </c>
      <c r="L158" s="18">
        <f>IFERROR(K158/K446, "NA")</f>
        <v>0.04617441024</v>
      </c>
      <c r="M158" s="8"/>
      <c r="N158" s="17">
        <f t="shared" si="42"/>
        <v>521.77</v>
      </c>
      <c r="O158" s="18">
        <f>IFERROR(N158/N446, "NA")</f>
        <v>0.0774996101</v>
      </c>
      <c r="P158" s="8"/>
      <c r="Q158" s="17">
        <f>IFERROR(Q153+Q154+Q155+Q156+Q157, "NA")</f>
        <v>36557.33</v>
      </c>
      <c r="R158" s="18">
        <f>IFERROR(Q158/Q446, "NA")</f>
        <v>0.0405248565</v>
      </c>
      <c r="S158" s="8"/>
      <c r="T158" s="17">
        <f>IFERROR(T153+T154+T155+T156+T157, "NA")</f>
        <v>40409.23</v>
      </c>
      <c r="U158" s="18">
        <f>IFERROR(T158/T446, "NA")</f>
        <v>0.04200001152</v>
      </c>
      <c r="V158" s="8"/>
      <c r="W158" s="17">
        <f t="shared" si="43"/>
        <v>3851.9</v>
      </c>
      <c r="X158" s="18">
        <f>IFERROR(W158/W446, "NA")</f>
        <v>-0.06416861257</v>
      </c>
      <c r="Y158" s="8"/>
      <c r="Z158" s="17">
        <f>IFERROR(Z153+Z154+Z155+Z156+Z157, "NA")</f>
        <v>39624.73</v>
      </c>
      <c r="AA158" s="18">
        <f>IFERROR(Z158/Z446, "NA")</f>
        <v>0.0445184585</v>
      </c>
      <c r="AB158" s="8"/>
      <c r="AC158" s="17">
        <f t="shared" si="44"/>
        <v>3067.4</v>
      </c>
      <c r="AD158" s="18">
        <f>IFERROR(AC158/AC446, "NA")</f>
        <v>0.2551425268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>
        <f>IFERROR(B160/B446, "NA")</f>
        <v>0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456.17</v>
      </c>
      <c r="C161" s="13">
        <f>IFERROR(B161/B446, "NA")</f>
        <v>0.004329074991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-456.17</v>
      </c>
      <c r="I161" s="13">
        <f>IFERROR(H161/H446, "NA")</f>
        <v>0.2605836956</v>
      </c>
      <c r="J161" s="14"/>
      <c r="K161" s="12">
        <v>258.49</v>
      </c>
      <c r="L161" s="13">
        <f>IFERROR(K161/K446, "NA")</f>
        <v>0.002620512769</v>
      </c>
      <c r="M161" s="14"/>
      <c r="N161" s="15">
        <f t="shared" si="46"/>
        <v>-197.68</v>
      </c>
      <c r="O161" s="13">
        <f>IFERROR(N161/N446, "NA")</f>
        <v>-0.0293618317</v>
      </c>
      <c r="P161" s="14"/>
      <c r="Q161" s="12">
        <v>3219.83</v>
      </c>
      <c r="R161" s="13">
        <f>IFERROR(Q161/Q446, "NA")</f>
        <v>0.003569274581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-3219.83</v>
      </c>
      <c r="X161" s="13">
        <f>IFERROR(W161/W446, "NA")</f>
        <v>0.05363898954</v>
      </c>
      <c r="Y161" s="14"/>
      <c r="Z161" s="12">
        <v>2297.58</v>
      </c>
      <c r="AA161" s="13">
        <f>IFERROR(Z161/Z446, "NA")</f>
        <v>0.002581335441</v>
      </c>
      <c r="AB161" s="14"/>
      <c r="AC161" s="15">
        <f t="shared" si="48"/>
        <v>-922.25</v>
      </c>
      <c r="AD161" s="13">
        <f>IFERROR(AC161/AC446, "NA")</f>
        <v>-0.07671161092</v>
      </c>
    </row>
    <row r="162" ht="16.5" hidden="1" customHeight="1">
      <c r="A162" s="11" t="s">
        <v>153</v>
      </c>
      <c r="B162" s="12">
        <v>0.0</v>
      </c>
      <c r="C162" s="13">
        <f>IFERROR(B162/B446, "NA")</f>
        <v>0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0.0</v>
      </c>
      <c r="R162" s="13">
        <f>IFERROR(Q162/Q446, "NA")</f>
        <v>0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0</v>
      </c>
      <c r="X162" s="13">
        <f>IFERROR(W162/W446, "NA")</f>
        <v>0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0</v>
      </c>
      <c r="AD162" s="13">
        <f>IFERROR(AC162/AC446, "NA")</f>
        <v>0</v>
      </c>
    </row>
    <row r="163" ht="16.5" hidden="1" customHeight="1">
      <c r="A163" s="11" t="s">
        <v>154</v>
      </c>
      <c r="B163" s="12">
        <v>0.0</v>
      </c>
      <c r="C163" s="13">
        <f>IFERROR(B163/B446, "NA")</f>
        <v>0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0.0</v>
      </c>
      <c r="R163" s="13">
        <f>IFERROR(Q163/Q446, "NA")</f>
        <v>0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0</v>
      </c>
      <c r="X163" s="13">
        <f>IFERROR(W163/W446, "NA")</f>
        <v>0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0</v>
      </c>
      <c r="AD163" s="13">
        <f>IFERROR(AC163/AC446, "NA")</f>
        <v>0</v>
      </c>
    </row>
    <row r="164" ht="16.5" hidden="1" customHeight="1">
      <c r="A164" s="11" t="s">
        <v>155</v>
      </c>
      <c r="B164" s="12">
        <v>0.0</v>
      </c>
      <c r="C164" s="13">
        <f>IFERROR(B164/B446, "NA")</f>
        <v>0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>
        <f>IFERROR(B165/B446, "NA")</f>
        <v>0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456.17</v>
      </c>
      <c r="C166" s="18">
        <f>IFERROR(B166/B446, "NA")</f>
        <v>0.004329074991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-456.17</v>
      </c>
      <c r="I166" s="18">
        <f>IFERROR(H166/H446, "NA")</f>
        <v>0.2605836956</v>
      </c>
      <c r="J166" s="8"/>
      <c r="K166" s="17">
        <f>IFERROR(K160+K161+K162+K163+K164+K165, "NA")</f>
        <v>258.49</v>
      </c>
      <c r="L166" s="18">
        <f>IFERROR(K166/K446, "NA")</f>
        <v>0.002620512769</v>
      </c>
      <c r="M166" s="8"/>
      <c r="N166" s="17">
        <f t="shared" si="46"/>
        <v>-197.68</v>
      </c>
      <c r="O166" s="18">
        <f>IFERROR(N166/N446, "NA")</f>
        <v>-0.0293618317</v>
      </c>
      <c r="P166" s="8"/>
      <c r="Q166" s="17">
        <f>IFERROR(Q160+Q161+Q162+Q163+Q164+Q165, "NA")</f>
        <v>3219.83</v>
      </c>
      <c r="R166" s="18">
        <f>IFERROR(Q166/Q446, "NA")</f>
        <v>0.003569274581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-3219.83</v>
      </c>
      <c r="X166" s="18">
        <f>IFERROR(W166/W446, "NA")</f>
        <v>0.05363898954</v>
      </c>
      <c r="Y166" s="8"/>
      <c r="Z166" s="17">
        <f>IFERROR(Z160+Z161+Z162+Z163+Z164+Z165, "NA")</f>
        <v>2297.58</v>
      </c>
      <c r="AA166" s="18">
        <f>IFERROR(Z166/Z446, "NA")</f>
        <v>0.002581335441</v>
      </c>
      <c r="AB166" s="8"/>
      <c r="AC166" s="17">
        <f t="shared" si="48"/>
        <v>-922.25</v>
      </c>
      <c r="AD166" s="18">
        <f>IFERROR(AC166/AC446, "NA")</f>
        <v>-0.07671161092</v>
      </c>
    </row>
    <row r="167" ht="16.5" customHeight="1">
      <c r="A167" s="11" t="s">
        <v>158</v>
      </c>
      <c r="B167" s="12">
        <v>94.89</v>
      </c>
      <c r="C167" s="13">
        <f>IFERROR(B167/B446, "NA")</f>
        <v>0.000900510612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-94.89</v>
      </c>
      <c r="I167" s="13">
        <f>IFERROR(H167/H446, "NA")</f>
        <v>0.05420520173</v>
      </c>
      <c r="J167" s="14"/>
      <c r="K167" s="12">
        <v>118.21</v>
      </c>
      <c r="L167" s="13">
        <f>IFERROR(K167/K446, "NA")</f>
        <v>0.001198386067</v>
      </c>
      <c r="M167" s="14"/>
      <c r="N167" s="15">
        <f t="shared" si="46"/>
        <v>23.32</v>
      </c>
      <c r="O167" s="13">
        <f>IFERROR(N167/N446, "NA")</f>
        <v>0.0034637693</v>
      </c>
      <c r="P167" s="14"/>
      <c r="Q167" s="12">
        <v>1050.18</v>
      </c>
      <c r="R167" s="13">
        <f>IFERROR(Q167/Q446, "NA")</f>
        <v>0.001164154871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-1050.18</v>
      </c>
      <c r="X167" s="13">
        <f>IFERROR(W167/W446, "NA")</f>
        <v>0.01749489695</v>
      </c>
      <c r="Y167" s="14"/>
      <c r="Z167" s="12">
        <v>1019.39</v>
      </c>
      <c r="AA167" s="13">
        <f>IFERROR(Z167/Z446, "NA")</f>
        <v>0.001145286578</v>
      </c>
      <c r="AB167" s="14"/>
      <c r="AC167" s="15">
        <f t="shared" si="48"/>
        <v>-30.79</v>
      </c>
      <c r="AD167" s="13">
        <f>IFERROR(AC167/AC446, "NA")</f>
        <v>-0.002561074004</v>
      </c>
    </row>
    <row r="168" ht="16.5" customHeight="1">
      <c r="A168" s="11" t="s">
        <v>159</v>
      </c>
      <c r="B168" s="12">
        <v>139.0</v>
      </c>
      <c r="C168" s="13">
        <f>IFERROR(B168/B446, "NA")</f>
        <v>0.001319116609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-139</v>
      </c>
      <c r="I168" s="13">
        <f>IFERROR(H168/H446, "NA")</f>
        <v>0.07940270883</v>
      </c>
      <c r="J168" s="14"/>
      <c r="K168" s="12">
        <v>36.31</v>
      </c>
      <c r="L168" s="13">
        <f>IFERROR(K168/K446, "NA")</f>
        <v>0.0003681025132</v>
      </c>
      <c r="M168" s="14"/>
      <c r="N168" s="15">
        <f t="shared" si="46"/>
        <v>-102.69</v>
      </c>
      <c r="O168" s="13">
        <f>IFERROR(N168/N446, "NA")</f>
        <v>-0.01525276455</v>
      </c>
      <c r="P168" s="14"/>
      <c r="Q168" s="12">
        <v>983.69</v>
      </c>
      <c r="R168" s="13">
        <f>IFERROR(Q168/Q446, "NA")</f>
        <v>0.001090448785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-983.69</v>
      </c>
      <c r="X168" s="13">
        <f>IFERROR(W168/W446, "NA")</f>
        <v>0.01638724331</v>
      </c>
      <c r="Y168" s="14"/>
      <c r="Z168" s="12">
        <v>356.24</v>
      </c>
      <c r="AA168" s="13">
        <f>IFERROR(Z168/Z446, "NA")</f>
        <v>0.0004002363084</v>
      </c>
      <c r="AB168" s="14"/>
      <c r="AC168" s="15">
        <f t="shared" si="48"/>
        <v>-627.45</v>
      </c>
      <c r="AD168" s="13">
        <f>IFERROR(AC168/AC446, "NA")</f>
        <v>-0.05219051263</v>
      </c>
    </row>
    <row r="169" ht="16.5" customHeight="1">
      <c r="A169" s="11" t="s">
        <v>160</v>
      </c>
      <c r="B169" s="12">
        <v>-1120.54</v>
      </c>
      <c r="C169" s="13">
        <f>IFERROR(B169/B446, "NA")</f>
        <v>-0.01063397788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1120.54</v>
      </c>
      <c r="I169" s="13">
        <f>IFERROR(H169/H446, "NA")</f>
        <v>-0.6401000817</v>
      </c>
      <c r="J169" s="14"/>
      <c r="K169" s="12">
        <v>-1469.27</v>
      </c>
      <c r="L169" s="13">
        <f>IFERROR(K169/K446, "NA")</f>
        <v>-0.01489512475</v>
      </c>
      <c r="M169" s="14"/>
      <c r="N169" s="15">
        <f t="shared" si="46"/>
        <v>-348.73</v>
      </c>
      <c r="O169" s="13">
        <f>IFERROR(N169/N446, "NA")</f>
        <v>-0.05179761012</v>
      </c>
      <c r="P169" s="14"/>
      <c r="Q169" s="12">
        <v>-7385.28</v>
      </c>
      <c r="R169" s="13">
        <f>IFERROR(Q169/Q446, "NA")</f>
        <v>-0.008186796253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7385.28</v>
      </c>
      <c r="X169" s="13">
        <f>IFERROR(W169/W446, "NA")</f>
        <v>-0.1230310161</v>
      </c>
      <c r="Y169" s="14"/>
      <c r="Z169" s="12">
        <v>-16767.67</v>
      </c>
      <c r="AA169" s="13">
        <f>IFERROR(Z169/Z446, "NA")</f>
        <v>-0.01883850871</v>
      </c>
      <c r="AB169" s="14"/>
      <c r="AC169" s="15">
        <f t="shared" si="48"/>
        <v>-9382.39</v>
      </c>
      <c r="AD169" s="13">
        <f>IFERROR(AC169/AC446, "NA")</f>
        <v>-0.7804155611</v>
      </c>
    </row>
    <row r="170" ht="16.5" customHeight="1">
      <c r="A170" s="16" t="s">
        <v>161</v>
      </c>
      <c r="B170" s="17">
        <f>IFERROR(B151+B153+B154+B155+B156+B157+B160+B161+B162+B163+B164+B165+B167+B168+B169, "NA")</f>
        <v>3602.44</v>
      </c>
      <c r="C170" s="18">
        <f>IFERROR(B170/B446, "NA")</f>
        <v>0.0341873269</v>
      </c>
      <c r="D170" s="8"/>
      <c r="E170" s="17">
        <f>IFERROR(E151+E153+E154+E155+E156+E157+E160+E161+E162+E163+E164+E165+E167+E168+E169, "NA")</f>
        <v>4499.21</v>
      </c>
      <c r="F170" s="18">
        <f>IFERROR(E170/E446, "NA")</f>
        <v>0.04199997162</v>
      </c>
      <c r="G170" s="8"/>
      <c r="H170" s="17">
        <f t="shared" si="45"/>
        <v>896.77</v>
      </c>
      <c r="I170" s="18">
        <f>IFERROR(H170/H446, "NA")</f>
        <v>-0.5122731453</v>
      </c>
      <c r="J170" s="8"/>
      <c r="K170" s="17">
        <f>IFERROR(K151+K153+K154+K155+K156+K157+K160+K161+K162+K163+K164+K165+K167+K168+K169, "NA")</f>
        <v>3498.43</v>
      </c>
      <c r="L170" s="18">
        <f>IFERROR(K170/K446, "NA")</f>
        <v>0.03546628684</v>
      </c>
      <c r="M170" s="8"/>
      <c r="N170" s="17">
        <f t="shared" si="46"/>
        <v>-104.01</v>
      </c>
      <c r="O170" s="18">
        <f>IFERROR(N170/N446, "NA")</f>
        <v>-0.01544882697</v>
      </c>
      <c r="P170" s="8"/>
      <c r="Q170" s="17">
        <f>IFERROR(Q151+Q153+Q154+Q155+Q156+Q157+Q160+Q161+Q162+Q163+Q164+Q165+Q167+Q168+Q169, "NA")</f>
        <v>34425.75</v>
      </c>
      <c r="R170" s="18">
        <f>IFERROR(Q170/Q446, "NA")</f>
        <v>0.03816193849</v>
      </c>
      <c r="S170" s="8"/>
      <c r="T170" s="17">
        <f>IFERROR(T151+T153+T154+T155+T156+T157+T160+T161+T162+T163+T164+T165+T167+T168+T169, "NA")</f>
        <v>40409.23</v>
      </c>
      <c r="U170" s="18">
        <f>IFERROR(T170/T446, "NA")</f>
        <v>0.04200001152</v>
      </c>
      <c r="V170" s="8"/>
      <c r="W170" s="17">
        <f t="shared" si="47"/>
        <v>5983.48</v>
      </c>
      <c r="X170" s="18">
        <f>IFERROR(W170/W446, "NA")</f>
        <v>-0.09967849891</v>
      </c>
      <c r="Y170" s="8"/>
      <c r="Z170" s="17">
        <f>IFERROR(Z151+Z153+Z154+Z155+Z156+Z157+Z160+Z161+Z162+Z163+Z164+Z165+Z167+Z168+Z169, "NA")</f>
        <v>26530.27</v>
      </c>
      <c r="AA170" s="18">
        <f>IFERROR(Z170/Z446, "NA")</f>
        <v>0.02980680812</v>
      </c>
      <c r="AB170" s="8"/>
      <c r="AC170" s="17">
        <f t="shared" si="48"/>
        <v>-7895.48</v>
      </c>
      <c r="AD170" s="18">
        <f>IFERROR(AC170/AC446, "NA")</f>
        <v>-0.6567362318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28894.97</v>
      </c>
      <c r="C171" s="18">
        <f>IFERROR(B171/B446, "NA")</f>
        <v>0.2742146393</v>
      </c>
      <c r="D171" s="8"/>
      <c r="E171" s="17">
        <f>IFERROR(E127+E129+E130+E131+E132+E133+E134+E135+E136+E137+E138+E139+E140+E143+E144+E145+E146+E147+E151+E153+E154+E155+E156+E157+E160+E161+E162+E163+E164+E165+E167+E168+E169, "NA")</f>
        <v>28602.14</v>
      </c>
      <c r="F171" s="18">
        <f>IFERROR(E171/E446, "NA")</f>
        <v>0.2669999996</v>
      </c>
      <c r="G171" s="8"/>
      <c r="H171" s="17">
        <f t="shared" si="45"/>
        <v>-292.83</v>
      </c>
      <c r="I171" s="18">
        <f>IFERROR(H171/H446, "NA")</f>
        <v>0.1672769441</v>
      </c>
      <c r="J171" s="8"/>
      <c r="K171" s="17">
        <f>IFERROR(K127+K129+K130+K131+K132+K133+K134+K135+K136+K137+K138+K139+K140+K143+K144+K145+K146+K147+K151+K153+K154+K155+K156+K157+K160+K161+K162+K163+K164+K165+K167+K168+K169, "NA")</f>
        <v>27835.12</v>
      </c>
      <c r="L171" s="18">
        <f>IFERROR(K171/K446, "NA")</f>
        <v>0.2821861092</v>
      </c>
      <c r="M171" s="8"/>
      <c r="N171" s="17">
        <f t="shared" si="46"/>
        <v>-1059.85</v>
      </c>
      <c r="O171" s="18">
        <f>IFERROR(N171/N446, "NA")</f>
        <v>-0.1574217793</v>
      </c>
      <c r="P171" s="8"/>
      <c r="Q171" s="17">
        <f>IFERROR(Q127+Q129+Q130+Q131+Q132+Q133+Q134+Q135+Q136+Q137+Q138+Q139+Q140+Q143+Q144+Q145+Q146+Q147+Q151+Q153+Q154+Q155+Q156+Q157+Q160+Q161+Q162+Q163+Q164+Q165+Q167+Q168+Q169, "NA")</f>
        <v>251597.8</v>
      </c>
      <c r="R171" s="18">
        <f>IFERROR(Q171/Q446, "NA")</f>
        <v>0.2789034304</v>
      </c>
      <c r="S171" s="8"/>
      <c r="T171" s="17">
        <f>IFERROR(T127+T129+T130+T131+T132+T133+T134+T135+T136+T137+T138+T139+T140+T143+T144+T145+T146+T147+T151+T153+T154+T155+T156+T157+T160+T161+T162+T163+T164+T165+T167+T168+T169, "NA")</f>
        <v>257719.39</v>
      </c>
      <c r="U171" s="18">
        <f>IFERROR(T171/T446, "NA")</f>
        <v>0.2678649741</v>
      </c>
      <c r="V171" s="8"/>
      <c r="W171" s="17">
        <f t="shared" si="47"/>
        <v>6121.59</v>
      </c>
      <c r="X171" s="18">
        <f>IFERROR(W171/W446, "NA")</f>
        <v>-0.1019792666</v>
      </c>
      <c r="Y171" s="8"/>
      <c r="Z171" s="17">
        <f>IFERROR(Z127+Z129+Z130+Z131+Z132+Z133+Z134+Z135+Z136+Z137+Z138+Z139+Z140+Z143+Z144+Z145+Z146+Z147+Z151+Z153+Z154+Z155+Z156+Z157+Z160+Z161+Z162+Z163+Z164+Z165+Z167+Z168+Z169, "NA")</f>
        <v>259301.72</v>
      </c>
      <c r="AA171" s="18">
        <f>IFERROR(Z171/Z446, "NA")</f>
        <v>0.2913259689</v>
      </c>
      <c r="AB171" s="8"/>
      <c r="AC171" s="17">
        <f t="shared" si="48"/>
        <v>7703.92</v>
      </c>
      <c r="AD171" s="18">
        <f>IFERROR(AC171/AC446, "NA")</f>
        <v>0.6408025087</v>
      </c>
    </row>
    <row r="172" ht="16.5" customHeight="1">
      <c r="A172" s="19" t="s">
        <v>163</v>
      </c>
      <c r="B172" s="20">
        <f>IFERROR(B124-B171, "NA")</f>
        <v>76478.58</v>
      </c>
      <c r="C172" s="21">
        <f>IFERROR(B172/B446, "NA")</f>
        <v>0.7257853607</v>
      </c>
      <c r="D172" s="22"/>
      <c r="E172" s="20">
        <f>IFERROR(E124-E171, "NA")</f>
        <v>78521.98</v>
      </c>
      <c r="F172" s="21">
        <f>IFERROR(E172/E446, "NA")</f>
        <v>0.7330000004</v>
      </c>
      <c r="G172" s="22"/>
      <c r="H172" s="20">
        <f>IFERROR(B172-E172, "NA")</f>
        <v>-2043.4</v>
      </c>
      <c r="I172" s="21">
        <f>IFERROR(H172/H446, "NA")</f>
        <v>1.167276944</v>
      </c>
      <c r="J172" s="22"/>
      <c r="K172" s="20">
        <f>IFERROR(K124-K171, "NA")</f>
        <v>70805.88</v>
      </c>
      <c r="L172" s="21">
        <f>IFERROR(K172/K446, "NA")</f>
        <v>0.7178138908</v>
      </c>
      <c r="M172" s="22"/>
      <c r="N172" s="20">
        <f>IFERROR(B172-K172, "NA")</f>
        <v>5672.7</v>
      </c>
      <c r="O172" s="21">
        <f>IFERROR(N172/N446, "NA")</f>
        <v>0.8425782207</v>
      </c>
      <c r="P172" s="22"/>
      <c r="Q172" s="20">
        <f>IFERROR(Q124-Q171, "NA")</f>
        <v>650498.67</v>
      </c>
      <c r="R172" s="21">
        <f>IFERROR(Q172/Q446, "NA")</f>
        <v>0.7210965696</v>
      </c>
      <c r="S172" s="22"/>
      <c r="T172" s="20">
        <f>IFERROR(T124-T171, "NA")</f>
        <v>704404.87</v>
      </c>
      <c r="U172" s="21">
        <f>IFERROR(T172/T446, "NA")</f>
        <v>0.7321350259</v>
      </c>
      <c r="V172" s="22"/>
      <c r="W172" s="20">
        <f>IFERROR(Q172-T172, "NA")</f>
        <v>-53906.2</v>
      </c>
      <c r="X172" s="21">
        <f>IFERROR(W172/W446, "NA")</f>
        <v>0.8980207334</v>
      </c>
      <c r="Y172" s="22"/>
      <c r="Z172" s="20">
        <f>IFERROR(Z124-Z171, "NA")</f>
        <v>630772.45</v>
      </c>
      <c r="AA172" s="21">
        <f>IFERROR(Z172/Z446, "NA")</f>
        <v>0.7086740311</v>
      </c>
      <c r="AB172" s="22"/>
      <c r="AC172" s="20">
        <f>IFERROR(Q172-Z172, "NA")</f>
        <v>19726.22</v>
      </c>
      <c r="AD172" s="21">
        <f>IFERROR(AC172/AC446, "NA")</f>
        <v>1.640802509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>
        <f>IFERROR(B175/B446, "NA")</f>
        <v>0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>
        <f>IFERROR(B177/B446, "NA")</f>
        <v>0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5846.16</v>
      </c>
      <c r="C178" s="13">
        <f>IFERROR(B178/B446, "NA")</f>
        <v>0.05548033638</v>
      </c>
      <c r="D178" s="14"/>
      <c r="E178" s="12">
        <v>5846.16</v>
      </c>
      <c r="F178" s="13">
        <f>IFERROR(E178/E446, "NA")</f>
        <v>0.05457370385</v>
      </c>
      <c r="G178" s="14"/>
      <c r="H178" s="15">
        <f t="shared" si="49"/>
        <v>0</v>
      </c>
      <c r="I178" s="13">
        <f>IFERROR(H178/H446, "NA")</f>
        <v>0</v>
      </c>
      <c r="J178" s="14"/>
      <c r="K178" s="12">
        <v>5846.16</v>
      </c>
      <c r="L178" s="13">
        <f>IFERROR(K178/K446, "NA")</f>
        <v>0.05926703906</v>
      </c>
      <c r="M178" s="14"/>
      <c r="N178" s="15">
        <f t="shared" si="50"/>
        <v>0</v>
      </c>
      <c r="O178" s="13">
        <f>IFERROR(N178/N446, "NA")</f>
        <v>0</v>
      </c>
      <c r="P178" s="14"/>
      <c r="Q178" s="12">
        <v>49692.36</v>
      </c>
      <c r="R178" s="13">
        <f>IFERROR(Q178/Q446, "NA")</f>
        <v>0.05508541675</v>
      </c>
      <c r="S178" s="14"/>
      <c r="T178" s="12">
        <v>49417.36</v>
      </c>
      <c r="U178" s="13">
        <f>IFERROR(T178/T446, "NA")</f>
        <v>0.05136276264</v>
      </c>
      <c r="V178" s="14"/>
      <c r="W178" s="15">
        <f t="shared" si="51"/>
        <v>-275</v>
      </c>
      <c r="X178" s="13">
        <f>IFERROR(W178/W446, "NA")</f>
        <v>0.004581211469</v>
      </c>
      <c r="Y178" s="14"/>
      <c r="Z178" s="12">
        <v>49417.36</v>
      </c>
      <c r="AA178" s="13">
        <f>IFERROR(Z178/Z446, "NA")</f>
        <v>0.05552049668</v>
      </c>
      <c r="AB178" s="14"/>
      <c r="AC178" s="15">
        <f t="shared" si="52"/>
        <v>-275</v>
      </c>
      <c r="AD178" s="13">
        <f>IFERROR(AC178/AC446, "NA")</f>
        <v>-0.02287415885</v>
      </c>
    </row>
    <row r="179" ht="16.5" hidden="1" customHeight="1">
      <c r="A179" s="11" t="s">
        <v>167</v>
      </c>
      <c r="B179" s="12">
        <v>0.0</v>
      </c>
      <c r="C179" s="13">
        <f>IFERROR(B179/B446, "NA")</f>
        <v>0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18479.73</v>
      </c>
      <c r="C180" s="13">
        <f>IFERROR(B180/B446, "NA")</f>
        <v>0.1753735164</v>
      </c>
      <c r="D180" s="14"/>
      <c r="E180" s="12">
        <v>19817.96</v>
      </c>
      <c r="F180" s="13">
        <f>IFERROR(E180/E446, "NA")</f>
        <v>0.1849999795</v>
      </c>
      <c r="G180" s="14"/>
      <c r="H180" s="15">
        <f t="shared" si="49"/>
        <v>1338.23</v>
      </c>
      <c r="I180" s="13">
        <f>IFERROR(H180/H446, "NA")</f>
        <v>-0.7644538636</v>
      </c>
      <c r="J180" s="14"/>
      <c r="K180" s="12">
        <v>19074.03</v>
      </c>
      <c r="L180" s="13">
        <f>IFERROR(K180/K446, "NA")</f>
        <v>0.1933681735</v>
      </c>
      <c r="M180" s="14"/>
      <c r="N180" s="15">
        <f t="shared" si="50"/>
        <v>594.3</v>
      </c>
      <c r="O180" s="13">
        <f>IFERROR(N180/N446, "NA")</f>
        <v>0.08827264558</v>
      </c>
      <c r="P180" s="14"/>
      <c r="Q180" s="12">
        <v>154511.25</v>
      </c>
      <c r="R180" s="13">
        <f>IFERROR(Q180/Q446, "NA")</f>
        <v>0.1712801847</v>
      </c>
      <c r="S180" s="14"/>
      <c r="T180" s="12">
        <v>174405.12</v>
      </c>
      <c r="U180" s="13">
        <f>IFERROR(T180/T446, "NA")</f>
        <v>0.1812708891</v>
      </c>
      <c r="V180" s="14"/>
      <c r="W180" s="15">
        <f t="shared" si="51"/>
        <v>19893.87</v>
      </c>
      <c r="X180" s="13">
        <f>IFERROR(W180/W446, "NA")</f>
        <v>-0.3314110015</v>
      </c>
      <c r="Y180" s="14"/>
      <c r="Z180" s="12">
        <v>165326.3</v>
      </c>
      <c r="AA180" s="13">
        <f>IFERROR(Z180/Z446, "NA")</f>
        <v>0.1857444082</v>
      </c>
      <c r="AB180" s="14"/>
      <c r="AC180" s="15">
        <f t="shared" si="52"/>
        <v>10815.05</v>
      </c>
      <c r="AD180" s="13">
        <f>IFERROR(AC180/AC446, "NA")</f>
        <v>0.8995824426</v>
      </c>
    </row>
    <row r="181" ht="16.5" customHeight="1">
      <c r="A181" s="11" t="s">
        <v>169</v>
      </c>
      <c r="B181" s="12">
        <v>317.59</v>
      </c>
      <c r="C181" s="13">
        <f>IFERROR(B181/B446, "NA")</f>
        <v>0.003013944201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-317.59</v>
      </c>
      <c r="I181" s="13">
        <f>IFERROR(H181/H446, "NA")</f>
        <v>0.1814209086</v>
      </c>
      <c r="J181" s="14"/>
      <c r="K181" s="12">
        <v>939.47</v>
      </c>
      <c r="L181" s="13">
        <f>IFERROR(K181/K446, "NA")</f>
        <v>0.009524132967</v>
      </c>
      <c r="M181" s="14"/>
      <c r="N181" s="15">
        <f t="shared" si="50"/>
        <v>621.88</v>
      </c>
      <c r="O181" s="13">
        <f>IFERROR(N181/N446, "NA")</f>
        <v>0.09236916176</v>
      </c>
      <c r="P181" s="14"/>
      <c r="Q181" s="12">
        <v>3042.38</v>
      </c>
      <c r="R181" s="13">
        <f>IFERROR(Q181/Q446, "NA")</f>
        <v>0.003372566129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-3042.38</v>
      </c>
      <c r="X181" s="13">
        <f>IFERROR(W181/W446, "NA")</f>
        <v>0.05068285872</v>
      </c>
      <c r="Y181" s="14"/>
      <c r="Z181" s="12">
        <v>4450.88</v>
      </c>
      <c r="AA181" s="13">
        <f>IFERROR(Z181/Z446, "NA")</f>
        <v>0.005000572031</v>
      </c>
      <c r="AB181" s="14"/>
      <c r="AC181" s="15">
        <f t="shared" si="52"/>
        <v>1408.5</v>
      </c>
      <c r="AD181" s="13">
        <f>IFERROR(AC181/AC446, "NA")</f>
        <v>0.1171572827</v>
      </c>
    </row>
    <row r="182" ht="16.5" customHeight="1">
      <c r="A182" s="16" t="s">
        <v>170</v>
      </c>
      <c r="B182" s="17">
        <f>IFERROR(B177+B178+B179+B180+B181, "NA")</f>
        <v>24643.48</v>
      </c>
      <c r="C182" s="18">
        <f>IFERROR(B182/B446, "NA")</f>
        <v>0.233867797</v>
      </c>
      <c r="D182" s="8"/>
      <c r="E182" s="17">
        <f>IFERROR(E177+E178+E179+E180+E181, "NA")</f>
        <v>25664.12</v>
      </c>
      <c r="F182" s="18">
        <f>IFERROR(E182/E446, "NA")</f>
        <v>0.2395736833</v>
      </c>
      <c r="G182" s="8"/>
      <c r="H182" s="17">
        <f t="shared" si="49"/>
        <v>1020.64</v>
      </c>
      <c r="I182" s="18">
        <f>IFERROR(H182/H446, "NA")</f>
        <v>-0.583032955</v>
      </c>
      <c r="J182" s="8"/>
      <c r="K182" s="17">
        <f>IFERROR(K177+K178+K179+K180+K181, "NA")</f>
        <v>25859.66</v>
      </c>
      <c r="L182" s="18">
        <f>IFERROR(K182/K446, "NA")</f>
        <v>0.2621593455</v>
      </c>
      <c r="M182" s="8"/>
      <c r="N182" s="17">
        <f t="shared" si="50"/>
        <v>1216.18</v>
      </c>
      <c r="O182" s="18">
        <f>IFERROR(N182/N446, "NA")</f>
        <v>0.1806418073</v>
      </c>
      <c r="P182" s="8"/>
      <c r="Q182" s="17">
        <f>IFERROR(Q177+Q178+Q179+Q180+Q181, "NA")</f>
        <v>207245.99</v>
      </c>
      <c r="R182" s="18">
        <f>IFERROR(Q182/Q446, "NA")</f>
        <v>0.2297381676</v>
      </c>
      <c r="S182" s="8"/>
      <c r="T182" s="17">
        <f>IFERROR(T177+T178+T179+T180+T181, "NA")</f>
        <v>223822.48</v>
      </c>
      <c r="U182" s="18">
        <f>IFERROR(T182/T446, "NA")</f>
        <v>0.2326336517</v>
      </c>
      <c r="V182" s="8"/>
      <c r="W182" s="17">
        <f t="shared" si="51"/>
        <v>16576.49</v>
      </c>
      <c r="X182" s="18">
        <f>IFERROR(W182/W446, "NA")</f>
        <v>-0.2761469313</v>
      </c>
      <c r="Y182" s="8"/>
      <c r="Z182" s="17">
        <f>IFERROR(Z177+Z178+Z179+Z180+Z181, "NA")</f>
        <v>219194.54</v>
      </c>
      <c r="AA182" s="18">
        <f>IFERROR(Z182/Z446, "NA")</f>
        <v>0.246265477</v>
      </c>
      <c r="AB182" s="8"/>
      <c r="AC182" s="17">
        <f t="shared" si="52"/>
        <v>11948.55</v>
      </c>
      <c r="AD182" s="18">
        <f>IFERROR(AC182/AC446, "NA")</f>
        <v>0.9938655665</v>
      </c>
    </row>
    <row r="183" ht="16.5" hidden="1" customHeight="1">
      <c r="A183" s="11" t="s">
        <v>171</v>
      </c>
      <c r="B183" s="12">
        <v>0.0</v>
      </c>
      <c r="C183" s="13">
        <f>IFERROR(B183/B446, "NA")</f>
        <v>0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350.0</v>
      </c>
      <c r="C184" s="13">
        <f>IFERROR(B184/B446, "NA")</f>
        <v>0.003321516642</v>
      </c>
      <c r="D184" s="14"/>
      <c r="E184" s="12">
        <v>350.0</v>
      </c>
      <c r="F184" s="13">
        <f>IFERROR(E184/E446, "NA")</f>
        <v>0.003267238041</v>
      </c>
      <c r="G184" s="14"/>
      <c r="H184" s="15">
        <f t="shared" si="49"/>
        <v>0</v>
      </c>
      <c r="I184" s="13">
        <f>IFERROR(H184/H446, "NA")</f>
        <v>0</v>
      </c>
      <c r="J184" s="14"/>
      <c r="K184" s="12">
        <v>500.0</v>
      </c>
      <c r="L184" s="13">
        <f>IFERROR(K184/K446, "NA")</f>
        <v>0.005068886163</v>
      </c>
      <c r="M184" s="14"/>
      <c r="N184" s="15">
        <f t="shared" si="50"/>
        <v>150</v>
      </c>
      <c r="O184" s="13">
        <f>IFERROR(N184/N446, "NA")</f>
        <v>0.02227981968</v>
      </c>
      <c r="P184" s="14"/>
      <c r="Q184" s="12">
        <v>-800.0</v>
      </c>
      <c r="R184" s="13">
        <f>IFERROR(Q184/Q446, "NA")</f>
        <v>-0.0008868231133</v>
      </c>
      <c r="S184" s="14"/>
      <c r="T184" s="12">
        <v>3150.0</v>
      </c>
      <c r="U184" s="13">
        <f>IFERROR(T184/T446, "NA")</f>
        <v>0.003274005376</v>
      </c>
      <c r="V184" s="14"/>
      <c r="W184" s="15">
        <f t="shared" si="51"/>
        <v>3950</v>
      </c>
      <c r="X184" s="13">
        <f>IFERROR(W184/W446, "NA")</f>
        <v>-0.06580285564</v>
      </c>
      <c r="Y184" s="14"/>
      <c r="Z184" s="12">
        <v>2050.0</v>
      </c>
      <c r="AA184" s="13">
        <f>IFERROR(Z184/Z446, "NA")</f>
        <v>0.002303178846</v>
      </c>
      <c r="AB184" s="14"/>
      <c r="AC184" s="15">
        <f t="shared" si="52"/>
        <v>2850</v>
      </c>
      <c r="AD184" s="13">
        <f>IFERROR(AC184/AC446, "NA")</f>
        <v>0.2370594645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2185.99</v>
      </c>
      <c r="C186" s="13">
        <f>IFERROR(B186/B446, "NA")</f>
        <v>0.02074514904</v>
      </c>
      <c r="D186" s="14"/>
      <c r="E186" s="12">
        <v>2538.61</v>
      </c>
      <c r="F186" s="13">
        <f>IFERROR(E186/E446, "NA")</f>
        <v>0.02369783761</v>
      </c>
      <c r="G186" s="14"/>
      <c r="H186" s="15">
        <f t="shared" ref="H186:H197" si="53">IFERROR(-(B186-E186), "NA")</f>
        <v>352.62</v>
      </c>
      <c r="I186" s="13">
        <f>IFERROR(H186/H446, "NA")</f>
        <v>-0.2014315337</v>
      </c>
      <c r="J186" s="14"/>
      <c r="K186" s="12">
        <v>2337.58</v>
      </c>
      <c r="L186" s="13">
        <f>IFERROR(K186/K446, "NA")</f>
        <v>0.02369785383</v>
      </c>
      <c r="M186" s="14"/>
      <c r="N186" s="15">
        <f t="shared" ref="N186:N197" si="54">IFERROR(-(B186-K186), "NA")</f>
        <v>151.59</v>
      </c>
      <c r="O186" s="13">
        <f>IFERROR(N186/N446, "NA")</f>
        <v>0.02251598577</v>
      </c>
      <c r="P186" s="14"/>
      <c r="Q186" s="12">
        <v>18449.36</v>
      </c>
      <c r="R186" s="13">
        <f>IFERROR(Q186/Q446, "NA")</f>
        <v>0.02045164859</v>
      </c>
      <c r="S186" s="14"/>
      <c r="T186" s="12">
        <v>23889.88</v>
      </c>
      <c r="U186" s="13">
        <f>IFERROR(T186/T446, "NA")</f>
        <v>0.0248303478</v>
      </c>
      <c r="V186" s="14"/>
      <c r="W186" s="15">
        <f t="shared" ref="W186:W197" si="55">IFERROR(-(Q186-T186), "NA")</f>
        <v>5440.52</v>
      </c>
      <c r="X186" s="13">
        <f>IFERROR(W186/W446, "NA")</f>
        <v>-0.09063335498</v>
      </c>
      <c r="Y186" s="14"/>
      <c r="Z186" s="12">
        <v>22156.22</v>
      </c>
      <c r="AA186" s="13">
        <f>IFERROR(Z186/Z446, "NA")</f>
        <v>0.02489255474</v>
      </c>
      <c r="AB186" s="14"/>
      <c r="AC186" s="15">
        <f t="shared" ref="AC186:AC197" si="56">IFERROR(-(Q186-Z186), "NA")</f>
        <v>3706.86</v>
      </c>
      <c r="AD186" s="13">
        <f>IFERROR(AC186/AC446, "NA")</f>
        <v>0.3083320163</v>
      </c>
    </row>
    <row r="187" ht="16.5" hidden="1" customHeight="1">
      <c r="A187" s="11" t="s">
        <v>174</v>
      </c>
      <c r="B187" s="12">
        <v>0.0</v>
      </c>
      <c r="C187" s="13">
        <f>IFERROR(B187/B446, "NA")</f>
        <v>0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>
        <f>IFERROR(B188/B446, "NA")</f>
        <v>0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>
        <f>IFERROR(B189/B446, "NA")</f>
        <v>0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>
        <f>IFERROR(B190/B446, "NA")</f>
        <v>0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>
        <f>IFERROR(B191/B446, "NA")</f>
        <v>0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>
        <f>IFERROR(B192/B446, "NA")</f>
        <v>0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2185.99</v>
      </c>
      <c r="C193" s="18">
        <f>IFERROR(B193/B446, "NA")</f>
        <v>0.02074514904</v>
      </c>
      <c r="D193" s="8"/>
      <c r="E193" s="17">
        <f>IFERROR(E186+E187+E188+E189+E190+E191+E192, "NA")</f>
        <v>2538.61</v>
      </c>
      <c r="F193" s="18">
        <f>IFERROR(E193/E446, "NA")</f>
        <v>0.02369783761</v>
      </c>
      <c r="G193" s="8"/>
      <c r="H193" s="17">
        <f t="shared" si="53"/>
        <v>352.62</v>
      </c>
      <c r="I193" s="18">
        <f>IFERROR(H193/H446, "NA")</f>
        <v>-0.2014315337</v>
      </c>
      <c r="J193" s="8"/>
      <c r="K193" s="17">
        <f>IFERROR(K186+K187+K188+K189+K190+K191+K192, "NA")</f>
        <v>2337.58</v>
      </c>
      <c r="L193" s="18">
        <f>IFERROR(K193/K446, "NA")</f>
        <v>0.02369785383</v>
      </c>
      <c r="M193" s="8"/>
      <c r="N193" s="17">
        <f t="shared" si="54"/>
        <v>151.59</v>
      </c>
      <c r="O193" s="18">
        <f>IFERROR(N193/N446, "NA")</f>
        <v>0.02251598577</v>
      </c>
      <c r="P193" s="8"/>
      <c r="Q193" s="17">
        <f>IFERROR(Q186+Q187+Q188+Q189+Q190+Q191+Q192, "NA")</f>
        <v>18449.36</v>
      </c>
      <c r="R193" s="18">
        <f>IFERROR(Q193/Q446, "NA")</f>
        <v>0.02045164859</v>
      </c>
      <c r="S193" s="8"/>
      <c r="T193" s="17">
        <f>IFERROR(T186+T187+T188+T189+T190+T191+T192, "NA")</f>
        <v>23889.88</v>
      </c>
      <c r="U193" s="18">
        <f>IFERROR(T193/T446, "NA")</f>
        <v>0.0248303478</v>
      </c>
      <c r="V193" s="8"/>
      <c r="W193" s="17">
        <f t="shared" si="55"/>
        <v>5440.52</v>
      </c>
      <c r="X193" s="18">
        <f>IFERROR(W193/W446, "NA")</f>
        <v>-0.09063335498</v>
      </c>
      <c r="Y193" s="8"/>
      <c r="Z193" s="17">
        <f>IFERROR(Z186+Z187+Z188+Z189+Z190+Z191+Z192, "NA")</f>
        <v>22156.22</v>
      </c>
      <c r="AA193" s="18">
        <f>IFERROR(Z193/Z446, "NA")</f>
        <v>0.02489255474</v>
      </c>
      <c r="AB193" s="8"/>
      <c r="AC193" s="17">
        <f t="shared" si="56"/>
        <v>3706.86</v>
      </c>
      <c r="AD193" s="18">
        <f>IFERROR(AC193/AC446, "NA")</f>
        <v>0.3083320163</v>
      </c>
    </row>
    <row r="194" ht="16.5" customHeight="1">
      <c r="A194" s="11" t="s">
        <v>181</v>
      </c>
      <c r="B194" s="12">
        <v>248.0</v>
      </c>
      <c r="C194" s="13">
        <f>IFERROR(B194/B446, "NA")</f>
        <v>0.002353531792</v>
      </c>
      <c r="D194" s="14"/>
      <c r="E194" s="12">
        <v>208.11</v>
      </c>
      <c r="F194" s="13">
        <f>IFERROR(E194/E446, "NA")</f>
        <v>0.001942699739</v>
      </c>
      <c r="G194" s="14"/>
      <c r="H194" s="15">
        <f t="shared" si="53"/>
        <v>-39.89</v>
      </c>
      <c r="I194" s="13">
        <f>IFERROR(H194/H446, "NA")</f>
        <v>0.02278686371</v>
      </c>
      <c r="J194" s="14"/>
      <c r="K194" s="12">
        <v>224.0</v>
      </c>
      <c r="L194" s="13">
        <f>IFERROR(K194/K446, "NA")</f>
        <v>0.002270861001</v>
      </c>
      <c r="M194" s="14"/>
      <c r="N194" s="15">
        <f t="shared" si="54"/>
        <v>-24</v>
      </c>
      <c r="O194" s="13">
        <f>IFERROR(N194/N446, "NA")</f>
        <v>-0.003564771149</v>
      </c>
      <c r="P194" s="14"/>
      <c r="Q194" s="12">
        <v>1865.52</v>
      </c>
      <c r="R194" s="13">
        <f>IFERROR(Q194/Q446, "NA")</f>
        <v>0.002067982818</v>
      </c>
      <c r="S194" s="14"/>
      <c r="T194" s="12">
        <v>1815.78</v>
      </c>
      <c r="U194" s="13">
        <f>IFERROR(T194/T446, "NA")</f>
        <v>0.001887261423</v>
      </c>
      <c r="V194" s="14"/>
      <c r="W194" s="15">
        <f t="shared" si="55"/>
        <v>-49.74</v>
      </c>
      <c r="X194" s="13">
        <f>IFERROR(W194/W446, "NA")</f>
        <v>0.0008286162126</v>
      </c>
      <c r="Y194" s="14"/>
      <c r="Z194" s="12">
        <v>1908.0</v>
      </c>
      <c r="AA194" s="13">
        <f>IFERROR(Z194/Z446, "NA")</f>
        <v>0.00214364158</v>
      </c>
      <c r="AB194" s="14"/>
      <c r="AC194" s="15">
        <f t="shared" si="56"/>
        <v>42.48</v>
      </c>
      <c r="AD194" s="13">
        <f>IFERROR(AC194/AC446, "NA")</f>
        <v>0.003533433702</v>
      </c>
    </row>
    <row r="195" ht="16.5" customHeight="1">
      <c r="A195" s="11" t="s">
        <v>182</v>
      </c>
      <c r="B195" s="12">
        <v>735.5</v>
      </c>
      <c r="C195" s="13">
        <f>IFERROR(B195/B446, "NA")</f>
        <v>0.006979929973</v>
      </c>
      <c r="D195" s="14"/>
      <c r="E195" s="12">
        <v>227.0</v>
      </c>
      <c r="F195" s="13">
        <f>IFERROR(E195/E446, "NA")</f>
        <v>0.002119037244</v>
      </c>
      <c r="G195" s="14"/>
      <c r="H195" s="15">
        <f t="shared" si="53"/>
        <v>-508.5</v>
      </c>
      <c r="I195" s="13">
        <f>IFERROR(H195/H446, "NA")</f>
        <v>0.2904768161</v>
      </c>
      <c r="J195" s="14"/>
      <c r="K195" s="12">
        <v>249.04</v>
      </c>
      <c r="L195" s="13">
        <f>IFERROR(K195/K446, "NA")</f>
        <v>0.00252471082</v>
      </c>
      <c r="M195" s="14"/>
      <c r="N195" s="15">
        <f t="shared" si="54"/>
        <v>-486.46</v>
      </c>
      <c r="O195" s="13">
        <f>IFERROR(N195/N446, "NA")</f>
        <v>-0.07225494055</v>
      </c>
      <c r="P195" s="14"/>
      <c r="Q195" s="12">
        <v>11421.7</v>
      </c>
      <c r="R195" s="13">
        <f>IFERROR(Q195/Q446, "NA")</f>
        <v>0.01266128444</v>
      </c>
      <c r="S195" s="14"/>
      <c r="T195" s="12">
        <v>2291.9</v>
      </c>
      <c r="U195" s="13">
        <f>IFERROR(T195/T446, "NA")</f>
        <v>0.002382124737</v>
      </c>
      <c r="V195" s="14"/>
      <c r="W195" s="15">
        <f t="shared" si="55"/>
        <v>-9129.8</v>
      </c>
      <c r="X195" s="13">
        <f>IFERROR(W195/W446, "NA")</f>
        <v>0.152092889</v>
      </c>
      <c r="Y195" s="14"/>
      <c r="Z195" s="12">
        <v>2108.45</v>
      </c>
      <c r="AA195" s="13">
        <f>IFERROR(Z195/Z446, "NA")</f>
        <v>0.002368847531</v>
      </c>
      <c r="AB195" s="14"/>
      <c r="AC195" s="15">
        <f t="shared" si="56"/>
        <v>-9313.25</v>
      </c>
      <c r="AD195" s="13">
        <f>IFERROR(AC195/AC446, "NA")</f>
        <v>-0.7746645817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28162.97</v>
      </c>
      <c r="C196" s="18">
        <f>IFERROR(B196/B446, "NA")</f>
        <v>0.2672679244</v>
      </c>
      <c r="D196" s="8"/>
      <c r="E196" s="17">
        <f>IFERROR(E175+E177+E178+E179+E180+E181+E183+E184+E186+E187+E188+E189+E190+E191+E192+E194+E195, "NA")</f>
        <v>28987.84</v>
      </c>
      <c r="F196" s="18">
        <f>IFERROR(E196/E446, "NA")</f>
        <v>0.2706004959</v>
      </c>
      <c r="G196" s="8"/>
      <c r="H196" s="17">
        <f t="shared" si="53"/>
        <v>824.87</v>
      </c>
      <c r="I196" s="18">
        <f>IFERROR(H196/H446, "NA")</f>
        <v>-0.4712008089</v>
      </c>
      <c r="J196" s="8"/>
      <c r="K196" s="17">
        <f>IFERROR(K175+K177+K178+K179+K180+K181+K183+K184+K186+K187+K188+K189+K190+K191+K192+K194+K195, "NA")</f>
        <v>29170.28</v>
      </c>
      <c r="L196" s="18">
        <f>IFERROR(K196/K446, "NA")</f>
        <v>0.2957216573</v>
      </c>
      <c r="M196" s="8"/>
      <c r="N196" s="17">
        <f t="shared" si="54"/>
        <v>1007.31</v>
      </c>
      <c r="O196" s="18">
        <f>IFERROR(N196/N446, "NA")</f>
        <v>0.1496179011</v>
      </c>
      <c r="P196" s="8"/>
      <c r="Q196" s="17">
        <f>IFERROR(Q175+Q177+Q178+Q179+Q180+Q181+Q183+Q184+Q186+Q187+Q188+Q189+Q190+Q191+Q192+Q194+Q195, "NA")</f>
        <v>238182.57</v>
      </c>
      <c r="R196" s="18">
        <f>IFERROR(Q196/Q446, "NA")</f>
        <v>0.2640322603</v>
      </c>
      <c r="S196" s="8"/>
      <c r="T196" s="17">
        <f>IFERROR(T175+T177+T178+T179+T180+T181+T183+T184+T186+T187+T188+T189+T190+T191+T192+T194+T195, "NA")</f>
        <v>254970.04</v>
      </c>
      <c r="U196" s="18">
        <f>IFERROR(T196/T446, "NA")</f>
        <v>0.265007391</v>
      </c>
      <c r="V196" s="8"/>
      <c r="W196" s="17">
        <f t="shared" si="55"/>
        <v>16787.47</v>
      </c>
      <c r="X196" s="18">
        <f>IFERROR(W196/W446, "NA")</f>
        <v>-0.2796616367</v>
      </c>
      <c r="Y196" s="8"/>
      <c r="Z196" s="17">
        <f>IFERROR(Z175+Z177+Z178+Z179+Z180+Z181+Z183+Z184+Z186+Z187+Z188+Z189+Z190+Z191+Z192+Z194+Z195, "NA")</f>
        <v>247417.21</v>
      </c>
      <c r="AA196" s="18">
        <f>IFERROR(Z196/Z446, "NA")</f>
        <v>0.2779736997</v>
      </c>
      <c r="AB196" s="8"/>
      <c r="AC196" s="17">
        <f t="shared" si="56"/>
        <v>9234.64</v>
      </c>
      <c r="AD196" s="18">
        <f>IFERROR(AC196/AC446, "NA")</f>
        <v>0.7681258994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28162.97</v>
      </c>
      <c r="C197" s="18">
        <f>IFERROR(B197/B446, "NA")</f>
        <v>0.2672679244</v>
      </c>
      <c r="D197" s="8"/>
      <c r="E197" s="17">
        <f>IFERROR(E175+E177+E178+E179+E180+E181+E183+E184+E186+E187+E188+E189+E190+E191+E192+E194+E195, "NA")</f>
        <v>28987.84</v>
      </c>
      <c r="F197" s="18">
        <f>IFERROR(E197/E446, "NA")</f>
        <v>0.2706004959</v>
      </c>
      <c r="G197" s="8"/>
      <c r="H197" s="17">
        <f t="shared" si="53"/>
        <v>824.87</v>
      </c>
      <c r="I197" s="18">
        <f>IFERROR(H197/H446, "NA")</f>
        <v>-0.4712008089</v>
      </c>
      <c r="J197" s="8"/>
      <c r="K197" s="17">
        <f>IFERROR(K175+K177+K178+K179+K180+K181+K183+K184+K186+K187+K188+K189+K190+K191+K192+K194+K195, "NA")</f>
        <v>29170.28</v>
      </c>
      <c r="L197" s="18">
        <f>IFERROR(K197/K446, "NA")</f>
        <v>0.2957216573</v>
      </c>
      <c r="M197" s="8"/>
      <c r="N197" s="17">
        <f t="shared" si="54"/>
        <v>1007.31</v>
      </c>
      <c r="O197" s="18">
        <f>IFERROR(N197/N446, "NA")</f>
        <v>0.1496179011</v>
      </c>
      <c r="P197" s="8"/>
      <c r="Q197" s="17">
        <f>IFERROR(Q175+Q177+Q178+Q179+Q180+Q181+Q183+Q184+Q186+Q187+Q188+Q189+Q190+Q191+Q192+Q194+Q195, "NA")</f>
        <v>238182.57</v>
      </c>
      <c r="R197" s="18">
        <f>IFERROR(Q197/Q446, "NA")</f>
        <v>0.2640322603</v>
      </c>
      <c r="S197" s="8"/>
      <c r="T197" s="17">
        <f>IFERROR(T175+T177+T178+T179+T180+T181+T183+T184+T186+T187+T188+T189+T190+T191+T192+T194+T195, "NA")</f>
        <v>254970.04</v>
      </c>
      <c r="U197" s="18">
        <f>IFERROR(T197/T446, "NA")</f>
        <v>0.265007391</v>
      </c>
      <c r="V197" s="8"/>
      <c r="W197" s="17">
        <f t="shared" si="55"/>
        <v>16787.47</v>
      </c>
      <c r="X197" s="18">
        <f>IFERROR(W197/W446, "NA")</f>
        <v>-0.2796616367</v>
      </c>
      <c r="Y197" s="8"/>
      <c r="Z197" s="17">
        <f>IFERROR(Z175+Z177+Z178+Z179+Z180+Z181+Z183+Z184+Z186+Z187+Z188+Z189+Z190+Z191+Z192+Z194+Z195, "NA")</f>
        <v>247417.21</v>
      </c>
      <c r="AA197" s="18">
        <f>IFERROR(Z197/Z446, "NA")</f>
        <v>0.2779736997</v>
      </c>
      <c r="AB197" s="8"/>
      <c r="AC197" s="17">
        <f t="shared" si="56"/>
        <v>9234.64</v>
      </c>
      <c r="AD197" s="18">
        <f>IFERROR(AC197/AC446, "NA")</f>
        <v>0.7681258994</v>
      </c>
    </row>
    <row r="198" ht="16.5" customHeight="1">
      <c r="A198" s="19" t="s">
        <v>184</v>
      </c>
      <c r="B198" s="20">
        <f>IFERROR(B172-B197, "NA")</f>
        <v>48315.61</v>
      </c>
      <c r="C198" s="21">
        <f>IFERROR(B198/B446, "NA")</f>
        <v>0.4585174363</v>
      </c>
      <c r="D198" s="22"/>
      <c r="E198" s="20">
        <f>IFERROR(E172-E197, "NA")</f>
        <v>49534.14</v>
      </c>
      <c r="F198" s="21">
        <f>IFERROR(E198/E446, "NA")</f>
        <v>0.4623995044</v>
      </c>
      <c r="G198" s="22"/>
      <c r="H198" s="20">
        <f>IFERROR(B198-E198, "NA")</f>
        <v>-1218.53</v>
      </c>
      <c r="I198" s="21">
        <f>IFERROR(H198/H446, "NA")</f>
        <v>0.6960761352</v>
      </c>
      <c r="J198" s="22"/>
      <c r="K198" s="20">
        <f>IFERROR(K172-K197, "NA")</f>
        <v>41635.6</v>
      </c>
      <c r="L198" s="21">
        <f>IFERROR(K198/K446, "NA")</f>
        <v>0.4220922335</v>
      </c>
      <c r="M198" s="22"/>
      <c r="N198" s="20">
        <f>IFERROR(B198-K198, "NA")</f>
        <v>6680.01</v>
      </c>
      <c r="O198" s="21">
        <f>IFERROR(N198/N446, "NA")</f>
        <v>0.9921961218</v>
      </c>
      <c r="P198" s="22"/>
      <c r="Q198" s="20">
        <f>IFERROR(Q172-Q197, "NA")</f>
        <v>412316.1</v>
      </c>
      <c r="R198" s="21">
        <f>IFERROR(Q198/Q446, "NA")</f>
        <v>0.4570643093</v>
      </c>
      <c r="S198" s="22"/>
      <c r="T198" s="20">
        <f>IFERROR(T172-T197, "NA")</f>
        <v>449434.83</v>
      </c>
      <c r="U198" s="21">
        <f>IFERROR(T198/T446, "NA")</f>
        <v>0.4671276348</v>
      </c>
      <c r="V198" s="22"/>
      <c r="W198" s="20">
        <f>IFERROR(Q198-T198, "NA")</f>
        <v>-37118.73</v>
      </c>
      <c r="X198" s="21">
        <f>IFERROR(W198/W446, "NA")</f>
        <v>0.6183590967</v>
      </c>
      <c r="Y198" s="22"/>
      <c r="Z198" s="20">
        <f>IFERROR(Z172-Z197, "NA")</f>
        <v>383355.24</v>
      </c>
      <c r="AA198" s="21">
        <f>IFERROR(Z198/Z446, "NA")</f>
        <v>0.4307003314</v>
      </c>
      <c r="AB198" s="22"/>
      <c r="AC198" s="20">
        <f>IFERROR(Q198-Z198, "NA")</f>
        <v>28960.86</v>
      </c>
      <c r="AD198" s="21">
        <f>IFERROR(AC198/AC446, "NA")</f>
        <v>2.408928408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>
        <f>IFERROR(B201/B446, "NA")</f>
        <v>0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1200.45</v>
      </c>
      <c r="C202" s="13">
        <f>IFERROR(B202/B446, "NA")</f>
        <v>0.01139232758</v>
      </c>
      <c r="D202" s="14"/>
      <c r="E202" s="12">
        <v>964.12</v>
      </c>
      <c r="F202" s="13">
        <f>IFERROR(E202/E446, "NA")</f>
        <v>0.009000027258</v>
      </c>
      <c r="G202" s="14"/>
      <c r="H202" s="15">
        <f t="shared" si="57"/>
        <v>-236.33</v>
      </c>
      <c r="I202" s="13">
        <f>IFERROR(H202/H446, "NA")</f>
        <v>0.1350017423</v>
      </c>
      <c r="J202" s="14"/>
      <c r="K202" s="12">
        <v>1612.87</v>
      </c>
      <c r="L202" s="13">
        <f>IFERROR(K202/K446, "NA")</f>
        <v>0.01635090885</v>
      </c>
      <c r="M202" s="14"/>
      <c r="N202" s="15">
        <f t="shared" si="58"/>
        <v>412.42</v>
      </c>
      <c r="O202" s="13">
        <f>IFERROR(N202/N446, "NA")</f>
        <v>0.06125762155</v>
      </c>
      <c r="P202" s="14"/>
      <c r="Q202" s="12">
        <v>10847.6</v>
      </c>
      <c r="R202" s="13">
        <f>IFERROR(Q202/Q446, "NA")</f>
        <v>0.012024878</v>
      </c>
      <c r="S202" s="14"/>
      <c r="T202" s="12">
        <v>8659.12</v>
      </c>
      <c r="U202" s="13">
        <f>IFERROR(T202/T446, "NA")</f>
        <v>0.009000001725</v>
      </c>
      <c r="V202" s="14"/>
      <c r="W202" s="15">
        <f t="shared" si="59"/>
        <v>-2188.48</v>
      </c>
      <c r="X202" s="13">
        <f>IFERROR(W202/W446, "NA")</f>
        <v>0.03645778064</v>
      </c>
      <c r="Y202" s="14"/>
      <c r="Z202" s="12">
        <v>13185.98</v>
      </c>
      <c r="AA202" s="13">
        <f>IFERROR(Z202/Z446, "NA")</f>
        <v>0.01481447327</v>
      </c>
      <c r="AB202" s="14"/>
      <c r="AC202" s="15">
        <f t="shared" si="60"/>
        <v>2338.38</v>
      </c>
      <c r="AD202" s="13">
        <f>IFERROR(AC202/AC446, "NA")</f>
        <v>0.1945035476</v>
      </c>
    </row>
    <row r="203" ht="16.5" customHeight="1">
      <c r="A203" s="11" t="s">
        <v>188</v>
      </c>
      <c r="B203" s="12">
        <v>521.8</v>
      </c>
      <c r="C203" s="13">
        <f>IFERROR(B203/B446, "NA")</f>
        <v>0.004951906812</v>
      </c>
      <c r="D203" s="14"/>
      <c r="E203" s="12">
        <v>642.74</v>
      </c>
      <c r="F203" s="13">
        <f>IFERROR(E203/E446, "NA")</f>
        <v>0.005999955939</v>
      </c>
      <c r="G203" s="14"/>
      <c r="H203" s="15">
        <f t="shared" si="57"/>
        <v>120.94</v>
      </c>
      <c r="I203" s="13">
        <f>IFERROR(H203/H446, "NA")</f>
        <v>-0.06908606911</v>
      </c>
      <c r="J203" s="14"/>
      <c r="K203" s="12">
        <v>669.53</v>
      </c>
      <c r="L203" s="13">
        <f>IFERROR(K203/K446, "NA")</f>
        <v>0.006787542705</v>
      </c>
      <c r="M203" s="14"/>
      <c r="N203" s="15">
        <f t="shared" si="58"/>
        <v>147.73</v>
      </c>
      <c r="O203" s="13">
        <f>IFERROR(N203/N446, "NA")</f>
        <v>0.02194265174</v>
      </c>
      <c r="P203" s="14"/>
      <c r="Q203" s="12">
        <v>6867.56</v>
      </c>
      <c r="R203" s="13">
        <f>IFERROR(Q203/Q446, "NA")</f>
        <v>0.007612888675</v>
      </c>
      <c r="S203" s="14"/>
      <c r="T203" s="12">
        <v>5772.74</v>
      </c>
      <c r="U203" s="13">
        <f>IFERROR(T203/T446, "NA")</f>
        <v>0.005999994221</v>
      </c>
      <c r="V203" s="14"/>
      <c r="W203" s="15">
        <f t="shared" si="59"/>
        <v>-1094.82</v>
      </c>
      <c r="X203" s="13">
        <f>IFERROR(W203/W446, "NA")</f>
        <v>0.01823855251</v>
      </c>
      <c r="Y203" s="14"/>
      <c r="Z203" s="12">
        <v>7271.79</v>
      </c>
      <c r="AA203" s="13">
        <f>IFERROR(Z203/Z446, "NA")</f>
        <v>0.008169869709</v>
      </c>
      <c r="AB203" s="14"/>
      <c r="AC203" s="15">
        <f t="shared" si="60"/>
        <v>404.23</v>
      </c>
      <c r="AD203" s="13">
        <f>IFERROR(AC203/AC446, "NA")</f>
        <v>0.03362334994</v>
      </c>
    </row>
    <row r="204" ht="16.5" customHeight="1">
      <c r="A204" s="11" t="s">
        <v>189</v>
      </c>
      <c r="B204" s="12">
        <v>69.01</v>
      </c>
      <c r="C204" s="13">
        <f>IFERROR(B204/B446, "NA")</f>
        <v>0.0006549081814</v>
      </c>
      <c r="D204" s="14"/>
      <c r="E204" s="12">
        <v>214.25</v>
      </c>
      <c r="F204" s="13">
        <f>IFERROR(E204/E446, "NA")</f>
        <v>0.00200001643</v>
      </c>
      <c r="G204" s="14"/>
      <c r="H204" s="15">
        <f t="shared" si="57"/>
        <v>145.24</v>
      </c>
      <c r="I204" s="13">
        <f>IFERROR(H204/H446, "NA")</f>
        <v>-0.08296726209</v>
      </c>
      <c r="J204" s="14"/>
      <c r="K204" s="12">
        <v>380.68</v>
      </c>
      <c r="L204" s="13">
        <f>IFERROR(K204/K446, "NA")</f>
        <v>0.003859247169</v>
      </c>
      <c r="M204" s="14"/>
      <c r="N204" s="15">
        <f t="shared" si="58"/>
        <v>311.67</v>
      </c>
      <c r="O204" s="13">
        <f>IFERROR(N204/N446, "NA")</f>
        <v>0.04629300934</v>
      </c>
      <c r="P204" s="14"/>
      <c r="Q204" s="12">
        <v>1410.54</v>
      </c>
      <c r="R204" s="13">
        <f>IFERROR(Q204/Q446, "NA")</f>
        <v>0.001563624343</v>
      </c>
      <c r="S204" s="14"/>
      <c r="T204" s="12">
        <v>1924.26</v>
      </c>
      <c r="U204" s="13">
        <f>IFERROR(T204/T446, "NA")</f>
        <v>0.002000011932</v>
      </c>
      <c r="V204" s="14"/>
      <c r="W204" s="15">
        <f t="shared" si="59"/>
        <v>513.72</v>
      </c>
      <c r="X204" s="13">
        <f>IFERROR(W204/W446, "NA")</f>
        <v>-0.008558036203</v>
      </c>
      <c r="Y204" s="14"/>
      <c r="Z204" s="12">
        <v>2184.37</v>
      </c>
      <c r="AA204" s="13">
        <f>IFERROR(Z204/Z446, "NA")</f>
        <v>0.002454143793</v>
      </c>
      <c r="AB204" s="14"/>
      <c r="AC204" s="15">
        <f t="shared" si="60"/>
        <v>773.83</v>
      </c>
      <c r="AD204" s="13">
        <f>IFERROR(AC204/AC446, "NA")</f>
        <v>0.06436621944</v>
      </c>
    </row>
    <row r="205" ht="16.5" customHeight="1">
      <c r="A205" s="11" t="s">
        <v>190</v>
      </c>
      <c r="B205" s="12">
        <v>437.43</v>
      </c>
      <c r="C205" s="13">
        <f>IFERROR(B205/B446, "NA")</f>
        <v>0.0041512315</v>
      </c>
      <c r="D205" s="14"/>
      <c r="E205" s="12">
        <v>321.37</v>
      </c>
      <c r="F205" s="13">
        <f>IFERROR(E205/E446, "NA")</f>
        <v>0.002999977969</v>
      </c>
      <c r="G205" s="14"/>
      <c r="H205" s="15">
        <f t="shared" si="57"/>
        <v>-116.06</v>
      </c>
      <c r="I205" s="13">
        <f>IFERROR(H205/H446, "NA")</f>
        <v>0.06629840566</v>
      </c>
      <c r="J205" s="14"/>
      <c r="K205" s="12">
        <v>221.19</v>
      </c>
      <c r="L205" s="13">
        <f>IFERROR(K205/K446, "NA")</f>
        <v>0.002242373861</v>
      </c>
      <c r="M205" s="14"/>
      <c r="N205" s="15">
        <f t="shared" si="58"/>
        <v>-216.24</v>
      </c>
      <c r="O205" s="13">
        <f>IFERROR(N205/N446, "NA")</f>
        <v>-0.03211858805</v>
      </c>
      <c r="P205" s="14"/>
      <c r="Q205" s="12">
        <v>2152.3</v>
      </c>
      <c r="R205" s="13">
        <f>IFERROR(Q205/Q446, "NA")</f>
        <v>0.002385886733</v>
      </c>
      <c r="S205" s="14"/>
      <c r="T205" s="12">
        <v>2886.36</v>
      </c>
      <c r="U205" s="13">
        <f>IFERROR(T205/T446, "NA")</f>
        <v>0.002999986717</v>
      </c>
      <c r="V205" s="14"/>
      <c r="W205" s="15">
        <f t="shared" si="59"/>
        <v>734.06</v>
      </c>
      <c r="X205" s="13">
        <f>IFERROR(W205/W446, "NA")</f>
        <v>-0.01222866942</v>
      </c>
      <c r="Y205" s="14"/>
      <c r="Z205" s="12">
        <v>1908.37</v>
      </c>
      <c r="AA205" s="13">
        <f>IFERROR(Z205/Z446, "NA")</f>
        <v>0.002144057276</v>
      </c>
      <c r="AB205" s="14"/>
      <c r="AC205" s="15">
        <f t="shared" si="60"/>
        <v>-243.93</v>
      </c>
      <c r="AD205" s="13">
        <f>IFERROR(AC205/AC446, "NA")</f>
        <v>-0.0202897948</v>
      </c>
    </row>
    <row r="206" ht="16.5" customHeight="1">
      <c r="A206" s="11" t="s">
        <v>191</v>
      </c>
      <c r="B206" s="12">
        <v>0.0</v>
      </c>
      <c r="C206" s="13">
        <f>IFERROR(B206/B446, "NA")</f>
        <v>0</v>
      </c>
      <c r="D206" s="14"/>
      <c r="E206" s="12">
        <v>107.12</v>
      </c>
      <c r="F206" s="13">
        <f>IFERROR(E206/E446, "NA")</f>
        <v>0.0009999615399</v>
      </c>
      <c r="G206" s="14"/>
      <c r="H206" s="15">
        <f t="shared" si="57"/>
        <v>107.12</v>
      </c>
      <c r="I206" s="13">
        <f>IFERROR(H206/H446, "NA")</f>
        <v>-0.06119149763</v>
      </c>
      <c r="J206" s="14"/>
      <c r="K206" s="12">
        <v>0.0</v>
      </c>
      <c r="L206" s="13">
        <f>IFERROR(K206/K446, "NA")</f>
        <v>0</v>
      </c>
      <c r="M206" s="14"/>
      <c r="N206" s="15">
        <f t="shared" si="58"/>
        <v>0</v>
      </c>
      <c r="O206" s="13">
        <f>IFERROR(N206/N446, "NA")</f>
        <v>0</v>
      </c>
      <c r="P206" s="14"/>
      <c r="Q206" s="12">
        <v>298.62</v>
      </c>
      <c r="R206" s="13">
        <f>IFERROR(Q206/Q446, "NA")</f>
        <v>0.0003310288976</v>
      </c>
      <c r="S206" s="14"/>
      <c r="T206" s="12">
        <v>962.11</v>
      </c>
      <c r="U206" s="13">
        <f>IFERROR(T206/T446, "NA")</f>
        <v>0.0009999851786</v>
      </c>
      <c r="V206" s="14"/>
      <c r="W206" s="15">
        <f t="shared" si="59"/>
        <v>663.49</v>
      </c>
      <c r="X206" s="13">
        <f>IFERROR(W206/W446, "NA")</f>
        <v>-0.01105304726</v>
      </c>
      <c r="Y206" s="14"/>
      <c r="Z206" s="12">
        <v>1400.97</v>
      </c>
      <c r="AA206" s="13">
        <f>IFERROR(Z206/Z446, "NA")</f>
        <v>0.001573992424</v>
      </c>
      <c r="AB206" s="14"/>
      <c r="AC206" s="15">
        <f t="shared" si="60"/>
        <v>1102.35</v>
      </c>
      <c r="AD206" s="13">
        <f>IFERROR(AC206/AC446, "NA")</f>
        <v>0.0916921055</v>
      </c>
    </row>
    <row r="207" ht="16.5" customHeight="1">
      <c r="A207" s="11" t="s">
        <v>192</v>
      </c>
      <c r="B207" s="12">
        <v>0.0</v>
      </c>
      <c r="C207" s="13">
        <f>IFERROR(B207/B446, "NA")</f>
        <v>0</v>
      </c>
      <c r="D207" s="14"/>
      <c r="E207" s="12">
        <v>100.0</v>
      </c>
      <c r="F207" s="13">
        <f>IFERROR(E207/E446, "NA")</f>
        <v>0.0009334965832</v>
      </c>
      <c r="G207" s="14"/>
      <c r="H207" s="15">
        <f t="shared" si="57"/>
        <v>100</v>
      </c>
      <c r="I207" s="13">
        <f>IFERROR(H207/H446, "NA")</f>
        <v>-0.05712425096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747.76</v>
      </c>
      <c r="R207" s="13">
        <f>IFERROR(Q207/Q446, "NA")</f>
        <v>0.000828913564</v>
      </c>
      <c r="S207" s="14"/>
      <c r="T207" s="12">
        <v>800.0</v>
      </c>
      <c r="U207" s="13">
        <f>IFERROR(T207/T446, "NA")</f>
        <v>0.0008314934289</v>
      </c>
      <c r="V207" s="14"/>
      <c r="W207" s="15">
        <f t="shared" si="59"/>
        <v>52.24</v>
      </c>
      <c r="X207" s="13">
        <f>IFERROR(W207/W446, "NA")</f>
        <v>-0.0008702635896</v>
      </c>
      <c r="Y207" s="14"/>
      <c r="Z207" s="12">
        <v>762.98</v>
      </c>
      <c r="AA207" s="13">
        <f>IFERROR(Z207/Z446, "NA")</f>
        <v>0.0008572094615</v>
      </c>
      <c r="AB207" s="14"/>
      <c r="AC207" s="15">
        <f t="shared" si="60"/>
        <v>15.22</v>
      </c>
      <c r="AD207" s="13">
        <f>IFERROR(AC207/AC446, "NA")</f>
        <v>0.001265980719</v>
      </c>
    </row>
    <row r="208" ht="16.5" customHeight="1">
      <c r="A208" s="11" t="s">
        <v>193</v>
      </c>
      <c r="B208" s="12">
        <v>11.2</v>
      </c>
      <c r="C208" s="13">
        <f>IFERROR(B208/B446, "NA")</f>
        <v>0.0001062885326</v>
      </c>
      <c r="D208" s="14"/>
      <c r="E208" s="12">
        <v>100.0</v>
      </c>
      <c r="F208" s="13">
        <f>IFERROR(E208/E446, "NA")</f>
        <v>0.0009334965832</v>
      </c>
      <c r="G208" s="14"/>
      <c r="H208" s="15">
        <f t="shared" si="57"/>
        <v>88.8</v>
      </c>
      <c r="I208" s="13">
        <f>IFERROR(H208/H446, "NA")</f>
        <v>-0.05072633485</v>
      </c>
      <c r="J208" s="14"/>
      <c r="K208" s="12">
        <v>240.82</v>
      </c>
      <c r="L208" s="13">
        <f>IFERROR(K208/K446, "NA")</f>
        <v>0.002441378332</v>
      </c>
      <c r="M208" s="14"/>
      <c r="N208" s="15">
        <f t="shared" si="58"/>
        <v>229.62</v>
      </c>
      <c r="O208" s="13">
        <f>IFERROR(N208/N446, "NA")</f>
        <v>0.03410594797</v>
      </c>
      <c r="P208" s="14"/>
      <c r="Q208" s="12">
        <v>617.34</v>
      </c>
      <c r="R208" s="13">
        <f>IFERROR(Q208/Q446, "NA")</f>
        <v>0.0006843392259</v>
      </c>
      <c r="S208" s="14"/>
      <c r="T208" s="12">
        <v>800.0</v>
      </c>
      <c r="U208" s="13">
        <f>IFERROR(T208/T446, "NA")</f>
        <v>0.0008314934289</v>
      </c>
      <c r="V208" s="14"/>
      <c r="W208" s="15">
        <f t="shared" si="59"/>
        <v>182.66</v>
      </c>
      <c r="X208" s="13">
        <f>IFERROR(W208/W446, "NA")</f>
        <v>-0.003042923952</v>
      </c>
      <c r="Y208" s="14"/>
      <c r="Z208" s="12">
        <v>1120.46</v>
      </c>
      <c r="AA208" s="13">
        <f>IFERROR(Z208/Z446, "NA")</f>
        <v>0.001258838912</v>
      </c>
      <c r="AB208" s="14"/>
      <c r="AC208" s="15">
        <f t="shared" si="60"/>
        <v>503.12</v>
      </c>
      <c r="AD208" s="13">
        <f>IFERROR(AC208/AC446, "NA")</f>
        <v>0.04184889747</v>
      </c>
    </row>
    <row r="209" ht="16.5" customHeight="1">
      <c r="A209" s="16" t="s">
        <v>194</v>
      </c>
      <c r="B209" s="17">
        <f>IFERROR(B201+B202+B203+B204+B205+B206+B207+B208, "NA")</f>
        <v>2239.89</v>
      </c>
      <c r="C209" s="18">
        <f>IFERROR(B209/B446, "NA")</f>
        <v>0.02125666261</v>
      </c>
      <c r="D209" s="8"/>
      <c r="E209" s="17">
        <f>IFERROR(E201+E202+E203+E204+E205+E206+E207+E208, "NA")</f>
        <v>2449.6</v>
      </c>
      <c r="F209" s="18">
        <f>IFERROR(E209/E446, "NA")</f>
        <v>0.0228669323</v>
      </c>
      <c r="G209" s="8"/>
      <c r="H209" s="17">
        <f t="shared" si="57"/>
        <v>209.71</v>
      </c>
      <c r="I209" s="18">
        <f>IFERROR(H209/H446, "NA")</f>
        <v>-0.1197952667</v>
      </c>
      <c r="J209" s="8"/>
      <c r="K209" s="17">
        <f>IFERROR(K201+K202+K203+K204+K205+K206+K207+K208, "NA")</f>
        <v>3125.09</v>
      </c>
      <c r="L209" s="18">
        <f>IFERROR(K209/K446, "NA")</f>
        <v>0.03168145092</v>
      </c>
      <c r="M209" s="8"/>
      <c r="N209" s="17">
        <f t="shared" si="58"/>
        <v>885.2</v>
      </c>
      <c r="O209" s="18">
        <f>IFERROR(N209/N446, "NA")</f>
        <v>0.1314806426</v>
      </c>
      <c r="P209" s="8"/>
      <c r="Q209" s="17">
        <f>IFERROR(Q201+Q202+Q203+Q204+Q205+Q206+Q207+Q208, "NA")</f>
        <v>22941.72</v>
      </c>
      <c r="R209" s="18">
        <f>IFERROR(Q209/Q446, "NA")</f>
        <v>0.02543155944</v>
      </c>
      <c r="S209" s="8"/>
      <c r="T209" s="17">
        <f>IFERROR(T201+T202+T203+T204+T205+T206+T207+T208, "NA")</f>
        <v>21804.59</v>
      </c>
      <c r="U209" s="18">
        <f>IFERROR(T209/T446, "NA")</f>
        <v>0.02266296663</v>
      </c>
      <c r="V209" s="8"/>
      <c r="W209" s="17">
        <f t="shared" si="59"/>
        <v>-1137.13</v>
      </c>
      <c r="X209" s="18">
        <f>IFERROR(W209/W446, "NA")</f>
        <v>0.01894339272</v>
      </c>
      <c r="Y209" s="8"/>
      <c r="Z209" s="17">
        <f>IFERROR(Z201+Z202+Z203+Z204+Z205+Z206+Z207+Z208, "NA")</f>
        <v>27834.92</v>
      </c>
      <c r="AA209" s="18">
        <f>IFERROR(Z209/Z446, "NA")</f>
        <v>0.03127258485</v>
      </c>
      <c r="AB209" s="8"/>
      <c r="AC209" s="17">
        <f t="shared" si="60"/>
        <v>4893.2</v>
      </c>
      <c r="AD209" s="18">
        <f>IFERROR(AC209/AC446, "NA")</f>
        <v>0.4070103058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>
        <f>IFERROR(B211/B446, "NA")</f>
        <v>0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>
        <f>IFERROR(B213/B446, "NA")</f>
        <v>0</v>
      </c>
      <c r="D213" s="14"/>
      <c r="E213" s="12">
        <v>3106.6</v>
      </c>
      <c r="F213" s="13">
        <f>IFERROR(E213/E446, "NA")</f>
        <v>0.02900000485</v>
      </c>
      <c r="G213" s="14"/>
      <c r="H213" s="15">
        <f t="shared" ref="H213:H227" si="61">IFERROR(-(B213-E213), "NA")</f>
        <v>3106.6</v>
      </c>
      <c r="I213" s="13">
        <f>IFERROR(H213/H446, "NA")</f>
        <v>-1.77462198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27901.6</v>
      </c>
      <c r="U213" s="13">
        <f>IFERROR(T213/T446, "NA")</f>
        <v>0.02899999632</v>
      </c>
      <c r="V213" s="14"/>
      <c r="W213" s="15">
        <f t="shared" ref="W213:W227" si="63">IFERROR(-(Q213-T213), "NA")</f>
        <v>27901.6</v>
      </c>
      <c r="X213" s="13">
        <f>IFERROR(W213/W446, "NA")</f>
        <v>-0.4648113815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3302.87</v>
      </c>
      <c r="C214" s="13">
        <f>IFERROR(B214/B446, "NA")</f>
        <v>0.03134439335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-3302.87</v>
      </c>
      <c r="I214" s="13">
        <f>IFERROR(H214/H446, "NA")</f>
        <v>1.886739748</v>
      </c>
      <c r="J214" s="14"/>
      <c r="K214" s="12">
        <v>414.83</v>
      </c>
      <c r="L214" s="13">
        <f>IFERROR(K214/K446, "NA")</f>
        <v>0.004205452094</v>
      </c>
      <c r="M214" s="14"/>
      <c r="N214" s="15">
        <f t="shared" si="62"/>
        <v>-2888.04</v>
      </c>
      <c r="O214" s="13">
        <f>IFERROR(N214/N446, "NA")</f>
        <v>-0.4289667362</v>
      </c>
      <c r="P214" s="14"/>
      <c r="Q214" s="12">
        <v>10803.14</v>
      </c>
      <c r="R214" s="13">
        <f>IFERROR(Q214/Q446, "NA")</f>
        <v>0.01197559281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-10803.14</v>
      </c>
      <c r="X214" s="13">
        <f>IFERROR(W214/W446, "NA")</f>
        <v>0.1799689777</v>
      </c>
      <c r="Y214" s="14"/>
      <c r="Z214" s="12">
        <v>15813.48</v>
      </c>
      <c r="AA214" s="13">
        <f>IFERROR(Z214/Z446, "NA")</f>
        <v>0.01776647445</v>
      </c>
      <c r="AB214" s="14"/>
      <c r="AC214" s="15">
        <f t="shared" si="64"/>
        <v>5010.34</v>
      </c>
      <c r="AD214" s="13">
        <f>IFERROR(AC214/AC446, "NA")</f>
        <v>0.4167538657</v>
      </c>
    </row>
    <row r="215" ht="16.5" customHeight="1">
      <c r="A215" s="11" t="s">
        <v>198</v>
      </c>
      <c r="B215" s="12">
        <v>140.86</v>
      </c>
      <c r="C215" s="13">
        <f>IFERROR(B215/B446, "NA")</f>
        <v>0.001336768098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-140.86</v>
      </c>
      <c r="I215" s="13">
        <f>IFERROR(H215/H446, "NA")</f>
        <v>0.0804652199</v>
      </c>
      <c r="J215" s="14"/>
      <c r="K215" s="12">
        <v>160.71</v>
      </c>
      <c r="L215" s="13">
        <f>IFERROR(K215/K446, "NA")</f>
        <v>0.00162924139</v>
      </c>
      <c r="M215" s="14"/>
      <c r="N215" s="15">
        <f t="shared" si="62"/>
        <v>19.85</v>
      </c>
      <c r="O215" s="13">
        <f>IFERROR(N215/N446, "NA")</f>
        <v>0.002948362805</v>
      </c>
      <c r="P215" s="14"/>
      <c r="Q215" s="12">
        <v>2271.23</v>
      </c>
      <c r="R215" s="13">
        <f>IFERROR(Q215/Q446, "NA")</f>
        <v>0.002517724074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-2271.23</v>
      </c>
      <c r="X215" s="13">
        <f>IFERROR(W215/W446, "NA")</f>
        <v>0.03783630882</v>
      </c>
      <c r="Y215" s="14"/>
      <c r="Z215" s="12">
        <v>326.67</v>
      </c>
      <c r="AA215" s="13">
        <f>IFERROR(Z215/Z446, "NA")</f>
        <v>0.0003670143579</v>
      </c>
      <c r="AB215" s="14"/>
      <c r="AC215" s="15">
        <f t="shared" si="64"/>
        <v>-1944.56</v>
      </c>
      <c r="AD215" s="13">
        <f>IFERROR(AC215/AC446, "NA")</f>
        <v>-0.1617460885</v>
      </c>
    </row>
    <row r="216" ht="16.5" customHeight="1">
      <c r="A216" s="11" t="s">
        <v>199</v>
      </c>
      <c r="B216" s="12">
        <v>20.0</v>
      </c>
      <c r="C216" s="13">
        <f>IFERROR(B216/B446, "NA")</f>
        <v>0.000189800951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-20</v>
      </c>
      <c r="I216" s="13">
        <f>IFERROR(H216/H446, "NA")</f>
        <v>0.01142485019</v>
      </c>
      <c r="J216" s="14"/>
      <c r="K216" s="12">
        <v>0.0</v>
      </c>
      <c r="L216" s="13">
        <f>IFERROR(K216/K446, "NA")</f>
        <v>0</v>
      </c>
      <c r="M216" s="14"/>
      <c r="N216" s="15">
        <f t="shared" si="62"/>
        <v>-20</v>
      </c>
      <c r="O216" s="13">
        <f>IFERROR(N216/N446, "NA")</f>
        <v>-0.002970642624</v>
      </c>
      <c r="P216" s="14"/>
      <c r="Q216" s="12">
        <v>255.0</v>
      </c>
      <c r="R216" s="13">
        <f>IFERROR(Q216/Q446, "NA")</f>
        <v>0.0002826748674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-255</v>
      </c>
      <c r="X216" s="13">
        <f>IFERROR(W216/W446, "NA")</f>
        <v>0.004248032453</v>
      </c>
      <c r="Y216" s="14"/>
      <c r="Z216" s="12">
        <v>2.41</v>
      </c>
      <c r="AA216" s="13">
        <f>IFERROR(Z216/Z446, "NA")</f>
        <v>0.000002707639522</v>
      </c>
      <c r="AB216" s="14"/>
      <c r="AC216" s="15">
        <f t="shared" si="64"/>
        <v>-252.59</v>
      </c>
      <c r="AD216" s="13">
        <f>IFERROR(AC216/AC446, "NA")</f>
        <v>-0.02101012286</v>
      </c>
    </row>
    <row r="217" ht="16.5" customHeight="1">
      <c r="A217" s="11" t="s">
        <v>200</v>
      </c>
      <c r="B217" s="12">
        <v>1971.04</v>
      </c>
      <c r="C217" s="13">
        <f>IFERROR(B217/B446, "NA")</f>
        <v>0.01870526332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-1971.04</v>
      </c>
      <c r="I217" s="13">
        <f>IFERROR(H217/H446, "NA")</f>
        <v>1.125941836</v>
      </c>
      <c r="J217" s="14"/>
      <c r="K217" s="12">
        <v>215.49</v>
      </c>
      <c r="L217" s="13">
        <f>IFERROR(K217/K446, "NA")</f>
        <v>0.002184588559</v>
      </c>
      <c r="M217" s="14"/>
      <c r="N217" s="15">
        <f t="shared" si="62"/>
        <v>-1755.55</v>
      </c>
      <c r="O217" s="13">
        <f>IFERROR(N217/N446, "NA")</f>
        <v>-0.260755583</v>
      </c>
      <c r="P217" s="14"/>
      <c r="Q217" s="12">
        <v>16019.11</v>
      </c>
      <c r="R217" s="13">
        <f>IFERROR(Q217/Q446, "NA")</f>
        <v>0.01775764625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-16019.11</v>
      </c>
      <c r="X217" s="13">
        <f>IFERROR(W217/W446, "NA")</f>
        <v>0.2668615653</v>
      </c>
      <c r="Y217" s="14"/>
      <c r="Z217" s="12">
        <v>12559.72</v>
      </c>
      <c r="AA217" s="13">
        <f>IFERROR(Z217/Z446, "NA")</f>
        <v>0.01411086899</v>
      </c>
      <c r="AB217" s="14"/>
      <c r="AC217" s="15">
        <f t="shared" si="64"/>
        <v>-3459.39</v>
      </c>
      <c r="AD217" s="13">
        <f>IFERROR(AC217/AC446, "NA")</f>
        <v>-0.2877477687</v>
      </c>
    </row>
    <row r="218" ht="16.5" customHeight="1">
      <c r="A218" s="16" t="s">
        <v>201</v>
      </c>
      <c r="B218" s="17">
        <f>IFERROR(B213+B214+B215+B216+B217, "NA")</f>
        <v>5434.77</v>
      </c>
      <c r="C218" s="18">
        <f>IFERROR(B218/B446, "NA")</f>
        <v>0.05157622572</v>
      </c>
      <c r="D218" s="8"/>
      <c r="E218" s="17">
        <f>IFERROR(E213+E214+E215+E216+E217, "NA")</f>
        <v>3106.6</v>
      </c>
      <c r="F218" s="18">
        <f>IFERROR(E218/E446, "NA")</f>
        <v>0.02900000485</v>
      </c>
      <c r="G218" s="8"/>
      <c r="H218" s="17">
        <f t="shared" si="61"/>
        <v>-2328.17</v>
      </c>
      <c r="I218" s="18">
        <f>IFERROR(H218/H446, "NA")</f>
        <v>1.329949674</v>
      </c>
      <c r="J218" s="8"/>
      <c r="K218" s="17">
        <f>IFERROR(K213+K214+K215+K216+K217, "NA")</f>
        <v>791.03</v>
      </c>
      <c r="L218" s="18">
        <f>IFERROR(K218/K446, "NA")</f>
        <v>0.008019282043</v>
      </c>
      <c r="M218" s="8"/>
      <c r="N218" s="17">
        <f t="shared" si="62"/>
        <v>-4643.74</v>
      </c>
      <c r="O218" s="18">
        <f>IFERROR(N218/N446, "NA")</f>
        <v>-0.689744599</v>
      </c>
      <c r="P218" s="8"/>
      <c r="Q218" s="17">
        <f>IFERROR(Q213+Q214+Q215+Q216+Q217, "NA")</f>
        <v>29348.48</v>
      </c>
      <c r="R218" s="18">
        <f>IFERROR(Q218/Q446, "NA")</f>
        <v>0.032533638</v>
      </c>
      <c r="S218" s="8"/>
      <c r="T218" s="17">
        <f>IFERROR(T213+T214+T215+T216+T217, "NA")</f>
        <v>27901.6</v>
      </c>
      <c r="U218" s="18">
        <f>IFERROR(T218/T446, "NA")</f>
        <v>0.02899999632</v>
      </c>
      <c r="V218" s="8"/>
      <c r="W218" s="17">
        <f t="shared" si="63"/>
        <v>-1446.88</v>
      </c>
      <c r="X218" s="18">
        <f>IFERROR(W218/W446, "NA")</f>
        <v>0.02410350273</v>
      </c>
      <c r="Y218" s="8"/>
      <c r="Z218" s="17">
        <f>IFERROR(Z213+Z214+Z215+Z216+Z217, "NA")</f>
        <v>28702.28</v>
      </c>
      <c r="AA218" s="18">
        <f>IFERROR(Z218/Z446, "NA")</f>
        <v>0.03224706543</v>
      </c>
      <c r="AB218" s="8"/>
      <c r="AC218" s="17">
        <f t="shared" si="64"/>
        <v>-646.2</v>
      </c>
      <c r="AD218" s="18">
        <f>IFERROR(AC218/AC446, "NA")</f>
        <v>-0.05375011437</v>
      </c>
    </row>
    <row r="219" ht="16.5" hidden="1" customHeight="1">
      <c r="A219" s="11" t="s">
        <v>202</v>
      </c>
      <c r="B219" s="12">
        <v>0.0</v>
      </c>
      <c r="C219" s="13">
        <f>IFERROR(B219/B446, "NA")</f>
        <v>0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>
        <f>IFERROR(B220/B446, "NA")</f>
        <v>0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>
        <f>IFERROR(B221/B446, "NA")</f>
        <v>0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237.96</v>
      </c>
      <c r="C222" s="13">
        <f>IFERROR(B222/B446, "NA")</f>
        <v>0.002258251715</v>
      </c>
      <c r="D222" s="14"/>
      <c r="E222" s="12">
        <v>100.0</v>
      </c>
      <c r="F222" s="13">
        <f>IFERROR(E222/E446, "NA")</f>
        <v>0.0009334965832</v>
      </c>
      <c r="G222" s="14"/>
      <c r="H222" s="15">
        <f t="shared" si="61"/>
        <v>-137.96</v>
      </c>
      <c r="I222" s="13">
        <f>IFERROR(H222/H446, "NA")</f>
        <v>0.07880861662</v>
      </c>
      <c r="J222" s="14"/>
      <c r="K222" s="12">
        <v>150.0</v>
      </c>
      <c r="L222" s="13">
        <f>IFERROR(K222/K446, "NA")</f>
        <v>0.001520665849</v>
      </c>
      <c r="M222" s="14"/>
      <c r="N222" s="15">
        <f t="shared" si="62"/>
        <v>-87.96</v>
      </c>
      <c r="O222" s="13">
        <f>IFERROR(N222/N446, "NA")</f>
        <v>-0.01306488626</v>
      </c>
      <c r="P222" s="14"/>
      <c r="Q222" s="12">
        <v>3424.5</v>
      </c>
      <c r="R222" s="13">
        <f>IFERROR(Q222/Q446, "NA")</f>
        <v>0.003796157189</v>
      </c>
      <c r="S222" s="14"/>
      <c r="T222" s="12">
        <v>800.0</v>
      </c>
      <c r="U222" s="13">
        <f>IFERROR(T222/T446, "NA")</f>
        <v>0.0008314934289</v>
      </c>
      <c r="V222" s="14"/>
      <c r="W222" s="15">
        <f t="shared" si="63"/>
        <v>-2624.5</v>
      </c>
      <c r="X222" s="13">
        <f>IFERROR(W222/W446, "NA")</f>
        <v>0.04372141636</v>
      </c>
      <c r="Y222" s="14"/>
      <c r="Z222" s="12">
        <v>2280.27</v>
      </c>
      <c r="AA222" s="13">
        <f>IFERROR(Z222/Z446, "NA")</f>
        <v>0.002561887623</v>
      </c>
      <c r="AB222" s="14"/>
      <c r="AC222" s="15">
        <f t="shared" si="64"/>
        <v>-1144.23</v>
      </c>
      <c r="AD222" s="13">
        <f>IFERROR(AC222/AC446, "NA")</f>
        <v>-0.09517563195</v>
      </c>
    </row>
    <row r="223" ht="16.5" hidden="1" customHeight="1">
      <c r="A223" s="11" t="s">
        <v>206</v>
      </c>
      <c r="B223" s="12">
        <v>0.0</v>
      </c>
      <c r="C223" s="13">
        <f>IFERROR(B223/B446, "NA")</f>
        <v>0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>
        <f>IFERROR(B224/B446, "NA")</f>
        <v>0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>
        <f>IFERROR(B225/B446, "NA")</f>
        <v>0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>
        <f>IFERROR(B226/B446, "NA")</f>
        <v>0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5672.73</v>
      </c>
      <c r="C227" s="18">
        <f>IFERROR(B227/B446, "NA")</f>
        <v>0.05383447744</v>
      </c>
      <c r="D227" s="8"/>
      <c r="E227" s="17">
        <f>IFERROR(E211+E213+E214+E215+E216+E217+E219+E220+E221+E222+E223+E224+E225+E226, "NA")</f>
        <v>3206.6</v>
      </c>
      <c r="F227" s="18">
        <f>IFERROR(E227/E446, "NA")</f>
        <v>0.02993350144</v>
      </c>
      <c r="G227" s="8"/>
      <c r="H227" s="17">
        <f t="shared" si="61"/>
        <v>-2466.13</v>
      </c>
      <c r="I227" s="18">
        <f>IFERROR(H227/H446, "NA")</f>
        <v>1.40875829</v>
      </c>
      <c r="J227" s="8"/>
      <c r="K227" s="17">
        <f>IFERROR(K211+K213+K214+K215+K216+K217+K219+K220+K221+K222+K223+K224+K225+K226, "NA")</f>
        <v>941.03</v>
      </c>
      <c r="L227" s="18">
        <f>IFERROR(K227/K446, "NA")</f>
        <v>0.009539947892</v>
      </c>
      <c r="M227" s="8"/>
      <c r="N227" s="17">
        <f t="shared" si="62"/>
        <v>-4731.7</v>
      </c>
      <c r="O227" s="18">
        <f>IFERROR(N227/N446, "NA")</f>
        <v>-0.7028094853</v>
      </c>
      <c r="P227" s="8"/>
      <c r="Q227" s="17">
        <f>IFERROR(Q211+Q213+Q214+Q215+Q216+Q217+Q219+Q220+Q221+Q222+Q223+Q224+Q225+Q226, "NA")</f>
        <v>32772.98</v>
      </c>
      <c r="R227" s="18">
        <f>IFERROR(Q227/Q446, "NA")</f>
        <v>0.03632979519</v>
      </c>
      <c r="S227" s="8"/>
      <c r="T227" s="17">
        <f>IFERROR(T211+T213+T214+T215+T216+T217+T219+T220+T221+T222+T223+T224+T225+T226, "NA")</f>
        <v>28701.6</v>
      </c>
      <c r="U227" s="18">
        <f>IFERROR(T227/T446, "NA")</f>
        <v>0.02983148975</v>
      </c>
      <c r="V227" s="8"/>
      <c r="W227" s="17">
        <f t="shared" si="63"/>
        <v>-4071.38</v>
      </c>
      <c r="X227" s="18">
        <f>IFERROR(W227/W446, "NA")</f>
        <v>0.06782491909</v>
      </c>
      <c r="Y227" s="8"/>
      <c r="Z227" s="17">
        <f>IFERROR(Z211+Z213+Z214+Z215+Z216+Z217+Z219+Z220+Z221+Z222+Z223+Z224+Z225+Z226, "NA")</f>
        <v>30982.55</v>
      </c>
      <c r="AA227" s="18">
        <f>IFERROR(Z227/Z446, "NA")</f>
        <v>0.03480895306</v>
      </c>
      <c r="AB227" s="8"/>
      <c r="AC227" s="17">
        <f t="shared" si="64"/>
        <v>-1790.43</v>
      </c>
      <c r="AD227" s="18">
        <f>IFERROR(AC227/AC446, "NA")</f>
        <v>-0.1489257463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>
        <f>IFERROR(B229/B446, "NA")</f>
        <v>0</v>
      </c>
      <c r="D229" s="14"/>
      <c r="E229" s="12">
        <v>1392.61</v>
      </c>
      <c r="F229" s="13">
        <f>IFERROR(E229/E446, "NA")</f>
        <v>0.01299996677</v>
      </c>
      <c r="G229" s="14"/>
      <c r="H229" s="15">
        <f t="shared" ref="H229:H236" si="65">IFERROR(-(B229-E229), "NA")</f>
        <v>1392.61</v>
      </c>
      <c r="I229" s="13">
        <f>IFERROR(H229/H446, "NA")</f>
        <v>-0.7955180313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12507.61</v>
      </c>
      <c r="U229" s="13">
        <f>IFERROR(T229/T446, "NA")</f>
        <v>0.01299999441</v>
      </c>
      <c r="V229" s="14"/>
      <c r="W229" s="15">
        <f t="shared" ref="W229:W236" si="67">IFERROR(-(Q229-T229), "NA")</f>
        <v>12507.61</v>
      </c>
      <c r="X229" s="13">
        <f>IFERROR(W229/W446, "NA")</f>
        <v>-0.2083636596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hidden="1" customHeight="1">
      <c r="A230" s="11" t="s">
        <v>212</v>
      </c>
      <c r="B230" s="12">
        <v>0.0</v>
      </c>
      <c r="C230" s="13">
        <f>IFERROR(B230/B446, "NA")</f>
        <v>0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0.0</v>
      </c>
      <c r="AA230" s="13">
        <f>IFERROR(Z230/Z446, "NA")</f>
        <v>0</v>
      </c>
      <c r="AB230" s="14"/>
      <c r="AC230" s="15">
        <f t="shared" si="68"/>
        <v>0</v>
      </c>
      <c r="AD230" s="13">
        <f>IFERROR(AC230/AC446, "NA")</f>
        <v>0</v>
      </c>
    </row>
    <row r="231" ht="16.5" customHeight="1">
      <c r="A231" s="11" t="s">
        <v>213</v>
      </c>
      <c r="B231" s="12">
        <v>0.0</v>
      </c>
      <c r="C231" s="13">
        <f>IFERROR(B231/B446, "NA")</f>
        <v>0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91.0</v>
      </c>
      <c r="L231" s="13">
        <f>IFERROR(K231/K446, "NA")</f>
        <v>0.0009225372817</v>
      </c>
      <c r="M231" s="14"/>
      <c r="N231" s="15">
        <f t="shared" si="66"/>
        <v>91</v>
      </c>
      <c r="O231" s="13">
        <f>IFERROR(N231/N446, "NA")</f>
        <v>0.01351642394</v>
      </c>
      <c r="P231" s="14"/>
      <c r="Q231" s="12">
        <v>0.0</v>
      </c>
      <c r="R231" s="13">
        <f>IFERROR(Q231/Q446, "NA")</f>
        <v>0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0</v>
      </c>
      <c r="X231" s="13">
        <f>IFERROR(W231/W446, "NA")</f>
        <v>0</v>
      </c>
      <c r="Y231" s="14"/>
      <c r="Z231" s="12">
        <v>1130.26</v>
      </c>
      <c r="AA231" s="13">
        <f>IFERROR(Z231/Z446, "NA")</f>
        <v>0.001269849231</v>
      </c>
      <c r="AB231" s="14"/>
      <c r="AC231" s="15">
        <f t="shared" si="68"/>
        <v>1130.26</v>
      </c>
      <c r="AD231" s="13">
        <f>IFERROR(AC231/AC446, "NA")</f>
        <v>0.09401362468</v>
      </c>
    </row>
    <row r="232" ht="16.5" hidden="1" customHeight="1">
      <c r="A232" s="11" t="s">
        <v>214</v>
      </c>
      <c r="B232" s="12">
        <v>0.0</v>
      </c>
      <c r="C232" s="13">
        <f>IFERROR(B232/B446, "NA")</f>
        <v>0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hidden="1" customHeight="1">
      <c r="A233" s="11" t="s">
        <v>215</v>
      </c>
      <c r="B233" s="12">
        <v>0.0</v>
      </c>
      <c r="C233" s="13">
        <f>IFERROR(B233/B446, "NA")</f>
        <v>0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0.0</v>
      </c>
      <c r="L233" s="13">
        <f>IFERROR(K233/K446, "NA")</f>
        <v>0</v>
      </c>
      <c r="M233" s="14"/>
      <c r="N233" s="15">
        <f t="shared" si="66"/>
        <v>0</v>
      </c>
      <c r="O233" s="13">
        <f>IFERROR(N233/N446, "NA")</f>
        <v>0</v>
      </c>
      <c r="P233" s="14"/>
      <c r="Q233" s="12">
        <v>0.0</v>
      </c>
      <c r="R233" s="13">
        <f>IFERROR(Q233/Q446, "NA")</f>
        <v>0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0</v>
      </c>
      <c r="X233" s="13">
        <f>IFERROR(W233/W446, "NA")</f>
        <v>0</v>
      </c>
      <c r="Y233" s="14"/>
      <c r="Z233" s="12">
        <v>0.0</v>
      </c>
      <c r="AA233" s="13">
        <f>IFERROR(Z233/Z446, "NA")</f>
        <v>0</v>
      </c>
      <c r="AB233" s="14"/>
      <c r="AC233" s="15">
        <f t="shared" si="68"/>
        <v>0</v>
      </c>
      <c r="AD233" s="13">
        <f>IFERROR(AC233/AC446, "NA")</f>
        <v>0</v>
      </c>
    </row>
    <row r="234" ht="16.5" customHeight="1">
      <c r="A234" s="11" t="s">
        <v>216</v>
      </c>
      <c r="B234" s="12">
        <v>982.76</v>
      </c>
      <c r="C234" s="13">
        <f>IFERROR(B234/B446, "NA")</f>
        <v>0.00932643913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-982.76</v>
      </c>
      <c r="I234" s="13">
        <f>IFERROR(H234/H446, "NA")</f>
        <v>0.5613942887</v>
      </c>
      <c r="J234" s="14"/>
      <c r="K234" s="12">
        <v>1146.5</v>
      </c>
      <c r="L234" s="13">
        <f>IFERROR(K234/K446, "NA")</f>
        <v>0.01162295597</v>
      </c>
      <c r="M234" s="14"/>
      <c r="N234" s="15">
        <f t="shared" si="66"/>
        <v>163.74</v>
      </c>
      <c r="O234" s="13">
        <f>IFERROR(N234/N446, "NA")</f>
        <v>0.02432065116</v>
      </c>
      <c r="P234" s="14"/>
      <c r="Q234" s="12">
        <v>11612.88</v>
      </c>
      <c r="R234" s="13">
        <f>IFERROR(Q234/Q446, "NA")</f>
        <v>0.01287321299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-11612.88</v>
      </c>
      <c r="X234" s="13">
        <f>IFERROR(W234/W446, "NA")</f>
        <v>0.1934583965</v>
      </c>
      <c r="Y234" s="14"/>
      <c r="Z234" s="12">
        <v>10624.94</v>
      </c>
      <c r="AA234" s="13">
        <f>IFERROR(Z234/Z446, "NA")</f>
        <v>0.01193714003</v>
      </c>
      <c r="AB234" s="14"/>
      <c r="AC234" s="15">
        <f t="shared" si="68"/>
        <v>-987.94</v>
      </c>
      <c r="AD234" s="13">
        <f>IFERROR(AC234/AC446, "NA")</f>
        <v>-0.08217562363</v>
      </c>
    </row>
    <row r="235" ht="16.5" customHeight="1">
      <c r="A235" s="11" t="s">
        <v>217</v>
      </c>
      <c r="B235" s="12">
        <v>56.24</v>
      </c>
      <c r="C235" s="13">
        <f>IFERROR(B235/B446, "NA")</f>
        <v>0.0005337202742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-56.24</v>
      </c>
      <c r="I235" s="13">
        <f>IFERROR(H235/H446, "NA")</f>
        <v>0.03212667874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-56.24</v>
      </c>
      <c r="O235" s="13">
        <f>IFERROR(N235/N446, "NA")</f>
        <v>-0.008353447059</v>
      </c>
      <c r="P235" s="14"/>
      <c r="Q235" s="12">
        <v>246.13</v>
      </c>
      <c r="R235" s="13">
        <f>IFERROR(Q235/Q446, "NA")</f>
        <v>0.0002728422161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-246.13</v>
      </c>
      <c r="X235" s="13">
        <f>IFERROR(W235/W446, "NA")</f>
        <v>0.004100267559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-246.13</v>
      </c>
      <c r="AD235" s="13">
        <f>IFERROR(AC235/AC446, "NA")</f>
        <v>-0.02047278807</v>
      </c>
    </row>
    <row r="236" ht="16.5" customHeight="1">
      <c r="A236" s="16" t="s">
        <v>218</v>
      </c>
      <c r="B236" s="17">
        <f>IFERROR(B229+B230+B231+B232+B233+B234+B235, "NA")</f>
        <v>1039</v>
      </c>
      <c r="C236" s="18">
        <f>IFERROR(B236/B446, "NA")</f>
        <v>0.009860159404</v>
      </c>
      <c r="D236" s="8"/>
      <c r="E236" s="17">
        <f>IFERROR(E229+E230+E231+E232+E233+E234+E235, "NA")</f>
        <v>1392.61</v>
      </c>
      <c r="F236" s="18">
        <f>IFERROR(E236/E446, "NA")</f>
        <v>0.01299996677</v>
      </c>
      <c r="G236" s="8"/>
      <c r="H236" s="17">
        <f t="shared" si="65"/>
        <v>353.61</v>
      </c>
      <c r="I236" s="18">
        <f>IFERROR(H236/H446, "NA")</f>
        <v>-0.2019970638</v>
      </c>
      <c r="J236" s="8"/>
      <c r="K236" s="17">
        <f>IFERROR(K229+K230+K231+K232+K233+K234+K235, "NA")</f>
        <v>1237.5</v>
      </c>
      <c r="L236" s="18">
        <f>IFERROR(K236/K446, "NA")</f>
        <v>0.01254549325</v>
      </c>
      <c r="M236" s="8"/>
      <c r="N236" s="17">
        <f t="shared" si="66"/>
        <v>198.5</v>
      </c>
      <c r="O236" s="18">
        <f>IFERROR(N236/N446, "NA")</f>
        <v>0.02948362805</v>
      </c>
      <c r="P236" s="8"/>
      <c r="Q236" s="17">
        <f>IFERROR(Q229+Q230+Q231+Q232+Q233+Q234+Q235, "NA")</f>
        <v>11859.01</v>
      </c>
      <c r="R236" s="18">
        <f>IFERROR(Q236/Q446, "NA")</f>
        <v>0.01314605521</v>
      </c>
      <c r="S236" s="8"/>
      <c r="T236" s="17">
        <f>IFERROR(T229+T230+T231+T232+T233+T234+T235, "NA")</f>
        <v>12507.61</v>
      </c>
      <c r="U236" s="18">
        <f>IFERROR(T236/T446, "NA")</f>
        <v>0.01299999441</v>
      </c>
      <c r="V236" s="8"/>
      <c r="W236" s="17">
        <f t="shared" si="67"/>
        <v>648.6</v>
      </c>
      <c r="X236" s="18">
        <f>IFERROR(W236/W446, "NA")</f>
        <v>-0.01080499549</v>
      </c>
      <c r="Y236" s="8"/>
      <c r="Z236" s="17">
        <f>IFERROR(Z229+Z230+Z231+Z232+Z233+Z234+Z235, "NA")</f>
        <v>11755.2</v>
      </c>
      <c r="AA236" s="18">
        <f>IFERROR(Z236/Z446, "NA")</f>
        <v>0.01320698926</v>
      </c>
      <c r="AB236" s="8"/>
      <c r="AC236" s="17">
        <f t="shared" si="68"/>
        <v>-103.81</v>
      </c>
      <c r="AD236" s="18">
        <f>IFERROR(AC236/AC446, "NA")</f>
        <v>-0.008634787021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>
        <f>IFERROR(B238/B446, "NA")</f>
        <v>0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>
        <f>IFERROR(B240/B446, "NA")</f>
        <v>0</v>
      </c>
      <c r="D240" s="14"/>
      <c r="E240" s="12">
        <v>5677.58</v>
      </c>
      <c r="F240" s="13">
        <f>IFERROR(E240/E446, "NA")</f>
        <v>0.05300001531</v>
      </c>
      <c r="G240" s="14"/>
      <c r="H240" s="15">
        <f t="shared" ref="H240:H264" si="69">IFERROR(-(B240-E240), "NA")</f>
        <v>5677.58</v>
      </c>
      <c r="I240" s="13">
        <f>IFERROR(H240/H446, "NA")</f>
        <v>-3.243275048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50992.58</v>
      </c>
      <c r="U240" s="13">
        <f>IFERROR(T240/T446, "NA")</f>
        <v>0.05299999399</v>
      </c>
      <c r="V240" s="14"/>
      <c r="W240" s="15">
        <f t="shared" ref="W240:W264" si="71">IFERROR(-(Q240-T240), "NA")</f>
        <v>50992.58</v>
      </c>
      <c r="X240" s="13">
        <f>IFERROR(W240/W446, "NA")</f>
        <v>-0.8494828812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hidden="1" customHeight="1">
      <c r="A241" s="11" t="s">
        <v>221</v>
      </c>
      <c r="B241" s="12">
        <v>0.0</v>
      </c>
      <c r="C241" s="13">
        <f>IFERROR(B241/B446, "NA")</f>
        <v>0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0</v>
      </c>
      <c r="I241" s="13">
        <f>IFERROR(H241/H446, "NA")</f>
        <v>0</v>
      </c>
      <c r="J241" s="14"/>
      <c r="K241" s="12">
        <v>0.0</v>
      </c>
      <c r="L241" s="13">
        <f>IFERROR(K241/K446, "NA")</f>
        <v>0</v>
      </c>
      <c r="M241" s="14"/>
      <c r="N241" s="15">
        <f t="shared" si="70"/>
        <v>0</v>
      </c>
      <c r="O241" s="13">
        <f>IFERROR(N241/N446, "NA")</f>
        <v>0</v>
      </c>
      <c r="P241" s="14"/>
      <c r="Q241" s="12">
        <v>0.0</v>
      </c>
      <c r="R241" s="13">
        <f>IFERROR(Q241/Q446, "NA")</f>
        <v>0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0</v>
      </c>
      <c r="X241" s="13">
        <f>IFERROR(W241/W446, "NA")</f>
        <v>0</v>
      </c>
      <c r="Y241" s="14"/>
      <c r="Z241" s="12">
        <v>0.0</v>
      </c>
      <c r="AA241" s="13">
        <f>IFERROR(Z241/Z446, "NA")</f>
        <v>0</v>
      </c>
      <c r="AB241" s="14"/>
      <c r="AC241" s="15">
        <f t="shared" si="72"/>
        <v>0</v>
      </c>
      <c r="AD241" s="13">
        <f>IFERROR(AC241/AC446, "NA")</f>
        <v>0</v>
      </c>
    </row>
    <row r="242" ht="16.5" customHeight="1">
      <c r="A242" s="11" t="s">
        <v>222</v>
      </c>
      <c r="B242" s="12">
        <v>1315.19</v>
      </c>
      <c r="C242" s="13">
        <f>IFERROR(B242/B446, "NA")</f>
        <v>0.01248121564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-1315.19</v>
      </c>
      <c r="I242" s="13">
        <f>IFERROR(H242/H446, "NA")</f>
        <v>0.7512924362</v>
      </c>
      <c r="J242" s="14"/>
      <c r="K242" s="12">
        <v>838.12</v>
      </c>
      <c r="L242" s="13">
        <f>IFERROR(K242/K446, "NA")</f>
        <v>0.008496669742</v>
      </c>
      <c r="M242" s="14"/>
      <c r="N242" s="15">
        <f t="shared" si="70"/>
        <v>-477.07</v>
      </c>
      <c r="O242" s="13">
        <f>IFERROR(N242/N446, "NA")</f>
        <v>-0.07086022384</v>
      </c>
      <c r="P242" s="14"/>
      <c r="Q242" s="12">
        <v>11541.6</v>
      </c>
      <c r="R242" s="13">
        <f>IFERROR(Q242/Q446, "NA")</f>
        <v>0.01279419706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-11541.6</v>
      </c>
      <c r="X242" s="13">
        <f>IFERROR(W242/W446, "NA")</f>
        <v>0.1922709465</v>
      </c>
      <c r="Y242" s="14"/>
      <c r="Z242" s="12">
        <v>9759.89</v>
      </c>
      <c r="AA242" s="13">
        <f>IFERROR(Z242/Z446, "NA")</f>
        <v>0.01096525473</v>
      </c>
      <c r="AB242" s="14"/>
      <c r="AC242" s="15">
        <f t="shared" si="72"/>
        <v>-1781.71</v>
      </c>
      <c r="AD242" s="13">
        <f>IFERROR(AC242/AC446, "NA")</f>
        <v>-0.1482004275</v>
      </c>
    </row>
    <row r="243" ht="16.5" customHeight="1">
      <c r="A243" s="11" t="s">
        <v>223</v>
      </c>
      <c r="B243" s="12">
        <v>1714.29</v>
      </c>
      <c r="C243" s="13">
        <f>IFERROR(B243/B446, "NA")</f>
        <v>0.01626869361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-1714.29</v>
      </c>
      <c r="I243" s="13">
        <f>IFERROR(H243/H446, "NA")</f>
        <v>0.9792753218</v>
      </c>
      <c r="J243" s="14"/>
      <c r="K243" s="12">
        <v>1835.23</v>
      </c>
      <c r="L243" s="13">
        <f>IFERROR(K243/K446, "NA")</f>
        <v>0.01860514391</v>
      </c>
      <c r="M243" s="14"/>
      <c r="N243" s="15">
        <f t="shared" si="70"/>
        <v>120.94</v>
      </c>
      <c r="O243" s="13">
        <f>IFERROR(N243/N446, "NA")</f>
        <v>0.01796347595</v>
      </c>
      <c r="P243" s="14"/>
      <c r="Q243" s="12">
        <v>20501.69</v>
      </c>
      <c r="R243" s="13">
        <f>IFERROR(Q243/Q446, "NA")</f>
        <v>0.02272671569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-20501.69</v>
      </c>
      <c r="X243" s="13">
        <f>IFERROR(W243/W446, "NA")</f>
        <v>0.3415366449</v>
      </c>
      <c r="Y243" s="14"/>
      <c r="Z243" s="12">
        <v>17662.17</v>
      </c>
      <c r="AA243" s="13">
        <f>IFERROR(Z243/Z446, "NA")</f>
        <v>0.01984348113</v>
      </c>
      <c r="AB243" s="14"/>
      <c r="AC243" s="15">
        <f t="shared" si="72"/>
        <v>-2839.52</v>
      </c>
      <c r="AD243" s="13">
        <f>IFERROR(AC243/AC446, "NA")</f>
        <v>-0.2361877511</v>
      </c>
    </row>
    <row r="244" ht="16.5" customHeight="1">
      <c r="A244" s="11" t="s">
        <v>224</v>
      </c>
      <c r="B244" s="12">
        <v>372.6</v>
      </c>
      <c r="C244" s="13">
        <f>IFERROR(B244/B446, "NA")</f>
        <v>0.003535991717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-372.6</v>
      </c>
      <c r="I244" s="13">
        <f>IFERROR(H244/H446, "NA")</f>
        <v>0.2128449591</v>
      </c>
      <c r="J244" s="14"/>
      <c r="K244" s="12">
        <v>895.93</v>
      </c>
      <c r="L244" s="13">
        <f>IFERROR(K244/K446, "NA")</f>
        <v>0.00908273436</v>
      </c>
      <c r="M244" s="14"/>
      <c r="N244" s="15">
        <f t="shared" si="70"/>
        <v>523.33</v>
      </c>
      <c r="O244" s="13">
        <f>IFERROR(N244/N446, "NA")</f>
        <v>0.07773132023</v>
      </c>
      <c r="P244" s="14"/>
      <c r="Q244" s="12">
        <v>6082.42</v>
      </c>
      <c r="R244" s="13">
        <f>IFERROR(Q244/Q446, "NA")</f>
        <v>0.006742538301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-6082.42</v>
      </c>
      <c r="X244" s="13">
        <f>IFERROR(W244/W446, "NA")</f>
        <v>0.1013267355</v>
      </c>
      <c r="Y244" s="14"/>
      <c r="Z244" s="12">
        <v>1232.57</v>
      </c>
      <c r="AA244" s="13">
        <f>IFERROR(Z244/Z446, "NA")</f>
        <v>0.001384794708</v>
      </c>
      <c r="AB244" s="14"/>
      <c r="AC244" s="15">
        <f t="shared" si="72"/>
        <v>-4849.85</v>
      </c>
      <c r="AD244" s="13">
        <f>IFERROR(AC244/AC446, "NA")</f>
        <v>-0.4034045066</v>
      </c>
    </row>
    <row r="245" ht="16.5" hidden="1" customHeight="1">
      <c r="A245" s="11" t="s">
        <v>225</v>
      </c>
      <c r="B245" s="12">
        <v>0.0</v>
      </c>
      <c r="C245" s="13">
        <f>IFERROR(B245/B446, "NA")</f>
        <v>0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97.06</v>
      </c>
      <c r="C246" s="13">
        <f>IFERROR(B246/B446, "NA")</f>
        <v>0.0009211040152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-97.06</v>
      </c>
      <c r="I246" s="13">
        <f>IFERROR(H246/H446, "NA")</f>
        <v>0.05544479798</v>
      </c>
      <c r="J246" s="14"/>
      <c r="K246" s="12">
        <v>220.99</v>
      </c>
      <c r="L246" s="13">
        <f>IFERROR(K246/K446, "NA")</f>
        <v>0.002240346306</v>
      </c>
      <c r="M246" s="14"/>
      <c r="N246" s="15">
        <f t="shared" si="70"/>
        <v>123.93</v>
      </c>
      <c r="O246" s="13">
        <f>IFERROR(N246/N446, "NA")</f>
        <v>0.01840758702</v>
      </c>
      <c r="P246" s="14"/>
      <c r="Q246" s="12">
        <v>817.13</v>
      </c>
      <c r="R246" s="13">
        <f>IFERROR(Q246/Q446, "NA")</f>
        <v>0.0009058122132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-817.13</v>
      </c>
      <c r="X246" s="13">
        <f>IFERROR(W246/W446, "NA")</f>
        <v>0.01361252846</v>
      </c>
      <c r="Y246" s="14"/>
      <c r="Z246" s="12">
        <v>2310.4</v>
      </c>
      <c r="AA246" s="13">
        <f>IFERROR(Z246/Z446, "NA")</f>
        <v>0.002595738735</v>
      </c>
      <c r="AB246" s="14"/>
      <c r="AC246" s="15">
        <f t="shared" si="72"/>
        <v>1493.27</v>
      </c>
      <c r="AD246" s="13">
        <f>IFERROR(AC246/AC446, "NA")</f>
        <v>0.1242083462</v>
      </c>
    </row>
    <row r="247" ht="16.5" hidden="1" customHeight="1">
      <c r="A247" s="11" t="s">
        <v>227</v>
      </c>
      <c r="B247" s="12">
        <v>0.0</v>
      </c>
      <c r="C247" s="13">
        <f>IFERROR(B247/B446, "NA")</f>
        <v>0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79.26</v>
      </c>
      <c r="C248" s="13">
        <f>IFERROR(B248/B446, "NA")</f>
        <v>0.0007521811688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-79.26</v>
      </c>
      <c r="I248" s="13">
        <f>IFERROR(H248/H446, "NA")</f>
        <v>0.04527668131</v>
      </c>
      <c r="J248" s="14"/>
      <c r="K248" s="12">
        <v>275.66</v>
      </c>
      <c r="L248" s="13">
        <f>IFERROR(K248/K446, "NA")</f>
        <v>0.002794578319</v>
      </c>
      <c r="M248" s="14"/>
      <c r="N248" s="15">
        <f t="shared" si="70"/>
        <v>196.4</v>
      </c>
      <c r="O248" s="13">
        <f>IFERROR(N248/N446, "NA")</f>
        <v>0.02917171057</v>
      </c>
      <c r="P248" s="14"/>
      <c r="Q248" s="12">
        <v>1705.34</v>
      </c>
      <c r="R248" s="13">
        <f>IFERROR(Q248/Q446, "NA")</f>
        <v>0.00189041866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-1705.34</v>
      </c>
      <c r="X248" s="13">
        <f>IFERROR(W248/W446, "NA")</f>
        <v>0.02840917515</v>
      </c>
      <c r="Y248" s="14"/>
      <c r="Z248" s="12">
        <v>2198.05</v>
      </c>
      <c r="AA248" s="13">
        <f>IFERROR(Z248/Z446, "NA")</f>
        <v>0.002469513299</v>
      </c>
      <c r="AB248" s="14"/>
      <c r="AC248" s="15">
        <f t="shared" si="72"/>
        <v>492.71</v>
      </c>
      <c r="AD248" s="13">
        <f>IFERROR(AC248/AC446, "NA")</f>
        <v>0.04098300658</v>
      </c>
    </row>
    <row r="249" ht="16.5" customHeight="1">
      <c r="A249" s="11" t="s">
        <v>229</v>
      </c>
      <c r="B249" s="12">
        <v>1303.26</v>
      </c>
      <c r="C249" s="13">
        <f>IFERROR(B249/B446, "NA")</f>
        <v>0.01236799937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-1303.26</v>
      </c>
      <c r="I249" s="13">
        <f>IFERROR(H249/H446, "NA")</f>
        <v>0.744477513</v>
      </c>
      <c r="J249" s="14"/>
      <c r="K249" s="12">
        <v>537.17</v>
      </c>
      <c r="L249" s="13">
        <f>IFERROR(K249/K446, "NA")</f>
        <v>0.00544570716</v>
      </c>
      <c r="M249" s="14"/>
      <c r="N249" s="15">
        <f t="shared" si="70"/>
        <v>-766.09</v>
      </c>
      <c r="O249" s="13">
        <f>IFERROR(N249/N446, "NA")</f>
        <v>-0.1137889804</v>
      </c>
      <c r="P249" s="14"/>
      <c r="Q249" s="12">
        <v>12287.71</v>
      </c>
      <c r="R249" s="13">
        <f>IFERROR(Q249/Q446, "NA")</f>
        <v>0.01362128155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-12287.71</v>
      </c>
      <c r="X249" s="13">
        <f>IFERROR(W249/W446, "NA")</f>
        <v>0.2047003563</v>
      </c>
      <c r="Y249" s="14"/>
      <c r="Z249" s="12">
        <v>7692.05</v>
      </c>
      <c r="AA249" s="13">
        <f>IFERROR(Z249/Z446, "NA")</f>
        <v>0.008642032607</v>
      </c>
      <c r="AB249" s="14"/>
      <c r="AC249" s="15">
        <f t="shared" si="72"/>
        <v>-4595.66</v>
      </c>
      <c r="AD249" s="13">
        <f>IFERROR(AC249/AC446, "NA")</f>
        <v>-0.3822612978</v>
      </c>
    </row>
    <row r="250" ht="16.5" hidden="1" customHeight="1">
      <c r="A250" s="11" t="s">
        <v>230</v>
      </c>
      <c r="B250" s="12">
        <v>0.0</v>
      </c>
      <c r="C250" s="13">
        <f>IFERROR(B250/B446, "NA")</f>
        <v>0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hidden="1" customHeight="1">
      <c r="A251" s="11" t="s">
        <v>231</v>
      </c>
      <c r="B251" s="12">
        <v>0.0</v>
      </c>
      <c r="C251" s="13">
        <f>IFERROR(B251/B446, "NA")</f>
        <v>0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0</v>
      </c>
      <c r="I251" s="13">
        <f>IFERROR(H251/H446, "NA")</f>
        <v>0</v>
      </c>
      <c r="J251" s="14"/>
      <c r="K251" s="12">
        <v>0.0</v>
      </c>
      <c r="L251" s="13">
        <f>IFERROR(K251/K446, "NA")</f>
        <v>0</v>
      </c>
      <c r="M251" s="14"/>
      <c r="N251" s="15">
        <f t="shared" si="70"/>
        <v>0</v>
      </c>
      <c r="O251" s="13">
        <f>IFERROR(N251/N446, "NA")</f>
        <v>0</v>
      </c>
      <c r="P251" s="14"/>
      <c r="Q251" s="12">
        <v>0.0</v>
      </c>
      <c r="R251" s="13">
        <f>IFERROR(Q251/Q446, "NA")</f>
        <v>0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0</v>
      </c>
      <c r="X251" s="13">
        <f>IFERROR(W251/W446, "NA")</f>
        <v>0</v>
      </c>
      <c r="Y251" s="14"/>
      <c r="Z251" s="12">
        <v>0.0</v>
      </c>
      <c r="AA251" s="13">
        <f>IFERROR(Z251/Z446, "NA")</f>
        <v>0</v>
      </c>
      <c r="AB251" s="14"/>
      <c r="AC251" s="15">
        <f t="shared" si="72"/>
        <v>0</v>
      </c>
      <c r="AD251" s="13">
        <f>IFERROR(AC251/AC446, "NA")</f>
        <v>0</v>
      </c>
    </row>
    <row r="252" ht="16.5" hidden="1" customHeight="1">
      <c r="A252" s="11" t="s">
        <v>232</v>
      </c>
      <c r="B252" s="12">
        <v>0.0</v>
      </c>
      <c r="C252" s="13">
        <f>IFERROR(B252/B446, "NA")</f>
        <v>0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hidden="1" customHeight="1">
      <c r="A253" s="11" t="s">
        <v>233</v>
      </c>
      <c r="B253" s="12">
        <v>0.0</v>
      </c>
      <c r="C253" s="13">
        <f>IFERROR(B253/B446, "NA")</f>
        <v>0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0</v>
      </c>
      <c r="I253" s="13">
        <f>IFERROR(H253/H446, "NA")</f>
        <v>0</v>
      </c>
      <c r="J253" s="14"/>
      <c r="K253" s="12">
        <v>0.0</v>
      </c>
      <c r="L253" s="13">
        <f>IFERROR(K253/K446, "NA")</f>
        <v>0</v>
      </c>
      <c r="M253" s="14"/>
      <c r="N253" s="15">
        <f t="shared" si="70"/>
        <v>0</v>
      </c>
      <c r="O253" s="13">
        <f>IFERROR(N253/N446, "NA")</f>
        <v>0</v>
      </c>
      <c r="P253" s="14"/>
      <c r="Q253" s="12">
        <v>0.0</v>
      </c>
      <c r="R253" s="13">
        <f>IFERROR(Q253/Q446, "NA")</f>
        <v>0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0</v>
      </c>
      <c r="X253" s="13">
        <f>IFERROR(W253/W446, "NA")</f>
        <v>0</v>
      </c>
      <c r="Y253" s="14"/>
      <c r="Z253" s="12">
        <v>0.0</v>
      </c>
      <c r="AA253" s="13">
        <f>IFERROR(Z253/Z446, "NA")</f>
        <v>0</v>
      </c>
      <c r="AB253" s="14"/>
      <c r="AC253" s="15">
        <f t="shared" si="72"/>
        <v>0</v>
      </c>
      <c r="AD253" s="13">
        <f>IFERROR(AC253/AC446, "NA")</f>
        <v>0</v>
      </c>
    </row>
    <row r="254" ht="16.5" hidden="1" customHeight="1">
      <c r="A254" s="11" t="s">
        <v>234</v>
      </c>
      <c r="B254" s="12">
        <v>0.0</v>
      </c>
      <c r="C254" s="13">
        <f>IFERROR(B254/B446, "NA")</f>
        <v>0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0</v>
      </c>
      <c r="I254" s="13">
        <f>IFERROR(H254/H446, "NA")</f>
        <v>0</v>
      </c>
      <c r="J254" s="14"/>
      <c r="K254" s="12">
        <v>0.0</v>
      </c>
      <c r="L254" s="13">
        <f>IFERROR(K254/K446, "NA")</f>
        <v>0</v>
      </c>
      <c r="M254" s="14"/>
      <c r="N254" s="15">
        <f t="shared" si="70"/>
        <v>0</v>
      </c>
      <c r="O254" s="13">
        <f>IFERROR(N254/N446, "NA")</f>
        <v>0</v>
      </c>
      <c r="P254" s="14"/>
      <c r="Q254" s="12">
        <v>0.0</v>
      </c>
      <c r="R254" s="13">
        <f>IFERROR(Q254/Q446, "NA")</f>
        <v>0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0</v>
      </c>
      <c r="X254" s="13">
        <f>IFERROR(W254/W446, "NA")</f>
        <v>0</v>
      </c>
      <c r="Y254" s="14"/>
      <c r="Z254" s="12">
        <v>0.0</v>
      </c>
      <c r="AA254" s="13">
        <f>IFERROR(Z254/Z446, "NA")</f>
        <v>0</v>
      </c>
      <c r="AB254" s="14"/>
      <c r="AC254" s="15">
        <f t="shared" si="72"/>
        <v>0</v>
      </c>
      <c r="AD254" s="13">
        <f>IFERROR(AC254/AC446, "NA")</f>
        <v>0</v>
      </c>
    </row>
    <row r="255" ht="16.5" hidden="1" customHeight="1">
      <c r="A255" s="11" t="s">
        <v>235</v>
      </c>
      <c r="B255" s="12">
        <v>0.0</v>
      </c>
      <c r="C255" s="13">
        <f>IFERROR(B255/B446, "NA")</f>
        <v>0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>
        <f>IFERROR(B256/B446, "NA")</f>
        <v>0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customHeight="1">
      <c r="A257" s="11" t="s">
        <v>237</v>
      </c>
      <c r="B257" s="12">
        <v>0.0</v>
      </c>
      <c r="C257" s="13">
        <f>IFERROR(B257/B446, "NA")</f>
        <v>0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4961.25</v>
      </c>
      <c r="AA257" s="13">
        <f>IFERROR(Z257/Z446, "NA")</f>
        <v>0.005573973684</v>
      </c>
      <c r="AB257" s="14"/>
      <c r="AC257" s="15">
        <f t="shared" si="72"/>
        <v>4961.25</v>
      </c>
      <c r="AD257" s="13">
        <f>IFERROR(AC257/AC446, "NA")</f>
        <v>0.4126706204</v>
      </c>
    </row>
    <row r="258" ht="16.5" hidden="1" customHeight="1">
      <c r="A258" s="11" t="s">
        <v>238</v>
      </c>
      <c r="B258" s="12">
        <v>0.0</v>
      </c>
      <c r="C258" s="13">
        <f>IFERROR(B258/B446, "NA")</f>
        <v>0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0</v>
      </c>
      <c r="I258" s="13">
        <f>IFERROR(H258/H446, "NA")</f>
        <v>0</v>
      </c>
      <c r="J258" s="14"/>
      <c r="K258" s="12">
        <v>0.0</v>
      </c>
      <c r="L258" s="13">
        <f>IFERROR(K258/K446, "NA")</f>
        <v>0</v>
      </c>
      <c r="M258" s="14"/>
      <c r="N258" s="15">
        <f t="shared" si="70"/>
        <v>0</v>
      </c>
      <c r="O258" s="13">
        <f>IFERROR(N258/N446, "NA")</f>
        <v>0</v>
      </c>
      <c r="P258" s="14"/>
      <c r="Q258" s="12">
        <v>0.0</v>
      </c>
      <c r="R258" s="13">
        <f>IFERROR(Q258/Q446, "NA")</f>
        <v>0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0</v>
      </c>
      <c r="X258" s="13">
        <f>IFERROR(W258/W446, "NA")</f>
        <v>0</v>
      </c>
      <c r="Y258" s="14"/>
      <c r="Z258" s="12">
        <v>0.0</v>
      </c>
      <c r="AA258" s="13">
        <f>IFERROR(Z258/Z446, "NA")</f>
        <v>0</v>
      </c>
      <c r="AB258" s="14"/>
      <c r="AC258" s="15">
        <f t="shared" si="72"/>
        <v>0</v>
      </c>
      <c r="AD258" s="13">
        <f>IFERROR(AC258/AC446, "NA")</f>
        <v>0</v>
      </c>
    </row>
    <row r="259" ht="16.5" hidden="1" customHeight="1">
      <c r="A259" s="11" t="s">
        <v>239</v>
      </c>
      <c r="B259" s="12">
        <v>0.0</v>
      </c>
      <c r="C259" s="13">
        <f>IFERROR(B259/B446, "NA")</f>
        <v>0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hidden="1" customHeight="1">
      <c r="A260" s="11" t="s">
        <v>240</v>
      </c>
      <c r="B260" s="12">
        <v>0.0</v>
      </c>
      <c r="C260" s="13">
        <f>IFERROR(B260/B446, "NA")</f>
        <v>0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0</v>
      </c>
      <c r="I260" s="13">
        <f>IFERROR(H260/H446, "NA")</f>
        <v>0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0</v>
      </c>
      <c r="O260" s="13">
        <f>IFERROR(N260/N446, "NA")</f>
        <v>0</v>
      </c>
      <c r="P260" s="14"/>
      <c r="Q260" s="12">
        <v>0.0</v>
      </c>
      <c r="R260" s="13">
        <f>IFERROR(Q260/Q446, "NA")</f>
        <v>0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0</v>
      </c>
      <c r="X260" s="13">
        <f>IFERROR(W260/W446, "NA")</f>
        <v>0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0</v>
      </c>
      <c r="AD260" s="13">
        <f>IFERROR(AC260/AC446, "NA")</f>
        <v>0</v>
      </c>
    </row>
    <row r="261" ht="16.5" customHeight="1">
      <c r="A261" s="11" t="s">
        <v>241</v>
      </c>
      <c r="B261" s="12">
        <v>0.0</v>
      </c>
      <c r="C261" s="13">
        <f>IFERROR(B261/B446, "NA")</f>
        <v>0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2373.1</v>
      </c>
      <c r="R261" s="13">
        <f>IFERROR(Q261/Q446, "NA")</f>
        <v>0.002630649913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-2373.1</v>
      </c>
      <c r="X261" s="13">
        <f>IFERROR(W261/W446, "NA")</f>
        <v>0.03953335613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-2373.1</v>
      </c>
      <c r="AD261" s="13">
        <f>IFERROR(AC261/AC446, "NA")</f>
        <v>-0.1973915141</v>
      </c>
    </row>
    <row r="262" ht="16.5" customHeight="1">
      <c r="A262" s="11" t="s">
        <v>242</v>
      </c>
      <c r="B262" s="12">
        <v>445.47</v>
      </c>
      <c r="C262" s="13">
        <f>IFERROR(B262/B446, "NA")</f>
        <v>0.004227531482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-445.47</v>
      </c>
      <c r="I262" s="13">
        <f>IFERROR(H262/H446, "NA")</f>
        <v>0.2544714007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-445.47</v>
      </c>
      <c r="O262" s="13">
        <f>IFERROR(N262/N446, "NA")</f>
        <v>-0.06616660849</v>
      </c>
      <c r="P262" s="14"/>
      <c r="Q262" s="12">
        <v>2091.94</v>
      </c>
      <c r="R262" s="13">
        <f>IFERROR(Q262/Q446, "NA")</f>
        <v>0.002318975929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-2091.94</v>
      </c>
      <c r="X262" s="13">
        <f>IFERROR(W262/W446, "NA")</f>
        <v>0.03484952553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-2091.94</v>
      </c>
      <c r="AD262" s="13">
        <f>IFERROR(AC262/AC446, "NA")</f>
        <v>-0.1740049741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5327.13</v>
      </c>
      <c r="C263" s="18">
        <f>IFERROR(B263/B446, "NA")</f>
        <v>0.050554717</v>
      </c>
      <c r="D263" s="8"/>
      <c r="E263" s="17">
        <f>IFERROR(E240+E241+E242+E243+E244+E245+E246+E247+E248+E249+E250+E251+E252+E253+E254+E255+E256+E257+E258+E259+E260+E261+E262, "NA")</f>
        <v>5677.58</v>
      </c>
      <c r="F263" s="18">
        <f>IFERROR(E263/E446, "NA")</f>
        <v>0.05300001531</v>
      </c>
      <c r="G263" s="8"/>
      <c r="H263" s="17">
        <f t="shared" si="69"/>
        <v>350.45</v>
      </c>
      <c r="I263" s="18">
        <f>IFERROR(H263/H446, "NA")</f>
        <v>-0.2001919375</v>
      </c>
      <c r="J263" s="8"/>
      <c r="K263" s="17">
        <f>IFERROR(K240+K241+K242+K243+K244+K245+K246+K247+K248+K249+K250+K251+K252+K253+K254+K255+K256+K257+K258+K259+K260+K261+K262, "NA")</f>
        <v>4603.1</v>
      </c>
      <c r="L263" s="18">
        <f>IFERROR(K263/K446, "NA")</f>
        <v>0.04666517979</v>
      </c>
      <c r="M263" s="8"/>
      <c r="N263" s="17">
        <f t="shared" si="70"/>
        <v>-724.03</v>
      </c>
      <c r="O263" s="18">
        <f>IFERROR(N263/N446, "NA")</f>
        <v>-0.107541719</v>
      </c>
      <c r="P263" s="8"/>
      <c r="Q263" s="17">
        <f>IFERROR(Q240+Q241+Q242+Q243+Q244+Q245+Q246+Q247+Q248+Q249+Q250+Q251+Q252+Q253+Q254+Q255+Q256+Q257+Q258+Q259+Q260+Q261+Q262, "NA")</f>
        <v>57400.93</v>
      </c>
      <c r="R263" s="18">
        <f>IFERROR(Q263/Q446, "NA")</f>
        <v>0.06363058931</v>
      </c>
      <c r="S263" s="8"/>
      <c r="T263" s="17">
        <f>IFERROR(T240+T241+T242+T243+T244+T245+T246+T247+T248+T249+T250+T251+T252+T253+T254+T255+T256+T257+T258+T259+T260+T261+T262, "NA")</f>
        <v>50992.58</v>
      </c>
      <c r="U263" s="18">
        <f>IFERROR(T263/T446, "NA")</f>
        <v>0.05299999399</v>
      </c>
      <c r="V263" s="8"/>
      <c r="W263" s="17">
        <f t="shared" si="71"/>
        <v>-6408.35</v>
      </c>
      <c r="X263" s="18">
        <f>IFERROR(W263/W446, "NA")</f>
        <v>0.1067563873</v>
      </c>
      <c r="Y263" s="8"/>
      <c r="Z263" s="17">
        <f>IFERROR(Z240+Z241+Z242+Z243+Z244+Z245+Z246+Z247+Z248+Z249+Z250+Z251+Z252+Z253+Z254+Z255+Z256+Z257+Z258+Z259+Z260+Z261+Z262, "NA")</f>
        <v>45816.38</v>
      </c>
      <c r="AA263" s="18">
        <f>IFERROR(Z263/Z446, "NA")</f>
        <v>0.05147478889</v>
      </c>
      <c r="AB263" s="8"/>
      <c r="AC263" s="17">
        <f t="shared" si="72"/>
        <v>-11584.55</v>
      </c>
      <c r="AD263" s="18">
        <f>IFERROR(AC263/AC446, "NA")</f>
        <v>-0.963588498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5327.13</v>
      </c>
      <c r="C264" s="18">
        <f>IFERROR(B264/B446, "NA")</f>
        <v>0.050554717</v>
      </c>
      <c r="D264" s="8"/>
      <c r="E264" s="17">
        <f>IFERROR(E238+E240+E241+E242+E243+E244+E245+E246+E247+E248+E249+E250+E251+E252+E253+E254+E255+E256+E257+E258+E259+E260+E261+E262, "NA")</f>
        <v>5677.58</v>
      </c>
      <c r="F264" s="18">
        <f>IFERROR(E264/E446, "NA")</f>
        <v>0.05300001531</v>
      </c>
      <c r="G264" s="8"/>
      <c r="H264" s="17">
        <f t="shared" si="69"/>
        <v>350.45</v>
      </c>
      <c r="I264" s="18">
        <f>IFERROR(H264/H446, "NA")</f>
        <v>-0.2001919375</v>
      </c>
      <c r="J264" s="8"/>
      <c r="K264" s="17">
        <f>IFERROR(K238+K240+K241+K242+K243+K244+K245+K246+K247+K248+K249+K250+K251+K252+K253+K254+K255+K256+K257+K258+K259+K260+K261+K262, "NA")</f>
        <v>4603.1</v>
      </c>
      <c r="L264" s="18">
        <f>IFERROR(K264/K446, "NA")</f>
        <v>0.04666517979</v>
      </c>
      <c r="M264" s="8"/>
      <c r="N264" s="17">
        <f t="shared" si="70"/>
        <v>-724.03</v>
      </c>
      <c r="O264" s="18">
        <f>IFERROR(N264/N446, "NA")</f>
        <v>-0.107541719</v>
      </c>
      <c r="P264" s="8"/>
      <c r="Q264" s="17">
        <f>IFERROR(Q238+Q240+Q241+Q242+Q243+Q244+Q245+Q246+Q247+Q248+Q249+Q250+Q251+Q252+Q253+Q254+Q255+Q256+Q257+Q258+Q259+Q260+Q261+Q262, "NA")</f>
        <v>57400.93</v>
      </c>
      <c r="R264" s="18">
        <f>IFERROR(Q264/Q446, "NA")</f>
        <v>0.06363058931</v>
      </c>
      <c r="S264" s="8"/>
      <c r="T264" s="17">
        <f>IFERROR(T238+T240+T241+T242+T243+T244+T245+T246+T247+T248+T249+T250+T251+T252+T253+T254+T255+T256+T257+T258+T259+T260+T261+T262, "NA")</f>
        <v>50992.58</v>
      </c>
      <c r="U264" s="18">
        <f>IFERROR(T264/T446, "NA")</f>
        <v>0.05299999399</v>
      </c>
      <c r="V264" s="8"/>
      <c r="W264" s="17">
        <f t="shared" si="71"/>
        <v>-6408.35</v>
      </c>
      <c r="X264" s="18">
        <f>IFERROR(W264/W446, "NA")</f>
        <v>0.1067563873</v>
      </c>
      <c r="Y264" s="8"/>
      <c r="Z264" s="17">
        <f>IFERROR(Z238+Z240+Z241+Z242+Z243+Z244+Z245+Z246+Z247+Z248+Z249+Z250+Z251+Z252+Z253+Z254+Z255+Z256+Z257+Z258+Z259+Z260+Z261+Z262, "NA")</f>
        <v>45816.38</v>
      </c>
      <c r="AA264" s="18">
        <f>IFERROR(Z264/Z446, "NA")</f>
        <v>0.05147478889</v>
      </c>
      <c r="AB264" s="8"/>
      <c r="AC264" s="17">
        <f t="shared" si="72"/>
        <v>-11584.55</v>
      </c>
      <c r="AD264" s="18">
        <f>IFERROR(AC264/AC446, "NA")</f>
        <v>-0.963588498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2904.31</v>
      </c>
      <c r="C266" s="13">
        <f>IFERROR(B266/B446, "NA")</f>
        <v>0.02756204</v>
      </c>
      <c r="D266" s="14"/>
      <c r="E266" s="12">
        <v>3106.6</v>
      </c>
      <c r="F266" s="13">
        <f>IFERROR(E266/E446, "NA")</f>
        <v>0.02900000485</v>
      </c>
      <c r="G266" s="14"/>
      <c r="H266" s="15">
        <f t="shared" ref="H266:H268" si="73">IFERROR(-(B266-E266), "NA")</f>
        <v>202.29</v>
      </c>
      <c r="I266" s="13">
        <f>IFERROR(H266/H446, "NA")</f>
        <v>-0.1155566473</v>
      </c>
      <c r="J266" s="14"/>
      <c r="K266" s="12">
        <v>3125.54</v>
      </c>
      <c r="L266" s="13">
        <f>IFERROR(K266/K446, "NA")</f>
        <v>0.03168601292</v>
      </c>
      <c r="M266" s="14"/>
      <c r="N266" s="15">
        <f t="shared" ref="N266:N268" si="74">IFERROR(-(B266-K266), "NA")</f>
        <v>221.23</v>
      </c>
      <c r="O266" s="13">
        <f>IFERROR(N266/N446, "NA")</f>
        <v>0.03285976339</v>
      </c>
      <c r="P266" s="14"/>
      <c r="Q266" s="12">
        <v>26158.27</v>
      </c>
      <c r="R266" s="13">
        <f>IFERROR(Q266/Q446, "NA")</f>
        <v>0.02899719805</v>
      </c>
      <c r="S266" s="14"/>
      <c r="T266" s="12">
        <v>27901.6</v>
      </c>
      <c r="U266" s="13">
        <f>IFERROR(T266/T446, "NA")</f>
        <v>0.02899999632</v>
      </c>
      <c r="V266" s="14"/>
      <c r="W266" s="15">
        <f t="shared" ref="W266:W268" si="75">IFERROR(-(Q266-T266), "NA")</f>
        <v>1743.33</v>
      </c>
      <c r="X266" s="13">
        <f>IFERROR(W266/W446, "NA")</f>
        <v>-0.02904204869</v>
      </c>
      <c r="Y266" s="14"/>
      <c r="Z266" s="12">
        <v>24777.67</v>
      </c>
      <c r="AA266" s="13">
        <f>IFERROR(Z266/Z446, "NA")</f>
        <v>0.02783775873</v>
      </c>
      <c r="AB266" s="14"/>
      <c r="AC266" s="15">
        <f t="shared" ref="AC266:AC268" si="76">IFERROR(-(Q266-Z266), "NA")</f>
        <v>-1380.6</v>
      </c>
      <c r="AD266" s="13">
        <f>IFERROR(AC266/AC446, "NA")</f>
        <v>-0.1148365953</v>
      </c>
    </row>
    <row r="267" ht="16.5" customHeight="1">
      <c r="A267" s="11" t="s">
        <v>246</v>
      </c>
      <c r="B267" s="12">
        <v>0.0</v>
      </c>
      <c r="C267" s="13">
        <f>IFERROR(B267/B446, "NA")</f>
        <v>0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82.72</v>
      </c>
      <c r="L267" s="13">
        <f>IFERROR(K267/K446, "NA")</f>
        <v>0.0008385965268</v>
      </c>
      <c r="M267" s="14"/>
      <c r="N267" s="15">
        <f t="shared" si="74"/>
        <v>82.72</v>
      </c>
      <c r="O267" s="13">
        <f>IFERROR(N267/N446, "NA")</f>
        <v>0.01228657789</v>
      </c>
      <c r="P267" s="14"/>
      <c r="Q267" s="12">
        <v>47.93</v>
      </c>
      <c r="R267" s="13">
        <f>IFERROR(Q267/Q446, "NA")</f>
        <v>0.00005313178977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-47.93</v>
      </c>
      <c r="X267" s="13">
        <f>IFERROR(W267/W446, "NA")</f>
        <v>0.0007984635117</v>
      </c>
      <c r="Y267" s="14"/>
      <c r="Z267" s="12">
        <v>175.35</v>
      </c>
      <c r="AA267" s="13">
        <f>IFERROR(Z267/Z446, "NA")</f>
        <v>0.000197006054</v>
      </c>
      <c r="AB267" s="14"/>
      <c r="AC267" s="15">
        <f t="shared" si="76"/>
        <v>127.42</v>
      </c>
      <c r="AD267" s="13">
        <f>IFERROR(AC267/AC446, "NA")</f>
        <v>0.01059863753</v>
      </c>
    </row>
    <row r="268" ht="16.5" customHeight="1">
      <c r="A268" s="16" t="s">
        <v>247</v>
      </c>
      <c r="B268" s="17">
        <f>IFERROR(B266+B267, "NA")</f>
        <v>2904.31</v>
      </c>
      <c r="C268" s="18">
        <f>IFERROR(B268/B446, "NA")</f>
        <v>0.02756204</v>
      </c>
      <c r="D268" s="8"/>
      <c r="E268" s="17">
        <f>IFERROR(E266+E267, "NA")</f>
        <v>3106.6</v>
      </c>
      <c r="F268" s="18">
        <f>IFERROR(E268/E446, "NA")</f>
        <v>0.02900000485</v>
      </c>
      <c r="G268" s="8"/>
      <c r="H268" s="17">
        <f t="shared" si="73"/>
        <v>202.29</v>
      </c>
      <c r="I268" s="18">
        <f>IFERROR(H268/H446, "NA")</f>
        <v>-0.1155566473</v>
      </c>
      <c r="J268" s="8"/>
      <c r="K268" s="17">
        <f>IFERROR(K266+K267, "NA")</f>
        <v>3208.26</v>
      </c>
      <c r="L268" s="18">
        <f>IFERROR(K268/K446, "NA")</f>
        <v>0.03252460944</v>
      </c>
      <c r="M268" s="8"/>
      <c r="N268" s="17">
        <f t="shared" si="74"/>
        <v>303.95</v>
      </c>
      <c r="O268" s="18">
        <f>IFERROR(N268/N446, "NA")</f>
        <v>0.04514634128</v>
      </c>
      <c r="P268" s="8"/>
      <c r="Q268" s="17">
        <f>IFERROR(Q266+Q267, "NA")</f>
        <v>26206.2</v>
      </c>
      <c r="R268" s="18">
        <f>IFERROR(Q268/Q446, "NA")</f>
        <v>0.02905032984</v>
      </c>
      <c r="S268" s="8"/>
      <c r="T268" s="17">
        <f>IFERROR(T266+T267, "NA")</f>
        <v>27901.6</v>
      </c>
      <c r="U268" s="18">
        <f>IFERROR(T268/T446, "NA")</f>
        <v>0.02899999632</v>
      </c>
      <c r="V268" s="8"/>
      <c r="W268" s="17">
        <f t="shared" si="75"/>
        <v>1695.4</v>
      </c>
      <c r="X268" s="18">
        <f>IFERROR(W268/W446, "NA")</f>
        <v>-0.02824358518</v>
      </c>
      <c r="Y268" s="8"/>
      <c r="Z268" s="17">
        <f>IFERROR(Z266+Z267, "NA")</f>
        <v>24953.02</v>
      </c>
      <c r="AA268" s="18">
        <f>IFERROR(Z268/Z446, "NA")</f>
        <v>0.02803476479</v>
      </c>
      <c r="AB268" s="8"/>
      <c r="AC268" s="17">
        <f t="shared" si="76"/>
        <v>-1253.18</v>
      </c>
      <c r="AD268" s="18">
        <f>IFERROR(AC268/AC446, "NA")</f>
        <v>-0.1042379578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>
        <f>IFERROR(B270/B446, "NA")</f>
        <v>0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155.81</v>
      </c>
      <c r="C271" s="13">
        <f>IFERROR(B271/B446, "NA")</f>
        <v>0.001478644309</v>
      </c>
      <c r="D271" s="14"/>
      <c r="E271" s="12">
        <v>200.2</v>
      </c>
      <c r="F271" s="13">
        <f>IFERROR(E271/E446, "NA")</f>
        <v>0.00186886016</v>
      </c>
      <c r="G271" s="14"/>
      <c r="H271" s="15">
        <f t="shared" si="77"/>
        <v>44.39</v>
      </c>
      <c r="I271" s="13">
        <f>IFERROR(H271/H446, "NA")</f>
        <v>-0.025357455</v>
      </c>
      <c r="J271" s="14"/>
      <c r="K271" s="12">
        <v>197.88</v>
      </c>
      <c r="L271" s="13">
        <f>IFERROR(K271/K446, "NA")</f>
        <v>0.002006062388</v>
      </c>
      <c r="M271" s="14"/>
      <c r="N271" s="15">
        <f t="shared" si="78"/>
        <v>42.07</v>
      </c>
      <c r="O271" s="13">
        <f>IFERROR(N271/N446, "NA")</f>
        <v>0.00624874676</v>
      </c>
      <c r="P271" s="14"/>
      <c r="Q271" s="12">
        <v>1148.87</v>
      </c>
      <c r="R271" s="13">
        <f>IFERROR(Q271/Q446, "NA")</f>
        <v>0.001273555588</v>
      </c>
      <c r="S271" s="14"/>
      <c r="T271" s="12">
        <v>1601.6</v>
      </c>
      <c r="U271" s="13">
        <f>IFERROR(T271/T446, "NA")</f>
        <v>0.001664649845</v>
      </c>
      <c r="V271" s="14"/>
      <c r="W271" s="15">
        <f t="shared" si="79"/>
        <v>452.73</v>
      </c>
      <c r="X271" s="13">
        <f>IFERROR(W271/W446, "NA")</f>
        <v>-0.007542006794</v>
      </c>
      <c r="Y271" s="14"/>
      <c r="Z271" s="12">
        <v>1610.71</v>
      </c>
      <c r="AA271" s="13">
        <f>IFERROR(Z271/Z446, "NA")</f>
        <v>0.001809635707</v>
      </c>
      <c r="AB271" s="14"/>
      <c r="AC271" s="15">
        <f t="shared" si="80"/>
        <v>461.84</v>
      </c>
      <c r="AD271" s="13">
        <f>IFERROR(AC271/AC446, "NA")</f>
        <v>0.03841527827</v>
      </c>
    </row>
    <row r="272" ht="16.5" customHeight="1">
      <c r="A272" s="11" t="s">
        <v>250</v>
      </c>
      <c r="B272" s="12">
        <v>1049.18</v>
      </c>
      <c r="C272" s="13">
        <f>IFERROR(B272/B446, "NA")</f>
        <v>0.009956768088</v>
      </c>
      <c r="D272" s="14"/>
      <c r="E272" s="12">
        <v>894.43</v>
      </c>
      <c r="F272" s="13">
        <f>IFERROR(E272/E446, "NA")</f>
        <v>0.008349473489</v>
      </c>
      <c r="G272" s="14"/>
      <c r="H272" s="15">
        <f t="shared" si="77"/>
        <v>-154.75</v>
      </c>
      <c r="I272" s="13">
        <f>IFERROR(H272/H446, "NA")</f>
        <v>0.08839977836</v>
      </c>
      <c r="J272" s="14"/>
      <c r="K272" s="12">
        <v>894.43</v>
      </c>
      <c r="L272" s="13">
        <f>IFERROR(K272/K446, "NA")</f>
        <v>0.009067527701</v>
      </c>
      <c r="M272" s="14"/>
      <c r="N272" s="15">
        <f t="shared" si="78"/>
        <v>-154.75</v>
      </c>
      <c r="O272" s="13">
        <f>IFERROR(N272/N446, "NA")</f>
        <v>-0.02298534731</v>
      </c>
      <c r="P272" s="14"/>
      <c r="Q272" s="12">
        <v>6581.73</v>
      </c>
      <c r="R272" s="13">
        <f>IFERROR(Q272/Q446, "NA")</f>
        <v>0.007296037862</v>
      </c>
      <c r="S272" s="14"/>
      <c r="T272" s="12">
        <v>7155.44</v>
      </c>
      <c r="U272" s="13">
        <f>IFERROR(T272/T446, "NA")</f>
        <v>0.007437126676</v>
      </c>
      <c r="V272" s="14"/>
      <c r="W272" s="15">
        <f t="shared" si="79"/>
        <v>573.71</v>
      </c>
      <c r="X272" s="13">
        <f>IFERROR(W272/W446, "NA")</f>
        <v>-0.009557406661</v>
      </c>
      <c r="Y272" s="14"/>
      <c r="Z272" s="12">
        <v>6511.05</v>
      </c>
      <c r="AA272" s="13">
        <f>IFERROR(Z272/Z446, "NA")</f>
        <v>0.007315176891</v>
      </c>
      <c r="AB272" s="14"/>
      <c r="AC272" s="15">
        <f t="shared" si="80"/>
        <v>-70.68</v>
      </c>
      <c r="AD272" s="13">
        <f>IFERROR(AC272/AC446, "NA")</f>
        <v>-0.005879074719</v>
      </c>
    </row>
    <row r="273" ht="16.5" hidden="1" customHeight="1">
      <c r="A273" s="11" t="s">
        <v>251</v>
      </c>
      <c r="B273" s="12">
        <v>0.0</v>
      </c>
      <c r="C273" s="13">
        <f>IFERROR(B273/B446, "NA")</f>
        <v>0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0</v>
      </c>
      <c r="I273" s="13">
        <f>IFERROR(H273/H446, "NA")</f>
        <v>0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0</v>
      </c>
      <c r="O273" s="13">
        <f>IFERROR(N273/N446, "NA")</f>
        <v>0</v>
      </c>
      <c r="P273" s="14"/>
      <c r="Q273" s="12">
        <v>0.0</v>
      </c>
      <c r="R273" s="13">
        <f>IFERROR(Q273/Q446, "NA")</f>
        <v>0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0</v>
      </c>
      <c r="X273" s="13">
        <f>IFERROR(W273/W446, "NA")</f>
        <v>0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0</v>
      </c>
      <c r="AD273" s="13">
        <f>IFERROR(AC273/AC446, "NA")</f>
        <v>0</v>
      </c>
    </row>
    <row r="274" ht="16.5" customHeight="1">
      <c r="A274" s="16" t="s">
        <v>252</v>
      </c>
      <c r="B274" s="17">
        <f>IFERROR(B270+B271+B272+B273, "NA")</f>
        <v>1204.99</v>
      </c>
      <c r="C274" s="18">
        <f>IFERROR(B274/B446, "NA")</f>
        <v>0.0114354124</v>
      </c>
      <c r="D274" s="8"/>
      <c r="E274" s="17">
        <f>IFERROR(E270+E271+E272+E273, "NA")</f>
        <v>1094.63</v>
      </c>
      <c r="F274" s="18">
        <f>IFERROR(E274/E446, "NA")</f>
        <v>0.01021833365</v>
      </c>
      <c r="G274" s="8"/>
      <c r="H274" s="17">
        <f t="shared" si="77"/>
        <v>-110.36</v>
      </c>
      <c r="I274" s="18">
        <f>IFERROR(H274/H446, "NA")</f>
        <v>0.06304232336</v>
      </c>
      <c r="J274" s="8"/>
      <c r="K274" s="17">
        <f>IFERROR(K270+K271+K272+K273, "NA")</f>
        <v>1092.31</v>
      </c>
      <c r="L274" s="18">
        <f>IFERROR(K274/K446, "NA")</f>
        <v>0.01107359009</v>
      </c>
      <c r="M274" s="8"/>
      <c r="N274" s="17">
        <f t="shared" si="78"/>
        <v>-112.68</v>
      </c>
      <c r="O274" s="18">
        <f>IFERROR(N274/N446, "NA")</f>
        <v>-0.01673660055</v>
      </c>
      <c r="P274" s="8"/>
      <c r="Q274" s="17">
        <f>IFERROR(Q270+Q271+Q272+Q273, "NA")</f>
        <v>7730.6</v>
      </c>
      <c r="R274" s="18">
        <f>IFERROR(Q274/Q446, "NA")</f>
        <v>0.008569593449</v>
      </c>
      <c r="S274" s="8"/>
      <c r="T274" s="17">
        <f>IFERROR(T270+T271+T272+T273, "NA")</f>
        <v>8757.04</v>
      </c>
      <c r="U274" s="18">
        <f>IFERROR(T274/T446, "NA")</f>
        <v>0.009101776521</v>
      </c>
      <c r="V274" s="8"/>
      <c r="W274" s="17">
        <f t="shared" si="79"/>
        <v>1026.44</v>
      </c>
      <c r="X274" s="18">
        <f>IFERROR(W274/W446, "NA")</f>
        <v>-0.01709941346</v>
      </c>
      <c r="Y274" s="8"/>
      <c r="Z274" s="17">
        <f>IFERROR(Z270+Z271+Z272+Z273, "NA")</f>
        <v>8121.76</v>
      </c>
      <c r="AA274" s="18">
        <f>IFERROR(Z274/Z446, "NA")</f>
        <v>0.009124812598</v>
      </c>
      <c r="AB274" s="8"/>
      <c r="AC274" s="17">
        <f t="shared" si="80"/>
        <v>391.16</v>
      </c>
      <c r="AD274" s="18">
        <f>IFERROR(AC274/AC446, "NA")</f>
        <v>0.03253620356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>
        <f>IFERROR(B276/B446, "NA")</f>
        <v>0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>
        <f>IFERROR(B277/B446, "NA")</f>
        <v>0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>
        <f>IFERROR(B278/B446, "NA")</f>
        <v>0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>
        <f>IFERROR(B279/B446, "NA")</f>
        <v>0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>
        <f>IFERROR(B280/B446, "NA")</f>
        <v>0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>
        <f>IFERROR(B281/B446, "NA")</f>
        <v>0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>
        <f>IFERROR(B282/B446, "NA")</f>
        <v>0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>
        <f>IFERROR(B283/B446, "NA")</f>
        <v>0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>
        <f>IFERROR(B284/B446, "NA")</f>
        <v>0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>
        <f>IFERROR(B285/B446, "NA")</f>
        <v>0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>
        <f>IFERROR(B287/B446, "NA")</f>
        <v>0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hidden="1" customHeight="1">
      <c r="A288" s="11" t="s">
        <v>264</v>
      </c>
      <c r="B288" s="12">
        <v>0.0</v>
      </c>
      <c r="C288" s="13">
        <f>IFERROR(B288/B446, "NA")</f>
        <v>0</v>
      </c>
      <c r="D288" s="14"/>
      <c r="E288" s="12">
        <v>0.0</v>
      </c>
      <c r="F288" s="13">
        <f>IFERROR(E288/E446, "NA")</f>
        <v>0</v>
      </c>
      <c r="G288" s="14"/>
      <c r="H288" s="15">
        <f t="shared" si="85"/>
        <v>0</v>
      </c>
      <c r="I288" s="13">
        <f>IFERROR(H288/H446, "NA")</f>
        <v>0</v>
      </c>
      <c r="J288" s="14"/>
      <c r="K288" s="12">
        <v>0.0</v>
      </c>
      <c r="L288" s="13">
        <f>IFERROR(K288/K446, "NA")</f>
        <v>0</v>
      </c>
      <c r="M288" s="14"/>
      <c r="N288" s="15">
        <f t="shared" si="86"/>
        <v>0</v>
      </c>
      <c r="O288" s="13">
        <f>IFERROR(N288/N446, "NA")</f>
        <v>0</v>
      </c>
      <c r="P288" s="14"/>
      <c r="Q288" s="12">
        <v>0.0</v>
      </c>
      <c r="R288" s="13">
        <f>IFERROR(Q288/Q446, "NA")</f>
        <v>0</v>
      </c>
      <c r="S288" s="14"/>
      <c r="T288" s="12">
        <v>0.0</v>
      </c>
      <c r="U288" s="13">
        <f>IFERROR(T288/T446, "NA")</f>
        <v>0</v>
      </c>
      <c r="V288" s="14"/>
      <c r="W288" s="15">
        <f t="shared" si="87"/>
        <v>0</v>
      </c>
      <c r="X288" s="13">
        <f>IFERROR(W288/W446, "NA")</f>
        <v>0</v>
      </c>
      <c r="Y288" s="14"/>
      <c r="Z288" s="12">
        <v>0.0</v>
      </c>
      <c r="AA288" s="13">
        <f>IFERROR(Z288/Z446, "NA")</f>
        <v>0</v>
      </c>
      <c r="AB288" s="14"/>
      <c r="AC288" s="15">
        <f t="shared" si="88"/>
        <v>0</v>
      </c>
      <c r="AD288" s="13">
        <f>IFERROR(AC288/AC446, "NA")</f>
        <v>0</v>
      </c>
    </row>
    <row r="289" ht="16.5" customHeight="1">
      <c r="A289" s="11" t="s">
        <v>265</v>
      </c>
      <c r="B289" s="12">
        <v>0.0</v>
      </c>
      <c r="C289" s="13">
        <f>IFERROR(B289/B446, "NA")</f>
        <v>0</v>
      </c>
      <c r="D289" s="14"/>
      <c r="E289" s="12">
        <v>138.0</v>
      </c>
      <c r="F289" s="13">
        <f>IFERROR(E289/E446, "NA")</f>
        <v>0.001288225285</v>
      </c>
      <c r="G289" s="14"/>
      <c r="H289" s="15">
        <f t="shared" si="85"/>
        <v>138</v>
      </c>
      <c r="I289" s="13">
        <f>IFERROR(H289/H446, "NA")</f>
        <v>-0.07883146632</v>
      </c>
      <c r="J289" s="14"/>
      <c r="K289" s="12">
        <v>137.5</v>
      </c>
      <c r="L289" s="13">
        <f>IFERROR(K289/K446, "NA")</f>
        <v>0.001393943695</v>
      </c>
      <c r="M289" s="14"/>
      <c r="N289" s="15">
        <f t="shared" si="86"/>
        <v>137.5</v>
      </c>
      <c r="O289" s="13">
        <f>IFERROR(N289/N446, "NA")</f>
        <v>0.02042316804</v>
      </c>
      <c r="P289" s="14"/>
      <c r="Q289" s="12">
        <v>825.0</v>
      </c>
      <c r="R289" s="13">
        <f>IFERROR(Q289/Q446, "NA")</f>
        <v>0.0009145363356</v>
      </c>
      <c r="S289" s="14"/>
      <c r="T289" s="12">
        <v>1104.0</v>
      </c>
      <c r="U289" s="13">
        <f>IFERROR(T289/T446, "NA")</f>
        <v>0.001147460932</v>
      </c>
      <c r="V289" s="14"/>
      <c r="W289" s="15">
        <f t="shared" si="87"/>
        <v>279</v>
      </c>
      <c r="X289" s="13">
        <f>IFERROR(W289/W446, "NA")</f>
        <v>-0.004647847272</v>
      </c>
      <c r="Y289" s="14"/>
      <c r="Z289" s="12">
        <v>1100.0</v>
      </c>
      <c r="AA289" s="13">
        <f>IFERROR(Z289/Z446, "NA")</f>
        <v>0.001235852064</v>
      </c>
      <c r="AB289" s="14"/>
      <c r="AC289" s="15">
        <f t="shared" si="88"/>
        <v>275</v>
      </c>
      <c r="AD289" s="13">
        <f>IFERROR(AC289/AC446, "NA")</f>
        <v>0.02287415885</v>
      </c>
    </row>
    <row r="290" ht="16.5" customHeight="1">
      <c r="A290" s="11" t="s">
        <v>266</v>
      </c>
      <c r="B290" s="12">
        <v>226.36</v>
      </c>
      <c r="C290" s="13">
        <f>IFERROR(B290/B446, "NA")</f>
        <v>0.002148167163</v>
      </c>
      <c r="D290" s="14"/>
      <c r="E290" s="12">
        <v>211.0</v>
      </c>
      <c r="F290" s="13">
        <f>IFERROR(E290/E446, "NA")</f>
        <v>0.001969677791</v>
      </c>
      <c r="G290" s="14"/>
      <c r="H290" s="15">
        <f t="shared" si="85"/>
        <v>-15.36</v>
      </c>
      <c r="I290" s="13">
        <f>IFERROR(H290/H446, "NA")</f>
        <v>0.008774284947</v>
      </c>
      <c r="J290" s="14"/>
      <c r="K290" s="12">
        <v>206.28</v>
      </c>
      <c r="L290" s="13">
        <f>IFERROR(K290/K446, "NA")</f>
        <v>0.002091219675</v>
      </c>
      <c r="M290" s="14"/>
      <c r="N290" s="15">
        <f t="shared" si="86"/>
        <v>-20.08</v>
      </c>
      <c r="O290" s="13">
        <f>IFERROR(N290/N446, "NA")</f>
        <v>-0.002982525195</v>
      </c>
      <c r="P290" s="14"/>
      <c r="Q290" s="12">
        <v>1606.73</v>
      </c>
      <c r="R290" s="13">
        <f>IFERROR(Q290/Q446, "NA")</f>
        <v>0.001781106626</v>
      </c>
      <c r="S290" s="14"/>
      <c r="T290" s="12">
        <v>1688.0</v>
      </c>
      <c r="U290" s="13">
        <f>IFERROR(T290/T446, "NA")</f>
        <v>0.001754451135</v>
      </c>
      <c r="V290" s="14"/>
      <c r="W290" s="15">
        <f t="shared" si="87"/>
        <v>81.27</v>
      </c>
      <c r="X290" s="13">
        <f>IFERROR(W290/W446, "NA")</f>
        <v>-0.001353872931</v>
      </c>
      <c r="Y290" s="14"/>
      <c r="Z290" s="12">
        <v>1449.75</v>
      </c>
      <c r="AA290" s="13">
        <f>IFERROR(Z290/Z446, "NA")</f>
        <v>0.001628796845</v>
      </c>
      <c r="AB290" s="14"/>
      <c r="AC290" s="15">
        <f t="shared" si="88"/>
        <v>-156.98</v>
      </c>
      <c r="AD290" s="13">
        <f>IFERROR(AC290/AC446, "NA")</f>
        <v>-0.01305740166</v>
      </c>
    </row>
    <row r="291" ht="16.5" customHeight="1">
      <c r="A291" s="11" t="s">
        <v>267</v>
      </c>
      <c r="B291" s="12">
        <v>803.8</v>
      </c>
      <c r="C291" s="13">
        <f>IFERROR(B291/B446, "NA")</f>
        <v>0.007628100221</v>
      </c>
      <c r="D291" s="14"/>
      <c r="E291" s="12">
        <v>642.74</v>
      </c>
      <c r="F291" s="13">
        <f>IFERROR(E291/E446, "NA")</f>
        <v>0.005999955939</v>
      </c>
      <c r="G291" s="14"/>
      <c r="H291" s="15">
        <f t="shared" si="85"/>
        <v>-161.06</v>
      </c>
      <c r="I291" s="13">
        <f>IFERROR(H291/H446, "NA")</f>
        <v>0.09200431859</v>
      </c>
      <c r="J291" s="14"/>
      <c r="K291" s="12">
        <v>2869.35</v>
      </c>
      <c r="L291" s="13">
        <f>IFERROR(K291/K446, "NA")</f>
        <v>0.02908881702</v>
      </c>
      <c r="M291" s="14"/>
      <c r="N291" s="15">
        <f t="shared" si="86"/>
        <v>2065.55</v>
      </c>
      <c r="O291" s="13">
        <f>IFERROR(N291/N446, "NA")</f>
        <v>0.3068005436</v>
      </c>
      <c r="P291" s="14"/>
      <c r="Q291" s="12">
        <v>4983.46</v>
      </c>
      <c r="R291" s="13">
        <f>IFERROR(Q291/Q446, "NA")</f>
        <v>0.00552430939</v>
      </c>
      <c r="S291" s="14"/>
      <c r="T291" s="12">
        <v>5772.74</v>
      </c>
      <c r="U291" s="13">
        <f>IFERROR(T291/T446, "NA")</f>
        <v>0.005999994221</v>
      </c>
      <c r="V291" s="14"/>
      <c r="W291" s="15">
        <f t="shared" si="87"/>
        <v>789.28</v>
      </c>
      <c r="X291" s="13">
        <f>IFERROR(W291/W446, "NA")</f>
        <v>-0.01314857668</v>
      </c>
      <c r="Y291" s="14"/>
      <c r="Z291" s="12">
        <v>6186.81</v>
      </c>
      <c r="AA291" s="13">
        <f>IFERROR(Z291/Z446, "NA")</f>
        <v>0.006950892643</v>
      </c>
      <c r="AB291" s="14"/>
      <c r="AC291" s="15">
        <f t="shared" si="88"/>
        <v>1203.35</v>
      </c>
      <c r="AD291" s="13">
        <f>IFERROR(AC291/AC446, "NA")</f>
        <v>0.1000931602</v>
      </c>
    </row>
    <row r="292" ht="16.5" customHeight="1">
      <c r="A292" s="11" t="s">
        <v>268</v>
      </c>
      <c r="B292" s="12">
        <v>1297.12</v>
      </c>
      <c r="C292" s="13">
        <f>IFERROR(B292/B446, "NA")</f>
        <v>0.01230973048</v>
      </c>
      <c r="D292" s="14"/>
      <c r="E292" s="12">
        <v>428.5</v>
      </c>
      <c r="F292" s="13">
        <f>IFERROR(E292/E446, "NA")</f>
        <v>0.004000032859</v>
      </c>
      <c r="G292" s="14"/>
      <c r="H292" s="15">
        <f t="shared" si="85"/>
        <v>-868.62</v>
      </c>
      <c r="I292" s="13">
        <f>IFERROR(H292/H446, "NA")</f>
        <v>0.4961926687</v>
      </c>
      <c r="J292" s="14"/>
      <c r="K292" s="12">
        <v>379.0</v>
      </c>
      <c r="L292" s="13">
        <f>IFERROR(K292/K446, "NA")</f>
        <v>0.003842215712</v>
      </c>
      <c r="M292" s="14"/>
      <c r="N292" s="15">
        <f t="shared" si="86"/>
        <v>-918.12</v>
      </c>
      <c r="O292" s="13">
        <f>IFERROR(N292/N446, "NA")</f>
        <v>-0.1363703203</v>
      </c>
      <c r="P292" s="14"/>
      <c r="Q292" s="12">
        <v>9397.57</v>
      </c>
      <c r="R292" s="13">
        <f>IFERROR(Q292/Q446, "NA")</f>
        <v>0.01041747786</v>
      </c>
      <c r="S292" s="14"/>
      <c r="T292" s="12">
        <v>3848.5</v>
      </c>
      <c r="U292" s="13">
        <f>IFERROR(T292/T446, "NA")</f>
        <v>0.004000003077</v>
      </c>
      <c r="V292" s="14"/>
      <c r="W292" s="15">
        <f t="shared" si="87"/>
        <v>-5549.07</v>
      </c>
      <c r="X292" s="13">
        <f>IFERROR(W292/W446, "NA")</f>
        <v>0.09244168409</v>
      </c>
      <c r="Y292" s="14"/>
      <c r="Z292" s="12">
        <v>2854.03</v>
      </c>
      <c r="AA292" s="13">
        <f>IFERROR(Z292/Z446, "NA")</f>
        <v>0.00320650806</v>
      </c>
      <c r="AB292" s="14"/>
      <c r="AC292" s="15">
        <f t="shared" si="88"/>
        <v>-6543.54</v>
      </c>
      <c r="AD292" s="13">
        <f>IFERROR(AC292/AC446, "NA")</f>
        <v>-0.5442835398</v>
      </c>
    </row>
    <row r="293" ht="16.5" customHeight="1">
      <c r="A293" s="11" t="s">
        <v>269</v>
      </c>
      <c r="B293" s="12">
        <v>0.0</v>
      </c>
      <c r="C293" s="13">
        <f>IFERROR(B293/B446, "NA")</f>
        <v>0</v>
      </c>
      <c r="D293" s="14"/>
      <c r="E293" s="12">
        <v>107.12</v>
      </c>
      <c r="F293" s="13">
        <f>IFERROR(E293/E446, "NA")</f>
        <v>0.0009999615399</v>
      </c>
      <c r="G293" s="14"/>
      <c r="H293" s="15">
        <f t="shared" si="85"/>
        <v>107.12</v>
      </c>
      <c r="I293" s="13">
        <f>IFERROR(H293/H446, "NA")</f>
        <v>-0.06119149763</v>
      </c>
      <c r="J293" s="14"/>
      <c r="K293" s="12">
        <v>0.0</v>
      </c>
      <c r="L293" s="13">
        <f>IFERROR(K293/K446, "NA")</f>
        <v>0</v>
      </c>
      <c r="M293" s="14"/>
      <c r="N293" s="15">
        <f t="shared" si="86"/>
        <v>0</v>
      </c>
      <c r="O293" s="13">
        <f>IFERROR(N293/N446, "NA")</f>
        <v>0</v>
      </c>
      <c r="P293" s="14"/>
      <c r="Q293" s="12">
        <v>0.0</v>
      </c>
      <c r="R293" s="13">
        <f>IFERROR(Q293/Q446, "NA")</f>
        <v>0</v>
      </c>
      <c r="S293" s="14"/>
      <c r="T293" s="12">
        <v>962.11</v>
      </c>
      <c r="U293" s="13">
        <f>IFERROR(T293/T446, "NA")</f>
        <v>0.0009999851786</v>
      </c>
      <c r="V293" s="14"/>
      <c r="W293" s="15">
        <f t="shared" si="87"/>
        <v>962.11</v>
      </c>
      <c r="X293" s="13">
        <f>IFERROR(W293/W446, "NA")</f>
        <v>-0.01602774315</v>
      </c>
      <c r="Y293" s="14"/>
      <c r="Z293" s="12">
        <v>500.86</v>
      </c>
      <c r="AA293" s="13">
        <f>IFERROR(Z293/Z446, "NA")</f>
        <v>0.0005627171497</v>
      </c>
      <c r="AB293" s="14"/>
      <c r="AC293" s="15">
        <f t="shared" si="88"/>
        <v>500.86</v>
      </c>
      <c r="AD293" s="13">
        <f>IFERROR(AC293/AC446, "NA")</f>
        <v>0.04166091347</v>
      </c>
    </row>
    <row r="294" ht="16.5" customHeight="1">
      <c r="A294" s="11" t="s">
        <v>270</v>
      </c>
      <c r="B294" s="12">
        <v>0.0</v>
      </c>
      <c r="C294" s="13">
        <f>IFERROR(B294/B446, "NA")</f>
        <v>0</v>
      </c>
      <c r="D294" s="14"/>
      <c r="E294" s="12">
        <v>107.12</v>
      </c>
      <c r="F294" s="13">
        <f>IFERROR(E294/E446, "NA")</f>
        <v>0.0009999615399</v>
      </c>
      <c r="G294" s="14"/>
      <c r="H294" s="15">
        <f t="shared" si="85"/>
        <v>107.12</v>
      </c>
      <c r="I294" s="13">
        <f>IFERROR(H294/H446, "NA")</f>
        <v>-0.06119149763</v>
      </c>
      <c r="J294" s="14"/>
      <c r="K294" s="12">
        <v>0.0</v>
      </c>
      <c r="L294" s="13">
        <f>IFERROR(K294/K446, "NA")</f>
        <v>0</v>
      </c>
      <c r="M294" s="14"/>
      <c r="N294" s="15">
        <f t="shared" si="86"/>
        <v>0</v>
      </c>
      <c r="O294" s="13">
        <f>IFERROR(N294/N446, "NA")</f>
        <v>0</v>
      </c>
      <c r="P294" s="14"/>
      <c r="Q294" s="12">
        <v>851.73</v>
      </c>
      <c r="R294" s="13">
        <f>IFERROR(Q294/Q446, "NA")</f>
        <v>0.0009441673128</v>
      </c>
      <c r="S294" s="14"/>
      <c r="T294" s="12">
        <v>962.11</v>
      </c>
      <c r="U294" s="13">
        <f>IFERROR(T294/T446, "NA")</f>
        <v>0.0009999851786</v>
      </c>
      <c r="V294" s="14"/>
      <c r="W294" s="15">
        <f t="shared" si="87"/>
        <v>110.38</v>
      </c>
      <c r="X294" s="13">
        <f>IFERROR(W294/W446, "NA")</f>
        <v>-0.001838814989</v>
      </c>
      <c r="Y294" s="14"/>
      <c r="Z294" s="12">
        <v>369.93</v>
      </c>
      <c r="AA294" s="13">
        <f>IFERROR(Z294/Z446, "NA")</f>
        <v>0.0004156170491</v>
      </c>
      <c r="AB294" s="14"/>
      <c r="AC294" s="15">
        <f t="shared" si="88"/>
        <v>-481.8</v>
      </c>
      <c r="AD294" s="13">
        <f>IFERROR(AC294/AC446, "NA")</f>
        <v>-0.04007552631</v>
      </c>
    </row>
    <row r="295" ht="16.5" customHeight="1">
      <c r="A295" s="11" t="s">
        <v>271</v>
      </c>
      <c r="B295" s="12">
        <v>300.0</v>
      </c>
      <c r="C295" s="13">
        <f>IFERROR(B295/B446, "NA")</f>
        <v>0.002847014265</v>
      </c>
      <c r="D295" s="14"/>
      <c r="E295" s="12">
        <v>346.0</v>
      </c>
      <c r="F295" s="13">
        <f>IFERROR(E295/E446, "NA")</f>
        <v>0.003229898178</v>
      </c>
      <c r="G295" s="14"/>
      <c r="H295" s="15">
        <f t="shared" si="85"/>
        <v>46</v>
      </c>
      <c r="I295" s="13">
        <f>IFERROR(H295/H446, "NA")</f>
        <v>-0.02627715544</v>
      </c>
      <c r="J295" s="14"/>
      <c r="K295" s="12">
        <v>310.0</v>
      </c>
      <c r="L295" s="13">
        <f>IFERROR(K295/K446, "NA")</f>
        <v>0.003142709421</v>
      </c>
      <c r="M295" s="14"/>
      <c r="N295" s="15">
        <f t="shared" si="86"/>
        <v>10</v>
      </c>
      <c r="O295" s="13">
        <f>IFERROR(N295/N446, "NA")</f>
        <v>0.001485321312</v>
      </c>
      <c r="P295" s="14"/>
      <c r="Q295" s="12">
        <v>1529.97</v>
      </c>
      <c r="R295" s="13">
        <f>IFERROR(Q295/Q446, "NA")</f>
        <v>0.001696015948</v>
      </c>
      <c r="S295" s="14"/>
      <c r="T295" s="12">
        <v>2768.0</v>
      </c>
      <c r="U295" s="13">
        <f>IFERROR(T295/T446, "NA")</f>
        <v>0.002876967264</v>
      </c>
      <c r="V295" s="14"/>
      <c r="W295" s="15">
        <f t="shared" si="87"/>
        <v>1238.03</v>
      </c>
      <c r="X295" s="13">
        <f>IFERROR(W295/W446, "NA")</f>
        <v>-0.02062428085</v>
      </c>
      <c r="Y295" s="14"/>
      <c r="Z295" s="12">
        <v>2708.94</v>
      </c>
      <c r="AA295" s="13">
        <f>IFERROR(Z295/Z446, "NA")</f>
        <v>0.003043499173</v>
      </c>
      <c r="AB295" s="14"/>
      <c r="AC295" s="15">
        <f t="shared" si="88"/>
        <v>1178.97</v>
      </c>
      <c r="AD295" s="13">
        <f>IFERROR(AC295/AC446, "NA")</f>
        <v>0.09806526205</v>
      </c>
    </row>
    <row r="296" ht="16.5" customHeight="1">
      <c r="A296" s="16" t="s">
        <v>272</v>
      </c>
      <c r="B296" s="17">
        <f>IFERROR(B287+B288+B289+B290+B291+B292+B293+B294+B295, "NA")</f>
        <v>2627.28</v>
      </c>
      <c r="C296" s="18">
        <f>IFERROR(B296/B446, "NA")</f>
        <v>0.02493301213</v>
      </c>
      <c r="D296" s="8"/>
      <c r="E296" s="17">
        <f>IFERROR(E287+E288+E289+E290+E291+E292+E293+E294+E295, "NA")</f>
        <v>1980.48</v>
      </c>
      <c r="F296" s="18">
        <f>IFERROR(E296/E446, "NA")</f>
        <v>0.01848771313</v>
      </c>
      <c r="G296" s="8"/>
      <c r="H296" s="17">
        <f t="shared" si="85"/>
        <v>-646.8</v>
      </c>
      <c r="I296" s="18">
        <f>IFERROR(H296/H446, "NA")</f>
        <v>0.3694796552</v>
      </c>
      <c r="J296" s="8"/>
      <c r="K296" s="17">
        <f>IFERROR(K287+K288+K289+K290+K291+K292+K293+K294+K295, "NA")</f>
        <v>3902.13</v>
      </c>
      <c r="L296" s="18">
        <f>IFERROR(K296/K446, "NA")</f>
        <v>0.03955890553</v>
      </c>
      <c r="M296" s="8"/>
      <c r="N296" s="17">
        <f t="shared" si="86"/>
        <v>1274.85</v>
      </c>
      <c r="O296" s="18">
        <f>IFERROR(N296/N446, "NA")</f>
        <v>0.1893561875</v>
      </c>
      <c r="P296" s="8"/>
      <c r="Q296" s="17">
        <f>IFERROR(Q287+Q288+Q289+Q290+Q291+Q292+Q293+Q294+Q295, "NA")</f>
        <v>19194.46</v>
      </c>
      <c r="R296" s="18">
        <f>IFERROR(Q296/Q446, "NA")</f>
        <v>0.02127761347</v>
      </c>
      <c r="S296" s="8"/>
      <c r="T296" s="17">
        <f>IFERROR(T287+T288+T289+T290+T291+T292+T293+T294+T295, "NA")</f>
        <v>17105.46</v>
      </c>
      <c r="U296" s="18">
        <f>IFERROR(T296/T446, "NA")</f>
        <v>0.01777884699</v>
      </c>
      <c r="V296" s="8"/>
      <c r="W296" s="17">
        <f t="shared" si="87"/>
        <v>-2089</v>
      </c>
      <c r="X296" s="18">
        <f>IFERROR(W296/W446, "NA")</f>
        <v>0.03480054821</v>
      </c>
      <c r="Y296" s="8"/>
      <c r="Z296" s="17">
        <f>IFERROR(Z287+Z288+Z289+Z290+Z291+Z292+Z293+Z294+Z295, "NA")</f>
        <v>15170.32</v>
      </c>
      <c r="AA296" s="18">
        <f>IFERROR(Z296/Z446, "NA")</f>
        <v>0.01704388298</v>
      </c>
      <c r="AB296" s="8"/>
      <c r="AC296" s="17">
        <f t="shared" si="88"/>
        <v>-4024.14</v>
      </c>
      <c r="AD296" s="18">
        <f>IFERROR(AC296/AC446, "NA")</f>
        <v>-0.3347229731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>
        <f>IFERROR(B298/B446, "NA")</f>
        <v>0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>
        <f>IFERROR(B299/B446, "NA")</f>
        <v>0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375.06</v>
      </c>
      <c r="C300" s="13">
        <f>IFERROR(B300/B446, "NA")</f>
        <v>0.003559337234</v>
      </c>
      <c r="D300" s="14"/>
      <c r="E300" s="12">
        <v>575.0</v>
      </c>
      <c r="F300" s="13">
        <f>IFERROR(E300/E446, "NA")</f>
        <v>0.005367605353</v>
      </c>
      <c r="G300" s="14"/>
      <c r="H300" s="15">
        <f t="shared" si="89"/>
        <v>199.94</v>
      </c>
      <c r="I300" s="13">
        <f>IFERROR(H300/H446, "NA")</f>
        <v>-0.1142142274</v>
      </c>
      <c r="J300" s="14"/>
      <c r="K300" s="12">
        <v>393.49</v>
      </c>
      <c r="L300" s="13">
        <f>IFERROR(K300/K446, "NA")</f>
        <v>0.003989112033</v>
      </c>
      <c r="M300" s="14"/>
      <c r="N300" s="15">
        <f t="shared" si="90"/>
        <v>18.43</v>
      </c>
      <c r="O300" s="13">
        <f>IFERROR(N300/N446, "NA")</f>
        <v>0.002737447178</v>
      </c>
      <c r="P300" s="14"/>
      <c r="Q300" s="12">
        <v>3585.63</v>
      </c>
      <c r="R300" s="13">
        <f>IFERROR(Q300/Q446, "NA")</f>
        <v>0.00397477445</v>
      </c>
      <c r="S300" s="14"/>
      <c r="T300" s="12">
        <v>4600.0</v>
      </c>
      <c r="U300" s="13">
        <f>IFERROR(T300/T446, "NA")</f>
        <v>0.004781087216</v>
      </c>
      <c r="V300" s="14"/>
      <c r="W300" s="15">
        <f t="shared" si="91"/>
        <v>1014.37</v>
      </c>
      <c r="X300" s="13">
        <f>IFERROR(W300/W446, "NA")</f>
        <v>-0.01689833992</v>
      </c>
      <c r="Y300" s="14"/>
      <c r="Z300" s="12">
        <v>2300.72</v>
      </c>
      <c r="AA300" s="13">
        <f>IFERROR(Z300/Z446, "NA")</f>
        <v>0.002584863237</v>
      </c>
      <c r="AB300" s="14"/>
      <c r="AC300" s="15">
        <f t="shared" si="92"/>
        <v>-1284.91</v>
      </c>
      <c r="AD300" s="13">
        <f>IFERROR(AC300/AC446, "NA")</f>
        <v>-0.1068772198</v>
      </c>
    </row>
    <row r="301" ht="16.5" hidden="1" customHeight="1">
      <c r="A301" s="11" t="s">
        <v>276</v>
      </c>
      <c r="B301" s="12">
        <v>0.0</v>
      </c>
      <c r="C301" s="13">
        <f>IFERROR(B301/B446, "NA")</f>
        <v>0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>
        <f>IFERROR(B302/B446, "NA")</f>
        <v>0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>
        <f>IFERROR(B303/B446, "NA")</f>
        <v>0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>
        <f>IFERROR(B304/B446, "NA")</f>
        <v>0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customHeight="1">
      <c r="A305" s="11" t="s">
        <v>280</v>
      </c>
      <c r="B305" s="12">
        <v>0.0</v>
      </c>
      <c r="C305" s="13">
        <f>IFERROR(B305/B446, "NA")</f>
        <v>0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150.0</v>
      </c>
      <c r="R305" s="13">
        <f>IFERROR(Q305/Q446, "NA")</f>
        <v>0.0001662793337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-150</v>
      </c>
      <c r="X305" s="13">
        <f>IFERROR(W305/W446, "NA")</f>
        <v>0.002498842619</v>
      </c>
      <c r="Y305" s="14"/>
      <c r="Z305" s="12">
        <v>348.44</v>
      </c>
      <c r="AA305" s="13">
        <f>IFERROR(Z305/Z446, "NA")</f>
        <v>0.0003914729938</v>
      </c>
      <c r="AB305" s="14"/>
      <c r="AC305" s="15">
        <f t="shared" si="92"/>
        <v>198.44</v>
      </c>
      <c r="AD305" s="13">
        <f>IFERROR(AC305/AC446, "NA")</f>
        <v>0.01650599303</v>
      </c>
    </row>
    <row r="306" ht="16.5" customHeight="1">
      <c r="A306" s="11" t="s">
        <v>281</v>
      </c>
      <c r="B306" s="12">
        <v>0.0</v>
      </c>
      <c r="C306" s="13">
        <f>IFERROR(B306/B446, "NA")</f>
        <v>0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0</v>
      </c>
      <c r="I306" s="13">
        <f>IFERROR(H306/H446, "NA")</f>
        <v>0</v>
      </c>
      <c r="J306" s="14"/>
      <c r="K306" s="12">
        <v>0.0</v>
      </c>
      <c r="L306" s="13">
        <f>IFERROR(K306/K446, "NA")</f>
        <v>0</v>
      </c>
      <c r="M306" s="14"/>
      <c r="N306" s="15">
        <f t="shared" si="90"/>
        <v>0</v>
      </c>
      <c r="O306" s="13">
        <f>IFERROR(N306/N446, "NA")</f>
        <v>0</v>
      </c>
      <c r="P306" s="14"/>
      <c r="Q306" s="12">
        <v>19.29</v>
      </c>
      <c r="R306" s="13">
        <f>IFERROR(Q306/Q446, "NA")</f>
        <v>0.00002138352232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-19.29</v>
      </c>
      <c r="X306" s="13">
        <f>IFERROR(W306/W446, "NA")</f>
        <v>0.0003213511609</v>
      </c>
      <c r="Y306" s="14"/>
      <c r="Z306" s="12">
        <v>0.0</v>
      </c>
      <c r="AA306" s="13">
        <f>IFERROR(Z306/Z446, "NA")</f>
        <v>0</v>
      </c>
      <c r="AB306" s="14"/>
      <c r="AC306" s="15">
        <f t="shared" si="92"/>
        <v>-19.29</v>
      </c>
      <c r="AD306" s="13">
        <f>IFERROR(AC306/AC446, "NA")</f>
        <v>-0.00160451827</v>
      </c>
    </row>
    <row r="307" ht="16.5" hidden="1" customHeight="1">
      <c r="A307" s="11" t="s">
        <v>282</v>
      </c>
      <c r="B307" s="12">
        <v>0.0</v>
      </c>
      <c r="C307" s="13">
        <f>IFERROR(B307/B446, "NA")</f>
        <v>0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>
        <f>IFERROR(B308/B446, "NA")</f>
        <v>0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>
        <f>IFERROR(B309/B446, "NA")</f>
        <v>0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>
        <f>IFERROR(B310/B446, "NA")</f>
        <v>0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>
        <f>IFERROR(B311/B446, "NA")</f>
        <v>0</v>
      </c>
      <c r="D311" s="14"/>
      <c r="E311" s="12">
        <v>55.0</v>
      </c>
      <c r="F311" s="13">
        <f>IFERROR(E311/E446, "NA")</f>
        <v>0.0005134231208</v>
      </c>
      <c r="G311" s="14"/>
      <c r="H311" s="15">
        <f t="shared" si="89"/>
        <v>55</v>
      </c>
      <c r="I311" s="13">
        <f>IFERROR(H311/H446, "NA")</f>
        <v>-0.03141833803</v>
      </c>
      <c r="J311" s="14"/>
      <c r="K311" s="12">
        <v>0.01</v>
      </c>
      <c r="L311" s="13">
        <f>IFERROR(K311/K446, "NA")</f>
        <v>0.0000001013777233</v>
      </c>
      <c r="M311" s="14"/>
      <c r="N311" s="15">
        <f t="shared" si="90"/>
        <v>0.01</v>
      </c>
      <c r="O311" s="13">
        <f>IFERROR(N311/N446, "NA")</f>
        <v>0.000001485321312</v>
      </c>
      <c r="P311" s="14"/>
      <c r="Q311" s="12">
        <v>195.48</v>
      </c>
      <c r="R311" s="13">
        <f>IFERROR(Q311/Q446, "NA")</f>
        <v>0.0002166952277</v>
      </c>
      <c r="S311" s="14"/>
      <c r="T311" s="12">
        <v>440.0</v>
      </c>
      <c r="U311" s="13">
        <f>IFERROR(T311/T446, "NA")</f>
        <v>0.0004573213859</v>
      </c>
      <c r="V311" s="14"/>
      <c r="W311" s="15">
        <f t="shared" si="91"/>
        <v>244.52</v>
      </c>
      <c r="X311" s="13">
        <f>IFERROR(W311/W446, "NA")</f>
        <v>-0.004073446649</v>
      </c>
      <c r="Y311" s="14"/>
      <c r="Z311" s="12">
        <v>411.02</v>
      </c>
      <c r="AA311" s="13">
        <f>IFERROR(Z311/Z446, "NA")</f>
        <v>0.0004617817412</v>
      </c>
      <c r="AB311" s="14"/>
      <c r="AC311" s="15">
        <f t="shared" si="92"/>
        <v>215.54</v>
      </c>
      <c r="AD311" s="13">
        <f>IFERROR(AC311/AC446, "NA")</f>
        <v>0.01792834982</v>
      </c>
    </row>
    <row r="312" ht="16.5" customHeight="1">
      <c r="A312" s="11" t="s">
        <v>287</v>
      </c>
      <c r="B312" s="12">
        <v>0.0</v>
      </c>
      <c r="C312" s="13">
        <f>IFERROR(B312/B446, "NA")</f>
        <v>0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26.7</v>
      </c>
      <c r="AA312" s="13">
        <f>IFERROR(Z312/Z446, "NA")</f>
        <v>0.0000299975001</v>
      </c>
      <c r="AB312" s="14"/>
      <c r="AC312" s="15">
        <f t="shared" si="92"/>
        <v>26.7</v>
      </c>
      <c r="AD312" s="13">
        <f>IFERROR(AC312/AC446, "NA")</f>
        <v>0.002220872878</v>
      </c>
    </row>
    <row r="313" ht="16.5" customHeight="1">
      <c r="A313" s="11" t="s">
        <v>288</v>
      </c>
      <c r="B313" s="12">
        <v>142.45</v>
      </c>
      <c r="C313" s="13">
        <f>IFERROR(B313/B446, "NA")</f>
        <v>0.001351857273</v>
      </c>
      <c r="D313" s="14"/>
      <c r="E313" s="12">
        <v>35.0</v>
      </c>
      <c r="F313" s="13">
        <f>IFERROR(E313/E446, "NA")</f>
        <v>0.0003267238041</v>
      </c>
      <c r="G313" s="14"/>
      <c r="H313" s="15">
        <f t="shared" si="89"/>
        <v>-107.45</v>
      </c>
      <c r="I313" s="13">
        <f>IFERROR(H313/H446, "NA")</f>
        <v>0.06138000765</v>
      </c>
      <c r="J313" s="14"/>
      <c r="K313" s="12">
        <v>160.85</v>
      </c>
      <c r="L313" s="13">
        <f>IFERROR(K313/K446, "NA")</f>
        <v>0.001630660679</v>
      </c>
      <c r="M313" s="14"/>
      <c r="N313" s="15">
        <f t="shared" si="90"/>
        <v>18.4</v>
      </c>
      <c r="O313" s="13">
        <f>IFERROR(N313/N446, "NA")</f>
        <v>0.002732991214</v>
      </c>
      <c r="P313" s="14"/>
      <c r="Q313" s="12">
        <v>2718.24</v>
      </c>
      <c r="R313" s="13">
        <f>IFERROR(Q313/Q446, "NA")</f>
        <v>0.003013247574</v>
      </c>
      <c r="S313" s="14"/>
      <c r="T313" s="12">
        <v>280.0</v>
      </c>
      <c r="U313" s="13">
        <f>IFERROR(T313/T446, "NA")</f>
        <v>0.0002910227001</v>
      </c>
      <c r="V313" s="14"/>
      <c r="W313" s="15">
        <f t="shared" si="91"/>
        <v>-2438.24</v>
      </c>
      <c r="X313" s="13">
        <f>IFERROR(W313/W446, "NA")</f>
        <v>0.04061852019</v>
      </c>
      <c r="Y313" s="14"/>
      <c r="Z313" s="12">
        <v>1467.12</v>
      </c>
      <c r="AA313" s="13">
        <f>IFERROR(Z313/Z446, "NA")</f>
        <v>0.001648312073</v>
      </c>
      <c r="AB313" s="14"/>
      <c r="AC313" s="15">
        <f t="shared" si="92"/>
        <v>-1251.12</v>
      </c>
      <c r="AD313" s="13">
        <f>IFERROR(AC313/AC446, "NA")</f>
        <v>-0.1040666096</v>
      </c>
    </row>
    <row r="314" ht="16.5" customHeight="1">
      <c r="A314" s="11" t="s">
        <v>289</v>
      </c>
      <c r="B314" s="12">
        <v>6.0</v>
      </c>
      <c r="C314" s="13">
        <f>IFERROR(B314/B446, "NA")</f>
        <v>0.0000569402853</v>
      </c>
      <c r="D314" s="14"/>
      <c r="E314" s="12">
        <v>10.0</v>
      </c>
      <c r="F314" s="13">
        <f>IFERROR(E314/E446, "NA")</f>
        <v>0.00009334965832</v>
      </c>
      <c r="G314" s="14"/>
      <c r="H314" s="15">
        <f t="shared" si="89"/>
        <v>4</v>
      </c>
      <c r="I314" s="13">
        <f>IFERROR(H314/H446, "NA")</f>
        <v>-0.002284970038</v>
      </c>
      <c r="J314" s="14"/>
      <c r="K314" s="12">
        <v>0.0</v>
      </c>
      <c r="L314" s="13">
        <f>IFERROR(K314/K446, "NA")</f>
        <v>0</v>
      </c>
      <c r="M314" s="14"/>
      <c r="N314" s="15">
        <f t="shared" si="90"/>
        <v>-6</v>
      </c>
      <c r="O314" s="13">
        <f>IFERROR(N314/N446, "NA")</f>
        <v>-0.0008911927873</v>
      </c>
      <c r="P314" s="14"/>
      <c r="Q314" s="12">
        <v>35.0</v>
      </c>
      <c r="R314" s="13">
        <f>IFERROR(Q314/Q446, "NA")</f>
        <v>0.00003879851121</v>
      </c>
      <c r="S314" s="14"/>
      <c r="T314" s="12">
        <v>80.0</v>
      </c>
      <c r="U314" s="13">
        <f>IFERROR(T314/T446, "NA")</f>
        <v>0.00008314934289</v>
      </c>
      <c r="V314" s="14"/>
      <c r="W314" s="15">
        <f t="shared" si="91"/>
        <v>45</v>
      </c>
      <c r="X314" s="13">
        <f>IFERROR(W314/W446, "NA")</f>
        <v>-0.0007496527858</v>
      </c>
      <c r="Y314" s="14"/>
      <c r="Z314" s="12">
        <v>53.75</v>
      </c>
      <c r="AA314" s="13">
        <f>IFERROR(Z314/Z446, "NA")</f>
        <v>0.00006038822585</v>
      </c>
      <c r="AB314" s="14"/>
      <c r="AC314" s="15">
        <f t="shared" si="92"/>
        <v>18.75</v>
      </c>
      <c r="AD314" s="13">
        <f>IFERROR(AC314/AC446, "NA")</f>
        <v>0.00155960174</v>
      </c>
    </row>
    <row r="315" ht="16.5" hidden="1" customHeight="1">
      <c r="A315" s="11" t="s">
        <v>290</v>
      </c>
      <c r="B315" s="12">
        <v>0.0</v>
      </c>
      <c r="C315" s="13">
        <f>IFERROR(B315/B446, "NA")</f>
        <v>0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customHeight="1">
      <c r="A316" s="11" t="s">
        <v>291</v>
      </c>
      <c r="B316" s="12">
        <v>748.97</v>
      </c>
      <c r="C316" s="13">
        <f>IFERROR(B316/B446, "NA")</f>
        <v>0.007107760913</v>
      </c>
      <c r="D316" s="14"/>
      <c r="E316" s="12">
        <v>749.87</v>
      </c>
      <c r="F316" s="13">
        <f>IFERROR(E316/E446, "NA")</f>
        <v>0.007000010829</v>
      </c>
      <c r="G316" s="14"/>
      <c r="H316" s="15">
        <f t="shared" si="89"/>
        <v>0.9</v>
      </c>
      <c r="I316" s="13">
        <f>IFERROR(H316/H446, "NA")</f>
        <v>-0.0005141182586</v>
      </c>
      <c r="J316" s="14"/>
      <c r="K316" s="12">
        <v>794.11</v>
      </c>
      <c r="L316" s="13">
        <f>IFERROR(K316/K446, "NA")</f>
        <v>0.008050506382</v>
      </c>
      <c r="M316" s="14"/>
      <c r="N316" s="15">
        <f t="shared" si="90"/>
        <v>45.14</v>
      </c>
      <c r="O316" s="13">
        <f>IFERROR(N316/N446, "NA")</f>
        <v>0.006704740403</v>
      </c>
      <c r="P316" s="14"/>
      <c r="Q316" s="12">
        <v>5991.76</v>
      </c>
      <c r="R316" s="13">
        <f>IFERROR(Q316/Q446, "NA")</f>
        <v>0.006642039071</v>
      </c>
      <c r="S316" s="14"/>
      <c r="T316" s="12">
        <v>6734.87</v>
      </c>
      <c r="U316" s="13">
        <f>IFERROR(T316/T446, "NA")</f>
        <v>0.007000000187</v>
      </c>
      <c r="V316" s="14"/>
      <c r="W316" s="15">
        <f t="shared" si="91"/>
        <v>743.11</v>
      </c>
      <c r="X316" s="13">
        <f>IFERROR(W316/W446, "NA")</f>
        <v>-0.01237943293</v>
      </c>
      <c r="Y316" s="14"/>
      <c r="Z316" s="12">
        <v>6352.88</v>
      </c>
      <c r="AA316" s="13">
        <f>IFERROR(Z316/Z446, "NA")</f>
        <v>0.0071374726</v>
      </c>
      <c r="AB316" s="14"/>
      <c r="AC316" s="15">
        <f t="shared" si="92"/>
        <v>361.12</v>
      </c>
      <c r="AD316" s="13">
        <f>IFERROR(AC316/AC446, "NA")</f>
        <v>0.03003751362</v>
      </c>
    </row>
    <row r="317" ht="16.5" customHeight="1">
      <c r="A317" s="11" t="s">
        <v>292</v>
      </c>
      <c r="B317" s="12">
        <v>49.38</v>
      </c>
      <c r="C317" s="13">
        <f>IFERROR(B317/B446, "NA")</f>
        <v>0.000468618548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-49.38</v>
      </c>
      <c r="I317" s="13">
        <f>IFERROR(H317/H446, "NA")</f>
        <v>0.02820795512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-49.38</v>
      </c>
      <c r="O317" s="13">
        <f>IFERROR(N317/N446, "NA")</f>
        <v>-0.007334516639</v>
      </c>
      <c r="P317" s="14"/>
      <c r="Q317" s="12">
        <v>407.51</v>
      </c>
      <c r="R317" s="13">
        <f>IFERROR(Q317/Q446, "NA")</f>
        <v>0.0004517366086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-407.51</v>
      </c>
      <c r="X317" s="13">
        <f>IFERROR(W317/W446, "NA")</f>
        <v>0.006788689039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-407.51</v>
      </c>
      <c r="AD317" s="13">
        <f>IFERROR(AC317/AC446, "NA")</f>
        <v>-0.03389617627</v>
      </c>
    </row>
    <row r="318" ht="16.5" hidden="1" customHeight="1">
      <c r="A318" s="11" t="s">
        <v>293</v>
      </c>
      <c r="B318" s="12">
        <v>0.0</v>
      </c>
      <c r="C318" s="13">
        <f>IFERROR(B318/B446, "NA")</f>
        <v>0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customHeight="1">
      <c r="A319" s="11" t="s">
        <v>294</v>
      </c>
      <c r="B319" s="12">
        <v>490.6</v>
      </c>
      <c r="C319" s="13">
        <f>IFERROR(B319/B446, "NA")</f>
        <v>0.004655817328</v>
      </c>
      <c r="D319" s="14"/>
      <c r="E319" s="12">
        <v>491.0</v>
      </c>
      <c r="F319" s="13">
        <f>IFERROR(E319/E446, "NA")</f>
        <v>0.004583468224</v>
      </c>
      <c r="G319" s="14"/>
      <c r="H319" s="15">
        <f t="shared" si="89"/>
        <v>0.4</v>
      </c>
      <c r="I319" s="13">
        <f>IFERROR(H319/H446, "NA")</f>
        <v>-0.0002284970038</v>
      </c>
      <c r="J319" s="14"/>
      <c r="K319" s="12">
        <v>490.6</v>
      </c>
      <c r="L319" s="13">
        <f>IFERROR(K319/K446, "NA")</f>
        <v>0.004973591103</v>
      </c>
      <c r="M319" s="14"/>
      <c r="N319" s="15">
        <f t="shared" si="90"/>
        <v>0</v>
      </c>
      <c r="O319" s="13">
        <f>IFERROR(N319/N446, "NA")</f>
        <v>0</v>
      </c>
      <c r="P319" s="14"/>
      <c r="Q319" s="12">
        <v>3924.8</v>
      </c>
      <c r="R319" s="13">
        <f>IFERROR(Q319/Q446, "NA")</f>
        <v>0.004350754194</v>
      </c>
      <c r="S319" s="14"/>
      <c r="T319" s="12">
        <v>3928.0</v>
      </c>
      <c r="U319" s="13">
        <f>IFERROR(T319/T446, "NA")</f>
        <v>0.004082632736</v>
      </c>
      <c r="V319" s="14"/>
      <c r="W319" s="15">
        <f t="shared" si="91"/>
        <v>3.2</v>
      </c>
      <c r="X319" s="13">
        <f>IFERROR(W319/W446, "NA")</f>
        <v>-0.00005330864255</v>
      </c>
      <c r="Y319" s="14"/>
      <c r="Z319" s="12">
        <v>3924.8</v>
      </c>
      <c r="AA319" s="13">
        <f>IFERROR(Z319/Z446, "NA")</f>
        <v>0.004409520164</v>
      </c>
      <c r="AB319" s="14"/>
      <c r="AC319" s="15">
        <f t="shared" si="92"/>
        <v>0</v>
      </c>
      <c r="AD319" s="13">
        <f>IFERROR(AC319/AC446, "NA")</f>
        <v>0</v>
      </c>
    </row>
    <row r="320" ht="16.5" customHeight="1">
      <c r="A320" s="11" t="s">
        <v>295</v>
      </c>
      <c r="B320" s="12">
        <v>160.6</v>
      </c>
      <c r="C320" s="13">
        <f>IFERROR(B320/B446, "NA")</f>
        <v>0.001524101637</v>
      </c>
      <c r="D320" s="14"/>
      <c r="E320" s="12">
        <v>160.0</v>
      </c>
      <c r="F320" s="13">
        <f>IFERROR(E320/E446, "NA")</f>
        <v>0.001493594533</v>
      </c>
      <c r="G320" s="14"/>
      <c r="H320" s="15">
        <f t="shared" si="89"/>
        <v>-0.6</v>
      </c>
      <c r="I320" s="13">
        <f>IFERROR(H320/H446, "NA")</f>
        <v>0.0003427455057</v>
      </c>
      <c r="J320" s="14"/>
      <c r="K320" s="12">
        <v>160.1</v>
      </c>
      <c r="L320" s="13">
        <f>IFERROR(K320/K446, "NA")</f>
        <v>0.001623057349</v>
      </c>
      <c r="M320" s="14"/>
      <c r="N320" s="15">
        <f t="shared" si="90"/>
        <v>-0.5</v>
      </c>
      <c r="O320" s="13">
        <f>IFERROR(N320/N446, "NA")</f>
        <v>-0.00007426606561</v>
      </c>
      <c r="P320" s="14"/>
      <c r="Q320" s="12">
        <v>1283.15</v>
      </c>
      <c r="R320" s="13">
        <f>IFERROR(Q320/Q446, "NA")</f>
        <v>0.001422408847</v>
      </c>
      <c r="S320" s="14"/>
      <c r="T320" s="12">
        <v>1280.0</v>
      </c>
      <c r="U320" s="13">
        <f>IFERROR(T320/T446, "NA")</f>
        <v>0.001330389486</v>
      </c>
      <c r="V320" s="14"/>
      <c r="W320" s="15">
        <f t="shared" si="91"/>
        <v>-3.15</v>
      </c>
      <c r="X320" s="13">
        <f>IFERROR(W320/W446, "NA")</f>
        <v>0.00005247569501</v>
      </c>
      <c r="Y320" s="14"/>
      <c r="Z320" s="12">
        <v>1411.31</v>
      </c>
      <c r="AA320" s="13">
        <f>IFERROR(Z320/Z446, "NA")</f>
        <v>0.001585609433</v>
      </c>
      <c r="AB320" s="14"/>
      <c r="AC320" s="15">
        <f t="shared" si="92"/>
        <v>128.16</v>
      </c>
      <c r="AD320" s="13">
        <f>IFERROR(AC320/AC446, "NA")</f>
        <v>0.01066018981</v>
      </c>
    </row>
    <row r="321" ht="16.5" customHeight="1">
      <c r="A321" s="11" t="s">
        <v>296</v>
      </c>
      <c r="B321" s="12">
        <v>1123.24</v>
      </c>
      <c r="C321" s="13">
        <f>IFERROR(B321/B446, "NA")</f>
        <v>0.01065960101</v>
      </c>
      <c r="D321" s="14"/>
      <c r="E321" s="12">
        <v>1121.0</v>
      </c>
      <c r="F321" s="13">
        <f>IFERROR(E321/E446, "NA")</f>
        <v>0.0104644967</v>
      </c>
      <c r="G321" s="14"/>
      <c r="H321" s="15">
        <f t="shared" si="89"/>
        <v>-2.24</v>
      </c>
      <c r="I321" s="13">
        <f>IFERROR(H321/H446, "NA")</f>
        <v>0.001279583221</v>
      </c>
      <c r="J321" s="14"/>
      <c r="K321" s="12">
        <v>1123.58</v>
      </c>
      <c r="L321" s="13">
        <f>IFERROR(K321/K446, "NA")</f>
        <v>0.01139059823</v>
      </c>
      <c r="M321" s="14"/>
      <c r="N321" s="15">
        <f t="shared" si="90"/>
        <v>0.34</v>
      </c>
      <c r="O321" s="13">
        <f>IFERROR(N321/N446, "NA")</f>
        <v>0.00005050092461</v>
      </c>
      <c r="P321" s="14"/>
      <c r="Q321" s="12">
        <v>8559.0</v>
      </c>
      <c r="R321" s="13">
        <f>IFERROR(Q321/Q446, "NA")</f>
        <v>0.009487898783</v>
      </c>
      <c r="S321" s="14"/>
      <c r="T321" s="12">
        <v>8968.0</v>
      </c>
      <c r="U321" s="13">
        <f>IFERROR(T321/T446, "NA")</f>
        <v>0.009321041338</v>
      </c>
      <c r="V321" s="14"/>
      <c r="W321" s="15">
        <f t="shared" si="91"/>
        <v>409</v>
      </c>
      <c r="X321" s="13">
        <f>IFERROR(W321/W446, "NA")</f>
        <v>-0.006813510876</v>
      </c>
      <c r="Y321" s="14"/>
      <c r="Z321" s="12">
        <v>9286.31</v>
      </c>
      <c r="AA321" s="13">
        <f>IFERROR(Z321/Z446, "NA")</f>
        <v>0.01043318671</v>
      </c>
      <c r="AB321" s="14"/>
      <c r="AC321" s="15">
        <f t="shared" si="92"/>
        <v>727.31</v>
      </c>
      <c r="AD321" s="13">
        <f>IFERROR(AC321/AC446, "NA")</f>
        <v>0.06049674355</v>
      </c>
    </row>
    <row r="322" ht="16.5" customHeight="1">
      <c r="A322" s="11" t="s">
        <v>297</v>
      </c>
      <c r="B322" s="12">
        <v>1120.54</v>
      </c>
      <c r="C322" s="13">
        <f>IFERROR(B322/B446, "NA")</f>
        <v>0.01063397788</v>
      </c>
      <c r="D322" s="14"/>
      <c r="E322" s="12">
        <v>1606.86</v>
      </c>
      <c r="F322" s="13">
        <f>IFERROR(E322/E446, "NA")</f>
        <v>0.0149999832</v>
      </c>
      <c r="G322" s="14"/>
      <c r="H322" s="15">
        <f t="shared" si="89"/>
        <v>486.32</v>
      </c>
      <c r="I322" s="13">
        <f>IFERROR(H322/H446, "NA")</f>
        <v>-0.2778066573</v>
      </c>
      <c r="J322" s="14"/>
      <c r="K322" s="12">
        <v>1469.27</v>
      </c>
      <c r="L322" s="13">
        <f>IFERROR(K322/K446, "NA")</f>
        <v>0.01489512475</v>
      </c>
      <c r="M322" s="14"/>
      <c r="N322" s="15">
        <f t="shared" si="90"/>
        <v>348.73</v>
      </c>
      <c r="O322" s="13">
        <f>IFERROR(N322/N446, "NA")</f>
        <v>0.05179761012</v>
      </c>
      <c r="P322" s="14"/>
      <c r="Q322" s="12">
        <v>7385.28</v>
      </c>
      <c r="R322" s="13">
        <f>IFERROR(Q322/Q446, "NA")</f>
        <v>0.008186796253</v>
      </c>
      <c r="S322" s="14"/>
      <c r="T322" s="12">
        <v>14356.21</v>
      </c>
      <c r="U322" s="13">
        <f>IFERROR(T322/T446, "NA")</f>
        <v>0.01492136785</v>
      </c>
      <c r="V322" s="14"/>
      <c r="W322" s="15">
        <f t="shared" si="91"/>
        <v>6970.93</v>
      </c>
      <c r="X322" s="13">
        <f>IFERROR(W322/W446, "NA")</f>
        <v>-0.1161283799</v>
      </c>
      <c r="Y322" s="14"/>
      <c r="Z322" s="12">
        <v>16767.67</v>
      </c>
      <c r="AA322" s="13">
        <f>IFERROR(Z322/Z446, "NA")</f>
        <v>0.01883850871</v>
      </c>
      <c r="AB322" s="14"/>
      <c r="AC322" s="15">
        <f t="shared" si="92"/>
        <v>9382.39</v>
      </c>
      <c r="AD322" s="13">
        <f>IFERROR(AC322/AC446, "NA")</f>
        <v>0.7804155611</v>
      </c>
    </row>
    <row r="323" ht="16.5" customHeight="1">
      <c r="A323" s="11" t="s">
        <v>298</v>
      </c>
      <c r="B323" s="12">
        <v>280.21</v>
      </c>
      <c r="C323" s="13">
        <f>IFERROR(B323/B446, "NA")</f>
        <v>0.002659206224</v>
      </c>
      <c r="D323" s="14"/>
      <c r="E323" s="12">
        <v>366.0</v>
      </c>
      <c r="F323" s="13">
        <f>IFERROR(E323/E446, "NA")</f>
        <v>0.003416597495</v>
      </c>
      <c r="G323" s="14"/>
      <c r="H323" s="15">
        <f t="shared" si="89"/>
        <v>85.79</v>
      </c>
      <c r="I323" s="13">
        <f>IFERROR(H323/H446, "NA")</f>
        <v>-0.0490068949</v>
      </c>
      <c r="J323" s="14"/>
      <c r="K323" s="12">
        <v>338.98</v>
      </c>
      <c r="L323" s="13">
        <f>IFERROR(K323/K446, "NA")</f>
        <v>0.003436502063</v>
      </c>
      <c r="M323" s="14"/>
      <c r="N323" s="15">
        <f t="shared" si="90"/>
        <v>58.77</v>
      </c>
      <c r="O323" s="13">
        <f>IFERROR(N323/N446, "NA")</f>
        <v>0.008729233351</v>
      </c>
      <c r="P323" s="14"/>
      <c r="Q323" s="12">
        <v>3061.68</v>
      </c>
      <c r="R323" s="13">
        <f>IFERROR(Q323/Q446, "NA")</f>
        <v>0.003393960737</v>
      </c>
      <c r="S323" s="14"/>
      <c r="T323" s="12">
        <v>2928.0</v>
      </c>
      <c r="U323" s="13">
        <f>IFERROR(T323/T446, "NA")</f>
        <v>0.00304326595</v>
      </c>
      <c r="V323" s="14"/>
      <c r="W323" s="15">
        <f t="shared" si="91"/>
        <v>-133.68</v>
      </c>
      <c r="X323" s="13">
        <f>IFERROR(W323/W446, "NA")</f>
        <v>0.002226968542</v>
      </c>
      <c r="Y323" s="14"/>
      <c r="Z323" s="12">
        <v>2792.13</v>
      </c>
      <c r="AA323" s="13">
        <f>IFERROR(Z323/Z446, "NA")</f>
        <v>0.003136963294</v>
      </c>
      <c r="AB323" s="14"/>
      <c r="AC323" s="15">
        <f t="shared" si="92"/>
        <v>-269.55</v>
      </c>
      <c r="AD323" s="13">
        <f>IFERROR(AC323/AC446, "NA")</f>
        <v>-0.02242083462</v>
      </c>
    </row>
    <row r="324" ht="16.5" customHeight="1">
      <c r="A324" s="11" t="s">
        <v>299</v>
      </c>
      <c r="B324" s="12">
        <v>0.0</v>
      </c>
      <c r="C324" s="13">
        <f>IFERROR(B324/B446, "NA")</f>
        <v>0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10.01</v>
      </c>
      <c r="R324" s="13">
        <f>IFERROR(Q324/Q446, "NA")</f>
        <v>0.0000110963742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-10.01</v>
      </c>
      <c r="X324" s="13">
        <f>IFERROR(W324/W446, "NA")</f>
        <v>0.0001667560975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-10.01</v>
      </c>
      <c r="AD324" s="13">
        <f>IFERROR(AC324/AC446, "NA")</f>
        <v>-0.0008326193823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4497.05</v>
      </c>
      <c r="C325" s="18">
        <f>IFERROR(B325/B446, "NA")</f>
        <v>0.04267721833</v>
      </c>
      <c r="D325" s="8"/>
      <c r="E325" s="17">
        <f>IFERROR(E298+E299+E300+E301+E302+E303+E304+E305+E306+E307+E308+E309+E310+E311+E312+E313+E314+E315+E316+E317+E318+E319+E320+E321+E322+E323+E324, "NA")</f>
        <v>5169.73</v>
      </c>
      <c r="F325" s="18">
        <f>IFERROR(E325/E446, "NA")</f>
        <v>0.04825925291</v>
      </c>
      <c r="G325" s="8"/>
      <c r="H325" s="17">
        <f t="shared" si="89"/>
        <v>672.68</v>
      </c>
      <c r="I325" s="18">
        <f>IFERROR(H325/H446, "NA")</f>
        <v>-0.3842634113</v>
      </c>
      <c r="J325" s="8"/>
      <c r="K325" s="17">
        <f>IFERROR(K298+K299+K300+K301+K302+K303+K304+K305+K306+K307+K308+K309+K310+K311+K312+K313+K314+K315+K316+K317+K318+K319+K320+K321+K322+K323+K324, "NA")</f>
        <v>4930.99</v>
      </c>
      <c r="L325" s="18">
        <f>IFERROR(K325/K446, "NA")</f>
        <v>0.04998925396</v>
      </c>
      <c r="M325" s="8"/>
      <c r="N325" s="17">
        <f t="shared" si="90"/>
        <v>433.94</v>
      </c>
      <c r="O325" s="18">
        <f>IFERROR(N325/N446, "NA")</f>
        <v>0.06445403302</v>
      </c>
      <c r="P325" s="8"/>
      <c r="Q325" s="17">
        <f>IFERROR(Q298+Q299+Q300+Q301+Q302+Q303+Q304+Q305+Q306+Q307+Q308+Q309+Q310+Q311+Q312+Q313+Q314+Q315+Q316+Q317+Q318+Q319+Q320+Q321+Q322+Q323+Q324, "NA")</f>
        <v>37326.83</v>
      </c>
      <c r="R325" s="18">
        <f>IFERROR(Q325/Q446, "NA")</f>
        <v>0.04137786949</v>
      </c>
      <c r="S325" s="8"/>
      <c r="T325" s="17">
        <f>IFERROR(T298+T299+T300+T301+T302+T303+T304+T305+T306+T307+T308+T309+T310+T311+T312+T313+T314+T315+T316+T317+T318+T319+T320+T321+T322+T323+T324, "NA")</f>
        <v>43595.08</v>
      </c>
      <c r="U325" s="18">
        <f>IFERROR(T325/T446, "NA")</f>
        <v>0.04531127819</v>
      </c>
      <c r="V325" s="8"/>
      <c r="W325" s="17">
        <f t="shared" si="91"/>
        <v>6268.25</v>
      </c>
      <c r="X325" s="18">
        <f>IFERROR(W325/W446, "NA")</f>
        <v>-0.1044224683</v>
      </c>
      <c r="Y325" s="8"/>
      <c r="Z325" s="17">
        <f>IFERROR(Z298+Z299+Z300+Z301+Z302+Z303+Z304+Z305+Z306+Z307+Z308+Z309+Z310+Z311+Z312+Z313+Z314+Z315+Z316+Z317+Z318+Z319+Z320+Z321+Z322+Z323+Z324, "NA")</f>
        <v>45142.85</v>
      </c>
      <c r="AA325" s="18">
        <f>IFERROR(Z325/Z446, "NA")</f>
        <v>0.05071807667</v>
      </c>
      <c r="AB325" s="8"/>
      <c r="AC325" s="17">
        <f t="shared" si="92"/>
        <v>7816.02</v>
      </c>
      <c r="AD325" s="18">
        <f>IFERROR(AC325/AC446, "NA")</f>
        <v>0.6501268476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25512.38</v>
      </c>
      <c r="C326" s="18">
        <f>IFERROR(B326/B446, "NA")</f>
        <v>0.2421136993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24077.83</v>
      </c>
      <c r="F326" s="18">
        <f>IFERROR(E326/E446, "NA")</f>
        <v>0.2247657204</v>
      </c>
      <c r="G326" s="8"/>
      <c r="H326" s="17">
        <f t="shared" si="89"/>
        <v>-1434.55</v>
      </c>
      <c r="I326" s="18">
        <f>IFERROR(H326/H446, "NA")</f>
        <v>0.8194759421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23040.41</v>
      </c>
      <c r="L326" s="18">
        <f>IFERROR(K326/K446, "NA")</f>
        <v>0.2335784309</v>
      </c>
      <c r="M326" s="8"/>
      <c r="N326" s="17">
        <f t="shared" si="90"/>
        <v>-2471.97</v>
      </c>
      <c r="O326" s="18">
        <f>IFERROR(N326/N446, "NA")</f>
        <v>-0.3671669724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215432.73</v>
      </c>
      <c r="R326" s="18">
        <f>IFERROR(Q326/Q446, "NA")</f>
        <v>0.2388134054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211365.56</v>
      </c>
      <c r="U326" s="18">
        <f>IFERROR(T326/T446, "NA")</f>
        <v>0.2196863428</v>
      </c>
      <c r="V326" s="8"/>
      <c r="W326" s="17">
        <f t="shared" si="91"/>
        <v>-4067.17</v>
      </c>
      <c r="X326" s="18">
        <f>IFERROR(W326/W446, "NA")</f>
        <v>0.06775478491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209777</v>
      </c>
      <c r="AA326" s="18">
        <f>IFERROR(Z326/Z446, "NA")</f>
        <v>0.2356848531</v>
      </c>
      <c r="AB326" s="8"/>
      <c r="AC326" s="17">
        <f t="shared" si="92"/>
        <v>-5655.73</v>
      </c>
      <c r="AD326" s="18">
        <f>IFERROR(AC326/AC446, "NA")</f>
        <v>-0.4704366053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>
        <f>IFERROR(B329/B446, "NA")</f>
        <v>0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13932.27</v>
      </c>
      <c r="C330" s="13">
        <f>IFERROR(B330/B446, "NA")</f>
        <v>0.1322179048</v>
      </c>
      <c r="D330" s="14"/>
      <c r="E330" s="12">
        <v>13932.27</v>
      </c>
      <c r="F330" s="13">
        <f>IFERROR(E330/E446, "NA")</f>
        <v>0.1300572644</v>
      </c>
      <c r="G330" s="14"/>
      <c r="H330" s="15">
        <f t="shared" si="93"/>
        <v>0</v>
      </c>
      <c r="I330" s="13">
        <f>IFERROR(H330/H446, "NA")</f>
        <v>0</v>
      </c>
      <c r="J330" s="14"/>
      <c r="K330" s="12">
        <v>13526.48</v>
      </c>
      <c r="L330" s="13">
        <f>IFERROR(K330/K446, "NA")</f>
        <v>0.1371283746</v>
      </c>
      <c r="M330" s="14"/>
      <c r="N330" s="15">
        <f t="shared" si="94"/>
        <v>-405.79</v>
      </c>
      <c r="O330" s="13">
        <f>IFERROR(N330/N446, "NA")</f>
        <v>-0.06027285353</v>
      </c>
      <c r="P330" s="14"/>
      <c r="Q330" s="12">
        <v>109023.42</v>
      </c>
      <c r="R330" s="13">
        <f>IFERROR(Q330/Q446, "NA")</f>
        <v>0.1208556109</v>
      </c>
      <c r="S330" s="14"/>
      <c r="T330" s="12">
        <v>109023.42</v>
      </c>
      <c r="U330" s="13">
        <f>IFERROR(T330/T446, "NA")</f>
        <v>0.1133153217</v>
      </c>
      <c r="V330" s="14"/>
      <c r="W330" s="15">
        <f t="shared" si="95"/>
        <v>0</v>
      </c>
      <c r="X330" s="13">
        <f>IFERROR(W330/W446, "NA")</f>
        <v>0</v>
      </c>
      <c r="Y330" s="14"/>
      <c r="Z330" s="12">
        <v>105847.96</v>
      </c>
      <c r="AA330" s="13">
        <f>IFERROR(Z330/Z446, "NA")</f>
        <v>0.1189203817</v>
      </c>
      <c r="AB330" s="14"/>
      <c r="AC330" s="15">
        <f t="shared" si="96"/>
        <v>-3175.46</v>
      </c>
      <c r="AD330" s="13">
        <f>IFERROR(AC330/AC446, "NA")</f>
        <v>-0.2641308236</v>
      </c>
    </row>
    <row r="331" ht="16.5" customHeight="1">
      <c r="A331" s="11" t="s">
        <v>305</v>
      </c>
      <c r="B331" s="12">
        <v>2516.39</v>
      </c>
      <c r="C331" s="13">
        <f>IFERROR(B331/B446, "NA")</f>
        <v>0.02388066075</v>
      </c>
      <c r="D331" s="14"/>
      <c r="E331" s="12">
        <v>2126.0</v>
      </c>
      <c r="F331" s="13">
        <f>IFERROR(E331/E446, "NA")</f>
        <v>0.01984613736</v>
      </c>
      <c r="G331" s="14"/>
      <c r="H331" s="15">
        <f t="shared" si="93"/>
        <v>-390.39</v>
      </c>
      <c r="I331" s="13">
        <f>IFERROR(H331/H446, "NA")</f>
        <v>0.2230073633</v>
      </c>
      <c r="J331" s="14"/>
      <c r="K331" s="12">
        <v>2126.0</v>
      </c>
      <c r="L331" s="13">
        <f>IFERROR(K331/K446, "NA")</f>
        <v>0.02155290396</v>
      </c>
      <c r="M331" s="14"/>
      <c r="N331" s="15">
        <f t="shared" si="94"/>
        <v>-390.39</v>
      </c>
      <c r="O331" s="13">
        <f>IFERROR(N331/N446, "NA")</f>
        <v>-0.0579854587</v>
      </c>
      <c r="P331" s="14"/>
      <c r="Q331" s="12">
        <v>18569.56</v>
      </c>
      <c r="R331" s="13">
        <f>IFERROR(Q331/Q446, "NA")</f>
        <v>0.02058489376</v>
      </c>
      <c r="S331" s="14"/>
      <c r="T331" s="12">
        <v>17008.0</v>
      </c>
      <c r="U331" s="13">
        <f>IFERROR(T331/T446, "NA")</f>
        <v>0.0176775503</v>
      </c>
      <c r="V331" s="14"/>
      <c r="W331" s="15">
        <f t="shared" si="95"/>
        <v>-1561.56</v>
      </c>
      <c r="X331" s="13">
        <f>IFERROR(W331/W446, "NA")</f>
        <v>0.0260139512</v>
      </c>
      <c r="Y331" s="14"/>
      <c r="Z331" s="12">
        <v>17099.78</v>
      </c>
      <c r="AA331" s="13">
        <f>IFERROR(Z331/Z446, "NA")</f>
        <v>0.01921163491</v>
      </c>
      <c r="AB331" s="14"/>
      <c r="AC331" s="15">
        <f t="shared" si="96"/>
        <v>-1469.78</v>
      </c>
      <c r="AD331" s="13">
        <f>IFERROR(AC331/AC446, "NA")</f>
        <v>-0.1222544771</v>
      </c>
    </row>
    <row r="332" ht="16.5" hidden="1" customHeight="1">
      <c r="A332" s="11" t="s">
        <v>306</v>
      </c>
      <c r="B332" s="12">
        <v>0.0</v>
      </c>
      <c r="C332" s="13">
        <f>IFERROR(B332/B446, "NA")</f>
        <v>0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customHeight="1">
      <c r="A333" s="11" t="s">
        <v>307</v>
      </c>
      <c r="B333" s="12">
        <v>180.0</v>
      </c>
      <c r="C333" s="13">
        <f>IFERROR(B333/B446, "NA")</f>
        <v>0.001708208559</v>
      </c>
      <c r="D333" s="14"/>
      <c r="E333" s="12">
        <v>180.0</v>
      </c>
      <c r="F333" s="13">
        <f>IFERROR(E333/E446, "NA")</f>
        <v>0.00168029385</v>
      </c>
      <c r="G333" s="14"/>
      <c r="H333" s="15">
        <f t="shared" si="93"/>
        <v>0</v>
      </c>
      <c r="I333" s="13">
        <f>IFERROR(H333/H446, "NA")</f>
        <v>0</v>
      </c>
      <c r="J333" s="14"/>
      <c r="K333" s="12">
        <v>180.0</v>
      </c>
      <c r="L333" s="13">
        <f>IFERROR(K333/K446, "NA")</f>
        <v>0.001824799019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1145.29</v>
      </c>
      <c r="R333" s="13">
        <f>IFERROR(Q333/Q446, "NA")</f>
        <v>0.001269587054</v>
      </c>
      <c r="S333" s="14"/>
      <c r="T333" s="12">
        <v>1440.0</v>
      </c>
      <c r="U333" s="13">
        <f>IFERROR(T333/T446, "NA")</f>
        <v>0.001496688172</v>
      </c>
      <c r="V333" s="14"/>
      <c r="W333" s="15">
        <f t="shared" si="95"/>
        <v>294.71</v>
      </c>
      <c r="X333" s="13">
        <f>IFERROR(W333/W446, "NA")</f>
        <v>-0.004909559389</v>
      </c>
      <c r="Y333" s="14"/>
      <c r="Z333" s="12">
        <v>1440.0</v>
      </c>
      <c r="AA333" s="13">
        <f>IFERROR(Z333/Z446, "NA")</f>
        <v>0.001617842702</v>
      </c>
      <c r="AB333" s="14"/>
      <c r="AC333" s="15">
        <f t="shared" si="96"/>
        <v>294.71</v>
      </c>
      <c r="AD333" s="13">
        <f>IFERROR(AC333/AC446, "NA")</f>
        <v>0.0245136122</v>
      </c>
    </row>
    <row r="334" ht="16.5" customHeight="1">
      <c r="A334" s="11" t="s">
        <v>308</v>
      </c>
      <c r="B334" s="12">
        <v>1254.0</v>
      </c>
      <c r="C334" s="13">
        <f>IFERROR(B334/B446, "NA")</f>
        <v>0.01190051963</v>
      </c>
      <c r="D334" s="14"/>
      <c r="E334" s="12">
        <v>1025.0</v>
      </c>
      <c r="F334" s="13">
        <f>IFERROR(E334/E446, "NA")</f>
        <v>0.009568339978</v>
      </c>
      <c r="G334" s="14"/>
      <c r="H334" s="15">
        <f t="shared" si="93"/>
        <v>-229</v>
      </c>
      <c r="I334" s="13">
        <f>IFERROR(H334/H446, "NA")</f>
        <v>0.1308145347</v>
      </c>
      <c r="J334" s="14"/>
      <c r="K334" s="12">
        <v>1024.7</v>
      </c>
      <c r="L334" s="13">
        <f>IFERROR(K334/K446, "NA")</f>
        <v>0.0103881753</v>
      </c>
      <c r="M334" s="14"/>
      <c r="N334" s="15">
        <f t="shared" si="94"/>
        <v>-229.3</v>
      </c>
      <c r="O334" s="13">
        <f>IFERROR(N334/N446, "NA")</f>
        <v>-0.03405841769</v>
      </c>
      <c r="P334" s="14"/>
      <c r="Q334" s="12">
        <v>10032.0</v>
      </c>
      <c r="R334" s="13">
        <f>IFERROR(Q334/Q446, "NA")</f>
        <v>0.01112076184</v>
      </c>
      <c r="S334" s="14"/>
      <c r="T334" s="12">
        <v>8200.0</v>
      </c>
      <c r="U334" s="13">
        <f>IFERROR(T334/T446, "NA")</f>
        <v>0.008522807646</v>
      </c>
      <c r="V334" s="14"/>
      <c r="W334" s="15">
        <f t="shared" si="95"/>
        <v>-1832</v>
      </c>
      <c r="X334" s="13">
        <f>IFERROR(W334/W446, "NA")</f>
        <v>0.03051919786</v>
      </c>
      <c r="Y334" s="14"/>
      <c r="Z334" s="12">
        <v>8197.54</v>
      </c>
      <c r="AA334" s="13">
        <f>IFERROR(Z334/Z446, "NA")</f>
        <v>0.009209951571</v>
      </c>
      <c r="AB334" s="14"/>
      <c r="AC334" s="15">
        <f t="shared" si="96"/>
        <v>-1834.46</v>
      </c>
      <c r="AD334" s="13">
        <f>IFERROR(AC334/AC446, "NA")</f>
        <v>-0.1525881071</v>
      </c>
    </row>
    <row r="335" ht="16.5" customHeight="1">
      <c r="A335" s="11" t="s">
        <v>309</v>
      </c>
      <c r="B335" s="12">
        <v>-1072.78</v>
      </c>
      <c r="C335" s="13">
        <f>IFERROR(B335/B446, "NA")</f>
        <v>-0.01018073321</v>
      </c>
      <c r="D335" s="14"/>
      <c r="E335" s="12">
        <v>-1072.78</v>
      </c>
      <c r="F335" s="13">
        <f>IFERROR(E335/E446, "NA")</f>
        <v>-0.01001436465</v>
      </c>
      <c r="G335" s="14"/>
      <c r="H335" s="15">
        <f t="shared" si="93"/>
        <v>0</v>
      </c>
      <c r="I335" s="13">
        <f>IFERROR(H335/H446, "NA")</f>
        <v>0</v>
      </c>
      <c r="J335" s="14"/>
      <c r="K335" s="12">
        <v>-1041.54</v>
      </c>
      <c r="L335" s="13">
        <f>IFERROR(K335/K446, "NA")</f>
        <v>-0.01055889539</v>
      </c>
      <c r="M335" s="14"/>
      <c r="N335" s="15">
        <f t="shared" si="94"/>
        <v>31.24</v>
      </c>
      <c r="O335" s="13">
        <f>IFERROR(N335/N446, "NA")</f>
        <v>0.004640143779</v>
      </c>
      <c r="P335" s="14"/>
      <c r="Q335" s="12">
        <v>-2145.56</v>
      </c>
      <c r="R335" s="13">
        <f>IFERROR(Q335/Q446, "NA")</f>
        <v>-0.002378415249</v>
      </c>
      <c r="S335" s="14"/>
      <c r="T335" s="12">
        <v>-2145.56</v>
      </c>
      <c r="U335" s="13">
        <f>IFERROR(T335/T446, "NA")</f>
        <v>-0.002230023802</v>
      </c>
      <c r="V335" s="14"/>
      <c r="W335" s="15">
        <f t="shared" si="95"/>
        <v>0</v>
      </c>
      <c r="X335" s="13">
        <f>IFERROR(W335/W446, "NA")</f>
        <v>0</v>
      </c>
      <c r="Y335" s="14"/>
      <c r="Z335" s="12">
        <v>-2083.08</v>
      </c>
      <c r="AA335" s="13">
        <f>IFERROR(Z335/Z446, "NA")</f>
        <v>-0.002340344288</v>
      </c>
      <c r="AB335" s="14"/>
      <c r="AC335" s="15">
        <f t="shared" si="96"/>
        <v>62.48</v>
      </c>
      <c r="AD335" s="13">
        <f>IFERROR(AC335/AC446, "NA")</f>
        <v>0.005197008892</v>
      </c>
    </row>
    <row r="336" ht="16.5" hidden="1" customHeight="1">
      <c r="A336" s="11" t="s">
        <v>310</v>
      </c>
      <c r="B336" s="12">
        <v>0.0</v>
      </c>
      <c r="C336" s="13">
        <f>IFERROR(B336/B446, "NA")</f>
        <v>0</v>
      </c>
      <c r="D336" s="14"/>
      <c r="E336" s="12">
        <v>0.0</v>
      </c>
      <c r="F336" s="13">
        <f>IFERROR(E336/E446, "NA")</f>
        <v>0</v>
      </c>
      <c r="G336" s="14"/>
      <c r="H336" s="15">
        <f t="shared" si="93"/>
        <v>0</v>
      </c>
      <c r="I336" s="13">
        <f>IFERROR(H336/H446, "NA")</f>
        <v>0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0</v>
      </c>
      <c r="O336" s="13">
        <f>IFERROR(N336/N446, "NA")</f>
        <v>0</v>
      </c>
      <c r="P336" s="14"/>
      <c r="Q336" s="12">
        <v>0.0</v>
      </c>
      <c r="R336" s="13">
        <f>IFERROR(Q336/Q446, "NA")</f>
        <v>0</v>
      </c>
      <c r="S336" s="14"/>
      <c r="T336" s="12">
        <v>0.0</v>
      </c>
      <c r="U336" s="13">
        <f>IFERROR(T336/T446, "NA")</f>
        <v>0</v>
      </c>
      <c r="V336" s="14"/>
      <c r="W336" s="15">
        <f t="shared" si="95"/>
        <v>0</v>
      </c>
      <c r="X336" s="13">
        <f>IFERROR(W336/W446, "NA")</f>
        <v>0</v>
      </c>
      <c r="Y336" s="14"/>
      <c r="Z336" s="12">
        <v>0.0</v>
      </c>
      <c r="AA336" s="13">
        <f>IFERROR(Z336/Z446, "NA")</f>
        <v>0</v>
      </c>
      <c r="AB336" s="14"/>
      <c r="AC336" s="15">
        <f t="shared" si="96"/>
        <v>0</v>
      </c>
      <c r="AD336" s="13">
        <f>IFERROR(AC336/AC446, "NA")</f>
        <v>0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>
        <f>IFERROR(B338/B446, "NA")</f>
        <v>0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372.0</v>
      </c>
      <c r="C339" s="13">
        <f>IFERROR(B339/B446, "NA")</f>
        <v>0.003530297689</v>
      </c>
      <c r="D339" s="14"/>
      <c r="E339" s="12">
        <v>428.5</v>
      </c>
      <c r="F339" s="13">
        <f>IFERROR(E339/E446, "NA")</f>
        <v>0.004000032859</v>
      </c>
      <c r="G339" s="14"/>
      <c r="H339" s="15">
        <f t="shared" si="97"/>
        <v>56.5</v>
      </c>
      <c r="I339" s="13">
        <f>IFERROR(H339/H446, "NA")</f>
        <v>-0.03227520179</v>
      </c>
      <c r="J339" s="14"/>
      <c r="K339" s="12">
        <v>592.09</v>
      </c>
      <c r="L339" s="13">
        <f>IFERROR(K339/K446, "NA")</f>
        <v>0.006002473616</v>
      </c>
      <c r="M339" s="14"/>
      <c r="N339" s="15">
        <f t="shared" si="98"/>
        <v>220.09</v>
      </c>
      <c r="O339" s="13">
        <f>IFERROR(N339/N446, "NA")</f>
        <v>0.03269043676</v>
      </c>
      <c r="P339" s="14"/>
      <c r="Q339" s="12">
        <v>2963.8</v>
      </c>
      <c r="R339" s="13">
        <f>IFERROR(Q339/Q446, "NA")</f>
        <v>0.003285457929</v>
      </c>
      <c r="S339" s="14"/>
      <c r="T339" s="12">
        <v>3848.5</v>
      </c>
      <c r="U339" s="13">
        <f>IFERROR(T339/T446, "NA")</f>
        <v>0.004000003077</v>
      </c>
      <c r="V339" s="14"/>
      <c r="W339" s="15">
        <f t="shared" si="99"/>
        <v>884.7</v>
      </c>
      <c r="X339" s="13">
        <f>IFERROR(W339/W446, "NA")</f>
        <v>-0.01473817377</v>
      </c>
      <c r="Y339" s="14"/>
      <c r="Z339" s="12">
        <v>3261.14</v>
      </c>
      <c r="AA339" s="13">
        <f>IFERROR(Z339/Z446, "NA")</f>
        <v>0.003663896909</v>
      </c>
      <c r="AB339" s="14"/>
      <c r="AC339" s="15">
        <f t="shared" si="100"/>
        <v>297.34</v>
      </c>
      <c r="AD339" s="13">
        <f>IFERROR(AC339/AC446, "NA")</f>
        <v>0.02473237234</v>
      </c>
    </row>
    <row r="340" ht="16.5" customHeight="1">
      <c r="A340" s="11" t="s">
        <v>313</v>
      </c>
      <c r="B340" s="12">
        <v>339.03</v>
      </c>
      <c r="C340" s="13">
        <f>IFERROR(B340/B446, "NA")</f>
        <v>0.003217410821</v>
      </c>
      <c r="D340" s="14"/>
      <c r="E340" s="12">
        <v>321.37</v>
      </c>
      <c r="F340" s="13">
        <f>IFERROR(E340/E446, "NA")</f>
        <v>0.002999977969</v>
      </c>
      <c r="G340" s="14"/>
      <c r="H340" s="15">
        <f t="shared" si="97"/>
        <v>-17.66</v>
      </c>
      <c r="I340" s="13">
        <f>IFERROR(H340/H446, "NA")</f>
        <v>0.01008814272</v>
      </c>
      <c r="J340" s="14"/>
      <c r="K340" s="12">
        <v>317.66</v>
      </c>
      <c r="L340" s="13">
        <f>IFERROR(K340/K446, "NA")</f>
        <v>0.003220364757</v>
      </c>
      <c r="M340" s="14"/>
      <c r="N340" s="15">
        <f t="shared" si="98"/>
        <v>-21.37</v>
      </c>
      <c r="O340" s="13">
        <f>IFERROR(N340/N446, "NA")</f>
        <v>-0.003174131644</v>
      </c>
      <c r="P340" s="14"/>
      <c r="Q340" s="12">
        <v>3342.96</v>
      </c>
      <c r="R340" s="13">
        <f>IFERROR(Q340/Q446, "NA")</f>
        <v>0.003705767743</v>
      </c>
      <c r="S340" s="14"/>
      <c r="T340" s="12">
        <v>2886.36</v>
      </c>
      <c r="U340" s="13">
        <f>IFERROR(T340/T446, "NA")</f>
        <v>0.002999986717</v>
      </c>
      <c r="V340" s="14"/>
      <c r="W340" s="15">
        <f t="shared" si="99"/>
        <v>-456.6</v>
      </c>
      <c r="X340" s="13">
        <f>IFERROR(W340/W446, "NA")</f>
        <v>0.007606476933</v>
      </c>
      <c r="Y340" s="14"/>
      <c r="Z340" s="12">
        <v>2752.31</v>
      </c>
      <c r="AA340" s="13">
        <f>IFERROR(Z340/Z446, "NA")</f>
        <v>0.003092225449</v>
      </c>
      <c r="AB340" s="14"/>
      <c r="AC340" s="15">
        <f t="shared" si="100"/>
        <v>-590.65</v>
      </c>
      <c r="AD340" s="13">
        <f>IFERROR(AC340/AC446, "NA")</f>
        <v>-0.04912953428</v>
      </c>
    </row>
    <row r="341" ht="16.5" customHeight="1">
      <c r="A341" s="11" t="s">
        <v>314</v>
      </c>
      <c r="B341" s="12">
        <v>378.0</v>
      </c>
      <c r="C341" s="13">
        <f>IFERROR(B341/B446, "NA")</f>
        <v>0.003587237974</v>
      </c>
      <c r="D341" s="14"/>
      <c r="E341" s="12">
        <v>321.37</v>
      </c>
      <c r="F341" s="13">
        <f>IFERROR(E341/E446, "NA")</f>
        <v>0.002999977969</v>
      </c>
      <c r="G341" s="14"/>
      <c r="H341" s="15">
        <f t="shared" si="97"/>
        <v>-56.63</v>
      </c>
      <c r="I341" s="13">
        <f>IFERROR(H341/H446, "NA")</f>
        <v>0.03234946332</v>
      </c>
      <c r="J341" s="14"/>
      <c r="K341" s="12">
        <v>1025.15</v>
      </c>
      <c r="L341" s="13">
        <f>IFERROR(K341/K446, "NA")</f>
        <v>0.0103927373</v>
      </c>
      <c r="M341" s="14"/>
      <c r="N341" s="15">
        <f t="shared" si="98"/>
        <v>647.15</v>
      </c>
      <c r="O341" s="13">
        <f>IFERROR(N341/N446, "NA")</f>
        <v>0.09612256871</v>
      </c>
      <c r="P341" s="14"/>
      <c r="Q341" s="12">
        <v>1904.84</v>
      </c>
      <c r="R341" s="13">
        <f>IFERROR(Q341/Q446, "NA")</f>
        <v>0.002111570174</v>
      </c>
      <c r="S341" s="14"/>
      <c r="T341" s="12">
        <v>2886.36</v>
      </c>
      <c r="U341" s="13">
        <f>IFERROR(T341/T446, "NA")</f>
        <v>0.002999986717</v>
      </c>
      <c r="V341" s="14"/>
      <c r="W341" s="15">
        <f t="shared" si="99"/>
        <v>981.52</v>
      </c>
      <c r="X341" s="13">
        <f>IFERROR(W341/W446, "NA")</f>
        <v>-0.01635109339</v>
      </c>
      <c r="Y341" s="14"/>
      <c r="Z341" s="12">
        <v>4754.33</v>
      </c>
      <c r="AA341" s="13">
        <f>IFERROR(Z341/Z446, "NA")</f>
        <v>0.005341498675</v>
      </c>
      <c r="AB341" s="14"/>
      <c r="AC341" s="15">
        <f t="shared" si="100"/>
        <v>2849.49</v>
      </c>
      <c r="AD341" s="13">
        <f>IFERROR(AC341/AC446, "NA")</f>
        <v>0.2370170433</v>
      </c>
    </row>
    <row r="342" ht="16.5" customHeight="1">
      <c r="A342" s="11" t="s">
        <v>315</v>
      </c>
      <c r="B342" s="12">
        <v>488.94</v>
      </c>
      <c r="C342" s="13">
        <f>IFERROR(B342/B446, "NA")</f>
        <v>0.004640063849</v>
      </c>
      <c r="D342" s="14"/>
      <c r="E342" s="12">
        <v>428.5</v>
      </c>
      <c r="F342" s="13">
        <f>IFERROR(E342/E446, "NA")</f>
        <v>0.004000032859</v>
      </c>
      <c r="G342" s="14"/>
      <c r="H342" s="15">
        <f t="shared" si="97"/>
        <v>-60.44</v>
      </c>
      <c r="I342" s="13">
        <f>IFERROR(H342/H446, "NA")</f>
        <v>0.03452589728</v>
      </c>
      <c r="J342" s="14"/>
      <c r="K342" s="12">
        <v>471.16</v>
      </c>
      <c r="L342" s="13">
        <f>IFERROR(K342/K446, "NA")</f>
        <v>0.004776512809</v>
      </c>
      <c r="M342" s="14"/>
      <c r="N342" s="15">
        <f t="shared" si="98"/>
        <v>-17.78</v>
      </c>
      <c r="O342" s="13">
        <f>IFERROR(N342/N446, "NA")</f>
        <v>-0.002640901293</v>
      </c>
      <c r="P342" s="14"/>
      <c r="Q342" s="12">
        <v>3879.22</v>
      </c>
      <c r="R342" s="13">
        <f>IFERROR(Q342/Q446, "NA")</f>
        <v>0.004300227447</v>
      </c>
      <c r="S342" s="14"/>
      <c r="T342" s="12">
        <v>3848.5</v>
      </c>
      <c r="U342" s="13">
        <f>IFERROR(T342/T446, "NA")</f>
        <v>0.004000003077</v>
      </c>
      <c r="V342" s="14"/>
      <c r="W342" s="15">
        <f t="shared" si="99"/>
        <v>-30.72</v>
      </c>
      <c r="X342" s="13">
        <f>IFERROR(W342/W446, "NA")</f>
        <v>0.0005117629685</v>
      </c>
      <c r="Y342" s="14"/>
      <c r="Z342" s="12">
        <v>3771.88</v>
      </c>
      <c r="AA342" s="13">
        <f>IFERROR(Z342/Z446, "NA")</f>
        <v>0.004237714257</v>
      </c>
      <c r="AB342" s="14"/>
      <c r="AC342" s="15">
        <f t="shared" si="100"/>
        <v>-107.34</v>
      </c>
      <c r="AD342" s="13">
        <f>IFERROR(AC342/AC446, "NA")</f>
        <v>-0.008928408042</v>
      </c>
    </row>
    <row r="343" ht="16.5" customHeight="1">
      <c r="A343" s="16" t="s">
        <v>316</v>
      </c>
      <c r="B343" s="17">
        <f>IFERROR(B338+B339+B340+B341+B342, "NA")</f>
        <v>1577.97</v>
      </c>
      <c r="C343" s="18">
        <f>IFERROR(B343/B446, "NA")</f>
        <v>0.01497501033</v>
      </c>
      <c r="D343" s="8"/>
      <c r="E343" s="17">
        <f>IFERROR(E338+E339+E340+E341+E342, "NA")</f>
        <v>1499.74</v>
      </c>
      <c r="F343" s="18">
        <f>IFERROR(E343/E446, "NA")</f>
        <v>0.01400002166</v>
      </c>
      <c r="G343" s="8"/>
      <c r="H343" s="17">
        <f t="shared" si="97"/>
        <v>-78.23</v>
      </c>
      <c r="I343" s="18">
        <f>IFERROR(H343/H446, "NA")</f>
        <v>0.04468830152</v>
      </c>
      <c r="J343" s="8"/>
      <c r="K343" s="17">
        <f>IFERROR(K338+K339+K340+K341+K342, "NA")</f>
        <v>2406.06</v>
      </c>
      <c r="L343" s="18">
        <f>IFERROR(K343/K446, "NA")</f>
        <v>0.02439208848</v>
      </c>
      <c r="M343" s="8"/>
      <c r="N343" s="17">
        <f t="shared" si="98"/>
        <v>828.09</v>
      </c>
      <c r="O343" s="18">
        <f>IFERROR(N343/N446, "NA")</f>
        <v>0.1229979725</v>
      </c>
      <c r="P343" s="8"/>
      <c r="Q343" s="17">
        <f>IFERROR(Q338+Q339+Q340+Q341+Q342, "NA")</f>
        <v>12090.82</v>
      </c>
      <c r="R343" s="18">
        <f>IFERROR(Q343/Q446, "NA")</f>
        <v>0.01340302329</v>
      </c>
      <c r="S343" s="8"/>
      <c r="T343" s="17">
        <f>IFERROR(T338+T339+T340+T341+T342, "NA")</f>
        <v>13469.72</v>
      </c>
      <c r="U343" s="18">
        <f>IFERROR(T343/T446, "NA")</f>
        <v>0.01399997959</v>
      </c>
      <c r="V343" s="8"/>
      <c r="W343" s="17">
        <f t="shared" si="99"/>
        <v>1378.9</v>
      </c>
      <c r="X343" s="18">
        <f>IFERROR(W343/W446, "NA")</f>
        <v>-0.02297102725</v>
      </c>
      <c r="Y343" s="8"/>
      <c r="Z343" s="17">
        <f>IFERROR(Z338+Z339+Z340+Z341+Z342, "NA")</f>
        <v>14539.66</v>
      </c>
      <c r="AA343" s="18">
        <f>IFERROR(Z343/Z446, "NA")</f>
        <v>0.01633533529</v>
      </c>
      <c r="AB343" s="8"/>
      <c r="AC343" s="17">
        <f t="shared" si="100"/>
        <v>2448.84</v>
      </c>
      <c r="AD343" s="18">
        <f>IFERROR(AC343/AC446, "NA")</f>
        <v>0.2036914733</v>
      </c>
    </row>
    <row r="344" ht="16.5" customHeight="1">
      <c r="A344" s="16" t="s">
        <v>317</v>
      </c>
      <c r="B344" s="17">
        <f>IFERROR(B329+B330+B331+B332+B333+B334+B335+B336+B338+B339+B340+B341+B342, "NA")</f>
        <v>18387.85</v>
      </c>
      <c r="C344" s="18">
        <f>IFERROR(B344/B446, "NA")</f>
        <v>0.1745015708</v>
      </c>
      <c r="D344" s="8"/>
      <c r="E344" s="17">
        <f>IFERROR(E329+E330+E331+E332+E333+E334+E335+E336+E338+E339+E340+E341+E342, "NA")</f>
        <v>17690.23</v>
      </c>
      <c r="F344" s="18">
        <f>IFERROR(E344/E446, "NA")</f>
        <v>0.1651376926</v>
      </c>
      <c r="G344" s="8"/>
      <c r="H344" s="17">
        <f t="shared" si="97"/>
        <v>-697.62</v>
      </c>
      <c r="I344" s="18">
        <f>IFERROR(H344/H446, "NA")</f>
        <v>0.3985101995</v>
      </c>
      <c r="J344" s="8"/>
      <c r="K344" s="17">
        <f>IFERROR(K329+K330+K331+K332+K333+K334+K335+K336+K338+K339+K340+K341+K342, "NA")</f>
        <v>18221.7</v>
      </c>
      <c r="L344" s="18">
        <f>IFERROR(K344/K446, "NA")</f>
        <v>0.184727446</v>
      </c>
      <c r="M344" s="8"/>
      <c r="N344" s="17">
        <f t="shared" si="98"/>
        <v>-166.15</v>
      </c>
      <c r="O344" s="18">
        <f>IFERROR(N344/N446, "NA")</f>
        <v>-0.0246786136</v>
      </c>
      <c r="P344" s="8"/>
      <c r="Q344" s="17">
        <f>IFERROR(Q329+Q330+Q331+Q332+Q333+Q334+Q335+Q336+Q338+Q339+Q340+Q341+Q342, "NA")</f>
        <v>148715.53</v>
      </c>
      <c r="R344" s="18">
        <f>IFERROR(Q344/Q446, "NA")</f>
        <v>0.1648554616</v>
      </c>
      <c r="S344" s="8"/>
      <c r="T344" s="17">
        <f>IFERROR(T329+T330+T331+T332+T333+T334+T335+T336+T338+T339+T340+T341+T342, "NA")</f>
        <v>146995.58</v>
      </c>
      <c r="U344" s="18">
        <f>IFERROR(T344/T446, "NA")</f>
        <v>0.1527823236</v>
      </c>
      <c r="V344" s="8"/>
      <c r="W344" s="17">
        <f t="shared" si="99"/>
        <v>-1719.95</v>
      </c>
      <c r="X344" s="18">
        <f>IFERROR(W344/W446, "NA")</f>
        <v>0.02865256242</v>
      </c>
      <c r="Y344" s="8"/>
      <c r="Z344" s="17">
        <f>IFERROR(Z329+Z330+Z331+Z332+Z333+Z334+Z335+Z336+Z338+Z339+Z340+Z341+Z342, "NA")</f>
        <v>145041.86</v>
      </c>
      <c r="AA344" s="18">
        <f>IFERROR(Z344/Z446, "NA")</f>
        <v>0.1629548018</v>
      </c>
      <c r="AB344" s="8"/>
      <c r="AC344" s="17">
        <f t="shared" si="100"/>
        <v>-3673.67</v>
      </c>
      <c r="AD344" s="18">
        <f>IFERROR(AC344/AC446, "NA")</f>
        <v>-0.3055713133</v>
      </c>
    </row>
    <row r="345" ht="16.5" customHeight="1">
      <c r="A345" s="16" t="s">
        <v>318</v>
      </c>
      <c r="B345" s="17">
        <f>IFERROR(B329+B330+B331+B332+B333+B334+B335+B336+B338+B339+B340+B341+B342, "NA")</f>
        <v>18387.85</v>
      </c>
      <c r="C345" s="18">
        <f>IFERROR(B345/B446, "NA")</f>
        <v>0.1745015708</v>
      </c>
      <c r="D345" s="8"/>
      <c r="E345" s="17">
        <f>IFERROR(E329+E330+E331+E332+E333+E334+E335+E336+E338+E339+E340+E341+E342, "NA")</f>
        <v>17690.23</v>
      </c>
      <c r="F345" s="18">
        <f>IFERROR(E345/E446, "NA")</f>
        <v>0.1651376926</v>
      </c>
      <c r="G345" s="8"/>
      <c r="H345" s="17">
        <f t="shared" si="97"/>
        <v>-697.62</v>
      </c>
      <c r="I345" s="18">
        <f>IFERROR(H345/H446, "NA")</f>
        <v>0.3985101995</v>
      </c>
      <c r="J345" s="8"/>
      <c r="K345" s="17">
        <f>IFERROR(K329+K330+K331+K332+K333+K334+K335+K336+K338+K339+K340+K341+K342, "NA")</f>
        <v>18221.7</v>
      </c>
      <c r="L345" s="18">
        <f>IFERROR(K345/K446, "NA")</f>
        <v>0.184727446</v>
      </c>
      <c r="M345" s="8"/>
      <c r="N345" s="17">
        <f t="shared" si="98"/>
        <v>-166.15</v>
      </c>
      <c r="O345" s="18">
        <f>IFERROR(N345/N446, "NA")</f>
        <v>-0.0246786136</v>
      </c>
      <c r="P345" s="8"/>
      <c r="Q345" s="17">
        <f>IFERROR(Q329+Q330+Q331+Q332+Q333+Q334+Q335+Q336+Q338+Q339+Q340+Q341+Q342, "NA")</f>
        <v>148715.53</v>
      </c>
      <c r="R345" s="18">
        <f>IFERROR(Q345/Q446, "NA")</f>
        <v>0.1648554616</v>
      </c>
      <c r="S345" s="8"/>
      <c r="T345" s="17">
        <f>IFERROR(T329+T330+T331+T332+T333+T334+T335+T336+T338+T339+T340+T341+T342, "NA")</f>
        <v>146995.58</v>
      </c>
      <c r="U345" s="18">
        <f>IFERROR(T345/T446, "NA")</f>
        <v>0.1527823236</v>
      </c>
      <c r="V345" s="8"/>
      <c r="W345" s="17">
        <f t="shared" si="99"/>
        <v>-1719.95</v>
      </c>
      <c r="X345" s="18">
        <f>IFERROR(W345/W446, "NA")</f>
        <v>0.02865256242</v>
      </c>
      <c r="Y345" s="8"/>
      <c r="Z345" s="17">
        <f>IFERROR(Z329+Z330+Z331+Z332+Z333+Z334+Z335+Z336+Z338+Z339+Z340+Z341+Z342, "NA")</f>
        <v>145041.86</v>
      </c>
      <c r="AA345" s="18">
        <f>IFERROR(Z345/Z446, "NA")</f>
        <v>0.1629548018</v>
      </c>
      <c r="AB345" s="8"/>
      <c r="AC345" s="17">
        <f t="shared" si="100"/>
        <v>-3673.67</v>
      </c>
      <c r="AD345" s="18">
        <f>IFERROR(AC345/AC446, "NA")</f>
        <v>-0.3055713133</v>
      </c>
    </row>
    <row r="346" ht="16.5" customHeight="1">
      <c r="A346" s="19" t="s">
        <v>319</v>
      </c>
      <c r="B346" s="20">
        <f>IFERROR(B198-B326-B345, "NA")</f>
        <v>4415.38</v>
      </c>
      <c r="C346" s="21">
        <f>IFERROR(B346/B446, "NA")</f>
        <v>0.04190216615</v>
      </c>
      <c r="D346" s="22"/>
      <c r="E346" s="20">
        <f>IFERROR(E198-E326-E345, "NA")</f>
        <v>7766.08</v>
      </c>
      <c r="F346" s="21">
        <f>IFERROR(E346/E446, "NA")</f>
        <v>0.07249609145</v>
      </c>
      <c r="G346" s="22"/>
      <c r="H346" s="20">
        <f>IFERROR(B346-E346, "NA")</f>
        <v>-3350.7</v>
      </c>
      <c r="I346" s="21">
        <f>IFERROR(H346/H446, "NA")</f>
        <v>1.914062277</v>
      </c>
      <c r="J346" s="22"/>
      <c r="K346" s="20">
        <f>IFERROR(K198-K326-K345, "NA")</f>
        <v>373.49</v>
      </c>
      <c r="L346" s="21">
        <f>IFERROR(K346/K446, "NA")</f>
        <v>0.003786356586</v>
      </c>
      <c r="M346" s="22"/>
      <c r="N346" s="20">
        <f>IFERROR(B346-K346, "NA")</f>
        <v>4041.89</v>
      </c>
      <c r="O346" s="21">
        <f>IFERROR(N346/N446, "NA")</f>
        <v>0.6003505358</v>
      </c>
      <c r="P346" s="22"/>
      <c r="Q346" s="20">
        <f>IFERROR(Q198-Q326-Q345, "NA")</f>
        <v>48167.84</v>
      </c>
      <c r="R346" s="21">
        <f>IFERROR(Q346/Q446, "NA")</f>
        <v>0.05339544229</v>
      </c>
      <c r="S346" s="22"/>
      <c r="T346" s="20">
        <f>IFERROR(T198-T326-T345, "NA")</f>
        <v>91073.69</v>
      </c>
      <c r="U346" s="21">
        <f>IFERROR(T346/T446, "NA")</f>
        <v>0.09465896848</v>
      </c>
      <c r="V346" s="22"/>
      <c r="W346" s="20">
        <f>IFERROR(Q346-T346, "NA")</f>
        <v>-42905.85</v>
      </c>
      <c r="X346" s="21">
        <f>IFERROR(W346/W446, "NA")</f>
        <v>0.714766444</v>
      </c>
      <c r="Y346" s="22"/>
      <c r="Z346" s="20">
        <f>IFERROR(Z198-Z326-Z345, "NA")</f>
        <v>28536.38</v>
      </c>
      <c r="AA346" s="21">
        <f>IFERROR(Z346/Z446, "NA")</f>
        <v>0.03206067647</v>
      </c>
      <c r="AB346" s="22"/>
      <c r="AC346" s="20">
        <f>IFERROR(Q346-Z346, "NA")</f>
        <v>19631.46</v>
      </c>
      <c r="AD346" s="21">
        <f>IFERROR(AC346/AC446, "NA")</f>
        <v>1.632920489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>
        <f>IFERROR(B348/B446, "NA")</f>
        <v>0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>
        <f>IFERROR(B350/B446, "NA")</f>
        <v>0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hidden="1" customHeight="1">
      <c r="A351" s="11" t="s">
        <v>323</v>
      </c>
      <c r="B351" s="12">
        <v>0.0</v>
      </c>
      <c r="C351" s="13">
        <f>IFERROR(B351/B446, "NA")</f>
        <v>0</v>
      </c>
      <c r="D351" s="14"/>
      <c r="E351" s="12">
        <v>0.0</v>
      </c>
      <c r="F351" s="13">
        <f>IFERROR(E351/E446, "NA")</f>
        <v>0</v>
      </c>
      <c r="G351" s="14"/>
      <c r="H351" s="15">
        <f t="shared" si="101"/>
        <v>0</v>
      </c>
      <c r="I351" s="13">
        <f>IFERROR(H351/H446, "NA")</f>
        <v>0</v>
      </c>
      <c r="J351" s="14"/>
      <c r="K351" s="12">
        <v>0.0</v>
      </c>
      <c r="L351" s="13">
        <f>IFERROR(K351/K446, "NA")</f>
        <v>0</v>
      </c>
      <c r="M351" s="14"/>
      <c r="N351" s="15">
        <f t="shared" si="102"/>
        <v>0</v>
      </c>
      <c r="O351" s="13">
        <f>IFERROR(N351/N446, "NA")</f>
        <v>0</v>
      </c>
      <c r="P351" s="14"/>
      <c r="Q351" s="12">
        <v>0.0</v>
      </c>
      <c r="R351" s="13">
        <f>IFERROR(Q351/Q446, "NA")</f>
        <v>0</v>
      </c>
      <c r="S351" s="14"/>
      <c r="T351" s="12">
        <v>0.0</v>
      </c>
      <c r="U351" s="13">
        <f>IFERROR(T351/T446, "NA")</f>
        <v>0</v>
      </c>
      <c r="V351" s="14"/>
      <c r="W351" s="15">
        <f t="shared" si="103"/>
        <v>0</v>
      </c>
      <c r="X351" s="13">
        <f>IFERROR(W351/W446, "NA")</f>
        <v>0</v>
      </c>
      <c r="Y351" s="14"/>
      <c r="Z351" s="12">
        <v>0.0</v>
      </c>
      <c r="AA351" s="13">
        <f>IFERROR(Z351/Z446, "NA")</f>
        <v>0</v>
      </c>
      <c r="AB351" s="14"/>
      <c r="AC351" s="15">
        <f t="shared" si="104"/>
        <v>0</v>
      </c>
      <c r="AD351" s="13">
        <f>IFERROR(AC351/AC446, "NA")</f>
        <v>0</v>
      </c>
    </row>
    <row r="352" ht="16.5" hidden="1" customHeight="1">
      <c r="A352" s="11" t="s">
        <v>324</v>
      </c>
      <c r="B352" s="12">
        <v>0.0</v>
      </c>
      <c r="C352" s="13">
        <f>IFERROR(B352/B446, "NA")</f>
        <v>0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hidden="1" customHeight="1">
      <c r="A353" s="11" t="s">
        <v>325</v>
      </c>
      <c r="B353" s="12">
        <v>0.0</v>
      </c>
      <c r="C353" s="13">
        <f>IFERROR(B353/B446, "NA")</f>
        <v>0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0.0</v>
      </c>
      <c r="U353" s="13">
        <f>IFERROR(T353/T446, "NA")</f>
        <v>0</v>
      </c>
      <c r="V353" s="14"/>
      <c r="W353" s="15">
        <f t="shared" si="103"/>
        <v>0</v>
      </c>
      <c r="X353" s="13">
        <f>IFERROR(W353/W446, "NA")</f>
        <v>0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hidden="1" customHeight="1">
      <c r="A354" s="11" t="s">
        <v>326</v>
      </c>
      <c r="B354" s="12">
        <v>0.0</v>
      </c>
      <c r="C354" s="13">
        <f>IFERROR(B354/B446, "NA")</f>
        <v>0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0.0</v>
      </c>
      <c r="L354" s="13">
        <f>IFERROR(K354/K446, "NA")</f>
        <v>0</v>
      </c>
      <c r="M354" s="14"/>
      <c r="N354" s="15">
        <f t="shared" si="102"/>
        <v>0</v>
      </c>
      <c r="O354" s="13">
        <f>IFERROR(N354/N446, "NA")</f>
        <v>0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0.0</v>
      </c>
      <c r="AA354" s="13">
        <f>IFERROR(Z354/Z446, "NA")</f>
        <v>0</v>
      </c>
      <c r="AB354" s="14"/>
      <c r="AC354" s="15">
        <f t="shared" si="104"/>
        <v>0</v>
      </c>
      <c r="AD354" s="13">
        <f>IFERROR(AC354/AC446, "NA")</f>
        <v>0</v>
      </c>
    </row>
    <row r="355" ht="16.5" hidden="1" customHeight="1">
      <c r="A355" s="11" t="s">
        <v>327</v>
      </c>
      <c r="B355" s="12">
        <v>0.0</v>
      </c>
      <c r="C355" s="13">
        <f>IFERROR(B355/B446, "NA")</f>
        <v>0</v>
      </c>
      <c r="D355" s="14"/>
      <c r="E355" s="12">
        <v>0.0</v>
      </c>
      <c r="F355" s="13">
        <f>IFERROR(E355/E446, "NA")</f>
        <v>0</v>
      </c>
      <c r="G355" s="14"/>
      <c r="H355" s="15">
        <f t="shared" si="101"/>
        <v>0</v>
      </c>
      <c r="I355" s="13">
        <f>IFERROR(H355/H446, "NA")</f>
        <v>0</v>
      </c>
      <c r="J355" s="14"/>
      <c r="K355" s="12">
        <v>0.0</v>
      </c>
      <c r="L355" s="13">
        <f>IFERROR(K355/K446, "NA")</f>
        <v>0</v>
      </c>
      <c r="M355" s="14"/>
      <c r="N355" s="15">
        <f t="shared" si="102"/>
        <v>0</v>
      </c>
      <c r="O355" s="13">
        <f>IFERROR(N355/N446, "NA")</f>
        <v>0</v>
      </c>
      <c r="P355" s="14"/>
      <c r="Q355" s="12">
        <v>0.0</v>
      </c>
      <c r="R355" s="13">
        <f>IFERROR(Q355/Q446, "NA")</f>
        <v>0</v>
      </c>
      <c r="S355" s="14"/>
      <c r="T355" s="12">
        <v>0.0</v>
      </c>
      <c r="U355" s="13">
        <f>IFERROR(T355/T446, "NA")</f>
        <v>0</v>
      </c>
      <c r="V355" s="14"/>
      <c r="W355" s="15">
        <f t="shared" si="103"/>
        <v>0</v>
      </c>
      <c r="X355" s="13">
        <f>IFERROR(W355/W446, "NA")</f>
        <v>0</v>
      </c>
      <c r="Y355" s="14"/>
      <c r="Z355" s="12">
        <v>0.0</v>
      </c>
      <c r="AA355" s="13">
        <f>IFERROR(Z355/Z446, "NA")</f>
        <v>0</v>
      </c>
      <c r="AB355" s="14"/>
      <c r="AC355" s="15">
        <f t="shared" si="104"/>
        <v>0</v>
      </c>
      <c r="AD355" s="13">
        <f>IFERROR(AC355/AC446, "NA")</f>
        <v>0</v>
      </c>
    </row>
    <row r="356" ht="16.5" hidden="1" customHeight="1">
      <c r="A356" s="11" t="s">
        <v>328</v>
      </c>
      <c r="B356" s="12">
        <v>0.0</v>
      </c>
      <c r="C356" s="13">
        <f>IFERROR(B356/B446, "NA")</f>
        <v>0</v>
      </c>
      <c r="D356" s="14"/>
      <c r="E356" s="12">
        <v>0.0</v>
      </c>
      <c r="F356" s="13">
        <f>IFERROR(E356/E446, "NA")</f>
        <v>0</v>
      </c>
      <c r="G356" s="14"/>
      <c r="H356" s="15">
        <f t="shared" si="101"/>
        <v>0</v>
      </c>
      <c r="I356" s="13">
        <f>IFERROR(H356/H446, "NA")</f>
        <v>0</v>
      </c>
      <c r="J356" s="14"/>
      <c r="K356" s="12">
        <v>0.0</v>
      </c>
      <c r="L356" s="13">
        <f>IFERROR(K356/K446, "NA")</f>
        <v>0</v>
      </c>
      <c r="M356" s="14"/>
      <c r="N356" s="15">
        <f t="shared" si="102"/>
        <v>0</v>
      </c>
      <c r="O356" s="13">
        <f>IFERROR(N356/N446, "NA")</f>
        <v>0</v>
      </c>
      <c r="P356" s="14"/>
      <c r="Q356" s="12">
        <v>0.0</v>
      </c>
      <c r="R356" s="13">
        <f>IFERROR(Q356/Q446, "NA")</f>
        <v>0</v>
      </c>
      <c r="S356" s="14"/>
      <c r="T356" s="12">
        <v>0.0</v>
      </c>
      <c r="U356" s="13">
        <f>IFERROR(T356/T446, "NA")</f>
        <v>0</v>
      </c>
      <c r="V356" s="14"/>
      <c r="W356" s="15">
        <f t="shared" si="103"/>
        <v>0</v>
      </c>
      <c r="X356" s="13">
        <f>IFERROR(W356/W446, "NA")</f>
        <v>0</v>
      </c>
      <c r="Y356" s="14"/>
      <c r="Z356" s="12">
        <v>0.0</v>
      </c>
      <c r="AA356" s="13">
        <f>IFERROR(Z356/Z446, "NA")</f>
        <v>0</v>
      </c>
      <c r="AB356" s="14"/>
      <c r="AC356" s="15">
        <f t="shared" si="104"/>
        <v>0</v>
      </c>
      <c r="AD356" s="13">
        <f>IFERROR(AC356/AC446, "NA")</f>
        <v>0</v>
      </c>
    </row>
    <row r="357" ht="16.5" hidden="1" customHeight="1">
      <c r="A357" s="11" t="s">
        <v>329</v>
      </c>
      <c r="B357" s="12">
        <v>0.0</v>
      </c>
      <c r="C357" s="13">
        <f>IFERROR(B357/B446, "NA")</f>
        <v>0</v>
      </c>
      <c r="D357" s="14"/>
      <c r="E357" s="12">
        <v>0.0</v>
      </c>
      <c r="F357" s="13">
        <f>IFERROR(E357/E446, "NA")</f>
        <v>0</v>
      </c>
      <c r="G357" s="14"/>
      <c r="H357" s="15">
        <f t="shared" si="101"/>
        <v>0</v>
      </c>
      <c r="I357" s="13">
        <f>IFERROR(H357/H446, "NA")</f>
        <v>0</v>
      </c>
      <c r="J357" s="14"/>
      <c r="K357" s="12">
        <v>0.0</v>
      </c>
      <c r="L357" s="13">
        <f>IFERROR(K357/K446, "NA")</f>
        <v>0</v>
      </c>
      <c r="M357" s="14"/>
      <c r="N357" s="15">
        <f t="shared" si="102"/>
        <v>0</v>
      </c>
      <c r="O357" s="13">
        <f>IFERROR(N357/N446, "NA")</f>
        <v>0</v>
      </c>
      <c r="P357" s="14"/>
      <c r="Q357" s="12">
        <v>0.0</v>
      </c>
      <c r="R357" s="13">
        <f>IFERROR(Q357/Q446, "NA")</f>
        <v>0</v>
      </c>
      <c r="S357" s="14"/>
      <c r="T357" s="12">
        <v>0.0</v>
      </c>
      <c r="U357" s="13">
        <f>IFERROR(T357/T446, "NA")</f>
        <v>0</v>
      </c>
      <c r="V357" s="14"/>
      <c r="W357" s="15">
        <f t="shared" si="103"/>
        <v>0</v>
      </c>
      <c r="X357" s="13">
        <f>IFERROR(W357/W446, "NA")</f>
        <v>0</v>
      </c>
      <c r="Y357" s="14"/>
      <c r="Z357" s="12">
        <v>0.0</v>
      </c>
      <c r="AA357" s="13">
        <f>IFERROR(Z357/Z446, "NA")</f>
        <v>0</v>
      </c>
      <c r="AB357" s="14"/>
      <c r="AC357" s="15">
        <f t="shared" si="104"/>
        <v>0</v>
      </c>
      <c r="AD357" s="13">
        <f>IFERROR(AC357/AC446, "NA")</f>
        <v>0</v>
      </c>
    </row>
    <row r="358" ht="16.5" hidden="1" customHeight="1">
      <c r="A358" s="11" t="s">
        <v>330</v>
      </c>
      <c r="B358" s="12">
        <v>0.0</v>
      </c>
      <c r="C358" s="13">
        <f>IFERROR(B358/B446, "NA")</f>
        <v>0</v>
      </c>
      <c r="D358" s="14"/>
      <c r="E358" s="12">
        <v>0.0</v>
      </c>
      <c r="F358" s="13">
        <f>IFERROR(E358/E446, "NA")</f>
        <v>0</v>
      </c>
      <c r="G358" s="14"/>
      <c r="H358" s="15">
        <f t="shared" si="101"/>
        <v>0</v>
      </c>
      <c r="I358" s="13">
        <f>IFERROR(H358/H446, "NA")</f>
        <v>0</v>
      </c>
      <c r="J358" s="14"/>
      <c r="K358" s="12">
        <v>0.0</v>
      </c>
      <c r="L358" s="13">
        <f>IFERROR(K358/K446, "NA")</f>
        <v>0</v>
      </c>
      <c r="M358" s="14"/>
      <c r="N358" s="15">
        <f t="shared" si="102"/>
        <v>0</v>
      </c>
      <c r="O358" s="13">
        <f>IFERROR(N358/N446, "NA")</f>
        <v>0</v>
      </c>
      <c r="P358" s="14"/>
      <c r="Q358" s="12">
        <v>0.0</v>
      </c>
      <c r="R358" s="13">
        <f>IFERROR(Q358/Q446, "NA")</f>
        <v>0</v>
      </c>
      <c r="S358" s="14"/>
      <c r="T358" s="12">
        <v>0.0</v>
      </c>
      <c r="U358" s="13">
        <f>IFERROR(T358/T446, "NA")</f>
        <v>0</v>
      </c>
      <c r="V358" s="14"/>
      <c r="W358" s="15">
        <f t="shared" si="103"/>
        <v>0</v>
      </c>
      <c r="X358" s="13">
        <f>IFERROR(W358/W446, "NA")</f>
        <v>0</v>
      </c>
      <c r="Y358" s="14"/>
      <c r="Z358" s="12">
        <v>0.0</v>
      </c>
      <c r="AA358" s="13">
        <f>IFERROR(Z358/Z446, "NA")</f>
        <v>0</v>
      </c>
      <c r="AB358" s="14"/>
      <c r="AC358" s="15">
        <f t="shared" si="104"/>
        <v>0</v>
      </c>
      <c r="AD358" s="13">
        <f>IFERROR(AC358/AC446, "NA")</f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>
        <f>IFERROR(B359/B446, "NA")</f>
        <v>0</v>
      </c>
      <c r="D359" s="8"/>
      <c r="E359" s="17">
        <f>IFERROR(E350+E351+E352+E353+E354+E355+E356+E357+E358, "NA")</f>
        <v>0</v>
      </c>
      <c r="F359" s="18">
        <f>IFERROR(E359/E446, "NA")</f>
        <v>0</v>
      </c>
      <c r="G359" s="8"/>
      <c r="H359" s="17">
        <f t="shared" si="101"/>
        <v>0</v>
      </c>
      <c r="I359" s="18">
        <f>IFERROR(H359/H446, "NA")</f>
        <v>0</v>
      </c>
      <c r="J359" s="8"/>
      <c r="K359" s="17">
        <f>IFERROR(K350+K351+K352+K353+K354+K355+K356+K357+K358, "NA")</f>
        <v>0</v>
      </c>
      <c r="L359" s="18">
        <f>IFERROR(K359/K446, "NA")</f>
        <v>0</v>
      </c>
      <c r="M359" s="8"/>
      <c r="N359" s="17">
        <f t="shared" si="102"/>
        <v>0</v>
      </c>
      <c r="O359" s="18">
        <f>IFERROR(N359/N446, "NA")</f>
        <v>0</v>
      </c>
      <c r="P359" s="8"/>
      <c r="Q359" s="17">
        <f>IFERROR(Q350+Q351+Q352+Q353+Q354+Q355+Q356+Q357+Q358, "NA")</f>
        <v>0</v>
      </c>
      <c r="R359" s="18">
        <f>IFERROR(Q359/Q446, "NA")</f>
        <v>0</v>
      </c>
      <c r="S359" s="8"/>
      <c r="T359" s="17">
        <f>IFERROR(T350+T351+T352+T353+T354+T355+T356+T357+T358, "NA")</f>
        <v>0</v>
      </c>
      <c r="U359" s="18">
        <f>IFERROR(T359/T446, "NA")</f>
        <v>0</v>
      </c>
      <c r="V359" s="8"/>
      <c r="W359" s="17">
        <f t="shared" si="103"/>
        <v>0</v>
      </c>
      <c r="X359" s="18">
        <f>IFERROR(W359/W446, "NA")</f>
        <v>0</v>
      </c>
      <c r="Y359" s="8"/>
      <c r="Z359" s="17">
        <f>IFERROR(Z350+Z351+Z352+Z353+Z354+Z355+Z356+Z357+Z358, "NA")</f>
        <v>0</v>
      </c>
      <c r="AA359" s="18">
        <f>IFERROR(Z359/Z446, "NA")</f>
        <v>0</v>
      </c>
      <c r="AB359" s="8"/>
      <c r="AC359" s="17">
        <f t="shared" si="104"/>
        <v>0</v>
      </c>
      <c r="AD359" s="18">
        <f>IFERROR(AC359/AC446, "NA")</f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>
        <f>IFERROR(B361/B446, "NA")</f>
        <v>0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>
        <f>IFERROR(B362/B446, "NA")</f>
        <v>0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hidden="1" customHeight="1">
      <c r="A363" s="11" t="s">
        <v>334</v>
      </c>
      <c r="B363" s="12">
        <v>0.0</v>
      </c>
      <c r="C363" s="13">
        <f>IFERROR(B363/B446, "NA")</f>
        <v>0</v>
      </c>
      <c r="D363" s="14"/>
      <c r="E363" s="12">
        <v>0.0</v>
      </c>
      <c r="F363" s="13">
        <f>IFERROR(E363/E446, "NA")</f>
        <v>0</v>
      </c>
      <c r="G363" s="14"/>
      <c r="H363" s="15">
        <f t="shared" si="105"/>
        <v>0</v>
      </c>
      <c r="I363" s="13">
        <f>IFERROR(H363/H446, "NA")</f>
        <v>0</v>
      </c>
      <c r="J363" s="14"/>
      <c r="K363" s="12">
        <v>0.0</v>
      </c>
      <c r="L363" s="13">
        <f>IFERROR(K363/K446, "NA")</f>
        <v>0</v>
      </c>
      <c r="M363" s="14"/>
      <c r="N363" s="15">
        <f t="shared" si="106"/>
        <v>0</v>
      </c>
      <c r="O363" s="13">
        <f>IFERROR(N363/N446, "NA")</f>
        <v>0</v>
      </c>
      <c r="P363" s="14"/>
      <c r="Q363" s="12">
        <v>0.0</v>
      </c>
      <c r="R363" s="13">
        <f>IFERROR(Q363/Q446, "NA")</f>
        <v>0</v>
      </c>
      <c r="S363" s="14"/>
      <c r="T363" s="12">
        <v>0.0</v>
      </c>
      <c r="U363" s="13">
        <f>IFERROR(T363/T446, "NA")</f>
        <v>0</v>
      </c>
      <c r="V363" s="14"/>
      <c r="W363" s="15">
        <f t="shared" si="107"/>
        <v>0</v>
      </c>
      <c r="X363" s="13">
        <f>IFERROR(W363/W446, "NA")</f>
        <v>0</v>
      </c>
      <c r="Y363" s="14"/>
      <c r="Z363" s="12">
        <v>0.0</v>
      </c>
      <c r="AA363" s="13">
        <f>IFERROR(Z363/Z446, "NA")</f>
        <v>0</v>
      </c>
      <c r="AB363" s="14"/>
      <c r="AC363" s="15">
        <f t="shared" si="108"/>
        <v>0</v>
      </c>
      <c r="AD363" s="13">
        <f>IFERROR(AC363/AC446, "NA")</f>
        <v>0</v>
      </c>
    </row>
    <row r="364" ht="16.5" hidden="1" customHeight="1">
      <c r="A364" s="11" t="s">
        <v>335</v>
      </c>
      <c r="B364" s="12">
        <v>0.0</v>
      </c>
      <c r="C364" s="13">
        <f>IFERROR(B364/B446, "NA")</f>
        <v>0</v>
      </c>
      <c r="D364" s="14"/>
      <c r="E364" s="12">
        <v>0.0</v>
      </c>
      <c r="F364" s="13">
        <f>IFERROR(E364/E446, "NA")</f>
        <v>0</v>
      </c>
      <c r="G364" s="14"/>
      <c r="H364" s="15">
        <f t="shared" si="105"/>
        <v>0</v>
      </c>
      <c r="I364" s="13">
        <f>IFERROR(H364/H446, "NA")</f>
        <v>0</v>
      </c>
      <c r="J364" s="14"/>
      <c r="K364" s="12">
        <v>0.0</v>
      </c>
      <c r="L364" s="13">
        <f>IFERROR(K364/K446, "NA")</f>
        <v>0</v>
      </c>
      <c r="M364" s="14"/>
      <c r="N364" s="15">
        <f t="shared" si="106"/>
        <v>0</v>
      </c>
      <c r="O364" s="13">
        <f>IFERROR(N364/N446, "NA")</f>
        <v>0</v>
      </c>
      <c r="P364" s="14"/>
      <c r="Q364" s="12">
        <v>0.0</v>
      </c>
      <c r="R364" s="13">
        <f>IFERROR(Q364/Q446, "NA")</f>
        <v>0</v>
      </c>
      <c r="S364" s="14"/>
      <c r="T364" s="12">
        <v>0.0</v>
      </c>
      <c r="U364" s="13">
        <f>IFERROR(T364/T446, "NA")</f>
        <v>0</v>
      </c>
      <c r="V364" s="14"/>
      <c r="W364" s="15">
        <f t="shared" si="107"/>
        <v>0</v>
      </c>
      <c r="X364" s="13">
        <f>IFERROR(W364/W446, "NA")</f>
        <v>0</v>
      </c>
      <c r="Y364" s="14"/>
      <c r="Z364" s="12">
        <v>0.0</v>
      </c>
      <c r="AA364" s="13">
        <f>IFERROR(Z364/Z446, "NA")</f>
        <v>0</v>
      </c>
      <c r="AB364" s="14"/>
      <c r="AC364" s="15">
        <f t="shared" si="108"/>
        <v>0</v>
      </c>
      <c r="AD364" s="13">
        <f>IFERROR(AC364/AC446, "NA")</f>
        <v>0</v>
      </c>
    </row>
    <row r="365" ht="16.5" hidden="1" customHeight="1">
      <c r="A365" s="11" t="s">
        <v>336</v>
      </c>
      <c r="B365" s="12">
        <v>0.0</v>
      </c>
      <c r="C365" s="13">
        <f>IFERROR(B365/B446, "NA")</f>
        <v>0</v>
      </c>
      <c r="D365" s="14"/>
      <c r="E365" s="12">
        <v>0.0</v>
      </c>
      <c r="F365" s="13">
        <f>IFERROR(E365/E446, "NA")</f>
        <v>0</v>
      </c>
      <c r="G365" s="14"/>
      <c r="H365" s="15">
        <f t="shared" si="105"/>
        <v>0</v>
      </c>
      <c r="I365" s="13">
        <f>IFERROR(H365/H446, "NA")</f>
        <v>0</v>
      </c>
      <c r="J365" s="14"/>
      <c r="K365" s="12">
        <v>0.0</v>
      </c>
      <c r="L365" s="13">
        <f>IFERROR(K365/K446, "NA")</f>
        <v>0</v>
      </c>
      <c r="M365" s="14"/>
      <c r="N365" s="15">
        <f t="shared" si="106"/>
        <v>0</v>
      </c>
      <c r="O365" s="13">
        <f>IFERROR(N365/N446, "NA")</f>
        <v>0</v>
      </c>
      <c r="P365" s="14"/>
      <c r="Q365" s="12">
        <v>0.0</v>
      </c>
      <c r="R365" s="13">
        <f>IFERROR(Q365/Q446, "NA")</f>
        <v>0</v>
      </c>
      <c r="S365" s="14"/>
      <c r="T365" s="12">
        <v>0.0</v>
      </c>
      <c r="U365" s="13">
        <f>IFERROR(T365/T446, "NA")</f>
        <v>0</v>
      </c>
      <c r="V365" s="14"/>
      <c r="W365" s="15">
        <f t="shared" si="107"/>
        <v>0</v>
      </c>
      <c r="X365" s="13">
        <f>IFERROR(W365/W446, "NA")</f>
        <v>0</v>
      </c>
      <c r="Y365" s="14"/>
      <c r="Z365" s="12">
        <v>0.0</v>
      </c>
      <c r="AA365" s="13">
        <f>IFERROR(Z365/Z446, "NA")</f>
        <v>0</v>
      </c>
      <c r="AB365" s="14"/>
      <c r="AC365" s="15">
        <f t="shared" si="108"/>
        <v>0</v>
      </c>
      <c r="AD365" s="13">
        <f>IFERROR(AC365/AC446, "NA")</f>
        <v>0</v>
      </c>
    </row>
    <row r="366" ht="16.5" hidden="1" customHeight="1">
      <c r="A366" s="11" t="s">
        <v>337</v>
      </c>
      <c r="B366" s="12">
        <v>0.0</v>
      </c>
      <c r="C366" s="13">
        <f>IFERROR(B366/B446, "NA")</f>
        <v>0</v>
      </c>
      <c r="D366" s="14"/>
      <c r="E366" s="12">
        <v>0.0</v>
      </c>
      <c r="F366" s="13">
        <f>IFERROR(E366/E446, "NA")</f>
        <v>0</v>
      </c>
      <c r="G366" s="14"/>
      <c r="H366" s="15">
        <f t="shared" si="105"/>
        <v>0</v>
      </c>
      <c r="I366" s="13">
        <f>IFERROR(H366/H446, "NA")</f>
        <v>0</v>
      </c>
      <c r="J366" s="14"/>
      <c r="K366" s="12">
        <v>0.0</v>
      </c>
      <c r="L366" s="13">
        <f>IFERROR(K366/K446, "NA")</f>
        <v>0</v>
      </c>
      <c r="M366" s="14"/>
      <c r="N366" s="15">
        <f t="shared" si="106"/>
        <v>0</v>
      </c>
      <c r="O366" s="13">
        <f>IFERROR(N366/N446, "NA")</f>
        <v>0</v>
      </c>
      <c r="P366" s="14"/>
      <c r="Q366" s="12">
        <v>0.0</v>
      </c>
      <c r="R366" s="13">
        <f>IFERROR(Q366/Q446, "NA")</f>
        <v>0</v>
      </c>
      <c r="S366" s="14"/>
      <c r="T366" s="12">
        <v>0.0</v>
      </c>
      <c r="U366" s="13">
        <f>IFERROR(T366/T446, "NA")</f>
        <v>0</v>
      </c>
      <c r="V366" s="14"/>
      <c r="W366" s="15">
        <f t="shared" si="107"/>
        <v>0</v>
      </c>
      <c r="X366" s="13">
        <f>IFERROR(W366/W446, "NA")</f>
        <v>0</v>
      </c>
      <c r="Y366" s="14"/>
      <c r="Z366" s="12">
        <v>0.0</v>
      </c>
      <c r="AA366" s="13">
        <f>IFERROR(Z366/Z446, "NA")</f>
        <v>0</v>
      </c>
      <c r="AB366" s="14"/>
      <c r="AC366" s="15">
        <f t="shared" si="108"/>
        <v>0</v>
      </c>
      <c r="AD366" s="13">
        <f>IFERROR(AC366/AC446, "NA")</f>
        <v>0</v>
      </c>
    </row>
    <row r="367" ht="16.5" hidden="1" customHeight="1">
      <c r="A367" s="11" t="s">
        <v>338</v>
      </c>
      <c r="B367" s="12">
        <v>0.0</v>
      </c>
      <c r="C367" s="13">
        <f>IFERROR(B367/B446, "NA")</f>
        <v>0</v>
      </c>
      <c r="D367" s="14"/>
      <c r="E367" s="12">
        <v>0.0</v>
      </c>
      <c r="F367" s="13">
        <f>IFERROR(E367/E446, "NA")</f>
        <v>0</v>
      </c>
      <c r="G367" s="14"/>
      <c r="H367" s="15">
        <f t="shared" si="105"/>
        <v>0</v>
      </c>
      <c r="I367" s="13">
        <f>IFERROR(H367/H446, "NA")</f>
        <v>0</v>
      </c>
      <c r="J367" s="14"/>
      <c r="K367" s="12">
        <v>0.0</v>
      </c>
      <c r="L367" s="13">
        <f>IFERROR(K367/K446, "NA")</f>
        <v>0</v>
      </c>
      <c r="M367" s="14"/>
      <c r="N367" s="15">
        <f t="shared" si="106"/>
        <v>0</v>
      </c>
      <c r="O367" s="13">
        <f>IFERROR(N367/N446, "NA")</f>
        <v>0</v>
      </c>
      <c r="P367" s="14"/>
      <c r="Q367" s="12">
        <v>0.0</v>
      </c>
      <c r="R367" s="13">
        <f>IFERROR(Q367/Q446, "NA")</f>
        <v>0</v>
      </c>
      <c r="S367" s="14"/>
      <c r="T367" s="12">
        <v>0.0</v>
      </c>
      <c r="U367" s="13">
        <f>IFERROR(T367/T446, "NA")</f>
        <v>0</v>
      </c>
      <c r="V367" s="14"/>
      <c r="W367" s="15">
        <f t="shared" si="107"/>
        <v>0</v>
      </c>
      <c r="X367" s="13">
        <f>IFERROR(W367/W446, "NA")</f>
        <v>0</v>
      </c>
      <c r="Y367" s="14"/>
      <c r="Z367" s="12">
        <v>0.0</v>
      </c>
      <c r="AA367" s="13">
        <f>IFERROR(Z367/Z446, "NA")</f>
        <v>0</v>
      </c>
      <c r="AB367" s="14"/>
      <c r="AC367" s="15">
        <f t="shared" si="108"/>
        <v>0</v>
      </c>
      <c r="AD367" s="13">
        <f>IFERROR(AC367/AC446, "NA")</f>
        <v>0</v>
      </c>
    </row>
    <row r="368" ht="16.5" hidden="1" customHeight="1">
      <c r="A368" s="11" t="s">
        <v>339</v>
      </c>
      <c r="B368" s="12">
        <v>0.0</v>
      </c>
      <c r="C368" s="13">
        <f>IFERROR(B368/B446, "NA")</f>
        <v>0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0.0</v>
      </c>
      <c r="L368" s="13">
        <f>IFERROR(K368/K446, "NA")</f>
        <v>0</v>
      </c>
      <c r="M368" s="14"/>
      <c r="N368" s="15">
        <f t="shared" si="106"/>
        <v>0</v>
      </c>
      <c r="O368" s="13">
        <f>IFERROR(N368/N446, "NA")</f>
        <v>0</v>
      </c>
      <c r="P368" s="14"/>
      <c r="Q368" s="12">
        <v>0.0</v>
      </c>
      <c r="R368" s="13">
        <f>IFERROR(Q368/Q446, "NA")</f>
        <v>0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0</v>
      </c>
      <c r="X368" s="13">
        <f>IFERROR(W368/W446, "NA")</f>
        <v>0</v>
      </c>
      <c r="Y368" s="14"/>
      <c r="Z368" s="12">
        <v>0.0</v>
      </c>
      <c r="AA368" s="13">
        <f>IFERROR(Z368/Z446, "NA")</f>
        <v>0</v>
      </c>
      <c r="AB368" s="14"/>
      <c r="AC368" s="15">
        <f t="shared" si="108"/>
        <v>0</v>
      </c>
      <c r="AD368" s="13">
        <f>IFERROR(AC368/AC446, "NA")</f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>
        <f>IFERROR(B369/B446, "NA")</f>
        <v>0</v>
      </c>
      <c r="D369" s="8"/>
      <c r="E369" s="17">
        <f>IFERROR(E361+E362+E363+E364+E365+E366+E367+E368, "NA")</f>
        <v>0</v>
      </c>
      <c r="F369" s="18">
        <f>IFERROR(E369/E446, "NA")</f>
        <v>0</v>
      </c>
      <c r="G369" s="8"/>
      <c r="H369" s="17">
        <f t="shared" si="105"/>
        <v>0</v>
      </c>
      <c r="I369" s="18">
        <f>IFERROR(H369/H446, "NA")</f>
        <v>0</v>
      </c>
      <c r="J369" s="8"/>
      <c r="K369" s="17">
        <f>IFERROR(K361+K362+K363+K364+K365+K366+K367+K368, "NA")</f>
        <v>0</v>
      </c>
      <c r="L369" s="18">
        <f>IFERROR(K369/K446, "NA")</f>
        <v>0</v>
      </c>
      <c r="M369" s="8"/>
      <c r="N369" s="17">
        <f t="shared" si="106"/>
        <v>0</v>
      </c>
      <c r="O369" s="18">
        <f>IFERROR(N369/N446, "NA")</f>
        <v>0</v>
      </c>
      <c r="P369" s="8"/>
      <c r="Q369" s="17">
        <f>IFERROR(Q361+Q362+Q363+Q364+Q365+Q366+Q367+Q368, "NA")</f>
        <v>0</v>
      </c>
      <c r="R369" s="18">
        <f>IFERROR(Q369/Q446, "NA")</f>
        <v>0</v>
      </c>
      <c r="S369" s="8"/>
      <c r="T369" s="17">
        <f>IFERROR(T361+T362+T363+T364+T365+T366+T367+T368, "NA")</f>
        <v>0</v>
      </c>
      <c r="U369" s="18">
        <f>IFERROR(T369/T446, "NA")</f>
        <v>0</v>
      </c>
      <c r="V369" s="8"/>
      <c r="W369" s="17">
        <f t="shared" si="107"/>
        <v>0</v>
      </c>
      <c r="X369" s="18">
        <f>IFERROR(W369/W446, "NA")</f>
        <v>0</v>
      </c>
      <c r="Y369" s="8"/>
      <c r="Z369" s="17">
        <f>IFERROR(Z361+Z362+Z363+Z364+Z365+Z366+Z367+Z368, "NA")</f>
        <v>0</v>
      </c>
      <c r="AA369" s="18">
        <f>IFERROR(Z369/Z446, "NA")</f>
        <v>0</v>
      </c>
      <c r="AB369" s="8"/>
      <c r="AC369" s="17">
        <f t="shared" si="108"/>
        <v>0</v>
      </c>
      <c r="AD369" s="18">
        <f>IFERROR(AC369/AC446, "NA")</f>
        <v>0</v>
      </c>
    </row>
    <row r="370" ht="16.5" hidden="1" customHeight="1">
      <c r="A370" s="11" t="s">
        <v>341</v>
      </c>
      <c r="B370" s="12">
        <v>0.0</v>
      </c>
      <c r="C370" s="13">
        <f>IFERROR(B370/B446, "NA")</f>
        <v>0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hidden="1" customHeight="1">
      <c r="A371" s="11" t="s">
        <v>342</v>
      </c>
      <c r="B371" s="12">
        <v>0.0</v>
      </c>
      <c r="C371" s="13">
        <f>IFERROR(B371/B446, "NA")</f>
        <v>0</v>
      </c>
      <c r="D371" s="14"/>
      <c r="E371" s="12">
        <v>0.0</v>
      </c>
      <c r="F371" s="13">
        <f>IFERROR(E371/E446, "NA")</f>
        <v>0</v>
      </c>
      <c r="G371" s="14"/>
      <c r="H371" s="15">
        <f t="shared" si="105"/>
        <v>0</v>
      </c>
      <c r="I371" s="13">
        <f>IFERROR(H371/H446, "NA")</f>
        <v>0</v>
      </c>
      <c r="J371" s="14"/>
      <c r="K371" s="12">
        <v>0.0</v>
      </c>
      <c r="L371" s="13">
        <f>IFERROR(K371/K446, "NA")</f>
        <v>0</v>
      </c>
      <c r="M371" s="14"/>
      <c r="N371" s="15">
        <f t="shared" si="106"/>
        <v>0</v>
      </c>
      <c r="O371" s="13">
        <f>IFERROR(N371/N446, "NA")</f>
        <v>0</v>
      </c>
      <c r="P371" s="14"/>
      <c r="Q371" s="12">
        <v>0.0</v>
      </c>
      <c r="R371" s="13">
        <f>IFERROR(Q371/Q446, "NA")</f>
        <v>0</v>
      </c>
      <c r="S371" s="14"/>
      <c r="T371" s="12">
        <v>0.0</v>
      </c>
      <c r="U371" s="13">
        <f>IFERROR(T371/T446, "NA")</f>
        <v>0</v>
      </c>
      <c r="V371" s="14"/>
      <c r="W371" s="15">
        <f t="shared" si="107"/>
        <v>0</v>
      </c>
      <c r="X371" s="13">
        <f>IFERROR(W371/W446, "NA")</f>
        <v>0</v>
      </c>
      <c r="Y371" s="14"/>
      <c r="Z371" s="12">
        <v>0.0</v>
      </c>
      <c r="AA371" s="13">
        <f>IFERROR(Z371/Z446, "NA")</f>
        <v>0</v>
      </c>
      <c r="AB371" s="14"/>
      <c r="AC371" s="15">
        <f t="shared" si="108"/>
        <v>0</v>
      </c>
      <c r="AD371" s="13">
        <f>IFERROR(AC371/AC446, "NA")</f>
        <v>0</v>
      </c>
    </row>
    <row r="372" ht="16.5" hidden="1" customHeight="1">
      <c r="A372" s="11" t="s">
        <v>343</v>
      </c>
      <c r="B372" s="12">
        <v>0.0</v>
      </c>
      <c r="C372" s="13">
        <f>IFERROR(B372/B446, "NA")</f>
        <v>0</v>
      </c>
      <c r="D372" s="14"/>
      <c r="E372" s="12">
        <v>0.0</v>
      </c>
      <c r="F372" s="13">
        <f>IFERROR(E372/E446, "NA")</f>
        <v>0</v>
      </c>
      <c r="G372" s="14"/>
      <c r="H372" s="15">
        <f t="shared" si="105"/>
        <v>0</v>
      </c>
      <c r="I372" s="13">
        <f>IFERROR(H372/H446, "NA")</f>
        <v>0</v>
      </c>
      <c r="J372" s="14"/>
      <c r="K372" s="12">
        <v>0.0</v>
      </c>
      <c r="L372" s="13">
        <f>IFERROR(K372/K446, "NA")</f>
        <v>0</v>
      </c>
      <c r="M372" s="14"/>
      <c r="N372" s="15">
        <f t="shared" si="106"/>
        <v>0</v>
      </c>
      <c r="O372" s="13">
        <f>IFERROR(N372/N446, "NA")</f>
        <v>0</v>
      </c>
      <c r="P372" s="14"/>
      <c r="Q372" s="12">
        <v>0.0</v>
      </c>
      <c r="R372" s="13">
        <f>IFERROR(Q372/Q446, "NA")</f>
        <v>0</v>
      </c>
      <c r="S372" s="14"/>
      <c r="T372" s="12">
        <v>0.0</v>
      </c>
      <c r="U372" s="13">
        <f>IFERROR(T372/T446, "NA")</f>
        <v>0</v>
      </c>
      <c r="V372" s="14"/>
      <c r="W372" s="15">
        <f t="shared" si="107"/>
        <v>0</v>
      </c>
      <c r="X372" s="13">
        <f>IFERROR(W372/W446, "NA")</f>
        <v>0</v>
      </c>
      <c r="Y372" s="14"/>
      <c r="Z372" s="12">
        <v>0.0</v>
      </c>
      <c r="AA372" s="13">
        <f>IFERROR(Z372/Z446, "NA")</f>
        <v>0</v>
      </c>
      <c r="AB372" s="14"/>
      <c r="AC372" s="15">
        <f t="shared" si="108"/>
        <v>0</v>
      </c>
      <c r="AD372" s="13">
        <f>IFERROR(AC372/AC446, "NA")</f>
        <v>0</v>
      </c>
    </row>
    <row r="373" ht="16.5" hidden="1" customHeight="1">
      <c r="A373" s="11" t="s">
        <v>344</v>
      </c>
      <c r="B373" s="12">
        <v>0.0</v>
      </c>
      <c r="C373" s="13">
        <f>IFERROR(B373/B446, "NA")</f>
        <v>0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0</v>
      </c>
      <c r="I373" s="13">
        <f>IFERROR(H373/H446, "NA")</f>
        <v>0</v>
      </c>
      <c r="J373" s="14"/>
      <c r="K373" s="12">
        <v>0.0</v>
      </c>
      <c r="L373" s="13">
        <f>IFERROR(K373/K446, "NA")</f>
        <v>0</v>
      </c>
      <c r="M373" s="14"/>
      <c r="N373" s="15">
        <f t="shared" si="106"/>
        <v>0</v>
      </c>
      <c r="O373" s="13">
        <f>IFERROR(N373/N446, "NA")</f>
        <v>0</v>
      </c>
      <c r="P373" s="14"/>
      <c r="Q373" s="12">
        <v>0.0</v>
      </c>
      <c r="R373" s="13">
        <f>IFERROR(Q373/Q446, "NA")</f>
        <v>0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0</v>
      </c>
      <c r="X373" s="13">
        <f>IFERROR(W373/W446, "NA")</f>
        <v>0</v>
      </c>
      <c r="Y373" s="14"/>
      <c r="Z373" s="12">
        <v>0.0</v>
      </c>
      <c r="AA373" s="13">
        <f>IFERROR(Z373/Z446, "NA")</f>
        <v>0</v>
      </c>
      <c r="AB373" s="14"/>
      <c r="AC373" s="15">
        <f t="shared" si="108"/>
        <v>0</v>
      </c>
      <c r="AD373" s="13">
        <f>IFERROR(AC373/AC446, "NA")</f>
        <v>0</v>
      </c>
    </row>
    <row r="374" ht="16.5" hidden="1" customHeight="1">
      <c r="A374" s="11" t="s">
        <v>345</v>
      </c>
      <c r="B374" s="12">
        <v>0.0</v>
      </c>
      <c r="C374" s="13">
        <f>IFERROR(B374/B446, "NA")</f>
        <v>0</v>
      </c>
      <c r="D374" s="14"/>
      <c r="E374" s="12">
        <v>0.0</v>
      </c>
      <c r="F374" s="13">
        <f>IFERROR(E374/E446, "NA")</f>
        <v>0</v>
      </c>
      <c r="G374" s="14"/>
      <c r="H374" s="15">
        <f t="shared" si="105"/>
        <v>0</v>
      </c>
      <c r="I374" s="13">
        <f>IFERROR(H374/H446, "NA")</f>
        <v>0</v>
      </c>
      <c r="J374" s="14"/>
      <c r="K374" s="12">
        <v>0.0</v>
      </c>
      <c r="L374" s="13">
        <f>IFERROR(K374/K446, "NA")</f>
        <v>0</v>
      </c>
      <c r="M374" s="14"/>
      <c r="N374" s="15">
        <f t="shared" si="106"/>
        <v>0</v>
      </c>
      <c r="O374" s="13">
        <f>IFERROR(N374/N446, "NA")</f>
        <v>0</v>
      </c>
      <c r="P374" s="14"/>
      <c r="Q374" s="12">
        <v>0.0</v>
      </c>
      <c r="R374" s="13">
        <f>IFERROR(Q374/Q446, "NA")</f>
        <v>0</v>
      </c>
      <c r="S374" s="14"/>
      <c r="T374" s="12">
        <v>0.0</v>
      </c>
      <c r="U374" s="13">
        <f>IFERROR(T374/T446, "NA")</f>
        <v>0</v>
      </c>
      <c r="V374" s="14"/>
      <c r="W374" s="15">
        <f t="shared" si="107"/>
        <v>0</v>
      </c>
      <c r="X374" s="13">
        <f>IFERROR(W374/W446, "NA")</f>
        <v>0</v>
      </c>
      <c r="Y374" s="14"/>
      <c r="Z374" s="12">
        <v>0.0</v>
      </c>
      <c r="AA374" s="13">
        <f>IFERROR(Z374/Z446, "NA")</f>
        <v>0</v>
      </c>
      <c r="AB374" s="14"/>
      <c r="AC374" s="15">
        <f t="shared" si="108"/>
        <v>0</v>
      </c>
      <c r="AD374" s="13">
        <f>IFERROR(AC374/AC446, "NA")</f>
        <v>0</v>
      </c>
    </row>
    <row r="375" ht="16.5" hidden="1" customHeight="1">
      <c r="A375" s="11" t="s">
        <v>346</v>
      </c>
      <c r="B375" s="12">
        <v>0.0</v>
      </c>
      <c r="C375" s="13">
        <f>IFERROR(B375/B446, "NA")</f>
        <v>0</v>
      </c>
      <c r="D375" s="14"/>
      <c r="E375" s="12">
        <v>0.0</v>
      </c>
      <c r="F375" s="13">
        <f>IFERROR(E375/E446, "NA")</f>
        <v>0</v>
      </c>
      <c r="G375" s="14"/>
      <c r="H375" s="15">
        <f t="shared" si="105"/>
        <v>0</v>
      </c>
      <c r="I375" s="13">
        <f>IFERROR(H375/H446, "NA")</f>
        <v>0</v>
      </c>
      <c r="J375" s="14"/>
      <c r="K375" s="12">
        <v>0.0</v>
      </c>
      <c r="L375" s="13">
        <f>IFERROR(K375/K446, "NA")</f>
        <v>0</v>
      </c>
      <c r="M375" s="14"/>
      <c r="N375" s="15">
        <f t="shared" si="106"/>
        <v>0</v>
      </c>
      <c r="O375" s="13">
        <f>IFERROR(N375/N446, "NA")</f>
        <v>0</v>
      </c>
      <c r="P375" s="14"/>
      <c r="Q375" s="12">
        <v>0.0</v>
      </c>
      <c r="R375" s="13">
        <f>IFERROR(Q375/Q446, "NA")</f>
        <v>0</v>
      </c>
      <c r="S375" s="14"/>
      <c r="T375" s="12">
        <v>0.0</v>
      </c>
      <c r="U375" s="13">
        <f>IFERROR(T375/T446, "NA")</f>
        <v>0</v>
      </c>
      <c r="V375" s="14"/>
      <c r="W375" s="15">
        <f t="shared" si="107"/>
        <v>0</v>
      </c>
      <c r="X375" s="13">
        <f>IFERROR(W375/W446, "NA")</f>
        <v>0</v>
      </c>
      <c r="Y375" s="14"/>
      <c r="Z375" s="12">
        <v>0.0</v>
      </c>
      <c r="AA375" s="13">
        <f>IFERROR(Z375/Z446, "NA")</f>
        <v>0</v>
      </c>
      <c r="AB375" s="14"/>
      <c r="AC375" s="15">
        <f t="shared" si="108"/>
        <v>0</v>
      </c>
      <c r="AD375" s="13">
        <f>IFERROR(AC375/AC446, "NA")</f>
        <v>0</v>
      </c>
    </row>
    <row r="376" ht="16.5" hidden="1" customHeight="1">
      <c r="A376" s="11" t="s">
        <v>347</v>
      </c>
      <c r="B376" s="12">
        <v>0.0</v>
      </c>
      <c r="C376" s="13">
        <f>IFERROR(B376/B446, "NA")</f>
        <v>0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0.0</v>
      </c>
      <c r="L376" s="13">
        <f>IFERROR(K376/K446, "NA")</f>
        <v>0</v>
      </c>
      <c r="M376" s="14"/>
      <c r="N376" s="15">
        <f t="shared" si="106"/>
        <v>0</v>
      </c>
      <c r="O376" s="13">
        <f>IFERROR(N376/N446, "NA")</f>
        <v>0</v>
      </c>
      <c r="P376" s="14"/>
      <c r="Q376" s="12">
        <v>0.0</v>
      </c>
      <c r="R376" s="13">
        <f>IFERROR(Q376/Q446, "NA")</f>
        <v>0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0</v>
      </c>
      <c r="X376" s="13">
        <f>IFERROR(W376/W446, "NA")</f>
        <v>0</v>
      </c>
      <c r="Y376" s="14"/>
      <c r="Z376" s="12">
        <v>0.0</v>
      </c>
      <c r="AA376" s="13">
        <f>IFERROR(Z376/Z446, "NA")</f>
        <v>0</v>
      </c>
      <c r="AB376" s="14"/>
      <c r="AC376" s="15">
        <f t="shared" si="108"/>
        <v>0</v>
      </c>
      <c r="AD376" s="13">
        <f>IFERROR(AC376/AC446, "NA")</f>
        <v>0</v>
      </c>
    </row>
    <row r="377" ht="16.5" hidden="1" customHeight="1">
      <c r="A377" s="11" t="s">
        <v>348</v>
      </c>
      <c r="B377" s="12">
        <v>0.0</v>
      </c>
      <c r="C377" s="13">
        <f>IFERROR(B377/B446, "NA")</f>
        <v>0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0</v>
      </c>
      <c r="I377" s="13">
        <f>IFERROR(H377/H446, "NA")</f>
        <v>0</v>
      </c>
      <c r="J377" s="14"/>
      <c r="K377" s="12">
        <v>0.0</v>
      </c>
      <c r="L377" s="13">
        <f>IFERROR(K377/K446, "NA")</f>
        <v>0</v>
      </c>
      <c r="M377" s="14"/>
      <c r="N377" s="15">
        <f t="shared" si="106"/>
        <v>0</v>
      </c>
      <c r="O377" s="13">
        <f>IFERROR(N377/N446, "NA")</f>
        <v>0</v>
      </c>
      <c r="P377" s="14"/>
      <c r="Q377" s="12">
        <v>0.0</v>
      </c>
      <c r="R377" s="13">
        <f>IFERROR(Q377/Q446, "NA")</f>
        <v>0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0</v>
      </c>
      <c r="X377" s="13">
        <f>IFERROR(W377/W446, "NA")</f>
        <v>0</v>
      </c>
      <c r="Y377" s="14"/>
      <c r="Z377" s="12">
        <v>0.0</v>
      </c>
      <c r="AA377" s="13">
        <f>IFERROR(Z377/Z446, "NA")</f>
        <v>0</v>
      </c>
      <c r="AB377" s="14"/>
      <c r="AC377" s="15">
        <f t="shared" si="108"/>
        <v>0</v>
      </c>
      <c r="AD377" s="13">
        <f>IFERROR(AC377/AC446, "NA")</f>
        <v>0</v>
      </c>
    </row>
    <row r="378" ht="16.5" hidden="1" customHeight="1">
      <c r="A378" s="11" t="s">
        <v>349</v>
      </c>
      <c r="B378" s="12">
        <v>0.0</v>
      </c>
      <c r="C378" s="13">
        <f>IFERROR(B378/B446, "NA")</f>
        <v>0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hidden="1" customHeight="1">
      <c r="A379" s="11" t="s">
        <v>350</v>
      </c>
      <c r="B379" s="12">
        <v>0.0</v>
      </c>
      <c r="C379" s="13">
        <f>IFERROR(B379/B446, "NA")</f>
        <v>0</v>
      </c>
      <c r="D379" s="14"/>
      <c r="E379" s="12">
        <v>0.0</v>
      </c>
      <c r="F379" s="13">
        <f>IFERROR(E379/E446, "NA")</f>
        <v>0</v>
      </c>
      <c r="G379" s="14"/>
      <c r="H379" s="15">
        <f t="shared" si="105"/>
        <v>0</v>
      </c>
      <c r="I379" s="13">
        <f>IFERROR(H379/H446, "NA")</f>
        <v>0</v>
      </c>
      <c r="J379" s="14"/>
      <c r="K379" s="12">
        <v>0.0</v>
      </c>
      <c r="L379" s="13">
        <f>IFERROR(K379/K446, "NA")</f>
        <v>0</v>
      </c>
      <c r="M379" s="14"/>
      <c r="N379" s="15">
        <f t="shared" si="106"/>
        <v>0</v>
      </c>
      <c r="O379" s="13">
        <f>IFERROR(N379/N446, "NA")</f>
        <v>0</v>
      </c>
      <c r="P379" s="14"/>
      <c r="Q379" s="12">
        <v>0.0</v>
      </c>
      <c r="R379" s="13">
        <f>IFERROR(Q379/Q446, "NA")</f>
        <v>0</v>
      </c>
      <c r="S379" s="14"/>
      <c r="T379" s="12">
        <v>0.0</v>
      </c>
      <c r="U379" s="13">
        <f>IFERROR(T379/T446, "NA")</f>
        <v>0</v>
      </c>
      <c r="V379" s="14"/>
      <c r="W379" s="15">
        <f t="shared" si="107"/>
        <v>0</v>
      </c>
      <c r="X379" s="13">
        <f>IFERROR(W379/W446, "NA")</f>
        <v>0</v>
      </c>
      <c r="Y379" s="14"/>
      <c r="Z379" s="12">
        <v>0.0</v>
      </c>
      <c r="AA379" s="13">
        <f>IFERROR(Z379/Z446, "NA")</f>
        <v>0</v>
      </c>
      <c r="AB379" s="14"/>
      <c r="AC379" s="15">
        <f t="shared" si="108"/>
        <v>0</v>
      </c>
      <c r="AD379" s="13">
        <f>IFERROR(AC379/AC446, "NA")</f>
        <v>0</v>
      </c>
    </row>
    <row r="380" ht="16.5" hidden="1" customHeight="1">
      <c r="A380" s="11" t="s">
        <v>351</v>
      </c>
      <c r="B380" s="12">
        <v>0.0</v>
      </c>
      <c r="C380" s="13">
        <f>IFERROR(B380/B446, "NA")</f>
        <v>0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0</v>
      </c>
      <c r="I380" s="13">
        <f>IFERROR(H380/H446, "NA")</f>
        <v>0</v>
      </c>
      <c r="J380" s="14"/>
      <c r="K380" s="12">
        <v>0.0</v>
      </c>
      <c r="L380" s="13">
        <f>IFERROR(K380/K446, "NA")</f>
        <v>0</v>
      </c>
      <c r="M380" s="14"/>
      <c r="N380" s="15">
        <f t="shared" si="106"/>
        <v>0</v>
      </c>
      <c r="O380" s="13">
        <f>IFERROR(N380/N446, "NA")</f>
        <v>0</v>
      </c>
      <c r="P380" s="14"/>
      <c r="Q380" s="12">
        <v>0.0</v>
      </c>
      <c r="R380" s="13">
        <f>IFERROR(Q380/Q446, "NA")</f>
        <v>0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0</v>
      </c>
      <c r="X380" s="13">
        <f>IFERROR(W380/W446, "NA")</f>
        <v>0</v>
      </c>
      <c r="Y380" s="14"/>
      <c r="Z380" s="12">
        <v>0.0</v>
      </c>
      <c r="AA380" s="13">
        <f>IFERROR(Z380/Z446, "NA")</f>
        <v>0</v>
      </c>
      <c r="AB380" s="14"/>
      <c r="AC380" s="15">
        <f t="shared" si="108"/>
        <v>0</v>
      </c>
      <c r="AD380" s="13">
        <f>IFERROR(AC380/AC446, "NA")</f>
        <v>0</v>
      </c>
    </row>
    <row r="381" ht="16.5" hidden="1" customHeight="1">
      <c r="A381" s="11" t="s">
        <v>352</v>
      </c>
      <c r="B381" s="12">
        <v>0.0</v>
      </c>
      <c r="C381" s="13">
        <f>IFERROR(B381/B446, "NA")</f>
        <v>0</v>
      </c>
      <c r="D381" s="14"/>
      <c r="E381" s="12">
        <v>0.0</v>
      </c>
      <c r="F381" s="13">
        <f>IFERROR(E381/E446, "NA")</f>
        <v>0</v>
      </c>
      <c r="G381" s="14"/>
      <c r="H381" s="15">
        <f t="shared" si="105"/>
        <v>0</v>
      </c>
      <c r="I381" s="13">
        <f>IFERROR(H381/H446, "NA")</f>
        <v>0</v>
      </c>
      <c r="J381" s="14"/>
      <c r="K381" s="12">
        <v>0.0</v>
      </c>
      <c r="L381" s="13">
        <f>IFERROR(K381/K446, "NA")</f>
        <v>0</v>
      </c>
      <c r="M381" s="14"/>
      <c r="N381" s="15">
        <f t="shared" si="106"/>
        <v>0</v>
      </c>
      <c r="O381" s="13">
        <f>IFERROR(N381/N446, "NA")</f>
        <v>0</v>
      </c>
      <c r="P381" s="14"/>
      <c r="Q381" s="12">
        <v>0.0</v>
      </c>
      <c r="R381" s="13">
        <f>IFERROR(Q381/Q446, "NA")</f>
        <v>0</v>
      </c>
      <c r="S381" s="14"/>
      <c r="T381" s="12">
        <v>0.0</v>
      </c>
      <c r="U381" s="13">
        <f>IFERROR(T381/T446, "NA")</f>
        <v>0</v>
      </c>
      <c r="V381" s="14"/>
      <c r="W381" s="15">
        <f t="shared" si="107"/>
        <v>0</v>
      </c>
      <c r="X381" s="13">
        <f>IFERROR(W381/W446, "NA")</f>
        <v>0</v>
      </c>
      <c r="Y381" s="14"/>
      <c r="Z381" s="12">
        <v>0.0</v>
      </c>
      <c r="AA381" s="13">
        <f>IFERROR(Z381/Z446, "NA")</f>
        <v>0</v>
      </c>
      <c r="AB381" s="14"/>
      <c r="AC381" s="15">
        <f t="shared" si="108"/>
        <v>0</v>
      </c>
      <c r="AD381" s="13">
        <f>IFERROR(AC381/AC446, "NA")</f>
        <v>0</v>
      </c>
    </row>
    <row r="382" ht="16.5" hidden="1" customHeight="1">
      <c r="A382" s="11" t="s">
        <v>353</v>
      </c>
      <c r="B382" s="12">
        <v>0.0</v>
      </c>
      <c r="C382" s="13">
        <f>IFERROR(B382/B446, "NA")</f>
        <v>0</v>
      </c>
      <c r="D382" s="14"/>
      <c r="E382" s="12">
        <v>0.0</v>
      </c>
      <c r="F382" s="13">
        <f>IFERROR(E382/E446, "NA")</f>
        <v>0</v>
      </c>
      <c r="G382" s="14"/>
      <c r="H382" s="15">
        <f t="shared" si="105"/>
        <v>0</v>
      </c>
      <c r="I382" s="13">
        <f>IFERROR(H382/H446, "NA")</f>
        <v>0</v>
      </c>
      <c r="J382" s="14"/>
      <c r="K382" s="12">
        <v>0.0</v>
      </c>
      <c r="L382" s="13">
        <f>IFERROR(K382/K446, "NA")</f>
        <v>0</v>
      </c>
      <c r="M382" s="14"/>
      <c r="N382" s="15">
        <f t="shared" si="106"/>
        <v>0</v>
      </c>
      <c r="O382" s="13">
        <f>IFERROR(N382/N446, "NA")</f>
        <v>0</v>
      </c>
      <c r="P382" s="14"/>
      <c r="Q382" s="12">
        <v>0.0</v>
      </c>
      <c r="R382" s="13">
        <f>IFERROR(Q382/Q446, "NA")</f>
        <v>0</v>
      </c>
      <c r="S382" s="14"/>
      <c r="T382" s="12">
        <v>0.0</v>
      </c>
      <c r="U382" s="13">
        <f>IFERROR(T382/T446, "NA")</f>
        <v>0</v>
      </c>
      <c r="V382" s="14"/>
      <c r="W382" s="15">
        <f t="shared" si="107"/>
        <v>0</v>
      </c>
      <c r="X382" s="13">
        <f>IFERROR(W382/W446, "NA")</f>
        <v>0</v>
      </c>
      <c r="Y382" s="14"/>
      <c r="Z382" s="12">
        <v>0.0</v>
      </c>
      <c r="AA382" s="13">
        <f>IFERROR(Z382/Z446, "NA")</f>
        <v>0</v>
      </c>
      <c r="AB382" s="14"/>
      <c r="AC382" s="15">
        <f t="shared" si="108"/>
        <v>0</v>
      </c>
      <c r="AD382" s="13">
        <f>IFERROR(AC382/AC446, "NA")</f>
        <v>0</v>
      </c>
    </row>
    <row r="383" ht="16.5" hidden="1" customHeight="1">
      <c r="A383" s="11" t="s">
        <v>354</v>
      </c>
      <c r="B383" s="12">
        <v>0.0</v>
      </c>
      <c r="C383" s="13">
        <f>IFERROR(B383/B446, "NA")</f>
        <v>0</v>
      </c>
      <c r="D383" s="14"/>
      <c r="E383" s="12">
        <v>0.0</v>
      </c>
      <c r="F383" s="13">
        <f>IFERROR(E383/E446, "NA")</f>
        <v>0</v>
      </c>
      <c r="G383" s="14"/>
      <c r="H383" s="15">
        <f t="shared" si="105"/>
        <v>0</v>
      </c>
      <c r="I383" s="13">
        <f>IFERROR(H383/H446, "NA")</f>
        <v>0</v>
      </c>
      <c r="J383" s="14"/>
      <c r="K383" s="12">
        <v>0.0</v>
      </c>
      <c r="L383" s="13">
        <f>IFERROR(K383/K446, "NA")</f>
        <v>0</v>
      </c>
      <c r="M383" s="14"/>
      <c r="N383" s="15">
        <f t="shared" si="106"/>
        <v>0</v>
      </c>
      <c r="O383" s="13">
        <f>IFERROR(N383/N446, "NA")</f>
        <v>0</v>
      </c>
      <c r="P383" s="14"/>
      <c r="Q383" s="12">
        <v>0.0</v>
      </c>
      <c r="R383" s="13">
        <f>IFERROR(Q383/Q446, "NA")</f>
        <v>0</v>
      </c>
      <c r="S383" s="14"/>
      <c r="T383" s="12">
        <v>0.0</v>
      </c>
      <c r="U383" s="13">
        <f>IFERROR(T383/T446, "NA")</f>
        <v>0</v>
      </c>
      <c r="V383" s="14"/>
      <c r="W383" s="15">
        <f t="shared" si="107"/>
        <v>0</v>
      </c>
      <c r="X383" s="13">
        <f>IFERROR(W383/W446, "NA")</f>
        <v>0</v>
      </c>
      <c r="Y383" s="14"/>
      <c r="Z383" s="12">
        <v>0.0</v>
      </c>
      <c r="AA383" s="13">
        <f>IFERROR(Z383/Z446, "NA")</f>
        <v>0</v>
      </c>
      <c r="AB383" s="14"/>
      <c r="AC383" s="15">
        <f t="shared" si="108"/>
        <v>0</v>
      </c>
      <c r="AD383" s="13">
        <f>IFERROR(AC383/AC446, "NA")</f>
        <v>0</v>
      </c>
    </row>
    <row r="384" ht="16.5" hidden="1" customHeight="1">
      <c r="A384" s="11" t="s">
        <v>355</v>
      </c>
      <c r="B384" s="12">
        <v>0.0</v>
      </c>
      <c r="C384" s="13">
        <f>IFERROR(B384/B446, "NA")</f>
        <v>0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hidden="1" customHeight="1">
      <c r="A386" s="11" t="s">
        <v>356</v>
      </c>
      <c r="B386" s="12">
        <v>0.0</v>
      </c>
      <c r="C386" s="13">
        <f>IFERROR(B386/B446, "NA")</f>
        <v>0</v>
      </c>
      <c r="D386" s="14"/>
      <c r="E386" s="12">
        <v>0.0</v>
      </c>
      <c r="F386" s="13">
        <f>IFERROR(E386/E446, "NA")</f>
        <v>0</v>
      </c>
      <c r="G386" s="14"/>
      <c r="H386" s="15">
        <f t="shared" ref="H386:H387" si="109">IFERROR(-(B386-E386), "NA")</f>
        <v>0</v>
      </c>
      <c r="I386" s="13">
        <f>IFERROR(H386/H446, "NA")</f>
        <v>0</v>
      </c>
      <c r="J386" s="14"/>
      <c r="K386" s="12">
        <v>0.0</v>
      </c>
      <c r="L386" s="13">
        <f>IFERROR(K386/K446, "NA")</f>
        <v>0</v>
      </c>
      <c r="M386" s="14"/>
      <c r="N386" s="15">
        <f t="shared" ref="N386:N387" si="110">IFERROR(-(B386-K386), "NA")</f>
        <v>0</v>
      </c>
      <c r="O386" s="13">
        <f>IFERROR(N386/N446, "NA")</f>
        <v>0</v>
      </c>
      <c r="P386" s="14"/>
      <c r="Q386" s="12">
        <v>0.0</v>
      </c>
      <c r="R386" s="13">
        <f>IFERROR(Q386/Q446, "NA")</f>
        <v>0</v>
      </c>
      <c r="S386" s="14"/>
      <c r="T386" s="12">
        <v>0.0</v>
      </c>
      <c r="U386" s="13">
        <f>IFERROR(T386/T446, "NA")</f>
        <v>0</v>
      </c>
      <c r="V386" s="14"/>
      <c r="W386" s="15">
        <f t="shared" ref="W386:W387" si="111">IFERROR(-(Q386-T386), "NA")</f>
        <v>0</v>
      </c>
      <c r="X386" s="13">
        <f>IFERROR(W386/W446, "NA")</f>
        <v>0</v>
      </c>
      <c r="Y386" s="14"/>
      <c r="Z386" s="12">
        <v>0.0</v>
      </c>
      <c r="AA386" s="13">
        <f>IFERROR(Z386/Z446, "NA")</f>
        <v>0</v>
      </c>
      <c r="AB386" s="14"/>
      <c r="AC386" s="15">
        <f t="shared" ref="AC386:AC387" si="112">IFERROR(-(Q386-Z386), "NA")</f>
        <v>0</v>
      </c>
      <c r="AD386" s="13">
        <f>IFERROR(AC386/AC446, "NA")</f>
        <v>0</v>
      </c>
    </row>
    <row r="387" ht="16.5" hidden="1" customHeight="1">
      <c r="A387" s="11" t="s">
        <v>357</v>
      </c>
      <c r="B387" s="12">
        <v>0.0</v>
      </c>
      <c r="C387" s="13">
        <f>IFERROR(B387/B446, "NA")</f>
        <v>0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0.0</v>
      </c>
      <c r="L387" s="13">
        <f>IFERROR(K387/K446, "NA")</f>
        <v>0</v>
      </c>
      <c r="M387" s="14"/>
      <c r="N387" s="15">
        <f t="shared" si="110"/>
        <v>0</v>
      </c>
      <c r="O387" s="13">
        <f>IFERROR(N387/N446, "NA")</f>
        <v>0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0.0</v>
      </c>
      <c r="AA387" s="13">
        <f>IFERROR(Z387/Z446, "NA")</f>
        <v>0</v>
      </c>
      <c r="AB387" s="14"/>
      <c r="AC387" s="15">
        <f t="shared" si="112"/>
        <v>0</v>
      </c>
      <c r="AD387" s="13">
        <f>IFERROR(AC387/AC446, "NA")</f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hidden="1" customHeight="1">
      <c r="A389" s="11" t="s">
        <v>358</v>
      </c>
      <c r="B389" s="12">
        <v>0.0</v>
      </c>
      <c r="C389" s="13">
        <f>IFERROR(B389/B446, "NA")</f>
        <v>0</v>
      </c>
      <c r="D389" s="14"/>
      <c r="E389" s="12">
        <v>0.0</v>
      </c>
      <c r="F389" s="13">
        <f>IFERROR(E389/E446, "NA")</f>
        <v>0</v>
      </c>
      <c r="G389" s="14"/>
      <c r="H389" s="15">
        <f t="shared" ref="H389:H404" si="113">IFERROR(-(B389-E389), "NA")</f>
        <v>0</v>
      </c>
      <c r="I389" s="13">
        <f>IFERROR(H389/H446, "NA")</f>
        <v>0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0.0</v>
      </c>
      <c r="U389" s="13">
        <f>IFERROR(T389/T446, "NA")</f>
        <v>0</v>
      </c>
      <c r="V389" s="14"/>
      <c r="W389" s="15">
        <f t="shared" ref="W389:W404" si="115">IFERROR(-(Q389-T389), "NA")</f>
        <v>0</v>
      </c>
      <c r="X389" s="13">
        <f>IFERROR(W389/W446, "NA")</f>
        <v>0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hidden="1" customHeight="1">
      <c r="A390" s="11" t="s">
        <v>359</v>
      </c>
      <c r="B390" s="12">
        <v>0.0</v>
      </c>
      <c r="C390" s="13">
        <f>IFERROR(B390/B446, "NA")</f>
        <v>0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0</v>
      </c>
      <c r="I390" s="13">
        <f>IFERROR(H390/H446, "NA")</f>
        <v>0</v>
      </c>
      <c r="J390" s="14"/>
      <c r="K390" s="12">
        <v>0.0</v>
      </c>
      <c r="L390" s="13">
        <f>IFERROR(K390/K446, "NA")</f>
        <v>0</v>
      </c>
      <c r="M390" s="14"/>
      <c r="N390" s="15">
        <f t="shared" si="114"/>
        <v>0</v>
      </c>
      <c r="O390" s="13">
        <f>IFERROR(N390/N446, "NA")</f>
        <v>0</v>
      </c>
      <c r="P390" s="14"/>
      <c r="Q390" s="12">
        <v>0.0</v>
      </c>
      <c r="R390" s="13">
        <f>IFERROR(Q390/Q446, "NA")</f>
        <v>0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0</v>
      </c>
      <c r="X390" s="13">
        <f>IFERROR(W390/W446, "NA")</f>
        <v>0</v>
      </c>
      <c r="Y390" s="14"/>
      <c r="Z390" s="12">
        <v>0.0</v>
      </c>
      <c r="AA390" s="13">
        <f>IFERROR(Z390/Z446, "NA")</f>
        <v>0</v>
      </c>
      <c r="AB390" s="14"/>
      <c r="AC390" s="15">
        <f t="shared" si="116"/>
        <v>0</v>
      </c>
      <c r="AD390" s="13">
        <f>IFERROR(AC390/AC446, "NA")</f>
        <v>0</v>
      </c>
    </row>
    <row r="391" ht="16.5" hidden="1" customHeight="1">
      <c r="A391" s="11" t="s">
        <v>360</v>
      </c>
      <c r="B391" s="12">
        <v>0.0</v>
      </c>
      <c r="C391" s="13">
        <f>IFERROR(B391/B446, "NA")</f>
        <v>0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0</v>
      </c>
      <c r="I391" s="13">
        <f>IFERROR(H391/H446, "NA")</f>
        <v>0</v>
      </c>
      <c r="J391" s="14"/>
      <c r="K391" s="12">
        <v>0.0</v>
      </c>
      <c r="L391" s="13">
        <f>IFERROR(K391/K446, "NA")</f>
        <v>0</v>
      </c>
      <c r="M391" s="14"/>
      <c r="N391" s="15">
        <f t="shared" si="114"/>
        <v>0</v>
      </c>
      <c r="O391" s="13">
        <f>IFERROR(N391/N446, "NA")</f>
        <v>0</v>
      </c>
      <c r="P391" s="14"/>
      <c r="Q391" s="12">
        <v>0.0</v>
      </c>
      <c r="R391" s="13">
        <f>IFERROR(Q391/Q446, "NA")</f>
        <v>0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0</v>
      </c>
      <c r="X391" s="13">
        <f>IFERROR(W391/W446, "NA")</f>
        <v>0</v>
      </c>
      <c r="Y391" s="14"/>
      <c r="Z391" s="12">
        <v>0.0</v>
      </c>
      <c r="AA391" s="13">
        <f>IFERROR(Z391/Z446, "NA")</f>
        <v>0</v>
      </c>
      <c r="AB391" s="14"/>
      <c r="AC391" s="15">
        <f t="shared" si="116"/>
        <v>0</v>
      </c>
      <c r="AD391" s="13">
        <f>IFERROR(AC391/AC446, "NA")</f>
        <v>0</v>
      </c>
    </row>
    <row r="392" ht="16.5" hidden="1" customHeight="1">
      <c r="A392" s="11" t="s">
        <v>361</v>
      </c>
      <c r="B392" s="12">
        <v>0.0</v>
      </c>
      <c r="C392" s="13">
        <f>IFERROR(B392/B446, "NA")</f>
        <v>0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hidden="1" customHeight="1">
      <c r="A393" s="11" t="s">
        <v>362</v>
      </c>
      <c r="B393" s="12">
        <v>0.0</v>
      </c>
      <c r="C393" s="13">
        <f>IFERROR(B393/B446, "NA")</f>
        <v>0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0</v>
      </c>
      <c r="I393" s="13">
        <f>IFERROR(H393/H446, "NA")</f>
        <v>0</v>
      </c>
      <c r="J393" s="14"/>
      <c r="K393" s="12">
        <v>0.0</v>
      </c>
      <c r="L393" s="13">
        <f>IFERROR(K393/K446, "NA")</f>
        <v>0</v>
      </c>
      <c r="M393" s="14"/>
      <c r="N393" s="15">
        <f t="shared" si="114"/>
        <v>0</v>
      </c>
      <c r="O393" s="13">
        <f>IFERROR(N393/N446, "NA")</f>
        <v>0</v>
      </c>
      <c r="P393" s="14"/>
      <c r="Q393" s="12">
        <v>0.0</v>
      </c>
      <c r="R393" s="13">
        <f>IFERROR(Q393/Q446, "NA")</f>
        <v>0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0</v>
      </c>
      <c r="X393" s="13">
        <f>IFERROR(W393/W446, "NA")</f>
        <v>0</v>
      </c>
      <c r="Y393" s="14"/>
      <c r="Z393" s="12">
        <v>0.0</v>
      </c>
      <c r="AA393" s="13">
        <f>IFERROR(Z393/Z446, "NA")</f>
        <v>0</v>
      </c>
      <c r="AB393" s="14"/>
      <c r="AC393" s="15">
        <f t="shared" si="116"/>
        <v>0</v>
      </c>
      <c r="AD393" s="13">
        <f>IFERROR(AC393/AC446, "NA")</f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>
        <f>IFERROR(B394/B446, "NA")</f>
        <v>0</v>
      </c>
      <c r="D394" s="8"/>
      <c r="E394" s="17">
        <f>IFERROR(E389+E390+E391+E392+E393, "NA")</f>
        <v>0</v>
      </c>
      <c r="F394" s="18">
        <f>IFERROR(E394/E446, "NA")</f>
        <v>0</v>
      </c>
      <c r="G394" s="8"/>
      <c r="H394" s="17">
        <f t="shared" si="113"/>
        <v>0</v>
      </c>
      <c r="I394" s="18">
        <f>IFERROR(H394/H446, "NA")</f>
        <v>0</v>
      </c>
      <c r="J394" s="8"/>
      <c r="K394" s="17">
        <f>IFERROR(K389+K390+K391+K392+K393, "NA")</f>
        <v>0</v>
      </c>
      <c r="L394" s="18">
        <f>IFERROR(K394/K446, "NA")</f>
        <v>0</v>
      </c>
      <c r="M394" s="8"/>
      <c r="N394" s="17">
        <f t="shared" si="114"/>
        <v>0</v>
      </c>
      <c r="O394" s="18">
        <f>IFERROR(N394/N446, "NA")</f>
        <v>0</v>
      </c>
      <c r="P394" s="8"/>
      <c r="Q394" s="17">
        <f>IFERROR(Q389+Q390+Q391+Q392+Q393, "NA")</f>
        <v>0</v>
      </c>
      <c r="R394" s="18">
        <f>IFERROR(Q394/Q446, "NA")</f>
        <v>0</v>
      </c>
      <c r="S394" s="8"/>
      <c r="T394" s="17">
        <f>IFERROR(T389+T390+T391+T392+T393, "NA")</f>
        <v>0</v>
      </c>
      <c r="U394" s="18">
        <f>IFERROR(T394/T446, "NA")</f>
        <v>0</v>
      </c>
      <c r="V394" s="8"/>
      <c r="W394" s="17">
        <f t="shared" si="115"/>
        <v>0</v>
      </c>
      <c r="X394" s="18">
        <f>IFERROR(W394/W446, "NA")</f>
        <v>0</v>
      </c>
      <c r="Y394" s="8"/>
      <c r="Z394" s="17">
        <f>IFERROR(Z389+Z390+Z391+Z392+Z393, "NA")</f>
        <v>0</v>
      </c>
      <c r="AA394" s="18">
        <f>IFERROR(Z394/Z446, "NA")</f>
        <v>0</v>
      </c>
      <c r="AB394" s="8"/>
      <c r="AC394" s="17">
        <f t="shared" si="116"/>
        <v>0</v>
      </c>
      <c r="AD394" s="18">
        <f>IFERROR(AC394/AC446, "NA")</f>
        <v>0</v>
      </c>
    </row>
    <row r="395" ht="16.5" hidden="1" customHeight="1">
      <c r="A395" s="11" t="s">
        <v>364</v>
      </c>
      <c r="B395" s="12">
        <v>0.0</v>
      </c>
      <c r="C395" s="13">
        <f>IFERROR(B395/B446, "NA")</f>
        <v>0</v>
      </c>
      <c r="D395" s="14"/>
      <c r="E395" s="12">
        <v>0.0</v>
      </c>
      <c r="F395" s="13">
        <f>IFERROR(E395/E446, "NA")</f>
        <v>0</v>
      </c>
      <c r="G395" s="14"/>
      <c r="H395" s="15">
        <f t="shared" si="113"/>
        <v>0</v>
      </c>
      <c r="I395" s="13">
        <f>IFERROR(H395/H446, "NA")</f>
        <v>0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0</v>
      </c>
      <c r="O395" s="13">
        <f>IFERROR(N395/N446, "NA")</f>
        <v>0</v>
      </c>
      <c r="P395" s="14"/>
      <c r="Q395" s="12">
        <v>0.0</v>
      </c>
      <c r="R395" s="13">
        <f>IFERROR(Q395/Q446, "NA")</f>
        <v>0</v>
      </c>
      <c r="S395" s="14"/>
      <c r="T395" s="12">
        <v>0.0</v>
      </c>
      <c r="U395" s="13">
        <f>IFERROR(T395/T446, "NA")</f>
        <v>0</v>
      </c>
      <c r="V395" s="14"/>
      <c r="W395" s="15">
        <f t="shared" si="115"/>
        <v>0</v>
      </c>
      <c r="X395" s="13">
        <f>IFERROR(W395/W446, "NA")</f>
        <v>0</v>
      </c>
      <c r="Y395" s="14"/>
      <c r="Z395" s="12">
        <v>0.0</v>
      </c>
      <c r="AA395" s="13">
        <f>IFERROR(Z395/Z446, "NA")</f>
        <v>0</v>
      </c>
      <c r="AB395" s="14"/>
      <c r="AC395" s="15">
        <f t="shared" si="116"/>
        <v>0</v>
      </c>
      <c r="AD395" s="13">
        <f>IFERROR(AC395/AC446, "NA")</f>
        <v>0</v>
      </c>
    </row>
    <row r="396" ht="16.5" hidden="1" customHeight="1">
      <c r="A396" s="11" t="s">
        <v>365</v>
      </c>
      <c r="B396" s="12">
        <v>0.0</v>
      </c>
      <c r="C396" s="13">
        <f>IFERROR(B396/B446, "NA")</f>
        <v>0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0</v>
      </c>
      <c r="I396" s="13">
        <f>IFERROR(H396/H446, "NA")</f>
        <v>0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0</v>
      </c>
      <c r="O396" s="13">
        <f>IFERROR(N396/N446, "NA")</f>
        <v>0</v>
      </c>
      <c r="P396" s="14"/>
      <c r="Q396" s="12">
        <v>0.0</v>
      </c>
      <c r="R396" s="13">
        <f>IFERROR(Q396/Q446, "NA")</f>
        <v>0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0</v>
      </c>
      <c r="X396" s="13">
        <f>IFERROR(W396/W446, "NA")</f>
        <v>0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0</v>
      </c>
      <c r="AD396" s="13">
        <f>IFERROR(AC396/AC446, "NA")</f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>
        <f>IFERROR(B397/B446, "NA")</f>
        <v>0</v>
      </c>
      <c r="D397" s="8"/>
      <c r="E397" s="17">
        <f>IFERROR(E386+E387+E389+E390+E391+E392+E393+E395+E396, "NA")</f>
        <v>0</v>
      </c>
      <c r="F397" s="18">
        <f>IFERROR(E397/E446, "NA")</f>
        <v>0</v>
      </c>
      <c r="G397" s="8"/>
      <c r="H397" s="17">
        <f t="shared" si="113"/>
        <v>0</v>
      </c>
      <c r="I397" s="18">
        <f>IFERROR(H397/H446, "NA")</f>
        <v>0</v>
      </c>
      <c r="J397" s="8"/>
      <c r="K397" s="17">
        <f>IFERROR(K386+K387+K389+K390+K391+K392+K393+K395+K396, "NA")</f>
        <v>0</v>
      </c>
      <c r="L397" s="18">
        <f>IFERROR(K397/K446, "NA")</f>
        <v>0</v>
      </c>
      <c r="M397" s="8"/>
      <c r="N397" s="17">
        <f t="shared" si="114"/>
        <v>0</v>
      </c>
      <c r="O397" s="18">
        <f>IFERROR(N397/N446, "NA")</f>
        <v>0</v>
      </c>
      <c r="P397" s="8"/>
      <c r="Q397" s="17">
        <f>IFERROR(Q386+Q387+Q389+Q390+Q391+Q392+Q393+Q395+Q396, "NA")</f>
        <v>0</v>
      </c>
      <c r="R397" s="18">
        <f>IFERROR(Q397/Q446, "NA")</f>
        <v>0</v>
      </c>
      <c r="S397" s="8"/>
      <c r="T397" s="17">
        <f>IFERROR(T386+T387+T389+T390+T391+T392+T393+T395+T396, "NA")</f>
        <v>0</v>
      </c>
      <c r="U397" s="18">
        <f>IFERROR(T397/T446, "NA")</f>
        <v>0</v>
      </c>
      <c r="V397" s="8"/>
      <c r="W397" s="17">
        <f t="shared" si="115"/>
        <v>0</v>
      </c>
      <c r="X397" s="18">
        <f>IFERROR(W397/W446, "NA")</f>
        <v>0</v>
      </c>
      <c r="Y397" s="8"/>
      <c r="Z397" s="17">
        <f>IFERROR(Z386+Z387+Z389+Z390+Z391+Z392+Z393+Z395+Z396, "NA")</f>
        <v>0</v>
      </c>
      <c r="AA397" s="18">
        <f>IFERROR(Z397/Z446, "NA")</f>
        <v>0</v>
      </c>
      <c r="AB397" s="8"/>
      <c r="AC397" s="17">
        <f t="shared" si="116"/>
        <v>0</v>
      </c>
      <c r="AD397" s="18">
        <f>IFERROR(AC397/AC446, "NA")</f>
        <v>0</v>
      </c>
    </row>
    <row r="398" ht="16.5" hidden="1" customHeight="1">
      <c r="A398" s="11" t="s">
        <v>367</v>
      </c>
      <c r="B398" s="12">
        <v>0.0</v>
      </c>
      <c r="C398" s="13">
        <f>IFERROR(B398/B446, "NA")</f>
        <v>0</v>
      </c>
      <c r="D398" s="14"/>
      <c r="E398" s="12">
        <v>0.0</v>
      </c>
      <c r="F398" s="13">
        <f>IFERROR(E398/E446, "NA")</f>
        <v>0</v>
      </c>
      <c r="G398" s="14"/>
      <c r="H398" s="15">
        <f t="shared" si="113"/>
        <v>0</v>
      </c>
      <c r="I398" s="13">
        <f>IFERROR(H398/H446, "NA")</f>
        <v>0</v>
      </c>
      <c r="J398" s="14"/>
      <c r="K398" s="12">
        <v>0.0</v>
      </c>
      <c r="L398" s="13">
        <f>IFERROR(K398/K446, "NA")</f>
        <v>0</v>
      </c>
      <c r="M398" s="14"/>
      <c r="N398" s="15">
        <f t="shared" si="114"/>
        <v>0</v>
      </c>
      <c r="O398" s="13">
        <f>IFERROR(N398/N446, "NA")</f>
        <v>0</v>
      </c>
      <c r="P398" s="14"/>
      <c r="Q398" s="12">
        <v>0.0</v>
      </c>
      <c r="R398" s="13">
        <f>IFERROR(Q398/Q446, "NA")</f>
        <v>0</v>
      </c>
      <c r="S398" s="14"/>
      <c r="T398" s="12">
        <v>0.0</v>
      </c>
      <c r="U398" s="13">
        <f>IFERROR(T398/T446, "NA")</f>
        <v>0</v>
      </c>
      <c r="V398" s="14"/>
      <c r="W398" s="15">
        <f t="shared" si="115"/>
        <v>0</v>
      </c>
      <c r="X398" s="13">
        <f>IFERROR(W398/W446, "NA")</f>
        <v>0</v>
      </c>
      <c r="Y398" s="14"/>
      <c r="Z398" s="12">
        <v>0.0</v>
      </c>
      <c r="AA398" s="13">
        <f>IFERROR(Z398/Z446, "NA")</f>
        <v>0</v>
      </c>
      <c r="AB398" s="14"/>
      <c r="AC398" s="15">
        <f t="shared" si="116"/>
        <v>0</v>
      </c>
      <c r="AD398" s="13">
        <f>IFERROR(AC398/AC446, "NA")</f>
        <v>0</v>
      </c>
    </row>
    <row r="399" ht="16.5" hidden="1" customHeight="1">
      <c r="A399" s="11" t="s">
        <v>368</v>
      </c>
      <c r="B399" s="12">
        <v>0.0</v>
      </c>
      <c r="C399" s="13">
        <f>IFERROR(B399/B446, "NA")</f>
        <v>0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0</v>
      </c>
      <c r="I399" s="13">
        <f>IFERROR(H399/H446, "NA")</f>
        <v>0</v>
      </c>
      <c r="J399" s="14"/>
      <c r="K399" s="12">
        <v>0.0</v>
      </c>
      <c r="L399" s="13">
        <f>IFERROR(K399/K446, "NA")</f>
        <v>0</v>
      </c>
      <c r="M399" s="14"/>
      <c r="N399" s="15">
        <f t="shared" si="114"/>
        <v>0</v>
      </c>
      <c r="O399" s="13">
        <f>IFERROR(N399/N446, "NA")</f>
        <v>0</v>
      </c>
      <c r="P399" s="14"/>
      <c r="Q399" s="12">
        <v>0.0</v>
      </c>
      <c r="R399" s="13">
        <f>IFERROR(Q399/Q446, "NA")</f>
        <v>0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0</v>
      </c>
      <c r="X399" s="13">
        <f>IFERROR(W399/W446, "NA")</f>
        <v>0</v>
      </c>
      <c r="Y399" s="14"/>
      <c r="Z399" s="12">
        <v>0.0</v>
      </c>
      <c r="AA399" s="13">
        <f>IFERROR(Z399/Z446, "NA")</f>
        <v>0</v>
      </c>
      <c r="AB399" s="14"/>
      <c r="AC399" s="15">
        <f t="shared" si="116"/>
        <v>0</v>
      </c>
      <c r="AD399" s="13">
        <f>IFERROR(AC399/AC446, "NA")</f>
        <v>0</v>
      </c>
    </row>
    <row r="400" ht="16.5" hidden="1" customHeight="1">
      <c r="A400" s="11" t="s">
        <v>369</v>
      </c>
      <c r="B400" s="12">
        <v>0.0</v>
      </c>
      <c r="C400" s="13">
        <f>IFERROR(B400/B446, "NA")</f>
        <v>0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0</v>
      </c>
      <c r="I400" s="13">
        <f>IFERROR(H400/H446, "NA")</f>
        <v>0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0</v>
      </c>
      <c r="O400" s="13">
        <f>IFERROR(N400/N446, "NA")</f>
        <v>0</v>
      </c>
      <c r="P400" s="14"/>
      <c r="Q400" s="12">
        <v>0.0</v>
      </c>
      <c r="R400" s="13">
        <f>IFERROR(Q400/Q446, "NA")</f>
        <v>0</v>
      </c>
      <c r="S400" s="14"/>
      <c r="T400" s="12">
        <v>0.0</v>
      </c>
      <c r="U400" s="13">
        <f>IFERROR(T400/T446, "NA")</f>
        <v>0</v>
      </c>
      <c r="V400" s="14"/>
      <c r="W400" s="15">
        <f t="shared" si="115"/>
        <v>0</v>
      </c>
      <c r="X400" s="13">
        <f>IFERROR(W400/W446, "NA")</f>
        <v>0</v>
      </c>
      <c r="Y400" s="14"/>
      <c r="Z400" s="12">
        <v>0.0</v>
      </c>
      <c r="AA400" s="13">
        <f>IFERROR(Z400/Z446, "NA")</f>
        <v>0</v>
      </c>
      <c r="AB400" s="14"/>
      <c r="AC400" s="15">
        <f t="shared" si="116"/>
        <v>0</v>
      </c>
      <c r="AD400" s="13">
        <f>IFERROR(AC400/AC446, "NA")</f>
        <v>0</v>
      </c>
    </row>
    <row r="401" ht="16.5" hidden="1" customHeight="1">
      <c r="A401" s="11" t="s">
        <v>370</v>
      </c>
      <c r="B401" s="12">
        <v>0.0</v>
      </c>
      <c r="C401" s="13">
        <f>IFERROR(B401/B446, "NA")</f>
        <v>0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>
        <f>IFERROR(B402/B446, "NA")</f>
        <v>0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>
        <f>IFERROR(B403/B446, "NA")</f>
        <v>0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>
        <f>IFERROR(B404/B446, "NA")</f>
        <v>0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>
        <f>IFERROR(E404/E446, "NA")</f>
        <v>0</v>
      </c>
      <c r="G404" s="8"/>
      <c r="H404" s="17">
        <f t="shared" si="113"/>
        <v>0</v>
      </c>
      <c r="I404" s="18">
        <f>IFERROR(H404/H446, "NA")</f>
        <v>0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>
        <f>IFERROR(K404/K446, "NA")</f>
        <v>0</v>
      </c>
      <c r="M404" s="8"/>
      <c r="N404" s="17">
        <f t="shared" si="114"/>
        <v>0</v>
      </c>
      <c r="O404" s="18">
        <f>IFERROR(N404/N446, "NA")</f>
        <v>0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>
        <f>IFERROR(Q404/Q446, "NA")</f>
        <v>0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>
        <f>IFERROR(T404/T446, "NA")</f>
        <v>0</v>
      </c>
      <c r="V404" s="8"/>
      <c r="W404" s="17">
        <f t="shared" si="115"/>
        <v>0</v>
      </c>
      <c r="X404" s="18">
        <f>IFERROR(W404/W446, "NA")</f>
        <v>0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>
        <f>IFERROR(Z404/Z446, "NA")</f>
        <v>0</v>
      </c>
      <c r="AB404" s="8"/>
      <c r="AC404" s="17">
        <f t="shared" si="116"/>
        <v>0</v>
      </c>
      <c r="AD404" s="18">
        <f>IFERROR(AC404/AC446, "NA")</f>
        <v>0</v>
      </c>
    </row>
    <row r="405" ht="16.5" customHeight="1">
      <c r="A405" s="19" t="s">
        <v>374</v>
      </c>
      <c r="B405" s="20">
        <f>IFERROR(B346-B404, "NA")</f>
        <v>4415.38</v>
      </c>
      <c r="C405" s="21">
        <f>IFERROR(B405/B446, "NA")</f>
        <v>0.04190216615</v>
      </c>
      <c r="D405" s="22"/>
      <c r="E405" s="20">
        <f>IFERROR(E346-E404, "NA")</f>
        <v>7766.08</v>
      </c>
      <c r="F405" s="21">
        <f>IFERROR(E405/E446, "NA")</f>
        <v>0.07249609145</v>
      </c>
      <c r="G405" s="22"/>
      <c r="H405" s="20">
        <f>IFERROR(B405-E405, "NA")</f>
        <v>-3350.7</v>
      </c>
      <c r="I405" s="21">
        <f>IFERROR(H405/H446, "NA")</f>
        <v>1.914062277</v>
      </c>
      <c r="J405" s="22"/>
      <c r="K405" s="20">
        <f>IFERROR(K346-K404, "NA")</f>
        <v>373.49</v>
      </c>
      <c r="L405" s="21">
        <f>IFERROR(K405/K446, "NA")</f>
        <v>0.003786356586</v>
      </c>
      <c r="M405" s="22"/>
      <c r="N405" s="20">
        <f>IFERROR(B405-K405, "NA")</f>
        <v>4041.89</v>
      </c>
      <c r="O405" s="21">
        <f>IFERROR(N405/N446, "NA")</f>
        <v>0.6003505358</v>
      </c>
      <c r="P405" s="22"/>
      <c r="Q405" s="20">
        <f>IFERROR(Q346-Q404, "NA")</f>
        <v>48167.84</v>
      </c>
      <c r="R405" s="21">
        <f>IFERROR(Q405/Q446, "NA")</f>
        <v>0.05339544229</v>
      </c>
      <c r="S405" s="22"/>
      <c r="T405" s="20">
        <f>IFERROR(T346-T404, "NA")</f>
        <v>91073.69</v>
      </c>
      <c r="U405" s="21">
        <f>IFERROR(T405/T446, "NA")</f>
        <v>0.09465896848</v>
      </c>
      <c r="V405" s="22"/>
      <c r="W405" s="20">
        <f>IFERROR(Q405-T405, "NA")</f>
        <v>-42905.85</v>
      </c>
      <c r="X405" s="21">
        <f>IFERROR(W405/W446, "NA")</f>
        <v>0.714766444</v>
      </c>
      <c r="Y405" s="22"/>
      <c r="Z405" s="20">
        <f>IFERROR(Z346-Z404, "NA")</f>
        <v>28536.38</v>
      </c>
      <c r="AA405" s="21">
        <f>IFERROR(Z405/Z446, "NA")</f>
        <v>0.03206067647</v>
      </c>
      <c r="AB405" s="22"/>
      <c r="AC405" s="20">
        <f>IFERROR(Q405-Z405, "NA")</f>
        <v>19631.46</v>
      </c>
      <c r="AD405" s="21">
        <f>IFERROR(AC405/AC446, "NA")</f>
        <v>1.632920489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>
        <f>IFERROR(B408/B446, "NA")</f>
        <v>0</v>
      </c>
      <c r="D408" s="14"/>
      <c r="E408" s="12">
        <v>9017.54</v>
      </c>
      <c r="F408" s="13">
        <f>IFERROR(E408/E446, "NA")</f>
        <v>0.08417842779</v>
      </c>
      <c r="G408" s="14"/>
      <c r="H408" s="15">
        <f t="shared" ref="H408:H431" si="117">IFERROR(-(B408-E408), "NA")</f>
        <v>9017.54</v>
      </c>
      <c r="I408" s="13">
        <f>IFERROR(H408/H446, "NA")</f>
        <v>-5.15120218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69437.58</v>
      </c>
      <c r="U408" s="13">
        <f>IFERROR(T408/T446, "NA")</f>
        <v>0.07217111436</v>
      </c>
      <c r="V408" s="14"/>
      <c r="W408" s="15">
        <f t="shared" ref="W408:W431" si="119">IFERROR(-(Q408-T408), "NA")</f>
        <v>69437.58</v>
      </c>
      <c r="X408" s="13">
        <f>IFERROR(W408/W446, "NA")</f>
        <v>-1.156757229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customHeight="1">
      <c r="A409" s="11" t="s">
        <v>377</v>
      </c>
      <c r="B409" s="12">
        <v>0.0</v>
      </c>
      <c r="C409" s="13">
        <f>IFERROR(B409/B446, "NA")</f>
        <v>0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600.96</v>
      </c>
      <c r="R409" s="13">
        <f>IFERROR(Q409/Q446, "NA")</f>
        <v>0.0006661815227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-600.96</v>
      </c>
      <c r="X409" s="13">
        <f>IFERROR(W409/W446, "NA")</f>
        <v>0.01001136307</v>
      </c>
      <c r="Y409" s="14"/>
      <c r="Z409" s="12">
        <v>0.0</v>
      </c>
      <c r="AA409" s="13">
        <f>IFERROR(Z409/Z446, "NA")</f>
        <v>0</v>
      </c>
      <c r="AB409" s="14"/>
      <c r="AC409" s="15">
        <f t="shared" si="120"/>
        <v>-600.96</v>
      </c>
      <c r="AD409" s="13">
        <f>IFERROR(AC409/AC446, "NA")</f>
        <v>-0.04998710729</v>
      </c>
    </row>
    <row r="410" ht="16.5" hidden="1" customHeight="1">
      <c r="A410" s="11" t="s">
        <v>378</v>
      </c>
      <c r="B410" s="12">
        <v>0.0</v>
      </c>
      <c r="C410" s="13">
        <f>IFERROR(B410/B446, "NA")</f>
        <v>0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8552.12</v>
      </c>
      <c r="C411" s="13">
        <f>IFERROR(B411/B446, "NA")</f>
        <v>0.08116002545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-8552.12</v>
      </c>
      <c r="I411" s="13">
        <f>IFERROR(H411/H446, "NA")</f>
        <v>4.885334491</v>
      </c>
      <c r="J411" s="14"/>
      <c r="K411" s="12">
        <v>8434.22</v>
      </c>
      <c r="L411" s="13">
        <f>IFERROR(K411/K446, "NA")</f>
        <v>0.08550420211</v>
      </c>
      <c r="M411" s="14"/>
      <c r="N411" s="15">
        <f t="shared" si="118"/>
        <v>-117.9</v>
      </c>
      <c r="O411" s="13">
        <f>IFERROR(N411/N446, "NA")</f>
        <v>-0.01751193827</v>
      </c>
      <c r="P411" s="14"/>
      <c r="Q411" s="12">
        <v>68415.45</v>
      </c>
      <c r="R411" s="13">
        <f>IFERROR(Q411/Q446, "NA")</f>
        <v>0.07584050296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-68415.45</v>
      </c>
      <c r="X411" s="13">
        <f>IFERROR(W411/W446, "NA")</f>
        <v>1.139729615</v>
      </c>
      <c r="Y411" s="14"/>
      <c r="Z411" s="12">
        <v>65291.12</v>
      </c>
      <c r="AA411" s="13">
        <f>IFERROR(Z411/Z446, "NA")</f>
        <v>0.07335469582</v>
      </c>
      <c r="AB411" s="14"/>
      <c r="AC411" s="15">
        <f t="shared" si="120"/>
        <v>-3124.33</v>
      </c>
      <c r="AD411" s="13">
        <f>IFERROR(AC411/AC446, "NA")</f>
        <v>-0.2598778936</v>
      </c>
    </row>
    <row r="412" ht="16.5" hidden="1" customHeight="1">
      <c r="A412" s="11" t="s">
        <v>380</v>
      </c>
      <c r="B412" s="12">
        <v>0.0</v>
      </c>
      <c r="C412" s="13">
        <f>IFERROR(B412/B446, "NA")</f>
        <v>0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0</v>
      </c>
      <c r="I412" s="13">
        <f>IFERROR(H412/H446, "NA")</f>
        <v>0</v>
      </c>
      <c r="J412" s="14"/>
      <c r="K412" s="12">
        <v>0.0</v>
      </c>
      <c r="L412" s="13">
        <f>IFERROR(K412/K446, "NA")</f>
        <v>0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0.0</v>
      </c>
      <c r="R412" s="13">
        <f>IFERROR(Q412/Q446, "NA")</f>
        <v>0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0</v>
      </c>
      <c r="X412" s="13">
        <f>IFERROR(W412/W446, "NA")</f>
        <v>0</v>
      </c>
      <c r="Y412" s="14"/>
      <c r="Z412" s="12">
        <v>0.0</v>
      </c>
      <c r="AA412" s="13">
        <f>IFERROR(Z412/Z446, "NA")</f>
        <v>0</v>
      </c>
      <c r="AB412" s="14"/>
      <c r="AC412" s="15">
        <f t="shared" si="120"/>
        <v>0</v>
      </c>
      <c r="AD412" s="13">
        <f>IFERROR(AC412/AC446, "NA")</f>
        <v>0</v>
      </c>
    </row>
    <row r="413" ht="16.5" hidden="1" customHeight="1">
      <c r="A413" s="11" t="s">
        <v>381</v>
      </c>
      <c r="B413" s="12">
        <v>0.0</v>
      </c>
      <c r="C413" s="13">
        <f>IFERROR(B413/B446, "NA")</f>
        <v>0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>
        <f>IFERROR(B414/B446, "NA")</f>
        <v>0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>
        <f>IFERROR(B415/B446, "NA")</f>
        <v>0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>
        <f>IFERROR(B416/B446, "NA")</f>
        <v>0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-186.2</v>
      </c>
      <c r="C417" s="13">
        <f>IFERROR(B417/B446, "NA")</f>
        <v>-0.001767046854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186.2</v>
      </c>
      <c r="I417" s="13">
        <f>IFERROR(H417/H446, "NA")</f>
        <v>-0.1063653553</v>
      </c>
      <c r="J417" s="14"/>
      <c r="K417" s="12">
        <v>-35.79</v>
      </c>
      <c r="L417" s="13">
        <f>IFERROR(K417/K446, "NA")</f>
        <v>-0.0003628308715</v>
      </c>
      <c r="M417" s="14"/>
      <c r="N417" s="15">
        <f t="shared" si="118"/>
        <v>150.41</v>
      </c>
      <c r="O417" s="13">
        <f>IFERROR(N417/N446, "NA")</f>
        <v>0.02234071786</v>
      </c>
      <c r="P417" s="14"/>
      <c r="Q417" s="12">
        <v>-1223.47</v>
      </c>
      <c r="R417" s="13">
        <f>IFERROR(Q417/Q446, "NA")</f>
        <v>-0.001356251843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1223.47</v>
      </c>
      <c r="X417" s="13">
        <f>IFERROR(W417/W446, "NA")</f>
        <v>-0.02038172653</v>
      </c>
      <c r="Y417" s="14"/>
      <c r="Z417" s="12">
        <v>-233.98</v>
      </c>
      <c r="AA417" s="13">
        <f>IFERROR(Z417/Z446, "NA")</f>
        <v>-0.000262876969</v>
      </c>
      <c r="AB417" s="14"/>
      <c r="AC417" s="15">
        <f t="shared" si="120"/>
        <v>989.49</v>
      </c>
      <c r="AD417" s="13">
        <f>IFERROR(AC417/AC446, "NA")</f>
        <v>0.08230455071</v>
      </c>
    </row>
    <row r="418" ht="16.5" customHeight="1">
      <c r="A418" s="11" t="s">
        <v>386</v>
      </c>
      <c r="B418" s="12">
        <v>-133.71</v>
      </c>
      <c r="C418" s="13">
        <f>IFERROR(B418/B446, "NA")</f>
        <v>-0.001268914258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133.71</v>
      </c>
      <c r="I418" s="13">
        <f>IFERROR(H418/H446, "NA")</f>
        <v>-0.07638083596</v>
      </c>
      <c r="J418" s="14"/>
      <c r="K418" s="12">
        <v>-94.99</v>
      </c>
      <c r="L418" s="13">
        <f>IFERROR(K418/K446, "NA")</f>
        <v>-0.0009629869932</v>
      </c>
      <c r="M418" s="14"/>
      <c r="N418" s="15">
        <f t="shared" si="118"/>
        <v>38.72</v>
      </c>
      <c r="O418" s="13">
        <f>IFERROR(N418/N446, "NA")</f>
        <v>0.005751164121</v>
      </c>
      <c r="P418" s="14"/>
      <c r="Q418" s="12">
        <v>281.15</v>
      </c>
      <c r="R418" s="13">
        <f>IFERROR(Q418/Q446, "NA")</f>
        <v>0.0003116628979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-281.15</v>
      </c>
      <c r="X418" s="13">
        <f>IFERROR(W418/W446, "NA")</f>
        <v>0.004683664016</v>
      </c>
      <c r="Y418" s="14"/>
      <c r="Z418" s="12">
        <v>-632.32</v>
      </c>
      <c r="AA418" s="13">
        <f>IFERROR(Z418/Z446, "NA")</f>
        <v>-0.0007104127064</v>
      </c>
      <c r="AB418" s="14"/>
      <c r="AC418" s="15">
        <f t="shared" si="120"/>
        <v>-913.47</v>
      </c>
      <c r="AD418" s="13">
        <f>IFERROR(AC418/AC446, "NA")</f>
        <v>-0.07598130141</v>
      </c>
    </row>
    <row r="419" ht="16.5" hidden="1" customHeight="1">
      <c r="A419" s="11" t="s">
        <v>387</v>
      </c>
      <c r="B419" s="12">
        <v>0.0</v>
      </c>
      <c r="C419" s="13">
        <f>IFERROR(B419/B446, "NA")</f>
        <v>0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0.0</v>
      </c>
      <c r="AA419" s="13">
        <f>IFERROR(Z419/Z446, "NA")</f>
        <v>0</v>
      </c>
      <c r="AB419" s="14"/>
      <c r="AC419" s="15">
        <f t="shared" si="120"/>
        <v>0</v>
      </c>
      <c r="AD419" s="13">
        <f>IFERROR(AC419/AC446, "NA")</f>
        <v>0</v>
      </c>
    </row>
    <row r="420" ht="16.5" hidden="1" customHeight="1">
      <c r="A420" s="11" t="s">
        <v>388</v>
      </c>
      <c r="B420" s="12">
        <v>0.0</v>
      </c>
      <c r="C420" s="13">
        <f>IFERROR(B420/B446, "NA")</f>
        <v>0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0.0</v>
      </c>
      <c r="AA420" s="13">
        <f>IFERROR(Z420/Z446, "NA")</f>
        <v>0</v>
      </c>
      <c r="AB420" s="14"/>
      <c r="AC420" s="15">
        <f t="shared" si="120"/>
        <v>0</v>
      </c>
      <c r="AD420" s="13">
        <f>IFERROR(AC420/AC446, "NA")</f>
        <v>0</v>
      </c>
    </row>
    <row r="421" ht="16.5" hidden="1" customHeight="1">
      <c r="A421" s="11" t="s">
        <v>389</v>
      </c>
      <c r="B421" s="12">
        <v>0.0</v>
      </c>
      <c r="C421" s="13">
        <f>IFERROR(B421/B446, "NA")</f>
        <v>0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hidden="1" customHeight="1">
      <c r="A422" s="11" t="s">
        <v>390</v>
      </c>
      <c r="B422" s="12">
        <v>0.0</v>
      </c>
      <c r="C422" s="13">
        <f>IFERROR(B422/B446, "NA")</f>
        <v>0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0</v>
      </c>
      <c r="I422" s="13">
        <f>IFERROR(H422/H446, "NA")</f>
        <v>0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0</v>
      </c>
      <c r="O422" s="13">
        <f>IFERROR(N422/N446, "NA")</f>
        <v>0</v>
      </c>
      <c r="P422" s="14"/>
      <c r="Q422" s="12">
        <v>0.0</v>
      </c>
      <c r="R422" s="13">
        <f>IFERROR(Q422/Q446, "NA")</f>
        <v>0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0</v>
      </c>
      <c r="X422" s="13">
        <f>IFERROR(W422/W446, "NA")</f>
        <v>0</v>
      </c>
      <c r="Y422" s="14"/>
      <c r="Z422" s="12">
        <v>0.0</v>
      </c>
      <c r="AA422" s="13">
        <f>IFERROR(Z422/Z446, "NA")</f>
        <v>0</v>
      </c>
      <c r="AB422" s="14"/>
      <c r="AC422" s="15">
        <f t="shared" si="120"/>
        <v>0</v>
      </c>
      <c r="AD422" s="13">
        <f>IFERROR(AC422/AC446, "NA")</f>
        <v>0</v>
      </c>
    </row>
    <row r="423" ht="16.5" hidden="1" customHeight="1">
      <c r="A423" s="11" t="s">
        <v>391</v>
      </c>
      <c r="B423" s="12">
        <v>0.0</v>
      </c>
      <c r="C423" s="13">
        <f>IFERROR(B423/B446, "NA")</f>
        <v>0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0.0</v>
      </c>
      <c r="R423" s="13">
        <f>IFERROR(Q423/Q446, "NA")</f>
        <v>0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0</v>
      </c>
      <c r="X423" s="13">
        <f>IFERROR(W423/W446, "NA")</f>
        <v>0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0</v>
      </c>
      <c r="AD423" s="13">
        <f>IFERROR(AC423/AC446, "NA")</f>
        <v>0</v>
      </c>
    </row>
    <row r="424" ht="16.5" hidden="1" customHeight="1">
      <c r="A424" s="11" t="s">
        <v>392</v>
      </c>
      <c r="B424" s="12">
        <v>0.0</v>
      </c>
      <c r="C424" s="13">
        <f>IFERROR(B424/B446, "NA")</f>
        <v>0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0</v>
      </c>
      <c r="I424" s="13">
        <f>IFERROR(H424/H446, "NA")</f>
        <v>0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0</v>
      </c>
      <c r="O424" s="13">
        <f>IFERROR(N424/N446, "NA")</f>
        <v>0</v>
      </c>
      <c r="P424" s="14"/>
      <c r="Q424" s="12">
        <v>0.0</v>
      </c>
      <c r="R424" s="13">
        <f>IFERROR(Q424/Q446, "NA")</f>
        <v>0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0</v>
      </c>
      <c r="X424" s="13">
        <f>IFERROR(W424/W446, "NA")</f>
        <v>0</v>
      </c>
      <c r="Y424" s="14"/>
      <c r="Z424" s="12">
        <v>0.0</v>
      </c>
      <c r="AA424" s="13">
        <f>IFERROR(Z424/Z446, "NA")</f>
        <v>0</v>
      </c>
      <c r="AB424" s="14"/>
      <c r="AC424" s="15">
        <f t="shared" si="120"/>
        <v>0</v>
      </c>
      <c r="AD424" s="13">
        <f>IFERROR(AC424/AC446, "NA")</f>
        <v>0</v>
      </c>
    </row>
    <row r="425" ht="16.5" hidden="1" customHeight="1">
      <c r="A425" s="11" t="s">
        <v>393</v>
      </c>
      <c r="B425" s="12">
        <v>0.0</v>
      </c>
      <c r="C425" s="13">
        <f>IFERROR(B425/B446, "NA")</f>
        <v>0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0</v>
      </c>
      <c r="I425" s="13">
        <f>IFERROR(H425/H446, "NA")</f>
        <v>0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0</v>
      </c>
      <c r="O425" s="13">
        <f>IFERROR(N425/N446, "NA")</f>
        <v>0</v>
      </c>
      <c r="P425" s="14"/>
      <c r="Q425" s="12">
        <v>0.0</v>
      </c>
      <c r="R425" s="13">
        <f>IFERROR(Q425/Q446, "NA")</f>
        <v>0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0</v>
      </c>
      <c r="X425" s="13">
        <f>IFERROR(W425/W446, "NA")</f>
        <v>0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0</v>
      </c>
      <c r="AD425" s="13">
        <f>IFERROR(AC425/AC446, "NA")</f>
        <v>0</v>
      </c>
    </row>
    <row r="426" ht="16.5" hidden="1" customHeight="1">
      <c r="A426" s="11" t="s">
        <v>394</v>
      </c>
      <c r="B426" s="12">
        <v>0.0</v>
      </c>
      <c r="C426" s="13">
        <f>IFERROR(B426/B446, "NA")</f>
        <v>0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0.0</v>
      </c>
      <c r="R426" s="13">
        <f>IFERROR(Q426/Q446, "NA")</f>
        <v>0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0</v>
      </c>
      <c r="X426" s="13">
        <f>IFERROR(W426/W446, "NA")</f>
        <v>0</v>
      </c>
      <c r="Y426" s="14"/>
      <c r="Z426" s="12">
        <v>0.0</v>
      </c>
      <c r="AA426" s="13">
        <f>IFERROR(Z426/Z446, "NA")</f>
        <v>0</v>
      </c>
      <c r="AB426" s="14"/>
      <c r="AC426" s="15">
        <f t="shared" si="120"/>
        <v>0</v>
      </c>
      <c r="AD426" s="13">
        <f>IFERROR(AC426/AC446, "NA")</f>
        <v>0</v>
      </c>
    </row>
    <row r="427" ht="16.5" hidden="1" customHeight="1">
      <c r="A427" s="11" t="s">
        <v>395</v>
      </c>
      <c r="B427" s="12">
        <v>0.0</v>
      </c>
      <c r="C427" s="13">
        <f>IFERROR(B427/B446, "NA")</f>
        <v>0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0.0</v>
      </c>
      <c r="R427" s="13">
        <f>IFERROR(Q427/Q446, "NA")</f>
        <v>0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0</v>
      </c>
      <c r="X427" s="13">
        <f>IFERROR(W427/W446, "NA")</f>
        <v>0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0</v>
      </c>
      <c r="AD427" s="13">
        <f>IFERROR(AC427/AC446, "NA")</f>
        <v>0</v>
      </c>
    </row>
    <row r="428" ht="16.5" hidden="1" customHeight="1">
      <c r="A428" s="11" t="s">
        <v>396</v>
      </c>
      <c r="B428" s="12">
        <v>0.0</v>
      </c>
      <c r="C428" s="13">
        <f>IFERROR(B428/B446, "NA")</f>
        <v>0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0</v>
      </c>
      <c r="I428" s="13">
        <f>IFERROR(H428/H446, "NA")</f>
        <v>0</v>
      </c>
      <c r="J428" s="14"/>
      <c r="K428" s="12">
        <v>0.0</v>
      </c>
      <c r="L428" s="13">
        <f>IFERROR(K428/K446, "NA")</f>
        <v>0</v>
      </c>
      <c r="M428" s="14"/>
      <c r="N428" s="15">
        <f t="shared" si="118"/>
        <v>0</v>
      </c>
      <c r="O428" s="13">
        <f>IFERROR(N428/N446, "NA")</f>
        <v>0</v>
      </c>
      <c r="P428" s="14"/>
      <c r="Q428" s="12">
        <v>0.0</v>
      </c>
      <c r="R428" s="13">
        <f>IFERROR(Q428/Q446, "NA")</f>
        <v>0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0</v>
      </c>
      <c r="X428" s="13">
        <f>IFERROR(W428/W446, "NA")</f>
        <v>0</v>
      </c>
      <c r="Y428" s="14"/>
      <c r="Z428" s="12">
        <v>0.0</v>
      </c>
      <c r="AA428" s="13">
        <f>IFERROR(Z428/Z446, "NA")</f>
        <v>0</v>
      </c>
      <c r="AB428" s="14"/>
      <c r="AC428" s="15">
        <f t="shared" si="120"/>
        <v>0</v>
      </c>
      <c r="AD428" s="13">
        <f>IFERROR(AC428/AC446, "NA")</f>
        <v>0</v>
      </c>
    </row>
    <row r="429" ht="16.5" hidden="1" customHeight="1">
      <c r="A429" s="11" t="s">
        <v>397</v>
      </c>
      <c r="B429" s="12">
        <v>0.0</v>
      </c>
      <c r="C429" s="13">
        <f>IFERROR(B429/B446, "NA")</f>
        <v>0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8232.21</v>
      </c>
      <c r="C430" s="18">
        <f>IFERROR(B430/B446, "NA")</f>
        <v>0.07812406434</v>
      </c>
      <c r="D430" s="8"/>
      <c r="E430" s="17">
        <f>IFERROR(E408+E409+E410+E411+E412+E413+E414+E415+E416+E417+E418+E419+E420+E421+E422+E423+E424+E425+E426+E427+E428+E429, "NA")</f>
        <v>9017.54</v>
      </c>
      <c r="F430" s="18">
        <f>IFERROR(E430/E446, "NA")</f>
        <v>0.08417842779</v>
      </c>
      <c r="G430" s="8"/>
      <c r="H430" s="17">
        <f t="shared" si="117"/>
        <v>785.33</v>
      </c>
      <c r="I430" s="18">
        <f>IFERROR(H430/H446, "NA")</f>
        <v>-0.4486138801</v>
      </c>
      <c r="J430" s="8"/>
      <c r="K430" s="17">
        <f>IFERROR(K408+K409+K410+K411+K412+K413+K414+K415+K416+K417+K418+K419+K420+K421+K422+K423+K424+K425+K426+K427+K428+K429, "NA")</f>
        <v>8303.44</v>
      </c>
      <c r="L430" s="18">
        <f>IFERROR(K430/K446, "NA")</f>
        <v>0.08417838424</v>
      </c>
      <c r="M430" s="8"/>
      <c r="N430" s="17">
        <f t="shared" si="118"/>
        <v>71.23</v>
      </c>
      <c r="O430" s="18">
        <f>IFERROR(N430/N446, "NA")</f>
        <v>0.01057994371</v>
      </c>
      <c r="P430" s="8"/>
      <c r="Q430" s="17">
        <f>IFERROR(Q408+Q409+Q410+Q411+Q412+Q413+Q414+Q415+Q416+Q417+Q418+Q419+Q420+Q421+Q422+Q423+Q424+Q425+Q426+Q427+Q428+Q429, "NA")</f>
        <v>68074.09</v>
      </c>
      <c r="R430" s="18">
        <f>IFERROR(Q430/Q446, "NA")</f>
        <v>0.07546209553</v>
      </c>
      <c r="S430" s="8"/>
      <c r="T430" s="17">
        <f>IFERROR(T408+T409+T410+T411+T412+T413+T414+T415+T416+T417+T418+T419+T420+T421+T422+T423+T424+T425+T426+T427+T428+T429, "NA")</f>
        <v>69437.58</v>
      </c>
      <c r="U430" s="18">
        <f>IFERROR(T430/T446, "NA")</f>
        <v>0.07217111436</v>
      </c>
      <c r="V430" s="8"/>
      <c r="W430" s="17">
        <f t="shared" si="119"/>
        <v>1363.49</v>
      </c>
      <c r="X430" s="18">
        <f>IFERROR(W430/W446, "NA")</f>
        <v>-0.02271431282</v>
      </c>
      <c r="Y430" s="8"/>
      <c r="Z430" s="17">
        <f>IFERROR(Z408+Z409+Z410+Z411+Z412+Z413+Z414+Z415+Z416+Z417+Z418+Z419+Z420+Z421+Z422+Z423+Z424+Z425+Z426+Z427+Z428+Z429, "NA")</f>
        <v>64424.82</v>
      </c>
      <c r="AA430" s="18">
        <f>IFERROR(Z430/Z446, "NA")</f>
        <v>0.07238140615</v>
      </c>
      <c r="AB430" s="8"/>
      <c r="AC430" s="17">
        <f t="shared" si="120"/>
        <v>-3649.27</v>
      </c>
      <c r="AD430" s="18">
        <f>IFERROR(AC430/AC446, "NA")</f>
        <v>-0.3035417516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8232.21</v>
      </c>
      <c r="C431" s="18">
        <f>IFERROR(B431/B446, "NA")</f>
        <v>0.07812406434</v>
      </c>
      <c r="D431" s="8"/>
      <c r="E431" s="17">
        <f>IFERROR(E408+E409+E410+E411+E412+E413+E414+E415+E416+E417+E418+E419+E420+E421+E422+E423+E424+E425+E426+E427+E428+E429, "NA")</f>
        <v>9017.54</v>
      </c>
      <c r="F431" s="18">
        <f>IFERROR(E431/E446, "NA")</f>
        <v>0.08417842779</v>
      </c>
      <c r="G431" s="8"/>
      <c r="H431" s="17">
        <f t="shared" si="117"/>
        <v>785.33</v>
      </c>
      <c r="I431" s="18">
        <f>IFERROR(H431/H446, "NA")</f>
        <v>-0.4486138801</v>
      </c>
      <c r="J431" s="8"/>
      <c r="K431" s="17">
        <f>IFERROR(K408+K409+K410+K411+K412+K413+K414+K415+K416+K417+K418+K419+K420+K421+K422+K423+K424+K425+K426+K427+K428+K429, "NA")</f>
        <v>8303.44</v>
      </c>
      <c r="L431" s="18">
        <f>IFERROR(K431/K446, "NA")</f>
        <v>0.08417838424</v>
      </c>
      <c r="M431" s="8"/>
      <c r="N431" s="17">
        <f t="shared" si="118"/>
        <v>71.23</v>
      </c>
      <c r="O431" s="18">
        <f>IFERROR(N431/N446, "NA")</f>
        <v>0.01057994371</v>
      </c>
      <c r="P431" s="8"/>
      <c r="Q431" s="17">
        <f>IFERROR(Q408+Q409+Q410+Q411+Q412+Q413+Q414+Q415+Q416+Q417+Q418+Q419+Q420+Q421+Q422+Q423+Q424+Q425+Q426+Q427+Q428+Q429, "NA")</f>
        <v>68074.09</v>
      </c>
      <c r="R431" s="18">
        <f>IFERROR(Q431/Q446, "NA")</f>
        <v>0.07546209553</v>
      </c>
      <c r="S431" s="8"/>
      <c r="T431" s="17">
        <f>IFERROR(T408+T409+T410+T411+T412+T413+T414+T415+T416+T417+T418+T419+T420+T421+T422+T423+T424+T425+T426+T427+T428+T429, "NA")</f>
        <v>69437.58</v>
      </c>
      <c r="U431" s="18">
        <f>IFERROR(T431/T446, "NA")</f>
        <v>0.07217111436</v>
      </c>
      <c r="V431" s="8"/>
      <c r="W431" s="17">
        <f t="shared" si="119"/>
        <v>1363.49</v>
      </c>
      <c r="X431" s="18">
        <f>IFERROR(W431/W446, "NA")</f>
        <v>-0.02271431282</v>
      </c>
      <c r="Y431" s="8"/>
      <c r="Z431" s="17">
        <f>IFERROR(Z408+Z409+Z410+Z411+Z412+Z413+Z414+Z415+Z416+Z417+Z418+Z419+Z420+Z421+Z422+Z423+Z424+Z425+Z426+Z427+Z428+Z429, "NA")</f>
        <v>64424.82</v>
      </c>
      <c r="AA431" s="18">
        <f>IFERROR(Z431/Z446, "NA")</f>
        <v>0.07238140615</v>
      </c>
      <c r="AB431" s="8"/>
      <c r="AC431" s="17">
        <f t="shared" si="120"/>
        <v>-3649.27</v>
      </c>
      <c r="AD431" s="18">
        <f>IFERROR(AC431/AC446, "NA")</f>
        <v>-0.3035417516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>
        <f>IFERROR(B434/B446, "NA")</f>
        <v>0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>
        <f>IFERROR(B435/B446, "NA")</f>
        <v>0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>
        <f>IFERROR(B436/B446, "NA")</f>
        <v>0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>
        <f>IFERROR(B437/B446, "NA")</f>
        <v>0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>
        <f>IFERROR(B438/B446, "NA")</f>
        <v>0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>
        <f>IFERROR(B439/B446, "NA")</f>
        <v>0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>
        <f>IFERROR(B440/B446, "NA")</f>
        <v>0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>
        <f>IFERROR(B441/B446, "NA")</f>
        <v>0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>
        <f>IFERROR(B442/B446, "NA")</f>
        <v>0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>
        <f>IFERROR(B443/B446, "NA")</f>
        <v>0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>
        <f>IFERROR(B444/B446, "NA")</f>
        <v>0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-3816.83</v>
      </c>
      <c r="C445" s="21">
        <f>IFERROR(B445/B446, "NA")</f>
        <v>-0.03622189819</v>
      </c>
      <c r="D445" s="22"/>
      <c r="E445" s="20">
        <f>IFERROR(E405-E431-E444, "NA")</f>
        <v>-1251.46</v>
      </c>
      <c r="F445" s="21">
        <f>IFERROR(E445/E446, "NA")</f>
        <v>-0.01168233634</v>
      </c>
      <c r="G445" s="22"/>
      <c r="H445" s="20">
        <f t="shared" ref="H445:H446" si="125">IFERROR(B445-E445, "NA")</f>
        <v>-2565.37</v>
      </c>
      <c r="I445" s="21">
        <f>IFERROR(H445/H446, "NA")</f>
        <v>1.465448397</v>
      </c>
      <c r="J445" s="22"/>
      <c r="K445" s="20">
        <f>IFERROR(K405-K431-K444, "NA")</f>
        <v>-7929.95</v>
      </c>
      <c r="L445" s="21">
        <f>IFERROR(K445/K446, "NA")</f>
        <v>-0.08039202766</v>
      </c>
      <c r="M445" s="22"/>
      <c r="N445" s="20">
        <f t="shared" ref="N445:N446" si="126">IFERROR(B445-K445, "NA")</f>
        <v>4113.12</v>
      </c>
      <c r="O445" s="21">
        <f>IFERROR(N445/N446, "NA")</f>
        <v>0.6109304795</v>
      </c>
      <c r="P445" s="22"/>
      <c r="Q445" s="20">
        <f>IFERROR(Q405-Q431-Q444, "NA")</f>
        <v>-19906.25</v>
      </c>
      <c r="R445" s="21">
        <f>IFERROR(Q445/Q446, "NA")</f>
        <v>-0.02206665325</v>
      </c>
      <c r="S445" s="22"/>
      <c r="T445" s="20">
        <f>IFERROR(T405-T431-T444, "NA")</f>
        <v>21636.11</v>
      </c>
      <c r="U445" s="21">
        <f>IFERROR(T445/T446, "NA")</f>
        <v>0.02248785412</v>
      </c>
      <c r="V445" s="22"/>
      <c r="W445" s="20">
        <f t="shared" ref="W445:W446" si="127">IFERROR(Q445-T445, "NA")</f>
        <v>-41542.36</v>
      </c>
      <c r="X445" s="21">
        <f>IFERROR(W445/W446, "NA")</f>
        <v>0.6920521312</v>
      </c>
      <c r="Y445" s="22"/>
      <c r="Z445" s="20">
        <f>IFERROR(Z405-Z431-Z444, "NA")</f>
        <v>-35888.44</v>
      </c>
      <c r="AA445" s="21">
        <f>IFERROR(Z445/Z446, "NA")</f>
        <v>-0.04032072968</v>
      </c>
      <c r="AB445" s="22"/>
      <c r="AC445" s="20">
        <f t="shared" ref="AC445:AC446" si="128">IFERROR(Q445-Z445, "NA")</f>
        <v>15982.19</v>
      </c>
      <c r="AD445" s="21">
        <f>IFERROR(AC445/AC446, "NA")</f>
        <v>1.329378738</v>
      </c>
    </row>
    <row r="446" ht="14.25" hidden="1" customHeight="1">
      <c r="A446" s="11" t="s">
        <v>120</v>
      </c>
      <c r="B446" s="12">
        <v>105373.55</v>
      </c>
      <c r="C446" s="23"/>
      <c r="D446" s="14"/>
      <c r="E446" s="12">
        <v>107124.12</v>
      </c>
      <c r="F446" s="23"/>
      <c r="G446" s="14"/>
      <c r="H446" s="15">
        <f t="shared" si="125"/>
        <v>-1750.57</v>
      </c>
      <c r="I446" s="23"/>
      <c r="J446" s="14"/>
      <c r="K446" s="12">
        <v>98641.0</v>
      </c>
      <c r="L446" s="23"/>
      <c r="M446" s="14"/>
      <c r="N446" s="15">
        <f t="shared" si="126"/>
        <v>6732.55</v>
      </c>
      <c r="O446" s="23"/>
      <c r="P446" s="14"/>
      <c r="Q446" s="12">
        <v>902096.47</v>
      </c>
      <c r="R446" s="23"/>
      <c r="S446" s="14"/>
      <c r="T446" s="12">
        <v>962124.26</v>
      </c>
      <c r="U446" s="23"/>
      <c r="V446" s="14"/>
      <c r="W446" s="15">
        <f t="shared" si="127"/>
        <v>-60027.79</v>
      </c>
      <c r="X446" s="23"/>
      <c r="Y446" s="14"/>
      <c r="Z446" s="12">
        <v>890074.17</v>
      </c>
      <c r="AA446" s="23"/>
      <c r="AB446" s="14"/>
      <c r="AC446" s="15">
        <f t="shared" si="128"/>
        <v>12022.3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419</v>
      </c>
    </row>
    <row r="4" ht="14.25" customHeight="1"/>
    <row r="5" ht="16.5" customHeight="1">
      <c r="A5" s="4" t="s">
        <v>6</v>
      </c>
      <c r="B5" s="5" t="s">
        <v>7</v>
      </c>
      <c r="C5" s="6"/>
      <c r="D5" s="4" t="s">
        <v>6</v>
      </c>
      <c r="E5" s="5" t="s">
        <v>8</v>
      </c>
      <c r="F5" s="6"/>
      <c r="G5" s="4" t="s">
        <v>6</v>
      </c>
      <c r="H5" s="5" t="s">
        <v>9</v>
      </c>
      <c r="I5" s="6"/>
      <c r="J5" s="4" t="s">
        <v>6</v>
      </c>
      <c r="K5" s="5" t="s">
        <v>10</v>
      </c>
      <c r="L5" s="6"/>
      <c r="M5" s="4" t="s">
        <v>6</v>
      </c>
      <c r="N5" s="5" t="s">
        <v>9</v>
      </c>
      <c r="O5" s="6"/>
      <c r="P5" s="4" t="s">
        <v>6</v>
      </c>
      <c r="Q5" s="5" t="s">
        <v>11</v>
      </c>
      <c r="R5" s="6"/>
      <c r="S5" s="4" t="s">
        <v>6</v>
      </c>
      <c r="T5" s="5" t="s">
        <v>12</v>
      </c>
      <c r="U5" s="6"/>
      <c r="V5" s="4" t="s">
        <v>6</v>
      </c>
      <c r="W5" s="5" t="s">
        <v>9</v>
      </c>
      <c r="X5" s="6"/>
      <c r="Y5" s="4" t="s">
        <v>6</v>
      </c>
      <c r="Z5" s="5" t="s">
        <v>13</v>
      </c>
      <c r="AA5" s="6"/>
      <c r="AB5" s="4" t="s">
        <v>6</v>
      </c>
      <c r="AC5" s="5" t="s">
        <v>9</v>
      </c>
      <c r="AD5" s="6"/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t="16.5" hidden="1" customHeight="1">
      <c r="A8" s="11" t="s">
        <v>14</v>
      </c>
      <c r="B8" s="12">
        <v>0.0</v>
      </c>
      <c r="C8" s="13">
        <f>IFERROR(B8/B446, "NA")</f>
        <v>0</v>
      </c>
      <c r="D8" s="14"/>
      <c r="E8" s="12">
        <v>0.0</v>
      </c>
      <c r="F8" s="13">
        <f>IFERROR(E8/E446, "NA")</f>
        <v>0</v>
      </c>
      <c r="G8" s="14"/>
      <c r="H8" s="15">
        <f>IFERROR(B8-E8, "NA")</f>
        <v>0</v>
      </c>
      <c r="I8" s="13">
        <f>IFERROR(H8/H446, "NA")</f>
        <v>0</v>
      </c>
      <c r="J8" s="14"/>
      <c r="K8" s="12">
        <v>0.0</v>
      </c>
      <c r="L8" s="13">
        <f>IFERROR(K8/K446, "NA")</f>
        <v>0</v>
      </c>
      <c r="M8" s="14"/>
      <c r="N8" s="15">
        <f>IFERROR(B8-K8, "NA")</f>
        <v>0</v>
      </c>
      <c r="O8" s="13">
        <f>IFERROR(N8/N446, "NA")</f>
        <v>0</v>
      </c>
      <c r="P8" s="14"/>
      <c r="Q8" s="12">
        <v>0.0</v>
      </c>
      <c r="R8" s="13">
        <f>IFERROR(Q8/Q446, "NA")</f>
        <v>0</v>
      </c>
      <c r="S8" s="14"/>
      <c r="T8" s="12">
        <v>0.0</v>
      </c>
      <c r="U8" s="13">
        <f>IFERROR(T8/T446, "NA")</f>
        <v>0</v>
      </c>
      <c r="V8" s="14"/>
      <c r="W8" s="15">
        <f>IFERROR(Q8-T8, "NA")</f>
        <v>0</v>
      </c>
      <c r="X8" s="13">
        <f>IFERROR(W8/W446, "NA")</f>
        <v>0</v>
      </c>
      <c r="Y8" s="14"/>
      <c r="Z8" s="12">
        <v>0.0</v>
      </c>
      <c r="AA8" s="13">
        <f>IFERROR(Z8/Z446, "NA")</f>
        <v>0</v>
      </c>
      <c r="AB8" s="14"/>
      <c r="AC8" s="15">
        <f>IFERROR(Q8-Z8, "NA")</f>
        <v>0</v>
      </c>
      <c r="AD8" s="13">
        <f>IFERROR(AC8/AC446,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r="A10" s="11" t="s">
        <v>15</v>
      </c>
      <c r="B10" s="12">
        <v>0.0</v>
      </c>
      <c r="C10" s="13">
        <f>IFERROR(B10/B446, "NA")</f>
        <v>0</v>
      </c>
      <c r="D10" s="14"/>
      <c r="E10" s="12">
        <v>48306.48</v>
      </c>
      <c r="F10" s="13">
        <f>IFERROR(E10/E446, "NA")</f>
        <v>0.4780000548</v>
      </c>
      <c r="G10" s="14"/>
      <c r="H10" s="15">
        <f t="shared" ref="H10:H19" si="1">IFERROR(B10-E10, "NA")</f>
        <v>-48306.48</v>
      </c>
      <c r="I10" s="13">
        <f>IFERROR(H10/H446, "NA")</f>
        <v>23.05974681</v>
      </c>
      <c r="J10" s="14"/>
      <c r="K10" s="12">
        <v>0.0</v>
      </c>
      <c r="L10" s="13">
        <f>IFERROR(K10/K446, "NA")</f>
        <v>0</v>
      </c>
      <c r="M10" s="14"/>
      <c r="N10" s="15">
        <f t="shared" ref="N10:N19" si="2">IFERROR(B10-K10, "NA")</f>
        <v>0</v>
      </c>
      <c r="O10" s="13">
        <f>IFERROR(N10/N446, "NA")</f>
        <v>0</v>
      </c>
      <c r="P10" s="14"/>
      <c r="Q10" s="12">
        <v>0.0</v>
      </c>
      <c r="R10" s="13">
        <f>IFERROR(Q10/Q446, "NA")</f>
        <v>0</v>
      </c>
      <c r="S10" s="14"/>
      <c r="T10" s="12">
        <v>462827.31</v>
      </c>
      <c r="U10" s="13">
        <f>IFERROR(T10/T446, "NA")</f>
        <v>0.4779999954</v>
      </c>
      <c r="V10" s="14"/>
      <c r="W10" s="15">
        <f t="shared" ref="W10:W19" si="3">IFERROR(Q10-T10, "NA")</f>
        <v>-462827.31</v>
      </c>
      <c r="X10" s="13">
        <f>IFERROR(W10/W446, "NA")</f>
        <v>5.273653298</v>
      </c>
      <c r="Y10" s="14"/>
      <c r="Z10" s="12">
        <v>0.0</v>
      </c>
      <c r="AA10" s="13">
        <f>IFERROR(Z10/Z446, "NA")</f>
        <v>0</v>
      </c>
      <c r="AB10" s="14"/>
      <c r="AC10" s="15">
        <f t="shared" ref="AC10:AC19" si="4">IFERROR(Q10-Z10, "NA")</f>
        <v>0</v>
      </c>
      <c r="AD10" s="13">
        <f>IFERROR(AC10/AC446, "NA")</f>
        <v>0</v>
      </c>
    </row>
    <row r="11" ht="16.5" customHeight="1">
      <c r="A11" s="11" t="s">
        <v>16</v>
      </c>
      <c r="B11" s="12">
        <v>39271.05</v>
      </c>
      <c r="C11" s="13">
        <f>IFERROR(B11/B446, "NA")</f>
        <v>0.3968186444</v>
      </c>
      <c r="D11" s="14"/>
      <c r="E11" s="12">
        <v>0.0</v>
      </c>
      <c r="F11" s="13">
        <f>IFERROR(E11/E446, "NA")</f>
        <v>0</v>
      </c>
      <c r="G11" s="14"/>
      <c r="H11" s="15">
        <f t="shared" si="1"/>
        <v>39271.05</v>
      </c>
      <c r="I11" s="13">
        <f>IFERROR(H11/H446, "NA")</f>
        <v>-18.74656298</v>
      </c>
      <c r="J11" s="14"/>
      <c r="K11" s="12">
        <v>48839.47</v>
      </c>
      <c r="L11" s="13">
        <f>IFERROR(K11/K446, "NA")</f>
        <v>0.5276144449</v>
      </c>
      <c r="M11" s="14"/>
      <c r="N11" s="15">
        <f t="shared" si="2"/>
        <v>-9568.42</v>
      </c>
      <c r="O11" s="13">
        <f>IFERROR(N11/N446, "NA")</f>
        <v>-1.495500255</v>
      </c>
      <c r="P11" s="14"/>
      <c r="Q11" s="12">
        <v>361011.98</v>
      </c>
      <c r="R11" s="13">
        <f>IFERROR(Q11/Q446, "NA")</f>
        <v>0.4100098831</v>
      </c>
      <c r="S11" s="14"/>
      <c r="T11" s="12">
        <v>0.0</v>
      </c>
      <c r="U11" s="13">
        <f>IFERROR(T11/T446, "NA")</f>
        <v>0</v>
      </c>
      <c r="V11" s="14"/>
      <c r="W11" s="15">
        <f t="shared" si="3"/>
        <v>361011.98</v>
      </c>
      <c r="X11" s="13">
        <f>IFERROR(W11/W446, "NA")</f>
        <v>-4.113525667</v>
      </c>
      <c r="Y11" s="14"/>
      <c r="Z11" s="12">
        <v>408614.2</v>
      </c>
      <c r="AA11" s="13">
        <f>IFERROR(Z11/Z446, "NA")</f>
        <v>0.4549365846</v>
      </c>
      <c r="AB11" s="14"/>
      <c r="AC11" s="15">
        <f t="shared" si="4"/>
        <v>-47602.22</v>
      </c>
      <c r="AD11" s="13">
        <f>IFERROR(AC11/AC446, "NA")</f>
        <v>2.692041937</v>
      </c>
    </row>
    <row r="12" ht="16.5" customHeight="1">
      <c r="A12" s="11" t="s">
        <v>17</v>
      </c>
      <c r="B12" s="12">
        <v>5025.5</v>
      </c>
      <c r="C12" s="13">
        <f>IFERROR(B12/B446, "NA")</f>
        <v>0.05078071753</v>
      </c>
      <c r="D12" s="14"/>
      <c r="E12" s="12">
        <v>0.0</v>
      </c>
      <c r="F12" s="13">
        <f>IFERROR(E12/E446, "NA")</f>
        <v>0</v>
      </c>
      <c r="G12" s="14"/>
      <c r="H12" s="15">
        <f t="shared" si="1"/>
        <v>5025.5</v>
      </c>
      <c r="I12" s="13">
        <f>IFERROR(H12/H446, "NA")</f>
        <v>-2.398989899</v>
      </c>
      <c r="J12" s="14"/>
      <c r="K12" s="12">
        <v>5611.65</v>
      </c>
      <c r="L12" s="13">
        <f>IFERROR(K12/K446, "NA")</f>
        <v>0.06062284459</v>
      </c>
      <c r="M12" s="14"/>
      <c r="N12" s="15">
        <f t="shared" si="2"/>
        <v>-586.15</v>
      </c>
      <c r="O12" s="13">
        <f>IFERROR(N12/N446, "NA")</f>
        <v>-0.0916125624</v>
      </c>
      <c r="P12" s="14"/>
      <c r="Q12" s="12">
        <v>41546.75</v>
      </c>
      <c r="R12" s="13">
        <f>IFERROR(Q12/Q446, "NA")</f>
        <v>0.0471856311</v>
      </c>
      <c r="S12" s="14"/>
      <c r="T12" s="12">
        <v>0.0</v>
      </c>
      <c r="U12" s="13">
        <f>IFERROR(T12/T446, "NA")</f>
        <v>0</v>
      </c>
      <c r="V12" s="14"/>
      <c r="W12" s="15">
        <f t="shared" si="3"/>
        <v>41546.75</v>
      </c>
      <c r="X12" s="13">
        <f>IFERROR(W12/W446, "NA")</f>
        <v>-0.4734015267</v>
      </c>
      <c r="Y12" s="14"/>
      <c r="Z12" s="12">
        <v>48328.3</v>
      </c>
      <c r="AA12" s="13">
        <f>IFERROR(Z12/Z446, "NA")</f>
        <v>0.05380701831</v>
      </c>
      <c r="AB12" s="14"/>
      <c r="AC12" s="15">
        <f t="shared" si="4"/>
        <v>-6781.55</v>
      </c>
      <c r="AD12" s="13">
        <f>IFERROR(AC12/AC446, "NA")</f>
        <v>0.3835160839</v>
      </c>
    </row>
    <row r="13" ht="16.5" customHeight="1">
      <c r="A13" s="11" t="s">
        <v>18</v>
      </c>
      <c r="B13" s="12">
        <v>107.0</v>
      </c>
      <c r="C13" s="13">
        <f>IFERROR(B13/B446, "NA")</f>
        <v>0.00108119327</v>
      </c>
      <c r="D13" s="14"/>
      <c r="E13" s="12">
        <v>0.0</v>
      </c>
      <c r="F13" s="13">
        <f>IFERROR(E13/E446, "NA")</f>
        <v>0</v>
      </c>
      <c r="G13" s="14"/>
      <c r="H13" s="15">
        <f t="shared" si="1"/>
        <v>107</v>
      </c>
      <c r="I13" s="13">
        <f>IFERROR(H13/H446, "NA")</f>
        <v>-0.05107788662</v>
      </c>
      <c r="J13" s="14"/>
      <c r="K13" s="12">
        <v>132.5</v>
      </c>
      <c r="L13" s="13">
        <f>IFERROR(K13/K446, "NA")</f>
        <v>0.001431401978</v>
      </c>
      <c r="M13" s="14"/>
      <c r="N13" s="15">
        <f t="shared" si="2"/>
        <v>-25.5</v>
      </c>
      <c r="O13" s="13">
        <f>IFERROR(N13/N446, "NA")</f>
        <v>-0.003985533296</v>
      </c>
      <c r="P13" s="14"/>
      <c r="Q13" s="12">
        <v>1303.5</v>
      </c>
      <c r="R13" s="13">
        <f>IFERROR(Q13/Q446, "NA")</f>
        <v>0.00148041592</v>
      </c>
      <c r="S13" s="14"/>
      <c r="T13" s="12">
        <v>0.0</v>
      </c>
      <c r="U13" s="13">
        <f>IFERROR(T13/T446, "NA")</f>
        <v>0</v>
      </c>
      <c r="V13" s="14"/>
      <c r="W13" s="15">
        <f t="shared" si="3"/>
        <v>1303.5</v>
      </c>
      <c r="X13" s="13">
        <f>IFERROR(W13/W446, "NA")</f>
        <v>-0.01485263926</v>
      </c>
      <c r="Y13" s="14"/>
      <c r="Z13" s="12">
        <v>1355.0</v>
      </c>
      <c r="AA13" s="13">
        <f>IFERROR(Z13/Z446, "NA")</f>
        <v>0.001508609031</v>
      </c>
      <c r="AB13" s="14"/>
      <c r="AC13" s="15">
        <f t="shared" si="4"/>
        <v>-51.5</v>
      </c>
      <c r="AD13" s="13">
        <f>IFERROR(AC13/AC446, "NA")</f>
        <v>0.002912472565</v>
      </c>
    </row>
    <row r="14" ht="16.5" customHeight="1">
      <c r="A14" s="11" t="s">
        <v>19</v>
      </c>
      <c r="B14" s="12">
        <v>0.0</v>
      </c>
      <c r="C14" s="13">
        <f>IFERROR(B14/B446, "NA")</f>
        <v>0</v>
      </c>
      <c r="D14" s="14"/>
      <c r="E14" s="12">
        <v>0.0</v>
      </c>
      <c r="F14" s="13">
        <f>IFERROR(E14/E446, "NA")</f>
        <v>0</v>
      </c>
      <c r="G14" s="14"/>
      <c r="H14" s="15">
        <f t="shared" si="1"/>
        <v>0</v>
      </c>
      <c r="I14" s="13">
        <f>IFERROR(H14/H446, "NA")</f>
        <v>0</v>
      </c>
      <c r="J14" s="14"/>
      <c r="K14" s="12">
        <v>25.0</v>
      </c>
      <c r="L14" s="13">
        <f>IFERROR(K14/K446, "NA")</f>
        <v>0.0002700758449</v>
      </c>
      <c r="M14" s="14"/>
      <c r="N14" s="15">
        <f t="shared" si="2"/>
        <v>-25</v>
      </c>
      <c r="O14" s="13">
        <f>IFERROR(N14/N446, "NA")</f>
        <v>-0.003907385584</v>
      </c>
      <c r="P14" s="14"/>
      <c r="Q14" s="12">
        <v>80.0</v>
      </c>
      <c r="R14" s="13">
        <f>IFERROR(Q14/Q446, "NA")</f>
        <v>0.00009085790074</v>
      </c>
      <c r="S14" s="14"/>
      <c r="T14" s="12">
        <v>0.0</v>
      </c>
      <c r="U14" s="13">
        <f>IFERROR(T14/T446, "NA")</f>
        <v>0</v>
      </c>
      <c r="V14" s="14"/>
      <c r="W14" s="15">
        <f t="shared" si="3"/>
        <v>80</v>
      </c>
      <c r="X14" s="13">
        <f>IFERROR(W14/W446, "NA")</f>
        <v>-0.0009115543848</v>
      </c>
      <c r="Y14" s="14"/>
      <c r="Z14" s="12">
        <v>2470.0</v>
      </c>
      <c r="AA14" s="13">
        <f>IFERROR(Z14/Z446, "NA")</f>
        <v>0.002750010557</v>
      </c>
      <c r="AB14" s="14"/>
      <c r="AC14" s="15">
        <f t="shared" si="4"/>
        <v>-2390</v>
      </c>
      <c r="AD14" s="13">
        <f>IFERROR(AC14/AC446, "NA")</f>
        <v>0.1351613482</v>
      </c>
    </row>
    <row r="15" ht="16.5" customHeight="1">
      <c r="A15" s="11" t="s">
        <v>20</v>
      </c>
      <c r="B15" s="12">
        <v>0.0</v>
      </c>
      <c r="C15" s="13">
        <f>IFERROR(B15/B446, "NA")</f>
        <v>0</v>
      </c>
      <c r="D15" s="14"/>
      <c r="E15" s="12">
        <v>0.0</v>
      </c>
      <c r="F15" s="13">
        <f>IFERROR(E15/E446, "NA")</f>
        <v>0</v>
      </c>
      <c r="G15" s="14"/>
      <c r="H15" s="15">
        <f t="shared" si="1"/>
        <v>0</v>
      </c>
      <c r="I15" s="13">
        <f>IFERROR(H15/H446, "NA")</f>
        <v>0</v>
      </c>
      <c r="J15" s="14"/>
      <c r="K15" s="12">
        <v>55.0</v>
      </c>
      <c r="L15" s="13">
        <f>IFERROR(K15/K446, "NA")</f>
        <v>0.0005941668587</v>
      </c>
      <c r="M15" s="14"/>
      <c r="N15" s="15">
        <f t="shared" si="2"/>
        <v>-55</v>
      </c>
      <c r="O15" s="13">
        <f>IFERROR(N15/N446, "NA")</f>
        <v>-0.008596248285</v>
      </c>
      <c r="P15" s="14"/>
      <c r="Q15" s="12">
        <v>96.0</v>
      </c>
      <c r="R15" s="13">
        <f>IFERROR(Q15/Q446, "NA")</f>
        <v>0.0001090294809</v>
      </c>
      <c r="S15" s="14"/>
      <c r="T15" s="12">
        <v>0.0</v>
      </c>
      <c r="U15" s="13">
        <f>IFERROR(T15/T446, "NA")</f>
        <v>0</v>
      </c>
      <c r="V15" s="14"/>
      <c r="W15" s="15">
        <f t="shared" si="3"/>
        <v>96</v>
      </c>
      <c r="X15" s="13">
        <f>IFERROR(W15/W446, "NA")</f>
        <v>-0.001093865262</v>
      </c>
      <c r="Y15" s="14"/>
      <c r="Z15" s="12">
        <v>367.0</v>
      </c>
      <c r="AA15" s="13">
        <f>IFERROR(Z15/Z446, "NA")</f>
        <v>0.0004086048075</v>
      </c>
      <c r="AB15" s="14"/>
      <c r="AC15" s="15">
        <f t="shared" si="4"/>
        <v>-271</v>
      </c>
      <c r="AD15" s="13">
        <f>IFERROR(AC15/AC446, "NA")</f>
        <v>0.01532582651</v>
      </c>
    </row>
    <row r="16" ht="16.5" customHeight="1">
      <c r="A16" s="11" t="s">
        <v>21</v>
      </c>
      <c r="B16" s="12">
        <v>0.2</v>
      </c>
      <c r="C16" s="13">
        <f>IFERROR(B16/B446, "NA")</f>
        <v>0.000002020921999</v>
      </c>
      <c r="D16" s="14"/>
      <c r="E16" s="12">
        <v>0.0</v>
      </c>
      <c r="F16" s="13">
        <f>IFERROR(E16/E446, "NA")</f>
        <v>0</v>
      </c>
      <c r="G16" s="14"/>
      <c r="H16" s="15">
        <f t="shared" si="1"/>
        <v>0.2</v>
      </c>
      <c r="I16" s="13">
        <f>IFERROR(H16/H446, "NA")</f>
        <v>-0.00009547268526</v>
      </c>
      <c r="J16" s="14"/>
      <c r="K16" s="12">
        <v>0.0</v>
      </c>
      <c r="L16" s="13">
        <f>IFERROR(K16/K446, "NA")</f>
        <v>0</v>
      </c>
      <c r="M16" s="14"/>
      <c r="N16" s="15">
        <f t="shared" si="2"/>
        <v>0.2</v>
      </c>
      <c r="O16" s="13">
        <f>IFERROR(N16/N446, "NA")</f>
        <v>0.00003125908467</v>
      </c>
      <c r="P16" s="14"/>
      <c r="Q16" s="12">
        <v>3.71</v>
      </c>
      <c r="R16" s="13">
        <f>IFERROR(Q16/Q446, "NA")</f>
        <v>0.000004213535147</v>
      </c>
      <c r="S16" s="14"/>
      <c r="T16" s="12">
        <v>0.0</v>
      </c>
      <c r="U16" s="13">
        <f>IFERROR(T16/T446, "NA")</f>
        <v>0</v>
      </c>
      <c r="V16" s="14"/>
      <c r="W16" s="15">
        <f t="shared" si="3"/>
        <v>3.71</v>
      </c>
      <c r="X16" s="13">
        <f>IFERROR(W16/W446, "NA")</f>
        <v>-0.0000422733346</v>
      </c>
      <c r="Y16" s="14"/>
      <c r="Z16" s="12">
        <v>0.0</v>
      </c>
      <c r="AA16" s="13">
        <f>IFERROR(Z16/Z446, "NA")</f>
        <v>0</v>
      </c>
      <c r="AB16" s="14"/>
      <c r="AC16" s="15">
        <f t="shared" si="4"/>
        <v>3.71</v>
      </c>
      <c r="AD16" s="13">
        <f>IFERROR(AC16/AC446, "NA")</f>
        <v>-0.0002098111304</v>
      </c>
    </row>
    <row r="17" ht="16.5" hidden="1" customHeight="1">
      <c r="A17" s="11" t="s">
        <v>22</v>
      </c>
      <c r="B17" s="12">
        <v>0.0</v>
      </c>
      <c r="C17" s="13">
        <f>IFERROR(B17/B446, "NA")</f>
        <v>0</v>
      </c>
      <c r="D17" s="14"/>
      <c r="E17" s="12">
        <v>0.0</v>
      </c>
      <c r="F17" s="13">
        <f>IFERROR(E17/E446, "NA")</f>
        <v>0</v>
      </c>
      <c r="G17" s="14"/>
      <c r="H17" s="15">
        <f t="shared" si="1"/>
        <v>0</v>
      </c>
      <c r="I17" s="13">
        <f>IFERROR(H17/H446, "NA")</f>
        <v>0</v>
      </c>
      <c r="J17" s="14"/>
      <c r="K17" s="12">
        <v>0.0</v>
      </c>
      <c r="L17" s="13">
        <f>IFERROR(K17/K446, "NA")</f>
        <v>0</v>
      </c>
      <c r="M17" s="14"/>
      <c r="N17" s="15">
        <f t="shared" si="2"/>
        <v>0</v>
      </c>
      <c r="O17" s="13">
        <f>IFERROR(N17/N446, "NA")</f>
        <v>0</v>
      </c>
      <c r="P17" s="14"/>
      <c r="Q17" s="12">
        <v>0.0</v>
      </c>
      <c r="R17" s="13">
        <f>IFERROR(Q17/Q446, "NA")</f>
        <v>0</v>
      </c>
      <c r="S17" s="14"/>
      <c r="T17" s="12">
        <v>0.0</v>
      </c>
      <c r="U17" s="13">
        <f>IFERROR(T17/T446, "NA")</f>
        <v>0</v>
      </c>
      <c r="V17" s="14"/>
      <c r="W17" s="15">
        <f t="shared" si="3"/>
        <v>0</v>
      </c>
      <c r="X17" s="13">
        <f>IFERROR(W17/W446, "NA")</f>
        <v>0</v>
      </c>
      <c r="Y17" s="14"/>
      <c r="Z17" s="12">
        <v>0.0</v>
      </c>
      <c r="AA17" s="13">
        <f>IFERROR(Z17/Z446, "NA")</f>
        <v>0</v>
      </c>
      <c r="AB17" s="14"/>
      <c r="AC17" s="15">
        <f t="shared" si="4"/>
        <v>0</v>
      </c>
      <c r="AD17" s="13">
        <f>IFERROR(AC17/AC446, "NA")</f>
        <v>0</v>
      </c>
    </row>
    <row r="18" ht="16.5" customHeight="1">
      <c r="A18" s="16" t="s">
        <v>23</v>
      </c>
      <c r="B18" s="17">
        <f>IFERROR(B10+B11+B12+B13+B14+B15+B16+B17, "NA")</f>
        <v>44403.75</v>
      </c>
      <c r="C18" s="18">
        <f>IFERROR(B18/B446, "NA")</f>
        <v>0.4486825761</v>
      </c>
      <c r="D18" s="8"/>
      <c r="E18" s="17">
        <f>IFERROR(E10+E11+E12+E13+E14+E15+E16+E17, "NA")</f>
        <v>48306.48</v>
      </c>
      <c r="F18" s="18">
        <f>IFERROR(E18/E446, "NA")</f>
        <v>0.4780000548</v>
      </c>
      <c r="G18" s="8"/>
      <c r="H18" s="17">
        <f t="shared" si="1"/>
        <v>-3902.73</v>
      </c>
      <c r="I18" s="18">
        <f>IFERROR(H18/H446, "NA")</f>
        <v>1.863020565</v>
      </c>
      <c r="J18" s="8"/>
      <c r="K18" s="17">
        <f>IFERROR(K10+K11+K12+K13+K14+K15+K16+K17, "NA")</f>
        <v>54663.62</v>
      </c>
      <c r="L18" s="18">
        <f>IFERROR(K18/K446, "NA")</f>
        <v>0.5905329342</v>
      </c>
      <c r="M18" s="8"/>
      <c r="N18" s="17">
        <f t="shared" si="2"/>
        <v>-10259.87</v>
      </c>
      <c r="O18" s="18">
        <f>IFERROR(N18/N446, "NA")</f>
        <v>-1.603570725</v>
      </c>
      <c r="P18" s="8"/>
      <c r="Q18" s="17">
        <f>IFERROR(Q10+Q11+Q12+Q13+Q14+Q15+Q16+Q17, "NA")</f>
        <v>404041.94</v>
      </c>
      <c r="R18" s="18">
        <f>IFERROR(Q18/Q446, "NA")</f>
        <v>0.458880031</v>
      </c>
      <c r="S18" s="8"/>
      <c r="T18" s="17">
        <f>IFERROR(T10+T11+T12+T13+T14+T15+T16+T17, "NA")</f>
        <v>462827.31</v>
      </c>
      <c r="U18" s="18">
        <f>IFERROR(T18/T446, "NA")</f>
        <v>0.4779999954</v>
      </c>
      <c r="V18" s="8"/>
      <c r="W18" s="17">
        <f t="shared" si="3"/>
        <v>-58785.37</v>
      </c>
      <c r="X18" s="18">
        <f>IFERROR(W18/W446, "NA")</f>
        <v>0.6698257723</v>
      </c>
      <c r="Y18" s="8"/>
      <c r="Z18" s="17">
        <f>IFERROR(Z10+Z11+Z12+Z13+Z14+Z15+Z16+Z17, "NA")</f>
        <v>461134.5</v>
      </c>
      <c r="AA18" s="18">
        <f>IFERROR(Z18/Z446, "NA")</f>
        <v>0.5134108273</v>
      </c>
      <c r="AB18" s="8"/>
      <c r="AC18" s="17">
        <f t="shared" si="4"/>
        <v>-57092.56</v>
      </c>
      <c r="AD18" s="18">
        <f>IFERROR(AC18/AC446, "NA")</f>
        <v>3.228747857</v>
      </c>
    </row>
    <row r="19" ht="16.5" hidden="1" customHeight="1">
      <c r="A19" s="11" t="s">
        <v>24</v>
      </c>
      <c r="B19" s="12">
        <v>0.0</v>
      </c>
      <c r="C19" s="13">
        <f>IFERROR(B19/B446, "NA")</f>
        <v>0</v>
      </c>
      <c r="D19" s="14"/>
      <c r="E19" s="12">
        <v>0.0</v>
      </c>
      <c r="F19" s="13">
        <f>IFERROR(E19/E446, "NA")</f>
        <v>0</v>
      </c>
      <c r="G19" s="14"/>
      <c r="H19" s="15">
        <f t="shared" si="1"/>
        <v>0</v>
      </c>
      <c r="I19" s="13">
        <f>IFERROR(H19/H446, "NA")</f>
        <v>0</v>
      </c>
      <c r="J19" s="14"/>
      <c r="K19" s="12">
        <v>0.0</v>
      </c>
      <c r="L19" s="13">
        <f>IFERROR(K19/K446, "NA")</f>
        <v>0</v>
      </c>
      <c r="M19" s="14"/>
      <c r="N19" s="15">
        <f t="shared" si="2"/>
        <v>0</v>
      </c>
      <c r="O19" s="13">
        <f>IFERROR(N19/N446, "NA")</f>
        <v>0</v>
      </c>
      <c r="P19" s="14"/>
      <c r="Q19" s="12">
        <v>0.0</v>
      </c>
      <c r="R19" s="13">
        <f>IFERROR(Q19/Q446, "NA")</f>
        <v>0</v>
      </c>
      <c r="S19" s="14"/>
      <c r="T19" s="12">
        <v>0.0</v>
      </c>
      <c r="U19" s="13">
        <f>IFERROR(T19/T446, "NA")</f>
        <v>0</v>
      </c>
      <c r="V19" s="14"/>
      <c r="W19" s="15">
        <f t="shared" si="3"/>
        <v>0</v>
      </c>
      <c r="X19" s="13">
        <f>IFERROR(W19/W446, "NA")</f>
        <v>0</v>
      </c>
      <c r="Y19" s="14"/>
      <c r="Z19" s="12">
        <v>0.0</v>
      </c>
      <c r="AA19" s="13">
        <f>IFERROR(Z19/Z446, "NA")</f>
        <v>0</v>
      </c>
      <c r="AB19" s="14"/>
      <c r="AC19" s="15">
        <f t="shared" si="4"/>
        <v>0</v>
      </c>
      <c r="AD19" s="13">
        <f>IFERROR(AC19/AC446, "NA")</f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r="A21" s="11" t="s">
        <v>25</v>
      </c>
      <c r="B21" s="12">
        <v>0.0</v>
      </c>
      <c r="C21" s="13">
        <f>IFERROR(B21/B446, "NA")</f>
        <v>0</v>
      </c>
      <c r="D21" s="14"/>
      <c r="E21" s="12">
        <v>10813.37</v>
      </c>
      <c r="F21" s="13">
        <f>IFERROR(E21/E446, "NA")</f>
        <v>0.1069999605</v>
      </c>
      <c r="G21" s="14"/>
      <c r="H21" s="15">
        <f t="shared" ref="H21:H29" si="5">IFERROR(B21-E21, "NA")</f>
        <v>-10813.37</v>
      </c>
      <c r="I21" s="13">
        <f>IFERROR(H21/H446, "NA")</f>
        <v>5.161907353</v>
      </c>
      <c r="J21" s="14"/>
      <c r="K21" s="12">
        <v>0.0</v>
      </c>
      <c r="L21" s="13">
        <f>IFERROR(K21/K446, "NA")</f>
        <v>0</v>
      </c>
      <c r="M21" s="14"/>
      <c r="N21" s="15">
        <f t="shared" ref="N21:N29" si="6">IFERROR(B21-K21, "NA")</f>
        <v>0</v>
      </c>
      <c r="O21" s="13">
        <f>IFERROR(N21/N446, "NA")</f>
        <v>0</v>
      </c>
      <c r="P21" s="14"/>
      <c r="Q21" s="12">
        <v>0.0</v>
      </c>
      <c r="R21" s="13">
        <f>IFERROR(Q21/Q446, "NA")</f>
        <v>0</v>
      </c>
      <c r="S21" s="14"/>
      <c r="T21" s="12">
        <v>103603.6</v>
      </c>
      <c r="U21" s="13">
        <f>IFERROR(T21/T446, "NA")</f>
        <v>0.106999996</v>
      </c>
      <c r="V21" s="14"/>
      <c r="W21" s="15">
        <f t="shared" ref="W21:W29" si="7">IFERROR(Q21-T21, "NA")</f>
        <v>-103603.6</v>
      </c>
      <c r="X21" s="13">
        <f>IFERROR(W21/W446, "NA")</f>
        <v>1.180503948</v>
      </c>
      <c r="Y21" s="14"/>
      <c r="Z21" s="12">
        <v>0.0</v>
      </c>
      <c r="AA21" s="13">
        <f>IFERROR(Z21/Z446, "NA")</f>
        <v>0</v>
      </c>
      <c r="AB21" s="14"/>
      <c r="AC21" s="15">
        <f t="shared" ref="AC21:AC29" si="8">IFERROR(Q21-Z21, "NA")</f>
        <v>0</v>
      </c>
      <c r="AD21" s="13">
        <f>IFERROR(AC21/AC446, "NA")</f>
        <v>0</v>
      </c>
    </row>
    <row r="22" ht="16.5" customHeight="1">
      <c r="A22" s="11" t="s">
        <v>26</v>
      </c>
      <c r="B22" s="12">
        <v>0.0</v>
      </c>
      <c r="C22" s="13">
        <f>IFERROR(B22/B446, "NA")</f>
        <v>0</v>
      </c>
      <c r="D22" s="14"/>
      <c r="E22" s="12">
        <v>0.0</v>
      </c>
      <c r="F22" s="13">
        <f>IFERROR(E22/E446, "NA")</f>
        <v>0</v>
      </c>
      <c r="G22" s="14"/>
      <c r="H22" s="15">
        <f t="shared" si="5"/>
        <v>0</v>
      </c>
      <c r="I22" s="13">
        <f>IFERROR(H22/H446, "NA")</f>
        <v>0</v>
      </c>
      <c r="J22" s="14"/>
      <c r="K22" s="12">
        <v>8974.65</v>
      </c>
      <c r="L22" s="13">
        <f>IFERROR(K22/K446, "NA")</f>
        <v>0.09695344724</v>
      </c>
      <c r="M22" s="14"/>
      <c r="N22" s="15">
        <f t="shared" si="6"/>
        <v>-8974.65</v>
      </c>
      <c r="O22" s="13">
        <f>IFERROR(N22/N446, "NA")</f>
        <v>-1.402696721</v>
      </c>
      <c r="P22" s="14"/>
      <c r="Q22" s="12">
        <v>5232.59</v>
      </c>
      <c r="R22" s="13">
        <f>IFERROR(Q22/Q446, "NA")</f>
        <v>0.005942776786</v>
      </c>
      <c r="S22" s="14"/>
      <c r="T22" s="12">
        <v>0.0</v>
      </c>
      <c r="U22" s="13">
        <f>IFERROR(T22/T446, "NA")</f>
        <v>0</v>
      </c>
      <c r="V22" s="14"/>
      <c r="W22" s="15">
        <f t="shared" si="7"/>
        <v>5232.59</v>
      </c>
      <c r="X22" s="13">
        <f>IFERROR(W22/W446, "NA")</f>
        <v>-0.05962237948</v>
      </c>
      <c r="Y22" s="14"/>
      <c r="Z22" s="12">
        <v>77982.2</v>
      </c>
      <c r="AA22" s="13">
        <f>IFERROR(Z22/Z446, "NA")</f>
        <v>0.08682262077</v>
      </c>
      <c r="AB22" s="14"/>
      <c r="AC22" s="15">
        <f t="shared" si="8"/>
        <v>-72749.61</v>
      </c>
      <c r="AD22" s="13">
        <f>IFERROR(AC22/AC446, "NA")</f>
        <v>4.114198898</v>
      </c>
    </row>
    <row r="23" ht="16.5" customHeight="1">
      <c r="A23" s="11" t="s">
        <v>27</v>
      </c>
      <c r="B23" s="12">
        <v>9604.72</v>
      </c>
      <c r="C23" s="13">
        <f>IFERROR(B23/B446, "NA")</f>
        <v>0.09705194972</v>
      </c>
      <c r="D23" s="14"/>
      <c r="E23" s="12">
        <v>0.0</v>
      </c>
      <c r="F23" s="13">
        <f>IFERROR(E23/E446, "NA")</f>
        <v>0</v>
      </c>
      <c r="G23" s="14"/>
      <c r="H23" s="15">
        <f t="shared" si="5"/>
        <v>9604.72</v>
      </c>
      <c r="I23" s="13">
        <f>IFERROR(H23/H446, "NA")</f>
        <v>-4.584942048</v>
      </c>
      <c r="J23" s="14"/>
      <c r="K23" s="12">
        <v>0.0</v>
      </c>
      <c r="L23" s="13">
        <f>IFERROR(K23/K446, "NA")</f>
        <v>0</v>
      </c>
      <c r="M23" s="14"/>
      <c r="N23" s="15">
        <f t="shared" si="6"/>
        <v>9604.72</v>
      </c>
      <c r="O23" s="13">
        <f>IFERROR(N23/N446, "NA")</f>
        <v>1.501173779</v>
      </c>
      <c r="P23" s="14"/>
      <c r="Q23" s="12">
        <v>62025.77</v>
      </c>
      <c r="R23" s="13">
        <f>IFERROR(Q23/Q446, "NA")</f>
        <v>0.07044414068</v>
      </c>
      <c r="S23" s="14"/>
      <c r="T23" s="12">
        <v>0.0</v>
      </c>
      <c r="U23" s="13">
        <f>IFERROR(T23/T446, "NA")</f>
        <v>0</v>
      </c>
      <c r="V23" s="14"/>
      <c r="W23" s="15">
        <f t="shared" si="7"/>
        <v>62025.77</v>
      </c>
      <c r="X23" s="13">
        <f>IFERROR(W23/W446, "NA")</f>
        <v>-0.7067482827</v>
      </c>
      <c r="Y23" s="14"/>
      <c r="Z23" s="12">
        <v>0.0</v>
      </c>
      <c r="AA23" s="13">
        <f>IFERROR(Z23/Z446, "NA")</f>
        <v>0</v>
      </c>
      <c r="AB23" s="14"/>
      <c r="AC23" s="15">
        <f t="shared" si="8"/>
        <v>62025.77</v>
      </c>
      <c r="AD23" s="13">
        <f>IFERROR(AC23/AC446, "NA")</f>
        <v>-3.507735018</v>
      </c>
    </row>
    <row r="24" ht="16.5" customHeight="1">
      <c r="A24" s="11" t="s">
        <v>28</v>
      </c>
      <c r="B24" s="12">
        <v>785.92</v>
      </c>
      <c r="C24" s="13">
        <f>IFERROR(B24/B446, "NA")</f>
        <v>0.007941415088</v>
      </c>
      <c r="D24" s="14"/>
      <c r="E24" s="12">
        <v>0.0</v>
      </c>
      <c r="F24" s="13">
        <f>IFERROR(E24/E446, "NA")</f>
        <v>0</v>
      </c>
      <c r="G24" s="14"/>
      <c r="H24" s="15">
        <f t="shared" si="5"/>
        <v>785.92</v>
      </c>
      <c r="I24" s="13">
        <f>IFERROR(H24/H446, "NA")</f>
        <v>-0.375169464</v>
      </c>
      <c r="J24" s="14"/>
      <c r="K24" s="12">
        <v>380.42</v>
      </c>
      <c r="L24" s="13">
        <f>IFERROR(K24/K446, "NA")</f>
        <v>0.004109690116</v>
      </c>
      <c r="M24" s="14"/>
      <c r="N24" s="15">
        <f t="shared" si="6"/>
        <v>405.5</v>
      </c>
      <c r="O24" s="13">
        <f>IFERROR(N24/N446, "NA")</f>
        <v>0.06337779417</v>
      </c>
      <c r="P24" s="14"/>
      <c r="Q24" s="12">
        <v>6097.41</v>
      </c>
      <c r="R24" s="13">
        <f>IFERROR(Q24/Q446, "NA")</f>
        <v>0.006924973407</v>
      </c>
      <c r="S24" s="14"/>
      <c r="T24" s="12">
        <v>0.0</v>
      </c>
      <c r="U24" s="13">
        <f>IFERROR(T24/T446, "NA")</f>
        <v>0</v>
      </c>
      <c r="V24" s="14"/>
      <c r="W24" s="15">
        <f t="shared" si="7"/>
        <v>6097.41</v>
      </c>
      <c r="X24" s="13">
        <f>IFERROR(W24/W446, "NA")</f>
        <v>-0.06947651027</v>
      </c>
      <c r="Y24" s="14"/>
      <c r="Z24" s="12">
        <v>8107.47</v>
      </c>
      <c r="AA24" s="13">
        <f>IFERROR(Z24/Z446, "NA")</f>
        <v>0.009026570079</v>
      </c>
      <c r="AB24" s="14"/>
      <c r="AC24" s="15">
        <f t="shared" si="8"/>
        <v>-2010.06</v>
      </c>
      <c r="AD24" s="13">
        <f>IFERROR(AC24/AC446, "NA")</f>
        <v>0.1136746525</v>
      </c>
    </row>
    <row r="25" ht="16.5" customHeight="1">
      <c r="A25" s="11" t="s">
        <v>29</v>
      </c>
      <c r="B25" s="12">
        <v>38.49</v>
      </c>
      <c r="C25" s="13">
        <f>IFERROR(B25/B446, "NA")</f>
        <v>0.0003889264387</v>
      </c>
      <c r="D25" s="14"/>
      <c r="E25" s="12">
        <v>0.0</v>
      </c>
      <c r="F25" s="13">
        <f>IFERROR(E25/E446, "NA")</f>
        <v>0</v>
      </c>
      <c r="G25" s="14"/>
      <c r="H25" s="15">
        <f t="shared" si="5"/>
        <v>38.49</v>
      </c>
      <c r="I25" s="13">
        <f>IFERROR(H25/H446, "NA")</f>
        <v>-0.01837371828</v>
      </c>
      <c r="J25" s="14"/>
      <c r="K25" s="12">
        <v>0.0</v>
      </c>
      <c r="L25" s="13">
        <f>IFERROR(K25/K446, "NA")</f>
        <v>0</v>
      </c>
      <c r="M25" s="14"/>
      <c r="N25" s="15">
        <f t="shared" si="6"/>
        <v>38.49</v>
      </c>
      <c r="O25" s="13">
        <f>IFERROR(N25/N446, "NA")</f>
        <v>0.006015810845</v>
      </c>
      <c r="P25" s="14"/>
      <c r="Q25" s="12">
        <v>852.65</v>
      </c>
      <c r="R25" s="13">
        <f>IFERROR(Q25/Q446, "NA")</f>
        <v>0.0009683748633</v>
      </c>
      <c r="S25" s="14"/>
      <c r="T25" s="12">
        <v>0.0</v>
      </c>
      <c r="U25" s="13">
        <f>IFERROR(T25/T446, "NA")</f>
        <v>0</v>
      </c>
      <c r="V25" s="14"/>
      <c r="W25" s="15">
        <f t="shared" si="7"/>
        <v>852.65</v>
      </c>
      <c r="X25" s="13">
        <f>IFERROR(W25/W446, "NA")</f>
        <v>-0.009715460578</v>
      </c>
      <c r="Y25" s="14"/>
      <c r="Z25" s="12">
        <v>0.0</v>
      </c>
      <c r="AA25" s="13">
        <f>IFERROR(Z25/Z446, "NA")</f>
        <v>0</v>
      </c>
      <c r="AB25" s="14"/>
      <c r="AC25" s="15">
        <f t="shared" si="8"/>
        <v>852.65</v>
      </c>
      <c r="AD25" s="13">
        <f>IFERROR(AC25/AC446, "NA")</f>
        <v>-0.04821980063</v>
      </c>
    </row>
    <row r="26" ht="16.5" customHeight="1">
      <c r="A26" s="11" t="s">
        <v>30</v>
      </c>
      <c r="B26" s="12">
        <v>1218.53</v>
      </c>
      <c r="C26" s="13">
        <f>IFERROR(B26/B446, "NA")</f>
        <v>0.01231277042</v>
      </c>
      <c r="D26" s="14"/>
      <c r="E26" s="12">
        <v>0.0</v>
      </c>
      <c r="F26" s="13">
        <f>IFERROR(E26/E446, "NA")</f>
        <v>0</v>
      </c>
      <c r="G26" s="14"/>
      <c r="H26" s="15">
        <f t="shared" si="5"/>
        <v>1218.53</v>
      </c>
      <c r="I26" s="13">
        <f>IFERROR(H26/H446, "NA")</f>
        <v>-0.5816816559</v>
      </c>
      <c r="J26" s="14"/>
      <c r="K26" s="12">
        <v>0.0</v>
      </c>
      <c r="L26" s="13">
        <f>IFERROR(K26/K446, "NA")</f>
        <v>0</v>
      </c>
      <c r="M26" s="14"/>
      <c r="N26" s="15">
        <f t="shared" si="6"/>
        <v>1218.53</v>
      </c>
      <c r="O26" s="13">
        <f>IFERROR(N26/N446, "NA")</f>
        <v>0.1904506622</v>
      </c>
      <c r="P26" s="14"/>
      <c r="Q26" s="12">
        <v>15876.69</v>
      </c>
      <c r="R26" s="13">
        <f>IFERROR(Q26/Q446, "NA")</f>
        <v>0.01803153405</v>
      </c>
      <c r="S26" s="14"/>
      <c r="T26" s="12">
        <v>0.0</v>
      </c>
      <c r="U26" s="13">
        <f>IFERROR(T26/T446, "NA")</f>
        <v>0</v>
      </c>
      <c r="V26" s="14"/>
      <c r="W26" s="15">
        <f t="shared" si="7"/>
        <v>15876.69</v>
      </c>
      <c r="X26" s="13">
        <f>IFERROR(W26/W446, "NA")</f>
        <v>-0.1809058298</v>
      </c>
      <c r="Y26" s="14"/>
      <c r="Z26" s="12">
        <v>0.0</v>
      </c>
      <c r="AA26" s="13">
        <f>IFERROR(Z26/Z446, "NA")</f>
        <v>0</v>
      </c>
      <c r="AB26" s="14"/>
      <c r="AC26" s="15">
        <f t="shared" si="8"/>
        <v>15876.69</v>
      </c>
      <c r="AD26" s="13">
        <f>IFERROR(AC26/AC446, "NA")</f>
        <v>-0.8978723115</v>
      </c>
    </row>
    <row r="27" ht="16.5" hidden="1" customHeight="1">
      <c r="A27" s="11" t="s">
        <v>31</v>
      </c>
      <c r="B27" s="12">
        <v>0.0</v>
      </c>
      <c r="C27" s="13">
        <f>IFERROR(B27/B446, "NA")</f>
        <v>0</v>
      </c>
      <c r="D27" s="14"/>
      <c r="E27" s="12">
        <v>0.0</v>
      </c>
      <c r="F27" s="13">
        <f>IFERROR(E27/E446, "NA")</f>
        <v>0</v>
      </c>
      <c r="G27" s="14"/>
      <c r="H27" s="15">
        <f t="shared" si="5"/>
        <v>0</v>
      </c>
      <c r="I27" s="13">
        <f>IFERROR(H27/H446, "NA")</f>
        <v>0</v>
      </c>
      <c r="J27" s="14"/>
      <c r="K27" s="12">
        <v>0.0</v>
      </c>
      <c r="L27" s="13">
        <f>IFERROR(K27/K446, "NA")</f>
        <v>0</v>
      </c>
      <c r="M27" s="14"/>
      <c r="N27" s="15">
        <f t="shared" si="6"/>
        <v>0</v>
      </c>
      <c r="O27" s="13">
        <f>IFERROR(N27/N446, "NA")</f>
        <v>0</v>
      </c>
      <c r="P27" s="14"/>
      <c r="Q27" s="12">
        <v>0.0</v>
      </c>
      <c r="R27" s="13">
        <f>IFERROR(Q27/Q446, "NA")</f>
        <v>0</v>
      </c>
      <c r="S27" s="14"/>
      <c r="T27" s="12">
        <v>0.0</v>
      </c>
      <c r="U27" s="13">
        <f>IFERROR(T27/T446, "NA")</f>
        <v>0</v>
      </c>
      <c r="V27" s="14"/>
      <c r="W27" s="15">
        <f t="shared" si="7"/>
        <v>0</v>
      </c>
      <c r="X27" s="13">
        <f>IFERROR(W27/W446, "NA")</f>
        <v>0</v>
      </c>
      <c r="Y27" s="14"/>
      <c r="Z27" s="12">
        <v>0.0</v>
      </c>
      <c r="AA27" s="13">
        <f>IFERROR(Z27/Z446, "NA")</f>
        <v>0</v>
      </c>
      <c r="AB27" s="14"/>
      <c r="AC27" s="15">
        <f t="shared" si="8"/>
        <v>0</v>
      </c>
      <c r="AD27" s="13">
        <f>IFERROR(AC27/AC446, "NA")</f>
        <v>0</v>
      </c>
    </row>
    <row r="28" ht="16.5" customHeight="1">
      <c r="A28" s="11" t="s">
        <v>32</v>
      </c>
      <c r="B28" s="12">
        <v>898.5</v>
      </c>
      <c r="C28" s="13">
        <f>IFERROR(B28/B446, "NA")</f>
        <v>0.009078992081</v>
      </c>
      <c r="D28" s="14"/>
      <c r="E28" s="12">
        <v>0.0</v>
      </c>
      <c r="F28" s="13">
        <f>IFERROR(E28/E446, "NA")</f>
        <v>0</v>
      </c>
      <c r="G28" s="14"/>
      <c r="H28" s="15">
        <f t="shared" si="5"/>
        <v>898.5</v>
      </c>
      <c r="I28" s="13">
        <f>IFERROR(H28/H446, "NA")</f>
        <v>-0.4289110386</v>
      </c>
      <c r="J28" s="14"/>
      <c r="K28" s="12">
        <v>916.47</v>
      </c>
      <c r="L28" s="13">
        <f>IFERROR(K28/K446, "NA")</f>
        <v>0.009900656382</v>
      </c>
      <c r="M28" s="14"/>
      <c r="N28" s="15">
        <f t="shared" si="6"/>
        <v>-17.97</v>
      </c>
      <c r="O28" s="13">
        <f>IFERROR(N28/N446, "NA")</f>
        <v>-0.002808628758</v>
      </c>
      <c r="P28" s="14"/>
      <c r="Q28" s="12">
        <v>6990.33</v>
      </c>
      <c r="R28" s="13">
        <f>IFERROR(Q28/Q446, "NA")</f>
        <v>0.007939083866</v>
      </c>
      <c r="S28" s="14"/>
      <c r="T28" s="12">
        <v>0.0</v>
      </c>
      <c r="U28" s="13">
        <f>IFERROR(T28/T446, "NA")</f>
        <v>0</v>
      </c>
      <c r="V28" s="14"/>
      <c r="W28" s="15">
        <f t="shared" si="7"/>
        <v>6990.33</v>
      </c>
      <c r="X28" s="13">
        <f>IFERROR(W28/W446, "NA")</f>
        <v>-0.07965082454</v>
      </c>
      <c r="Y28" s="14"/>
      <c r="Z28" s="12">
        <v>7026.27</v>
      </c>
      <c r="AA28" s="13">
        <f>IFERROR(Z28/Z446, "NA")</f>
        <v>0.007822800275</v>
      </c>
      <c r="AB28" s="14"/>
      <c r="AC28" s="15">
        <f t="shared" si="8"/>
        <v>-35.94</v>
      </c>
      <c r="AD28" s="13">
        <f>IFERROR(AC28/AC446, "NA")</f>
        <v>0.00203250998</v>
      </c>
    </row>
    <row r="29" ht="16.5" customHeight="1">
      <c r="A29" s="16" t="s">
        <v>33</v>
      </c>
      <c r="B29" s="17">
        <f>IFERROR(B21+B22+B23+B24+B25+B26+B27+B28, "NA")</f>
        <v>12546.16</v>
      </c>
      <c r="C29" s="18">
        <f>IFERROR(B29/B446, "NA")</f>
        <v>0.1267740537</v>
      </c>
      <c r="D29" s="8"/>
      <c r="E29" s="17">
        <f>IFERROR(E21+E22+E23+E24+E25+E26+E27+E28, "NA")</f>
        <v>10813.37</v>
      </c>
      <c r="F29" s="18">
        <f>IFERROR(E29/E446, "NA")</f>
        <v>0.1069999605</v>
      </c>
      <c r="G29" s="8"/>
      <c r="H29" s="17">
        <f t="shared" si="5"/>
        <v>1732.79</v>
      </c>
      <c r="I29" s="18">
        <f>IFERROR(H29/H446, "NA")</f>
        <v>-0.8271705715</v>
      </c>
      <c r="J29" s="8"/>
      <c r="K29" s="17">
        <f>IFERROR(K21+K22+K23+K24+K25+K26+K27+K28, "NA")</f>
        <v>10271.54</v>
      </c>
      <c r="L29" s="18">
        <f>IFERROR(K29/K446, "NA")</f>
        <v>0.1109637937</v>
      </c>
      <c r="M29" s="8"/>
      <c r="N29" s="17">
        <f t="shared" si="6"/>
        <v>2274.62</v>
      </c>
      <c r="O29" s="18">
        <f>IFERROR(N29/N446, "NA")</f>
        <v>0.3555126959</v>
      </c>
      <c r="P29" s="8"/>
      <c r="Q29" s="17">
        <f>IFERROR(Q21+Q22+Q23+Q24+Q25+Q26+Q27+Q28, "NA")</f>
        <v>97075.44</v>
      </c>
      <c r="R29" s="18">
        <f>IFERROR(Q29/Q446, "NA")</f>
        <v>0.1102508836</v>
      </c>
      <c r="S29" s="8"/>
      <c r="T29" s="17">
        <f>IFERROR(T21+T22+T23+T24+T25+T26+T27+T28, "NA")</f>
        <v>103603.6</v>
      </c>
      <c r="U29" s="18">
        <f>IFERROR(T29/T446, "NA")</f>
        <v>0.106999996</v>
      </c>
      <c r="V29" s="8"/>
      <c r="W29" s="17">
        <f t="shared" si="7"/>
        <v>-6528.16</v>
      </c>
      <c r="X29" s="18">
        <f>IFERROR(W29/W446, "NA")</f>
        <v>0.07438466091</v>
      </c>
      <c r="Y29" s="8"/>
      <c r="Z29" s="17">
        <f>IFERROR(Z21+Z22+Z23+Z24+Z25+Z26+Z27+Z28, "NA")</f>
        <v>93115.94</v>
      </c>
      <c r="AA29" s="18">
        <f>IFERROR(Z29/Z446, "NA")</f>
        <v>0.1036719911</v>
      </c>
      <c r="AB29" s="8"/>
      <c r="AC29" s="17">
        <f t="shared" si="8"/>
        <v>3959.5</v>
      </c>
      <c r="AD29" s="18">
        <f>IFERROR(AC29/AC446, "NA")</f>
        <v>-0.2239210703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r="A31" s="11" t="s">
        <v>34</v>
      </c>
      <c r="B31" s="12">
        <v>0.0</v>
      </c>
      <c r="C31" s="13">
        <f>IFERROR(B31/B446, "NA")</f>
        <v>0</v>
      </c>
      <c r="D31" s="14"/>
      <c r="E31" s="12">
        <v>18392.84</v>
      </c>
      <c r="F31" s="13">
        <f>IFERROR(E31/E446, "NA")</f>
        <v>0.1819999828</v>
      </c>
      <c r="G31" s="14"/>
      <c r="H31" s="15">
        <f t="shared" ref="H31:H40" si="9">IFERROR(B31-E31, "NA")</f>
        <v>-18392.84</v>
      </c>
      <c r="I31" s="13">
        <f>IFERROR(H31/H446, "NA")</f>
        <v>8.780069122</v>
      </c>
      <c r="J31" s="14"/>
      <c r="K31" s="12">
        <v>0.0</v>
      </c>
      <c r="L31" s="13">
        <f>IFERROR(K31/K446, "NA")</f>
        <v>0</v>
      </c>
      <c r="M31" s="14"/>
      <c r="N31" s="15">
        <f t="shared" ref="N31:N40" si="10">IFERROR(B31-K31, "NA")</f>
        <v>0</v>
      </c>
      <c r="O31" s="13">
        <f>IFERROR(N31/N446, "NA")</f>
        <v>0</v>
      </c>
      <c r="P31" s="14"/>
      <c r="Q31" s="12">
        <v>0.0</v>
      </c>
      <c r="R31" s="13">
        <f>IFERROR(Q31/Q446, "NA")</f>
        <v>0</v>
      </c>
      <c r="S31" s="14"/>
      <c r="T31" s="12">
        <v>176222.95</v>
      </c>
      <c r="U31" s="13">
        <f>IFERROR(T31/T446, "NA")</f>
        <v>0.1819999976</v>
      </c>
      <c r="V31" s="14"/>
      <c r="W31" s="15">
        <f t="shared" ref="W31:W40" si="11">IFERROR(Q31-T31, "NA")</f>
        <v>-176222.95</v>
      </c>
      <c r="X31" s="13">
        <f>IFERROR(W31/W446, "NA")</f>
        <v>2.007960035</v>
      </c>
      <c r="Y31" s="14"/>
      <c r="Z31" s="12">
        <v>0.0</v>
      </c>
      <c r="AA31" s="13">
        <f>IFERROR(Z31/Z446, "NA")</f>
        <v>0</v>
      </c>
      <c r="AB31" s="14"/>
      <c r="AC31" s="15">
        <f t="shared" ref="AC31:AC40" si="12">IFERROR(Q31-Z31, "NA")</f>
        <v>0</v>
      </c>
      <c r="AD31" s="13">
        <f>IFERROR(AC31/AC446, "NA")</f>
        <v>0</v>
      </c>
    </row>
    <row r="32" ht="16.5" hidden="1" customHeight="1">
      <c r="A32" s="11" t="s">
        <v>35</v>
      </c>
      <c r="B32" s="12">
        <v>0.0</v>
      </c>
      <c r="C32" s="13">
        <f>IFERROR(B32/B446, "NA")</f>
        <v>0</v>
      </c>
      <c r="D32" s="14"/>
      <c r="E32" s="12">
        <v>0.0</v>
      </c>
      <c r="F32" s="13">
        <f>IFERROR(E32/E446, "NA")</f>
        <v>0</v>
      </c>
      <c r="G32" s="14"/>
      <c r="H32" s="15">
        <f t="shared" si="9"/>
        <v>0</v>
      </c>
      <c r="I32" s="13">
        <f>IFERROR(H32/H446, "NA")</f>
        <v>0</v>
      </c>
      <c r="J32" s="14"/>
      <c r="K32" s="12">
        <v>0.0</v>
      </c>
      <c r="L32" s="13">
        <f>IFERROR(K32/K446, "NA")</f>
        <v>0</v>
      </c>
      <c r="M32" s="14"/>
      <c r="N32" s="15">
        <f t="shared" si="10"/>
        <v>0</v>
      </c>
      <c r="O32" s="13">
        <f>IFERROR(N32/N446, "NA")</f>
        <v>0</v>
      </c>
      <c r="P32" s="14"/>
      <c r="Q32" s="12">
        <v>0.0</v>
      </c>
      <c r="R32" s="13">
        <f>IFERROR(Q32/Q446, "NA")</f>
        <v>0</v>
      </c>
      <c r="S32" s="14"/>
      <c r="T32" s="12">
        <v>0.0</v>
      </c>
      <c r="U32" s="13">
        <f>IFERROR(T32/T446, "NA")</f>
        <v>0</v>
      </c>
      <c r="V32" s="14"/>
      <c r="W32" s="15">
        <f t="shared" si="11"/>
        <v>0</v>
      </c>
      <c r="X32" s="13">
        <f>IFERROR(W32/W446, "NA")</f>
        <v>0</v>
      </c>
      <c r="Y32" s="14"/>
      <c r="Z32" s="12">
        <v>0.0</v>
      </c>
      <c r="AA32" s="13">
        <f>IFERROR(Z32/Z446, "NA")</f>
        <v>0</v>
      </c>
      <c r="AB32" s="14"/>
      <c r="AC32" s="15">
        <f t="shared" si="12"/>
        <v>0</v>
      </c>
      <c r="AD32" s="13">
        <f>IFERROR(AC32/AC446, "NA")</f>
        <v>0</v>
      </c>
    </row>
    <row r="33" ht="16.5" customHeight="1">
      <c r="A33" s="11" t="s">
        <v>36</v>
      </c>
      <c r="B33" s="12">
        <v>8849.8</v>
      </c>
      <c r="C33" s="13">
        <f>IFERROR(B33/B446, "NA")</f>
        <v>0.08942377754</v>
      </c>
      <c r="D33" s="14"/>
      <c r="E33" s="12">
        <v>0.0</v>
      </c>
      <c r="F33" s="13">
        <f>IFERROR(E33/E446, "NA")</f>
        <v>0</v>
      </c>
      <c r="G33" s="14"/>
      <c r="H33" s="15">
        <f t="shared" si="9"/>
        <v>8849.8</v>
      </c>
      <c r="I33" s="13">
        <f>IFERROR(H33/H446, "NA")</f>
        <v>-4.22457085</v>
      </c>
      <c r="J33" s="14"/>
      <c r="K33" s="12">
        <v>5048.36</v>
      </c>
      <c r="L33" s="13">
        <f>IFERROR(K33/K446, "NA")</f>
        <v>0.05453760369</v>
      </c>
      <c r="M33" s="14"/>
      <c r="N33" s="15">
        <f t="shared" si="10"/>
        <v>3801.44</v>
      </c>
      <c r="O33" s="13">
        <f>IFERROR(N33/N446, "NA")</f>
        <v>0.5941476742</v>
      </c>
      <c r="P33" s="14"/>
      <c r="Q33" s="12">
        <v>81841.91</v>
      </c>
      <c r="R33" s="13">
        <f>IFERROR(Q33/Q446, "NA")</f>
        <v>0.09294980169</v>
      </c>
      <c r="S33" s="14"/>
      <c r="T33" s="12">
        <v>0.0</v>
      </c>
      <c r="U33" s="13">
        <f>IFERROR(T33/T446, "NA")</f>
        <v>0</v>
      </c>
      <c r="V33" s="14"/>
      <c r="W33" s="15">
        <f t="shared" si="11"/>
        <v>81841.91</v>
      </c>
      <c r="X33" s="13">
        <f>IFERROR(W33/W446, "NA")</f>
        <v>-0.932541899</v>
      </c>
      <c r="Y33" s="14"/>
      <c r="Z33" s="12">
        <v>63798.78</v>
      </c>
      <c r="AA33" s="13">
        <f>IFERROR(Z33/Z446, "NA")</f>
        <v>0.07103130306</v>
      </c>
      <c r="AB33" s="14"/>
      <c r="AC33" s="15">
        <f t="shared" si="12"/>
        <v>18043.13</v>
      </c>
      <c r="AD33" s="13">
        <f>IFERROR(AC33/AC446, "NA")</f>
        <v>-1.020390701</v>
      </c>
    </row>
    <row r="34" ht="16.5" hidden="1" customHeight="1">
      <c r="A34" s="11" t="s">
        <v>37</v>
      </c>
      <c r="B34" s="12">
        <v>0.0</v>
      </c>
      <c r="C34" s="13">
        <f>IFERROR(B34/B446, "NA")</f>
        <v>0</v>
      </c>
      <c r="D34" s="14"/>
      <c r="E34" s="12">
        <v>0.0</v>
      </c>
      <c r="F34" s="13">
        <f>IFERROR(E34/E446, "NA")</f>
        <v>0</v>
      </c>
      <c r="G34" s="14"/>
      <c r="H34" s="15">
        <f t="shared" si="9"/>
        <v>0</v>
      </c>
      <c r="I34" s="13">
        <f>IFERROR(H34/H446, "NA")</f>
        <v>0</v>
      </c>
      <c r="J34" s="14"/>
      <c r="K34" s="12">
        <v>0.0</v>
      </c>
      <c r="L34" s="13">
        <f>IFERROR(K34/K446, "NA")</f>
        <v>0</v>
      </c>
      <c r="M34" s="14"/>
      <c r="N34" s="15">
        <f t="shared" si="10"/>
        <v>0</v>
      </c>
      <c r="O34" s="13">
        <f>IFERROR(N34/N446, "NA")</f>
        <v>0</v>
      </c>
      <c r="P34" s="14"/>
      <c r="Q34" s="12">
        <v>0.0</v>
      </c>
      <c r="R34" s="13">
        <f>IFERROR(Q34/Q446, "NA")</f>
        <v>0</v>
      </c>
      <c r="S34" s="14"/>
      <c r="T34" s="12">
        <v>0.0</v>
      </c>
      <c r="U34" s="13">
        <f>IFERROR(T34/T446, "NA")</f>
        <v>0</v>
      </c>
      <c r="V34" s="14"/>
      <c r="W34" s="15">
        <f t="shared" si="11"/>
        <v>0</v>
      </c>
      <c r="X34" s="13">
        <f>IFERROR(W34/W446, "NA")</f>
        <v>0</v>
      </c>
      <c r="Y34" s="14"/>
      <c r="Z34" s="12">
        <v>0.0</v>
      </c>
      <c r="AA34" s="13">
        <f>IFERROR(Z34/Z446, "NA")</f>
        <v>0</v>
      </c>
      <c r="AB34" s="14"/>
      <c r="AC34" s="15">
        <f t="shared" si="12"/>
        <v>0</v>
      </c>
      <c r="AD34" s="13">
        <f>IFERROR(AC34/AC446, "NA")</f>
        <v>0</v>
      </c>
    </row>
    <row r="35" ht="16.5" customHeight="1">
      <c r="A35" s="11" t="s">
        <v>38</v>
      </c>
      <c r="B35" s="12">
        <v>543.51</v>
      </c>
      <c r="C35" s="13">
        <f>IFERROR(B35/B446, "NA")</f>
        <v>0.005491956579</v>
      </c>
      <c r="D35" s="14"/>
      <c r="E35" s="12">
        <v>0.0</v>
      </c>
      <c r="F35" s="13">
        <f>IFERROR(E35/E446, "NA")</f>
        <v>0</v>
      </c>
      <c r="G35" s="14"/>
      <c r="H35" s="15">
        <f t="shared" si="9"/>
        <v>543.51</v>
      </c>
      <c r="I35" s="13">
        <f>IFERROR(H35/H446, "NA")</f>
        <v>-0.2594517958</v>
      </c>
      <c r="J35" s="14"/>
      <c r="K35" s="12">
        <v>1125.56</v>
      </c>
      <c r="L35" s="13">
        <f>IFERROR(K35/K446, "NA")</f>
        <v>0.01215946272</v>
      </c>
      <c r="M35" s="14"/>
      <c r="N35" s="15">
        <f t="shared" si="10"/>
        <v>-582.05</v>
      </c>
      <c r="O35" s="13">
        <f>IFERROR(N35/N446, "NA")</f>
        <v>-0.09097175117</v>
      </c>
      <c r="P35" s="14"/>
      <c r="Q35" s="12">
        <v>5346.08</v>
      </c>
      <c r="R35" s="13">
        <f>IFERROR(Q35/Q446, "NA")</f>
        <v>0.006071670075</v>
      </c>
      <c r="S35" s="14"/>
      <c r="T35" s="12">
        <v>0.0</v>
      </c>
      <c r="U35" s="13">
        <f>IFERROR(T35/T446, "NA")</f>
        <v>0</v>
      </c>
      <c r="V35" s="14"/>
      <c r="W35" s="15">
        <f t="shared" si="11"/>
        <v>5346.08</v>
      </c>
      <c r="X35" s="13">
        <f>IFERROR(W35/W446, "NA")</f>
        <v>-0.06091553332</v>
      </c>
      <c r="Y35" s="14"/>
      <c r="Z35" s="12">
        <v>10251.14</v>
      </c>
      <c r="AA35" s="13">
        <f>IFERROR(Z35/Z446, "NA")</f>
        <v>0.01141325637</v>
      </c>
      <c r="AB35" s="14"/>
      <c r="AC35" s="15">
        <f t="shared" si="12"/>
        <v>-4905.06</v>
      </c>
      <c r="AD35" s="13">
        <f>IFERROR(AC35/AC446, "NA")</f>
        <v>0.2773951976</v>
      </c>
    </row>
    <row r="36" ht="16.5" customHeight="1">
      <c r="A36" s="11" t="s">
        <v>39</v>
      </c>
      <c r="B36" s="12">
        <v>9438.77</v>
      </c>
      <c r="C36" s="13">
        <f>IFERROR(B36/B446, "NA")</f>
        <v>0.09537508969</v>
      </c>
      <c r="D36" s="14"/>
      <c r="E36" s="12">
        <v>0.0</v>
      </c>
      <c r="F36" s="13">
        <f>IFERROR(E36/E446, "NA")</f>
        <v>0</v>
      </c>
      <c r="G36" s="14"/>
      <c r="H36" s="15">
        <f t="shared" si="9"/>
        <v>9438.77</v>
      </c>
      <c r="I36" s="13">
        <f>IFERROR(H36/H446, "NA")</f>
        <v>-4.505723587</v>
      </c>
      <c r="J36" s="14"/>
      <c r="K36" s="12">
        <v>4651.73</v>
      </c>
      <c r="L36" s="13">
        <f>IFERROR(K36/K446, "NA")</f>
        <v>0.05025279639</v>
      </c>
      <c r="M36" s="14"/>
      <c r="N36" s="15">
        <f t="shared" si="10"/>
        <v>4787.04</v>
      </c>
      <c r="O36" s="13">
        <f>IFERROR(N36/N446, "NA")</f>
        <v>0.7481924434</v>
      </c>
      <c r="P36" s="14"/>
      <c r="Q36" s="12">
        <v>93735.92</v>
      </c>
      <c r="R36" s="13">
        <f>IFERROR(Q36/Q446, "NA")</f>
        <v>0.1064581114</v>
      </c>
      <c r="S36" s="14"/>
      <c r="T36" s="12">
        <v>0.0</v>
      </c>
      <c r="U36" s="13">
        <f>IFERROR(T36/T446, "NA")</f>
        <v>0</v>
      </c>
      <c r="V36" s="14"/>
      <c r="W36" s="15">
        <f t="shared" si="11"/>
        <v>93735.92</v>
      </c>
      <c r="X36" s="13">
        <f>IFERROR(W36/W446, "NA")</f>
        <v>-1.068067361</v>
      </c>
      <c r="Y36" s="14"/>
      <c r="Z36" s="12">
        <v>76867.67</v>
      </c>
      <c r="AA36" s="13">
        <f>IFERROR(Z36/Z446, "NA")</f>
        <v>0.08558174252</v>
      </c>
      <c r="AB36" s="14"/>
      <c r="AC36" s="15">
        <f t="shared" si="12"/>
        <v>16868.25</v>
      </c>
      <c r="AD36" s="13">
        <f>IFERROR(AC36/AC446, "NA")</f>
        <v>-0.9539478707</v>
      </c>
    </row>
    <row r="37" ht="16.5" customHeight="1">
      <c r="A37" s="11" t="s">
        <v>40</v>
      </c>
      <c r="B37" s="12">
        <v>1189.71</v>
      </c>
      <c r="C37" s="13">
        <f>IFERROR(B37/B446, "NA")</f>
        <v>0.01202155556</v>
      </c>
      <c r="D37" s="14"/>
      <c r="E37" s="12">
        <v>0.0</v>
      </c>
      <c r="F37" s="13">
        <f>IFERROR(E37/E446, "NA")</f>
        <v>0</v>
      </c>
      <c r="G37" s="14"/>
      <c r="H37" s="15">
        <f t="shared" si="9"/>
        <v>1189.71</v>
      </c>
      <c r="I37" s="13">
        <f>IFERROR(H37/H446, "NA")</f>
        <v>-0.5679240419</v>
      </c>
      <c r="J37" s="14"/>
      <c r="K37" s="12">
        <v>0.0</v>
      </c>
      <c r="L37" s="13">
        <f>IFERROR(K37/K446, "NA")</f>
        <v>0</v>
      </c>
      <c r="M37" s="14"/>
      <c r="N37" s="15">
        <f t="shared" si="10"/>
        <v>1189.71</v>
      </c>
      <c r="O37" s="13">
        <f>IFERROR(N37/N446, "NA")</f>
        <v>0.1859462281</v>
      </c>
      <c r="P37" s="14"/>
      <c r="Q37" s="12">
        <v>7539.09</v>
      </c>
      <c r="R37" s="13">
        <f>IFERROR(Q37/Q446, "NA")</f>
        <v>0.008562323636</v>
      </c>
      <c r="S37" s="14"/>
      <c r="T37" s="12">
        <v>0.0</v>
      </c>
      <c r="U37" s="13">
        <f>IFERROR(T37/T446, "NA")</f>
        <v>0</v>
      </c>
      <c r="V37" s="14"/>
      <c r="W37" s="15">
        <f t="shared" si="11"/>
        <v>7539.09</v>
      </c>
      <c r="X37" s="13">
        <f>IFERROR(W37/W446, "NA")</f>
        <v>-0.08590363184</v>
      </c>
      <c r="Y37" s="14"/>
      <c r="Z37" s="12">
        <v>0.0</v>
      </c>
      <c r="AA37" s="13">
        <f>IFERROR(Z37/Z446, "NA")</f>
        <v>0</v>
      </c>
      <c r="AB37" s="14"/>
      <c r="AC37" s="15">
        <f t="shared" si="12"/>
        <v>7539.09</v>
      </c>
      <c r="AD37" s="13">
        <f>IFERROR(AC37/AC446, "NA")</f>
        <v>-0.4263571415</v>
      </c>
    </row>
    <row r="38" ht="16.5" hidden="1" customHeight="1">
      <c r="A38" s="11" t="s">
        <v>41</v>
      </c>
      <c r="B38" s="12">
        <v>0.0</v>
      </c>
      <c r="C38" s="13">
        <f>IFERROR(B38/B446, "NA")</f>
        <v>0</v>
      </c>
      <c r="D38" s="14"/>
      <c r="E38" s="12">
        <v>0.0</v>
      </c>
      <c r="F38" s="13">
        <f>IFERROR(E38/E446, "NA")</f>
        <v>0</v>
      </c>
      <c r="G38" s="14"/>
      <c r="H38" s="15">
        <f t="shared" si="9"/>
        <v>0</v>
      </c>
      <c r="I38" s="13">
        <f>IFERROR(H38/H446, "NA")</f>
        <v>0</v>
      </c>
      <c r="J38" s="14"/>
      <c r="K38" s="12">
        <v>0.0</v>
      </c>
      <c r="L38" s="13">
        <f>IFERROR(K38/K446, "NA")</f>
        <v>0</v>
      </c>
      <c r="M38" s="14"/>
      <c r="N38" s="15">
        <f t="shared" si="10"/>
        <v>0</v>
      </c>
      <c r="O38" s="13">
        <f>IFERROR(N38/N446, "NA")</f>
        <v>0</v>
      </c>
      <c r="P38" s="14"/>
      <c r="Q38" s="12">
        <v>0.0</v>
      </c>
      <c r="R38" s="13">
        <f>IFERROR(Q38/Q446, "NA")</f>
        <v>0</v>
      </c>
      <c r="S38" s="14"/>
      <c r="T38" s="12">
        <v>0.0</v>
      </c>
      <c r="U38" s="13">
        <f>IFERROR(T38/T446, "NA")</f>
        <v>0</v>
      </c>
      <c r="V38" s="14"/>
      <c r="W38" s="15">
        <f t="shared" si="11"/>
        <v>0</v>
      </c>
      <c r="X38" s="13">
        <f>IFERROR(W38/W446, "NA")</f>
        <v>0</v>
      </c>
      <c r="Y38" s="14"/>
      <c r="Z38" s="12">
        <v>0.0</v>
      </c>
      <c r="AA38" s="13">
        <f>IFERROR(Z38/Z446, "NA")</f>
        <v>0</v>
      </c>
      <c r="AB38" s="14"/>
      <c r="AC38" s="15">
        <f t="shared" si="12"/>
        <v>0</v>
      </c>
      <c r="AD38" s="13">
        <f>IFERROR(AC38/AC446, "NA")</f>
        <v>0</v>
      </c>
    </row>
    <row r="39" ht="16.5" customHeight="1">
      <c r="A39" s="11" t="s">
        <v>42</v>
      </c>
      <c r="B39" s="12">
        <v>0.0</v>
      </c>
      <c r="C39" s="13">
        <f>IFERROR(B39/B446, "NA")</f>
        <v>0</v>
      </c>
      <c r="D39" s="14"/>
      <c r="E39" s="12">
        <v>0.0</v>
      </c>
      <c r="F39" s="13">
        <f>IFERROR(E39/E446, "NA")</f>
        <v>0</v>
      </c>
      <c r="G39" s="14"/>
      <c r="H39" s="15">
        <f t="shared" si="9"/>
        <v>0</v>
      </c>
      <c r="I39" s="13">
        <f>IFERROR(H39/H446, "NA")</f>
        <v>0</v>
      </c>
      <c r="J39" s="14"/>
      <c r="K39" s="12">
        <v>662.55</v>
      </c>
      <c r="L39" s="13">
        <f>IFERROR(K39/K446, "NA")</f>
        <v>0.00715755004</v>
      </c>
      <c r="M39" s="14"/>
      <c r="N39" s="15">
        <f t="shared" si="10"/>
        <v>-662.55</v>
      </c>
      <c r="O39" s="13">
        <f>IFERROR(N39/N446, "NA")</f>
        <v>-0.1035535327</v>
      </c>
      <c r="P39" s="14"/>
      <c r="Q39" s="12">
        <v>521.4</v>
      </c>
      <c r="R39" s="13">
        <f>IFERROR(Q39/Q446, "NA")</f>
        <v>0.0005921663681</v>
      </c>
      <c r="S39" s="14"/>
      <c r="T39" s="12">
        <v>0.0</v>
      </c>
      <c r="U39" s="13">
        <f>IFERROR(T39/T446, "NA")</f>
        <v>0</v>
      </c>
      <c r="V39" s="14"/>
      <c r="W39" s="15">
        <f t="shared" si="11"/>
        <v>521.4</v>
      </c>
      <c r="X39" s="13">
        <f>IFERROR(W39/W446, "NA")</f>
        <v>-0.005941055703</v>
      </c>
      <c r="Y39" s="14"/>
      <c r="Z39" s="12">
        <v>7211.36</v>
      </c>
      <c r="AA39" s="13">
        <f>IFERROR(Z39/Z446, "NA")</f>
        <v>0.008028872929</v>
      </c>
      <c r="AB39" s="14"/>
      <c r="AC39" s="15">
        <f t="shared" si="12"/>
        <v>-6689.96</v>
      </c>
      <c r="AD39" s="13">
        <f>IFERROR(AC39/AC446, "NA")</f>
        <v>0.378336407</v>
      </c>
    </row>
    <row r="40" ht="16.5" customHeight="1">
      <c r="A40" s="16" t="s">
        <v>43</v>
      </c>
      <c r="B40" s="17">
        <f>IFERROR(B31+B32+B33+B34+B35+B36+B37+B38+B39, "NA")</f>
        <v>20021.79</v>
      </c>
      <c r="C40" s="18">
        <f>IFERROR(B40/B446, "NA")</f>
        <v>0.2023123794</v>
      </c>
      <c r="D40" s="8"/>
      <c r="E40" s="17">
        <f>IFERROR(E31+E32+E33+E34+E35+E36+E37+E38+E39, "NA")</f>
        <v>18392.84</v>
      </c>
      <c r="F40" s="18">
        <f>IFERROR(E40/E446, "NA")</f>
        <v>0.1819999828</v>
      </c>
      <c r="G40" s="8"/>
      <c r="H40" s="17">
        <f t="shared" si="9"/>
        <v>1628.95</v>
      </c>
      <c r="I40" s="18">
        <f>IFERROR(H40/H446, "NA")</f>
        <v>-0.7776011533</v>
      </c>
      <c r="J40" s="8"/>
      <c r="K40" s="17">
        <f>IFERROR(K31+K32+K33+K34+K35+K36+K37+K38+K39, "NA")</f>
        <v>11488.2</v>
      </c>
      <c r="L40" s="18">
        <f>IFERROR(K40/K446, "NA")</f>
        <v>0.1241074128</v>
      </c>
      <c r="M40" s="8"/>
      <c r="N40" s="17">
        <f t="shared" si="10"/>
        <v>8533.59</v>
      </c>
      <c r="O40" s="18">
        <f>IFERROR(N40/N446, "NA")</f>
        <v>1.333761062</v>
      </c>
      <c r="P40" s="8"/>
      <c r="Q40" s="17">
        <f>IFERROR(Q31+Q32+Q33+Q34+Q35+Q36+Q37+Q38+Q39, "NA")</f>
        <v>188984.4</v>
      </c>
      <c r="R40" s="18">
        <f>IFERROR(Q40/Q446, "NA")</f>
        <v>0.2146340732</v>
      </c>
      <c r="S40" s="8"/>
      <c r="T40" s="17">
        <f>IFERROR(T31+T32+T33+T34+T35+T36+T37+T38+T39, "NA")</f>
        <v>176222.95</v>
      </c>
      <c r="U40" s="18">
        <f>IFERROR(T40/T446, "NA")</f>
        <v>0.1819999976</v>
      </c>
      <c r="V40" s="8"/>
      <c r="W40" s="17">
        <f t="shared" si="11"/>
        <v>12761.45</v>
      </c>
      <c r="X40" s="18">
        <f>IFERROR(W40/W446, "NA")</f>
        <v>-0.1454094463</v>
      </c>
      <c r="Y40" s="8"/>
      <c r="Z40" s="17">
        <f>IFERROR(Z31+Z32+Z33+Z34+Z35+Z36+Z37+Z38+Z39, "NA")</f>
        <v>158128.95</v>
      </c>
      <c r="AA40" s="18">
        <f>IFERROR(Z40/Z446, "NA")</f>
        <v>0.1760551749</v>
      </c>
      <c r="AB40" s="8"/>
      <c r="AC40" s="17">
        <f t="shared" si="12"/>
        <v>30855.45</v>
      </c>
      <c r="AD40" s="18">
        <f>IFERROR(AC40/AC446, "NA")</f>
        <v>-1.744964109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r="A42" s="11" t="s">
        <v>44</v>
      </c>
      <c r="B42" s="12">
        <v>0.0</v>
      </c>
      <c r="C42" s="13">
        <f>IFERROR(B42/B446, "NA")</f>
        <v>0</v>
      </c>
      <c r="D42" s="14"/>
      <c r="E42" s="12">
        <v>18696.02</v>
      </c>
      <c r="F42" s="13">
        <f>IFERROR(E42/E446, "NA")</f>
        <v>0.1849999955</v>
      </c>
      <c r="G42" s="14"/>
      <c r="H42" s="15">
        <f t="shared" ref="H42:H44" si="13">IFERROR(B42-E42, "NA")</f>
        <v>-18696.02</v>
      </c>
      <c r="I42" s="13">
        <f>IFERROR(H42/H446, "NA")</f>
        <v>8.924796166</v>
      </c>
      <c r="J42" s="14"/>
      <c r="K42" s="12">
        <v>0.0</v>
      </c>
      <c r="L42" s="13">
        <f>IFERROR(K42/K446, "NA")</f>
        <v>0</v>
      </c>
      <c r="M42" s="14"/>
      <c r="N42" s="15">
        <f t="shared" ref="N42:N44" si="14">IFERROR(B42-K42, "NA")</f>
        <v>0</v>
      </c>
      <c r="O42" s="13">
        <f>IFERROR(N42/N446, "NA")</f>
        <v>0</v>
      </c>
      <c r="P42" s="14"/>
      <c r="Q42" s="12">
        <v>0.0</v>
      </c>
      <c r="R42" s="13">
        <f>IFERROR(Q42/Q446, "NA")</f>
        <v>0</v>
      </c>
      <c r="S42" s="14"/>
      <c r="T42" s="12">
        <v>179127.72</v>
      </c>
      <c r="U42" s="13">
        <f>IFERROR(T42/T446, "NA")</f>
        <v>0.1849999935</v>
      </c>
      <c r="V42" s="14"/>
      <c r="W42" s="15">
        <f t="shared" ref="W42:W44" si="15">IFERROR(Q42-T42, "NA")</f>
        <v>-179127.72</v>
      </c>
      <c r="X42" s="13">
        <f>IFERROR(W42/W446, "NA")</f>
        <v>2.041058233</v>
      </c>
      <c r="Y42" s="14"/>
      <c r="Z42" s="12">
        <v>0.0</v>
      </c>
      <c r="AA42" s="13">
        <f>IFERROR(Z42/Z446, "NA")</f>
        <v>0</v>
      </c>
      <c r="AB42" s="14"/>
      <c r="AC42" s="15">
        <f t="shared" ref="AC42:AC44" si="16">IFERROR(Q42-Z42, "NA")</f>
        <v>0</v>
      </c>
      <c r="AD42" s="13">
        <f>IFERROR(AC42/AC446, "NA")</f>
        <v>0</v>
      </c>
    </row>
    <row r="43" ht="16.5" customHeight="1">
      <c r="A43" s="11" t="s">
        <v>45</v>
      </c>
      <c r="B43" s="12">
        <v>1488.9</v>
      </c>
      <c r="C43" s="13">
        <f>IFERROR(B43/B446, "NA")</f>
        <v>0.01504475382</v>
      </c>
      <c r="D43" s="14"/>
      <c r="E43" s="12">
        <v>0.0</v>
      </c>
      <c r="F43" s="13">
        <f>IFERROR(E43/E446, "NA")</f>
        <v>0</v>
      </c>
      <c r="G43" s="14"/>
      <c r="H43" s="15">
        <f t="shared" si="13"/>
        <v>1488.9</v>
      </c>
      <c r="I43" s="13">
        <f>IFERROR(H43/H446, "NA")</f>
        <v>-0.7107464055</v>
      </c>
      <c r="J43" s="14"/>
      <c r="K43" s="12">
        <v>1830.94</v>
      </c>
      <c r="L43" s="13">
        <f>IFERROR(K43/K446, "NA")</f>
        <v>0.0197797067</v>
      </c>
      <c r="M43" s="14"/>
      <c r="N43" s="15">
        <f t="shared" si="14"/>
        <v>-342.04</v>
      </c>
      <c r="O43" s="13">
        <f>IFERROR(N43/N446, "NA")</f>
        <v>-0.05345928661</v>
      </c>
      <c r="P43" s="14"/>
      <c r="Q43" s="12">
        <v>22078.81</v>
      </c>
      <c r="R43" s="13">
        <f>IFERROR(Q43/Q446, "NA")</f>
        <v>0.02507542909</v>
      </c>
      <c r="S43" s="14"/>
      <c r="T43" s="12">
        <v>0.0</v>
      </c>
      <c r="U43" s="13">
        <f>IFERROR(T43/T446, "NA")</f>
        <v>0</v>
      </c>
      <c r="V43" s="14"/>
      <c r="W43" s="15">
        <f t="shared" si="15"/>
        <v>22078.81</v>
      </c>
      <c r="X43" s="13">
        <f>IFERROR(W43/W446, "NA")</f>
        <v>-0.2515754508</v>
      </c>
      <c r="Y43" s="14"/>
      <c r="Z43" s="12">
        <v>44745.83</v>
      </c>
      <c r="AA43" s="13">
        <f>IFERROR(Z43/Z446, "NA")</f>
        <v>0.04981842304</v>
      </c>
      <c r="AB43" s="14"/>
      <c r="AC43" s="15">
        <f t="shared" si="16"/>
        <v>-22667.02</v>
      </c>
      <c r="AD43" s="13">
        <f>IFERROR(AC43/AC446, "NA")</f>
        <v>1.28188493</v>
      </c>
    </row>
    <row r="44" ht="16.5" hidden="1" customHeight="1">
      <c r="A44" s="11" t="s">
        <v>46</v>
      </c>
      <c r="B44" s="12">
        <v>0.0</v>
      </c>
      <c r="C44" s="13">
        <f>IFERROR(B44/B446, "NA")</f>
        <v>0</v>
      </c>
      <c r="D44" s="14"/>
      <c r="E44" s="12">
        <v>0.0</v>
      </c>
      <c r="F44" s="13">
        <f>IFERROR(E44/E446, "NA")</f>
        <v>0</v>
      </c>
      <c r="G44" s="14"/>
      <c r="H44" s="15">
        <f t="shared" si="13"/>
        <v>0</v>
      </c>
      <c r="I44" s="13">
        <f>IFERROR(H44/H446, "NA")</f>
        <v>0</v>
      </c>
      <c r="J44" s="14"/>
      <c r="K44" s="12">
        <v>0.0</v>
      </c>
      <c r="L44" s="13">
        <f>IFERROR(K44/K446, "NA")</f>
        <v>0</v>
      </c>
      <c r="M44" s="14"/>
      <c r="N44" s="15">
        <f t="shared" si="14"/>
        <v>0</v>
      </c>
      <c r="O44" s="13">
        <f>IFERROR(N44/N446, "NA")</f>
        <v>0</v>
      </c>
      <c r="P44" s="14"/>
      <c r="Q44" s="12">
        <v>0.0</v>
      </c>
      <c r="R44" s="13">
        <f>IFERROR(Q44/Q446, "NA")</f>
        <v>0</v>
      </c>
      <c r="S44" s="14"/>
      <c r="T44" s="12">
        <v>0.0</v>
      </c>
      <c r="U44" s="13">
        <f>IFERROR(T44/T446, "NA")</f>
        <v>0</v>
      </c>
      <c r="V44" s="14"/>
      <c r="W44" s="15">
        <f t="shared" si="15"/>
        <v>0</v>
      </c>
      <c r="X44" s="13">
        <f>IFERROR(W44/W446, "NA")</f>
        <v>0</v>
      </c>
      <c r="Y44" s="14"/>
      <c r="Z44" s="12">
        <v>0.0</v>
      </c>
      <c r="AA44" s="13">
        <f>IFERROR(Z44/Z446, "NA")</f>
        <v>0</v>
      </c>
      <c r="AB44" s="14"/>
      <c r="AC44" s="15">
        <f t="shared" si="16"/>
        <v>0</v>
      </c>
      <c r="AD44" s="13">
        <f>IFERROR(AC44/AC446, "NA")</f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t="16.5" hidden="1" customHeight="1">
      <c r="A46" s="11" t="s">
        <v>47</v>
      </c>
      <c r="B46" s="12">
        <v>0.0</v>
      </c>
      <c r="C46" s="13">
        <f>IFERROR(B46/B446, "NA")</f>
        <v>0</v>
      </c>
      <c r="D46" s="14"/>
      <c r="E46" s="12">
        <v>0.0</v>
      </c>
      <c r="F46" s="13">
        <f>IFERROR(E46/E446, "NA")</f>
        <v>0</v>
      </c>
      <c r="G46" s="14"/>
      <c r="H46" s="15">
        <f t="shared" ref="H46:H62" si="17">IFERROR(B46-E46, "NA")</f>
        <v>0</v>
      </c>
      <c r="I46" s="13">
        <f>IFERROR(H46/H446, "NA")</f>
        <v>0</v>
      </c>
      <c r="J46" s="14"/>
      <c r="K46" s="12">
        <v>0.0</v>
      </c>
      <c r="L46" s="13">
        <f>IFERROR(K46/K446, "NA")</f>
        <v>0</v>
      </c>
      <c r="M46" s="14"/>
      <c r="N46" s="15">
        <f t="shared" ref="N46:N62" si="18">IFERROR(B46-K46, "NA")</f>
        <v>0</v>
      </c>
      <c r="O46" s="13">
        <f>IFERROR(N46/N446, "NA")</f>
        <v>0</v>
      </c>
      <c r="P46" s="14"/>
      <c r="Q46" s="12">
        <v>0.0</v>
      </c>
      <c r="R46" s="13">
        <f>IFERROR(Q46/Q446, "NA")</f>
        <v>0</v>
      </c>
      <c r="S46" s="14"/>
      <c r="T46" s="12">
        <v>0.0</v>
      </c>
      <c r="U46" s="13">
        <f>IFERROR(T46/T446, "NA")</f>
        <v>0</v>
      </c>
      <c r="V46" s="14"/>
      <c r="W46" s="15">
        <f t="shared" ref="W46:W62" si="19">IFERROR(Q46-T46, "NA")</f>
        <v>0</v>
      </c>
      <c r="X46" s="13">
        <f>IFERROR(W46/W446, "NA")</f>
        <v>0</v>
      </c>
      <c r="Y46" s="14"/>
      <c r="Z46" s="12">
        <v>0.0</v>
      </c>
      <c r="AA46" s="13">
        <f>IFERROR(Z46/Z446, "NA")</f>
        <v>0</v>
      </c>
      <c r="AB46" s="14"/>
      <c r="AC46" s="15">
        <f t="shared" ref="AC46:AC62" si="20">IFERROR(Q46-Z46, "NA")</f>
        <v>0</v>
      </c>
      <c r="AD46" s="13">
        <f>IFERROR(AC46/AC446, "NA")</f>
        <v>0</v>
      </c>
    </row>
    <row r="47" ht="16.5" hidden="1" customHeight="1">
      <c r="A47" s="11" t="s">
        <v>48</v>
      </c>
      <c r="B47" s="12">
        <v>0.0</v>
      </c>
      <c r="C47" s="13">
        <f>IFERROR(B47/B446, "NA")</f>
        <v>0</v>
      </c>
      <c r="D47" s="14"/>
      <c r="E47" s="12">
        <v>0.0</v>
      </c>
      <c r="F47" s="13">
        <f>IFERROR(E47/E446, "NA")</f>
        <v>0</v>
      </c>
      <c r="G47" s="14"/>
      <c r="H47" s="15">
        <f t="shared" si="17"/>
        <v>0</v>
      </c>
      <c r="I47" s="13">
        <f>IFERROR(H47/H446, "NA")</f>
        <v>0</v>
      </c>
      <c r="J47" s="14"/>
      <c r="K47" s="12">
        <v>0.0</v>
      </c>
      <c r="L47" s="13">
        <f>IFERROR(K47/K446, "NA")</f>
        <v>0</v>
      </c>
      <c r="M47" s="14"/>
      <c r="N47" s="15">
        <f t="shared" si="18"/>
        <v>0</v>
      </c>
      <c r="O47" s="13">
        <f>IFERROR(N47/N446, "NA")</f>
        <v>0</v>
      </c>
      <c r="P47" s="14"/>
      <c r="Q47" s="12">
        <v>0.0</v>
      </c>
      <c r="R47" s="13">
        <f>IFERROR(Q47/Q446, "NA")</f>
        <v>0</v>
      </c>
      <c r="S47" s="14"/>
      <c r="T47" s="12">
        <v>0.0</v>
      </c>
      <c r="U47" s="13">
        <f>IFERROR(T47/T446, "NA")</f>
        <v>0</v>
      </c>
      <c r="V47" s="14"/>
      <c r="W47" s="15">
        <f t="shared" si="19"/>
        <v>0</v>
      </c>
      <c r="X47" s="13">
        <f>IFERROR(W47/W446, "NA")</f>
        <v>0</v>
      </c>
      <c r="Y47" s="14"/>
      <c r="Z47" s="12">
        <v>0.0</v>
      </c>
      <c r="AA47" s="13">
        <f>IFERROR(Z47/Z446, "NA")</f>
        <v>0</v>
      </c>
      <c r="AB47" s="14"/>
      <c r="AC47" s="15">
        <f t="shared" si="20"/>
        <v>0</v>
      </c>
      <c r="AD47" s="13">
        <f>IFERROR(AC47/AC446, "NA")</f>
        <v>0</v>
      </c>
    </row>
    <row r="48" ht="16.5" customHeight="1">
      <c r="A48" s="11" t="s">
        <v>49</v>
      </c>
      <c r="B48" s="12">
        <v>9290.33</v>
      </c>
      <c r="C48" s="13">
        <f>IFERROR(B48/B446, "NA")</f>
        <v>0.09387516138</v>
      </c>
      <c r="D48" s="14"/>
      <c r="E48" s="12">
        <v>0.0</v>
      </c>
      <c r="F48" s="13">
        <f>IFERROR(E48/E446, "NA")</f>
        <v>0</v>
      </c>
      <c r="G48" s="14"/>
      <c r="H48" s="15">
        <f t="shared" si="17"/>
        <v>9290.33</v>
      </c>
      <c r="I48" s="13">
        <f>IFERROR(H48/H446, "NA")</f>
        <v>-4.43486376</v>
      </c>
      <c r="J48" s="14"/>
      <c r="K48" s="12">
        <v>10353.66</v>
      </c>
      <c r="L48" s="13">
        <f>IFERROR(K48/K446, "NA")</f>
        <v>0.1118509389</v>
      </c>
      <c r="M48" s="14"/>
      <c r="N48" s="15">
        <f t="shared" si="18"/>
        <v>-1063.33</v>
      </c>
      <c r="O48" s="13">
        <f>IFERROR(N48/N446, "NA")</f>
        <v>-0.1661936125</v>
      </c>
      <c r="P48" s="14"/>
      <c r="Q48" s="12">
        <v>88147.57</v>
      </c>
      <c r="R48" s="13">
        <f>IFERROR(Q48/Q446, "NA")</f>
        <v>0.1001112896</v>
      </c>
      <c r="S48" s="14"/>
      <c r="T48" s="12">
        <v>0.0</v>
      </c>
      <c r="U48" s="13">
        <f>IFERROR(T48/T446, "NA")</f>
        <v>0</v>
      </c>
      <c r="V48" s="14"/>
      <c r="W48" s="15">
        <f t="shared" si="19"/>
        <v>88147.57</v>
      </c>
      <c r="X48" s="13">
        <f>IFERROR(W48/W446, "NA")</f>
        <v>-1.004391299</v>
      </c>
      <c r="Y48" s="14"/>
      <c r="Z48" s="12">
        <v>106730.85</v>
      </c>
      <c r="AA48" s="13">
        <f>IFERROR(Z48/Z446, "NA")</f>
        <v>0.1188303499</v>
      </c>
      <c r="AB48" s="14"/>
      <c r="AC48" s="15">
        <f t="shared" si="20"/>
        <v>-18583.28</v>
      </c>
      <c r="AD48" s="13">
        <f>IFERROR(AC48/AC446, "NA")</f>
        <v>1.050937731</v>
      </c>
    </row>
    <row r="49" ht="16.5" customHeight="1">
      <c r="A49" s="11" t="s">
        <v>50</v>
      </c>
      <c r="B49" s="12">
        <v>0.0</v>
      </c>
      <c r="C49" s="13">
        <f>IFERROR(B49/B446, "NA")</f>
        <v>0</v>
      </c>
      <c r="D49" s="14"/>
      <c r="E49" s="12">
        <v>0.0</v>
      </c>
      <c r="F49" s="13">
        <f>IFERROR(E49/E446, "NA")</f>
        <v>0</v>
      </c>
      <c r="G49" s="14"/>
      <c r="H49" s="15">
        <f t="shared" si="17"/>
        <v>0</v>
      </c>
      <c r="I49" s="13">
        <f>IFERROR(H49/H446, "NA")</f>
        <v>0</v>
      </c>
      <c r="J49" s="14"/>
      <c r="K49" s="12">
        <v>0.0</v>
      </c>
      <c r="L49" s="13">
        <f>IFERROR(K49/K446, "NA")</f>
        <v>0</v>
      </c>
      <c r="M49" s="14"/>
      <c r="N49" s="15">
        <f t="shared" si="18"/>
        <v>0</v>
      </c>
      <c r="O49" s="13">
        <f>IFERROR(N49/N446, "NA")</f>
        <v>0</v>
      </c>
      <c r="P49" s="14"/>
      <c r="Q49" s="12">
        <v>0.0</v>
      </c>
      <c r="R49" s="13">
        <f>IFERROR(Q49/Q446, "NA")</f>
        <v>0</v>
      </c>
      <c r="S49" s="14"/>
      <c r="T49" s="12">
        <v>0.0</v>
      </c>
      <c r="U49" s="13">
        <f>IFERROR(T49/T446, "NA")</f>
        <v>0</v>
      </c>
      <c r="V49" s="14"/>
      <c r="W49" s="15">
        <f t="shared" si="19"/>
        <v>0</v>
      </c>
      <c r="X49" s="13">
        <f>IFERROR(W49/W446, "NA")</f>
        <v>0</v>
      </c>
      <c r="Y49" s="14"/>
      <c r="Z49" s="12">
        <v>12.85</v>
      </c>
      <c r="AA49" s="13">
        <f>IFERROR(Z49/Z446, "NA")</f>
        <v>0.00001430673509</v>
      </c>
      <c r="AB49" s="14"/>
      <c r="AC49" s="15">
        <f t="shared" si="20"/>
        <v>-12.85</v>
      </c>
      <c r="AD49" s="13">
        <f>IFERROR(AC49/AC446, "NA")</f>
        <v>0.0007267043196</v>
      </c>
    </row>
    <row r="50" ht="16.5" hidden="1" customHeight="1">
      <c r="A50" s="11" t="s">
        <v>51</v>
      </c>
      <c r="B50" s="12">
        <v>0.0</v>
      </c>
      <c r="C50" s="13">
        <f>IFERROR(B50/B446, "NA")</f>
        <v>0</v>
      </c>
      <c r="D50" s="14"/>
      <c r="E50" s="12">
        <v>0.0</v>
      </c>
      <c r="F50" s="13">
        <f>IFERROR(E50/E446, "NA")</f>
        <v>0</v>
      </c>
      <c r="G50" s="14"/>
      <c r="H50" s="15">
        <f t="shared" si="17"/>
        <v>0</v>
      </c>
      <c r="I50" s="13">
        <f>IFERROR(H50/H446, "NA")</f>
        <v>0</v>
      </c>
      <c r="J50" s="14"/>
      <c r="K50" s="12">
        <v>0.0</v>
      </c>
      <c r="L50" s="13">
        <f>IFERROR(K50/K446, "NA")</f>
        <v>0</v>
      </c>
      <c r="M50" s="14"/>
      <c r="N50" s="15">
        <f t="shared" si="18"/>
        <v>0</v>
      </c>
      <c r="O50" s="13">
        <f>IFERROR(N50/N446, "NA")</f>
        <v>0</v>
      </c>
      <c r="P50" s="14"/>
      <c r="Q50" s="12">
        <v>0.0</v>
      </c>
      <c r="R50" s="13">
        <f>IFERROR(Q50/Q446, "NA")</f>
        <v>0</v>
      </c>
      <c r="S50" s="14"/>
      <c r="T50" s="12">
        <v>0.0</v>
      </c>
      <c r="U50" s="13">
        <f>IFERROR(T50/T446, "NA")</f>
        <v>0</v>
      </c>
      <c r="V50" s="14"/>
      <c r="W50" s="15">
        <f t="shared" si="19"/>
        <v>0</v>
      </c>
      <c r="X50" s="13">
        <f>IFERROR(W50/W446, "NA")</f>
        <v>0</v>
      </c>
      <c r="Y50" s="14"/>
      <c r="Z50" s="12">
        <v>0.0</v>
      </c>
      <c r="AA50" s="13">
        <f>IFERROR(Z50/Z446, "NA")</f>
        <v>0</v>
      </c>
      <c r="AB50" s="14"/>
      <c r="AC50" s="15">
        <f t="shared" si="20"/>
        <v>0</v>
      </c>
      <c r="AD50" s="13">
        <f>IFERROR(AC50/AC446, "NA")</f>
        <v>0</v>
      </c>
    </row>
    <row r="51" ht="16.5" hidden="1" customHeight="1">
      <c r="A51" s="11" t="s">
        <v>52</v>
      </c>
      <c r="B51" s="12">
        <v>0.0</v>
      </c>
      <c r="C51" s="13">
        <f>IFERROR(B51/B446, "NA")</f>
        <v>0</v>
      </c>
      <c r="D51" s="14"/>
      <c r="E51" s="12">
        <v>0.0</v>
      </c>
      <c r="F51" s="13">
        <f>IFERROR(E51/E446, "NA")</f>
        <v>0</v>
      </c>
      <c r="G51" s="14"/>
      <c r="H51" s="15">
        <f t="shared" si="17"/>
        <v>0</v>
      </c>
      <c r="I51" s="13">
        <f>IFERROR(H51/H446, "NA")</f>
        <v>0</v>
      </c>
      <c r="J51" s="14"/>
      <c r="K51" s="12">
        <v>0.0</v>
      </c>
      <c r="L51" s="13">
        <f>IFERROR(K51/K446, "NA")</f>
        <v>0</v>
      </c>
      <c r="M51" s="14"/>
      <c r="N51" s="15">
        <f t="shared" si="18"/>
        <v>0</v>
      </c>
      <c r="O51" s="13">
        <f>IFERROR(N51/N446, "NA")</f>
        <v>0</v>
      </c>
      <c r="P51" s="14"/>
      <c r="Q51" s="12">
        <v>0.0</v>
      </c>
      <c r="R51" s="13">
        <f>IFERROR(Q51/Q446, "NA")</f>
        <v>0</v>
      </c>
      <c r="S51" s="14"/>
      <c r="T51" s="12">
        <v>0.0</v>
      </c>
      <c r="U51" s="13">
        <f>IFERROR(T51/T446, "NA")</f>
        <v>0</v>
      </c>
      <c r="V51" s="14"/>
      <c r="W51" s="15">
        <f t="shared" si="19"/>
        <v>0</v>
      </c>
      <c r="X51" s="13">
        <f>IFERROR(W51/W446, "NA")</f>
        <v>0</v>
      </c>
      <c r="Y51" s="14"/>
      <c r="Z51" s="12">
        <v>0.0</v>
      </c>
      <c r="AA51" s="13">
        <f>IFERROR(Z51/Z446, "NA")</f>
        <v>0</v>
      </c>
      <c r="AB51" s="14"/>
      <c r="AC51" s="15">
        <f t="shared" si="20"/>
        <v>0</v>
      </c>
      <c r="AD51" s="13">
        <f>IFERROR(AC51/AC446, "NA")</f>
        <v>0</v>
      </c>
    </row>
    <row r="52" ht="16.5" hidden="1" customHeight="1">
      <c r="A52" s="11" t="s">
        <v>53</v>
      </c>
      <c r="B52" s="12">
        <v>0.0</v>
      </c>
      <c r="C52" s="13">
        <f>IFERROR(B52/B446, "NA")</f>
        <v>0</v>
      </c>
      <c r="D52" s="14"/>
      <c r="E52" s="12">
        <v>0.0</v>
      </c>
      <c r="F52" s="13">
        <f>IFERROR(E52/E446, "NA")</f>
        <v>0</v>
      </c>
      <c r="G52" s="14"/>
      <c r="H52" s="15">
        <f t="shared" si="17"/>
        <v>0</v>
      </c>
      <c r="I52" s="13">
        <f>IFERROR(H52/H446, "NA")</f>
        <v>0</v>
      </c>
      <c r="J52" s="14"/>
      <c r="K52" s="12">
        <v>0.0</v>
      </c>
      <c r="L52" s="13">
        <f>IFERROR(K52/K446, "NA")</f>
        <v>0</v>
      </c>
      <c r="M52" s="14"/>
      <c r="N52" s="15">
        <f t="shared" si="18"/>
        <v>0</v>
      </c>
      <c r="O52" s="13">
        <f>IFERROR(N52/N446, "NA")</f>
        <v>0</v>
      </c>
      <c r="P52" s="14"/>
      <c r="Q52" s="12">
        <v>0.0</v>
      </c>
      <c r="R52" s="13">
        <f>IFERROR(Q52/Q446, "NA")</f>
        <v>0</v>
      </c>
      <c r="S52" s="14"/>
      <c r="T52" s="12">
        <v>0.0</v>
      </c>
      <c r="U52" s="13">
        <f>IFERROR(T52/T446, "NA")</f>
        <v>0</v>
      </c>
      <c r="V52" s="14"/>
      <c r="W52" s="15">
        <f t="shared" si="19"/>
        <v>0</v>
      </c>
      <c r="X52" s="13">
        <f>IFERROR(W52/W446, "NA")</f>
        <v>0</v>
      </c>
      <c r="Y52" s="14"/>
      <c r="Z52" s="12">
        <v>0.0</v>
      </c>
      <c r="AA52" s="13">
        <f>IFERROR(Z52/Z446, "NA")</f>
        <v>0</v>
      </c>
      <c r="AB52" s="14"/>
      <c r="AC52" s="15">
        <f t="shared" si="20"/>
        <v>0</v>
      </c>
      <c r="AD52" s="13">
        <f>IFERROR(AC52/AC446, "NA")</f>
        <v>0</v>
      </c>
    </row>
    <row r="53" ht="16.5" customHeight="1">
      <c r="A53" s="11" t="s">
        <v>54</v>
      </c>
      <c r="B53" s="12">
        <v>0.0</v>
      </c>
      <c r="C53" s="13">
        <f>IFERROR(B53/B446, "NA")</f>
        <v>0</v>
      </c>
      <c r="D53" s="14"/>
      <c r="E53" s="12">
        <v>0.0</v>
      </c>
      <c r="F53" s="13">
        <f>IFERROR(E53/E446, "NA")</f>
        <v>0</v>
      </c>
      <c r="G53" s="14"/>
      <c r="H53" s="15">
        <f t="shared" si="17"/>
        <v>0</v>
      </c>
      <c r="I53" s="13">
        <f>IFERROR(H53/H446, "NA")</f>
        <v>0</v>
      </c>
      <c r="J53" s="14"/>
      <c r="K53" s="12">
        <v>0.0</v>
      </c>
      <c r="L53" s="13">
        <f>IFERROR(K53/K446, "NA")</f>
        <v>0</v>
      </c>
      <c r="M53" s="14"/>
      <c r="N53" s="15">
        <f t="shared" si="18"/>
        <v>0</v>
      </c>
      <c r="O53" s="13">
        <f>IFERROR(N53/N446, "NA")</f>
        <v>0</v>
      </c>
      <c r="P53" s="14"/>
      <c r="Q53" s="12">
        <v>0.0</v>
      </c>
      <c r="R53" s="13">
        <f>IFERROR(Q53/Q446, "NA")</f>
        <v>0</v>
      </c>
      <c r="S53" s="14"/>
      <c r="T53" s="12">
        <v>0.0</v>
      </c>
      <c r="U53" s="13">
        <f>IFERROR(T53/T446, "NA")</f>
        <v>0</v>
      </c>
      <c r="V53" s="14"/>
      <c r="W53" s="15">
        <f t="shared" si="19"/>
        <v>0</v>
      </c>
      <c r="X53" s="13">
        <f>IFERROR(W53/W446, "NA")</f>
        <v>0</v>
      </c>
      <c r="Y53" s="14"/>
      <c r="Z53" s="12">
        <v>2000.0</v>
      </c>
      <c r="AA53" s="13">
        <f>IFERROR(Z53/Z446, "NA")</f>
        <v>0.002226729196</v>
      </c>
      <c r="AB53" s="14"/>
      <c r="AC53" s="15">
        <f t="shared" si="20"/>
        <v>-2000</v>
      </c>
      <c r="AD53" s="13">
        <f>IFERROR(AC53/AC446, "NA")</f>
        <v>0.1131057307</v>
      </c>
    </row>
    <row r="54" ht="16.5" customHeight="1">
      <c r="A54" s="11" t="s">
        <v>55</v>
      </c>
      <c r="B54" s="12">
        <v>0.0</v>
      </c>
      <c r="C54" s="13">
        <f>IFERROR(B54/B446, "NA")</f>
        <v>0</v>
      </c>
      <c r="D54" s="14"/>
      <c r="E54" s="12">
        <v>0.0</v>
      </c>
      <c r="F54" s="13">
        <f>IFERROR(E54/E446, "NA")</f>
        <v>0</v>
      </c>
      <c r="G54" s="14"/>
      <c r="H54" s="15">
        <f t="shared" si="17"/>
        <v>0</v>
      </c>
      <c r="I54" s="13">
        <f>IFERROR(H54/H446, "NA")</f>
        <v>0</v>
      </c>
      <c r="J54" s="14"/>
      <c r="K54" s="12">
        <v>0.0</v>
      </c>
      <c r="L54" s="13">
        <f>IFERROR(K54/K446, "NA")</f>
        <v>0</v>
      </c>
      <c r="M54" s="14"/>
      <c r="N54" s="15">
        <f t="shared" si="18"/>
        <v>0</v>
      </c>
      <c r="O54" s="13">
        <f>IFERROR(N54/N446, "NA")</f>
        <v>0</v>
      </c>
      <c r="P54" s="14"/>
      <c r="Q54" s="12">
        <v>0.0</v>
      </c>
      <c r="R54" s="13">
        <f>IFERROR(Q54/Q446, "NA")</f>
        <v>0</v>
      </c>
      <c r="S54" s="14"/>
      <c r="T54" s="12">
        <v>0.0</v>
      </c>
      <c r="U54" s="13">
        <f>IFERROR(T54/T446, "NA")</f>
        <v>0</v>
      </c>
      <c r="V54" s="14"/>
      <c r="W54" s="15">
        <f t="shared" si="19"/>
        <v>0</v>
      </c>
      <c r="X54" s="13">
        <f>IFERROR(W54/W446, "NA")</f>
        <v>0</v>
      </c>
      <c r="Y54" s="14"/>
      <c r="Z54" s="12">
        <v>23.3</v>
      </c>
      <c r="AA54" s="13">
        <f>IFERROR(Z54/Z446, "NA")</f>
        <v>0.00002594139514</v>
      </c>
      <c r="AB54" s="14"/>
      <c r="AC54" s="15">
        <f t="shared" si="20"/>
        <v>-23.3</v>
      </c>
      <c r="AD54" s="13">
        <f>IFERROR(AC54/AC446, "NA")</f>
        <v>0.001317681762</v>
      </c>
    </row>
    <row r="55" ht="16.5" customHeight="1">
      <c r="A55" s="11" t="s">
        <v>56</v>
      </c>
      <c r="B55" s="12">
        <v>0.0</v>
      </c>
      <c r="C55" s="13">
        <f>IFERROR(B55/B446, "NA")</f>
        <v>0</v>
      </c>
      <c r="D55" s="14"/>
      <c r="E55" s="12">
        <v>0.0</v>
      </c>
      <c r="F55" s="13">
        <f>IFERROR(E55/E446, "NA")</f>
        <v>0</v>
      </c>
      <c r="G55" s="14"/>
      <c r="H55" s="15">
        <f t="shared" si="17"/>
        <v>0</v>
      </c>
      <c r="I55" s="13">
        <f>IFERROR(H55/H446, "NA")</f>
        <v>0</v>
      </c>
      <c r="J55" s="14"/>
      <c r="K55" s="12">
        <v>0.0</v>
      </c>
      <c r="L55" s="13">
        <f>IFERROR(K55/K446, "NA")</f>
        <v>0</v>
      </c>
      <c r="M55" s="14"/>
      <c r="N55" s="15">
        <f t="shared" si="18"/>
        <v>0</v>
      </c>
      <c r="O55" s="13">
        <f>IFERROR(N55/N446, "NA")</f>
        <v>0</v>
      </c>
      <c r="P55" s="14"/>
      <c r="Q55" s="12">
        <v>0.0</v>
      </c>
      <c r="R55" s="13">
        <f>IFERROR(Q55/Q446, "NA")</f>
        <v>0</v>
      </c>
      <c r="S55" s="14"/>
      <c r="T55" s="12">
        <v>0.0</v>
      </c>
      <c r="U55" s="13">
        <f>IFERROR(T55/T446, "NA")</f>
        <v>0</v>
      </c>
      <c r="V55" s="14"/>
      <c r="W55" s="15">
        <f t="shared" si="19"/>
        <v>0</v>
      </c>
      <c r="X55" s="13">
        <f>IFERROR(W55/W446, "NA")</f>
        <v>0</v>
      </c>
      <c r="Y55" s="14"/>
      <c r="Z55" s="12">
        <v>35.75</v>
      </c>
      <c r="AA55" s="13">
        <f>IFERROR(Z55/Z446, "NA")</f>
        <v>0.00003980278438</v>
      </c>
      <c r="AB55" s="14"/>
      <c r="AC55" s="15">
        <f t="shared" si="20"/>
        <v>-35.75</v>
      </c>
      <c r="AD55" s="13">
        <f>IFERROR(AC55/AC446, "NA")</f>
        <v>0.002021764936</v>
      </c>
    </row>
    <row r="56" ht="16.5" customHeight="1">
      <c r="A56" s="11" t="s">
        <v>57</v>
      </c>
      <c r="B56" s="12">
        <v>0.0</v>
      </c>
      <c r="C56" s="13">
        <f>IFERROR(B56/B446, "NA")</f>
        <v>0</v>
      </c>
      <c r="D56" s="14"/>
      <c r="E56" s="12">
        <v>0.0</v>
      </c>
      <c r="F56" s="13">
        <f>IFERROR(E56/E446, "NA")</f>
        <v>0</v>
      </c>
      <c r="G56" s="14"/>
      <c r="H56" s="15">
        <f t="shared" si="17"/>
        <v>0</v>
      </c>
      <c r="I56" s="13">
        <f>IFERROR(H56/H446, "NA")</f>
        <v>0</v>
      </c>
      <c r="J56" s="14"/>
      <c r="K56" s="12">
        <v>0.0</v>
      </c>
      <c r="L56" s="13">
        <f>IFERROR(K56/K446, "NA")</f>
        <v>0</v>
      </c>
      <c r="M56" s="14"/>
      <c r="N56" s="15">
        <f t="shared" si="18"/>
        <v>0</v>
      </c>
      <c r="O56" s="13">
        <f>IFERROR(N56/N446, "NA")</f>
        <v>0</v>
      </c>
      <c r="P56" s="14"/>
      <c r="Q56" s="12">
        <v>0.0</v>
      </c>
      <c r="R56" s="13">
        <f>IFERROR(Q56/Q446, "NA")</f>
        <v>0</v>
      </c>
      <c r="S56" s="14"/>
      <c r="T56" s="12">
        <v>0.0</v>
      </c>
      <c r="U56" s="13">
        <f>IFERROR(T56/T446, "NA")</f>
        <v>0</v>
      </c>
      <c r="V56" s="14"/>
      <c r="W56" s="15">
        <f t="shared" si="19"/>
        <v>0</v>
      </c>
      <c r="X56" s="13">
        <f>IFERROR(W56/W446, "NA")</f>
        <v>0</v>
      </c>
      <c r="Y56" s="14"/>
      <c r="Z56" s="12">
        <v>56.2</v>
      </c>
      <c r="AA56" s="13">
        <f>IFERROR(Z56/Z446, "NA")</f>
        <v>0.00006257109042</v>
      </c>
      <c r="AB56" s="14"/>
      <c r="AC56" s="15">
        <f t="shared" si="20"/>
        <v>-56.2</v>
      </c>
      <c r="AD56" s="13">
        <f>IFERROR(AC56/AC446, "NA")</f>
        <v>0.003178271032</v>
      </c>
    </row>
    <row r="57" ht="16.5" hidden="1" customHeight="1">
      <c r="A57" s="11" t="s">
        <v>58</v>
      </c>
      <c r="B57" s="12">
        <v>0.0</v>
      </c>
      <c r="C57" s="13">
        <f>IFERROR(B57/B446, "NA")</f>
        <v>0</v>
      </c>
      <c r="D57" s="14"/>
      <c r="E57" s="12">
        <v>0.0</v>
      </c>
      <c r="F57" s="13">
        <f>IFERROR(E57/E446, "NA")</f>
        <v>0</v>
      </c>
      <c r="G57" s="14"/>
      <c r="H57" s="15">
        <f t="shared" si="17"/>
        <v>0</v>
      </c>
      <c r="I57" s="13">
        <f>IFERROR(H57/H446, "NA")</f>
        <v>0</v>
      </c>
      <c r="J57" s="14"/>
      <c r="K57" s="12">
        <v>0.0</v>
      </c>
      <c r="L57" s="13">
        <f>IFERROR(K57/K446, "NA")</f>
        <v>0</v>
      </c>
      <c r="M57" s="14"/>
      <c r="N57" s="15">
        <f t="shared" si="18"/>
        <v>0</v>
      </c>
      <c r="O57" s="13">
        <f>IFERROR(N57/N446, "NA")</f>
        <v>0</v>
      </c>
      <c r="P57" s="14"/>
      <c r="Q57" s="12">
        <v>0.0</v>
      </c>
      <c r="R57" s="13">
        <f>IFERROR(Q57/Q446, "NA")</f>
        <v>0</v>
      </c>
      <c r="S57" s="14"/>
      <c r="T57" s="12">
        <v>0.0</v>
      </c>
      <c r="U57" s="13">
        <f>IFERROR(T57/T446, "NA")</f>
        <v>0</v>
      </c>
      <c r="V57" s="14"/>
      <c r="W57" s="15">
        <f t="shared" si="19"/>
        <v>0</v>
      </c>
      <c r="X57" s="13">
        <f>IFERROR(W57/W446, "NA")</f>
        <v>0</v>
      </c>
      <c r="Y57" s="14"/>
      <c r="Z57" s="12">
        <v>0.0</v>
      </c>
      <c r="AA57" s="13">
        <f>IFERROR(Z57/Z446, "NA")</f>
        <v>0</v>
      </c>
      <c r="AB57" s="14"/>
      <c r="AC57" s="15">
        <f t="shared" si="20"/>
        <v>0</v>
      </c>
      <c r="AD57" s="13">
        <f>IFERROR(AC57/AC446, "NA")</f>
        <v>0</v>
      </c>
    </row>
    <row r="58" ht="16.5" hidden="1" customHeight="1">
      <c r="A58" s="11" t="s">
        <v>59</v>
      </c>
      <c r="B58" s="12">
        <v>0.0</v>
      </c>
      <c r="C58" s="13">
        <f>IFERROR(B58/B446, "NA")</f>
        <v>0</v>
      </c>
      <c r="D58" s="14"/>
      <c r="E58" s="12">
        <v>0.0</v>
      </c>
      <c r="F58" s="13">
        <f>IFERROR(E58/E446, "NA")</f>
        <v>0</v>
      </c>
      <c r="G58" s="14"/>
      <c r="H58" s="15">
        <f t="shared" si="17"/>
        <v>0</v>
      </c>
      <c r="I58" s="13">
        <f>IFERROR(H58/H446, "NA")</f>
        <v>0</v>
      </c>
      <c r="J58" s="14"/>
      <c r="K58" s="12">
        <v>0.0</v>
      </c>
      <c r="L58" s="13">
        <f>IFERROR(K58/K446, "NA")</f>
        <v>0</v>
      </c>
      <c r="M58" s="14"/>
      <c r="N58" s="15">
        <f t="shared" si="18"/>
        <v>0</v>
      </c>
      <c r="O58" s="13">
        <f>IFERROR(N58/N446, "NA")</f>
        <v>0</v>
      </c>
      <c r="P58" s="14"/>
      <c r="Q58" s="12">
        <v>0.0</v>
      </c>
      <c r="R58" s="13">
        <f>IFERROR(Q58/Q446, "NA")</f>
        <v>0</v>
      </c>
      <c r="S58" s="14"/>
      <c r="T58" s="12">
        <v>0.0</v>
      </c>
      <c r="U58" s="13">
        <f>IFERROR(T58/T446, "NA")</f>
        <v>0</v>
      </c>
      <c r="V58" s="14"/>
      <c r="W58" s="15">
        <f t="shared" si="19"/>
        <v>0</v>
      </c>
      <c r="X58" s="13">
        <f>IFERROR(W58/W446, "NA")</f>
        <v>0</v>
      </c>
      <c r="Y58" s="14"/>
      <c r="Z58" s="12">
        <v>0.0</v>
      </c>
      <c r="AA58" s="13">
        <f>IFERROR(Z58/Z446, "NA")</f>
        <v>0</v>
      </c>
      <c r="AB58" s="14"/>
      <c r="AC58" s="15">
        <f t="shared" si="20"/>
        <v>0</v>
      </c>
      <c r="AD58" s="13">
        <f>IFERROR(AC58/AC446, "NA")</f>
        <v>0</v>
      </c>
    </row>
    <row r="59" ht="16.5" hidden="1" customHeight="1">
      <c r="A59" s="11" t="s">
        <v>60</v>
      </c>
      <c r="B59" s="12">
        <v>0.0</v>
      </c>
      <c r="C59" s="13">
        <f>IFERROR(B59/B446, "NA")</f>
        <v>0</v>
      </c>
      <c r="D59" s="14"/>
      <c r="E59" s="12">
        <v>0.0</v>
      </c>
      <c r="F59" s="13">
        <f>IFERROR(E59/E446, "NA")</f>
        <v>0</v>
      </c>
      <c r="G59" s="14"/>
      <c r="H59" s="15">
        <f t="shared" si="17"/>
        <v>0</v>
      </c>
      <c r="I59" s="13">
        <f>IFERROR(H59/H446, "NA")</f>
        <v>0</v>
      </c>
      <c r="J59" s="14"/>
      <c r="K59" s="12">
        <v>0.0</v>
      </c>
      <c r="L59" s="13">
        <f>IFERROR(K59/K446, "NA")</f>
        <v>0</v>
      </c>
      <c r="M59" s="14"/>
      <c r="N59" s="15">
        <f t="shared" si="18"/>
        <v>0</v>
      </c>
      <c r="O59" s="13">
        <f>IFERROR(N59/N446, "NA")</f>
        <v>0</v>
      </c>
      <c r="P59" s="14"/>
      <c r="Q59" s="12">
        <v>0.0</v>
      </c>
      <c r="R59" s="13">
        <f>IFERROR(Q59/Q446, "NA")</f>
        <v>0</v>
      </c>
      <c r="S59" s="14"/>
      <c r="T59" s="12">
        <v>0.0</v>
      </c>
      <c r="U59" s="13">
        <f>IFERROR(T59/T446, "NA")</f>
        <v>0</v>
      </c>
      <c r="V59" s="14"/>
      <c r="W59" s="15">
        <f t="shared" si="19"/>
        <v>0</v>
      </c>
      <c r="X59" s="13">
        <f>IFERROR(W59/W446, "NA")</f>
        <v>0</v>
      </c>
      <c r="Y59" s="14"/>
      <c r="Z59" s="12">
        <v>0.0</v>
      </c>
      <c r="AA59" s="13">
        <f>IFERROR(Z59/Z446, "NA")</f>
        <v>0</v>
      </c>
      <c r="AB59" s="14"/>
      <c r="AC59" s="15">
        <f t="shared" si="20"/>
        <v>0</v>
      </c>
      <c r="AD59" s="13">
        <f>IFERROR(AC59/AC446, "NA")</f>
        <v>0</v>
      </c>
    </row>
    <row r="60" ht="16.5" hidden="1" customHeight="1">
      <c r="A60" s="11" t="s">
        <v>61</v>
      </c>
      <c r="B60" s="12">
        <v>0.0</v>
      </c>
      <c r="C60" s="13">
        <f>IFERROR(B60/B446, "NA")</f>
        <v>0</v>
      </c>
      <c r="D60" s="14"/>
      <c r="E60" s="12">
        <v>0.0</v>
      </c>
      <c r="F60" s="13">
        <f>IFERROR(E60/E446, "NA")</f>
        <v>0</v>
      </c>
      <c r="G60" s="14"/>
      <c r="H60" s="15">
        <f t="shared" si="17"/>
        <v>0</v>
      </c>
      <c r="I60" s="13">
        <f>IFERROR(H60/H446, "NA")</f>
        <v>0</v>
      </c>
      <c r="J60" s="14"/>
      <c r="K60" s="12">
        <v>0.0</v>
      </c>
      <c r="L60" s="13">
        <f>IFERROR(K60/K446, "NA")</f>
        <v>0</v>
      </c>
      <c r="M60" s="14"/>
      <c r="N60" s="15">
        <f t="shared" si="18"/>
        <v>0</v>
      </c>
      <c r="O60" s="13">
        <f>IFERROR(N60/N446, "NA")</f>
        <v>0</v>
      </c>
      <c r="P60" s="14"/>
      <c r="Q60" s="12">
        <v>0.0</v>
      </c>
      <c r="R60" s="13">
        <f>IFERROR(Q60/Q446, "NA")</f>
        <v>0</v>
      </c>
      <c r="S60" s="14"/>
      <c r="T60" s="12">
        <v>0.0</v>
      </c>
      <c r="U60" s="13">
        <f>IFERROR(T60/T446, "NA")</f>
        <v>0</v>
      </c>
      <c r="V60" s="14"/>
      <c r="W60" s="15">
        <f t="shared" si="19"/>
        <v>0</v>
      </c>
      <c r="X60" s="13">
        <f>IFERROR(W60/W446, "NA")</f>
        <v>0</v>
      </c>
      <c r="Y60" s="14"/>
      <c r="Z60" s="12">
        <v>0.0</v>
      </c>
      <c r="AA60" s="13">
        <f>IFERROR(Z60/Z446, "NA")</f>
        <v>0</v>
      </c>
      <c r="AB60" s="14"/>
      <c r="AC60" s="15">
        <f t="shared" si="20"/>
        <v>0</v>
      </c>
      <c r="AD60" s="13">
        <f>IFERROR(AC60/AC446, "NA")</f>
        <v>0</v>
      </c>
    </row>
    <row r="61" ht="16.5" customHeight="1">
      <c r="A61" s="16" t="s">
        <v>62</v>
      </c>
      <c r="B61" s="17">
        <f>IFERROR(B46+B47+B48+B49+B50+B51+B52+B53+B54+B55+B56+B57+B58+B59+B60, "NA")</f>
        <v>9290.33</v>
      </c>
      <c r="C61" s="18">
        <f>IFERROR(B61/B446, "NA")</f>
        <v>0.09387516138</v>
      </c>
      <c r="D61" s="8"/>
      <c r="E61" s="17">
        <f>IFERROR(E46+E47+E48+E49+E50+E51+E52+E53+E54+E55+E56+E57+E58+E59+E60, "NA")</f>
        <v>0</v>
      </c>
      <c r="F61" s="18">
        <f>IFERROR(E61/E446, "NA")</f>
        <v>0</v>
      </c>
      <c r="G61" s="8"/>
      <c r="H61" s="17">
        <f t="shared" si="17"/>
        <v>9290.33</v>
      </c>
      <c r="I61" s="18">
        <f>IFERROR(H61/H446, "NA")</f>
        <v>-4.43486376</v>
      </c>
      <c r="J61" s="8"/>
      <c r="K61" s="17">
        <f>IFERROR(K46+K47+K48+K49+K50+K51+K52+K53+K54+K55+K56+K57+K58+K59+K60, "NA")</f>
        <v>10353.66</v>
      </c>
      <c r="L61" s="18">
        <f>IFERROR(K61/K446, "NA")</f>
        <v>0.1118509389</v>
      </c>
      <c r="M61" s="8"/>
      <c r="N61" s="17">
        <f t="shared" si="18"/>
        <v>-1063.33</v>
      </c>
      <c r="O61" s="18">
        <f>IFERROR(N61/N446, "NA")</f>
        <v>-0.1661936125</v>
      </c>
      <c r="P61" s="8"/>
      <c r="Q61" s="17">
        <f>IFERROR(Q46+Q47+Q48+Q49+Q50+Q51+Q52+Q53+Q54+Q55+Q56+Q57+Q58+Q59+Q60, "NA")</f>
        <v>88147.57</v>
      </c>
      <c r="R61" s="18">
        <f>IFERROR(Q61/Q446, "NA")</f>
        <v>0.1001112896</v>
      </c>
      <c r="S61" s="8"/>
      <c r="T61" s="17">
        <f>IFERROR(T46+T47+T48+T49+T50+T51+T52+T53+T54+T55+T56+T57+T58+T59+T60, "NA")</f>
        <v>0</v>
      </c>
      <c r="U61" s="18">
        <f>IFERROR(T61/T446, "NA")</f>
        <v>0</v>
      </c>
      <c r="V61" s="8"/>
      <c r="W61" s="17">
        <f t="shared" si="19"/>
        <v>88147.57</v>
      </c>
      <c r="X61" s="18">
        <f>IFERROR(W61/W446, "NA")</f>
        <v>-1.004391299</v>
      </c>
      <c r="Y61" s="8"/>
      <c r="Z61" s="17">
        <f>IFERROR(Z46+Z47+Z48+Z49+Z50+Z51+Z52+Z53+Z54+Z55+Z56+Z57+Z58+Z59+Z60, "NA")</f>
        <v>108858.95</v>
      </c>
      <c r="AA61" s="18">
        <f>IFERROR(Z61/Z446, "NA")</f>
        <v>0.1211997011</v>
      </c>
      <c r="AB61" s="8"/>
      <c r="AC61" s="17">
        <f t="shared" si="20"/>
        <v>-20711.38</v>
      </c>
      <c r="AD61" s="18">
        <f>IFERROR(AC61/AC446, "NA")</f>
        <v>1.171287884</v>
      </c>
    </row>
    <row r="62" ht="16.5" customHeight="1">
      <c r="A62" s="16" t="s">
        <v>63</v>
      </c>
      <c r="B62" s="17">
        <f>IFERROR(B42+B43+B44+B46+B47+B48+B49+B50+B51+B52+B53+B54+B55+B56+B57+B58+B59+B60, "NA")</f>
        <v>10779.23</v>
      </c>
      <c r="C62" s="18">
        <f>IFERROR(B62/B446, "NA")</f>
        <v>0.1089199152</v>
      </c>
      <c r="D62" s="8"/>
      <c r="E62" s="17">
        <f>IFERROR(E42+E43+E44+E46+E47+E48+E49+E50+E51+E52+E53+E54+E55+E56+E57+E58+E59+E60, "NA")</f>
        <v>18696.02</v>
      </c>
      <c r="F62" s="18">
        <f>IFERROR(E62/E446, "NA")</f>
        <v>0.1849999955</v>
      </c>
      <c r="G62" s="8"/>
      <c r="H62" s="17">
        <f t="shared" si="17"/>
        <v>-7916.79</v>
      </c>
      <c r="I62" s="18">
        <f>IFERROR(H62/H446, "NA")</f>
        <v>3.779186</v>
      </c>
      <c r="J62" s="8"/>
      <c r="K62" s="17">
        <f>IFERROR(K42+K43+K44+K46+K47+K48+K49+K50+K51+K52+K53+K54+K55+K56+K57+K58+K59+K60, "NA")</f>
        <v>12184.6</v>
      </c>
      <c r="L62" s="18">
        <f>IFERROR(K62/K446, "NA")</f>
        <v>0.1316306456</v>
      </c>
      <c r="M62" s="8"/>
      <c r="N62" s="17">
        <f t="shared" si="18"/>
        <v>-1405.37</v>
      </c>
      <c r="O62" s="18">
        <f>IFERROR(N62/N446, "NA")</f>
        <v>-0.2196528991</v>
      </c>
      <c r="P62" s="8"/>
      <c r="Q62" s="17">
        <f>IFERROR(Q42+Q43+Q44+Q46+Q47+Q48+Q49+Q50+Q51+Q52+Q53+Q54+Q55+Q56+Q57+Q58+Q59+Q60, "NA")</f>
        <v>110226.38</v>
      </c>
      <c r="R62" s="18">
        <f>IFERROR(Q62/Q446, "NA")</f>
        <v>0.1251867187</v>
      </c>
      <c r="S62" s="8"/>
      <c r="T62" s="17">
        <f>IFERROR(T42+T43+T44+T46+T47+T48+T49+T50+T51+T52+T53+T54+T55+T56+T57+T58+T59+T60, "NA")</f>
        <v>179127.72</v>
      </c>
      <c r="U62" s="18">
        <f>IFERROR(T62/T446, "NA")</f>
        <v>0.1849999935</v>
      </c>
      <c r="V62" s="8"/>
      <c r="W62" s="17">
        <f t="shared" si="19"/>
        <v>-68901.34</v>
      </c>
      <c r="X62" s="18">
        <f>IFERROR(W62/W446, "NA")</f>
        <v>0.7850914825</v>
      </c>
      <c r="Y62" s="8"/>
      <c r="Z62" s="17">
        <f>IFERROR(Z42+Z43+Z44+Z46+Z47+Z48+Z49+Z50+Z51+Z52+Z53+Z54+Z55+Z56+Z57+Z58+Z59+Z60, "NA")</f>
        <v>153604.78</v>
      </c>
      <c r="AA62" s="18">
        <f>IFERROR(Z62/Z446, "NA")</f>
        <v>0.1710181242</v>
      </c>
      <c r="AB62" s="8"/>
      <c r="AC62" s="17">
        <f t="shared" si="20"/>
        <v>-43378.4</v>
      </c>
      <c r="AD62" s="18">
        <f>IFERROR(AC62/AC446, "NA")</f>
        <v>2.453172814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r="A64" s="11" t="s">
        <v>64</v>
      </c>
      <c r="B64" s="12">
        <v>0.0</v>
      </c>
      <c r="C64" s="13">
        <f>IFERROR(B64/B446, "NA")</f>
        <v>0</v>
      </c>
      <c r="D64" s="14"/>
      <c r="E64" s="12">
        <v>8084.77</v>
      </c>
      <c r="F64" s="13">
        <f>IFERROR(E64/E446, "NA")</f>
        <v>0.08000004354</v>
      </c>
      <c r="G64" s="14"/>
      <c r="H64" s="15">
        <f t="shared" ref="H64:H73" si="21">IFERROR(B64-E64, "NA")</f>
        <v>-8084.77</v>
      </c>
      <c r="I64" s="13">
        <f>IFERROR(H64/H446, "NA")</f>
        <v>3.859373508</v>
      </c>
      <c r="J64" s="14"/>
      <c r="K64" s="12">
        <v>0.0</v>
      </c>
      <c r="L64" s="13">
        <f>IFERROR(K64/K446, "NA")</f>
        <v>0</v>
      </c>
      <c r="M64" s="14"/>
      <c r="N64" s="15">
        <f t="shared" ref="N64:N73" si="22">IFERROR(B64-K64, "NA")</f>
        <v>0</v>
      </c>
      <c r="O64" s="13">
        <f>IFERROR(N64/N446, "NA")</f>
        <v>0</v>
      </c>
      <c r="P64" s="14"/>
      <c r="Q64" s="12">
        <v>0.0</v>
      </c>
      <c r="R64" s="13">
        <f>IFERROR(Q64/Q446, "NA")</f>
        <v>0</v>
      </c>
      <c r="S64" s="14"/>
      <c r="T64" s="12">
        <v>77460.66</v>
      </c>
      <c r="U64" s="13">
        <f>IFERROR(T64/T446, "NA")</f>
        <v>0.08000002231</v>
      </c>
      <c r="V64" s="14"/>
      <c r="W64" s="15">
        <f t="shared" ref="W64:W73" si="23">IFERROR(Q64-T64, "NA")</f>
        <v>-77460.66</v>
      </c>
      <c r="X64" s="13">
        <f>IFERROR(W64/W446, "NA")</f>
        <v>0.8826200534</v>
      </c>
      <c r="Y64" s="14"/>
      <c r="Z64" s="12">
        <v>0.0</v>
      </c>
      <c r="AA64" s="13">
        <f>IFERROR(Z64/Z446, "NA")</f>
        <v>0</v>
      </c>
      <c r="AB64" s="14"/>
      <c r="AC64" s="15">
        <f t="shared" ref="AC64:AC73" si="24">IFERROR(Q64-Z64, "NA")</f>
        <v>0</v>
      </c>
      <c r="AD64" s="13">
        <f>IFERROR(AC64/AC446, "NA")</f>
        <v>0</v>
      </c>
    </row>
    <row r="65" ht="16.5" customHeight="1">
      <c r="A65" s="11" t="s">
        <v>65</v>
      </c>
      <c r="B65" s="12">
        <v>3916.31</v>
      </c>
      <c r="C65" s="13">
        <f>IFERROR(B65/B446, "NA")</f>
        <v>0.03957278517</v>
      </c>
      <c r="D65" s="14"/>
      <c r="E65" s="12">
        <v>0.0</v>
      </c>
      <c r="F65" s="13">
        <f>IFERROR(E65/E446, "NA")</f>
        <v>0</v>
      </c>
      <c r="G65" s="14"/>
      <c r="H65" s="15">
        <f t="shared" si="21"/>
        <v>3916.31</v>
      </c>
      <c r="I65" s="13">
        <f>IFERROR(H65/H446, "NA")</f>
        <v>-1.86950316</v>
      </c>
      <c r="J65" s="14"/>
      <c r="K65" s="12">
        <v>3836.81</v>
      </c>
      <c r="L65" s="13">
        <f>IFERROR(K65/K446, "NA")</f>
        <v>0.04144918809</v>
      </c>
      <c r="M65" s="14"/>
      <c r="N65" s="15">
        <f t="shared" si="22"/>
        <v>79.5</v>
      </c>
      <c r="O65" s="13">
        <f>IFERROR(N65/N446, "NA")</f>
        <v>0.01242548616</v>
      </c>
      <c r="P65" s="14"/>
      <c r="Q65" s="12">
        <v>35042.48</v>
      </c>
      <c r="R65" s="13">
        <f>IFERROR(Q65/Q446, "NA")</f>
        <v>0.03979857712</v>
      </c>
      <c r="S65" s="14"/>
      <c r="T65" s="12">
        <v>0.0</v>
      </c>
      <c r="U65" s="13">
        <f>IFERROR(T65/T446, "NA")</f>
        <v>0</v>
      </c>
      <c r="V65" s="14"/>
      <c r="W65" s="15">
        <f t="shared" si="23"/>
        <v>35042.48</v>
      </c>
      <c r="X65" s="13">
        <f>IFERROR(W65/W446, "NA")</f>
        <v>-0.3992890787</v>
      </c>
      <c r="Y65" s="14"/>
      <c r="Z65" s="12">
        <v>16010.44</v>
      </c>
      <c r="AA65" s="13">
        <f>IFERROR(Z65/Z446, "NA")</f>
        <v>0.0178254571</v>
      </c>
      <c r="AB65" s="14"/>
      <c r="AC65" s="15">
        <f t="shared" si="24"/>
        <v>19032.04</v>
      </c>
      <c r="AD65" s="13">
        <f>IFERROR(AC65/AC446, "NA")</f>
        <v>-1.076316395</v>
      </c>
    </row>
    <row r="66" ht="16.5" customHeight="1">
      <c r="A66" s="11" t="s">
        <v>66</v>
      </c>
      <c r="B66" s="12">
        <v>3034.85</v>
      </c>
      <c r="C66" s="13">
        <f>IFERROR(B66/B446, "NA")</f>
        <v>0.03066597565</v>
      </c>
      <c r="D66" s="14"/>
      <c r="E66" s="12">
        <v>0.0</v>
      </c>
      <c r="F66" s="13">
        <f>IFERROR(E66/E446, "NA")</f>
        <v>0</v>
      </c>
      <c r="G66" s="14"/>
      <c r="H66" s="15">
        <f t="shared" si="21"/>
        <v>3034.85</v>
      </c>
      <c r="I66" s="13">
        <f>IFERROR(H66/H446, "NA")</f>
        <v>-1.448726394</v>
      </c>
      <c r="J66" s="14"/>
      <c r="K66" s="12">
        <v>2240.42</v>
      </c>
      <c r="L66" s="13">
        <f>IFERROR(K66/K446, "NA")</f>
        <v>0.02420333297</v>
      </c>
      <c r="M66" s="14"/>
      <c r="N66" s="15">
        <f t="shared" si="22"/>
        <v>794.43</v>
      </c>
      <c r="O66" s="13">
        <f>IFERROR(N66/N446, "NA")</f>
        <v>0.1241657732</v>
      </c>
      <c r="P66" s="14"/>
      <c r="Q66" s="12">
        <v>21054.25</v>
      </c>
      <c r="R66" s="13">
        <f>IFERROR(Q66/Q446, "NA")</f>
        <v>0.02391181196</v>
      </c>
      <c r="S66" s="14"/>
      <c r="T66" s="12">
        <v>0.0</v>
      </c>
      <c r="U66" s="13">
        <f>IFERROR(T66/T446, "NA")</f>
        <v>0</v>
      </c>
      <c r="V66" s="14"/>
      <c r="W66" s="15">
        <f t="shared" si="23"/>
        <v>21054.25</v>
      </c>
      <c r="X66" s="13">
        <f>IFERROR(W66/W446, "NA")</f>
        <v>-0.2399011738</v>
      </c>
      <c r="Y66" s="14"/>
      <c r="Z66" s="12">
        <v>39863.12</v>
      </c>
      <c r="AA66" s="13">
        <f>IFERROR(Z66/Z446, "NA")</f>
        <v>0.04438218658</v>
      </c>
      <c r="AB66" s="14"/>
      <c r="AC66" s="15">
        <f t="shared" si="24"/>
        <v>-18808.87</v>
      </c>
      <c r="AD66" s="13">
        <f>IFERROR(AC66/AC446, "NA")</f>
        <v>1.063695492</v>
      </c>
    </row>
    <row r="67" ht="16.5" hidden="1" customHeight="1">
      <c r="A67" s="11" t="s">
        <v>67</v>
      </c>
      <c r="B67" s="12">
        <v>0.0</v>
      </c>
      <c r="C67" s="13">
        <f>IFERROR(B67/B446, "NA")</f>
        <v>0</v>
      </c>
      <c r="D67" s="14"/>
      <c r="E67" s="12">
        <v>0.0</v>
      </c>
      <c r="F67" s="13">
        <f>IFERROR(E67/E446, "NA")</f>
        <v>0</v>
      </c>
      <c r="G67" s="14"/>
      <c r="H67" s="15">
        <f t="shared" si="21"/>
        <v>0</v>
      </c>
      <c r="I67" s="13">
        <f>IFERROR(H67/H446, "NA")</f>
        <v>0</v>
      </c>
      <c r="J67" s="14"/>
      <c r="K67" s="12">
        <v>0.0</v>
      </c>
      <c r="L67" s="13">
        <f>IFERROR(K67/K446, "NA")</f>
        <v>0</v>
      </c>
      <c r="M67" s="14"/>
      <c r="N67" s="15">
        <f t="shared" si="22"/>
        <v>0</v>
      </c>
      <c r="O67" s="13">
        <f>IFERROR(N67/N446, "NA")</f>
        <v>0</v>
      </c>
      <c r="P67" s="14"/>
      <c r="Q67" s="12">
        <v>0.0</v>
      </c>
      <c r="R67" s="13">
        <f>IFERROR(Q67/Q446, "NA")</f>
        <v>0</v>
      </c>
      <c r="S67" s="14"/>
      <c r="T67" s="12">
        <v>0.0</v>
      </c>
      <c r="U67" s="13">
        <f>IFERROR(T67/T446, "NA")</f>
        <v>0</v>
      </c>
      <c r="V67" s="14"/>
      <c r="W67" s="15">
        <f t="shared" si="23"/>
        <v>0</v>
      </c>
      <c r="X67" s="13">
        <f>IFERROR(W67/W446, "NA")</f>
        <v>0</v>
      </c>
      <c r="Y67" s="14"/>
      <c r="Z67" s="12">
        <v>0.0</v>
      </c>
      <c r="AA67" s="13">
        <f>IFERROR(Z67/Z446, "NA")</f>
        <v>0</v>
      </c>
      <c r="AB67" s="14"/>
      <c r="AC67" s="15">
        <f t="shared" si="24"/>
        <v>0</v>
      </c>
      <c r="AD67" s="13">
        <f>IFERROR(AC67/AC446, "NA")</f>
        <v>0</v>
      </c>
    </row>
    <row r="68" ht="16.5" customHeight="1">
      <c r="A68" s="11" t="s">
        <v>68</v>
      </c>
      <c r="B68" s="12">
        <v>5845.49</v>
      </c>
      <c r="C68" s="13">
        <f>IFERROR(B68/B446, "NA")</f>
        <v>0.05906639668</v>
      </c>
      <c r="D68" s="14"/>
      <c r="E68" s="12">
        <v>0.0</v>
      </c>
      <c r="F68" s="13">
        <f>IFERROR(E68/E446, "NA")</f>
        <v>0</v>
      </c>
      <c r="G68" s="14"/>
      <c r="H68" s="15">
        <f t="shared" si="21"/>
        <v>5845.49</v>
      </c>
      <c r="I68" s="13">
        <f>IFERROR(H68/H446, "NA")</f>
        <v>-2.790423135</v>
      </c>
      <c r="J68" s="14"/>
      <c r="K68" s="12">
        <v>909.05</v>
      </c>
      <c r="L68" s="13">
        <f>IFERROR(K68/K446, "NA")</f>
        <v>0.009820497871</v>
      </c>
      <c r="M68" s="14"/>
      <c r="N68" s="15">
        <f t="shared" si="22"/>
        <v>4936.44</v>
      </c>
      <c r="O68" s="13">
        <f>IFERROR(N68/N446, "NA")</f>
        <v>0.7715429797</v>
      </c>
      <c r="P68" s="14"/>
      <c r="Q68" s="12">
        <v>30951.09</v>
      </c>
      <c r="R68" s="13">
        <f>IFERROR(Q68/Q446, "NA")</f>
        <v>0.03515188829</v>
      </c>
      <c r="S68" s="14"/>
      <c r="T68" s="12">
        <v>0.0</v>
      </c>
      <c r="U68" s="13">
        <f>IFERROR(T68/T446, "NA")</f>
        <v>0</v>
      </c>
      <c r="V68" s="14"/>
      <c r="W68" s="15">
        <f t="shared" si="23"/>
        <v>30951.09</v>
      </c>
      <c r="X68" s="13">
        <f>IFERROR(W68/W446, "NA")</f>
        <v>-0.3526700226</v>
      </c>
      <c r="Y68" s="14"/>
      <c r="Z68" s="12">
        <v>5980.12</v>
      </c>
      <c r="AA68" s="13">
        <f>IFERROR(Z68/Z446, "NA")</f>
        <v>0.006658053901</v>
      </c>
      <c r="AB68" s="14"/>
      <c r="AC68" s="15">
        <f t="shared" si="24"/>
        <v>24970.97</v>
      </c>
      <c r="AD68" s="13">
        <f>IFERROR(AC68/AC446, "NA")</f>
        <v>-1.412179904</v>
      </c>
    </row>
    <row r="69" ht="16.5" customHeight="1">
      <c r="A69" s="11" t="s">
        <v>69</v>
      </c>
      <c r="B69" s="12">
        <v>0.0</v>
      </c>
      <c r="C69" s="13">
        <f>IFERROR(B69/B446, "NA")</f>
        <v>0</v>
      </c>
      <c r="D69" s="14"/>
      <c r="E69" s="12">
        <v>0.0</v>
      </c>
      <c r="F69" s="13">
        <f>IFERROR(E69/E446, "NA")</f>
        <v>0</v>
      </c>
      <c r="G69" s="14"/>
      <c r="H69" s="15">
        <f t="shared" si="21"/>
        <v>0</v>
      </c>
      <c r="I69" s="13">
        <f>IFERROR(H69/H446, "NA")</f>
        <v>0</v>
      </c>
      <c r="J69" s="14"/>
      <c r="K69" s="12">
        <v>0.0</v>
      </c>
      <c r="L69" s="13">
        <f>IFERROR(K69/K446, "NA")</f>
        <v>0</v>
      </c>
      <c r="M69" s="14"/>
      <c r="N69" s="15">
        <f t="shared" si="22"/>
        <v>0</v>
      </c>
      <c r="O69" s="13">
        <f>IFERROR(N69/N446, "NA")</f>
        <v>0</v>
      </c>
      <c r="P69" s="14"/>
      <c r="Q69" s="12">
        <v>-17.85</v>
      </c>
      <c r="R69" s="13">
        <f>IFERROR(Q69/Q446, "NA")</f>
        <v>-0.0000202726691</v>
      </c>
      <c r="S69" s="14"/>
      <c r="T69" s="12">
        <v>0.0</v>
      </c>
      <c r="U69" s="13">
        <f>IFERROR(T69/T446, "NA")</f>
        <v>0</v>
      </c>
      <c r="V69" s="14"/>
      <c r="W69" s="15">
        <f t="shared" si="23"/>
        <v>-17.85</v>
      </c>
      <c r="X69" s="13">
        <f>IFERROR(W69/W446, "NA")</f>
        <v>0.0002033905721</v>
      </c>
      <c r="Y69" s="14"/>
      <c r="Z69" s="12">
        <v>0.0</v>
      </c>
      <c r="AA69" s="13">
        <f>IFERROR(Z69/Z446, "NA")</f>
        <v>0</v>
      </c>
      <c r="AB69" s="14"/>
      <c r="AC69" s="15">
        <f t="shared" si="24"/>
        <v>-17.85</v>
      </c>
      <c r="AD69" s="13">
        <f>IFERROR(AC69/AC446, "NA")</f>
        <v>0.001009468646</v>
      </c>
    </row>
    <row r="70" ht="16.5" hidden="1" customHeight="1">
      <c r="A70" s="11" t="s">
        <v>70</v>
      </c>
      <c r="B70" s="12">
        <v>0.0</v>
      </c>
      <c r="C70" s="13">
        <f>IFERROR(B70/B446, "NA")</f>
        <v>0</v>
      </c>
      <c r="D70" s="14"/>
      <c r="E70" s="12">
        <v>0.0</v>
      </c>
      <c r="F70" s="13">
        <f>IFERROR(E70/E446, "NA")</f>
        <v>0</v>
      </c>
      <c r="G70" s="14"/>
      <c r="H70" s="15">
        <f t="shared" si="21"/>
        <v>0</v>
      </c>
      <c r="I70" s="13">
        <f>IFERROR(H70/H446, "NA")</f>
        <v>0</v>
      </c>
      <c r="J70" s="14"/>
      <c r="K70" s="12">
        <v>0.0</v>
      </c>
      <c r="L70" s="13">
        <f>IFERROR(K70/K446, "NA")</f>
        <v>0</v>
      </c>
      <c r="M70" s="14"/>
      <c r="N70" s="15">
        <f t="shared" si="22"/>
        <v>0</v>
      </c>
      <c r="O70" s="13">
        <f>IFERROR(N70/N446, "NA")</f>
        <v>0</v>
      </c>
      <c r="P70" s="14"/>
      <c r="Q70" s="12">
        <v>0.0</v>
      </c>
      <c r="R70" s="13">
        <f>IFERROR(Q70/Q446, "NA")</f>
        <v>0</v>
      </c>
      <c r="S70" s="14"/>
      <c r="T70" s="12">
        <v>0.0</v>
      </c>
      <c r="U70" s="13">
        <f>IFERROR(T70/T446, "NA")</f>
        <v>0</v>
      </c>
      <c r="V70" s="14"/>
      <c r="W70" s="15">
        <f t="shared" si="23"/>
        <v>0</v>
      </c>
      <c r="X70" s="13">
        <f>IFERROR(W70/W446, "NA")</f>
        <v>0</v>
      </c>
      <c r="Y70" s="14"/>
      <c r="Z70" s="12">
        <v>0.0</v>
      </c>
      <c r="AA70" s="13">
        <f>IFERROR(Z70/Z446, "NA")</f>
        <v>0</v>
      </c>
      <c r="AB70" s="14"/>
      <c r="AC70" s="15">
        <f t="shared" si="24"/>
        <v>0</v>
      </c>
      <c r="AD70" s="13">
        <f>IFERROR(AC70/AC446, "NA")</f>
        <v>0</v>
      </c>
    </row>
    <row r="71" ht="16.5" hidden="1" customHeight="1">
      <c r="A71" s="11" t="s">
        <v>71</v>
      </c>
      <c r="B71" s="12">
        <v>0.0</v>
      </c>
      <c r="C71" s="13">
        <f>IFERROR(B71/B446, "NA")</f>
        <v>0</v>
      </c>
      <c r="D71" s="14"/>
      <c r="E71" s="12">
        <v>0.0</v>
      </c>
      <c r="F71" s="13">
        <f>IFERROR(E71/E446, "NA")</f>
        <v>0</v>
      </c>
      <c r="G71" s="14"/>
      <c r="H71" s="15">
        <f t="shared" si="21"/>
        <v>0</v>
      </c>
      <c r="I71" s="13">
        <f>IFERROR(H71/H446, "NA")</f>
        <v>0</v>
      </c>
      <c r="J71" s="14"/>
      <c r="K71" s="12">
        <v>0.0</v>
      </c>
      <c r="L71" s="13">
        <f>IFERROR(K71/K446, "NA")</f>
        <v>0</v>
      </c>
      <c r="M71" s="14"/>
      <c r="N71" s="15">
        <f t="shared" si="22"/>
        <v>0</v>
      </c>
      <c r="O71" s="13">
        <f>IFERROR(N71/N446, "NA")</f>
        <v>0</v>
      </c>
      <c r="P71" s="14"/>
      <c r="Q71" s="12">
        <v>0.0</v>
      </c>
      <c r="R71" s="13">
        <f>IFERROR(Q71/Q446, "NA")</f>
        <v>0</v>
      </c>
      <c r="S71" s="14"/>
      <c r="T71" s="12">
        <v>0.0</v>
      </c>
      <c r="U71" s="13">
        <f>IFERROR(T71/T446, "NA")</f>
        <v>0</v>
      </c>
      <c r="V71" s="14"/>
      <c r="W71" s="15">
        <f t="shared" si="23"/>
        <v>0</v>
      </c>
      <c r="X71" s="13">
        <f>IFERROR(W71/W446, "NA")</f>
        <v>0</v>
      </c>
      <c r="Y71" s="14"/>
      <c r="Z71" s="12">
        <v>0.0</v>
      </c>
      <c r="AA71" s="13">
        <f>IFERROR(Z71/Z446, "NA")</f>
        <v>0</v>
      </c>
      <c r="AB71" s="14"/>
      <c r="AC71" s="15">
        <f t="shared" si="24"/>
        <v>0</v>
      </c>
      <c r="AD71" s="13">
        <f>IFERROR(AC71/AC446, "NA")</f>
        <v>0</v>
      </c>
    </row>
    <row r="72" ht="16.5" customHeight="1">
      <c r="A72" s="11" t="s">
        <v>72</v>
      </c>
      <c r="B72" s="12">
        <v>2709.05</v>
      </c>
      <c r="C72" s="13">
        <f>IFERROR(B72/B446, "NA")</f>
        <v>0.02737389371</v>
      </c>
      <c r="D72" s="14"/>
      <c r="E72" s="12">
        <v>0.0</v>
      </c>
      <c r="F72" s="13">
        <f>IFERROR(E72/E446, "NA")</f>
        <v>0</v>
      </c>
      <c r="G72" s="14"/>
      <c r="H72" s="15">
        <f t="shared" si="21"/>
        <v>2709.05</v>
      </c>
      <c r="I72" s="13">
        <f>IFERROR(H72/H446, "NA")</f>
        <v>-1.29320139</v>
      </c>
      <c r="J72" s="14"/>
      <c r="K72" s="12">
        <v>0.0</v>
      </c>
      <c r="L72" s="13">
        <f>IFERROR(K72/K446, "NA")</f>
        <v>0</v>
      </c>
      <c r="M72" s="14"/>
      <c r="N72" s="15">
        <f t="shared" si="22"/>
        <v>2709.05</v>
      </c>
      <c r="O72" s="13">
        <f>IFERROR(N72/N446, "NA")</f>
        <v>0.4234121166</v>
      </c>
      <c r="P72" s="14"/>
      <c r="Q72" s="12">
        <v>17966.9</v>
      </c>
      <c r="R72" s="13">
        <f>IFERROR(Q72/Q446, "NA")</f>
        <v>0.02040543521</v>
      </c>
      <c r="S72" s="14"/>
      <c r="T72" s="12">
        <v>0.0</v>
      </c>
      <c r="U72" s="13">
        <f>IFERROR(T72/T446, "NA")</f>
        <v>0</v>
      </c>
      <c r="V72" s="14"/>
      <c r="W72" s="15">
        <f t="shared" si="23"/>
        <v>17966.9</v>
      </c>
      <c r="X72" s="13">
        <f>IFERROR(W72/W446, "NA")</f>
        <v>-0.204722581</v>
      </c>
      <c r="Y72" s="14"/>
      <c r="Z72" s="12">
        <v>0.0</v>
      </c>
      <c r="AA72" s="13">
        <f>IFERROR(Z72/Z446, "NA")</f>
        <v>0</v>
      </c>
      <c r="AB72" s="14"/>
      <c r="AC72" s="15">
        <f t="shared" si="24"/>
        <v>17966.9</v>
      </c>
      <c r="AD72" s="13">
        <f>IFERROR(AC72/AC446, "NA")</f>
        <v>-1.016079676</v>
      </c>
    </row>
    <row r="73" ht="16.5" customHeight="1">
      <c r="A73" s="16" t="s">
        <v>73</v>
      </c>
      <c r="B73" s="17">
        <f>IFERROR(B64+B65+B66+B67+B68+B69+B70+B71+B72, "NA")</f>
        <v>15505.7</v>
      </c>
      <c r="C73" s="18">
        <f>IFERROR(B73/B446, "NA")</f>
        <v>0.1566790512</v>
      </c>
      <c r="D73" s="8"/>
      <c r="E73" s="17">
        <f>IFERROR(E64+E65+E66+E67+E68+E69+E70+E71+E72, "NA")</f>
        <v>8084.77</v>
      </c>
      <c r="F73" s="18">
        <f>IFERROR(E73/E446, "NA")</f>
        <v>0.08000004354</v>
      </c>
      <c r="G73" s="8"/>
      <c r="H73" s="17">
        <f t="shared" si="21"/>
        <v>7420.93</v>
      </c>
      <c r="I73" s="18">
        <f>IFERROR(H73/H446, "NA")</f>
        <v>-3.542480571</v>
      </c>
      <c r="J73" s="8"/>
      <c r="K73" s="17">
        <f>IFERROR(K64+K65+K66+K67+K68+K69+K70+K71+K72, "NA")</f>
        <v>6986.28</v>
      </c>
      <c r="L73" s="18">
        <f>IFERROR(K73/K446, "NA")</f>
        <v>0.07547301894</v>
      </c>
      <c r="M73" s="8"/>
      <c r="N73" s="17">
        <f t="shared" si="22"/>
        <v>8519.42</v>
      </c>
      <c r="O73" s="18">
        <f>IFERROR(N73/N446, "NA")</f>
        <v>1.331546356</v>
      </c>
      <c r="P73" s="8"/>
      <c r="Q73" s="17">
        <f>IFERROR(Q64+Q65+Q66+Q67+Q68+Q69+Q70+Q71+Q72, "NA")</f>
        <v>104996.87</v>
      </c>
      <c r="R73" s="18">
        <f>IFERROR(Q73/Q446, "NA")</f>
        <v>0.1192474399</v>
      </c>
      <c r="S73" s="8"/>
      <c r="T73" s="17">
        <f>IFERROR(T64+T65+T66+T67+T68+T69+T70+T71+T72, "NA")</f>
        <v>77460.66</v>
      </c>
      <c r="U73" s="18">
        <f>IFERROR(T73/T446, "NA")</f>
        <v>0.08000002231</v>
      </c>
      <c r="V73" s="8"/>
      <c r="W73" s="17">
        <f t="shared" si="23"/>
        <v>27536.21</v>
      </c>
      <c r="X73" s="18">
        <f>IFERROR(W73/W446, "NA")</f>
        <v>-0.3137594121</v>
      </c>
      <c r="Y73" s="8"/>
      <c r="Z73" s="17">
        <f>IFERROR(Z64+Z65+Z66+Z67+Z68+Z69+Z70+Z71+Z72, "NA")</f>
        <v>61853.68</v>
      </c>
      <c r="AA73" s="18">
        <f>IFERROR(Z73/Z446, "NA")</f>
        <v>0.06886569758</v>
      </c>
      <c r="AB73" s="8"/>
      <c r="AC73" s="17">
        <f t="shared" si="24"/>
        <v>43143.19</v>
      </c>
      <c r="AD73" s="18">
        <f>IFERROR(AC73/AC446, "NA")</f>
        <v>-2.439871014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r="A75" s="11" t="s">
        <v>74</v>
      </c>
      <c r="B75" s="12">
        <v>0.0</v>
      </c>
      <c r="C75" s="13">
        <f>IFERROR(B75/B446, "NA")</f>
        <v>0</v>
      </c>
      <c r="D75" s="14"/>
      <c r="E75" s="12">
        <v>1515.89</v>
      </c>
      <c r="F75" s="13">
        <f>IFERROR(E75/E446, "NA")</f>
        <v>0.01499996487</v>
      </c>
      <c r="G75" s="14"/>
      <c r="H75" s="15">
        <f t="shared" ref="H75:H92" si="25">IFERROR(B75-E75, "NA")</f>
        <v>-1515.89</v>
      </c>
      <c r="I75" s="13">
        <f>IFERROR(H75/H446, "NA")</f>
        <v>0.7236304443</v>
      </c>
      <c r="J75" s="14"/>
      <c r="K75" s="12">
        <v>0.0</v>
      </c>
      <c r="L75" s="13">
        <f>IFERROR(K75/K446, "NA")</f>
        <v>0</v>
      </c>
      <c r="M75" s="14"/>
      <c r="N75" s="15">
        <f t="shared" ref="N75:N92" si="26">IFERROR(B75-K75, "NA")</f>
        <v>0</v>
      </c>
      <c r="O75" s="13">
        <f>IFERROR(N75/N446, "NA")</f>
        <v>0</v>
      </c>
      <c r="P75" s="14"/>
      <c r="Q75" s="12">
        <v>0.0</v>
      </c>
      <c r="R75" s="13">
        <f>IFERROR(Q75/Q446, "NA")</f>
        <v>0</v>
      </c>
      <c r="S75" s="14"/>
      <c r="T75" s="12">
        <v>14523.87</v>
      </c>
      <c r="U75" s="13">
        <f>IFERROR(T75/T446, "NA")</f>
        <v>0.01500000031</v>
      </c>
      <c r="V75" s="14"/>
      <c r="W75" s="15">
        <f t="shared" ref="W75:W92" si="27">IFERROR(Q75-T75, "NA")</f>
        <v>-14523.87</v>
      </c>
      <c r="X75" s="13">
        <f>IFERROR(W75/W446, "NA")</f>
        <v>0.1654912173</v>
      </c>
      <c r="Y75" s="14"/>
      <c r="Z75" s="12">
        <v>0.0</v>
      </c>
      <c r="AA75" s="13">
        <f>IFERROR(Z75/Z446, "NA")</f>
        <v>0</v>
      </c>
      <c r="AB75" s="14"/>
      <c r="AC75" s="15">
        <f t="shared" ref="AC75:AC92" si="28">IFERROR(Q75-Z75, "NA")</f>
        <v>0</v>
      </c>
      <c r="AD75" s="13">
        <f>IFERROR(AC75/AC446, "NA")</f>
        <v>0</v>
      </c>
    </row>
    <row r="76" ht="16.5" hidden="1" customHeight="1">
      <c r="A76" s="11" t="s">
        <v>75</v>
      </c>
      <c r="B76" s="12">
        <v>0.0</v>
      </c>
      <c r="C76" s="13">
        <f>IFERROR(B76/B446, "NA")</f>
        <v>0</v>
      </c>
      <c r="D76" s="14"/>
      <c r="E76" s="12">
        <v>0.0</v>
      </c>
      <c r="F76" s="13">
        <f>IFERROR(E76/E446, "NA")</f>
        <v>0</v>
      </c>
      <c r="G76" s="14"/>
      <c r="H76" s="15">
        <f t="shared" si="25"/>
        <v>0</v>
      </c>
      <c r="I76" s="13">
        <f>IFERROR(H76/H446, "NA")</f>
        <v>0</v>
      </c>
      <c r="J76" s="14"/>
      <c r="K76" s="12">
        <v>0.0</v>
      </c>
      <c r="L76" s="13">
        <f>IFERROR(K76/K446, "NA")</f>
        <v>0</v>
      </c>
      <c r="M76" s="14"/>
      <c r="N76" s="15">
        <f t="shared" si="26"/>
        <v>0</v>
      </c>
      <c r="O76" s="13">
        <f>IFERROR(N76/N446, "NA")</f>
        <v>0</v>
      </c>
      <c r="P76" s="14"/>
      <c r="Q76" s="12">
        <v>0.0</v>
      </c>
      <c r="R76" s="13">
        <f>IFERROR(Q76/Q446, "NA")</f>
        <v>0</v>
      </c>
      <c r="S76" s="14"/>
      <c r="T76" s="12">
        <v>0.0</v>
      </c>
      <c r="U76" s="13">
        <f>IFERROR(T76/T446, "NA")</f>
        <v>0</v>
      </c>
      <c r="V76" s="14"/>
      <c r="W76" s="15">
        <f t="shared" si="27"/>
        <v>0</v>
      </c>
      <c r="X76" s="13">
        <f>IFERROR(W76/W446, "NA")</f>
        <v>0</v>
      </c>
      <c r="Y76" s="14"/>
      <c r="Z76" s="12">
        <v>0.0</v>
      </c>
      <c r="AA76" s="13">
        <f>IFERROR(Z76/Z446, "NA")</f>
        <v>0</v>
      </c>
      <c r="AB76" s="14"/>
      <c r="AC76" s="15">
        <f t="shared" si="28"/>
        <v>0</v>
      </c>
      <c r="AD76" s="13">
        <f>IFERROR(AC76/AC446, "NA")</f>
        <v>0</v>
      </c>
    </row>
    <row r="77" ht="16.5" customHeight="1">
      <c r="A77" s="11" t="s">
        <v>76</v>
      </c>
      <c r="B77" s="12">
        <v>156.99</v>
      </c>
      <c r="C77" s="13">
        <f>IFERROR(B77/B446, "NA")</f>
        <v>0.001586322723</v>
      </c>
      <c r="D77" s="14"/>
      <c r="E77" s="12">
        <v>0.0</v>
      </c>
      <c r="F77" s="13">
        <f>IFERROR(E77/E446, "NA")</f>
        <v>0</v>
      </c>
      <c r="G77" s="14"/>
      <c r="H77" s="15">
        <f t="shared" si="25"/>
        <v>156.99</v>
      </c>
      <c r="I77" s="13">
        <f>IFERROR(H77/H446, "NA")</f>
        <v>-0.0749412843</v>
      </c>
      <c r="J77" s="14"/>
      <c r="K77" s="12">
        <v>246.85</v>
      </c>
      <c r="L77" s="13">
        <f>IFERROR(K77/K446, "NA")</f>
        <v>0.002666728892</v>
      </c>
      <c r="M77" s="14"/>
      <c r="N77" s="15">
        <f t="shared" si="26"/>
        <v>-89.86</v>
      </c>
      <c r="O77" s="13">
        <f>IFERROR(N77/N446, "NA")</f>
        <v>-0.01404470674</v>
      </c>
      <c r="P77" s="14"/>
      <c r="Q77" s="12">
        <v>1591.7</v>
      </c>
      <c r="R77" s="13">
        <f>IFERROR(Q77/Q446, "NA")</f>
        <v>0.001807731508</v>
      </c>
      <c r="S77" s="14"/>
      <c r="T77" s="12">
        <v>0.0</v>
      </c>
      <c r="U77" s="13">
        <f>IFERROR(T77/T446, "NA")</f>
        <v>0</v>
      </c>
      <c r="V77" s="14"/>
      <c r="W77" s="15">
        <f t="shared" si="27"/>
        <v>1591.7</v>
      </c>
      <c r="X77" s="13">
        <f>IFERROR(W77/W446, "NA")</f>
        <v>-0.01813651393</v>
      </c>
      <c r="Y77" s="14"/>
      <c r="Z77" s="12">
        <v>3964.49</v>
      </c>
      <c r="AA77" s="13">
        <f>IFERROR(Z77/Z446, "NA")</f>
        <v>0.004413922816</v>
      </c>
      <c r="AB77" s="14"/>
      <c r="AC77" s="15">
        <f t="shared" si="28"/>
        <v>-2372.79</v>
      </c>
      <c r="AD77" s="13">
        <f>IFERROR(AC77/AC446, "NA")</f>
        <v>0.1341880733</v>
      </c>
    </row>
    <row r="78" ht="16.5" hidden="1" customHeight="1">
      <c r="A78" s="11" t="s">
        <v>77</v>
      </c>
      <c r="B78" s="12">
        <v>0.0</v>
      </c>
      <c r="C78" s="13">
        <f>IFERROR(B78/B446, "NA")</f>
        <v>0</v>
      </c>
      <c r="D78" s="14"/>
      <c r="E78" s="12">
        <v>0.0</v>
      </c>
      <c r="F78" s="13">
        <f>IFERROR(E78/E446, "NA")</f>
        <v>0</v>
      </c>
      <c r="G78" s="14"/>
      <c r="H78" s="15">
        <f t="shared" si="25"/>
        <v>0</v>
      </c>
      <c r="I78" s="13">
        <f>IFERROR(H78/H446, "NA")</f>
        <v>0</v>
      </c>
      <c r="J78" s="14"/>
      <c r="K78" s="12">
        <v>0.0</v>
      </c>
      <c r="L78" s="13">
        <f>IFERROR(K78/K446, "NA")</f>
        <v>0</v>
      </c>
      <c r="M78" s="14"/>
      <c r="N78" s="15">
        <f t="shared" si="26"/>
        <v>0</v>
      </c>
      <c r="O78" s="13">
        <f>IFERROR(N78/N446, "NA")</f>
        <v>0</v>
      </c>
      <c r="P78" s="14"/>
      <c r="Q78" s="12">
        <v>0.0</v>
      </c>
      <c r="R78" s="13">
        <f>IFERROR(Q78/Q446, "NA")</f>
        <v>0</v>
      </c>
      <c r="S78" s="14"/>
      <c r="T78" s="12">
        <v>0.0</v>
      </c>
      <c r="U78" s="13">
        <f>IFERROR(T78/T446, "NA")</f>
        <v>0</v>
      </c>
      <c r="V78" s="14"/>
      <c r="W78" s="15">
        <f t="shared" si="27"/>
        <v>0</v>
      </c>
      <c r="X78" s="13">
        <f>IFERROR(W78/W446, "NA")</f>
        <v>0</v>
      </c>
      <c r="Y78" s="14"/>
      <c r="Z78" s="12">
        <v>0.0</v>
      </c>
      <c r="AA78" s="13">
        <f>IFERROR(Z78/Z446, "NA")</f>
        <v>0</v>
      </c>
      <c r="AB78" s="14"/>
      <c r="AC78" s="15">
        <f t="shared" si="28"/>
        <v>0</v>
      </c>
      <c r="AD78" s="13">
        <f>IFERROR(AC78/AC446, "NA")</f>
        <v>0</v>
      </c>
    </row>
    <row r="79" ht="16.5" hidden="1" customHeight="1">
      <c r="A79" s="11" t="s">
        <v>78</v>
      </c>
      <c r="B79" s="12">
        <v>0.0</v>
      </c>
      <c r="C79" s="13">
        <f>IFERROR(B79/B446, "NA")</f>
        <v>0</v>
      </c>
      <c r="D79" s="14"/>
      <c r="E79" s="12">
        <v>0.0</v>
      </c>
      <c r="F79" s="13">
        <f>IFERROR(E79/E446, "NA")</f>
        <v>0</v>
      </c>
      <c r="G79" s="14"/>
      <c r="H79" s="15">
        <f t="shared" si="25"/>
        <v>0</v>
      </c>
      <c r="I79" s="13">
        <f>IFERROR(H79/H446, "NA")</f>
        <v>0</v>
      </c>
      <c r="J79" s="14"/>
      <c r="K79" s="12">
        <v>0.0</v>
      </c>
      <c r="L79" s="13">
        <f>IFERROR(K79/K446, "NA")</f>
        <v>0</v>
      </c>
      <c r="M79" s="14"/>
      <c r="N79" s="15">
        <f t="shared" si="26"/>
        <v>0</v>
      </c>
      <c r="O79" s="13">
        <f>IFERROR(N79/N446, "NA")</f>
        <v>0</v>
      </c>
      <c r="P79" s="14"/>
      <c r="Q79" s="12">
        <v>0.0</v>
      </c>
      <c r="R79" s="13">
        <f>IFERROR(Q79/Q446, "NA")</f>
        <v>0</v>
      </c>
      <c r="S79" s="14"/>
      <c r="T79" s="12">
        <v>0.0</v>
      </c>
      <c r="U79" s="13">
        <f>IFERROR(T79/T446, "NA")</f>
        <v>0</v>
      </c>
      <c r="V79" s="14"/>
      <c r="W79" s="15">
        <f t="shared" si="27"/>
        <v>0</v>
      </c>
      <c r="X79" s="13">
        <f>IFERROR(W79/W446, "NA")</f>
        <v>0</v>
      </c>
      <c r="Y79" s="14"/>
      <c r="Z79" s="12">
        <v>0.0</v>
      </c>
      <c r="AA79" s="13">
        <f>IFERROR(Z79/Z446, "NA")</f>
        <v>0</v>
      </c>
      <c r="AB79" s="14"/>
      <c r="AC79" s="15">
        <f t="shared" si="28"/>
        <v>0</v>
      </c>
      <c r="AD79" s="13">
        <f>IFERROR(AC79/AC446, "NA")</f>
        <v>0</v>
      </c>
    </row>
    <row r="80" ht="16.5" customHeight="1">
      <c r="A80" s="11" t="s">
        <v>79</v>
      </c>
      <c r="B80" s="12">
        <v>642.28</v>
      </c>
      <c r="C80" s="13">
        <f>IFERROR(B80/B446, "NA")</f>
        <v>0.006489988908</v>
      </c>
      <c r="D80" s="14"/>
      <c r="E80" s="12">
        <v>0.0</v>
      </c>
      <c r="F80" s="13">
        <f>IFERROR(E80/E446, "NA")</f>
        <v>0</v>
      </c>
      <c r="G80" s="14"/>
      <c r="H80" s="15">
        <f t="shared" si="25"/>
        <v>642.28</v>
      </c>
      <c r="I80" s="13">
        <f>IFERROR(H80/H446, "NA")</f>
        <v>-0.3066009815</v>
      </c>
      <c r="J80" s="14"/>
      <c r="K80" s="12">
        <v>944.63</v>
      </c>
      <c r="L80" s="13">
        <f>IFERROR(K80/K446, "NA")</f>
        <v>0.01020486981</v>
      </c>
      <c r="M80" s="14"/>
      <c r="N80" s="15">
        <f t="shared" si="26"/>
        <v>-302.35</v>
      </c>
      <c r="O80" s="13">
        <f>IFERROR(N80/N446, "NA")</f>
        <v>-0.04725592125</v>
      </c>
      <c r="P80" s="14"/>
      <c r="Q80" s="12">
        <v>7955.25</v>
      </c>
      <c r="R80" s="13">
        <f>IFERROR(Q80/Q446, "NA")</f>
        <v>0.009034966436</v>
      </c>
      <c r="S80" s="14"/>
      <c r="T80" s="12">
        <v>0.0</v>
      </c>
      <c r="U80" s="13">
        <f>IFERROR(T80/T446, "NA")</f>
        <v>0</v>
      </c>
      <c r="V80" s="14"/>
      <c r="W80" s="15">
        <f t="shared" si="27"/>
        <v>7955.25</v>
      </c>
      <c r="X80" s="13">
        <f>IFERROR(W80/W446, "NA")</f>
        <v>-0.09064553775</v>
      </c>
      <c r="Y80" s="14"/>
      <c r="Z80" s="12">
        <v>8896.05</v>
      </c>
      <c r="AA80" s="13">
        <f>IFERROR(Z80/Z446, "NA")</f>
        <v>0.009904547134</v>
      </c>
      <c r="AB80" s="14"/>
      <c r="AC80" s="15">
        <f t="shared" si="28"/>
        <v>-940.8</v>
      </c>
      <c r="AD80" s="13">
        <f>IFERROR(AC80/AC446, "NA")</f>
        <v>0.05320493571</v>
      </c>
    </row>
    <row r="81" ht="16.5" hidden="1" customHeight="1">
      <c r="A81" s="11" t="s">
        <v>80</v>
      </c>
      <c r="B81" s="12">
        <v>0.0</v>
      </c>
      <c r="C81" s="13">
        <f>IFERROR(B81/B446, "NA")</f>
        <v>0</v>
      </c>
      <c r="D81" s="14"/>
      <c r="E81" s="12">
        <v>0.0</v>
      </c>
      <c r="F81" s="13">
        <f>IFERROR(E81/E446, "NA")</f>
        <v>0</v>
      </c>
      <c r="G81" s="14"/>
      <c r="H81" s="15">
        <f t="shared" si="25"/>
        <v>0</v>
      </c>
      <c r="I81" s="13">
        <f>IFERROR(H81/H446, "NA")</f>
        <v>0</v>
      </c>
      <c r="J81" s="14"/>
      <c r="K81" s="12">
        <v>0.0</v>
      </c>
      <c r="L81" s="13">
        <f>IFERROR(K81/K446, "NA")</f>
        <v>0</v>
      </c>
      <c r="M81" s="14"/>
      <c r="N81" s="15">
        <f t="shared" si="26"/>
        <v>0</v>
      </c>
      <c r="O81" s="13">
        <f>IFERROR(N81/N446, "NA")</f>
        <v>0</v>
      </c>
      <c r="P81" s="14"/>
      <c r="Q81" s="12">
        <v>0.0</v>
      </c>
      <c r="R81" s="13">
        <f>IFERROR(Q81/Q446, "NA")</f>
        <v>0</v>
      </c>
      <c r="S81" s="14"/>
      <c r="T81" s="12">
        <v>0.0</v>
      </c>
      <c r="U81" s="13">
        <f>IFERROR(T81/T446, "NA")</f>
        <v>0</v>
      </c>
      <c r="V81" s="14"/>
      <c r="W81" s="15">
        <f t="shared" si="27"/>
        <v>0</v>
      </c>
      <c r="X81" s="13">
        <f>IFERROR(W81/W446, "NA")</f>
        <v>0</v>
      </c>
      <c r="Y81" s="14"/>
      <c r="Z81" s="12">
        <v>0.0</v>
      </c>
      <c r="AA81" s="13">
        <f>IFERROR(Z81/Z446, "NA")</f>
        <v>0</v>
      </c>
      <c r="AB81" s="14"/>
      <c r="AC81" s="15">
        <f t="shared" si="28"/>
        <v>0</v>
      </c>
      <c r="AD81" s="13">
        <f>IFERROR(AC81/AC446, "NA")</f>
        <v>0</v>
      </c>
    </row>
    <row r="82" ht="16.5" hidden="1" customHeight="1">
      <c r="A82" s="11" t="s">
        <v>81</v>
      </c>
      <c r="B82" s="12">
        <v>0.0</v>
      </c>
      <c r="C82" s="13">
        <f>IFERROR(B82/B446, "NA")</f>
        <v>0</v>
      </c>
      <c r="D82" s="14"/>
      <c r="E82" s="12">
        <v>0.0</v>
      </c>
      <c r="F82" s="13">
        <f>IFERROR(E82/E446, "NA")</f>
        <v>0</v>
      </c>
      <c r="G82" s="14"/>
      <c r="H82" s="15">
        <f t="shared" si="25"/>
        <v>0</v>
      </c>
      <c r="I82" s="13">
        <f>IFERROR(H82/H446, "NA")</f>
        <v>0</v>
      </c>
      <c r="J82" s="14"/>
      <c r="K82" s="12">
        <v>0.0</v>
      </c>
      <c r="L82" s="13">
        <f>IFERROR(K82/K446, "NA")</f>
        <v>0</v>
      </c>
      <c r="M82" s="14"/>
      <c r="N82" s="15">
        <f t="shared" si="26"/>
        <v>0</v>
      </c>
      <c r="O82" s="13">
        <f>IFERROR(N82/N446, "NA")</f>
        <v>0</v>
      </c>
      <c r="P82" s="14"/>
      <c r="Q82" s="12">
        <v>0.0</v>
      </c>
      <c r="R82" s="13">
        <f>IFERROR(Q82/Q446, "NA")</f>
        <v>0</v>
      </c>
      <c r="S82" s="14"/>
      <c r="T82" s="12">
        <v>0.0</v>
      </c>
      <c r="U82" s="13">
        <f>IFERROR(T82/T446, "NA")</f>
        <v>0</v>
      </c>
      <c r="V82" s="14"/>
      <c r="W82" s="15">
        <f t="shared" si="27"/>
        <v>0</v>
      </c>
      <c r="X82" s="13">
        <f>IFERROR(W82/W446, "NA")</f>
        <v>0</v>
      </c>
      <c r="Y82" s="14"/>
      <c r="Z82" s="12">
        <v>0.0</v>
      </c>
      <c r="AA82" s="13">
        <f>IFERROR(Z82/Z446, "NA")</f>
        <v>0</v>
      </c>
      <c r="AB82" s="14"/>
      <c r="AC82" s="15">
        <f t="shared" si="28"/>
        <v>0</v>
      </c>
      <c r="AD82" s="13">
        <f>IFERROR(AC82/AC446, "NA")</f>
        <v>0</v>
      </c>
    </row>
    <row r="83" ht="16.5" hidden="1" customHeight="1">
      <c r="A83" s="11" t="s">
        <v>82</v>
      </c>
      <c r="B83" s="12">
        <v>0.0</v>
      </c>
      <c r="C83" s="13">
        <f>IFERROR(B83/B446, "NA")</f>
        <v>0</v>
      </c>
      <c r="D83" s="14"/>
      <c r="E83" s="12">
        <v>0.0</v>
      </c>
      <c r="F83" s="13">
        <f>IFERROR(E83/E446, "NA")</f>
        <v>0</v>
      </c>
      <c r="G83" s="14"/>
      <c r="H83" s="15">
        <f t="shared" si="25"/>
        <v>0</v>
      </c>
      <c r="I83" s="13">
        <f>IFERROR(H83/H446, "NA")</f>
        <v>0</v>
      </c>
      <c r="J83" s="14"/>
      <c r="K83" s="12">
        <v>0.0</v>
      </c>
      <c r="L83" s="13">
        <f>IFERROR(K83/K446, "NA")</f>
        <v>0</v>
      </c>
      <c r="M83" s="14"/>
      <c r="N83" s="15">
        <f t="shared" si="26"/>
        <v>0</v>
      </c>
      <c r="O83" s="13">
        <f>IFERROR(N83/N446, "NA")</f>
        <v>0</v>
      </c>
      <c r="P83" s="14"/>
      <c r="Q83" s="12">
        <v>0.0</v>
      </c>
      <c r="R83" s="13">
        <f>IFERROR(Q83/Q446, "NA")</f>
        <v>0</v>
      </c>
      <c r="S83" s="14"/>
      <c r="T83" s="12">
        <v>0.0</v>
      </c>
      <c r="U83" s="13">
        <f>IFERROR(T83/T446, "NA")</f>
        <v>0</v>
      </c>
      <c r="V83" s="14"/>
      <c r="W83" s="15">
        <f t="shared" si="27"/>
        <v>0</v>
      </c>
      <c r="X83" s="13">
        <f>IFERROR(W83/W446, "NA")</f>
        <v>0</v>
      </c>
      <c r="Y83" s="14"/>
      <c r="Z83" s="12">
        <v>0.0</v>
      </c>
      <c r="AA83" s="13">
        <f>IFERROR(Z83/Z446, "NA")</f>
        <v>0</v>
      </c>
      <c r="AB83" s="14"/>
      <c r="AC83" s="15">
        <f t="shared" si="28"/>
        <v>0</v>
      </c>
      <c r="AD83" s="13">
        <f>IFERROR(AC83/AC446, "NA")</f>
        <v>0</v>
      </c>
    </row>
    <row r="84" ht="16.5" hidden="1" customHeight="1">
      <c r="A84" s="11" t="s">
        <v>83</v>
      </c>
      <c r="B84" s="12">
        <v>0.0</v>
      </c>
      <c r="C84" s="13">
        <f>IFERROR(B84/B446, "NA")</f>
        <v>0</v>
      </c>
      <c r="D84" s="14"/>
      <c r="E84" s="12">
        <v>0.0</v>
      </c>
      <c r="F84" s="13">
        <f>IFERROR(E84/E446, "NA")</f>
        <v>0</v>
      </c>
      <c r="G84" s="14"/>
      <c r="H84" s="15">
        <f t="shared" si="25"/>
        <v>0</v>
      </c>
      <c r="I84" s="13">
        <f>IFERROR(H84/H446, "NA")</f>
        <v>0</v>
      </c>
      <c r="J84" s="14"/>
      <c r="K84" s="12">
        <v>0.0</v>
      </c>
      <c r="L84" s="13">
        <f>IFERROR(K84/K446, "NA")</f>
        <v>0</v>
      </c>
      <c r="M84" s="14"/>
      <c r="N84" s="15">
        <f t="shared" si="26"/>
        <v>0</v>
      </c>
      <c r="O84" s="13">
        <f>IFERROR(N84/N446, "NA")</f>
        <v>0</v>
      </c>
      <c r="P84" s="14"/>
      <c r="Q84" s="12">
        <v>0.0</v>
      </c>
      <c r="R84" s="13">
        <f>IFERROR(Q84/Q446, "NA")</f>
        <v>0</v>
      </c>
      <c r="S84" s="14"/>
      <c r="T84" s="12">
        <v>0.0</v>
      </c>
      <c r="U84" s="13">
        <f>IFERROR(T84/T446, "NA")</f>
        <v>0</v>
      </c>
      <c r="V84" s="14"/>
      <c r="W84" s="15">
        <f t="shared" si="27"/>
        <v>0</v>
      </c>
      <c r="X84" s="13">
        <f>IFERROR(W84/W446, "NA")</f>
        <v>0</v>
      </c>
      <c r="Y84" s="14"/>
      <c r="Z84" s="12">
        <v>0.0</v>
      </c>
      <c r="AA84" s="13">
        <f>IFERROR(Z84/Z446, "NA")</f>
        <v>0</v>
      </c>
      <c r="AB84" s="14"/>
      <c r="AC84" s="15">
        <f t="shared" si="28"/>
        <v>0</v>
      </c>
      <c r="AD84" s="13">
        <f>IFERROR(AC84/AC446, "NA")</f>
        <v>0</v>
      </c>
    </row>
    <row r="85" ht="16.5" hidden="1" customHeight="1">
      <c r="A85" s="11" t="s">
        <v>84</v>
      </c>
      <c r="B85" s="12">
        <v>0.0</v>
      </c>
      <c r="C85" s="13">
        <f>IFERROR(B85/B446, "NA")</f>
        <v>0</v>
      </c>
      <c r="D85" s="14"/>
      <c r="E85" s="12">
        <v>0.0</v>
      </c>
      <c r="F85" s="13">
        <f>IFERROR(E85/E446, "NA")</f>
        <v>0</v>
      </c>
      <c r="G85" s="14"/>
      <c r="H85" s="15">
        <f t="shared" si="25"/>
        <v>0</v>
      </c>
      <c r="I85" s="13">
        <f>IFERROR(H85/H446, "NA")</f>
        <v>0</v>
      </c>
      <c r="J85" s="14"/>
      <c r="K85" s="12">
        <v>0.0</v>
      </c>
      <c r="L85" s="13">
        <f>IFERROR(K85/K446, "NA")</f>
        <v>0</v>
      </c>
      <c r="M85" s="14"/>
      <c r="N85" s="15">
        <f t="shared" si="26"/>
        <v>0</v>
      </c>
      <c r="O85" s="13">
        <f>IFERROR(N85/N446, "NA")</f>
        <v>0</v>
      </c>
      <c r="P85" s="14"/>
      <c r="Q85" s="12">
        <v>0.0</v>
      </c>
      <c r="R85" s="13">
        <f>IFERROR(Q85/Q446, "NA")</f>
        <v>0</v>
      </c>
      <c r="S85" s="14"/>
      <c r="T85" s="12">
        <v>0.0</v>
      </c>
      <c r="U85" s="13">
        <f>IFERROR(T85/T446, "NA")</f>
        <v>0</v>
      </c>
      <c r="V85" s="14"/>
      <c r="W85" s="15">
        <f t="shared" si="27"/>
        <v>0</v>
      </c>
      <c r="X85" s="13">
        <f>IFERROR(W85/W446, "NA")</f>
        <v>0</v>
      </c>
      <c r="Y85" s="14"/>
      <c r="Z85" s="12">
        <v>0.0</v>
      </c>
      <c r="AA85" s="13">
        <f>IFERROR(Z85/Z446, "NA")</f>
        <v>0</v>
      </c>
      <c r="AB85" s="14"/>
      <c r="AC85" s="15">
        <f t="shared" si="28"/>
        <v>0</v>
      </c>
      <c r="AD85" s="13">
        <f>IFERROR(AC85/AC446, "NA")</f>
        <v>0</v>
      </c>
    </row>
    <row r="86" ht="16.5" hidden="1" customHeight="1">
      <c r="A86" s="11" t="s">
        <v>85</v>
      </c>
      <c r="B86" s="12">
        <v>0.0</v>
      </c>
      <c r="C86" s="13">
        <f>IFERROR(B86/B446, "NA")</f>
        <v>0</v>
      </c>
      <c r="D86" s="14"/>
      <c r="E86" s="12">
        <v>0.0</v>
      </c>
      <c r="F86" s="13">
        <f>IFERROR(E86/E446, "NA")</f>
        <v>0</v>
      </c>
      <c r="G86" s="14"/>
      <c r="H86" s="15">
        <f t="shared" si="25"/>
        <v>0</v>
      </c>
      <c r="I86" s="13">
        <f>IFERROR(H86/H446, "NA")</f>
        <v>0</v>
      </c>
      <c r="J86" s="14"/>
      <c r="K86" s="12">
        <v>0.0</v>
      </c>
      <c r="L86" s="13">
        <f>IFERROR(K86/K446, "NA")</f>
        <v>0</v>
      </c>
      <c r="M86" s="14"/>
      <c r="N86" s="15">
        <f t="shared" si="26"/>
        <v>0</v>
      </c>
      <c r="O86" s="13">
        <f>IFERROR(N86/N446, "NA")</f>
        <v>0</v>
      </c>
      <c r="P86" s="14"/>
      <c r="Q86" s="12">
        <v>0.0</v>
      </c>
      <c r="R86" s="13">
        <f>IFERROR(Q86/Q446, "NA")</f>
        <v>0</v>
      </c>
      <c r="S86" s="14"/>
      <c r="T86" s="12">
        <v>0.0</v>
      </c>
      <c r="U86" s="13">
        <f>IFERROR(T86/T446, "NA")</f>
        <v>0</v>
      </c>
      <c r="V86" s="14"/>
      <c r="W86" s="15">
        <f t="shared" si="27"/>
        <v>0</v>
      </c>
      <c r="X86" s="13">
        <f>IFERROR(W86/W446, "NA")</f>
        <v>0</v>
      </c>
      <c r="Y86" s="14"/>
      <c r="Z86" s="12">
        <v>0.0</v>
      </c>
      <c r="AA86" s="13">
        <f>IFERROR(Z86/Z446, "NA")</f>
        <v>0</v>
      </c>
      <c r="AB86" s="14"/>
      <c r="AC86" s="15">
        <f t="shared" si="28"/>
        <v>0</v>
      </c>
      <c r="AD86" s="13">
        <f>IFERROR(AC86/AC446, "NA")</f>
        <v>0</v>
      </c>
    </row>
    <row r="87" ht="16.5" hidden="1" customHeight="1">
      <c r="A87" s="11" t="s">
        <v>86</v>
      </c>
      <c r="B87" s="12">
        <v>0.0</v>
      </c>
      <c r="C87" s="13">
        <f>IFERROR(B87/B446, "NA")</f>
        <v>0</v>
      </c>
      <c r="D87" s="14"/>
      <c r="E87" s="12">
        <v>0.0</v>
      </c>
      <c r="F87" s="13">
        <f>IFERROR(E87/E446, "NA")</f>
        <v>0</v>
      </c>
      <c r="G87" s="14"/>
      <c r="H87" s="15">
        <f t="shared" si="25"/>
        <v>0</v>
      </c>
      <c r="I87" s="13">
        <f>IFERROR(H87/H446, "NA")</f>
        <v>0</v>
      </c>
      <c r="J87" s="14"/>
      <c r="K87" s="12">
        <v>0.0</v>
      </c>
      <c r="L87" s="13">
        <f>IFERROR(K87/K446, "NA")</f>
        <v>0</v>
      </c>
      <c r="M87" s="14"/>
      <c r="N87" s="15">
        <f t="shared" si="26"/>
        <v>0</v>
      </c>
      <c r="O87" s="13">
        <f>IFERROR(N87/N446, "NA")</f>
        <v>0</v>
      </c>
      <c r="P87" s="14"/>
      <c r="Q87" s="12">
        <v>0.0</v>
      </c>
      <c r="R87" s="13">
        <f>IFERROR(Q87/Q446, "NA")</f>
        <v>0</v>
      </c>
      <c r="S87" s="14"/>
      <c r="T87" s="12">
        <v>0.0</v>
      </c>
      <c r="U87" s="13">
        <f>IFERROR(T87/T446, "NA")</f>
        <v>0</v>
      </c>
      <c r="V87" s="14"/>
      <c r="W87" s="15">
        <f t="shared" si="27"/>
        <v>0</v>
      </c>
      <c r="X87" s="13">
        <f>IFERROR(W87/W446, "NA")</f>
        <v>0</v>
      </c>
      <c r="Y87" s="14"/>
      <c r="Z87" s="12">
        <v>0.0</v>
      </c>
      <c r="AA87" s="13">
        <f>IFERROR(Z87/Z446, "NA")</f>
        <v>0</v>
      </c>
      <c r="AB87" s="14"/>
      <c r="AC87" s="15">
        <f t="shared" si="28"/>
        <v>0</v>
      </c>
      <c r="AD87" s="13">
        <f>IFERROR(AC87/AC446, "NA")</f>
        <v>0</v>
      </c>
    </row>
    <row r="88" ht="16.5" customHeight="1">
      <c r="A88" s="16" t="s">
        <v>87</v>
      </c>
      <c r="B88" s="17">
        <f>IFERROR(B75+B76+B77+B78+B79+B80+B81+B82+B83+B84+B85+B86+B87, "NA")</f>
        <v>799.27</v>
      </c>
      <c r="C88" s="18">
        <f>IFERROR(B88/B446, "NA")</f>
        <v>0.008076311631</v>
      </c>
      <c r="D88" s="8"/>
      <c r="E88" s="17">
        <f>IFERROR(E75+E76+E77+E78+E79+E80+E81+E82+E83+E84+E85+E86+E87, "NA")</f>
        <v>1515.89</v>
      </c>
      <c r="F88" s="18">
        <f>IFERROR(E88/E446, "NA")</f>
        <v>0.01499996487</v>
      </c>
      <c r="G88" s="8"/>
      <c r="H88" s="17">
        <f t="shared" si="25"/>
        <v>-716.62</v>
      </c>
      <c r="I88" s="18">
        <f>IFERROR(H88/H446, "NA")</f>
        <v>0.3420881786</v>
      </c>
      <c r="J88" s="8"/>
      <c r="K88" s="17">
        <f>IFERROR(K75+K76+K77+K78+K79+K80+K81+K82+K83+K84+K85+K86+K87, "NA")</f>
        <v>1191.48</v>
      </c>
      <c r="L88" s="18">
        <f>IFERROR(K88/K446, "NA")</f>
        <v>0.01287159871</v>
      </c>
      <c r="M88" s="8"/>
      <c r="N88" s="17">
        <f t="shared" si="26"/>
        <v>-392.21</v>
      </c>
      <c r="O88" s="18">
        <f>IFERROR(N88/N446, "NA")</f>
        <v>-0.061300628</v>
      </c>
      <c r="P88" s="8"/>
      <c r="Q88" s="17">
        <f>IFERROR(Q75+Q76+Q77+Q78+Q79+Q80+Q81+Q82+Q83+Q84+Q85+Q86+Q87, "NA")</f>
        <v>9546.95</v>
      </c>
      <c r="R88" s="18">
        <f>IFERROR(Q88/Q446, "NA")</f>
        <v>0.01084269794</v>
      </c>
      <c r="S88" s="8"/>
      <c r="T88" s="17">
        <f>IFERROR(T75+T76+T77+T78+T79+T80+T81+T82+T83+T84+T85+T86+T87, "NA")</f>
        <v>14523.87</v>
      </c>
      <c r="U88" s="18">
        <f>IFERROR(T88/T446, "NA")</f>
        <v>0.01500000031</v>
      </c>
      <c r="V88" s="8"/>
      <c r="W88" s="17">
        <f t="shared" si="27"/>
        <v>-4976.92</v>
      </c>
      <c r="X88" s="18">
        <f>IFERROR(W88/W446, "NA")</f>
        <v>0.05670916561</v>
      </c>
      <c r="Y88" s="8"/>
      <c r="Z88" s="17">
        <f>IFERROR(Z75+Z76+Z77+Z78+Z79+Z80+Z81+Z82+Z83+Z84+Z85+Z86+Z87, "NA")</f>
        <v>12860.54</v>
      </c>
      <c r="AA88" s="18">
        <f>IFERROR(Z88/Z446, "NA")</f>
        <v>0.01431846995</v>
      </c>
      <c r="AB88" s="8"/>
      <c r="AC88" s="17">
        <f t="shared" si="28"/>
        <v>-3313.59</v>
      </c>
      <c r="AD88" s="18">
        <f>IFERROR(AC88/AC446, "NA")</f>
        <v>0.187393009</v>
      </c>
    </row>
    <row r="89" ht="16.5" customHeight="1">
      <c r="A89" s="11" t="s">
        <v>88</v>
      </c>
      <c r="B89" s="12">
        <v>-40.0</v>
      </c>
      <c r="C89" s="13">
        <f>IFERROR(B89/B446, "NA")</f>
        <v>-0.0004041843998</v>
      </c>
      <c r="D89" s="14"/>
      <c r="E89" s="12">
        <v>0.0</v>
      </c>
      <c r="F89" s="13">
        <f>IFERROR(E89/E446, "NA")</f>
        <v>0</v>
      </c>
      <c r="G89" s="14"/>
      <c r="H89" s="15">
        <f t="shared" si="25"/>
        <v>-40</v>
      </c>
      <c r="I89" s="13">
        <f>IFERROR(H89/H446, "NA")</f>
        <v>0.01909453705</v>
      </c>
      <c r="J89" s="14"/>
      <c r="K89" s="12">
        <v>0.0</v>
      </c>
      <c r="L89" s="13">
        <f>IFERROR(K89/K446, "NA")</f>
        <v>0</v>
      </c>
      <c r="M89" s="14"/>
      <c r="N89" s="15">
        <f t="shared" si="26"/>
        <v>-40</v>
      </c>
      <c r="O89" s="13">
        <f>IFERROR(N89/N446, "NA")</f>
        <v>-0.006251816934</v>
      </c>
      <c r="P89" s="14"/>
      <c r="Q89" s="12">
        <v>-72.31</v>
      </c>
      <c r="R89" s="13">
        <f>IFERROR(Q89/Q446, "NA")</f>
        <v>-0.00008212418503</v>
      </c>
      <c r="S89" s="14"/>
      <c r="T89" s="12">
        <v>0.0</v>
      </c>
      <c r="U89" s="13">
        <f>IFERROR(T89/T446, "NA")</f>
        <v>0</v>
      </c>
      <c r="V89" s="14"/>
      <c r="W89" s="15">
        <f t="shared" si="27"/>
        <v>-72.31</v>
      </c>
      <c r="X89" s="13">
        <f>IFERROR(W89/W446, "NA")</f>
        <v>0.0008239312196</v>
      </c>
      <c r="Y89" s="14"/>
      <c r="Z89" s="12">
        <v>60.59</v>
      </c>
      <c r="AA89" s="13">
        <f>IFERROR(Z89/Z446, "NA")</f>
        <v>0.000067458761</v>
      </c>
      <c r="AB89" s="14"/>
      <c r="AC89" s="15">
        <f t="shared" si="28"/>
        <v>-132.9</v>
      </c>
      <c r="AD89" s="13">
        <f>IFERROR(AC89/AC446, "NA")</f>
        <v>0.007515875803</v>
      </c>
    </row>
    <row r="90" ht="16.5" customHeight="1">
      <c r="A90" s="11" t="s">
        <v>89</v>
      </c>
      <c r="B90" s="12">
        <v>-457.51</v>
      </c>
      <c r="C90" s="13">
        <f>IFERROR(B90/B446, "NA")</f>
        <v>-0.004622960119</v>
      </c>
      <c r="D90" s="14"/>
      <c r="E90" s="12">
        <v>0.0</v>
      </c>
      <c r="F90" s="13">
        <f>IFERROR(E90/E446, "NA")</f>
        <v>0</v>
      </c>
      <c r="G90" s="14"/>
      <c r="H90" s="15">
        <f t="shared" si="25"/>
        <v>-457.51</v>
      </c>
      <c r="I90" s="13">
        <f>IFERROR(H90/H446, "NA")</f>
        <v>0.2183985412</v>
      </c>
      <c r="J90" s="14"/>
      <c r="K90" s="12">
        <v>0.0</v>
      </c>
      <c r="L90" s="13">
        <f>IFERROR(K90/K446, "NA")</f>
        <v>0</v>
      </c>
      <c r="M90" s="14"/>
      <c r="N90" s="15">
        <f t="shared" si="26"/>
        <v>-457.51</v>
      </c>
      <c r="O90" s="13">
        <f>IFERROR(N90/N446, "NA")</f>
        <v>-0.07150671914</v>
      </c>
      <c r="P90" s="14"/>
      <c r="Q90" s="12">
        <v>-744.7</v>
      </c>
      <c r="R90" s="13">
        <f>IFERROR(Q90/Q446, "NA")</f>
        <v>-0.0008457734835</v>
      </c>
      <c r="S90" s="14"/>
      <c r="T90" s="12">
        <v>0.0</v>
      </c>
      <c r="U90" s="13">
        <f>IFERROR(T90/T446, "NA")</f>
        <v>0</v>
      </c>
      <c r="V90" s="14"/>
      <c r="W90" s="15">
        <f t="shared" si="27"/>
        <v>-744.7</v>
      </c>
      <c r="X90" s="13">
        <f>IFERROR(W90/W446, "NA")</f>
        <v>0.00848543188</v>
      </c>
      <c r="Y90" s="14"/>
      <c r="Z90" s="12">
        <v>0.0</v>
      </c>
      <c r="AA90" s="13">
        <f>IFERROR(Z90/Z446, "NA")</f>
        <v>0</v>
      </c>
      <c r="AB90" s="14"/>
      <c r="AC90" s="15">
        <f t="shared" si="28"/>
        <v>-744.7</v>
      </c>
      <c r="AD90" s="13">
        <f>IFERROR(AC90/AC446, "NA")</f>
        <v>0.04211491882</v>
      </c>
    </row>
    <row r="91" ht="16.5" hidden="1" customHeight="1">
      <c r="A91" s="11" t="s">
        <v>90</v>
      </c>
      <c r="B91" s="12">
        <v>0.0</v>
      </c>
      <c r="C91" s="13">
        <f>IFERROR(B91/B446, "NA")</f>
        <v>0</v>
      </c>
      <c r="D91" s="14"/>
      <c r="E91" s="12">
        <v>0.0</v>
      </c>
      <c r="F91" s="13">
        <f>IFERROR(E91/E446, "NA")</f>
        <v>0</v>
      </c>
      <c r="G91" s="14"/>
      <c r="H91" s="15">
        <f t="shared" si="25"/>
        <v>0</v>
      </c>
      <c r="I91" s="13">
        <f>IFERROR(H91/H446, "NA")</f>
        <v>0</v>
      </c>
      <c r="J91" s="14"/>
      <c r="K91" s="12">
        <v>0.0</v>
      </c>
      <c r="L91" s="13">
        <f>IFERROR(K91/K446, "NA")</f>
        <v>0</v>
      </c>
      <c r="M91" s="14"/>
      <c r="N91" s="15">
        <f t="shared" si="26"/>
        <v>0</v>
      </c>
      <c r="O91" s="13">
        <f>IFERROR(N91/N446, "NA")</f>
        <v>0</v>
      </c>
      <c r="P91" s="14"/>
      <c r="Q91" s="12">
        <v>0.0</v>
      </c>
      <c r="R91" s="13">
        <f>IFERROR(Q91/Q446, "NA")</f>
        <v>0</v>
      </c>
      <c r="S91" s="14"/>
      <c r="T91" s="12">
        <v>0.0</v>
      </c>
      <c r="U91" s="13">
        <f>IFERROR(T91/T446, "NA")</f>
        <v>0</v>
      </c>
      <c r="V91" s="14"/>
      <c r="W91" s="15">
        <f t="shared" si="27"/>
        <v>0</v>
      </c>
      <c r="X91" s="13">
        <f>IFERROR(W91/W446, "NA")</f>
        <v>0</v>
      </c>
      <c r="Y91" s="14"/>
      <c r="Z91" s="12">
        <v>0.0</v>
      </c>
      <c r="AA91" s="13">
        <f>IFERROR(Z91/Z446, "NA")</f>
        <v>0</v>
      </c>
      <c r="AB91" s="14"/>
      <c r="AC91" s="15">
        <f t="shared" si="28"/>
        <v>0</v>
      </c>
      <c r="AD91" s="13">
        <f>IFERROR(AC91/AC446, "NA")</f>
        <v>0</v>
      </c>
    </row>
    <row r="92" ht="16.5" hidden="1" customHeight="1">
      <c r="A92" s="11" t="s">
        <v>91</v>
      </c>
      <c r="B92" s="12">
        <v>0.0</v>
      </c>
      <c r="C92" s="13">
        <f>IFERROR(B92/B446, "NA")</f>
        <v>0</v>
      </c>
      <c r="D92" s="14"/>
      <c r="E92" s="12">
        <v>0.0</v>
      </c>
      <c r="F92" s="13">
        <f>IFERROR(E92/E446, "NA")</f>
        <v>0</v>
      </c>
      <c r="G92" s="14"/>
      <c r="H92" s="15">
        <f t="shared" si="25"/>
        <v>0</v>
      </c>
      <c r="I92" s="13">
        <f>IFERROR(H92/H446, "NA")</f>
        <v>0</v>
      </c>
      <c r="J92" s="14"/>
      <c r="K92" s="12">
        <v>0.0</v>
      </c>
      <c r="L92" s="13">
        <f>IFERROR(K92/K446, "NA")</f>
        <v>0</v>
      </c>
      <c r="M92" s="14"/>
      <c r="N92" s="15">
        <f t="shared" si="26"/>
        <v>0</v>
      </c>
      <c r="O92" s="13">
        <f>IFERROR(N92/N446, "NA")</f>
        <v>0</v>
      </c>
      <c r="P92" s="14"/>
      <c r="Q92" s="12">
        <v>0.0</v>
      </c>
      <c r="R92" s="13">
        <f>IFERROR(Q92/Q446, "NA")</f>
        <v>0</v>
      </c>
      <c r="S92" s="14"/>
      <c r="T92" s="12">
        <v>0.0</v>
      </c>
      <c r="U92" s="13">
        <f>IFERROR(T92/T446, "NA")</f>
        <v>0</v>
      </c>
      <c r="V92" s="14"/>
      <c r="W92" s="15">
        <f t="shared" si="27"/>
        <v>0</v>
      </c>
      <c r="X92" s="13">
        <f>IFERROR(W92/W446, "NA")</f>
        <v>0</v>
      </c>
      <c r="Y92" s="14"/>
      <c r="Z92" s="12">
        <v>0.0</v>
      </c>
      <c r="AA92" s="13">
        <f>IFERROR(Z92/Z446, "NA")</f>
        <v>0</v>
      </c>
      <c r="AB92" s="14"/>
      <c r="AC92" s="15">
        <f t="shared" si="28"/>
        <v>0</v>
      </c>
      <c r="AD92" s="13">
        <f>IFERROR(AC92/AC446, "NA")</f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r="A94" s="11" t="s">
        <v>92</v>
      </c>
      <c r="B94" s="12">
        <v>0.0</v>
      </c>
      <c r="C94" s="13">
        <f>IFERROR(B94/B446, "NA")</f>
        <v>0</v>
      </c>
      <c r="D94" s="14"/>
      <c r="E94" s="12">
        <v>-4749.8</v>
      </c>
      <c r="F94" s="13">
        <f>IFERROR(E94/E446, "NA")</f>
        <v>-0.04700000208</v>
      </c>
      <c r="G94" s="14"/>
      <c r="H94" s="15">
        <f t="shared" ref="H94:H124" si="29">IFERROR(B94-E94, "NA")</f>
        <v>4749.8</v>
      </c>
      <c r="I94" s="13">
        <f>IFERROR(H94/H446, "NA")</f>
        <v>-2.267380802</v>
      </c>
      <c r="J94" s="14"/>
      <c r="K94" s="12">
        <v>0.0</v>
      </c>
      <c r="L94" s="13">
        <f>IFERROR(K94/K446, "NA")</f>
        <v>0</v>
      </c>
      <c r="M94" s="14"/>
      <c r="N94" s="15">
        <f t="shared" ref="N94:N124" si="30">IFERROR(B94-K94, "NA")</f>
        <v>0</v>
      </c>
      <c r="O94" s="13">
        <f>IFERROR(N94/N446, "NA")</f>
        <v>0</v>
      </c>
      <c r="P94" s="14"/>
      <c r="Q94" s="12">
        <v>0.0</v>
      </c>
      <c r="R94" s="13">
        <f>IFERROR(Q94/Q446, "NA")</f>
        <v>0</v>
      </c>
      <c r="S94" s="14"/>
      <c r="T94" s="12">
        <v>-45508.13</v>
      </c>
      <c r="U94" s="13">
        <f>IFERROR(T94/T446, "NA")</f>
        <v>-0.0470000051</v>
      </c>
      <c r="V94" s="14"/>
      <c r="W94" s="15">
        <f t="shared" ref="W94:W124" si="31">IFERROR(Q94-T94, "NA")</f>
        <v>45508.13</v>
      </c>
      <c r="X94" s="13">
        <f>IFERROR(W94/W446, "NA")</f>
        <v>-0.5185391931</v>
      </c>
      <c r="Y94" s="14"/>
      <c r="Z94" s="12">
        <v>0.0</v>
      </c>
      <c r="AA94" s="13">
        <f>IFERROR(Z94/Z446, "NA")</f>
        <v>0</v>
      </c>
      <c r="AB94" s="14"/>
      <c r="AC94" s="15">
        <f t="shared" ref="AC94:AC124" si="32">IFERROR(Q94-Z94, "NA")</f>
        <v>0</v>
      </c>
      <c r="AD94" s="13">
        <f>IFERROR(AC94/AC446, "NA")</f>
        <v>0</v>
      </c>
    </row>
    <row r="95" ht="16.5" hidden="1" customHeight="1">
      <c r="A95" s="11" t="s">
        <v>93</v>
      </c>
      <c r="B95" s="12">
        <v>0.0</v>
      </c>
      <c r="C95" s="13">
        <f>IFERROR(B95/B446, "NA")</f>
        <v>0</v>
      </c>
      <c r="D95" s="14"/>
      <c r="E95" s="12">
        <v>0.0</v>
      </c>
      <c r="F95" s="13">
        <f>IFERROR(E95/E446, "NA")</f>
        <v>0</v>
      </c>
      <c r="G95" s="14"/>
      <c r="H95" s="15">
        <f t="shared" si="29"/>
        <v>0</v>
      </c>
      <c r="I95" s="13">
        <f>IFERROR(H95/H446, "NA")</f>
        <v>0</v>
      </c>
      <c r="J95" s="14"/>
      <c r="K95" s="12">
        <v>0.0</v>
      </c>
      <c r="L95" s="13">
        <f>IFERROR(K95/K446, "NA")</f>
        <v>0</v>
      </c>
      <c r="M95" s="14"/>
      <c r="N95" s="15">
        <f t="shared" si="30"/>
        <v>0</v>
      </c>
      <c r="O95" s="13">
        <f>IFERROR(N95/N446, "NA")</f>
        <v>0</v>
      </c>
      <c r="P95" s="14"/>
      <c r="Q95" s="12">
        <v>0.0</v>
      </c>
      <c r="R95" s="13">
        <f>IFERROR(Q95/Q446, "NA")</f>
        <v>0</v>
      </c>
      <c r="S95" s="14"/>
      <c r="T95" s="12">
        <v>0.0</v>
      </c>
      <c r="U95" s="13">
        <f>IFERROR(T95/T446, "NA")</f>
        <v>0</v>
      </c>
      <c r="V95" s="14"/>
      <c r="W95" s="15">
        <f t="shared" si="31"/>
        <v>0</v>
      </c>
      <c r="X95" s="13">
        <f>IFERROR(W95/W446, "NA")</f>
        <v>0</v>
      </c>
      <c r="Y95" s="14"/>
      <c r="Z95" s="12">
        <v>0.0</v>
      </c>
      <c r="AA95" s="13">
        <f>IFERROR(Z95/Z446, "NA")</f>
        <v>0</v>
      </c>
      <c r="AB95" s="14"/>
      <c r="AC95" s="15">
        <f t="shared" si="32"/>
        <v>0</v>
      </c>
      <c r="AD95" s="13">
        <f>IFERROR(AC95/AC446, "NA")</f>
        <v>0</v>
      </c>
    </row>
    <row r="96" ht="16.5" customHeight="1">
      <c r="A96" s="11" t="s">
        <v>94</v>
      </c>
      <c r="B96" s="12">
        <v>-795.93</v>
      </c>
      <c r="C96" s="13">
        <f>IFERROR(B96/B446, "NA")</f>
        <v>-0.008042562234</v>
      </c>
      <c r="D96" s="14"/>
      <c r="E96" s="12">
        <v>0.0</v>
      </c>
      <c r="F96" s="13">
        <f>IFERROR(E96/E446, "NA")</f>
        <v>0</v>
      </c>
      <c r="G96" s="14"/>
      <c r="H96" s="15">
        <f t="shared" si="29"/>
        <v>-795.93</v>
      </c>
      <c r="I96" s="13">
        <f>IFERROR(H96/H446, "NA")</f>
        <v>0.3799478719</v>
      </c>
      <c r="J96" s="14"/>
      <c r="K96" s="12">
        <v>-1044.28</v>
      </c>
      <c r="L96" s="13">
        <f>IFERROR(K96/K446, "NA")</f>
        <v>-0.01128139213</v>
      </c>
      <c r="M96" s="14"/>
      <c r="N96" s="15">
        <f t="shared" si="30"/>
        <v>248.35</v>
      </c>
      <c r="O96" s="13">
        <f>IFERROR(N96/N446, "NA")</f>
        <v>0.03881596839</v>
      </c>
      <c r="P96" s="14"/>
      <c r="Q96" s="12">
        <v>-8906.73</v>
      </c>
      <c r="R96" s="13">
        <f>IFERROR(Q96/Q446, "NA")</f>
        <v>-0.01011558488</v>
      </c>
      <c r="S96" s="14"/>
      <c r="T96" s="12">
        <v>0.0</v>
      </c>
      <c r="U96" s="13">
        <f>IFERROR(T96/T446, "NA")</f>
        <v>0</v>
      </c>
      <c r="V96" s="14"/>
      <c r="W96" s="15">
        <f t="shared" si="31"/>
        <v>-8906.73</v>
      </c>
      <c r="X96" s="13">
        <f>IFERROR(W96/W446, "NA")</f>
        <v>0.1014871098</v>
      </c>
      <c r="Y96" s="14"/>
      <c r="Z96" s="12">
        <v>-8264.33</v>
      </c>
      <c r="AA96" s="13">
        <f>IFERROR(Z96/Z446, "NA")</f>
        <v>-0.00920121245</v>
      </c>
      <c r="AB96" s="14"/>
      <c r="AC96" s="15">
        <f t="shared" si="32"/>
        <v>-642.4</v>
      </c>
      <c r="AD96" s="13">
        <f>IFERROR(AC96/AC446, "NA")</f>
        <v>0.03632956069</v>
      </c>
    </row>
    <row r="97" ht="16.5" hidden="1" customHeight="1">
      <c r="A97" s="11" t="s">
        <v>95</v>
      </c>
      <c r="B97" s="12">
        <v>0.0</v>
      </c>
      <c r="C97" s="13">
        <f>IFERROR(B97/B446, "NA")</f>
        <v>0</v>
      </c>
      <c r="D97" s="14"/>
      <c r="E97" s="12">
        <v>0.0</v>
      </c>
      <c r="F97" s="13">
        <f>IFERROR(E97/E446, "NA")</f>
        <v>0</v>
      </c>
      <c r="G97" s="14"/>
      <c r="H97" s="15">
        <f t="shared" si="29"/>
        <v>0</v>
      </c>
      <c r="I97" s="13">
        <f>IFERROR(H97/H446, "NA")</f>
        <v>0</v>
      </c>
      <c r="J97" s="14"/>
      <c r="K97" s="12">
        <v>0.0</v>
      </c>
      <c r="L97" s="13">
        <f>IFERROR(K97/K446, "NA")</f>
        <v>0</v>
      </c>
      <c r="M97" s="14"/>
      <c r="N97" s="15">
        <f t="shared" si="30"/>
        <v>0</v>
      </c>
      <c r="O97" s="13">
        <f>IFERROR(N97/N446, "NA")</f>
        <v>0</v>
      </c>
      <c r="P97" s="14"/>
      <c r="Q97" s="12">
        <v>0.0</v>
      </c>
      <c r="R97" s="13">
        <f>IFERROR(Q97/Q446, "NA")</f>
        <v>0</v>
      </c>
      <c r="S97" s="14"/>
      <c r="T97" s="12">
        <v>0.0</v>
      </c>
      <c r="U97" s="13">
        <f>IFERROR(T97/T446, "NA")</f>
        <v>0</v>
      </c>
      <c r="V97" s="14"/>
      <c r="W97" s="15">
        <f t="shared" si="31"/>
        <v>0</v>
      </c>
      <c r="X97" s="13">
        <f>IFERROR(W97/W446, "NA")</f>
        <v>0</v>
      </c>
      <c r="Y97" s="14"/>
      <c r="Z97" s="12">
        <v>0.0</v>
      </c>
      <c r="AA97" s="13">
        <f>IFERROR(Z97/Z446, "NA")</f>
        <v>0</v>
      </c>
      <c r="AB97" s="14"/>
      <c r="AC97" s="15">
        <f t="shared" si="32"/>
        <v>0</v>
      </c>
      <c r="AD97" s="13">
        <f>IFERROR(AC97/AC446, "NA")</f>
        <v>0</v>
      </c>
    </row>
    <row r="98" ht="16.5" customHeight="1">
      <c r="A98" s="11" t="s">
        <v>96</v>
      </c>
      <c r="B98" s="12">
        <v>-3077.22</v>
      </c>
      <c r="C98" s="13">
        <f>IFERROR(B98/B446, "NA")</f>
        <v>-0.03109410797</v>
      </c>
      <c r="D98" s="14"/>
      <c r="E98" s="12">
        <v>0.0</v>
      </c>
      <c r="F98" s="13">
        <f>IFERROR(E98/E446, "NA")</f>
        <v>0</v>
      </c>
      <c r="G98" s="14"/>
      <c r="H98" s="15">
        <f t="shared" si="29"/>
        <v>-3077.22</v>
      </c>
      <c r="I98" s="13">
        <f>IFERROR(H98/H446, "NA")</f>
        <v>1.468952283</v>
      </c>
      <c r="J98" s="14"/>
      <c r="K98" s="12">
        <v>-2405.75</v>
      </c>
      <c r="L98" s="13">
        <f>IFERROR(K98/K446, "NA")</f>
        <v>-0.02598939855</v>
      </c>
      <c r="M98" s="14"/>
      <c r="N98" s="15">
        <f t="shared" si="30"/>
        <v>-671.47</v>
      </c>
      <c r="O98" s="13">
        <f>IFERROR(N98/N446, "NA")</f>
        <v>-0.1049476879</v>
      </c>
      <c r="P98" s="14"/>
      <c r="Q98" s="12">
        <v>-15828.43</v>
      </c>
      <c r="R98" s="13">
        <f>IFERROR(Q98/Q446, "NA")</f>
        <v>-0.01797672402</v>
      </c>
      <c r="S98" s="14"/>
      <c r="T98" s="12">
        <v>0.0</v>
      </c>
      <c r="U98" s="13">
        <f>IFERROR(T98/T446, "NA")</f>
        <v>0</v>
      </c>
      <c r="V98" s="14"/>
      <c r="W98" s="15">
        <f t="shared" si="31"/>
        <v>-15828.43</v>
      </c>
      <c r="X98" s="13">
        <f>IFERROR(W98/W446, "NA")</f>
        <v>0.1803559346</v>
      </c>
      <c r="Y98" s="14"/>
      <c r="Z98" s="12">
        <v>-22831.71</v>
      </c>
      <c r="AA98" s="13">
        <f>IFERROR(Z98/Z446, "NA")</f>
        <v>-0.02542001763</v>
      </c>
      <c r="AB98" s="14"/>
      <c r="AC98" s="15">
        <f t="shared" si="32"/>
        <v>7003.28</v>
      </c>
      <c r="AD98" s="13">
        <f>IFERROR(AC98/AC446, "NA")</f>
        <v>-0.3960555507</v>
      </c>
    </row>
    <row r="99" ht="16.5" hidden="1" customHeight="1">
      <c r="A99" s="11" t="s">
        <v>97</v>
      </c>
      <c r="B99" s="12">
        <v>0.0</v>
      </c>
      <c r="C99" s="13">
        <f>IFERROR(B99/B446, "NA")</f>
        <v>0</v>
      </c>
      <c r="D99" s="14"/>
      <c r="E99" s="12">
        <v>0.0</v>
      </c>
      <c r="F99" s="13">
        <f>IFERROR(E99/E446, "NA")</f>
        <v>0</v>
      </c>
      <c r="G99" s="14"/>
      <c r="H99" s="15">
        <f t="shared" si="29"/>
        <v>0</v>
      </c>
      <c r="I99" s="13">
        <f>IFERROR(H99/H446, "NA")</f>
        <v>0</v>
      </c>
      <c r="J99" s="14"/>
      <c r="K99" s="12">
        <v>0.0</v>
      </c>
      <c r="L99" s="13">
        <f>IFERROR(K99/K446, "NA")</f>
        <v>0</v>
      </c>
      <c r="M99" s="14"/>
      <c r="N99" s="15">
        <f t="shared" si="30"/>
        <v>0</v>
      </c>
      <c r="O99" s="13">
        <f>IFERROR(N99/N446, "NA")</f>
        <v>0</v>
      </c>
      <c r="P99" s="14"/>
      <c r="Q99" s="12">
        <v>0.0</v>
      </c>
      <c r="R99" s="13">
        <f>IFERROR(Q99/Q446, "NA")</f>
        <v>0</v>
      </c>
      <c r="S99" s="14"/>
      <c r="T99" s="12">
        <v>0.0</v>
      </c>
      <c r="U99" s="13">
        <f>IFERROR(T99/T446, "NA")</f>
        <v>0</v>
      </c>
      <c r="V99" s="14"/>
      <c r="W99" s="15">
        <f t="shared" si="31"/>
        <v>0</v>
      </c>
      <c r="X99" s="13">
        <f>IFERROR(W99/W446, "NA")</f>
        <v>0</v>
      </c>
      <c r="Y99" s="14"/>
      <c r="Z99" s="12">
        <v>0.0</v>
      </c>
      <c r="AA99" s="13">
        <f>IFERROR(Z99/Z446, "NA")</f>
        <v>0</v>
      </c>
      <c r="AB99" s="14"/>
      <c r="AC99" s="15">
        <f t="shared" si="32"/>
        <v>0</v>
      </c>
      <c r="AD99" s="13">
        <f>IFERROR(AC99/AC446, "NA")</f>
        <v>0</v>
      </c>
    </row>
    <row r="100" ht="16.5" customHeight="1">
      <c r="A100" s="11" t="s">
        <v>98</v>
      </c>
      <c r="B100" s="12">
        <v>-27.66</v>
      </c>
      <c r="C100" s="13">
        <f>IFERROR(B100/B446, "NA")</f>
        <v>-0.0002794935125</v>
      </c>
      <c r="D100" s="14"/>
      <c r="E100" s="12">
        <v>0.0</v>
      </c>
      <c r="F100" s="13">
        <f>IFERROR(E100/E446, "NA")</f>
        <v>0</v>
      </c>
      <c r="G100" s="14"/>
      <c r="H100" s="15">
        <f t="shared" si="29"/>
        <v>-27.66</v>
      </c>
      <c r="I100" s="13">
        <f>IFERROR(H100/H446, "NA")</f>
        <v>0.01320387237</v>
      </c>
      <c r="J100" s="14"/>
      <c r="K100" s="12">
        <v>-55.98</v>
      </c>
      <c r="L100" s="13">
        <f>IFERROR(K100/K446, "NA")</f>
        <v>-0.0006047538318</v>
      </c>
      <c r="M100" s="14"/>
      <c r="N100" s="15">
        <f t="shared" si="30"/>
        <v>28.32</v>
      </c>
      <c r="O100" s="13">
        <f>IFERROR(N100/N446, "NA")</f>
        <v>0.004426286389</v>
      </c>
      <c r="P100" s="14"/>
      <c r="Q100" s="12">
        <v>-1451.05</v>
      </c>
      <c r="R100" s="13">
        <f>IFERROR(Q100/Q446, "NA")</f>
        <v>-0.001647991961</v>
      </c>
      <c r="S100" s="14"/>
      <c r="T100" s="12">
        <v>0.0</v>
      </c>
      <c r="U100" s="13">
        <f>IFERROR(T100/T446, "NA")</f>
        <v>0</v>
      </c>
      <c r="V100" s="14"/>
      <c r="W100" s="15">
        <f t="shared" si="31"/>
        <v>-1451.05</v>
      </c>
      <c r="X100" s="13">
        <f>IFERROR(W100/W446, "NA")</f>
        <v>0.01653388738</v>
      </c>
      <c r="Y100" s="14"/>
      <c r="Z100" s="12">
        <v>-3266.27</v>
      </c>
      <c r="AA100" s="13">
        <f>IFERROR(Z100/Z446, "NA")</f>
        <v>-0.003636549386</v>
      </c>
      <c r="AB100" s="14"/>
      <c r="AC100" s="15">
        <f t="shared" si="32"/>
        <v>1815.22</v>
      </c>
      <c r="AD100" s="13">
        <f>IFERROR(AC100/AC446, "NA")</f>
        <v>-0.1026558922</v>
      </c>
    </row>
    <row r="101" ht="16.5" customHeight="1">
      <c r="A101" s="11" t="s">
        <v>99</v>
      </c>
      <c r="B101" s="12">
        <v>0.0</v>
      </c>
      <c r="C101" s="13">
        <f>IFERROR(B101/B446, "NA")</f>
        <v>0</v>
      </c>
      <c r="D101" s="14"/>
      <c r="E101" s="12">
        <v>0.0</v>
      </c>
      <c r="F101" s="13">
        <f>IFERROR(E101/E446, "NA")</f>
        <v>0</v>
      </c>
      <c r="G101" s="14"/>
      <c r="H101" s="15">
        <f t="shared" si="29"/>
        <v>0</v>
      </c>
      <c r="I101" s="13">
        <f>IFERROR(H101/H446, "NA")</f>
        <v>0</v>
      </c>
      <c r="J101" s="14"/>
      <c r="K101" s="12">
        <v>0.0</v>
      </c>
      <c r="L101" s="13">
        <f>IFERROR(K101/K446, "NA")</f>
        <v>0</v>
      </c>
      <c r="M101" s="14"/>
      <c r="N101" s="15">
        <f t="shared" si="30"/>
        <v>0</v>
      </c>
      <c r="O101" s="13">
        <f>IFERROR(N101/N446, "NA")</f>
        <v>0</v>
      </c>
      <c r="P101" s="14"/>
      <c r="Q101" s="12">
        <v>-105.51</v>
      </c>
      <c r="R101" s="13">
        <f>IFERROR(Q101/Q446, "NA")</f>
        <v>-0.0001198302138</v>
      </c>
      <c r="S101" s="14"/>
      <c r="T101" s="12">
        <v>0.0</v>
      </c>
      <c r="U101" s="13">
        <f>IFERROR(T101/T446, "NA")</f>
        <v>0</v>
      </c>
      <c r="V101" s="14"/>
      <c r="W101" s="15">
        <f t="shared" si="31"/>
        <v>-105.51</v>
      </c>
      <c r="X101" s="13">
        <f>IFERROR(W101/W446, "NA")</f>
        <v>0.001202226289</v>
      </c>
      <c r="Y101" s="14"/>
      <c r="Z101" s="12">
        <v>0.0</v>
      </c>
      <c r="AA101" s="13">
        <f>IFERROR(Z101/Z446, "NA")</f>
        <v>0</v>
      </c>
      <c r="AB101" s="14"/>
      <c r="AC101" s="15">
        <f t="shared" si="32"/>
        <v>-105.51</v>
      </c>
      <c r="AD101" s="13">
        <f>IFERROR(AC101/AC446, "NA")</f>
        <v>0.005966892822</v>
      </c>
    </row>
    <row r="102" ht="16.5" customHeight="1">
      <c r="A102" s="11" t="s">
        <v>100</v>
      </c>
      <c r="B102" s="12">
        <v>-571.4</v>
      </c>
      <c r="C102" s="13">
        <f>IFERROR(B102/B446, "NA")</f>
        <v>-0.005773774152</v>
      </c>
      <c r="D102" s="14"/>
      <c r="E102" s="12">
        <v>0.0</v>
      </c>
      <c r="F102" s="13">
        <f>IFERROR(E102/E446, "NA")</f>
        <v>0</v>
      </c>
      <c r="G102" s="14"/>
      <c r="H102" s="15">
        <f t="shared" si="29"/>
        <v>-571.4</v>
      </c>
      <c r="I102" s="13">
        <f>IFERROR(H102/H446, "NA")</f>
        <v>0.2727654618</v>
      </c>
      <c r="J102" s="14"/>
      <c r="K102" s="12">
        <v>-83.26</v>
      </c>
      <c r="L102" s="13">
        <f>IFERROR(K102/K446, "NA")</f>
        <v>-0.0008994605937</v>
      </c>
      <c r="M102" s="14"/>
      <c r="N102" s="15">
        <f t="shared" si="30"/>
        <v>-488.14</v>
      </c>
      <c r="O102" s="13">
        <f>IFERROR(N102/N446, "NA")</f>
        <v>-0.07629404796</v>
      </c>
      <c r="P102" s="14"/>
      <c r="Q102" s="12">
        <v>-2976.13</v>
      </c>
      <c r="R102" s="13">
        <f>IFERROR(Q102/Q446, "NA")</f>
        <v>-0.003380061552</v>
      </c>
      <c r="S102" s="14"/>
      <c r="T102" s="12">
        <v>0.0</v>
      </c>
      <c r="U102" s="13">
        <f>IFERROR(T102/T446, "NA")</f>
        <v>0</v>
      </c>
      <c r="V102" s="14"/>
      <c r="W102" s="15">
        <f t="shared" si="31"/>
        <v>-2976.13</v>
      </c>
      <c r="X102" s="13">
        <f>IFERROR(W102/W446, "NA")</f>
        <v>0.03391130439</v>
      </c>
      <c r="Y102" s="14"/>
      <c r="Z102" s="12">
        <v>-2154.54</v>
      </c>
      <c r="AA102" s="13">
        <f>IFERROR(Z102/Z446, "NA")</f>
        <v>-0.002398788561</v>
      </c>
      <c r="AB102" s="14"/>
      <c r="AC102" s="15">
        <f t="shared" si="32"/>
        <v>-821.59</v>
      </c>
      <c r="AD102" s="13">
        <f>IFERROR(AC102/AC446, "NA")</f>
        <v>0.04646326863</v>
      </c>
    </row>
    <row r="103" ht="16.5" customHeight="1">
      <c r="A103" s="11" t="s">
        <v>101</v>
      </c>
      <c r="B103" s="12">
        <v>0.0</v>
      </c>
      <c r="C103" s="13">
        <f>IFERROR(B103/B446, "NA")</f>
        <v>0</v>
      </c>
      <c r="D103" s="14"/>
      <c r="E103" s="12">
        <v>0.0</v>
      </c>
      <c r="F103" s="13">
        <f>IFERROR(E103/E446, "NA")</f>
        <v>0</v>
      </c>
      <c r="G103" s="14"/>
      <c r="H103" s="15">
        <f t="shared" si="29"/>
        <v>0</v>
      </c>
      <c r="I103" s="13">
        <f>IFERROR(H103/H446, "NA")</f>
        <v>0</v>
      </c>
      <c r="J103" s="14"/>
      <c r="K103" s="12">
        <v>0.0</v>
      </c>
      <c r="L103" s="13">
        <f>IFERROR(K103/K446, "NA")</f>
        <v>0</v>
      </c>
      <c r="M103" s="14"/>
      <c r="N103" s="15">
        <f t="shared" si="30"/>
        <v>0</v>
      </c>
      <c r="O103" s="13">
        <f>IFERROR(N103/N446, "NA")</f>
        <v>0</v>
      </c>
      <c r="P103" s="14"/>
      <c r="Q103" s="12">
        <v>-102.0</v>
      </c>
      <c r="R103" s="13">
        <f>IFERROR(Q103/Q446, "NA")</f>
        <v>-0.0001158438234</v>
      </c>
      <c r="S103" s="14"/>
      <c r="T103" s="12">
        <v>0.0</v>
      </c>
      <c r="U103" s="13">
        <f>IFERROR(T103/T446, "NA")</f>
        <v>0</v>
      </c>
      <c r="V103" s="14"/>
      <c r="W103" s="15">
        <f t="shared" si="31"/>
        <v>-102</v>
      </c>
      <c r="X103" s="13">
        <f>IFERROR(W103/W446, "NA")</f>
        <v>0.001162231841</v>
      </c>
      <c r="Y103" s="14"/>
      <c r="Z103" s="12">
        <v>0.0</v>
      </c>
      <c r="AA103" s="13">
        <f>IFERROR(Z103/Z446, "NA")</f>
        <v>0</v>
      </c>
      <c r="AB103" s="14"/>
      <c r="AC103" s="15">
        <f t="shared" si="32"/>
        <v>-102</v>
      </c>
      <c r="AD103" s="13">
        <f>IFERROR(AC103/AC446, "NA")</f>
        <v>0.005768392264</v>
      </c>
    </row>
    <row r="104" ht="16.5" customHeight="1">
      <c r="A104" s="11" t="s">
        <v>102</v>
      </c>
      <c r="B104" s="12">
        <v>-121.45</v>
      </c>
      <c r="C104" s="13">
        <f>IFERROR(B104/B446, "NA")</f>
        <v>-0.001227204884</v>
      </c>
      <c r="D104" s="14"/>
      <c r="E104" s="12">
        <v>0.0</v>
      </c>
      <c r="F104" s="13">
        <f>IFERROR(E104/E446, "NA")</f>
        <v>0</v>
      </c>
      <c r="G104" s="14"/>
      <c r="H104" s="15">
        <f t="shared" si="29"/>
        <v>-121.45</v>
      </c>
      <c r="I104" s="13">
        <f>IFERROR(H104/H446, "NA")</f>
        <v>0.05797578813</v>
      </c>
      <c r="J104" s="14"/>
      <c r="K104" s="12">
        <v>-629.86</v>
      </c>
      <c r="L104" s="13">
        <f>IFERROR(K104/K446, "NA")</f>
        <v>-0.006804398866</v>
      </c>
      <c r="M104" s="14"/>
      <c r="N104" s="15">
        <f t="shared" si="30"/>
        <v>508.41</v>
      </c>
      <c r="O104" s="13">
        <f>IFERROR(N104/N446, "NA")</f>
        <v>0.07946215619</v>
      </c>
      <c r="P104" s="14"/>
      <c r="Q104" s="12">
        <v>-3548.38</v>
      </c>
      <c r="R104" s="13">
        <f>IFERROR(Q104/Q446, "NA")</f>
        <v>-0.004029979473</v>
      </c>
      <c r="S104" s="14"/>
      <c r="T104" s="12">
        <v>0.0</v>
      </c>
      <c r="U104" s="13">
        <f>IFERROR(T104/T446, "NA")</f>
        <v>0</v>
      </c>
      <c r="V104" s="14"/>
      <c r="W104" s="15">
        <f t="shared" si="31"/>
        <v>-3548.38</v>
      </c>
      <c r="X104" s="13">
        <f>IFERROR(W104/W446, "NA")</f>
        <v>0.04043176685</v>
      </c>
      <c r="Y104" s="14"/>
      <c r="Z104" s="12">
        <v>-5918.66</v>
      </c>
      <c r="AA104" s="13">
        <f>IFERROR(Z104/Z446, "NA")</f>
        <v>-0.006589626513</v>
      </c>
      <c r="AB104" s="14"/>
      <c r="AC104" s="15">
        <f t="shared" si="32"/>
        <v>2370.28</v>
      </c>
      <c r="AD104" s="13">
        <f>IFERROR(AC104/AC446, "NA")</f>
        <v>-0.1340461256</v>
      </c>
    </row>
    <row r="105" ht="16.5" hidden="1" customHeight="1">
      <c r="A105" s="11" t="s">
        <v>103</v>
      </c>
      <c r="B105" s="12">
        <v>0.0</v>
      </c>
      <c r="C105" s="13">
        <f>IFERROR(B105/B446, "NA")</f>
        <v>0</v>
      </c>
      <c r="D105" s="14"/>
      <c r="E105" s="12">
        <v>0.0</v>
      </c>
      <c r="F105" s="13">
        <f>IFERROR(E105/E446, "NA")</f>
        <v>0</v>
      </c>
      <c r="G105" s="14"/>
      <c r="H105" s="15">
        <f t="shared" si="29"/>
        <v>0</v>
      </c>
      <c r="I105" s="13">
        <f>IFERROR(H105/H446, "NA")</f>
        <v>0</v>
      </c>
      <c r="J105" s="14"/>
      <c r="K105" s="12">
        <v>0.0</v>
      </c>
      <c r="L105" s="13">
        <f>IFERROR(K105/K446, "NA")</f>
        <v>0</v>
      </c>
      <c r="M105" s="14"/>
      <c r="N105" s="15">
        <f t="shared" si="30"/>
        <v>0</v>
      </c>
      <c r="O105" s="13">
        <f>IFERROR(N105/N446, "NA")</f>
        <v>0</v>
      </c>
      <c r="P105" s="14"/>
      <c r="Q105" s="12">
        <v>0.0</v>
      </c>
      <c r="R105" s="13">
        <f>IFERROR(Q105/Q446, "NA")</f>
        <v>0</v>
      </c>
      <c r="S105" s="14"/>
      <c r="T105" s="12">
        <v>0.0</v>
      </c>
      <c r="U105" s="13">
        <f>IFERROR(T105/T446, "NA")</f>
        <v>0</v>
      </c>
      <c r="V105" s="14"/>
      <c r="W105" s="15">
        <f t="shared" si="31"/>
        <v>0</v>
      </c>
      <c r="X105" s="13">
        <f>IFERROR(W105/W446, "NA")</f>
        <v>0</v>
      </c>
      <c r="Y105" s="14"/>
      <c r="Z105" s="12">
        <v>0.0</v>
      </c>
      <c r="AA105" s="13">
        <f>IFERROR(Z105/Z446, "NA")</f>
        <v>0</v>
      </c>
      <c r="AB105" s="14"/>
      <c r="AC105" s="15">
        <f t="shared" si="32"/>
        <v>0</v>
      </c>
      <c r="AD105" s="13">
        <f>IFERROR(AC105/AC446, "NA")</f>
        <v>0</v>
      </c>
    </row>
    <row r="106" ht="16.5" customHeight="1">
      <c r="A106" s="11" t="s">
        <v>104</v>
      </c>
      <c r="B106" s="12">
        <v>0.0</v>
      </c>
      <c r="C106" s="13">
        <f>IFERROR(B106/B446, "NA")</f>
        <v>0</v>
      </c>
      <c r="D106" s="14"/>
      <c r="E106" s="12">
        <v>0.0</v>
      </c>
      <c r="F106" s="13">
        <f>IFERROR(E106/E446, "NA")</f>
        <v>0</v>
      </c>
      <c r="G106" s="14"/>
      <c r="H106" s="15">
        <f t="shared" si="29"/>
        <v>0</v>
      </c>
      <c r="I106" s="13">
        <f>IFERROR(H106/H446, "NA")</f>
        <v>0</v>
      </c>
      <c r="J106" s="14"/>
      <c r="K106" s="12">
        <v>0.0</v>
      </c>
      <c r="L106" s="13">
        <f>IFERROR(K106/K446, "NA")</f>
        <v>0</v>
      </c>
      <c r="M106" s="14"/>
      <c r="N106" s="15">
        <f t="shared" si="30"/>
        <v>0</v>
      </c>
      <c r="O106" s="13">
        <f>IFERROR(N106/N446, "NA")</f>
        <v>0</v>
      </c>
      <c r="P106" s="14"/>
      <c r="Q106" s="12">
        <v>-640.94</v>
      </c>
      <c r="R106" s="13">
        <f>IFERROR(Q106/Q446, "NA")</f>
        <v>-0.0007279307863</v>
      </c>
      <c r="S106" s="14"/>
      <c r="T106" s="12">
        <v>0.0</v>
      </c>
      <c r="U106" s="13">
        <f>IFERROR(T106/T446, "NA")</f>
        <v>0</v>
      </c>
      <c r="V106" s="14"/>
      <c r="W106" s="15">
        <f t="shared" si="31"/>
        <v>-640.94</v>
      </c>
      <c r="X106" s="13">
        <f>IFERROR(W106/W446, "NA")</f>
        <v>0.007303145843</v>
      </c>
      <c r="Y106" s="14"/>
      <c r="Z106" s="12">
        <v>-145.1</v>
      </c>
      <c r="AA106" s="13">
        <f>IFERROR(Z106/Z446, "NA")</f>
        <v>-0.0001615492032</v>
      </c>
      <c r="AB106" s="14"/>
      <c r="AC106" s="15">
        <f t="shared" si="32"/>
        <v>-495.84</v>
      </c>
      <c r="AD106" s="13">
        <f>IFERROR(AC106/AC446, "NA")</f>
        <v>0.02804117275</v>
      </c>
    </row>
    <row r="107" ht="16.5" hidden="1" customHeight="1">
      <c r="A107" s="11" t="s">
        <v>105</v>
      </c>
      <c r="B107" s="12">
        <v>0.0</v>
      </c>
      <c r="C107" s="13">
        <f>IFERROR(B107/B446, "NA")</f>
        <v>0</v>
      </c>
      <c r="D107" s="14"/>
      <c r="E107" s="12">
        <v>0.0</v>
      </c>
      <c r="F107" s="13">
        <f>IFERROR(E107/E446, "NA")</f>
        <v>0</v>
      </c>
      <c r="G107" s="14"/>
      <c r="H107" s="15">
        <f t="shared" si="29"/>
        <v>0</v>
      </c>
      <c r="I107" s="13">
        <f>IFERROR(H107/H446, "NA")</f>
        <v>0</v>
      </c>
      <c r="J107" s="14"/>
      <c r="K107" s="12">
        <v>0.0</v>
      </c>
      <c r="L107" s="13">
        <f>IFERROR(K107/K446, "NA")</f>
        <v>0</v>
      </c>
      <c r="M107" s="14"/>
      <c r="N107" s="15">
        <f t="shared" si="30"/>
        <v>0</v>
      </c>
      <c r="O107" s="13">
        <f>IFERROR(N107/N446, "NA")</f>
        <v>0</v>
      </c>
      <c r="P107" s="14"/>
      <c r="Q107" s="12">
        <v>0.0</v>
      </c>
      <c r="R107" s="13">
        <f>IFERROR(Q107/Q446, "NA")</f>
        <v>0</v>
      </c>
      <c r="S107" s="14"/>
      <c r="T107" s="12">
        <v>0.0</v>
      </c>
      <c r="U107" s="13">
        <f>IFERROR(T107/T446, "NA")</f>
        <v>0</v>
      </c>
      <c r="V107" s="14"/>
      <c r="W107" s="15">
        <f t="shared" si="31"/>
        <v>0</v>
      </c>
      <c r="X107" s="13">
        <f>IFERROR(W107/W446, "NA")</f>
        <v>0</v>
      </c>
      <c r="Y107" s="14"/>
      <c r="Z107" s="12">
        <v>0.0</v>
      </c>
      <c r="AA107" s="13">
        <f>IFERROR(Z107/Z446, "NA")</f>
        <v>0</v>
      </c>
      <c r="AB107" s="14"/>
      <c r="AC107" s="15">
        <f t="shared" si="32"/>
        <v>0</v>
      </c>
      <c r="AD107" s="13">
        <f>IFERROR(AC107/AC446, "NA")</f>
        <v>0</v>
      </c>
    </row>
    <row r="108" ht="16.5" hidden="1" customHeight="1">
      <c r="A108" s="11" t="s">
        <v>106</v>
      </c>
      <c r="B108" s="12">
        <v>0.0</v>
      </c>
      <c r="C108" s="13">
        <f>IFERROR(B108/B446, "NA")</f>
        <v>0</v>
      </c>
      <c r="D108" s="14"/>
      <c r="E108" s="12">
        <v>0.0</v>
      </c>
      <c r="F108" s="13">
        <f>IFERROR(E108/E446, "NA")</f>
        <v>0</v>
      </c>
      <c r="G108" s="14"/>
      <c r="H108" s="15">
        <f t="shared" si="29"/>
        <v>0</v>
      </c>
      <c r="I108" s="13">
        <f>IFERROR(H108/H446, "NA")</f>
        <v>0</v>
      </c>
      <c r="J108" s="14"/>
      <c r="K108" s="12">
        <v>0.0</v>
      </c>
      <c r="L108" s="13">
        <f>IFERROR(K108/K446, "NA")</f>
        <v>0</v>
      </c>
      <c r="M108" s="14"/>
      <c r="N108" s="15">
        <f t="shared" si="30"/>
        <v>0</v>
      </c>
      <c r="O108" s="13">
        <f>IFERROR(N108/N446, "NA")</f>
        <v>0</v>
      </c>
      <c r="P108" s="14"/>
      <c r="Q108" s="12">
        <v>0.0</v>
      </c>
      <c r="R108" s="13">
        <f>IFERROR(Q108/Q446, "NA")</f>
        <v>0</v>
      </c>
      <c r="S108" s="14"/>
      <c r="T108" s="12">
        <v>0.0</v>
      </c>
      <c r="U108" s="13">
        <f>IFERROR(T108/T446, "NA")</f>
        <v>0</v>
      </c>
      <c r="V108" s="14"/>
      <c r="W108" s="15">
        <f t="shared" si="31"/>
        <v>0</v>
      </c>
      <c r="X108" s="13">
        <f>IFERROR(W108/W446, "NA")</f>
        <v>0</v>
      </c>
      <c r="Y108" s="14"/>
      <c r="Z108" s="12">
        <v>0.0</v>
      </c>
      <c r="AA108" s="13">
        <f>IFERROR(Z108/Z446, "NA")</f>
        <v>0</v>
      </c>
      <c r="AB108" s="14"/>
      <c r="AC108" s="15">
        <f t="shared" si="32"/>
        <v>0</v>
      </c>
      <c r="AD108" s="13">
        <f>IFERROR(AC108/AC446, "NA")</f>
        <v>0</v>
      </c>
    </row>
    <row r="109" ht="16.5" hidden="1" customHeight="1">
      <c r="A109" s="11" t="s">
        <v>107</v>
      </c>
      <c r="B109" s="12">
        <v>0.0</v>
      </c>
      <c r="C109" s="13">
        <f>IFERROR(B109/B446, "NA")</f>
        <v>0</v>
      </c>
      <c r="D109" s="14"/>
      <c r="E109" s="12">
        <v>0.0</v>
      </c>
      <c r="F109" s="13">
        <f>IFERROR(E109/E446, "NA")</f>
        <v>0</v>
      </c>
      <c r="G109" s="14"/>
      <c r="H109" s="15">
        <f t="shared" si="29"/>
        <v>0</v>
      </c>
      <c r="I109" s="13">
        <f>IFERROR(H109/H446, "NA")</f>
        <v>0</v>
      </c>
      <c r="J109" s="14"/>
      <c r="K109" s="12">
        <v>0.0</v>
      </c>
      <c r="L109" s="13">
        <f>IFERROR(K109/K446, "NA")</f>
        <v>0</v>
      </c>
      <c r="M109" s="14"/>
      <c r="N109" s="15">
        <f t="shared" si="30"/>
        <v>0</v>
      </c>
      <c r="O109" s="13">
        <f>IFERROR(N109/N446, "NA")</f>
        <v>0</v>
      </c>
      <c r="P109" s="14"/>
      <c r="Q109" s="12">
        <v>0.0</v>
      </c>
      <c r="R109" s="13">
        <f>IFERROR(Q109/Q446, "NA")</f>
        <v>0</v>
      </c>
      <c r="S109" s="14"/>
      <c r="T109" s="12">
        <v>0.0</v>
      </c>
      <c r="U109" s="13">
        <f>IFERROR(T109/T446, "NA")</f>
        <v>0</v>
      </c>
      <c r="V109" s="14"/>
      <c r="W109" s="15">
        <f t="shared" si="31"/>
        <v>0</v>
      </c>
      <c r="X109" s="13">
        <f>IFERROR(W109/W446, "NA")</f>
        <v>0</v>
      </c>
      <c r="Y109" s="14"/>
      <c r="Z109" s="12">
        <v>0.0</v>
      </c>
      <c r="AA109" s="13">
        <f>IFERROR(Z109/Z446, "NA")</f>
        <v>0</v>
      </c>
      <c r="AB109" s="14"/>
      <c r="AC109" s="15">
        <f t="shared" si="32"/>
        <v>0</v>
      </c>
      <c r="AD109" s="13">
        <f>IFERROR(AC109/AC446, "NA")</f>
        <v>0</v>
      </c>
    </row>
    <row r="110" ht="16.5" hidden="1" customHeight="1">
      <c r="A110" s="11" t="s">
        <v>108</v>
      </c>
      <c r="B110" s="12">
        <v>0.0</v>
      </c>
      <c r="C110" s="13">
        <f>IFERROR(B110/B446, "NA")</f>
        <v>0</v>
      </c>
      <c r="D110" s="14"/>
      <c r="E110" s="12">
        <v>0.0</v>
      </c>
      <c r="F110" s="13">
        <f>IFERROR(E110/E446, "NA")</f>
        <v>0</v>
      </c>
      <c r="G110" s="14"/>
      <c r="H110" s="15">
        <f t="shared" si="29"/>
        <v>0</v>
      </c>
      <c r="I110" s="13">
        <f>IFERROR(H110/H446, "NA")</f>
        <v>0</v>
      </c>
      <c r="J110" s="14"/>
      <c r="K110" s="12">
        <v>0.0</v>
      </c>
      <c r="L110" s="13">
        <f>IFERROR(K110/K446, "NA")</f>
        <v>0</v>
      </c>
      <c r="M110" s="14"/>
      <c r="N110" s="15">
        <f t="shared" si="30"/>
        <v>0</v>
      </c>
      <c r="O110" s="13">
        <f>IFERROR(N110/N446, "NA")</f>
        <v>0</v>
      </c>
      <c r="P110" s="14"/>
      <c r="Q110" s="12">
        <v>0.0</v>
      </c>
      <c r="R110" s="13">
        <f>IFERROR(Q110/Q446, "NA")</f>
        <v>0</v>
      </c>
      <c r="S110" s="14"/>
      <c r="T110" s="12">
        <v>0.0</v>
      </c>
      <c r="U110" s="13">
        <f>IFERROR(T110/T446, "NA")</f>
        <v>0</v>
      </c>
      <c r="V110" s="14"/>
      <c r="W110" s="15">
        <f t="shared" si="31"/>
        <v>0</v>
      </c>
      <c r="X110" s="13">
        <f>IFERROR(W110/W446, "NA")</f>
        <v>0</v>
      </c>
      <c r="Y110" s="14"/>
      <c r="Z110" s="12">
        <v>0.0</v>
      </c>
      <c r="AA110" s="13">
        <f>IFERROR(Z110/Z446, "NA")</f>
        <v>0</v>
      </c>
      <c r="AB110" s="14"/>
      <c r="AC110" s="15">
        <f t="shared" si="32"/>
        <v>0</v>
      </c>
      <c r="AD110" s="13">
        <f>IFERROR(AC110/AC446, "NA")</f>
        <v>0</v>
      </c>
    </row>
    <row r="111" ht="16.5" hidden="1" customHeight="1">
      <c r="A111" s="11" t="s">
        <v>109</v>
      </c>
      <c r="B111" s="12">
        <v>0.0</v>
      </c>
      <c r="C111" s="13">
        <f>IFERROR(B111/B446, "NA")</f>
        <v>0</v>
      </c>
      <c r="D111" s="14"/>
      <c r="E111" s="12">
        <v>0.0</v>
      </c>
      <c r="F111" s="13">
        <f>IFERROR(E111/E446, "NA")</f>
        <v>0</v>
      </c>
      <c r="G111" s="14"/>
      <c r="H111" s="15">
        <f t="shared" si="29"/>
        <v>0</v>
      </c>
      <c r="I111" s="13">
        <f>IFERROR(H111/H446, "NA")</f>
        <v>0</v>
      </c>
      <c r="J111" s="14"/>
      <c r="K111" s="12">
        <v>0.0</v>
      </c>
      <c r="L111" s="13">
        <f>IFERROR(K111/K446, "NA")</f>
        <v>0</v>
      </c>
      <c r="M111" s="14"/>
      <c r="N111" s="15">
        <f t="shared" si="30"/>
        <v>0</v>
      </c>
      <c r="O111" s="13">
        <f>IFERROR(N111/N446, "NA")</f>
        <v>0</v>
      </c>
      <c r="P111" s="14"/>
      <c r="Q111" s="12">
        <v>0.0</v>
      </c>
      <c r="R111" s="13">
        <f>IFERROR(Q111/Q446, "NA")</f>
        <v>0</v>
      </c>
      <c r="S111" s="14"/>
      <c r="T111" s="12">
        <v>0.0</v>
      </c>
      <c r="U111" s="13">
        <f>IFERROR(T111/T446, "NA")</f>
        <v>0</v>
      </c>
      <c r="V111" s="14"/>
      <c r="W111" s="15">
        <f t="shared" si="31"/>
        <v>0</v>
      </c>
      <c r="X111" s="13">
        <f>IFERROR(W111/W446, "NA")</f>
        <v>0</v>
      </c>
      <c r="Y111" s="14"/>
      <c r="Z111" s="12">
        <v>0.0</v>
      </c>
      <c r="AA111" s="13">
        <f>IFERROR(Z111/Z446, "NA")</f>
        <v>0</v>
      </c>
      <c r="AB111" s="14"/>
      <c r="AC111" s="15">
        <f t="shared" si="32"/>
        <v>0</v>
      </c>
      <c r="AD111" s="13">
        <f>IFERROR(AC111/AC446, "NA")</f>
        <v>0</v>
      </c>
    </row>
    <row r="112" ht="16.5" hidden="1" customHeight="1">
      <c r="A112" s="11" t="s">
        <v>110</v>
      </c>
      <c r="B112" s="12">
        <v>0.0</v>
      </c>
      <c r="C112" s="13">
        <f>IFERROR(B112/B446, "NA")</f>
        <v>0</v>
      </c>
      <c r="D112" s="14"/>
      <c r="E112" s="12">
        <v>0.0</v>
      </c>
      <c r="F112" s="13">
        <f>IFERROR(E112/E446, "NA")</f>
        <v>0</v>
      </c>
      <c r="G112" s="14"/>
      <c r="H112" s="15">
        <f t="shared" si="29"/>
        <v>0</v>
      </c>
      <c r="I112" s="13">
        <f>IFERROR(H112/H446, "NA")</f>
        <v>0</v>
      </c>
      <c r="J112" s="14"/>
      <c r="K112" s="12">
        <v>0.0</v>
      </c>
      <c r="L112" s="13">
        <f>IFERROR(K112/K446, "NA")</f>
        <v>0</v>
      </c>
      <c r="M112" s="14"/>
      <c r="N112" s="15">
        <f t="shared" si="30"/>
        <v>0</v>
      </c>
      <c r="O112" s="13">
        <f>IFERROR(N112/N446, "NA")</f>
        <v>0</v>
      </c>
      <c r="P112" s="14"/>
      <c r="Q112" s="12">
        <v>0.0</v>
      </c>
      <c r="R112" s="13">
        <f>IFERROR(Q112/Q446, "NA")</f>
        <v>0</v>
      </c>
      <c r="S112" s="14"/>
      <c r="T112" s="12">
        <v>0.0</v>
      </c>
      <c r="U112" s="13">
        <f>IFERROR(T112/T446, "NA")</f>
        <v>0</v>
      </c>
      <c r="V112" s="14"/>
      <c r="W112" s="15">
        <f t="shared" si="31"/>
        <v>0</v>
      </c>
      <c r="X112" s="13">
        <f>IFERROR(W112/W446, "NA")</f>
        <v>0</v>
      </c>
      <c r="Y112" s="14"/>
      <c r="Z112" s="12">
        <v>0.0</v>
      </c>
      <c r="AA112" s="13">
        <f>IFERROR(Z112/Z446, "NA")</f>
        <v>0</v>
      </c>
      <c r="AB112" s="14"/>
      <c r="AC112" s="15">
        <f t="shared" si="32"/>
        <v>0</v>
      </c>
      <c r="AD112" s="13">
        <f>IFERROR(AC112/AC446, "NA")</f>
        <v>0</v>
      </c>
    </row>
    <row r="113" ht="16.5" hidden="1" customHeight="1">
      <c r="A113" s="11" t="s">
        <v>111</v>
      </c>
      <c r="B113" s="12">
        <v>0.0</v>
      </c>
      <c r="C113" s="13">
        <f>IFERROR(B113/B446, "NA")</f>
        <v>0</v>
      </c>
      <c r="D113" s="14"/>
      <c r="E113" s="12">
        <v>0.0</v>
      </c>
      <c r="F113" s="13">
        <f>IFERROR(E113/E446, "NA")</f>
        <v>0</v>
      </c>
      <c r="G113" s="14"/>
      <c r="H113" s="15">
        <f t="shared" si="29"/>
        <v>0</v>
      </c>
      <c r="I113" s="13">
        <f>IFERROR(H113/H446, "NA")</f>
        <v>0</v>
      </c>
      <c r="J113" s="14"/>
      <c r="K113" s="12">
        <v>0.0</v>
      </c>
      <c r="L113" s="13">
        <f>IFERROR(K113/K446, "NA")</f>
        <v>0</v>
      </c>
      <c r="M113" s="14"/>
      <c r="N113" s="15">
        <f t="shared" si="30"/>
        <v>0</v>
      </c>
      <c r="O113" s="13">
        <f>IFERROR(N113/N446, "NA")</f>
        <v>0</v>
      </c>
      <c r="P113" s="14"/>
      <c r="Q113" s="12">
        <v>0.0</v>
      </c>
      <c r="R113" s="13">
        <f>IFERROR(Q113/Q446, "NA")</f>
        <v>0</v>
      </c>
      <c r="S113" s="14"/>
      <c r="T113" s="12">
        <v>0.0</v>
      </c>
      <c r="U113" s="13">
        <f>IFERROR(T113/T446, "NA")</f>
        <v>0</v>
      </c>
      <c r="V113" s="14"/>
      <c r="W113" s="15">
        <f t="shared" si="31"/>
        <v>0</v>
      </c>
      <c r="X113" s="13">
        <f>IFERROR(W113/W446, "NA")</f>
        <v>0</v>
      </c>
      <c r="Y113" s="14"/>
      <c r="Z113" s="12">
        <v>0.0</v>
      </c>
      <c r="AA113" s="13">
        <f>IFERROR(Z113/Z446, "NA")</f>
        <v>0</v>
      </c>
      <c r="AB113" s="14"/>
      <c r="AC113" s="15">
        <f t="shared" si="32"/>
        <v>0</v>
      </c>
      <c r="AD113" s="13">
        <f>IFERROR(AC113/AC446, "NA")</f>
        <v>0</v>
      </c>
    </row>
    <row r="114" ht="16.5" hidden="1" customHeight="1">
      <c r="A114" s="11" t="s">
        <v>112</v>
      </c>
      <c r="B114" s="12">
        <v>0.0</v>
      </c>
      <c r="C114" s="13">
        <f>IFERROR(B114/B446, "NA")</f>
        <v>0</v>
      </c>
      <c r="D114" s="14"/>
      <c r="E114" s="12">
        <v>0.0</v>
      </c>
      <c r="F114" s="13">
        <f>IFERROR(E114/E446, "NA")</f>
        <v>0</v>
      </c>
      <c r="G114" s="14"/>
      <c r="H114" s="15">
        <f t="shared" si="29"/>
        <v>0</v>
      </c>
      <c r="I114" s="13">
        <f>IFERROR(H114/H446, "NA")</f>
        <v>0</v>
      </c>
      <c r="J114" s="14"/>
      <c r="K114" s="12">
        <v>0.0</v>
      </c>
      <c r="L114" s="13">
        <f>IFERROR(K114/K446, "NA")</f>
        <v>0</v>
      </c>
      <c r="M114" s="14"/>
      <c r="N114" s="15">
        <f t="shared" si="30"/>
        <v>0</v>
      </c>
      <c r="O114" s="13">
        <f>IFERROR(N114/N446, "NA")</f>
        <v>0</v>
      </c>
      <c r="P114" s="14"/>
      <c r="Q114" s="12">
        <v>0.0</v>
      </c>
      <c r="R114" s="13">
        <f>IFERROR(Q114/Q446, "NA")</f>
        <v>0</v>
      </c>
      <c r="S114" s="14"/>
      <c r="T114" s="12">
        <v>0.0</v>
      </c>
      <c r="U114" s="13">
        <f>IFERROR(T114/T446, "NA")</f>
        <v>0</v>
      </c>
      <c r="V114" s="14"/>
      <c r="W114" s="15">
        <f t="shared" si="31"/>
        <v>0</v>
      </c>
      <c r="X114" s="13">
        <f>IFERROR(W114/W446, "NA")</f>
        <v>0</v>
      </c>
      <c r="Y114" s="14"/>
      <c r="Z114" s="12">
        <v>0.0</v>
      </c>
      <c r="AA114" s="13">
        <f>IFERROR(Z114/Z446, "NA")</f>
        <v>0</v>
      </c>
      <c r="AB114" s="14"/>
      <c r="AC114" s="15">
        <f t="shared" si="32"/>
        <v>0</v>
      </c>
      <c r="AD114" s="13">
        <f>IFERROR(AC114/AC446, "NA")</f>
        <v>0</v>
      </c>
    </row>
    <row r="115" ht="16.5" hidden="1" customHeight="1">
      <c r="A115" s="11" t="s">
        <v>113</v>
      </c>
      <c r="B115" s="12">
        <v>0.0</v>
      </c>
      <c r="C115" s="13">
        <f>IFERROR(B115/B446, "NA")</f>
        <v>0</v>
      </c>
      <c r="D115" s="14"/>
      <c r="E115" s="12">
        <v>0.0</v>
      </c>
      <c r="F115" s="13">
        <f>IFERROR(E115/E446, "NA")</f>
        <v>0</v>
      </c>
      <c r="G115" s="14"/>
      <c r="H115" s="15">
        <f t="shared" si="29"/>
        <v>0</v>
      </c>
      <c r="I115" s="13">
        <f>IFERROR(H115/H446, "NA")</f>
        <v>0</v>
      </c>
      <c r="J115" s="14"/>
      <c r="K115" s="12">
        <v>0.0</v>
      </c>
      <c r="L115" s="13">
        <f>IFERROR(K115/K446, "NA")</f>
        <v>0</v>
      </c>
      <c r="M115" s="14"/>
      <c r="N115" s="15">
        <f t="shared" si="30"/>
        <v>0</v>
      </c>
      <c r="O115" s="13">
        <f>IFERROR(N115/N446, "NA")</f>
        <v>0</v>
      </c>
      <c r="P115" s="14"/>
      <c r="Q115" s="12">
        <v>0.0</v>
      </c>
      <c r="R115" s="13">
        <f>IFERROR(Q115/Q446, "NA")</f>
        <v>0</v>
      </c>
      <c r="S115" s="14"/>
      <c r="T115" s="12">
        <v>0.0</v>
      </c>
      <c r="U115" s="13">
        <f>IFERROR(T115/T446, "NA")</f>
        <v>0</v>
      </c>
      <c r="V115" s="14"/>
      <c r="W115" s="15">
        <f t="shared" si="31"/>
        <v>0</v>
      </c>
      <c r="X115" s="13">
        <f>IFERROR(W115/W446, "NA")</f>
        <v>0</v>
      </c>
      <c r="Y115" s="14"/>
      <c r="Z115" s="12">
        <v>0.0</v>
      </c>
      <c r="AA115" s="13">
        <f>IFERROR(Z115/Z446, "NA")</f>
        <v>0</v>
      </c>
      <c r="AB115" s="14"/>
      <c r="AC115" s="15">
        <f t="shared" si="32"/>
        <v>0</v>
      </c>
      <c r="AD115" s="13">
        <f>IFERROR(AC115/AC446, "NA")</f>
        <v>0</v>
      </c>
    </row>
    <row r="116" ht="16.5" hidden="1" customHeight="1">
      <c r="A116" s="11" t="s">
        <v>114</v>
      </c>
      <c r="B116" s="12">
        <v>0.0</v>
      </c>
      <c r="C116" s="13">
        <f>IFERROR(B116/B446, "NA")</f>
        <v>0</v>
      </c>
      <c r="D116" s="14"/>
      <c r="E116" s="12">
        <v>0.0</v>
      </c>
      <c r="F116" s="13">
        <f>IFERROR(E116/E446, "NA")</f>
        <v>0</v>
      </c>
      <c r="G116" s="14"/>
      <c r="H116" s="15">
        <f t="shared" si="29"/>
        <v>0</v>
      </c>
      <c r="I116" s="13">
        <f>IFERROR(H116/H446, "NA")</f>
        <v>0</v>
      </c>
      <c r="J116" s="14"/>
      <c r="K116" s="12">
        <v>0.0</v>
      </c>
      <c r="L116" s="13">
        <f>IFERROR(K116/K446, "NA")</f>
        <v>0</v>
      </c>
      <c r="M116" s="14"/>
      <c r="N116" s="15">
        <f t="shared" si="30"/>
        <v>0</v>
      </c>
      <c r="O116" s="13">
        <f>IFERROR(N116/N446, "NA")</f>
        <v>0</v>
      </c>
      <c r="P116" s="14"/>
      <c r="Q116" s="12">
        <v>0.0</v>
      </c>
      <c r="R116" s="13">
        <f>IFERROR(Q116/Q446, "NA")</f>
        <v>0</v>
      </c>
      <c r="S116" s="14"/>
      <c r="T116" s="12">
        <v>0.0</v>
      </c>
      <c r="U116" s="13">
        <f>IFERROR(T116/T446, "NA")</f>
        <v>0</v>
      </c>
      <c r="V116" s="14"/>
      <c r="W116" s="15">
        <f t="shared" si="31"/>
        <v>0</v>
      </c>
      <c r="X116" s="13">
        <f>IFERROR(W116/W446, "NA")</f>
        <v>0</v>
      </c>
      <c r="Y116" s="14"/>
      <c r="Z116" s="12">
        <v>0.0</v>
      </c>
      <c r="AA116" s="13">
        <f>IFERROR(Z116/Z446, "NA")</f>
        <v>0</v>
      </c>
      <c r="AB116" s="14"/>
      <c r="AC116" s="15">
        <f t="shared" si="32"/>
        <v>0</v>
      </c>
      <c r="AD116" s="13">
        <f>IFERROR(AC116/AC446, "NA")</f>
        <v>0</v>
      </c>
    </row>
    <row r="117" ht="16.5" hidden="1" customHeight="1">
      <c r="A117" s="11" t="s">
        <v>115</v>
      </c>
      <c r="B117" s="12">
        <v>0.0</v>
      </c>
      <c r="C117" s="13">
        <f>IFERROR(B117/B446, "NA")</f>
        <v>0</v>
      </c>
      <c r="D117" s="14"/>
      <c r="E117" s="12">
        <v>0.0</v>
      </c>
      <c r="F117" s="13">
        <f>IFERROR(E117/E446, "NA")</f>
        <v>0</v>
      </c>
      <c r="G117" s="14"/>
      <c r="H117" s="15">
        <f t="shared" si="29"/>
        <v>0</v>
      </c>
      <c r="I117" s="13">
        <f>IFERROR(H117/H446, "NA")</f>
        <v>0</v>
      </c>
      <c r="J117" s="14"/>
      <c r="K117" s="12">
        <v>0.0</v>
      </c>
      <c r="L117" s="13">
        <f>IFERROR(K117/K446, "NA")</f>
        <v>0</v>
      </c>
      <c r="M117" s="14"/>
      <c r="N117" s="15">
        <f t="shared" si="30"/>
        <v>0</v>
      </c>
      <c r="O117" s="13">
        <f>IFERROR(N117/N446, "NA")</f>
        <v>0</v>
      </c>
      <c r="P117" s="14"/>
      <c r="Q117" s="12">
        <v>0.0</v>
      </c>
      <c r="R117" s="13">
        <f>IFERROR(Q117/Q446, "NA")</f>
        <v>0</v>
      </c>
      <c r="S117" s="14"/>
      <c r="T117" s="12">
        <v>0.0</v>
      </c>
      <c r="U117" s="13">
        <f>IFERROR(T117/T446, "NA")</f>
        <v>0</v>
      </c>
      <c r="V117" s="14"/>
      <c r="W117" s="15">
        <f t="shared" si="31"/>
        <v>0</v>
      </c>
      <c r="X117" s="13">
        <f>IFERROR(W117/W446, "NA")</f>
        <v>0</v>
      </c>
      <c r="Y117" s="14"/>
      <c r="Z117" s="12">
        <v>0.0</v>
      </c>
      <c r="AA117" s="13">
        <f>IFERROR(Z117/Z446, "NA")</f>
        <v>0</v>
      </c>
      <c r="AB117" s="14"/>
      <c r="AC117" s="15">
        <f t="shared" si="32"/>
        <v>0</v>
      </c>
      <c r="AD117" s="13">
        <f>IFERROR(AC117/AC446, "NA")</f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-4593.66</v>
      </c>
      <c r="C118" s="18">
        <f>IFERROR(B118/B446, "NA")</f>
        <v>-0.04641714275</v>
      </c>
      <c r="D118" s="8"/>
      <c r="E118" s="17">
        <f>IFERROR(E94+E95+E96+E97+E98+E99+E100+E101+E102+E103+E104+E105+E106+E107+E108+E109+E110+E111+E112+E113+E114+E115+E116+E117, "NA")</f>
        <v>-4749.8</v>
      </c>
      <c r="F118" s="18">
        <f>IFERROR(E118/E446, "NA")</f>
        <v>-0.04700000208</v>
      </c>
      <c r="G118" s="8"/>
      <c r="H118" s="17">
        <f t="shared" si="29"/>
        <v>156.14</v>
      </c>
      <c r="I118" s="18">
        <f>IFERROR(H118/H446, "NA")</f>
        <v>-0.07453552539</v>
      </c>
      <c r="J118" s="8"/>
      <c r="K118" s="17">
        <f>IFERROR(K94+K95+K96+K97+K98+K99+K100+K101+K102+K103+K104+K105+K106+K107+K108+K109+K110+K111+K112+K113+K114+K115+K116+K117, "NA")</f>
        <v>-4219.13</v>
      </c>
      <c r="L118" s="18">
        <f>IFERROR(K118/K446, "NA")</f>
        <v>-0.04557940397</v>
      </c>
      <c r="M118" s="8"/>
      <c r="N118" s="17">
        <f t="shared" si="30"/>
        <v>-374.53</v>
      </c>
      <c r="O118" s="18">
        <f>IFERROR(N118/N446, "NA")</f>
        <v>-0.05853732491</v>
      </c>
      <c r="P118" s="8"/>
      <c r="Q118" s="17">
        <f>IFERROR(Q94+Q95+Q96+Q97+Q98+Q99+Q100+Q101+Q102+Q103+Q104+Q105+Q106+Q107+Q108+Q109+Q110+Q111+Q112+Q113+Q114+Q115+Q116+Q117, "NA")</f>
        <v>-33559.17</v>
      </c>
      <c r="R118" s="18">
        <f>IFERROR(Q118/Q446, "NA")</f>
        <v>-0.03811394671</v>
      </c>
      <c r="S118" s="8"/>
      <c r="T118" s="17">
        <f>IFERROR(T94+T95+T96+T97+T98+T99+T100+T101+T102+T103+T104+T105+T106+T107+T108+T109+T110+T111+T112+T113+T114+T115+T116+T117, "NA")</f>
        <v>-45508.13</v>
      </c>
      <c r="U118" s="18">
        <f>IFERROR(T118/T446, "NA")</f>
        <v>-0.0470000051</v>
      </c>
      <c r="V118" s="8"/>
      <c r="W118" s="17">
        <f t="shared" si="31"/>
        <v>11948.96</v>
      </c>
      <c r="X118" s="18">
        <f>IFERROR(W118/W446, "NA")</f>
        <v>-0.136151586</v>
      </c>
      <c r="Y118" s="8"/>
      <c r="Z118" s="17">
        <f>IFERROR(Z94+Z95+Z96+Z97+Z98+Z99+Z100+Z101+Z102+Z103+Z104+Z105+Z106+Z107+Z108+Z109+Z110+Z111+Z112+Z113+Z114+Z115+Z116+Z117, "NA")</f>
        <v>-42580.61</v>
      </c>
      <c r="AA118" s="18">
        <f>IFERROR(Z118/Z446, "NA")</f>
        <v>-0.04740774374</v>
      </c>
      <c r="AB118" s="8"/>
      <c r="AC118" s="17">
        <f t="shared" si="32"/>
        <v>9021.44</v>
      </c>
      <c r="AD118" s="18">
        <f>IFERROR(AC118/AC446, "NA")</f>
        <v>-0.5101882815</v>
      </c>
    </row>
    <row r="119" ht="16.5" hidden="1" customHeight="1">
      <c r="A119" s="11" t="s">
        <v>117</v>
      </c>
      <c r="B119" s="12">
        <v>0.0</v>
      </c>
      <c r="C119" s="13">
        <f>IFERROR(B119/B446, "NA")</f>
        <v>0</v>
      </c>
      <c r="D119" s="14"/>
      <c r="E119" s="12">
        <v>0.0</v>
      </c>
      <c r="F119" s="13">
        <f>IFERROR(E119/E446, "NA")</f>
        <v>0</v>
      </c>
      <c r="G119" s="14"/>
      <c r="H119" s="15">
        <f t="shared" si="29"/>
        <v>0</v>
      </c>
      <c r="I119" s="13">
        <f>IFERROR(H119/H446, "NA")</f>
        <v>0</v>
      </c>
      <c r="J119" s="14"/>
      <c r="K119" s="12">
        <v>0.0</v>
      </c>
      <c r="L119" s="13">
        <f>IFERROR(K119/K446, "NA")</f>
        <v>0</v>
      </c>
      <c r="M119" s="14"/>
      <c r="N119" s="15">
        <f t="shared" si="30"/>
        <v>0</v>
      </c>
      <c r="O119" s="13">
        <f>IFERROR(N119/N446, "NA")</f>
        <v>0</v>
      </c>
      <c r="P119" s="14"/>
      <c r="Q119" s="12">
        <v>0.0</v>
      </c>
      <c r="R119" s="13">
        <f>IFERROR(Q119/Q446, "NA")</f>
        <v>0</v>
      </c>
      <c r="S119" s="14"/>
      <c r="T119" s="12">
        <v>0.0</v>
      </c>
      <c r="U119" s="13">
        <f>IFERROR(T119/T446, "NA")</f>
        <v>0</v>
      </c>
      <c r="V119" s="14"/>
      <c r="W119" s="15">
        <f t="shared" si="31"/>
        <v>0</v>
      </c>
      <c r="X119" s="13">
        <f>IFERROR(W119/W446, "NA")</f>
        <v>0</v>
      </c>
      <c r="Y119" s="14"/>
      <c r="Z119" s="12">
        <v>0.0</v>
      </c>
      <c r="AA119" s="13">
        <f>IFERROR(Z119/Z446, "NA")</f>
        <v>0</v>
      </c>
      <c r="AB119" s="14"/>
      <c r="AC119" s="15">
        <f t="shared" si="32"/>
        <v>0</v>
      </c>
      <c r="AD119" s="13">
        <f>IFERROR(AC119/AC446, "NA")</f>
        <v>0</v>
      </c>
    </row>
    <row r="120" ht="16.5" hidden="1" customHeight="1">
      <c r="A120" s="11" t="s">
        <v>118</v>
      </c>
      <c r="B120" s="12">
        <v>0.0</v>
      </c>
      <c r="C120" s="13">
        <f>IFERROR(B120/B446, "NA")</f>
        <v>0</v>
      </c>
      <c r="D120" s="14"/>
      <c r="E120" s="12">
        <v>0.0</v>
      </c>
      <c r="F120" s="13">
        <f>IFERROR(E120/E446, "NA")</f>
        <v>0</v>
      </c>
      <c r="G120" s="14"/>
      <c r="H120" s="15">
        <f t="shared" si="29"/>
        <v>0</v>
      </c>
      <c r="I120" s="13">
        <f>IFERROR(H120/H446, "NA")</f>
        <v>0</v>
      </c>
      <c r="J120" s="14"/>
      <c r="K120" s="12">
        <v>0.0</v>
      </c>
      <c r="L120" s="13">
        <f>IFERROR(K120/K446, "NA")</f>
        <v>0</v>
      </c>
      <c r="M120" s="14"/>
      <c r="N120" s="15">
        <f t="shared" si="30"/>
        <v>0</v>
      </c>
      <c r="O120" s="13">
        <f>IFERROR(N120/N446, "NA")</f>
        <v>0</v>
      </c>
      <c r="P120" s="14"/>
      <c r="Q120" s="12">
        <v>0.0</v>
      </c>
      <c r="R120" s="13">
        <f>IFERROR(Q120/Q446, "NA")</f>
        <v>0</v>
      </c>
      <c r="S120" s="14"/>
      <c r="T120" s="12">
        <v>0.0</v>
      </c>
      <c r="U120" s="13">
        <f>IFERROR(T120/T446, "NA")</f>
        <v>0</v>
      </c>
      <c r="V120" s="14"/>
      <c r="W120" s="15">
        <f t="shared" si="31"/>
        <v>0</v>
      </c>
      <c r="X120" s="13">
        <f>IFERROR(W120/W446, "NA")</f>
        <v>0</v>
      </c>
      <c r="Y120" s="14"/>
      <c r="Z120" s="12">
        <v>0.0</v>
      </c>
      <c r="AA120" s="13">
        <f>IFERROR(Z120/Z446, "NA")</f>
        <v>0</v>
      </c>
      <c r="AB120" s="14"/>
      <c r="AC120" s="15">
        <f t="shared" si="32"/>
        <v>0</v>
      </c>
      <c r="AD120" s="13">
        <f>IFERROR(AC120/AC446, "NA")</f>
        <v>0</v>
      </c>
    </row>
    <row r="121" ht="16.5" hidden="1" customHeight="1">
      <c r="A121" s="11" t="s">
        <v>119</v>
      </c>
      <c r="B121" s="12">
        <v>0.0</v>
      </c>
      <c r="C121" s="13">
        <f>IFERROR(B121/B446, "NA")</f>
        <v>0</v>
      </c>
      <c r="D121" s="14"/>
      <c r="E121" s="12">
        <v>0.0</v>
      </c>
      <c r="F121" s="13">
        <f>IFERROR(E121/E446, "NA")</f>
        <v>0</v>
      </c>
      <c r="G121" s="14"/>
      <c r="H121" s="15">
        <f t="shared" si="29"/>
        <v>0</v>
      </c>
      <c r="I121" s="13">
        <f>IFERROR(H121/H446, "NA")</f>
        <v>0</v>
      </c>
      <c r="J121" s="14"/>
      <c r="K121" s="12">
        <v>0.0</v>
      </c>
      <c r="L121" s="13">
        <f>IFERROR(K121/K446, "NA")</f>
        <v>0</v>
      </c>
      <c r="M121" s="14"/>
      <c r="N121" s="15">
        <f t="shared" si="30"/>
        <v>0</v>
      </c>
      <c r="O121" s="13">
        <f>IFERROR(N121/N446, "NA")</f>
        <v>0</v>
      </c>
      <c r="P121" s="14"/>
      <c r="Q121" s="12">
        <v>0.0</v>
      </c>
      <c r="R121" s="13">
        <f>IFERROR(Q121/Q446, "NA")</f>
        <v>0</v>
      </c>
      <c r="S121" s="14"/>
      <c r="T121" s="12">
        <v>0.0</v>
      </c>
      <c r="U121" s="13">
        <f>IFERROR(T121/T446, "NA")</f>
        <v>0</v>
      </c>
      <c r="V121" s="14"/>
      <c r="W121" s="15">
        <f t="shared" si="31"/>
        <v>0</v>
      </c>
      <c r="X121" s="13">
        <f>IFERROR(W121/W446, "NA")</f>
        <v>0</v>
      </c>
      <c r="Y121" s="14"/>
      <c r="Z121" s="12">
        <v>0.0</v>
      </c>
      <c r="AA121" s="13">
        <f>IFERROR(Z121/Z446, "NA")</f>
        <v>0</v>
      </c>
      <c r="AB121" s="14"/>
      <c r="AC121" s="15">
        <f t="shared" si="32"/>
        <v>0</v>
      </c>
      <c r="AD121" s="13">
        <f>IFERROR(AC121/AC446, "NA")</f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98964.73</v>
      </c>
      <c r="C122" s="18">
        <f>IFERROR(B122/B446, "NA")</f>
        <v>1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101059.57</v>
      </c>
      <c r="F122" s="18">
        <f>IFERROR(E122/E446, "NA")</f>
        <v>1</v>
      </c>
      <c r="G122" s="8"/>
      <c r="H122" s="17">
        <f t="shared" si="29"/>
        <v>-2094.84</v>
      </c>
      <c r="I122" s="18">
        <f>IFERROR(H122/H446, "NA")</f>
        <v>1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92566.59</v>
      </c>
      <c r="L122" s="18">
        <f>IFERROR(K122/K446, "NA")</f>
        <v>1</v>
      </c>
      <c r="M122" s="8"/>
      <c r="N122" s="17">
        <f t="shared" si="30"/>
        <v>6398.14</v>
      </c>
      <c r="O122" s="18">
        <f>IFERROR(N122/N446, "NA")</f>
        <v>1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880495.8</v>
      </c>
      <c r="R122" s="18">
        <f>IFERROR(Q122/Q446, "NA")</f>
        <v>1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968257.98</v>
      </c>
      <c r="U122" s="18">
        <f>IFERROR(T122/T446, "NA")</f>
        <v>1</v>
      </c>
      <c r="V122" s="8"/>
      <c r="W122" s="17">
        <f t="shared" si="31"/>
        <v>-87762.18</v>
      </c>
      <c r="X122" s="18">
        <f>IFERROR(W122/W446, "NA")</f>
        <v>1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898178.37</v>
      </c>
      <c r="AA122" s="18">
        <f>IFERROR(Z122/Z446, "NA")</f>
        <v>1</v>
      </c>
      <c r="AB122" s="8"/>
      <c r="AC122" s="17">
        <f t="shared" si="32"/>
        <v>-17682.57</v>
      </c>
      <c r="AD122" s="18">
        <f>IFERROR(AC122/AC446, "NA")</f>
        <v>1</v>
      </c>
    </row>
    <row r="123" ht="16.5" hidden="1" customHeight="1">
      <c r="A123" s="11" t="s">
        <v>121</v>
      </c>
      <c r="B123" s="12">
        <v>0.0</v>
      </c>
      <c r="C123" s="13">
        <f>IFERROR(B123/B446, "NA")</f>
        <v>0</v>
      </c>
      <c r="D123" s="14"/>
      <c r="E123" s="12">
        <v>0.0</v>
      </c>
      <c r="F123" s="13">
        <f>IFERROR(E123/E446, "NA")</f>
        <v>0</v>
      </c>
      <c r="G123" s="14"/>
      <c r="H123" s="15">
        <f t="shared" si="29"/>
        <v>0</v>
      </c>
      <c r="I123" s="13">
        <f>IFERROR(H123/H446, "NA")</f>
        <v>0</v>
      </c>
      <c r="J123" s="14"/>
      <c r="K123" s="12">
        <v>0.0</v>
      </c>
      <c r="L123" s="13">
        <f>IFERROR(K123/K446, "NA")</f>
        <v>0</v>
      </c>
      <c r="M123" s="14"/>
      <c r="N123" s="15">
        <f t="shared" si="30"/>
        <v>0</v>
      </c>
      <c r="O123" s="13">
        <f>IFERROR(N123/N446, "NA")</f>
        <v>0</v>
      </c>
      <c r="P123" s="14"/>
      <c r="Q123" s="12">
        <v>0.0</v>
      </c>
      <c r="R123" s="13">
        <f>IFERROR(Q123/Q446, "NA")</f>
        <v>0</v>
      </c>
      <c r="S123" s="14"/>
      <c r="T123" s="12">
        <v>0.0</v>
      </c>
      <c r="U123" s="13">
        <f>IFERROR(T123/T446, "NA")</f>
        <v>0</v>
      </c>
      <c r="V123" s="14"/>
      <c r="W123" s="15">
        <f t="shared" si="31"/>
        <v>0</v>
      </c>
      <c r="X123" s="13">
        <f>IFERROR(W123/W446, "NA")</f>
        <v>0</v>
      </c>
      <c r="Y123" s="14"/>
      <c r="Z123" s="12">
        <v>0.0</v>
      </c>
      <c r="AA123" s="13">
        <f>IFERROR(Z123/Z446, "NA")</f>
        <v>0</v>
      </c>
      <c r="AB123" s="14"/>
      <c r="AC123" s="15">
        <f t="shared" si="32"/>
        <v>0</v>
      </c>
      <c r="AD123" s="13">
        <f>IFERROR(AC123/AC446, "NA")</f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98964.73</v>
      </c>
      <c r="C124" s="18">
        <f>IFERROR(B124/B446, "NA")</f>
        <v>1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101059.57</v>
      </c>
      <c r="F124" s="18">
        <f>IFERROR(E124/E446, "NA")</f>
        <v>1</v>
      </c>
      <c r="G124" s="8"/>
      <c r="H124" s="17">
        <f t="shared" si="29"/>
        <v>-2094.84</v>
      </c>
      <c r="I124" s="18">
        <f>IFERROR(H124/H446, "NA")</f>
        <v>1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92566.59</v>
      </c>
      <c r="L124" s="18">
        <f>IFERROR(K124/K446, "NA")</f>
        <v>1</v>
      </c>
      <c r="M124" s="8"/>
      <c r="N124" s="17">
        <f t="shared" si="30"/>
        <v>6398.14</v>
      </c>
      <c r="O124" s="18">
        <f>IFERROR(N124/N446, "NA")</f>
        <v>1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880495.8</v>
      </c>
      <c r="R124" s="18">
        <f>IFERROR(Q124/Q446, "NA")</f>
        <v>1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968257.98</v>
      </c>
      <c r="U124" s="18">
        <f>IFERROR(T124/T446, "NA")</f>
        <v>1</v>
      </c>
      <c r="V124" s="8"/>
      <c r="W124" s="17">
        <f t="shared" si="31"/>
        <v>-87762.18</v>
      </c>
      <c r="X124" s="18">
        <f>IFERROR(W124/W446, "NA")</f>
        <v>1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898178.37</v>
      </c>
      <c r="AA124" s="18">
        <f>IFERROR(Z124/Z446, "NA")</f>
        <v>1</v>
      </c>
      <c r="AB124" s="8"/>
      <c r="AC124" s="17">
        <f t="shared" si="32"/>
        <v>-17682.57</v>
      </c>
      <c r="AD124" s="18">
        <f>IFERROR(AC124/AC446, "NA")</f>
        <v>1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t="16.5" hidden="1" customHeight="1">
      <c r="A127" s="11" t="s">
        <v>123</v>
      </c>
      <c r="B127" s="12">
        <v>0.0</v>
      </c>
      <c r="C127" s="13">
        <f>IFERROR(B127/B446, "NA")</f>
        <v>0</v>
      </c>
      <c r="D127" s="14"/>
      <c r="E127" s="12">
        <v>0.0</v>
      </c>
      <c r="F127" s="13">
        <f>IFERROR(E127/E446, "NA")</f>
        <v>0</v>
      </c>
      <c r="G127" s="14"/>
      <c r="H127" s="15">
        <f>IFERROR(-(B127-E127), "NA")</f>
        <v>0</v>
      </c>
      <c r="I127" s="13">
        <f>IFERROR(H127/H446, "NA")</f>
        <v>0</v>
      </c>
      <c r="J127" s="14"/>
      <c r="K127" s="12">
        <v>0.0</v>
      </c>
      <c r="L127" s="13">
        <f>IFERROR(K127/K446, "NA")</f>
        <v>0</v>
      </c>
      <c r="M127" s="14"/>
      <c r="N127" s="15">
        <f>IFERROR(-(B127-K127), "NA")</f>
        <v>0</v>
      </c>
      <c r="O127" s="13">
        <f>IFERROR(N127/N446, "NA")</f>
        <v>0</v>
      </c>
      <c r="P127" s="14"/>
      <c r="Q127" s="12">
        <v>0.0</v>
      </c>
      <c r="R127" s="13">
        <f>IFERROR(Q127/Q446, "NA")</f>
        <v>0</v>
      </c>
      <c r="S127" s="14"/>
      <c r="T127" s="12">
        <v>0.0</v>
      </c>
      <c r="U127" s="13">
        <f>IFERROR(T127/T446, "NA")</f>
        <v>0</v>
      </c>
      <c r="V127" s="14"/>
      <c r="W127" s="15">
        <f>IFERROR(-(Q127-T127), "NA")</f>
        <v>0</v>
      </c>
      <c r="X127" s="13">
        <f>IFERROR(W127/W446, "NA")</f>
        <v>0</v>
      </c>
      <c r="Y127" s="14"/>
      <c r="Z127" s="12">
        <v>0.0</v>
      </c>
      <c r="AA127" s="13">
        <f>IFERROR(Z127/Z446, "NA")</f>
        <v>0</v>
      </c>
      <c r="AB127" s="14"/>
      <c r="AC127" s="15">
        <f>IFERROR(-(Q127-Z127), "NA")</f>
        <v>0</v>
      </c>
      <c r="AD127" s="13">
        <f>IFERROR(AC127/AC446,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r="A129" s="11" t="s">
        <v>124</v>
      </c>
      <c r="B129" s="12">
        <v>0.0</v>
      </c>
      <c r="C129" s="13">
        <f>IFERROR(B129/B446, "NA")</f>
        <v>0</v>
      </c>
      <c r="D129" s="14"/>
      <c r="E129" s="12">
        <v>21727.81</v>
      </c>
      <c r="F129" s="13">
        <f>IFERROR(E129/E446, "NA")</f>
        <v>0.2150000242</v>
      </c>
      <c r="G129" s="14"/>
      <c r="H129" s="15">
        <f t="shared" ref="H129:H141" si="33">IFERROR(-(B129-E129), "NA")</f>
        <v>21727.81</v>
      </c>
      <c r="I129" s="13">
        <f>IFERROR(H129/H446, "NA")</f>
        <v>-10.37206183</v>
      </c>
      <c r="J129" s="14"/>
      <c r="K129" s="12">
        <v>0.0</v>
      </c>
      <c r="L129" s="13">
        <f>IFERROR(K129/K446, "NA")</f>
        <v>0</v>
      </c>
      <c r="M129" s="14"/>
      <c r="N129" s="15">
        <f t="shared" ref="N129:N141" si="34">IFERROR(-(B129-K129), "NA")</f>
        <v>0</v>
      </c>
      <c r="O129" s="13">
        <f>IFERROR(N129/N446, "NA")</f>
        <v>0</v>
      </c>
      <c r="P129" s="14"/>
      <c r="Q129" s="12">
        <v>0.0</v>
      </c>
      <c r="R129" s="13">
        <f>IFERROR(Q129/Q446, "NA")</f>
        <v>0</v>
      </c>
      <c r="S129" s="14"/>
      <c r="T129" s="12">
        <v>209632.18</v>
      </c>
      <c r="U129" s="13">
        <f>IFERROR(T129/T446, "NA")</f>
        <v>0.2165044692</v>
      </c>
      <c r="V129" s="14"/>
      <c r="W129" s="15">
        <f t="shared" ref="W129:W141" si="35">IFERROR(-(Q129-T129), "NA")</f>
        <v>209632.18</v>
      </c>
      <c r="X129" s="13">
        <f>IFERROR(W129/W446, "NA")</f>
        <v>-2.388639161</v>
      </c>
      <c r="Y129" s="14"/>
      <c r="Z129" s="12">
        <v>0.0</v>
      </c>
      <c r="AA129" s="13">
        <f>IFERROR(Z129/Z446, "NA")</f>
        <v>0</v>
      </c>
      <c r="AB129" s="14"/>
      <c r="AC129" s="15">
        <f t="shared" ref="AC129:AC141" si="36">IFERROR(-(Q129-Z129), "NA")</f>
        <v>0</v>
      </c>
      <c r="AD129" s="13">
        <f>IFERROR(AC129/AC446, "NA")</f>
        <v>0</v>
      </c>
    </row>
    <row r="130" ht="16.5" customHeight="1">
      <c r="A130" s="11" t="s">
        <v>125</v>
      </c>
      <c r="B130" s="12">
        <v>4720.67</v>
      </c>
      <c r="C130" s="13">
        <f>IFERROR(B130/B446, "NA")</f>
        <v>0.04770052927</v>
      </c>
      <c r="D130" s="14"/>
      <c r="E130" s="12">
        <v>0.0</v>
      </c>
      <c r="F130" s="13">
        <f>IFERROR(E130/E446, "NA")</f>
        <v>0</v>
      </c>
      <c r="G130" s="14"/>
      <c r="H130" s="15">
        <f t="shared" si="33"/>
        <v>-4720.67</v>
      </c>
      <c r="I130" s="13">
        <f>IFERROR(H130/H446, "NA")</f>
        <v>2.253475206</v>
      </c>
      <c r="J130" s="14"/>
      <c r="K130" s="12">
        <v>4211.18</v>
      </c>
      <c r="L130" s="13">
        <f>IFERROR(K130/K446, "NA")</f>
        <v>0.04549351985</v>
      </c>
      <c r="M130" s="14"/>
      <c r="N130" s="15">
        <f t="shared" si="34"/>
        <v>-509.49</v>
      </c>
      <c r="O130" s="13">
        <f>IFERROR(N130/N446, "NA")</f>
        <v>-0.07963095525</v>
      </c>
      <c r="P130" s="14"/>
      <c r="Q130" s="12">
        <v>44434.69</v>
      </c>
      <c r="R130" s="13">
        <f>IFERROR(Q130/Q446, "NA")</f>
        <v>0.05046553317</v>
      </c>
      <c r="S130" s="14"/>
      <c r="T130" s="12">
        <v>0.0</v>
      </c>
      <c r="U130" s="13">
        <f>IFERROR(T130/T446, "NA")</f>
        <v>0</v>
      </c>
      <c r="V130" s="14"/>
      <c r="W130" s="15">
        <f t="shared" si="35"/>
        <v>-44434.69</v>
      </c>
      <c r="X130" s="13">
        <f>IFERROR(W130/W446, "NA")</f>
        <v>0.5063079563</v>
      </c>
      <c r="Y130" s="14"/>
      <c r="Z130" s="12">
        <v>51932.13</v>
      </c>
      <c r="AA130" s="13">
        <f>IFERROR(Z130/Z446, "NA")</f>
        <v>0.05781939505</v>
      </c>
      <c r="AB130" s="14"/>
      <c r="AC130" s="15">
        <f t="shared" si="36"/>
        <v>7497.44</v>
      </c>
      <c r="AD130" s="13">
        <f>IFERROR(AC130/AC446, "NA")</f>
        <v>-0.4240017147</v>
      </c>
    </row>
    <row r="131" ht="16.5" customHeight="1">
      <c r="A131" s="11" t="s">
        <v>126</v>
      </c>
      <c r="B131" s="12">
        <v>2861.35</v>
      </c>
      <c r="C131" s="13">
        <f>IFERROR(B131/B446, "NA")</f>
        <v>0.02891282581</v>
      </c>
      <c r="D131" s="14"/>
      <c r="E131" s="12">
        <v>0.0</v>
      </c>
      <c r="F131" s="13">
        <f>IFERROR(E131/E446, "NA")</f>
        <v>0</v>
      </c>
      <c r="G131" s="14"/>
      <c r="H131" s="15">
        <f t="shared" si="33"/>
        <v>-2861.35</v>
      </c>
      <c r="I131" s="13">
        <f>IFERROR(H131/H446, "NA")</f>
        <v>1.36590384</v>
      </c>
      <c r="J131" s="14"/>
      <c r="K131" s="12">
        <v>2977.23</v>
      </c>
      <c r="L131" s="13">
        <f>IFERROR(K131/K446, "NA")</f>
        <v>0.0321631163</v>
      </c>
      <c r="M131" s="14"/>
      <c r="N131" s="15">
        <f t="shared" si="34"/>
        <v>115.88</v>
      </c>
      <c r="O131" s="13">
        <f>IFERROR(N131/N446, "NA")</f>
        <v>0.01811151366</v>
      </c>
      <c r="P131" s="14"/>
      <c r="Q131" s="12">
        <v>24159.65</v>
      </c>
      <c r="R131" s="13">
        <f>IFERROR(Q131/Q446, "NA")</f>
        <v>0.02743868852</v>
      </c>
      <c r="S131" s="14"/>
      <c r="T131" s="12">
        <v>0.0</v>
      </c>
      <c r="U131" s="13">
        <f>IFERROR(T131/T446, "NA")</f>
        <v>0</v>
      </c>
      <c r="V131" s="14"/>
      <c r="W131" s="15">
        <f t="shared" si="35"/>
        <v>-24159.65</v>
      </c>
      <c r="X131" s="13">
        <f>IFERROR(W131/W446, "NA")</f>
        <v>0.2752854362</v>
      </c>
      <c r="Y131" s="14"/>
      <c r="Z131" s="12">
        <v>29134.0</v>
      </c>
      <c r="AA131" s="13">
        <f>IFERROR(Z131/Z446, "NA")</f>
        <v>0.0324367642</v>
      </c>
      <c r="AB131" s="14"/>
      <c r="AC131" s="15">
        <f t="shared" si="36"/>
        <v>4974.35</v>
      </c>
      <c r="AD131" s="13">
        <f>IFERROR(AC131/AC446, "NA")</f>
        <v>-0.2813137457</v>
      </c>
    </row>
    <row r="132" ht="16.5" customHeight="1">
      <c r="A132" s="11" t="s">
        <v>127</v>
      </c>
      <c r="B132" s="12">
        <v>3412.85</v>
      </c>
      <c r="C132" s="13">
        <f>IFERROR(B132/B446, "NA")</f>
        <v>0.03448551822</v>
      </c>
      <c r="D132" s="14"/>
      <c r="E132" s="12">
        <v>0.0</v>
      </c>
      <c r="F132" s="13">
        <f>IFERROR(E132/E446, "NA")</f>
        <v>0</v>
      </c>
      <c r="G132" s="14"/>
      <c r="H132" s="15">
        <f t="shared" si="33"/>
        <v>-3412.85</v>
      </c>
      <c r="I132" s="13">
        <f>IFERROR(H132/H446, "NA")</f>
        <v>1.62916977</v>
      </c>
      <c r="J132" s="14"/>
      <c r="K132" s="12">
        <v>5158.3</v>
      </c>
      <c r="L132" s="13">
        <f>IFERROR(K132/K446, "NA")</f>
        <v>0.05572528922</v>
      </c>
      <c r="M132" s="14"/>
      <c r="N132" s="15">
        <f t="shared" si="34"/>
        <v>1745.45</v>
      </c>
      <c r="O132" s="13">
        <f>IFERROR(N132/N446, "NA")</f>
        <v>0.2728058467</v>
      </c>
      <c r="P132" s="14"/>
      <c r="Q132" s="12">
        <v>34091.41</v>
      </c>
      <c r="R132" s="13">
        <f>IFERROR(Q132/Q446, "NA")</f>
        <v>0.03871842432</v>
      </c>
      <c r="S132" s="14"/>
      <c r="T132" s="12">
        <v>0.0</v>
      </c>
      <c r="U132" s="13">
        <f>IFERROR(T132/T446, "NA")</f>
        <v>0</v>
      </c>
      <c r="V132" s="14"/>
      <c r="W132" s="15">
        <f t="shared" si="35"/>
        <v>-34091.41</v>
      </c>
      <c r="X132" s="13">
        <f>IFERROR(W132/W446, "NA")</f>
        <v>0.3884521784</v>
      </c>
      <c r="Y132" s="14"/>
      <c r="Z132" s="12">
        <v>41748.47</v>
      </c>
      <c r="AA132" s="13">
        <f>IFERROR(Z132/Z446, "NA")</f>
        <v>0.04648126853</v>
      </c>
      <c r="AB132" s="14"/>
      <c r="AC132" s="15">
        <f t="shared" si="36"/>
        <v>7657.06</v>
      </c>
      <c r="AD132" s="13">
        <f>IFERROR(AC132/AC446, "NA")</f>
        <v>-0.433028683</v>
      </c>
    </row>
    <row r="133" ht="16.5" customHeight="1">
      <c r="A133" s="11" t="s">
        <v>128</v>
      </c>
      <c r="B133" s="12">
        <v>2052.99</v>
      </c>
      <c r="C133" s="13">
        <f>IFERROR(B133/B446, "NA")</f>
        <v>0.02074466328</v>
      </c>
      <c r="D133" s="14"/>
      <c r="E133" s="12">
        <v>0.0</v>
      </c>
      <c r="F133" s="13">
        <f>IFERROR(E133/E446, "NA")</f>
        <v>0</v>
      </c>
      <c r="G133" s="14"/>
      <c r="H133" s="15">
        <f t="shared" si="33"/>
        <v>-2052.99</v>
      </c>
      <c r="I133" s="13">
        <f>IFERROR(H133/H446, "NA")</f>
        <v>0.9800223406</v>
      </c>
      <c r="J133" s="14"/>
      <c r="K133" s="12">
        <v>2618.82</v>
      </c>
      <c r="L133" s="13">
        <f>IFERROR(K133/K446, "NA")</f>
        <v>0.02829120096</v>
      </c>
      <c r="M133" s="14"/>
      <c r="N133" s="15">
        <f t="shared" si="34"/>
        <v>565.83</v>
      </c>
      <c r="O133" s="13">
        <f>IFERROR(N133/N446, "NA")</f>
        <v>0.0884366394</v>
      </c>
      <c r="P133" s="14"/>
      <c r="Q133" s="12">
        <v>20037.14</v>
      </c>
      <c r="R133" s="13">
        <f>IFERROR(Q133/Q446, "NA")</f>
        <v>0.02275665597</v>
      </c>
      <c r="S133" s="14"/>
      <c r="T133" s="12">
        <v>0.0</v>
      </c>
      <c r="U133" s="13">
        <f>IFERROR(T133/T446, "NA")</f>
        <v>0</v>
      </c>
      <c r="V133" s="14"/>
      <c r="W133" s="15">
        <f t="shared" si="35"/>
        <v>-20037.14</v>
      </c>
      <c r="X133" s="13">
        <f>IFERROR(W133/W446, "NA")</f>
        <v>0.2283117853</v>
      </c>
      <c r="Y133" s="14"/>
      <c r="Z133" s="12">
        <v>23575.51</v>
      </c>
      <c r="AA133" s="13">
        <f>IFERROR(Z133/Z446, "NA")</f>
        <v>0.02624813822</v>
      </c>
      <c r="AB133" s="14"/>
      <c r="AC133" s="15">
        <f t="shared" si="36"/>
        <v>3538.37</v>
      </c>
      <c r="AD133" s="13">
        <f>IFERROR(AC133/AC446, "NA")</f>
        <v>-0.2001049621</v>
      </c>
    </row>
    <row r="134" ht="16.5" customHeight="1">
      <c r="A134" s="11" t="s">
        <v>129</v>
      </c>
      <c r="B134" s="12">
        <v>1309.14</v>
      </c>
      <c r="C134" s="13">
        <f>IFERROR(B134/B446, "NA")</f>
        <v>0.01322834913</v>
      </c>
      <c r="D134" s="14"/>
      <c r="E134" s="12">
        <v>0.0</v>
      </c>
      <c r="F134" s="13">
        <f>IFERROR(E134/E446, "NA")</f>
        <v>0</v>
      </c>
      <c r="G134" s="14"/>
      <c r="H134" s="15">
        <f t="shared" si="33"/>
        <v>-1309.14</v>
      </c>
      <c r="I134" s="13">
        <f>IFERROR(H134/H446, "NA")</f>
        <v>0.6249355559</v>
      </c>
      <c r="J134" s="14"/>
      <c r="K134" s="12">
        <v>847.08</v>
      </c>
      <c r="L134" s="13">
        <f>IFERROR(K134/K446, "NA")</f>
        <v>0.009151033867</v>
      </c>
      <c r="M134" s="14"/>
      <c r="N134" s="15">
        <f t="shared" si="34"/>
        <v>-462.06</v>
      </c>
      <c r="O134" s="13">
        <f>IFERROR(N134/N446, "NA")</f>
        <v>-0.07221786332</v>
      </c>
      <c r="P134" s="14"/>
      <c r="Q134" s="12">
        <v>11594.89</v>
      </c>
      <c r="R134" s="13">
        <f>IFERROR(Q134/Q446, "NA")</f>
        <v>0.01316859206</v>
      </c>
      <c r="S134" s="14"/>
      <c r="T134" s="12">
        <v>0.0</v>
      </c>
      <c r="U134" s="13">
        <f>IFERROR(T134/T446, "NA")</f>
        <v>0</v>
      </c>
      <c r="V134" s="14"/>
      <c r="W134" s="15">
        <f t="shared" si="35"/>
        <v>-11594.89</v>
      </c>
      <c r="X134" s="13">
        <f>IFERROR(W134/W446, "NA")</f>
        <v>0.1321171603</v>
      </c>
      <c r="Y134" s="14"/>
      <c r="Z134" s="12">
        <v>8466.4</v>
      </c>
      <c r="AA134" s="13">
        <f>IFERROR(Z134/Z446, "NA")</f>
        <v>0.009426190034</v>
      </c>
      <c r="AB134" s="14"/>
      <c r="AC134" s="15">
        <f t="shared" si="36"/>
        <v>-3128.49</v>
      </c>
      <c r="AD134" s="13">
        <f>IFERROR(AC134/AC446, "NA")</f>
        <v>0.1769250737</v>
      </c>
    </row>
    <row r="135" ht="16.5" customHeight="1">
      <c r="A135" s="11" t="s">
        <v>130</v>
      </c>
      <c r="B135" s="12">
        <v>586.64</v>
      </c>
      <c r="C135" s="13">
        <f>IFERROR(B135/B446, "NA")</f>
        <v>0.005927768408</v>
      </c>
      <c r="D135" s="14"/>
      <c r="E135" s="12">
        <v>0.0</v>
      </c>
      <c r="F135" s="13">
        <f>IFERROR(E135/E446, "NA")</f>
        <v>0</v>
      </c>
      <c r="G135" s="14"/>
      <c r="H135" s="15">
        <f t="shared" si="33"/>
        <v>-586.64</v>
      </c>
      <c r="I135" s="13">
        <f>IFERROR(H135/H446, "NA")</f>
        <v>0.2800404804</v>
      </c>
      <c r="J135" s="14"/>
      <c r="K135" s="12">
        <v>622.89</v>
      </c>
      <c r="L135" s="13">
        <f>IFERROR(K135/K446, "NA")</f>
        <v>0.00672910172</v>
      </c>
      <c r="M135" s="14"/>
      <c r="N135" s="15">
        <f t="shared" si="34"/>
        <v>36.25</v>
      </c>
      <c r="O135" s="13">
        <f>IFERROR(N135/N446, "NA")</f>
        <v>0.005665709097</v>
      </c>
      <c r="P135" s="14"/>
      <c r="Q135" s="12">
        <v>6063.2</v>
      </c>
      <c r="R135" s="13">
        <f>IFERROR(Q135/Q446, "NA")</f>
        <v>0.006886120297</v>
      </c>
      <c r="S135" s="14"/>
      <c r="T135" s="12">
        <v>0.0</v>
      </c>
      <c r="U135" s="13">
        <f>IFERROR(T135/T446, "NA")</f>
        <v>0</v>
      </c>
      <c r="V135" s="14"/>
      <c r="W135" s="15">
        <f t="shared" si="35"/>
        <v>-6063.2</v>
      </c>
      <c r="X135" s="13">
        <f>IFERROR(W135/W446, "NA")</f>
        <v>0.06908670683</v>
      </c>
      <c r="Y135" s="14"/>
      <c r="Z135" s="12">
        <v>6837.25</v>
      </c>
      <c r="AA135" s="13">
        <f>IFERROR(Z135/Z446, "NA")</f>
        <v>0.007612352099</v>
      </c>
      <c r="AB135" s="14"/>
      <c r="AC135" s="15">
        <f t="shared" si="36"/>
        <v>774.05</v>
      </c>
      <c r="AD135" s="13">
        <f>IFERROR(AC135/AC446, "NA")</f>
        <v>-0.04377474541</v>
      </c>
    </row>
    <row r="136" ht="16.5" customHeight="1">
      <c r="A136" s="11" t="s">
        <v>131</v>
      </c>
      <c r="B136" s="12">
        <v>0.0</v>
      </c>
      <c r="C136" s="13">
        <f>IFERROR(B136/B446, "NA")</f>
        <v>0</v>
      </c>
      <c r="D136" s="14"/>
      <c r="E136" s="12">
        <v>0.0</v>
      </c>
      <c r="F136" s="13">
        <f>IFERROR(E136/E446, "NA")</f>
        <v>0</v>
      </c>
      <c r="G136" s="14"/>
      <c r="H136" s="15">
        <f t="shared" si="33"/>
        <v>0</v>
      </c>
      <c r="I136" s="13">
        <f>IFERROR(H136/H446, "NA")</f>
        <v>0</v>
      </c>
      <c r="J136" s="14"/>
      <c r="K136" s="12">
        <v>0.0</v>
      </c>
      <c r="L136" s="13">
        <f>IFERROR(K136/K446, "NA")</f>
        <v>0</v>
      </c>
      <c r="M136" s="14"/>
      <c r="N136" s="15">
        <f t="shared" si="34"/>
        <v>0</v>
      </c>
      <c r="O136" s="13">
        <f>IFERROR(N136/N446, "NA")</f>
        <v>0</v>
      </c>
      <c r="P136" s="14"/>
      <c r="Q136" s="12">
        <v>0.0</v>
      </c>
      <c r="R136" s="13">
        <f>IFERROR(Q136/Q446, "NA")</f>
        <v>0</v>
      </c>
      <c r="S136" s="14"/>
      <c r="T136" s="12">
        <v>0.0</v>
      </c>
      <c r="U136" s="13">
        <f>IFERROR(T136/T446, "NA")</f>
        <v>0</v>
      </c>
      <c r="V136" s="14"/>
      <c r="W136" s="15">
        <f t="shared" si="35"/>
        <v>0</v>
      </c>
      <c r="X136" s="13">
        <f>IFERROR(W136/W446, "NA")</f>
        <v>0</v>
      </c>
      <c r="Y136" s="14"/>
      <c r="Z136" s="12">
        <v>5225.92</v>
      </c>
      <c r="AA136" s="13">
        <f>IFERROR(Z136/Z446, "NA")</f>
        <v>0.005818354321</v>
      </c>
      <c r="AB136" s="14"/>
      <c r="AC136" s="15">
        <f t="shared" si="36"/>
        <v>5225.92</v>
      </c>
      <c r="AD136" s="13">
        <f>IFERROR(AC136/AC446, "NA")</f>
        <v>-0.29554075</v>
      </c>
    </row>
    <row r="137" ht="16.5" customHeight="1">
      <c r="A137" s="11" t="s">
        <v>132</v>
      </c>
      <c r="B137" s="12">
        <v>627.32</v>
      </c>
      <c r="C137" s="13">
        <f>IFERROR(B137/B446, "NA")</f>
        <v>0.006338823943</v>
      </c>
      <c r="D137" s="14"/>
      <c r="E137" s="12">
        <v>0.0</v>
      </c>
      <c r="F137" s="13">
        <f>IFERROR(E137/E446, "NA")</f>
        <v>0</v>
      </c>
      <c r="G137" s="14"/>
      <c r="H137" s="15">
        <f t="shared" si="33"/>
        <v>-627.32</v>
      </c>
      <c r="I137" s="13">
        <f>IFERROR(H137/H446, "NA")</f>
        <v>0.2994596246</v>
      </c>
      <c r="J137" s="14"/>
      <c r="K137" s="12">
        <v>656.13</v>
      </c>
      <c r="L137" s="13">
        <f>IFERROR(K137/K446, "NA")</f>
        <v>0.007088194564</v>
      </c>
      <c r="M137" s="14"/>
      <c r="N137" s="15">
        <f t="shared" si="34"/>
        <v>28.81</v>
      </c>
      <c r="O137" s="13">
        <f>IFERROR(N137/N446, "NA")</f>
        <v>0.004502871147</v>
      </c>
      <c r="P137" s="14"/>
      <c r="Q137" s="12">
        <v>4526.57</v>
      </c>
      <c r="R137" s="13">
        <f>IFERROR(Q137/Q446, "NA")</f>
        <v>0.005140933097</v>
      </c>
      <c r="S137" s="14"/>
      <c r="T137" s="12">
        <v>0.0</v>
      </c>
      <c r="U137" s="13">
        <f>IFERROR(T137/T446, "NA")</f>
        <v>0</v>
      </c>
      <c r="V137" s="14"/>
      <c r="W137" s="15">
        <f t="shared" si="35"/>
        <v>-4526.57</v>
      </c>
      <c r="X137" s="13">
        <f>IFERROR(W137/W446, "NA")</f>
        <v>0.05157768415</v>
      </c>
      <c r="Y137" s="14"/>
      <c r="Z137" s="12">
        <v>4962.74</v>
      </c>
      <c r="AA137" s="13">
        <f>IFERROR(Z137/Z446, "NA")</f>
        <v>0.005525339026</v>
      </c>
      <c r="AB137" s="14"/>
      <c r="AC137" s="15">
        <f t="shared" si="36"/>
        <v>436.17</v>
      </c>
      <c r="AD137" s="13">
        <f>IFERROR(AC137/AC446, "NA")</f>
        <v>-0.02466666327</v>
      </c>
    </row>
    <row r="138" ht="16.5" customHeight="1">
      <c r="A138" s="11" t="s">
        <v>133</v>
      </c>
      <c r="B138" s="12">
        <v>6389.67</v>
      </c>
      <c r="C138" s="13">
        <f>IFERROR(B138/B446, "NA")</f>
        <v>0.06456512335</v>
      </c>
      <c r="D138" s="14"/>
      <c r="E138" s="12">
        <v>0.0</v>
      </c>
      <c r="F138" s="13">
        <f>IFERROR(E138/E446, "NA")</f>
        <v>0</v>
      </c>
      <c r="G138" s="14"/>
      <c r="H138" s="15">
        <f t="shared" si="33"/>
        <v>-6389.67</v>
      </c>
      <c r="I138" s="13">
        <f>IFERROR(H138/H446, "NA")</f>
        <v>3.050194764</v>
      </c>
      <c r="J138" s="14"/>
      <c r="K138" s="12">
        <v>6161.74</v>
      </c>
      <c r="L138" s="13">
        <f>IFERROR(K138/K446, "NA")</f>
        <v>0.06656548545</v>
      </c>
      <c r="M138" s="14"/>
      <c r="N138" s="15">
        <f t="shared" si="34"/>
        <v>-227.93</v>
      </c>
      <c r="O138" s="13">
        <f>IFERROR(N138/N446, "NA")</f>
        <v>-0.03562441585</v>
      </c>
      <c r="P138" s="14"/>
      <c r="Q138" s="12">
        <v>59753.81</v>
      </c>
      <c r="R138" s="13">
        <f>IFERROR(Q138/Q446, "NA")</f>
        <v>0.06786382172</v>
      </c>
      <c r="S138" s="14"/>
      <c r="T138" s="12">
        <v>0.0</v>
      </c>
      <c r="U138" s="13">
        <f>IFERROR(T138/T446, "NA")</f>
        <v>0</v>
      </c>
      <c r="V138" s="14"/>
      <c r="W138" s="15">
        <f t="shared" si="35"/>
        <v>-59753.81</v>
      </c>
      <c r="X138" s="13">
        <f>IFERROR(W138/W446, "NA")</f>
        <v>0.6808605939</v>
      </c>
      <c r="Y138" s="14"/>
      <c r="Z138" s="12">
        <v>56005.47</v>
      </c>
      <c r="AA138" s="13">
        <f>IFERROR(Z138/Z446, "NA")</f>
        <v>0.0623545076</v>
      </c>
      <c r="AB138" s="14"/>
      <c r="AC138" s="15">
        <f t="shared" si="36"/>
        <v>-3748.34</v>
      </c>
      <c r="AD138" s="13">
        <f>IFERROR(AC138/AC446, "NA")</f>
        <v>0.2119793673</v>
      </c>
    </row>
    <row r="139" ht="16.5" hidden="1" customHeight="1">
      <c r="A139" s="11" t="s">
        <v>134</v>
      </c>
      <c r="B139" s="12">
        <v>0.0</v>
      </c>
      <c r="C139" s="13">
        <f>IFERROR(B139/B446, "NA")</f>
        <v>0</v>
      </c>
      <c r="D139" s="14"/>
      <c r="E139" s="12">
        <v>0.0</v>
      </c>
      <c r="F139" s="13">
        <f>IFERROR(E139/E446, "NA")</f>
        <v>0</v>
      </c>
      <c r="G139" s="14"/>
      <c r="H139" s="15">
        <f t="shared" si="33"/>
        <v>0</v>
      </c>
      <c r="I139" s="13">
        <f>IFERROR(H139/H446, "NA")</f>
        <v>0</v>
      </c>
      <c r="J139" s="14"/>
      <c r="K139" s="12">
        <v>0.0</v>
      </c>
      <c r="L139" s="13">
        <f>IFERROR(K139/K446, "NA")</f>
        <v>0</v>
      </c>
      <c r="M139" s="14"/>
      <c r="N139" s="15">
        <f t="shared" si="34"/>
        <v>0</v>
      </c>
      <c r="O139" s="13">
        <f>IFERROR(N139/N446, "NA")</f>
        <v>0</v>
      </c>
      <c r="P139" s="14"/>
      <c r="Q139" s="12">
        <v>0.0</v>
      </c>
      <c r="R139" s="13">
        <f>IFERROR(Q139/Q446, "NA")</f>
        <v>0</v>
      </c>
      <c r="S139" s="14"/>
      <c r="T139" s="12">
        <v>0.0</v>
      </c>
      <c r="U139" s="13">
        <f>IFERROR(T139/T446, "NA")</f>
        <v>0</v>
      </c>
      <c r="V139" s="14"/>
      <c r="W139" s="15">
        <f t="shared" si="35"/>
        <v>0</v>
      </c>
      <c r="X139" s="13">
        <f>IFERROR(W139/W446, "NA")</f>
        <v>0</v>
      </c>
      <c r="Y139" s="14"/>
      <c r="Z139" s="12">
        <v>0.0</v>
      </c>
      <c r="AA139" s="13">
        <f>IFERROR(Z139/Z446, "NA")</f>
        <v>0</v>
      </c>
      <c r="AB139" s="14"/>
      <c r="AC139" s="15">
        <f t="shared" si="36"/>
        <v>0</v>
      </c>
      <c r="AD139" s="13">
        <f>IFERROR(AC139/AC446, "NA")</f>
        <v>0</v>
      </c>
    </row>
    <row r="140" ht="16.5" hidden="1" customHeight="1">
      <c r="A140" s="11" t="s">
        <v>135</v>
      </c>
      <c r="B140" s="12">
        <v>0.0</v>
      </c>
      <c r="C140" s="13">
        <f>IFERROR(B140/B446, "NA")</f>
        <v>0</v>
      </c>
      <c r="D140" s="14"/>
      <c r="E140" s="12">
        <v>0.0</v>
      </c>
      <c r="F140" s="13">
        <f>IFERROR(E140/E446, "NA")</f>
        <v>0</v>
      </c>
      <c r="G140" s="14"/>
      <c r="H140" s="15">
        <f t="shared" si="33"/>
        <v>0</v>
      </c>
      <c r="I140" s="13">
        <f>IFERROR(H140/H446, "NA")</f>
        <v>0</v>
      </c>
      <c r="J140" s="14"/>
      <c r="K140" s="12">
        <v>0.0</v>
      </c>
      <c r="L140" s="13">
        <f>IFERROR(K140/K446, "NA")</f>
        <v>0</v>
      </c>
      <c r="M140" s="14"/>
      <c r="N140" s="15">
        <f t="shared" si="34"/>
        <v>0</v>
      </c>
      <c r="O140" s="13">
        <f>IFERROR(N140/N446, "NA")</f>
        <v>0</v>
      </c>
      <c r="P140" s="14"/>
      <c r="Q140" s="12">
        <v>0.0</v>
      </c>
      <c r="R140" s="13">
        <f>IFERROR(Q140/Q446, "NA")</f>
        <v>0</v>
      </c>
      <c r="S140" s="14"/>
      <c r="T140" s="12">
        <v>0.0</v>
      </c>
      <c r="U140" s="13">
        <f>IFERROR(T140/T446, "NA")</f>
        <v>0</v>
      </c>
      <c r="V140" s="14"/>
      <c r="W140" s="15">
        <f t="shared" si="35"/>
        <v>0</v>
      </c>
      <c r="X140" s="13">
        <f>IFERROR(W140/W446, "NA")</f>
        <v>0</v>
      </c>
      <c r="Y140" s="14"/>
      <c r="Z140" s="12">
        <v>0.0</v>
      </c>
      <c r="AA140" s="13">
        <f>IFERROR(Z140/Z446, "NA")</f>
        <v>0</v>
      </c>
      <c r="AB140" s="14"/>
      <c r="AC140" s="15">
        <f t="shared" si="36"/>
        <v>0</v>
      </c>
      <c r="AD140" s="13">
        <f>IFERROR(AC140/AC446, "NA")</f>
        <v>0</v>
      </c>
    </row>
    <row r="141" ht="16.5" customHeight="1">
      <c r="A141" s="16" t="s">
        <v>136</v>
      </c>
      <c r="B141" s="17">
        <f>IFERROR(B129+B130+B131+B132+B133+B134+B135+B136+B137+B138+B139+B140, "NA")</f>
        <v>21960.63</v>
      </c>
      <c r="C141" s="18">
        <f>IFERROR(B141/B446, "NA")</f>
        <v>0.2219036014</v>
      </c>
      <c r="D141" s="8"/>
      <c r="E141" s="17">
        <f>IFERROR(E129+E130+E131+E132+E133+E134+E135+E136+E137+E138+E139+E140, "NA")</f>
        <v>21727.81</v>
      </c>
      <c r="F141" s="18">
        <f>IFERROR(E141/E446, "NA")</f>
        <v>0.2150000242</v>
      </c>
      <c r="G141" s="8"/>
      <c r="H141" s="17">
        <f t="shared" si="33"/>
        <v>-232.82</v>
      </c>
      <c r="I141" s="18">
        <f>IFERROR(H141/H446, "NA")</f>
        <v>0.1111397529</v>
      </c>
      <c r="J141" s="8"/>
      <c r="K141" s="17">
        <f>IFERROR(K129+K130+K131+K132+K133+K134+K135+K136+K137+K138+K139+K140, "NA")</f>
        <v>23253.37</v>
      </c>
      <c r="L141" s="18">
        <f>IFERROR(K141/K446, "NA")</f>
        <v>0.2512069419</v>
      </c>
      <c r="M141" s="8"/>
      <c r="N141" s="17">
        <f t="shared" si="34"/>
        <v>1292.74</v>
      </c>
      <c r="O141" s="18">
        <f>IFERROR(N141/N446, "NA")</f>
        <v>0.2020493456</v>
      </c>
      <c r="P141" s="8"/>
      <c r="Q141" s="17">
        <f>IFERROR(Q129+Q130+Q131+Q132+Q133+Q134+Q135+Q136+Q137+Q138+Q139+Q140, "NA")</f>
        <v>204661.36</v>
      </c>
      <c r="R141" s="18">
        <f>IFERROR(Q141/Q446, "NA")</f>
        <v>0.2324387692</v>
      </c>
      <c r="S141" s="8"/>
      <c r="T141" s="17">
        <f>IFERROR(T129+T130+T131+T132+T133+T134+T135+T136+T137+T138+T139+T140, "NA")</f>
        <v>209632.18</v>
      </c>
      <c r="U141" s="18">
        <f>IFERROR(T141/T446, "NA")</f>
        <v>0.2165044692</v>
      </c>
      <c r="V141" s="8"/>
      <c r="W141" s="17">
        <f t="shared" si="35"/>
        <v>4970.82</v>
      </c>
      <c r="X141" s="18">
        <f>IFERROR(W141/W446, "NA")</f>
        <v>-0.05663965959</v>
      </c>
      <c r="Y141" s="8"/>
      <c r="Z141" s="17">
        <f>IFERROR(Z129+Z130+Z131+Z132+Z133+Z134+Z135+Z136+Z137+Z138+Z139+Z140, "NA")</f>
        <v>227887.89</v>
      </c>
      <c r="AA141" s="18">
        <f>IFERROR(Z141/Z446, "NA")</f>
        <v>0.2537223091</v>
      </c>
      <c r="AB141" s="8"/>
      <c r="AC141" s="17">
        <f t="shared" si="36"/>
        <v>23226.53</v>
      </c>
      <c r="AD141" s="18">
        <f>IFERROR(AC141/AC446, "NA")</f>
        <v>-1.313526823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r="A143" s="11" t="s">
        <v>137</v>
      </c>
      <c r="B143" s="12">
        <v>0.0</v>
      </c>
      <c r="C143" s="13">
        <f>IFERROR(B143/B446, "NA")</f>
        <v>0</v>
      </c>
      <c r="D143" s="14"/>
      <c r="E143" s="12">
        <v>1111.66</v>
      </c>
      <c r="F143" s="13">
        <f>IFERROR(E143/E446, "NA")</f>
        <v>0.0110000468</v>
      </c>
      <c r="G143" s="14"/>
      <c r="H143" s="15">
        <f t="shared" ref="H143:H149" si="37">IFERROR(-(B143-E143), "NA")</f>
        <v>1111.66</v>
      </c>
      <c r="I143" s="13">
        <f>IFERROR(H143/H446, "NA")</f>
        <v>-0.5306658265</v>
      </c>
      <c r="J143" s="14"/>
      <c r="K143" s="12">
        <v>0.0</v>
      </c>
      <c r="L143" s="13">
        <f>IFERROR(K143/K446, "NA")</f>
        <v>0</v>
      </c>
      <c r="M143" s="14"/>
      <c r="N143" s="15">
        <f t="shared" ref="N143:N149" si="38">IFERROR(-(B143-K143), "NA")</f>
        <v>0</v>
      </c>
      <c r="O143" s="13">
        <f>IFERROR(N143/N446, "NA")</f>
        <v>0</v>
      </c>
      <c r="P143" s="14"/>
      <c r="Q143" s="12">
        <v>0.0</v>
      </c>
      <c r="R143" s="13">
        <f>IFERROR(Q143/Q446, "NA")</f>
        <v>0</v>
      </c>
      <c r="S143" s="14"/>
      <c r="T143" s="12">
        <v>10650.85</v>
      </c>
      <c r="U143" s="13">
        <f>IFERROR(T143/T446, "NA")</f>
        <v>0.01100001262</v>
      </c>
      <c r="V143" s="14"/>
      <c r="W143" s="15">
        <f t="shared" ref="W143:W149" si="39">IFERROR(-(Q143-T143), "NA")</f>
        <v>10650.85</v>
      </c>
      <c r="X143" s="13">
        <f>IFERROR(W143/W446, "NA")</f>
        <v>-0.1213603627</v>
      </c>
      <c r="Y143" s="14"/>
      <c r="Z143" s="12">
        <v>0.0</v>
      </c>
      <c r="AA143" s="13">
        <f>IFERROR(Z143/Z446, "NA")</f>
        <v>0</v>
      </c>
      <c r="AB143" s="14"/>
      <c r="AC143" s="15">
        <f t="shared" ref="AC143:AC149" si="40">IFERROR(-(Q143-Z143), "NA")</f>
        <v>0</v>
      </c>
      <c r="AD143" s="13">
        <f>IFERROR(AC143/AC446, "NA")</f>
        <v>0</v>
      </c>
    </row>
    <row r="144" ht="16.5" customHeight="1">
      <c r="A144" s="11" t="s">
        <v>138</v>
      </c>
      <c r="B144" s="12">
        <v>977.41</v>
      </c>
      <c r="C144" s="13">
        <f>IFERROR(B144/B446, "NA")</f>
        <v>0.009876346856</v>
      </c>
      <c r="D144" s="14"/>
      <c r="E144" s="12">
        <v>0.0</v>
      </c>
      <c r="F144" s="13">
        <f>IFERROR(E144/E446, "NA")</f>
        <v>0</v>
      </c>
      <c r="G144" s="14"/>
      <c r="H144" s="15">
        <f t="shared" si="37"/>
        <v>-977.41</v>
      </c>
      <c r="I144" s="13">
        <f>IFERROR(H144/H446, "NA")</f>
        <v>0.4665797865</v>
      </c>
      <c r="J144" s="14"/>
      <c r="K144" s="12">
        <v>1423.27</v>
      </c>
      <c r="L144" s="13">
        <f>IFERROR(K144/K446, "NA")</f>
        <v>0.01537563391</v>
      </c>
      <c r="M144" s="14"/>
      <c r="N144" s="15">
        <f t="shared" si="38"/>
        <v>445.86</v>
      </c>
      <c r="O144" s="13">
        <f>IFERROR(N144/N446, "NA")</f>
        <v>0.06968587746</v>
      </c>
      <c r="P144" s="14"/>
      <c r="Q144" s="12">
        <v>10354.52</v>
      </c>
      <c r="R144" s="13">
        <f>IFERROR(Q144/Q446, "NA")</f>
        <v>0.01175987438</v>
      </c>
      <c r="S144" s="14"/>
      <c r="T144" s="12">
        <v>0.0</v>
      </c>
      <c r="U144" s="13">
        <f>IFERROR(T144/T446, "NA")</f>
        <v>0</v>
      </c>
      <c r="V144" s="14"/>
      <c r="W144" s="15">
        <f t="shared" si="39"/>
        <v>-10354.52</v>
      </c>
      <c r="X144" s="13">
        <f>IFERROR(W144/W446, "NA")</f>
        <v>0.1179838514</v>
      </c>
      <c r="Y144" s="14"/>
      <c r="Z144" s="12">
        <v>13142.23</v>
      </c>
      <c r="AA144" s="13">
        <f>IFERROR(Z144/Z446, "NA")</f>
        <v>0.01463209362</v>
      </c>
      <c r="AB144" s="14"/>
      <c r="AC144" s="15">
        <f t="shared" si="40"/>
        <v>2787.71</v>
      </c>
      <c r="AD144" s="13">
        <f>IFERROR(AC144/AC446, "NA")</f>
        <v>-0.1576529882</v>
      </c>
    </row>
    <row r="145" ht="16.5" customHeight="1">
      <c r="A145" s="11" t="s">
        <v>139</v>
      </c>
      <c r="B145" s="12">
        <v>26.56</v>
      </c>
      <c r="C145" s="13">
        <f>IFERROR(B145/B446, "NA")</f>
        <v>0.0002683784415</v>
      </c>
      <c r="D145" s="14"/>
      <c r="E145" s="12">
        <v>0.0</v>
      </c>
      <c r="F145" s="13">
        <f>IFERROR(E145/E446, "NA")</f>
        <v>0</v>
      </c>
      <c r="G145" s="14"/>
      <c r="H145" s="15">
        <f t="shared" si="37"/>
        <v>-26.56</v>
      </c>
      <c r="I145" s="13">
        <f>IFERROR(H145/H446, "NA")</f>
        <v>0.0126787726</v>
      </c>
      <c r="J145" s="14"/>
      <c r="K145" s="12">
        <v>37.88</v>
      </c>
      <c r="L145" s="13">
        <f>IFERROR(K145/K446, "NA")</f>
        <v>0.0004092189201</v>
      </c>
      <c r="M145" s="14"/>
      <c r="N145" s="15">
        <f t="shared" si="38"/>
        <v>11.32</v>
      </c>
      <c r="O145" s="13">
        <f>IFERROR(N145/N446, "NA")</f>
        <v>0.001769264192</v>
      </c>
      <c r="P145" s="14"/>
      <c r="Q145" s="12">
        <v>374.2</v>
      </c>
      <c r="R145" s="13">
        <f>IFERROR(Q145/Q446, "NA")</f>
        <v>0.0004249878307</v>
      </c>
      <c r="S145" s="14"/>
      <c r="T145" s="12">
        <v>0.0</v>
      </c>
      <c r="U145" s="13">
        <f>IFERROR(T145/T446, "NA")</f>
        <v>0</v>
      </c>
      <c r="V145" s="14"/>
      <c r="W145" s="15">
        <f t="shared" si="39"/>
        <v>-374.2</v>
      </c>
      <c r="X145" s="13">
        <f>IFERROR(W145/W446, "NA")</f>
        <v>0.004263795635</v>
      </c>
      <c r="Y145" s="14"/>
      <c r="Z145" s="12">
        <v>431.67</v>
      </c>
      <c r="AA145" s="13">
        <f>IFERROR(Z145/Z446, "NA")</f>
        <v>0.0004806060961</v>
      </c>
      <c r="AB145" s="14"/>
      <c r="AC145" s="15">
        <f t="shared" si="40"/>
        <v>57.47</v>
      </c>
      <c r="AD145" s="13">
        <f>IFERROR(AC145/AC446, "NA")</f>
        <v>-0.003250093171</v>
      </c>
    </row>
    <row r="146" ht="16.5" customHeight="1">
      <c r="A146" s="11" t="s">
        <v>140</v>
      </c>
      <c r="B146" s="12">
        <v>0.0</v>
      </c>
      <c r="C146" s="13">
        <f>IFERROR(B146/B446, "NA")</f>
        <v>0</v>
      </c>
      <c r="D146" s="14"/>
      <c r="E146" s="12">
        <v>0.0</v>
      </c>
      <c r="F146" s="13">
        <f>IFERROR(E146/E446, "NA")</f>
        <v>0</v>
      </c>
      <c r="G146" s="14"/>
      <c r="H146" s="15">
        <f t="shared" si="37"/>
        <v>0</v>
      </c>
      <c r="I146" s="13">
        <f>IFERROR(H146/H446, "NA")</f>
        <v>0</v>
      </c>
      <c r="J146" s="14"/>
      <c r="K146" s="12">
        <v>59.57</v>
      </c>
      <c r="L146" s="13">
        <f>IFERROR(K146/K446, "NA")</f>
        <v>0.0006435367231</v>
      </c>
      <c r="M146" s="14"/>
      <c r="N146" s="15">
        <f t="shared" si="38"/>
        <v>59.57</v>
      </c>
      <c r="O146" s="13">
        <f>IFERROR(N146/N446, "NA")</f>
        <v>0.009310518369</v>
      </c>
      <c r="P146" s="14"/>
      <c r="Q146" s="12">
        <v>-118.29</v>
      </c>
      <c r="R146" s="13">
        <f>IFERROR(Q146/Q446, "NA")</f>
        <v>-0.0001343447635</v>
      </c>
      <c r="S146" s="14"/>
      <c r="T146" s="12">
        <v>0.0</v>
      </c>
      <c r="U146" s="13">
        <f>IFERROR(T146/T446, "NA")</f>
        <v>0</v>
      </c>
      <c r="V146" s="14"/>
      <c r="W146" s="15">
        <f t="shared" si="39"/>
        <v>118.29</v>
      </c>
      <c r="X146" s="13">
        <f>IFERROR(W146/W446, "NA")</f>
        <v>-0.001347847102</v>
      </c>
      <c r="Y146" s="14"/>
      <c r="Z146" s="12">
        <v>893.37</v>
      </c>
      <c r="AA146" s="13">
        <f>IFERROR(Z146/Z446, "NA")</f>
        <v>0.0009946465311</v>
      </c>
      <c r="AB146" s="14"/>
      <c r="AC146" s="15">
        <f t="shared" si="40"/>
        <v>1011.66</v>
      </c>
      <c r="AD146" s="13">
        <f>IFERROR(AC146/AC446, "NA")</f>
        <v>-0.05721227175</v>
      </c>
    </row>
    <row r="147" ht="16.5" customHeight="1">
      <c r="A147" s="11" t="s">
        <v>141</v>
      </c>
      <c r="B147" s="12">
        <v>0.0</v>
      </c>
      <c r="C147" s="13">
        <f>IFERROR(B147/B446, "NA")</f>
        <v>0</v>
      </c>
      <c r="D147" s="14"/>
      <c r="E147" s="12">
        <v>0.0</v>
      </c>
      <c r="F147" s="13">
        <f>IFERROR(E147/E446, "NA")</f>
        <v>0</v>
      </c>
      <c r="G147" s="14"/>
      <c r="H147" s="15">
        <f t="shared" si="37"/>
        <v>0</v>
      </c>
      <c r="I147" s="13">
        <f>IFERROR(H147/H446, "NA")</f>
        <v>0</v>
      </c>
      <c r="J147" s="14"/>
      <c r="K147" s="12">
        <v>24.83</v>
      </c>
      <c r="L147" s="13">
        <f>IFERROR(K147/K446, "NA")</f>
        <v>0.0002682393291</v>
      </c>
      <c r="M147" s="14"/>
      <c r="N147" s="15">
        <f t="shared" si="38"/>
        <v>24.83</v>
      </c>
      <c r="O147" s="13">
        <f>IFERROR(N147/N446, "NA")</f>
        <v>0.003880815362</v>
      </c>
      <c r="P147" s="14"/>
      <c r="Q147" s="12">
        <v>26.78</v>
      </c>
      <c r="R147" s="13">
        <f>IFERROR(Q147/Q446, "NA")</f>
        <v>0.00003041468227</v>
      </c>
      <c r="S147" s="14"/>
      <c r="T147" s="12">
        <v>0.0</v>
      </c>
      <c r="U147" s="13">
        <f>IFERROR(T147/T446, "NA")</f>
        <v>0</v>
      </c>
      <c r="V147" s="14"/>
      <c r="W147" s="15">
        <f t="shared" si="39"/>
        <v>-26.78</v>
      </c>
      <c r="X147" s="13">
        <f>IFERROR(W147/W446, "NA")</f>
        <v>0.0003051428303</v>
      </c>
      <c r="Y147" s="14"/>
      <c r="Z147" s="12">
        <v>109.79</v>
      </c>
      <c r="AA147" s="13">
        <f>IFERROR(Z147/Z446, "NA")</f>
        <v>0.0001222362992</v>
      </c>
      <c r="AB147" s="14"/>
      <c r="AC147" s="15">
        <f t="shared" si="40"/>
        <v>83.01</v>
      </c>
      <c r="AD147" s="13">
        <f>IFERROR(AC147/AC446, "NA")</f>
        <v>-0.004694453352</v>
      </c>
    </row>
    <row r="148" ht="16.5" customHeight="1">
      <c r="A148" s="16" t="s">
        <v>142</v>
      </c>
      <c r="B148" s="17">
        <f>IFERROR(B143+B144+B145+B146+B147, "NA")</f>
        <v>1003.97</v>
      </c>
      <c r="C148" s="18">
        <f>IFERROR(B148/B446, "NA")</f>
        <v>0.0101447253</v>
      </c>
      <c r="D148" s="8"/>
      <c r="E148" s="17">
        <f>IFERROR(E143+E144+E145+E146+E147, "NA")</f>
        <v>1111.66</v>
      </c>
      <c r="F148" s="18">
        <f>IFERROR(E148/E446, "NA")</f>
        <v>0.0110000468</v>
      </c>
      <c r="G148" s="8"/>
      <c r="H148" s="17">
        <f t="shared" si="37"/>
        <v>107.69</v>
      </c>
      <c r="I148" s="18">
        <f>IFERROR(H148/H446, "NA")</f>
        <v>-0.05140726738</v>
      </c>
      <c r="J148" s="8"/>
      <c r="K148" s="17">
        <f>IFERROR(K143+K144+K145+K146+K147, "NA")</f>
        <v>1545.55</v>
      </c>
      <c r="L148" s="18">
        <f>IFERROR(K148/K446, "NA")</f>
        <v>0.01669662888</v>
      </c>
      <c r="M148" s="8"/>
      <c r="N148" s="17">
        <f t="shared" si="38"/>
        <v>541.58</v>
      </c>
      <c r="O148" s="18">
        <f>IFERROR(N148/N446, "NA")</f>
        <v>0.08464647538</v>
      </c>
      <c r="P148" s="8"/>
      <c r="Q148" s="17">
        <f>IFERROR(Q143+Q144+Q145+Q146+Q147, "NA")</f>
        <v>10637.21</v>
      </c>
      <c r="R148" s="18">
        <f>IFERROR(Q148/Q446, "NA")</f>
        <v>0.01208093213</v>
      </c>
      <c r="S148" s="8"/>
      <c r="T148" s="17">
        <f>IFERROR(T143+T144+T145+T146+T147, "NA")</f>
        <v>10650.85</v>
      </c>
      <c r="U148" s="18">
        <f>IFERROR(T148/T446, "NA")</f>
        <v>0.01100001262</v>
      </c>
      <c r="V148" s="8"/>
      <c r="W148" s="17">
        <f t="shared" si="39"/>
        <v>13.64</v>
      </c>
      <c r="X148" s="18">
        <f>IFERROR(W148/W446, "NA")</f>
        <v>-0.0001554200226</v>
      </c>
      <c r="Y148" s="8"/>
      <c r="Z148" s="17">
        <f>IFERROR(Z143+Z144+Z145+Z146+Z147, "NA")</f>
        <v>14577.06</v>
      </c>
      <c r="AA148" s="18">
        <f>IFERROR(Z148/Z446, "NA")</f>
        <v>0.01622958255</v>
      </c>
      <c r="AB148" s="8"/>
      <c r="AC148" s="17">
        <f t="shared" si="40"/>
        <v>3939.85</v>
      </c>
      <c r="AD148" s="18">
        <f>IFERROR(AC148/AC446, "NA")</f>
        <v>-0.2228098065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22964.6</v>
      </c>
      <c r="C149" s="18">
        <f>IFERROR(B149/B446, "NA")</f>
        <v>0.2320483267</v>
      </c>
      <c r="D149" s="8"/>
      <c r="E149" s="17">
        <f>IFERROR(E127+E129+E130+E131+E132+E133+E134+E135+E136+E137+E138+E139+E140+E143+E144+E145+E146+E147, "NA")</f>
        <v>22839.47</v>
      </c>
      <c r="F149" s="18">
        <f>IFERROR(E149/E446, "NA")</f>
        <v>0.226000071</v>
      </c>
      <c r="G149" s="8"/>
      <c r="H149" s="17">
        <f t="shared" si="37"/>
        <v>-125.13</v>
      </c>
      <c r="I149" s="18">
        <f>IFERROR(H149/H446, "NA")</f>
        <v>0.05973248554</v>
      </c>
      <c r="J149" s="8"/>
      <c r="K149" s="17">
        <f>IFERROR(K127+K129+K130+K131+K132+K133+K134+K135+K136+K137+K138+K139+K140+K143+K144+K145+K146+K147, "NA")</f>
        <v>24798.92</v>
      </c>
      <c r="L149" s="18">
        <f>IFERROR(K149/K446, "NA")</f>
        <v>0.2679035708</v>
      </c>
      <c r="M149" s="8"/>
      <c r="N149" s="17">
        <f t="shared" si="38"/>
        <v>1834.32</v>
      </c>
      <c r="O149" s="18">
        <f>IFERROR(N149/N446, "NA")</f>
        <v>0.286695821</v>
      </c>
      <c r="P149" s="8"/>
      <c r="Q149" s="17">
        <f>IFERROR(Q127+Q129+Q130+Q131+Q132+Q133+Q134+Q135+Q136+Q137+Q138+Q139+Q140+Q143+Q144+Q145+Q146+Q147, "NA")</f>
        <v>215298.57</v>
      </c>
      <c r="R149" s="18">
        <f>IFERROR(Q149/Q446, "NA")</f>
        <v>0.2445197013</v>
      </c>
      <c r="S149" s="8"/>
      <c r="T149" s="17">
        <f>IFERROR(T127+T129+T130+T131+T132+T133+T134+T135+T136+T137+T138+T139+T140+T143+T144+T145+T146+T147, "NA")</f>
        <v>220283.03</v>
      </c>
      <c r="U149" s="18">
        <f>IFERROR(T149/T446, "NA")</f>
        <v>0.2275044818</v>
      </c>
      <c r="V149" s="8"/>
      <c r="W149" s="17">
        <f t="shared" si="39"/>
        <v>4984.46</v>
      </c>
      <c r="X149" s="18">
        <f>IFERROR(W149/W446, "NA")</f>
        <v>-0.05679507961</v>
      </c>
      <c r="Y149" s="8"/>
      <c r="Z149" s="17">
        <f>IFERROR(Z127+Z129+Z130+Z131+Z132+Z133+Z134+Z135+Z136+Z137+Z138+Z139+Z140+Z143+Z144+Z145+Z146+Z147, "NA")</f>
        <v>242464.95</v>
      </c>
      <c r="AA149" s="18">
        <f>IFERROR(Z149/Z446, "NA")</f>
        <v>0.2699518916</v>
      </c>
      <c r="AB149" s="8"/>
      <c r="AC149" s="17">
        <f t="shared" si="40"/>
        <v>27166.38</v>
      </c>
      <c r="AD149" s="18">
        <f>IFERROR(AC149/AC446, "NA")</f>
        <v>-1.53633663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t="16.5" hidden="1" customHeight="1">
      <c r="A151" s="11" t="s">
        <v>144</v>
      </c>
      <c r="B151" s="12">
        <v>0.0</v>
      </c>
      <c r="C151" s="13">
        <f>IFERROR(B151/B446, "NA")</f>
        <v>0</v>
      </c>
      <c r="D151" s="14"/>
      <c r="E151" s="12">
        <v>0.0</v>
      </c>
      <c r="F151" s="13">
        <f>IFERROR(E151/E446, "NA")</f>
        <v>0</v>
      </c>
      <c r="G151" s="14"/>
      <c r="H151" s="15">
        <f>IFERROR(-(B151-E151), "NA")</f>
        <v>0</v>
      </c>
      <c r="I151" s="13">
        <f>IFERROR(H151/H446, "NA")</f>
        <v>0</v>
      </c>
      <c r="J151" s="14"/>
      <c r="K151" s="12">
        <v>0.0</v>
      </c>
      <c r="L151" s="13">
        <f>IFERROR(K151/K446, "NA")</f>
        <v>0</v>
      </c>
      <c r="M151" s="14"/>
      <c r="N151" s="15">
        <f>IFERROR(-(B151-K151), "NA")</f>
        <v>0</v>
      </c>
      <c r="O151" s="13">
        <f>IFERROR(N151/N446, "NA")</f>
        <v>0</v>
      </c>
      <c r="P151" s="14"/>
      <c r="Q151" s="12">
        <v>0.0</v>
      </c>
      <c r="R151" s="13">
        <f>IFERROR(Q151/Q446, "NA")</f>
        <v>0</v>
      </c>
      <c r="S151" s="14"/>
      <c r="T151" s="12">
        <v>0.0</v>
      </c>
      <c r="U151" s="13">
        <f>IFERROR(T151/T446, "NA")</f>
        <v>0</v>
      </c>
      <c r="V151" s="14"/>
      <c r="W151" s="15">
        <f>IFERROR(-(Q151-T151), "NA")</f>
        <v>0</v>
      </c>
      <c r="X151" s="13">
        <f>IFERROR(W151/W446, "NA")</f>
        <v>0</v>
      </c>
      <c r="Y151" s="14"/>
      <c r="Z151" s="12">
        <v>0.0</v>
      </c>
      <c r="AA151" s="13">
        <f>IFERROR(Z151/Z446, "NA")</f>
        <v>0</v>
      </c>
      <c r="AB151" s="14"/>
      <c r="AC151" s="15">
        <f>IFERROR(-(Q151-Z151), "NA")</f>
        <v>0</v>
      </c>
      <c r="AD151" s="13">
        <f>IFERROR(AC151/AC446,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r="A153" s="11" t="s">
        <v>145</v>
      </c>
      <c r="B153" s="12">
        <v>0.0</v>
      </c>
      <c r="C153" s="13">
        <f>IFERROR(B153/B446, "NA")</f>
        <v>0</v>
      </c>
      <c r="D153" s="14"/>
      <c r="E153" s="12">
        <v>4143.44</v>
      </c>
      <c r="F153" s="13">
        <f>IFERROR(E153/E446, "NA")</f>
        <v>0.04099997655</v>
      </c>
      <c r="G153" s="14"/>
      <c r="H153" s="15">
        <f t="shared" ref="H153:H158" si="41">IFERROR(-(B153-E153), "NA")</f>
        <v>4143.44</v>
      </c>
      <c r="I153" s="13">
        <f>IFERROR(H153/H446, "NA")</f>
        <v>-1.977926715</v>
      </c>
      <c r="J153" s="14"/>
      <c r="K153" s="12">
        <v>0.0</v>
      </c>
      <c r="L153" s="13">
        <f>IFERROR(K153/K446, "NA")</f>
        <v>0</v>
      </c>
      <c r="M153" s="14"/>
      <c r="N153" s="15">
        <f t="shared" ref="N153:N158" si="42">IFERROR(-(B153-K153), "NA")</f>
        <v>0</v>
      </c>
      <c r="O153" s="13">
        <f>IFERROR(N153/N446, "NA")</f>
        <v>0</v>
      </c>
      <c r="P153" s="14"/>
      <c r="Q153" s="12">
        <v>0.0</v>
      </c>
      <c r="R153" s="13">
        <f>IFERROR(Q153/Q446, "NA")</f>
        <v>0</v>
      </c>
      <c r="S153" s="14"/>
      <c r="T153" s="12">
        <v>39698.57</v>
      </c>
      <c r="U153" s="13">
        <f>IFERROR(T153/T446, "NA")</f>
        <v>0.04099999258</v>
      </c>
      <c r="V153" s="14"/>
      <c r="W153" s="15">
        <f t="shared" ref="W153:W158" si="43">IFERROR(-(Q153-T153), "NA")</f>
        <v>39698.57</v>
      </c>
      <c r="X153" s="13">
        <f>IFERROR(W153/W446, "NA")</f>
        <v>-0.4523425694</v>
      </c>
      <c r="Y153" s="14"/>
      <c r="Z153" s="12">
        <v>0.0</v>
      </c>
      <c r="AA153" s="13">
        <f>IFERROR(Z153/Z446, "NA")</f>
        <v>0</v>
      </c>
      <c r="AB153" s="14"/>
      <c r="AC153" s="15">
        <f t="shared" ref="AC153:AC158" si="44">IFERROR(-(Q153-Z153), "NA")</f>
        <v>0</v>
      </c>
      <c r="AD153" s="13">
        <f>IFERROR(AC153/AC446, "NA")</f>
        <v>0</v>
      </c>
    </row>
    <row r="154" ht="16.5" customHeight="1">
      <c r="A154" s="11" t="s">
        <v>146</v>
      </c>
      <c r="B154" s="12">
        <v>3005.5</v>
      </c>
      <c r="C154" s="13">
        <f>IFERROR(B154/B446, "NA")</f>
        <v>0.03036940534</v>
      </c>
      <c r="D154" s="14"/>
      <c r="E154" s="12">
        <v>0.0</v>
      </c>
      <c r="F154" s="13">
        <f>IFERROR(E154/E446, "NA")</f>
        <v>0</v>
      </c>
      <c r="G154" s="14"/>
      <c r="H154" s="15">
        <f t="shared" si="41"/>
        <v>-3005.5</v>
      </c>
      <c r="I154" s="13">
        <f>IFERROR(H154/H446, "NA")</f>
        <v>1.434715778</v>
      </c>
      <c r="J154" s="14"/>
      <c r="K154" s="12">
        <v>3072.11</v>
      </c>
      <c r="L154" s="13">
        <f>IFERROR(K154/K446, "NA")</f>
        <v>0.03318810815</v>
      </c>
      <c r="M154" s="14"/>
      <c r="N154" s="15">
        <f t="shared" si="42"/>
        <v>66.61</v>
      </c>
      <c r="O154" s="13">
        <f>IFERROR(N154/N446, "NA")</f>
        <v>0.01041083815</v>
      </c>
      <c r="P154" s="14"/>
      <c r="Q154" s="12">
        <v>27404.13</v>
      </c>
      <c r="R154" s="13">
        <f>IFERROR(Q154/Q446, "NA")</f>
        <v>0.03112352154</v>
      </c>
      <c r="S154" s="14"/>
      <c r="T154" s="12">
        <v>0.0</v>
      </c>
      <c r="U154" s="13">
        <f>IFERROR(T154/T446, "NA")</f>
        <v>0</v>
      </c>
      <c r="V154" s="14"/>
      <c r="W154" s="15">
        <f t="shared" si="43"/>
        <v>-27404.13</v>
      </c>
      <c r="X154" s="13">
        <f>IFERROR(W154/W446, "NA")</f>
        <v>0.3122544358</v>
      </c>
      <c r="Y154" s="14"/>
      <c r="Z154" s="12">
        <v>30105.32</v>
      </c>
      <c r="AA154" s="13">
        <f>IFERROR(Z154/Z446, "NA")</f>
        <v>0.0335181975</v>
      </c>
      <c r="AB154" s="14"/>
      <c r="AC154" s="15">
        <f t="shared" si="44"/>
        <v>2701.19</v>
      </c>
      <c r="AD154" s="13">
        <f>IFERROR(AC154/AC446, "NA")</f>
        <v>-0.1527600343</v>
      </c>
    </row>
    <row r="155" ht="16.5" customHeight="1">
      <c r="A155" s="11" t="s">
        <v>147</v>
      </c>
      <c r="B155" s="12">
        <v>431.93</v>
      </c>
      <c r="C155" s="13">
        <f>IFERROR(B155/B446, "NA")</f>
        <v>0.004364484196</v>
      </c>
      <c r="D155" s="14"/>
      <c r="E155" s="12">
        <v>0.0</v>
      </c>
      <c r="F155" s="13">
        <f>IFERROR(E155/E446, "NA")</f>
        <v>0</v>
      </c>
      <c r="G155" s="14"/>
      <c r="H155" s="15">
        <f t="shared" si="41"/>
        <v>-431.93</v>
      </c>
      <c r="I155" s="13">
        <f>IFERROR(H155/H446, "NA")</f>
        <v>0.2061875847</v>
      </c>
      <c r="J155" s="14"/>
      <c r="K155" s="12">
        <v>989.97</v>
      </c>
      <c r="L155" s="13">
        <f>IFERROR(K155/K446, "NA")</f>
        <v>0.01069467937</v>
      </c>
      <c r="M155" s="14"/>
      <c r="N155" s="15">
        <f t="shared" si="42"/>
        <v>558.04</v>
      </c>
      <c r="O155" s="13">
        <f>IFERROR(N155/N446, "NA")</f>
        <v>0.08721909805</v>
      </c>
      <c r="P155" s="14"/>
      <c r="Q155" s="12">
        <v>6808.49</v>
      </c>
      <c r="R155" s="13">
        <f>IFERROR(Q155/Q446, "NA")</f>
        <v>0.007732563858</v>
      </c>
      <c r="S155" s="14"/>
      <c r="T155" s="12">
        <v>0.0</v>
      </c>
      <c r="U155" s="13">
        <f>IFERROR(T155/T446, "NA")</f>
        <v>0</v>
      </c>
      <c r="V155" s="14"/>
      <c r="W155" s="15">
        <f t="shared" si="43"/>
        <v>-6808.49</v>
      </c>
      <c r="X155" s="13">
        <f>IFERROR(W155/W446, "NA")</f>
        <v>0.07757886142</v>
      </c>
      <c r="Y155" s="14"/>
      <c r="Z155" s="12">
        <v>8913.37</v>
      </c>
      <c r="AA155" s="13">
        <f>IFERROR(Z155/Z446, "NA")</f>
        <v>0.009923830608</v>
      </c>
      <c r="AB155" s="14"/>
      <c r="AC155" s="15">
        <f t="shared" si="44"/>
        <v>2104.88</v>
      </c>
      <c r="AD155" s="13">
        <f>IFERROR(AC155/AC446, "NA")</f>
        <v>-0.1190369952</v>
      </c>
    </row>
    <row r="156" ht="16.5" hidden="1" customHeight="1">
      <c r="A156" s="11" t="s">
        <v>148</v>
      </c>
      <c r="B156" s="12">
        <v>0.0</v>
      </c>
      <c r="C156" s="13">
        <f>IFERROR(B156/B446, "NA")</f>
        <v>0</v>
      </c>
      <c r="D156" s="14"/>
      <c r="E156" s="12">
        <v>0.0</v>
      </c>
      <c r="F156" s="13">
        <f>IFERROR(E156/E446, "NA")</f>
        <v>0</v>
      </c>
      <c r="G156" s="14"/>
      <c r="H156" s="15">
        <f t="shared" si="41"/>
        <v>0</v>
      </c>
      <c r="I156" s="13">
        <f>IFERROR(H156/H446, "NA")</f>
        <v>0</v>
      </c>
      <c r="J156" s="14"/>
      <c r="K156" s="12">
        <v>0.0</v>
      </c>
      <c r="L156" s="13">
        <f>IFERROR(K156/K446, "NA")</f>
        <v>0</v>
      </c>
      <c r="M156" s="14"/>
      <c r="N156" s="15">
        <f t="shared" si="42"/>
        <v>0</v>
      </c>
      <c r="O156" s="13">
        <f>IFERROR(N156/N446, "NA")</f>
        <v>0</v>
      </c>
      <c r="P156" s="14"/>
      <c r="Q156" s="12">
        <v>0.0</v>
      </c>
      <c r="R156" s="13">
        <f>IFERROR(Q156/Q446, "NA")</f>
        <v>0</v>
      </c>
      <c r="S156" s="14"/>
      <c r="T156" s="12">
        <v>0.0</v>
      </c>
      <c r="U156" s="13">
        <f>IFERROR(T156/T446, "NA")</f>
        <v>0</v>
      </c>
      <c r="V156" s="14"/>
      <c r="W156" s="15">
        <f t="shared" si="43"/>
        <v>0</v>
      </c>
      <c r="X156" s="13">
        <f>IFERROR(W156/W446, "NA")</f>
        <v>0</v>
      </c>
      <c r="Y156" s="14"/>
      <c r="Z156" s="12">
        <v>0.0</v>
      </c>
      <c r="AA156" s="13">
        <f>IFERROR(Z156/Z446, "NA")</f>
        <v>0</v>
      </c>
      <c r="AB156" s="14"/>
      <c r="AC156" s="15">
        <f t="shared" si="44"/>
        <v>0</v>
      </c>
      <c r="AD156" s="13">
        <f>IFERROR(AC156/AC446, "NA")</f>
        <v>0</v>
      </c>
    </row>
    <row r="157" ht="16.5" hidden="1" customHeight="1">
      <c r="A157" s="11" t="s">
        <v>149</v>
      </c>
      <c r="B157" s="12">
        <v>0.0</v>
      </c>
      <c r="C157" s="13">
        <f>IFERROR(B157/B446, "NA")</f>
        <v>0</v>
      </c>
      <c r="D157" s="14"/>
      <c r="E157" s="12">
        <v>0.0</v>
      </c>
      <c r="F157" s="13">
        <f>IFERROR(E157/E446, "NA")</f>
        <v>0</v>
      </c>
      <c r="G157" s="14"/>
      <c r="H157" s="15">
        <f t="shared" si="41"/>
        <v>0</v>
      </c>
      <c r="I157" s="13">
        <f>IFERROR(H157/H446, "NA")</f>
        <v>0</v>
      </c>
      <c r="J157" s="14"/>
      <c r="K157" s="12">
        <v>0.0</v>
      </c>
      <c r="L157" s="13">
        <f>IFERROR(K157/K446, "NA")</f>
        <v>0</v>
      </c>
      <c r="M157" s="14"/>
      <c r="N157" s="15">
        <f t="shared" si="42"/>
        <v>0</v>
      </c>
      <c r="O157" s="13">
        <f>IFERROR(N157/N446, "NA")</f>
        <v>0</v>
      </c>
      <c r="P157" s="14"/>
      <c r="Q157" s="12">
        <v>0.0</v>
      </c>
      <c r="R157" s="13">
        <f>IFERROR(Q157/Q446, "NA")</f>
        <v>0</v>
      </c>
      <c r="S157" s="14"/>
      <c r="T157" s="12">
        <v>0.0</v>
      </c>
      <c r="U157" s="13">
        <f>IFERROR(T157/T446, "NA")</f>
        <v>0</v>
      </c>
      <c r="V157" s="14"/>
      <c r="W157" s="15">
        <f t="shared" si="43"/>
        <v>0</v>
      </c>
      <c r="X157" s="13">
        <f>IFERROR(W157/W446, "NA")</f>
        <v>0</v>
      </c>
      <c r="Y157" s="14"/>
      <c r="Z157" s="12">
        <v>0.0</v>
      </c>
      <c r="AA157" s="13">
        <f>IFERROR(Z157/Z446, "NA")</f>
        <v>0</v>
      </c>
      <c r="AB157" s="14"/>
      <c r="AC157" s="15">
        <f t="shared" si="44"/>
        <v>0</v>
      </c>
      <c r="AD157" s="13">
        <f>IFERROR(AC157/AC446, "NA")</f>
        <v>0</v>
      </c>
    </row>
    <row r="158" ht="16.5" customHeight="1">
      <c r="A158" s="16" t="s">
        <v>150</v>
      </c>
      <c r="B158" s="17">
        <f>IFERROR(B153+B154+B155+B156+B157, "NA")</f>
        <v>3437.43</v>
      </c>
      <c r="C158" s="18">
        <f>IFERROR(B158/B446, "NA")</f>
        <v>0.03473388954</v>
      </c>
      <c r="D158" s="8"/>
      <c r="E158" s="17">
        <f>IFERROR(E153+E154+E155+E156+E157, "NA")</f>
        <v>4143.44</v>
      </c>
      <c r="F158" s="18">
        <f>IFERROR(E158/E446, "NA")</f>
        <v>0.04099997655</v>
      </c>
      <c r="G158" s="8"/>
      <c r="H158" s="17">
        <f t="shared" si="41"/>
        <v>706.01</v>
      </c>
      <c r="I158" s="18">
        <f>IFERROR(H158/H446, "NA")</f>
        <v>-0.3370233526</v>
      </c>
      <c r="J158" s="8"/>
      <c r="K158" s="17">
        <f>IFERROR(K153+K154+K155+K156+K157, "NA")</f>
        <v>4062.08</v>
      </c>
      <c r="L158" s="18">
        <f>IFERROR(K158/K446, "NA")</f>
        <v>0.04388278752</v>
      </c>
      <c r="M158" s="8"/>
      <c r="N158" s="17">
        <f t="shared" si="42"/>
        <v>624.65</v>
      </c>
      <c r="O158" s="18">
        <f>IFERROR(N158/N446, "NA")</f>
        <v>0.0976299362</v>
      </c>
      <c r="P158" s="8"/>
      <c r="Q158" s="17">
        <f>IFERROR(Q153+Q154+Q155+Q156+Q157, "NA")</f>
        <v>34212.62</v>
      </c>
      <c r="R158" s="18">
        <f>IFERROR(Q158/Q446, "NA")</f>
        <v>0.0388560854</v>
      </c>
      <c r="S158" s="8"/>
      <c r="T158" s="17">
        <f>IFERROR(T153+T154+T155+T156+T157, "NA")</f>
        <v>39698.57</v>
      </c>
      <c r="U158" s="18">
        <f>IFERROR(T158/T446, "NA")</f>
        <v>0.04099999258</v>
      </c>
      <c r="V158" s="8"/>
      <c r="W158" s="17">
        <f t="shared" si="43"/>
        <v>5485.95</v>
      </c>
      <c r="X158" s="18">
        <f>IFERROR(W158/W446, "NA")</f>
        <v>-0.06250927222</v>
      </c>
      <c r="Y158" s="8"/>
      <c r="Z158" s="17">
        <f>IFERROR(Z153+Z154+Z155+Z156+Z157, "NA")</f>
        <v>39018.69</v>
      </c>
      <c r="AA158" s="18">
        <f>IFERROR(Z158/Z446, "NA")</f>
        <v>0.04344202811</v>
      </c>
      <c r="AB158" s="8"/>
      <c r="AC158" s="17">
        <f t="shared" si="44"/>
        <v>4806.07</v>
      </c>
      <c r="AD158" s="18">
        <f>IFERROR(AC158/AC446, "NA")</f>
        <v>-0.2717970295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t="16.5" hidden="1" customHeight="1">
      <c r="A160" s="11" t="s">
        <v>151</v>
      </c>
      <c r="B160" s="12">
        <v>0.0</v>
      </c>
      <c r="C160" s="13">
        <f>IFERROR(B160/B446, "NA")</f>
        <v>0</v>
      </c>
      <c r="D160" s="14"/>
      <c r="E160" s="12">
        <v>0.0</v>
      </c>
      <c r="F160" s="13">
        <f>IFERROR(E160/E446, "NA")</f>
        <v>0</v>
      </c>
      <c r="G160" s="14"/>
      <c r="H160" s="15">
        <f t="shared" ref="H160:H171" si="45">IFERROR(-(B160-E160), "NA")</f>
        <v>0</v>
      </c>
      <c r="I160" s="13">
        <f>IFERROR(H160/H446, "NA")</f>
        <v>0</v>
      </c>
      <c r="J160" s="14"/>
      <c r="K160" s="12">
        <v>0.0</v>
      </c>
      <c r="L160" s="13">
        <f>IFERROR(K160/K446, "NA")</f>
        <v>0</v>
      </c>
      <c r="M160" s="14"/>
      <c r="N160" s="15">
        <f t="shared" ref="N160:N171" si="46">IFERROR(-(B160-K160), "NA")</f>
        <v>0</v>
      </c>
      <c r="O160" s="13">
        <f>IFERROR(N160/N446, "NA")</f>
        <v>0</v>
      </c>
      <c r="P160" s="14"/>
      <c r="Q160" s="12">
        <v>0.0</v>
      </c>
      <c r="R160" s="13">
        <f>IFERROR(Q160/Q446, "NA")</f>
        <v>0</v>
      </c>
      <c r="S160" s="14"/>
      <c r="T160" s="12">
        <v>0.0</v>
      </c>
      <c r="U160" s="13">
        <f>IFERROR(T160/T446, "NA")</f>
        <v>0</v>
      </c>
      <c r="V160" s="14"/>
      <c r="W160" s="15">
        <f t="shared" ref="W160:W171" si="47">IFERROR(-(Q160-T160), "NA")</f>
        <v>0</v>
      </c>
      <c r="X160" s="13">
        <f>IFERROR(W160/W446, "NA")</f>
        <v>0</v>
      </c>
      <c r="Y160" s="14"/>
      <c r="Z160" s="12">
        <v>0.0</v>
      </c>
      <c r="AA160" s="13">
        <f>IFERROR(Z160/Z446, "NA")</f>
        <v>0</v>
      </c>
      <c r="AB160" s="14"/>
      <c r="AC160" s="15">
        <f t="shared" ref="AC160:AC171" si="48">IFERROR(-(Q160-Z160), "NA")</f>
        <v>0</v>
      </c>
      <c r="AD160" s="13">
        <f>IFERROR(AC160/AC446, "NA")</f>
        <v>0</v>
      </c>
    </row>
    <row r="161" ht="16.5" customHeight="1">
      <c r="A161" s="11" t="s">
        <v>152</v>
      </c>
      <c r="B161" s="12">
        <v>747.68</v>
      </c>
      <c r="C161" s="13">
        <f>IFERROR(B161/B446, "NA")</f>
        <v>0.007555014802</v>
      </c>
      <c r="D161" s="14"/>
      <c r="E161" s="12">
        <v>0.0</v>
      </c>
      <c r="F161" s="13">
        <f>IFERROR(E161/E446, "NA")</f>
        <v>0</v>
      </c>
      <c r="G161" s="14"/>
      <c r="H161" s="15">
        <f t="shared" si="45"/>
        <v>-747.68</v>
      </c>
      <c r="I161" s="13">
        <f>IFERROR(H161/H446, "NA")</f>
        <v>0.3569150866</v>
      </c>
      <c r="J161" s="14"/>
      <c r="K161" s="12">
        <v>222.4</v>
      </c>
      <c r="L161" s="13">
        <f>IFERROR(K161/K446, "NA")</f>
        <v>0.002402594716</v>
      </c>
      <c r="M161" s="14"/>
      <c r="N161" s="15">
        <f t="shared" si="46"/>
        <v>-525.28</v>
      </c>
      <c r="O161" s="13">
        <f>IFERROR(N161/N446, "NA")</f>
        <v>-0.08209885998</v>
      </c>
      <c r="P161" s="14"/>
      <c r="Q161" s="12">
        <v>3186.67</v>
      </c>
      <c r="R161" s="13">
        <f>IFERROR(Q161/Q446, "NA")</f>
        <v>0.003619176832</v>
      </c>
      <c r="S161" s="14"/>
      <c r="T161" s="12">
        <v>0.0</v>
      </c>
      <c r="U161" s="13">
        <f>IFERROR(T161/T446, "NA")</f>
        <v>0</v>
      </c>
      <c r="V161" s="14"/>
      <c r="W161" s="15">
        <f t="shared" si="47"/>
        <v>-3186.67</v>
      </c>
      <c r="X161" s="13">
        <f>IFERROR(W161/W446, "NA")</f>
        <v>0.03631028764</v>
      </c>
      <c r="Y161" s="14"/>
      <c r="Z161" s="12">
        <v>3402.89</v>
      </c>
      <c r="AA161" s="13">
        <f>IFERROR(Z161/Z446, "NA")</f>
        <v>0.003788657257</v>
      </c>
      <c r="AB161" s="14"/>
      <c r="AC161" s="15">
        <f t="shared" si="48"/>
        <v>216.22</v>
      </c>
      <c r="AD161" s="13">
        <f>IFERROR(AC161/AC446, "NA")</f>
        <v>-0.01222786054</v>
      </c>
    </row>
    <row r="162" ht="16.5" customHeight="1">
      <c r="A162" s="11" t="s">
        <v>153</v>
      </c>
      <c r="B162" s="12">
        <v>0.0</v>
      </c>
      <c r="C162" s="13">
        <f>IFERROR(B162/B446, "NA")</f>
        <v>0</v>
      </c>
      <c r="D162" s="14"/>
      <c r="E162" s="12">
        <v>0.0</v>
      </c>
      <c r="F162" s="13">
        <f>IFERROR(E162/E446, "NA")</f>
        <v>0</v>
      </c>
      <c r="G162" s="14"/>
      <c r="H162" s="15">
        <f t="shared" si="45"/>
        <v>0</v>
      </c>
      <c r="I162" s="13">
        <f>IFERROR(H162/H446, "NA")</f>
        <v>0</v>
      </c>
      <c r="J162" s="14"/>
      <c r="K162" s="12">
        <v>0.0</v>
      </c>
      <c r="L162" s="13">
        <f>IFERROR(K162/K446, "NA")</f>
        <v>0</v>
      </c>
      <c r="M162" s="14"/>
      <c r="N162" s="15">
        <f t="shared" si="46"/>
        <v>0</v>
      </c>
      <c r="O162" s="13">
        <f>IFERROR(N162/N446, "NA")</f>
        <v>0</v>
      </c>
      <c r="P162" s="14"/>
      <c r="Q162" s="12">
        <v>3.5</v>
      </c>
      <c r="R162" s="13">
        <f>IFERROR(Q162/Q446, "NA")</f>
        <v>0.000003975033157</v>
      </c>
      <c r="S162" s="14"/>
      <c r="T162" s="12">
        <v>0.0</v>
      </c>
      <c r="U162" s="13">
        <f>IFERROR(T162/T446, "NA")</f>
        <v>0</v>
      </c>
      <c r="V162" s="14"/>
      <c r="W162" s="15">
        <f t="shared" si="47"/>
        <v>-3.5</v>
      </c>
      <c r="X162" s="13">
        <f>IFERROR(W162/W446, "NA")</f>
        <v>0.00003988050434</v>
      </c>
      <c r="Y162" s="14"/>
      <c r="Z162" s="12">
        <v>0.0</v>
      </c>
      <c r="AA162" s="13">
        <f>IFERROR(Z162/Z446, "NA")</f>
        <v>0</v>
      </c>
      <c r="AB162" s="14"/>
      <c r="AC162" s="15">
        <f t="shared" si="48"/>
        <v>-3.5</v>
      </c>
      <c r="AD162" s="13">
        <f>IFERROR(AC162/AC446, "NA")</f>
        <v>0.0001979350287</v>
      </c>
    </row>
    <row r="163" ht="16.5" customHeight="1">
      <c r="A163" s="11" t="s">
        <v>154</v>
      </c>
      <c r="B163" s="12">
        <v>0.0</v>
      </c>
      <c r="C163" s="13">
        <f>IFERROR(B163/B446, "NA")</f>
        <v>0</v>
      </c>
      <c r="D163" s="14"/>
      <c r="E163" s="12">
        <v>0.0</v>
      </c>
      <c r="F163" s="13">
        <f>IFERROR(E163/E446, "NA")</f>
        <v>0</v>
      </c>
      <c r="G163" s="14"/>
      <c r="H163" s="15">
        <f t="shared" si="45"/>
        <v>0</v>
      </c>
      <c r="I163" s="13">
        <f>IFERROR(H163/H446, "NA")</f>
        <v>0</v>
      </c>
      <c r="J163" s="14"/>
      <c r="K163" s="12">
        <v>0.0</v>
      </c>
      <c r="L163" s="13">
        <f>IFERROR(K163/K446, "NA")</f>
        <v>0</v>
      </c>
      <c r="M163" s="14"/>
      <c r="N163" s="15">
        <f t="shared" si="46"/>
        <v>0</v>
      </c>
      <c r="O163" s="13">
        <f>IFERROR(N163/N446, "NA")</f>
        <v>0</v>
      </c>
      <c r="P163" s="14"/>
      <c r="Q163" s="12">
        <v>1.4</v>
      </c>
      <c r="R163" s="13">
        <f>IFERROR(Q163/Q446, "NA")</f>
        <v>0.000001590013263</v>
      </c>
      <c r="S163" s="14"/>
      <c r="T163" s="12">
        <v>0.0</v>
      </c>
      <c r="U163" s="13">
        <f>IFERROR(T163/T446, "NA")</f>
        <v>0</v>
      </c>
      <c r="V163" s="14"/>
      <c r="W163" s="15">
        <f t="shared" si="47"/>
        <v>-1.4</v>
      </c>
      <c r="X163" s="13">
        <f>IFERROR(W163/W446, "NA")</f>
        <v>0.00001595220173</v>
      </c>
      <c r="Y163" s="14"/>
      <c r="Z163" s="12">
        <v>0.0</v>
      </c>
      <c r="AA163" s="13">
        <f>IFERROR(Z163/Z446, "NA")</f>
        <v>0</v>
      </c>
      <c r="AB163" s="14"/>
      <c r="AC163" s="15">
        <f t="shared" si="48"/>
        <v>-1.4</v>
      </c>
      <c r="AD163" s="13">
        <f>IFERROR(AC163/AC446, "NA")</f>
        <v>0.00007917401147</v>
      </c>
    </row>
    <row r="164" ht="16.5" hidden="1" customHeight="1">
      <c r="A164" s="11" t="s">
        <v>155</v>
      </c>
      <c r="B164" s="12">
        <v>0.0</v>
      </c>
      <c r="C164" s="13">
        <f>IFERROR(B164/B446, "NA")</f>
        <v>0</v>
      </c>
      <c r="D164" s="14"/>
      <c r="E164" s="12">
        <v>0.0</v>
      </c>
      <c r="F164" s="13">
        <f>IFERROR(E164/E446, "NA")</f>
        <v>0</v>
      </c>
      <c r="G164" s="14"/>
      <c r="H164" s="15">
        <f t="shared" si="45"/>
        <v>0</v>
      </c>
      <c r="I164" s="13">
        <f>IFERROR(H164/H446, "NA")</f>
        <v>0</v>
      </c>
      <c r="J164" s="14"/>
      <c r="K164" s="12">
        <v>0.0</v>
      </c>
      <c r="L164" s="13">
        <f>IFERROR(K164/K446, "NA")</f>
        <v>0</v>
      </c>
      <c r="M164" s="14"/>
      <c r="N164" s="15">
        <f t="shared" si="46"/>
        <v>0</v>
      </c>
      <c r="O164" s="13">
        <f>IFERROR(N164/N446, "NA")</f>
        <v>0</v>
      </c>
      <c r="P164" s="14"/>
      <c r="Q164" s="12">
        <v>0.0</v>
      </c>
      <c r="R164" s="13">
        <f>IFERROR(Q164/Q446, "NA")</f>
        <v>0</v>
      </c>
      <c r="S164" s="14"/>
      <c r="T164" s="12">
        <v>0.0</v>
      </c>
      <c r="U164" s="13">
        <f>IFERROR(T164/T446, "NA")</f>
        <v>0</v>
      </c>
      <c r="V164" s="14"/>
      <c r="W164" s="15">
        <f t="shared" si="47"/>
        <v>0</v>
      </c>
      <c r="X164" s="13">
        <f>IFERROR(W164/W446, "NA")</f>
        <v>0</v>
      </c>
      <c r="Y164" s="14"/>
      <c r="Z164" s="12">
        <v>0.0</v>
      </c>
      <c r="AA164" s="13">
        <f>IFERROR(Z164/Z446, "NA")</f>
        <v>0</v>
      </c>
      <c r="AB164" s="14"/>
      <c r="AC164" s="15">
        <f t="shared" si="48"/>
        <v>0</v>
      </c>
      <c r="AD164" s="13">
        <f>IFERROR(AC164/AC446, "NA")</f>
        <v>0</v>
      </c>
    </row>
    <row r="165" ht="16.5" hidden="1" customHeight="1">
      <c r="A165" s="11" t="s">
        <v>156</v>
      </c>
      <c r="B165" s="12">
        <v>0.0</v>
      </c>
      <c r="C165" s="13">
        <f>IFERROR(B165/B446, "NA")</f>
        <v>0</v>
      </c>
      <c r="D165" s="14"/>
      <c r="E165" s="12">
        <v>0.0</v>
      </c>
      <c r="F165" s="13">
        <f>IFERROR(E165/E446, "NA")</f>
        <v>0</v>
      </c>
      <c r="G165" s="14"/>
      <c r="H165" s="15">
        <f t="shared" si="45"/>
        <v>0</v>
      </c>
      <c r="I165" s="13">
        <f>IFERROR(H165/H446, "NA")</f>
        <v>0</v>
      </c>
      <c r="J165" s="14"/>
      <c r="K165" s="12">
        <v>0.0</v>
      </c>
      <c r="L165" s="13">
        <f>IFERROR(K165/K446, "NA")</f>
        <v>0</v>
      </c>
      <c r="M165" s="14"/>
      <c r="N165" s="15">
        <f t="shared" si="46"/>
        <v>0</v>
      </c>
      <c r="O165" s="13">
        <f>IFERROR(N165/N446, "NA")</f>
        <v>0</v>
      </c>
      <c r="P165" s="14"/>
      <c r="Q165" s="12">
        <v>0.0</v>
      </c>
      <c r="R165" s="13">
        <f>IFERROR(Q165/Q446, "NA")</f>
        <v>0</v>
      </c>
      <c r="S165" s="14"/>
      <c r="T165" s="12">
        <v>0.0</v>
      </c>
      <c r="U165" s="13">
        <f>IFERROR(T165/T446, "NA")</f>
        <v>0</v>
      </c>
      <c r="V165" s="14"/>
      <c r="W165" s="15">
        <f t="shared" si="47"/>
        <v>0</v>
      </c>
      <c r="X165" s="13">
        <f>IFERROR(W165/W446, "NA")</f>
        <v>0</v>
      </c>
      <c r="Y165" s="14"/>
      <c r="Z165" s="12">
        <v>0.0</v>
      </c>
      <c r="AA165" s="13">
        <f>IFERROR(Z165/Z446, "NA")</f>
        <v>0</v>
      </c>
      <c r="AB165" s="14"/>
      <c r="AC165" s="15">
        <f t="shared" si="48"/>
        <v>0</v>
      </c>
      <c r="AD165" s="13">
        <f>IFERROR(AC165/AC446, "NA")</f>
        <v>0</v>
      </c>
    </row>
    <row r="166" ht="16.5" customHeight="1">
      <c r="A166" s="16" t="s">
        <v>157</v>
      </c>
      <c r="B166" s="17">
        <f>IFERROR(B160+B161+B162+B163+B164+B165, "NA")</f>
        <v>747.68</v>
      </c>
      <c r="C166" s="18">
        <f>IFERROR(B166/B446, "NA")</f>
        <v>0.007555014802</v>
      </c>
      <c r="D166" s="8"/>
      <c r="E166" s="17">
        <f>IFERROR(E160+E161+E162+E163+E164+E165, "NA")</f>
        <v>0</v>
      </c>
      <c r="F166" s="18">
        <f>IFERROR(E166/E446, "NA")</f>
        <v>0</v>
      </c>
      <c r="G166" s="8"/>
      <c r="H166" s="17">
        <f t="shared" si="45"/>
        <v>-747.68</v>
      </c>
      <c r="I166" s="18">
        <f>IFERROR(H166/H446, "NA")</f>
        <v>0.3569150866</v>
      </c>
      <c r="J166" s="8"/>
      <c r="K166" s="17">
        <f>IFERROR(K160+K161+K162+K163+K164+K165, "NA")</f>
        <v>222.4</v>
      </c>
      <c r="L166" s="18">
        <f>IFERROR(K166/K446, "NA")</f>
        <v>0.002402594716</v>
      </c>
      <c r="M166" s="8"/>
      <c r="N166" s="17">
        <f t="shared" si="46"/>
        <v>-525.28</v>
      </c>
      <c r="O166" s="18">
        <f>IFERROR(N166/N446, "NA")</f>
        <v>-0.08209885998</v>
      </c>
      <c r="P166" s="8"/>
      <c r="Q166" s="17">
        <f>IFERROR(Q160+Q161+Q162+Q163+Q164+Q165, "NA")</f>
        <v>3191.57</v>
      </c>
      <c r="R166" s="18">
        <f>IFERROR(Q166/Q446, "NA")</f>
        <v>0.003624741878</v>
      </c>
      <c r="S166" s="8"/>
      <c r="T166" s="17">
        <f>IFERROR(T160+T161+T162+T163+T164+T165, "NA")</f>
        <v>0</v>
      </c>
      <c r="U166" s="18">
        <f>IFERROR(T166/T446, "NA")</f>
        <v>0</v>
      </c>
      <c r="V166" s="8"/>
      <c r="W166" s="17">
        <f t="shared" si="47"/>
        <v>-3191.57</v>
      </c>
      <c r="X166" s="18">
        <f>IFERROR(W166/W446, "NA")</f>
        <v>0.03636612035</v>
      </c>
      <c r="Y166" s="8"/>
      <c r="Z166" s="17">
        <f>IFERROR(Z160+Z161+Z162+Z163+Z164+Z165, "NA")</f>
        <v>3402.89</v>
      </c>
      <c r="AA166" s="18">
        <f>IFERROR(Z166/Z446, "NA")</f>
        <v>0.003788657257</v>
      </c>
      <c r="AB166" s="8"/>
      <c r="AC166" s="17">
        <f t="shared" si="48"/>
        <v>211.32</v>
      </c>
      <c r="AD166" s="18">
        <f>IFERROR(AC166/AC446, "NA")</f>
        <v>-0.0119507515</v>
      </c>
    </row>
    <row r="167" ht="16.5" customHeight="1">
      <c r="A167" s="11" t="s">
        <v>158</v>
      </c>
      <c r="B167" s="12">
        <v>89.25</v>
      </c>
      <c r="C167" s="13">
        <f>IFERROR(B167/B446, "NA")</f>
        <v>0.0009018364421</v>
      </c>
      <c r="D167" s="14"/>
      <c r="E167" s="12">
        <v>0.0</v>
      </c>
      <c r="F167" s="13">
        <f>IFERROR(E167/E446, "NA")</f>
        <v>0</v>
      </c>
      <c r="G167" s="14"/>
      <c r="H167" s="15">
        <f t="shared" si="45"/>
        <v>-89.25</v>
      </c>
      <c r="I167" s="13">
        <f>IFERROR(H167/H446, "NA")</f>
        <v>0.0426046858</v>
      </c>
      <c r="J167" s="14"/>
      <c r="K167" s="12">
        <v>81.87</v>
      </c>
      <c r="L167" s="13">
        <f>IFERROR(K167/K446, "NA")</f>
        <v>0.0008844443767</v>
      </c>
      <c r="M167" s="14"/>
      <c r="N167" s="15">
        <f t="shared" si="46"/>
        <v>-7.38</v>
      </c>
      <c r="O167" s="13">
        <f>IFERROR(N167/N446, "NA")</f>
        <v>-0.001153460224</v>
      </c>
      <c r="P167" s="14"/>
      <c r="Q167" s="12">
        <v>1013.35</v>
      </c>
      <c r="R167" s="13">
        <f>IFERROR(Q167/Q446, "NA")</f>
        <v>0.001150885671</v>
      </c>
      <c r="S167" s="14"/>
      <c r="T167" s="12">
        <v>0.0</v>
      </c>
      <c r="U167" s="13">
        <f>IFERROR(T167/T446, "NA")</f>
        <v>0</v>
      </c>
      <c r="V167" s="14"/>
      <c r="W167" s="15">
        <f t="shared" si="47"/>
        <v>-1013.35</v>
      </c>
      <c r="X167" s="13">
        <f>IFERROR(W167/W446, "NA")</f>
        <v>0.01154654545</v>
      </c>
      <c r="Y167" s="14"/>
      <c r="Z167" s="12">
        <v>953.13</v>
      </c>
      <c r="AA167" s="13">
        <f>IFERROR(Z167/Z446, "NA")</f>
        <v>0.001061181199</v>
      </c>
      <c r="AB167" s="14"/>
      <c r="AC167" s="15">
        <f t="shared" si="48"/>
        <v>-60.22</v>
      </c>
      <c r="AD167" s="13">
        <f>IFERROR(AC167/AC446, "NA")</f>
        <v>0.003405613551</v>
      </c>
    </row>
    <row r="168" ht="16.5" customHeight="1">
      <c r="A168" s="11" t="s">
        <v>159</v>
      </c>
      <c r="B168" s="12">
        <v>109.0</v>
      </c>
      <c r="C168" s="13">
        <f>IFERROR(B168/B446, "NA")</f>
        <v>0.00110140249</v>
      </c>
      <c r="D168" s="14"/>
      <c r="E168" s="12">
        <v>0.0</v>
      </c>
      <c r="F168" s="13">
        <f>IFERROR(E168/E446, "NA")</f>
        <v>0</v>
      </c>
      <c r="G168" s="14"/>
      <c r="H168" s="15">
        <f t="shared" si="45"/>
        <v>-109</v>
      </c>
      <c r="I168" s="13">
        <f>IFERROR(H168/H446, "NA")</f>
        <v>0.05203261347</v>
      </c>
      <c r="J168" s="14"/>
      <c r="K168" s="12">
        <v>30.62</v>
      </c>
      <c r="L168" s="13">
        <f>IFERROR(K168/K446, "NA")</f>
        <v>0.0003307888948</v>
      </c>
      <c r="M168" s="14"/>
      <c r="N168" s="15">
        <f t="shared" si="46"/>
        <v>-78.38</v>
      </c>
      <c r="O168" s="13">
        <f>IFERROR(N168/N446, "NA")</f>
        <v>-0.01225043528</v>
      </c>
      <c r="P168" s="14"/>
      <c r="Q168" s="12">
        <v>896.77</v>
      </c>
      <c r="R168" s="13">
        <f>IFERROR(Q168/Q446, "NA")</f>
        <v>0.001018482996</v>
      </c>
      <c r="S168" s="14"/>
      <c r="T168" s="12">
        <v>0.0</v>
      </c>
      <c r="U168" s="13">
        <f>IFERROR(T168/T446, "NA")</f>
        <v>0</v>
      </c>
      <c r="V168" s="14"/>
      <c r="W168" s="15">
        <f t="shared" si="47"/>
        <v>-896.77</v>
      </c>
      <c r="X168" s="13">
        <f>IFERROR(W168/W446, "NA")</f>
        <v>0.01021818282</v>
      </c>
      <c r="Y168" s="14"/>
      <c r="Z168" s="12">
        <v>294.84</v>
      </c>
      <c r="AA168" s="13">
        <f>IFERROR(Z168/Z446, "NA")</f>
        <v>0.0003282644181</v>
      </c>
      <c r="AB168" s="14"/>
      <c r="AC168" s="15">
        <f t="shared" si="48"/>
        <v>-601.93</v>
      </c>
      <c r="AD168" s="13">
        <f>IFERROR(AC168/AC446, "NA")</f>
        <v>0.03404086623</v>
      </c>
    </row>
    <row r="169" ht="16.5" customHeight="1">
      <c r="A169" s="11" t="s">
        <v>160</v>
      </c>
      <c r="B169" s="12">
        <v>-1148.42</v>
      </c>
      <c r="C169" s="13">
        <f>IFERROR(B169/B446, "NA")</f>
        <v>-0.01160433621</v>
      </c>
      <c r="D169" s="14"/>
      <c r="E169" s="12">
        <v>0.0</v>
      </c>
      <c r="F169" s="13">
        <f>IFERROR(E169/E446, "NA")</f>
        <v>0</v>
      </c>
      <c r="G169" s="14"/>
      <c r="H169" s="15">
        <f t="shared" si="45"/>
        <v>1148.42</v>
      </c>
      <c r="I169" s="13">
        <f>IFERROR(H169/H446, "NA")</f>
        <v>-0.5482137061</v>
      </c>
      <c r="J169" s="14"/>
      <c r="K169" s="12">
        <v>-1051.34</v>
      </c>
      <c r="L169" s="13">
        <f>IFERROR(K169/K446, "NA")</f>
        <v>-0.01135766155</v>
      </c>
      <c r="M169" s="14"/>
      <c r="N169" s="15">
        <f t="shared" si="46"/>
        <v>97.08</v>
      </c>
      <c r="O169" s="13">
        <f>IFERROR(N169/N446, "NA")</f>
        <v>0.0151731597</v>
      </c>
      <c r="P169" s="14"/>
      <c r="Q169" s="12">
        <v>-8021.15</v>
      </c>
      <c r="R169" s="13">
        <f>IFERROR(Q169/Q446, "NA")</f>
        <v>-0.009109810632</v>
      </c>
      <c r="S169" s="14"/>
      <c r="T169" s="12">
        <v>0.0</v>
      </c>
      <c r="U169" s="13">
        <f>IFERROR(T169/T446, "NA")</f>
        <v>0</v>
      </c>
      <c r="V169" s="14"/>
      <c r="W169" s="15">
        <f t="shared" si="47"/>
        <v>8021.15</v>
      </c>
      <c r="X169" s="13">
        <f>IFERROR(W169/W446, "NA")</f>
        <v>-0.09139643067</v>
      </c>
      <c r="Y169" s="14"/>
      <c r="Z169" s="12">
        <v>-16949.72</v>
      </c>
      <c r="AA169" s="13">
        <f>IFERROR(Z169/Z446, "NA")</f>
        <v>-0.0188712182</v>
      </c>
      <c r="AB169" s="14"/>
      <c r="AC169" s="15">
        <f t="shared" si="48"/>
        <v>-8928.57</v>
      </c>
      <c r="AD169" s="13">
        <f>IFERROR(AC169/AC446, "NA")</f>
        <v>0.5049362169</v>
      </c>
    </row>
    <row r="170" ht="16.5" customHeight="1">
      <c r="A170" s="16" t="s">
        <v>161</v>
      </c>
      <c r="B170" s="17">
        <f>IFERROR(B151+B153+B154+B155+B156+B157+B160+B161+B162+B163+B164+B165+B167+B168+B169, "NA")</f>
        <v>3234.94</v>
      </c>
      <c r="C170" s="18">
        <f>IFERROR(B170/B446, "NA")</f>
        <v>0.03268780706</v>
      </c>
      <c r="D170" s="8"/>
      <c r="E170" s="17">
        <f>IFERROR(E151+E153+E154+E155+E156+E157+E160+E161+E162+E163+E164+E165+E167+E168+E169, "NA")</f>
        <v>4143.44</v>
      </c>
      <c r="F170" s="18">
        <f>IFERROR(E170/E446, "NA")</f>
        <v>0.04099997655</v>
      </c>
      <c r="G170" s="8"/>
      <c r="H170" s="17">
        <f t="shared" si="45"/>
        <v>908.5</v>
      </c>
      <c r="I170" s="18">
        <f>IFERROR(H170/H446, "NA")</f>
        <v>-0.4336846728</v>
      </c>
      <c r="J170" s="8"/>
      <c r="K170" s="17">
        <f>IFERROR(K151+K153+K154+K155+K156+K157+K160+K161+K162+K163+K164+K165+K167+K168+K169, "NA")</f>
        <v>3345.63</v>
      </c>
      <c r="L170" s="18">
        <f>IFERROR(K170/K446, "NA")</f>
        <v>0.03614295395</v>
      </c>
      <c r="M170" s="8"/>
      <c r="N170" s="17">
        <f t="shared" si="46"/>
        <v>110.69</v>
      </c>
      <c r="O170" s="18">
        <f>IFERROR(N170/N446, "NA")</f>
        <v>0.01730034041</v>
      </c>
      <c r="P170" s="8"/>
      <c r="Q170" s="17">
        <f>IFERROR(Q151+Q153+Q154+Q155+Q156+Q157+Q160+Q161+Q162+Q163+Q164+Q165+Q167+Q168+Q169, "NA")</f>
        <v>31293.16</v>
      </c>
      <c r="R170" s="18">
        <f>IFERROR(Q170/Q446, "NA")</f>
        <v>0.03554038531</v>
      </c>
      <c r="S170" s="8"/>
      <c r="T170" s="17">
        <f>IFERROR(T151+T153+T154+T155+T156+T157+T160+T161+T162+T163+T164+T165+T167+T168+T169, "NA")</f>
        <v>39698.57</v>
      </c>
      <c r="U170" s="18">
        <f>IFERROR(T170/T446, "NA")</f>
        <v>0.04099999258</v>
      </c>
      <c r="V170" s="8"/>
      <c r="W170" s="17">
        <f t="shared" si="47"/>
        <v>8405.41</v>
      </c>
      <c r="X170" s="18">
        <f>IFERROR(W170/W446, "NA")</f>
        <v>-0.09577485427</v>
      </c>
      <c r="Y170" s="8"/>
      <c r="Z170" s="17">
        <f>IFERROR(Z151+Z153+Z154+Z155+Z156+Z157+Z160+Z161+Z162+Z163+Z164+Z165+Z167+Z168+Z169, "NA")</f>
        <v>26719.83</v>
      </c>
      <c r="AA170" s="18">
        <f>IFERROR(Z170/Z446, "NA")</f>
        <v>0.02974891279</v>
      </c>
      <c r="AB170" s="8"/>
      <c r="AC170" s="17">
        <f t="shared" si="48"/>
        <v>-4573.33</v>
      </c>
      <c r="AD170" s="18">
        <f>IFERROR(AC170/AC446, "NA")</f>
        <v>0.2586349156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26199.54</v>
      </c>
      <c r="C171" s="18">
        <f>IFERROR(B171/B446, "NA")</f>
        <v>0.2647361338</v>
      </c>
      <c r="D171" s="8"/>
      <c r="E171" s="17">
        <f>IFERROR(E127+E129+E130+E131+E132+E133+E134+E135+E136+E137+E138+E139+E140+E143+E144+E145+E146+E147+E151+E153+E154+E155+E156+E157+E160+E161+E162+E163+E164+E165+E167+E168+E169, "NA")</f>
        <v>26982.91</v>
      </c>
      <c r="F171" s="18">
        <f>IFERROR(E171/E446, "NA")</f>
        <v>0.2670000476</v>
      </c>
      <c r="G171" s="8"/>
      <c r="H171" s="17">
        <f t="shared" si="45"/>
        <v>783.37</v>
      </c>
      <c r="I171" s="18">
        <f>IFERROR(H171/H446, "NA")</f>
        <v>-0.3739521873</v>
      </c>
      <c r="J171" s="8"/>
      <c r="K171" s="17">
        <f>IFERROR(K127+K129+K130+K131+K132+K133+K134+K135+K136+K137+K138+K139+K140+K143+K144+K145+K146+K147+K151+K153+K154+K155+K156+K157+K160+K161+K162+K163+K164+K165+K167+K168+K169, "NA")</f>
        <v>28144.55</v>
      </c>
      <c r="L171" s="18">
        <f>IFERROR(K171/K446, "NA")</f>
        <v>0.3040465248</v>
      </c>
      <c r="M171" s="8"/>
      <c r="N171" s="17">
        <f t="shared" si="46"/>
        <v>1945.01</v>
      </c>
      <c r="O171" s="18">
        <f>IFERROR(N171/N446, "NA")</f>
        <v>0.3039961614</v>
      </c>
      <c r="P171" s="8"/>
      <c r="Q171" s="17">
        <f>IFERROR(Q127+Q129+Q130+Q131+Q132+Q133+Q134+Q135+Q136+Q137+Q138+Q139+Q140+Q143+Q144+Q145+Q146+Q147+Q151+Q153+Q154+Q155+Q156+Q157+Q160+Q161+Q162+Q163+Q164+Q165+Q167+Q168+Q169, "NA")</f>
        <v>246591.73</v>
      </c>
      <c r="R171" s="18">
        <f>IFERROR(Q171/Q446, "NA")</f>
        <v>0.2800600866</v>
      </c>
      <c r="S171" s="8"/>
      <c r="T171" s="17">
        <f>IFERROR(T127+T129+T130+T131+T132+T133+T134+T135+T136+T137+T138+T139+T140+T143+T144+T145+T146+T147+T151+T153+T154+T155+T156+T157+T160+T161+T162+T163+T164+T165+T167+T168+T169, "NA")</f>
        <v>259981.6</v>
      </c>
      <c r="U171" s="18">
        <f>IFERROR(T171/T446, "NA")</f>
        <v>0.2685044744</v>
      </c>
      <c r="V171" s="8"/>
      <c r="W171" s="17">
        <f t="shared" si="47"/>
        <v>13389.87</v>
      </c>
      <c r="X171" s="18">
        <f>IFERROR(W171/W446, "NA")</f>
        <v>-0.1525699339</v>
      </c>
      <c r="Y171" s="8"/>
      <c r="Z171" s="17">
        <f>IFERROR(Z127+Z129+Z130+Z131+Z132+Z133+Z134+Z135+Z136+Z137+Z138+Z139+Z140+Z143+Z144+Z145+Z146+Z147+Z151+Z153+Z154+Z155+Z156+Z157+Z160+Z161+Z162+Z163+Z164+Z165+Z167+Z168+Z169, "NA")</f>
        <v>269184.78</v>
      </c>
      <c r="AA171" s="18">
        <f>IFERROR(Z171/Z446, "NA")</f>
        <v>0.2997008044</v>
      </c>
      <c r="AB171" s="8"/>
      <c r="AC171" s="17">
        <f t="shared" si="48"/>
        <v>22593.05</v>
      </c>
      <c r="AD171" s="18">
        <f>IFERROR(AC171/AC446, "NA")</f>
        <v>-1.277701714</v>
      </c>
    </row>
    <row r="172" ht="16.5" customHeight="1">
      <c r="A172" s="19" t="s">
        <v>163</v>
      </c>
      <c r="B172" s="20">
        <f>IFERROR(B124-B171, "NA")</f>
        <v>72765.19</v>
      </c>
      <c r="C172" s="21">
        <f>IFERROR(B172/B446, "NA")</f>
        <v>0.7352638662</v>
      </c>
      <c r="D172" s="22"/>
      <c r="E172" s="20">
        <f>IFERROR(E124-E171, "NA")</f>
        <v>74076.66</v>
      </c>
      <c r="F172" s="21">
        <f>IFERROR(E172/E446, "NA")</f>
        <v>0.7329999524</v>
      </c>
      <c r="G172" s="22"/>
      <c r="H172" s="20">
        <f>IFERROR(B172-E172, "NA")</f>
        <v>-1311.47</v>
      </c>
      <c r="I172" s="21">
        <f>IFERROR(H172/H446, "NA")</f>
        <v>0.6260478127</v>
      </c>
      <c r="J172" s="22"/>
      <c r="K172" s="20">
        <f>IFERROR(K124-K171, "NA")</f>
        <v>64422.04</v>
      </c>
      <c r="L172" s="21">
        <f>IFERROR(K172/K446, "NA")</f>
        <v>0.6959534752</v>
      </c>
      <c r="M172" s="22"/>
      <c r="N172" s="20">
        <f>IFERROR(B172-K172, "NA")</f>
        <v>8343.15</v>
      </c>
      <c r="O172" s="21">
        <f>IFERROR(N172/N446, "NA")</f>
        <v>1.303996161</v>
      </c>
      <c r="P172" s="22"/>
      <c r="Q172" s="20">
        <f>IFERROR(Q124-Q171, "NA")</f>
        <v>633904.07</v>
      </c>
      <c r="R172" s="21">
        <f>IFERROR(Q172/Q446, "NA")</f>
        <v>0.7199399134</v>
      </c>
      <c r="S172" s="22"/>
      <c r="T172" s="20">
        <f>IFERROR(T124-T171, "NA")</f>
        <v>708276.38</v>
      </c>
      <c r="U172" s="21">
        <f>IFERROR(T172/T446, "NA")</f>
        <v>0.7314955256</v>
      </c>
      <c r="V172" s="22"/>
      <c r="W172" s="20">
        <f>IFERROR(Q172-T172, "NA")</f>
        <v>-74372.31</v>
      </c>
      <c r="X172" s="21">
        <f>IFERROR(W172/W446, "NA")</f>
        <v>0.8474300661</v>
      </c>
      <c r="Y172" s="22"/>
      <c r="Z172" s="20">
        <f>IFERROR(Z124-Z171, "NA")</f>
        <v>628993.59</v>
      </c>
      <c r="AA172" s="21">
        <f>IFERROR(Z172/Z446, "NA")</f>
        <v>0.7002991956</v>
      </c>
      <c r="AB172" s="22"/>
      <c r="AC172" s="20">
        <f>IFERROR(Q172-Z172, "NA")</f>
        <v>4910.48</v>
      </c>
      <c r="AD172" s="21">
        <f>IFERROR(AC172/AC446, "NA")</f>
        <v>-0.2777017142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t="16.5" hidden="1" customHeight="1">
      <c r="A175" s="11" t="s">
        <v>164</v>
      </c>
      <c r="B175" s="12">
        <v>0.0</v>
      </c>
      <c r="C175" s="13">
        <f>IFERROR(B175/B446, "NA")</f>
        <v>0</v>
      </c>
      <c r="D175" s="14"/>
      <c r="E175" s="12">
        <v>0.0</v>
      </c>
      <c r="F175" s="13">
        <f>IFERROR(E175/E446, "NA")</f>
        <v>0</v>
      </c>
      <c r="G175" s="14"/>
      <c r="H175" s="15">
        <f>IFERROR(-(B175-E175), "NA")</f>
        <v>0</v>
      </c>
      <c r="I175" s="13">
        <f>IFERROR(H175/H446, "NA")</f>
        <v>0</v>
      </c>
      <c r="J175" s="14"/>
      <c r="K175" s="12">
        <v>0.0</v>
      </c>
      <c r="L175" s="13">
        <f>IFERROR(K175/K446, "NA")</f>
        <v>0</v>
      </c>
      <c r="M175" s="14"/>
      <c r="N175" s="15">
        <f>IFERROR(-(B175-K175), "NA")</f>
        <v>0</v>
      </c>
      <c r="O175" s="13">
        <f>IFERROR(N175/N446, "NA")</f>
        <v>0</v>
      </c>
      <c r="P175" s="14"/>
      <c r="Q175" s="12">
        <v>0.0</v>
      </c>
      <c r="R175" s="13">
        <f>IFERROR(Q175/Q446, "NA")</f>
        <v>0</v>
      </c>
      <c r="S175" s="14"/>
      <c r="T175" s="12">
        <v>0.0</v>
      </c>
      <c r="U175" s="13">
        <f>IFERROR(T175/T446, "NA")</f>
        <v>0</v>
      </c>
      <c r="V175" s="14"/>
      <c r="W175" s="15">
        <f>IFERROR(-(Q175-T175), "NA")</f>
        <v>0</v>
      </c>
      <c r="X175" s="13">
        <f>IFERROR(W175/W446, "NA")</f>
        <v>0</v>
      </c>
      <c r="Y175" s="14"/>
      <c r="Z175" s="12">
        <v>0.0</v>
      </c>
      <c r="AA175" s="13">
        <f>IFERROR(Z175/Z446, "NA")</f>
        <v>0</v>
      </c>
      <c r="AB175" s="14"/>
      <c r="AC175" s="15">
        <f>IFERROR(-(Q175-Z175), "NA")</f>
        <v>0</v>
      </c>
      <c r="AD175" s="13">
        <f>IFERROR(AC175/AC446,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t="16.5" hidden="1" customHeight="1">
      <c r="A177" s="11" t="s">
        <v>165</v>
      </c>
      <c r="B177" s="12">
        <v>0.0</v>
      </c>
      <c r="C177" s="13">
        <f>IFERROR(B177/B446, "NA")</f>
        <v>0</v>
      </c>
      <c r="D177" s="14"/>
      <c r="E177" s="12">
        <v>0.0</v>
      </c>
      <c r="F177" s="13">
        <f>IFERROR(E177/E446, "NA")</f>
        <v>0</v>
      </c>
      <c r="G177" s="14"/>
      <c r="H177" s="15">
        <f t="shared" ref="H177:H184" si="49">IFERROR(-(B177-E177), "NA")</f>
        <v>0</v>
      </c>
      <c r="I177" s="13">
        <f>IFERROR(H177/H446, "NA")</f>
        <v>0</v>
      </c>
      <c r="J177" s="14"/>
      <c r="K177" s="12">
        <v>0.0</v>
      </c>
      <c r="L177" s="13">
        <f>IFERROR(K177/K446, "NA")</f>
        <v>0</v>
      </c>
      <c r="M177" s="14"/>
      <c r="N177" s="15">
        <f t="shared" ref="N177:N184" si="50">IFERROR(-(B177-K177), "NA")</f>
        <v>0</v>
      </c>
      <c r="O177" s="13">
        <f>IFERROR(N177/N446, "NA")</f>
        <v>0</v>
      </c>
      <c r="P177" s="14"/>
      <c r="Q177" s="12">
        <v>0.0</v>
      </c>
      <c r="R177" s="13">
        <f>IFERROR(Q177/Q446, "NA")</f>
        <v>0</v>
      </c>
      <c r="S177" s="14"/>
      <c r="T177" s="12">
        <v>0.0</v>
      </c>
      <c r="U177" s="13">
        <f>IFERROR(T177/T446, "NA")</f>
        <v>0</v>
      </c>
      <c r="V177" s="14"/>
      <c r="W177" s="15">
        <f t="shared" ref="W177:W184" si="51">IFERROR(-(Q177-T177), "NA")</f>
        <v>0</v>
      </c>
      <c r="X177" s="13">
        <f>IFERROR(W177/W446, "NA")</f>
        <v>0</v>
      </c>
      <c r="Y177" s="14"/>
      <c r="Z177" s="12">
        <v>0.0</v>
      </c>
      <c r="AA177" s="13">
        <f>IFERROR(Z177/Z446, "NA")</f>
        <v>0</v>
      </c>
      <c r="AB177" s="14"/>
      <c r="AC177" s="15">
        <f t="shared" ref="AC177:AC184" si="52">IFERROR(-(Q177-Z177), "NA")</f>
        <v>0</v>
      </c>
      <c r="AD177" s="13">
        <f>IFERROR(AC177/AC446, "NA")</f>
        <v>0</v>
      </c>
    </row>
    <row r="178" ht="16.5" customHeight="1">
      <c r="A178" s="11" t="s">
        <v>166</v>
      </c>
      <c r="B178" s="12">
        <v>5192.32</v>
      </c>
      <c r="C178" s="13">
        <f>IFERROR(B178/B446, "NA")</f>
        <v>0.05246636857</v>
      </c>
      <c r="D178" s="14"/>
      <c r="E178" s="12">
        <v>5192.32</v>
      </c>
      <c r="F178" s="13">
        <f>IFERROR(E178/E446, "NA")</f>
        <v>0.05137880559</v>
      </c>
      <c r="G178" s="14"/>
      <c r="H178" s="15">
        <f t="shared" si="49"/>
        <v>0</v>
      </c>
      <c r="I178" s="13">
        <f>IFERROR(H178/H446, "NA")</f>
        <v>0</v>
      </c>
      <c r="J178" s="14"/>
      <c r="K178" s="12">
        <v>5192.32</v>
      </c>
      <c r="L178" s="13">
        <f>IFERROR(K178/K446, "NA")</f>
        <v>0.05609280843</v>
      </c>
      <c r="M178" s="14"/>
      <c r="N178" s="15">
        <f t="shared" si="50"/>
        <v>0</v>
      </c>
      <c r="O178" s="13">
        <f>IFERROR(N178/N446, "NA")</f>
        <v>0</v>
      </c>
      <c r="P178" s="14"/>
      <c r="Q178" s="12">
        <v>44134.72</v>
      </c>
      <c r="R178" s="13">
        <f>IFERROR(Q178/Q446, "NA")</f>
        <v>0.05012485011</v>
      </c>
      <c r="S178" s="14"/>
      <c r="T178" s="12">
        <v>43859.72</v>
      </c>
      <c r="U178" s="13">
        <f>IFERROR(T178/T446, "NA")</f>
        <v>0.04529755593</v>
      </c>
      <c r="V178" s="14"/>
      <c r="W178" s="15">
        <f t="shared" si="51"/>
        <v>-275</v>
      </c>
      <c r="X178" s="13">
        <f>IFERROR(W178/W446, "NA")</f>
        <v>0.003133468198</v>
      </c>
      <c r="Y178" s="14"/>
      <c r="Z178" s="12">
        <v>43859.72</v>
      </c>
      <c r="AA178" s="13">
        <f>IFERROR(Z178/Z446, "NA")</f>
        <v>0.04883185953</v>
      </c>
      <c r="AB178" s="14"/>
      <c r="AC178" s="15">
        <f t="shared" si="52"/>
        <v>-275</v>
      </c>
      <c r="AD178" s="13">
        <f>IFERROR(AC178/AC446, "NA")</f>
        <v>0.01555203797</v>
      </c>
    </row>
    <row r="179" ht="16.5" hidden="1" customHeight="1">
      <c r="A179" s="11" t="s">
        <v>167</v>
      </c>
      <c r="B179" s="12">
        <v>0.0</v>
      </c>
      <c r="C179" s="13">
        <f>IFERROR(B179/B446, "NA")</f>
        <v>0</v>
      </c>
      <c r="D179" s="14"/>
      <c r="E179" s="12">
        <v>0.0</v>
      </c>
      <c r="F179" s="13">
        <f>IFERROR(E179/E446, "NA")</f>
        <v>0</v>
      </c>
      <c r="G179" s="14"/>
      <c r="H179" s="15">
        <f t="shared" si="49"/>
        <v>0</v>
      </c>
      <c r="I179" s="13">
        <f>IFERROR(H179/H446, "NA")</f>
        <v>0</v>
      </c>
      <c r="J179" s="14"/>
      <c r="K179" s="12">
        <v>0.0</v>
      </c>
      <c r="L179" s="13">
        <f>IFERROR(K179/K446, "NA")</f>
        <v>0</v>
      </c>
      <c r="M179" s="14"/>
      <c r="N179" s="15">
        <f t="shared" si="50"/>
        <v>0</v>
      </c>
      <c r="O179" s="13">
        <f>IFERROR(N179/N446, "NA")</f>
        <v>0</v>
      </c>
      <c r="P179" s="14"/>
      <c r="Q179" s="12">
        <v>0.0</v>
      </c>
      <c r="R179" s="13">
        <f>IFERROR(Q179/Q446, "NA")</f>
        <v>0</v>
      </c>
      <c r="S179" s="14"/>
      <c r="T179" s="12">
        <v>0.0</v>
      </c>
      <c r="U179" s="13">
        <f>IFERROR(T179/T446, "NA")</f>
        <v>0</v>
      </c>
      <c r="V179" s="14"/>
      <c r="W179" s="15">
        <f t="shared" si="51"/>
        <v>0</v>
      </c>
      <c r="X179" s="13">
        <f>IFERROR(W179/W446, "NA")</f>
        <v>0</v>
      </c>
      <c r="Y179" s="14"/>
      <c r="Z179" s="12">
        <v>0.0</v>
      </c>
      <c r="AA179" s="13">
        <f>IFERROR(Z179/Z446, "NA")</f>
        <v>0</v>
      </c>
      <c r="AB179" s="14"/>
      <c r="AC179" s="15">
        <f t="shared" si="52"/>
        <v>0</v>
      </c>
      <c r="AD179" s="13">
        <f>IFERROR(AC179/AC446, "NA")</f>
        <v>0</v>
      </c>
    </row>
    <row r="180" ht="16.5" customHeight="1">
      <c r="A180" s="11" t="s">
        <v>168</v>
      </c>
      <c r="B180" s="12">
        <v>22715.15</v>
      </c>
      <c r="C180" s="13">
        <f>IFERROR(B180/B446, "NA")</f>
        <v>0.2295277317</v>
      </c>
      <c r="D180" s="14"/>
      <c r="E180" s="12">
        <v>20616.15</v>
      </c>
      <c r="F180" s="13">
        <f>IFERROR(E180/E446, "NA")</f>
        <v>0.2039999774</v>
      </c>
      <c r="G180" s="14"/>
      <c r="H180" s="15">
        <f t="shared" si="49"/>
        <v>-2099</v>
      </c>
      <c r="I180" s="13">
        <f>IFERROR(H180/H446, "NA")</f>
        <v>1.001985832</v>
      </c>
      <c r="J180" s="14"/>
      <c r="K180" s="12">
        <v>22269.11</v>
      </c>
      <c r="L180" s="13">
        <f>IFERROR(K180/K446, "NA")</f>
        <v>0.2405739479</v>
      </c>
      <c r="M180" s="14"/>
      <c r="N180" s="15">
        <f t="shared" si="50"/>
        <v>-446.04</v>
      </c>
      <c r="O180" s="13">
        <f>IFERROR(N180/N446, "NA")</f>
        <v>-0.06971401063</v>
      </c>
      <c r="P180" s="14"/>
      <c r="Q180" s="12">
        <v>181885.44</v>
      </c>
      <c r="R180" s="13">
        <f>IFERROR(Q180/Q446, "NA")</f>
        <v>0.2065716157</v>
      </c>
      <c r="S180" s="14"/>
      <c r="T180" s="12">
        <v>192276.41</v>
      </c>
      <c r="U180" s="13">
        <f>IFERROR(T180/T446, "NA")</f>
        <v>0.1985797318</v>
      </c>
      <c r="V180" s="14"/>
      <c r="W180" s="15">
        <f t="shared" si="51"/>
        <v>10390.97</v>
      </c>
      <c r="X180" s="13">
        <f>IFERROR(W180/W446, "NA")</f>
        <v>-0.1183991783</v>
      </c>
      <c r="Y180" s="14"/>
      <c r="Z180" s="12">
        <v>189023.7</v>
      </c>
      <c r="AA180" s="13">
        <f>IFERROR(Z180/Z446, "NA")</f>
        <v>0.2104522958</v>
      </c>
      <c r="AB180" s="14"/>
      <c r="AC180" s="15">
        <f t="shared" si="52"/>
        <v>7138.26</v>
      </c>
      <c r="AD180" s="13">
        <f>IFERROR(AC180/AC446, "NA")</f>
        <v>-0.4036890565</v>
      </c>
    </row>
    <row r="181" ht="16.5" customHeight="1">
      <c r="A181" s="11" t="s">
        <v>169</v>
      </c>
      <c r="B181" s="12">
        <v>23.26</v>
      </c>
      <c r="C181" s="13">
        <f>IFERROR(B181/B446, "NA")</f>
        <v>0.0002350332285</v>
      </c>
      <c r="D181" s="14"/>
      <c r="E181" s="12">
        <v>0.0</v>
      </c>
      <c r="F181" s="13">
        <f>IFERROR(E181/E446, "NA")</f>
        <v>0</v>
      </c>
      <c r="G181" s="14"/>
      <c r="H181" s="15">
        <f t="shared" si="49"/>
        <v>-23.26</v>
      </c>
      <c r="I181" s="13">
        <f>IFERROR(H181/H446, "NA")</f>
        <v>0.0111034733</v>
      </c>
      <c r="J181" s="14"/>
      <c r="K181" s="12">
        <v>0.09</v>
      </c>
      <c r="L181" s="13">
        <f>IFERROR(K181/K446, "NA")</f>
        <v>0.0000009722730415</v>
      </c>
      <c r="M181" s="14"/>
      <c r="N181" s="15">
        <f t="shared" si="50"/>
        <v>-23.17</v>
      </c>
      <c r="O181" s="13">
        <f>IFERROR(N181/N446, "NA")</f>
        <v>-0.003621364959</v>
      </c>
      <c r="P181" s="14"/>
      <c r="Q181" s="12">
        <v>958.29</v>
      </c>
      <c r="R181" s="13">
        <f>IFERROR(Q181/Q446, "NA")</f>
        <v>0.001088352721</v>
      </c>
      <c r="S181" s="14"/>
      <c r="T181" s="12">
        <v>0.0</v>
      </c>
      <c r="U181" s="13">
        <f>IFERROR(T181/T446, "NA")</f>
        <v>0</v>
      </c>
      <c r="V181" s="14"/>
      <c r="W181" s="15">
        <f t="shared" si="51"/>
        <v>-958.29</v>
      </c>
      <c r="X181" s="13">
        <f>IFERROR(W181/W446, "NA")</f>
        <v>0.01091916814</v>
      </c>
      <c r="Y181" s="14"/>
      <c r="Z181" s="12">
        <v>1267.95</v>
      </c>
      <c r="AA181" s="13">
        <f>IFERROR(Z181/Z446, "NA")</f>
        <v>0.001411690642</v>
      </c>
      <c r="AB181" s="14"/>
      <c r="AC181" s="15">
        <f t="shared" si="52"/>
        <v>309.66</v>
      </c>
      <c r="AD181" s="13">
        <f>IFERROR(AC181/AC446, "NA")</f>
        <v>-0.01751216028</v>
      </c>
    </row>
    <row r="182" ht="16.5" customHeight="1">
      <c r="A182" s="16" t="s">
        <v>170</v>
      </c>
      <c r="B182" s="17">
        <f>IFERROR(B177+B178+B179+B180+B181, "NA")</f>
        <v>27930.73</v>
      </c>
      <c r="C182" s="18">
        <f>IFERROR(B182/B446, "NA")</f>
        <v>0.2822291336</v>
      </c>
      <c r="D182" s="8"/>
      <c r="E182" s="17">
        <f>IFERROR(E177+E178+E179+E180+E181, "NA")</f>
        <v>25808.47</v>
      </c>
      <c r="F182" s="18">
        <f>IFERROR(E182/E446, "NA")</f>
        <v>0.255378783</v>
      </c>
      <c r="G182" s="8"/>
      <c r="H182" s="17">
        <f t="shared" si="49"/>
        <v>-2122.26</v>
      </c>
      <c r="I182" s="18">
        <f>IFERROR(H182/H446, "NA")</f>
        <v>1.013089305</v>
      </c>
      <c r="J182" s="8"/>
      <c r="K182" s="17">
        <f>IFERROR(K177+K178+K179+K180+K181, "NA")</f>
        <v>27461.52</v>
      </c>
      <c r="L182" s="18">
        <f>IFERROR(K182/K446, "NA")</f>
        <v>0.2966677286</v>
      </c>
      <c r="M182" s="8"/>
      <c r="N182" s="17">
        <f t="shared" si="50"/>
        <v>-469.21</v>
      </c>
      <c r="O182" s="18">
        <f>IFERROR(N182/N446, "NA")</f>
        <v>-0.07333537559</v>
      </c>
      <c r="P182" s="8"/>
      <c r="Q182" s="17">
        <f>IFERROR(Q177+Q178+Q179+Q180+Q181, "NA")</f>
        <v>226978.45</v>
      </c>
      <c r="R182" s="18">
        <f>IFERROR(Q182/Q446, "NA")</f>
        <v>0.2577848185</v>
      </c>
      <c r="S182" s="8"/>
      <c r="T182" s="17">
        <f>IFERROR(T177+T178+T179+T180+T181, "NA")</f>
        <v>236136.13</v>
      </c>
      <c r="U182" s="18">
        <f>IFERROR(T182/T446, "NA")</f>
        <v>0.2438772877</v>
      </c>
      <c r="V182" s="8"/>
      <c r="W182" s="17">
        <f t="shared" si="51"/>
        <v>9157.68</v>
      </c>
      <c r="X182" s="18">
        <f>IFERROR(W182/W446, "NA")</f>
        <v>-0.104346542</v>
      </c>
      <c r="Y182" s="8"/>
      <c r="Z182" s="17">
        <f>IFERROR(Z177+Z178+Z179+Z180+Z181, "NA")</f>
        <v>234151.37</v>
      </c>
      <c r="AA182" s="18">
        <f>IFERROR(Z182/Z446, "NA")</f>
        <v>0.260695846</v>
      </c>
      <c r="AB182" s="8"/>
      <c r="AC182" s="17">
        <f t="shared" si="52"/>
        <v>7172.92</v>
      </c>
      <c r="AD182" s="18">
        <f>IFERROR(AC182/AC446, "NA")</f>
        <v>-0.4056491788</v>
      </c>
    </row>
    <row r="183" ht="16.5" hidden="1" customHeight="1">
      <c r="A183" s="11" t="s">
        <v>171</v>
      </c>
      <c r="B183" s="12">
        <v>0.0</v>
      </c>
      <c r="C183" s="13">
        <f>IFERROR(B183/B446, "NA")</f>
        <v>0</v>
      </c>
      <c r="D183" s="14"/>
      <c r="E183" s="12">
        <v>0.0</v>
      </c>
      <c r="F183" s="13">
        <f>IFERROR(E183/E446, "NA")</f>
        <v>0</v>
      </c>
      <c r="G183" s="14"/>
      <c r="H183" s="15">
        <f t="shared" si="49"/>
        <v>0</v>
      </c>
      <c r="I183" s="13">
        <f>IFERROR(H183/H446, "NA")</f>
        <v>0</v>
      </c>
      <c r="J183" s="14"/>
      <c r="K183" s="12">
        <v>0.0</v>
      </c>
      <c r="L183" s="13">
        <f>IFERROR(K183/K446, "NA")</f>
        <v>0</v>
      </c>
      <c r="M183" s="14"/>
      <c r="N183" s="15">
        <f t="shared" si="50"/>
        <v>0</v>
      </c>
      <c r="O183" s="13">
        <f>IFERROR(N183/N446, "NA")</f>
        <v>0</v>
      </c>
      <c r="P183" s="14"/>
      <c r="Q183" s="12">
        <v>0.0</v>
      </c>
      <c r="R183" s="13">
        <f>IFERROR(Q183/Q446, "NA")</f>
        <v>0</v>
      </c>
      <c r="S183" s="14"/>
      <c r="T183" s="12">
        <v>0.0</v>
      </c>
      <c r="U183" s="13">
        <f>IFERROR(T183/T446, "NA")</f>
        <v>0</v>
      </c>
      <c r="V183" s="14"/>
      <c r="W183" s="15">
        <f t="shared" si="51"/>
        <v>0</v>
      </c>
      <c r="X183" s="13">
        <f>IFERROR(W183/W446, "NA")</f>
        <v>0</v>
      </c>
      <c r="Y183" s="14"/>
      <c r="Z183" s="12">
        <v>0.0</v>
      </c>
      <c r="AA183" s="13">
        <f>IFERROR(Z183/Z446, "NA")</f>
        <v>0</v>
      </c>
      <c r="AB183" s="14"/>
      <c r="AC183" s="15">
        <f t="shared" si="52"/>
        <v>0</v>
      </c>
      <c r="AD183" s="13">
        <f>IFERROR(AC183/AC446, "NA")</f>
        <v>0</v>
      </c>
    </row>
    <row r="184" ht="16.5" customHeight="1">
      <c r="A184" s="11" t="s">
        <v>172</v>
      </c>
      <c r="B184" s="12">
        <v>325.0</v>
      </c>
      <c r="C184" s="13">
        <f>IFERROR(B184/B446, "NA")</f>
        <v>0.003283998249</v>
      </c>
      <c r="D184" s="14"/>
      <c r="E184" s="12">
        <v>325.0</v>
      </c>
      <c r="F184" s="13">
        <f>IFERROR(E184/E446, "NA")</f>
        <v>0.003215925023</v>
      </c>
      <c r="G184" s="14"/>
      <c r="H184" s="15">
        <f t="shared" si="49"/>
        <v>0</v>
      </c>
      <c r="I184" s="13">
        <f>IFERROR(H184/H446, "NA")</f>
        <v>0</v>
      </c>
      <c r="J184" s="14"/>
      <c r="K184" s="12">
        <v>500.0</v>
      </c>
      <c r="L184" s="13">
        <f>IFERROR(K184/K446, "NA")</f>
        <v>0.005401516897</v>
      </c>
      <c r="M184" s="14"/>
      <c r="N184" s="15">
        <f t="shared" si="50"/>
        <v>175</v>
      </c>
      <c r="O184" s="13">
        <f>IFERROR(N184/N446, "NA")</f>
        <v>0.02735169909</v>
      </c>
      <c r="P184" s="14"/>
      <c r="Q184" s="12">
        <v>-850.0</v>
      </c>
      <c r="R184" s="13">
        <f>IFERROR(Q184/Q446, "NA")</f>
        <v>-0.0009653651954</v>
      </c>
      <c r="S184" s="14"/>
      <c r="T184" s="12">
        <v>2925.0</v>
      </c>
      <c r="U184" s="13">
        <f>IFERROR(T184/T446, "NA")</f>
        <v>0.003020889123</v>
      </c>
      <c r="V184" s="14"/>
      <c r="W184" s="15">
        <f t="shared" si="51"/>
        <v>3775</v>
      </c>
      <c r="X184" s="13">
        <f>IFERROR(W184/W446, "NA")</f>
        <v>-0.04301397253</v>
      </c>
      <c r="Y184" s="14"/>
      <c r="Z184" s="12">
        <v>1800.0</v>
      </c>
      <c r="AA184" s="13">
        <f>IFERROR(Z184/Z446, "NA")</f>
        <v>0.002004056277</v>
      </c>
      <c r="AB184" s="14"/>
      <c r="AC184" s="15">
        <f t="shared" si="52"/>
        <v>2650</v>
      </c>
      <c r="AD184" s="13">
        <f>IFERROR(AC184/AC446, "NA")</f>
        <v>-0.1498650931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r="A186" s="11" t="s">
        <v>173</v>
      </c>
      <c r="B186" s="12">
        <v>2419.8</v>
      </c>
      <c r="C186" s="13">
        <f>IFERROR(B186/B446, "NA")</f>
        <v>0.02445113527</v>
      </c>
      <c r="D186" s="14"/>
      <c r="E186" s="12">
        <v>2591.61</v>
      </c>
      <c r="F186" s="13">
        <f>IFERROR(E186/E446, "NA")</f>
        <v>0.02564437984</v>
      </c>
      <c r="G186" s="14"/>
      <c r="H186" s="15">
        <f t="shared" ref="H186:H197" si="53">IFERROR(-(B186-E186), "NA")</f>
        <v>171.81</v>
      </c>
      <c r="I186" s="13">
        <f>IFERROR(H186/H446, "NA")</f>
        <v>-0.08201581028</v>
      </c>
      <c r="J186" s="14"/>
      <c r="K186" s="12">
        <v>2373.81</v>
      </c>
      <c r="L186" s="13">
        <f>IFERROR(K186/K446, "NA")</f>
        <v>0.02564434965</v>
      </c>
      <c r="M186" s="14"/>
      <c r="N186" s="15">
        <f t="shared" ref="N186:N197" si="54">IFERROR(-(B186-K186), "NA")</f>
        <v>-45.99</v>
      </c>
      <c r="O186" s="13">
        <f>IFERROR(N186/N446, "NA")</f>
        <v>-0.00718802652</v>
      </c>
      <c r="P186" s="14"/>
      <c r="Q186" s="12">
        <v>20724.29</v>
      </c>
      <c r="R186" s="13">
        <f>IFERROR(Q186/Q446, "NA")</f>
        <v>0.02353706855</v>
      </c>
      <c r="S186" s="14"/>
      <c r="T186" s="12">
        <v>23075.73</v>
      </c>
      <c r="U186" s="13">
        <f>IFERROR(T186/T446, "NA")</f>
        <v>0.02383221257</v>
      </c>
      <c r="V186" s="14"/>
      <c r="W186" s="15">
        <f t="shared" ref="W186:W197" si="55">IFERROR(-(Q186-T186), "NA")</f>
        <v>2351.44</v>
      </c>
      <c r="X186" s="13">
        <f>IFERROR(W186/W446, "NA")</f>
        <v>-0.02679331803</v>
      </c>
      <c r="Y186" s="14"/>
      <c r="Z186" s="12">
        <v>21428.06</v>
      </c>
      <c r="AA186" s="13">
        <f>IFERROR(Z186/Z446, "NA")</f>
        <v>0.02385724341</v>
      </c>
      <c r="AB186" s="14"/>
      <c r="AC186" s="15">
        <f t="shared" ref="AC186:AC197" si="56">IFERROR(-(Q186-Z186), "NA")</f>
        <v>703.77</v>
      </c>
      <c r="AD186" s="13">
        <f>IFERROR(AC186/AC446, "NA")</f>
        <v>-0.03980021004</v>
      </c>
    </row>
    <row r="187" ht="16.5" hidden="1" customHeight="1">
      <c r="A187" s="11" t="s">
        <v>174</v>
      </c>
      <c r="B187" s="12">
        <v>0.0</v>
      </c>
      <c r="C187" s="13">
        <f>IFERROR(B187/B446, "NA")</f>
        <v>0</v>
      </c>
      <c r="D187" s="14"/>
      <c r="E187" s="12">
        <v>0.0</v>
      </c>
      <c r="F187" s="13">
        <f>IFERROR(E187/E446, "NA")</f>
        <v>0</v>
      </c>
      <c r="G187" s="14"/>
      <c r="H187" s="15">
        <f t="shared" si="53"/>
        <v>0</v>
      </c>
      <c r="I187" s="13">
        <f>IFERROR(H187/H446, "NA")</f>
        <v>0</v>
      </c>
      <c r="J187" s="14"/>
      <c r="K187" s="12">
        <v>0.0</v>
      </c>
      <c r="L187" s="13">
        <f>IFERROR(K187/K446, "NA")</f>
        <v>0</v>
      </c>
      <c r="M187" s="14"/>
      <c r="N187" s="15">
        <f t="shared" si="54"/>
        <v>0</v>
      </c>
      <c r="O187" s="13">
        <f>IFERROR(N187/N446, "NA")</f>
        <v>0</v>
      </c>
      <c r="P187" s="14"/>
      <c r="Q187" s="12">
        <v>0.0</v>
      </c>
      <c r="R187" s="13">
        <f>IFERROR(Q187/Q446, "NA")</f>
        <v>0</v>
      </c>
      <c r="S187" s="14"/>
      <c r="T187" s="12">
        <v>0.0</v>
      </c>
      <c r="U187" s="13">
        <f>IFERROR(T187/T446, "NA")</f>
        <v>0</v>
      </c>
      <c r="V187" s="14"/>
      <c r="W187" s="15">
        <f t="shared" si="55"/>
        <v>0</v>
      </c>
      <c r="X187" s="13">
        <f>IFERROR(W187/W446, "NA")</f>
        <v>0</v>
      </c>
      <c r="Y187" s="14"/>
      <c r="Z187" s="12">
        <v>0.0</v>
      </c>
      <c r="AA187" s="13">
        <f>IFERROR(Z187/Z446, "NA")</f>
        <v>0</v>
      </c>
      <c r="AB187" s="14"/>
      <c r="AC187" s="15">
        <f t="shared" si="56"/>
        <v>0</v>
      </c>
      <c r="AD187" s="13">
        <f>IFERROR(AC187/AC446, "NA")</f>
        <v>0</v>
      </c>
    </row>
    <row r="188" ht="16.5" hidden="1" customHeight="1">
      <c r="A188" s="11" t="s">
        <v>175</v>
      </c>
      <c r="B188" s="12">
        <v>0.0</v>
      </c>
      <c r="C188" s="13">
        <f>IFERROR(B188/B446, "NA")</f>
        <v>0</v>
      </c>
      <c r="D188" s="14"/>
      <c r="E188" s="12">
        <v>0.0</v>
      </c>
      <c r="F188" s="13">
        <f>IFERROR(E188/E446, "NA")</f>
        <v>0</v>
      </c>
      <c r="G188" s="14"/>
      <c r="H188" s="15">
        <f t="shared" si="53"/>
        <v>0</v>
      </c>
      <c r="I188" s="13">
        <f>IFERROR(H188/H446, "NA")</f>
        <v>0</v>
      </c>
      <c r="J188" s="14"/>
      <c r="K188" s="12">
        <v>0.0</v>
      </c>
      <c r="L188" s="13">
        <f>IFERROR(K188/K446, "NA")</f>
        <v>0</v>
      </c>
      <c r="M188" s="14"/>
      <c r="N188" s="15">
        <f t="shared" si="54"/>
        <v>0</v>
      </c>
      <c r="O188" s="13">
        <f>IFERROR(N188/N446, "NA")</f>
        <v>0</v>
      </c>
      <c r="P188" s="14"/>
      <c r="Q188" s="12">
        <v>0.0</v>
      </c>
      <c r="R188" s="13">
        <f>IFERROR(Q188/Q446, "NA")</f>
        <v>0</v>
      </c>
      <c r="S188" s="14"/>
      <c r="T188" s="12">
        <v>0.0</v>
      </c>
      <c r="U188" s="13">
        <f>IFERROR(T188/T446, "NA")</f>
        <v>0</v>
      </c>
      <c r="V188" s="14"/>
      <c r="W188" s="15">
        <f t="shared" si="55"/>
        <v>0</v>
      </c>
      <c r="X188" s="13">
        <f>IFERROR(W188/W446, "NA")</f>
        <v>0</v>
      </c>
      <c r="Y188" s="14"/>
      <c r="Z188" s="12">
        <v>0.0</v>
      </c>
      <c r="AA188" s="13">
        <f>IFERROR(Z188/Z446, "NA")</f>
        <v>0</v>
      </c>
      <c r="AB188" s="14"/>
      <c r="AC188" s="15">
        <f t="shared" si="56"/>
        <v>0</v>
      </c>
      <c r="AD188" s="13">
        <f>IFERROR(AC188/AC446, "NA")</f>
        <v>0</v>
      </c>
    </row>
    <row r="189" ht="16.5" hidden="1" customHeight="1">
      <c r="A189" s="11" t="s">
        <v>176</v>
      </c>
      <c r="B189" s="12">
        <v>0.0</v>
      </c>
      <c r="C189" s="13">
        <f>IFERROR(B189/B446, "NA")</f>
        <v>0</v>
      </c>
      <c r="D189" s="14"/>
      <c r="E189" s="12">
        <v>0.0</v>
      </c>
      <c r="F189" s="13">
        <f>IFERROR(E189/E446, "NA")</f>
        <v>0</v>
      </c>
      <c r="G189" s="14"/>
      <c r="H189" s="15">
        <f t="shared" si="53"/>
        <v>0</v>
      </c>
      <c r="I189" s="13">
        <f>IFERROR(H189/H446, "NA")</f>
        <v>0</v>
      </c>
      <c r="J189" s="14"/>
      <c r="K189" s="12">
        <v>0.0</v>
      </c>
      <c r="L189" s="13">
        <f>IFERROR(K189/K446, "NA")</f>
        <v>0</v>
      </c>
      <c r="M189" s="14"/>
      <c r="N189" s="15">
        <f t="shared" si="54"/>
        <v>0</v>
      </c>
      <c r="O189" s="13">
        <f>IFERROR(N189/N446, "NA")</f>
        <v>0</v>
      </c>
      <c r="P189" s="14"/>
      <c r="Q189" s="12">
        <v>0.0</v>
      </c>
      <c r="R189" s="13">
        <f>IFERROR(Q189/Q446, "NA")</f>
        <v>0</v>
      </c>
      <c r="S189" s="14"/>
      <c r="T189" s="12">
        <v>0.0</v>
      </c>
      <c r="U189" s="13">
        <f>IFERROR(T189/T446, "NA")</f>
        <v>0</v>
      </c>
      <c r="V189" s="14"/>
      <c r="W189" s="15">
        <f t="shared" si="55"/>
        <v>0</v>
      </c>
      <c r="X189" s="13">
        <f>IFERROR(W189/W446, "NA")</f>
        <v>0</v>
      </c>
      <c r="Y189" s="14"/>
      <c r="Z189" s="12">
        <v>0.0</v>
      </c>
      <c r="AA189" s="13">
        <f>IFERROR(Z189/Z446, "NA")</f>
        <v>0</v>
      </c>
      <c r="AB189" s="14"/>
      <c r="AC189" s="15">
        <f t="shared" si="56"/>
        <v>0</v>
      </c>
      <c r="AD189" s="13">
        <f>IFERROR(AC189/AC446, "NA")</f>
        <v>0</v>
      </c>
    </row>
    <row r="190" ht="16.5" hidden="1" customHeight="1">
      <c r="A190" s="11" t="s">
        <v>177</v>
      </c>
      <c r="B190" s="12">
        <v>0.0</v>
      </c>
      <c r="C190" s="13">
        <f>IFERROR(B190/B446, "NA")</f>
        <v>0</v>
      </c>
      <c r="D190" s="14"/>
      <c r="E190" s="12">
        <v>0.0</v>
      </c>
      <c r="F190" s="13">
        <f>IFERROR(E190/E446, "NA")</f>
        <v>0</v>
      </c>
      <c r="G190" s="14"/>
      <c r="H190" s="15">
        <f t="shared" si="53"/>
        <v>0</v>
      </c>
      <c r="I190" s="13">
        <f>IFERROR(H190/H446, "NA")</f>
        <v>0</v>
      </c>
      <c r="J190" s="14"/>
      <c r="K190" s="12">
        <v>0.0</v>
      </c>
      <c r="L190" s="13">
        <f>IFERROR(K190/K446, "NA")</f>
        <v>0</v>
      </c>
      <c r="M190" s="14"/>
      <c r="N190" s="15">
        <f t="shared" si="54"/>
        <v>0</v>
      </c>
      <c r="O190" s="13">
        <f>IFERROR(N190/N446, "NA")</f>
        <v>0</v>
      </c>
      <c r="P190" s="14"/>
      <c r="Q190" s="12">
        <v>0.0</v>
      </c>
      <c r="R190" s="13">
        <f>IFERROR(Q190/Q446, "NA")</f>
        <v>0</v>
      </c>
      <c r="S190" s="14"/>
      <c r="T190" s="12">
        <v>0.0</v>
      </c>
      <c r="U190" s="13">
        <f>IFERROR(T190/T446, "NA")</f>
        <v>0</v>
      </c>
      <c r="V190" s="14"/>
      <c r="W190" s="15">
        <f t="shared" si="55"/>
        <v>0</v>
      </c>
      <c r="X190" s="13">
        <f>IFERROR(W190/W446, "NA")</f>
        <v>0</v>
      </c>
      <c r="Y190" s="14"/>
      <c r="Z190" s="12">
        <v>0.0</v>
      </c>
      <c r="AA190" s="13">
        <f>IFERROR(Z190/Z446, "NA")</f>
        <v>0</v>
      </c>
      <c r="AB190" s="14"/>
      <c r="AC190" s="15">
        <f t="shared" si="56"/>
        <v>0</v>
      </c>
      <c r="AD190" s="13">
        <f>IFERROR(AC190/AC446, "NA")</f>
        <v>0</v>
      </c>
    </row>
    <row r="191" ht="16.5" hidden="1" customHeight="1">
      <c r="A191" s="11" t="s">
        <v>178</v>
      </c>
      <c r="B191" s="12">
        <v>0.0</v>
      </c>
      <c r="C191" s="13">
        <f>IFERROR(B191/B446, "NA")</f>
        <v>0</v>
      </c>
      <c r="D191" s="14"/>
      <c r="E191" s="12">
        <v>0.0</v>
      </c>
      <c r="F191" s="13">
        <f>IFERROR(E191/E446, "NA")</f>
        <v>0</v>
      </c>
      <c r="G191" s="14"/>
      <c r="H191" s="15">
        <f t="shared" si="53"/>
        <v>0</v>
      </c>
      <c r="I191" s="13">
        <f>IFERROR(H191/H446, "NA")</f>
        <v>0</v>
      </c>
      <c r="J191" s="14"/>
      <c r="K191" s="12">
        <v>0.0</v>
      </c>
      <c r="L191" s="13">
        <f>IFERROR(K191/K446, "NA")</f>
        <v>0</v>
      </c>
      <c r="M191" s="14"/>
      <c r="N191" s="15">
        <f t="shared" si="54"/>
        <v>0</v>
      </c>
      <c r="O191" s="13">
        <f>IFERROR(N191/N446, "NA")</f>
        <v>0</v>
      </c>
      <c r="P191" s="14"/>
      <c r="Q191" s="12">
        <v>0.0</v>
      </c>
      <c r="R191" s="13">
        <f>IFERROR(Q191/Q446, "NA")</f>
        <v>0</v>
      </c>
      <c r="S191" s="14"/>
      <c r="T191" s="12">
        <v>0.0</v>
      </c>
      <c r="U191" s="13">
        <f>IFERROR(T191/T446, "NA")</f>
        <v>0</v>
      </c>
      <c r="V191" s="14"/>
      <c r="W191" s="15">
        <f t="shared" si="55"/>
        <v>0</v>
      </c>
      <c r="X191" s="13">
        <f>IFERROR(W191/W446, "NA")</f>
        <v>0</v>
      </c>
      <c r="Y191" s="14"/>
      <c r="Z191" s="12">
        <v>0.0</v>
      </c>
      <c r="AA191" s="13">
        <f>IFERROR(Z191/Z446, "NA")</f>
        <v>0</v>
      </c>
      <c r="AB191" s="14"/>
      <c r="AC191" s="15">
        <f t="shared" si="56"/>
        <v>0</v>
      </c>
      <c r="AD191" s="13">
        <f>IFERROR(AC191/AC446, "NA")</f>
        <v>0</v>
      </c>
    </row>
    <row r="192" ht="16.5" hidden="1" customHeight="1">
      <c r="A192" s="11" t="s">
        <v>179</v>
      </c>
      <c r="B192" s="12">
        <v>0.0</v>
      </c>
      <c r="C192" s="13">
        <f>IFERROR(B192/B446, "NA")</f>
        <v>0</v>
      </c>
      <c r="D192" s="14"/>
      <c r="E192" s="12">
        <v>0.0</v>
      </c>
      <c r="F192" s="13">
        <f>IFERROR(E192/E446, "NA")</f>
        <v>0</v>
      </c>
      <c r="G192" s="14"/>
      <c r="H192" s="15">
        <f t="shared" si="53"/>
        <v>0</v>
      </c>
      <c r="I192" s="13">
        <f>IFERROR(H192/H446, "NA")</f>
        <v>0</v>
      </c>
      <c r="J192" s="14"/>
      <c r="K192" s="12">
        <v>0.0</v>
      </c>
      <c r="L192" s="13">
        <f>IFERROR(K192/K446, "NA")</f>
        <v>0</v>
      </c>
      <c r="M192" s="14"/>
      <c r="N192" s="15">
        <f t="shared" si="54"/>
        <v>0</v>
      </c>
      <c r="O192" s="13">
        <f>IFERROR(N192/N446, "NA")</f>
        <v>0</v>
      </c>
      <c r="P192" s="14"/>
      <c r="Q192" s="12">
        <v>0.0</v>
      </c>
      <c r="R192" s="13">
        <f>IFERROR(Q192/Q446, "NA")</f>
        <v>0</v>
      </c>
      <c r="S192" s="14"/>
      <c r="T192" s="12">
        <v>0.0</v>
      </c>
      <c r="U192" s="13">
        <f>IFERROR(T192/T446, "NA")</f>
        <v>0</v>
      </c>
      <c r="V192" s="14"/>
      <c r="W192" s="15">
        <f t="shared" si="55"/>
        <v>0</v>
      </c>
      <c r="X192" s="13">
        <f>IFERROR(W192/W446, "NA")</f>
        <v>0</v>
      </c>
      <c r="Y192" s="14"/>
      <c r="Z192" s="12">
        <v>0.0</v>
      </c>
      <c r="AA192" s="13">
        <f>IFERROR(Z192/Z446, "NA")</f>
        <v>0</v>
      </c>
      <c r="AB192" s="14"/>
      <c r="AC192" s="15">
        <f t="shared" si="56"/>
        <v>0</v>
      </c>
      <c r="AD192" s="13">
        <f>IFERROR(AC192/AC446, "NA")</f>
        <v>0</v>
      </c>
    </row>
    <row r="193" ht="16.5" customHeight="1">
      <c r="A193" s="16" t="s">
        <v>180</v>
      </c>
      <c r="B193" s="17">
        <f>IFERROR(B186+B187+B188+B189+B190+B191+B192, "NA")</f>
        <v>2419.8</v>
      </c>
      <c r="C193" s="18">
        <f>IFERROR(B193/B446, "NA")</f>
        <v>0.02445113527</v>
      </c>
      <c r="D193" s="8"/>
      <c r="E193" s="17">
        <f>IFERROR(E186+E187+E188+E189+E190+E191+E192, "NA")</f>
        <v>2591.61</v>
      </c>
      <c r="F193" s="18">
        <f>IFERROR(E193/E446, "NA")</f>
        <v>0.02564437984</v>
      </c>
      <c r="G193" s="8"/>
      <c r="H193" s="17">
        <f t="shared" si="53"/>
        <v>171.81</v>
      </c>
      <c r="I193" s="18">
        <f>IFERROR(H193/H446, "NA")</f>
        <v>-0.08201581028</v>
      </c>
      <c r="J193" s="8"/>
      <c r="K193" s="17">
        <f>IFERROR(K186+K187+K188+K189+K190+K191+K192, "NA")</f>
        <v>2373.81</v>
      </c>
      <c r="L193" s="18">
        <f>IFERROR(K193/K446, "NA")</f>
        <v>0.02564434965</v>
      </c>
      <c r="M193" s="8"/>
      <c r="N193" s="17">
        <f t="shared" si="54"/>
        <v>-45.99</v>
      </c>
      <c r="O193" s="18">
        <f>IFERROR(N193/N446, "NA")</f>
        <v>-0.00718802652</v>
      </c>
      <c r="P193" s="8"/>
      <c r="Q193" s="17">
        <f>IFERROR(Q186+Q187+Q188+Q189+Q190+Q191+Q192, "NA")</f>
        <v>20724.29</v>
      </c>
      <c r="R193" s="18">
        <f>IFERROR(Q193/Q446, "NA")</f>
        <v>0.02353706855</v>
      </c>
      <c r="S193" s="8"/>
      <c r="T193" s="17">
        <f>IFERROR(T186+T187+T188+T189+T190+T191+T192, "NA")</f>
        <v>23075.73</v>
      </c>
      <c r="U193" s="18">
        <f>IFERROR(T193/T446, "NA")</f>
        <v>0.02383221257</v>
      </c>
      <c r="V193" s="8"/>
      <c r="W193" s="17">
        <f t="shared" si="55"/>
        <v>2351.44</v>
      </c>
      <c r="X193" s="18">
        <f>IFERROR(W193/W446, "NA")</f>
        <v>-0.02679331803</v>
      </c>
      <c r="Y193" s="8"/>
      <c r="Z193" s="17">
        <f>IFERROR(Z186+Z187+Z188+Z189+Z190+Z191+Z192, "NA")</f>
        <v>21428.06</v>
      </c>
      <c r="AA193" s="18">
        <f>IFERROR(Z193/Z446, "NA")</f>
        <v>0.02385724341</v>
      </c>
      <c r="AB193" s="8"/>
      <c r="AC193" s="17">
        <f t="shared" si="56"/>
        <v>703.77</v>
      </c>
      <c r="AD193" s="18">
        <f>IFERROR(AC193/AC446, "NA")</f>
        <v>-0.03980021004</v>
      </c>
    </row>
    <row r="194" ht="16.5" customHeight="1">
      <c r="A194" s="11" t="s">
        <v>181</v>
      </c>
      <c r="B194" s="12">
        <v>301.04</v>
      </c>
      <c r="C194" s="13">
        <f>IFERROR(B194/B446, "NA")</f>
        <v>0.003041891793</v>
      </c>
      <c r="D194" s="14"/>
      <c r="E194" s="12">
        <v>209.07</v>
      </c>
      <c r="F194" s="13">
        <f>IFERROR(E194/E446, "NA")</f>
        <v>0.00206877983</v>
      </c>
      <c r="G194" s="14"/>
      <c r="H194" s="15">
        <f t="shared" si="53"/>
        <v>-91.97</v>
      </c>
      <c r="I194" s="13">
        <f>IFERROR(H194/H446, "NA")</f>
        <v>0.04390311432</v>
      </c>
      <c r="J194" s="14"/>
      <c r="K194" s="12">
        <v>301.04</v>
      </c>
      <c r="L194" s="13">
        <f>IFERROR(K194/K446, "NA")</f>
        <v>0.003252145293</v>
      </c>
      <c r="M194" s="14"/>
      <c r="N194" s="15">
        <f t="shared" si="54"/>
        <v>0</v>
      </c>
      <c r="O194" s="13">
        <f>IFERROR(N194/N446, "NA")</f>
        <v>0</v>
      </c>
      <c r="P194" s="14"/>
      <c r="Q194" s="12">
        <v>2315.09</v>
      </c>
      <c r="R194" s="13">
        <f>IFERROR(Q194/Q446, "NA")</f>
        <v>0.002629302718</v>
      </c>
      <c r="S194" s="14"/>
      <c r="T194" s="12">
        <v>1912.49</v>
      </c>
      <c r="U194" s="13">
        <f>IFERROR(T194/T446, "NA")</f>
        <v>0.001975186406</v>
      </c>
      <c r="V194" s="14"/>
      <c r="W194" s="15">
        <f t="shared" si="55"/>
        <v>-402.6</v>
      </c>
      <c r="X194" s="13">
        <f>IFERROR(W194/W446, "NA")</f>
        <v>0.004587397442</v>
      </c>
      <c r="Y194" s="14"/>
      <c r="Z194" s="12">
        <v>2312.52</v>
      </c>
      <c r="AA194" s="13">
        <f>IFERROR(Z194/Z446, "NA")</f>
        <v>0.002574677901</v>
      </c>
      <c r="AB194" s="14"/>
      <c r="AC194" s="15">
        <f t="shared" si="56"/>
        <v>-2.57</v>
      </c>
      <c r="AD194" s="13">
        <f>IFERROR(AC194/AC446, "NA")</f>
        <v>0.0001453408639</v>
      </c>
    </row>
    <row r="195" ht="16.5" customHeight="1">
      <c r="A195" s="11" t="s">
        <v>182</v>
      </c>
      <c r="B195" s="12">
        <v>0.0</v>
      </c>
      <c r="C195" s="13">
        <f>IFERROR(B195/B446, "NA")</f>
        <v>0</v>
      </c>
      <c r="D195" s="14"/>
      <c r="E195" s="12">
        <v>874.0</v>
      </c>
      <c r="F195" s="13">
        <f>IFERROR(E195/E446, "NA")</f>
        <v>0.008648364524</v>
      </c>
      <c r="G195" s="14"/>
      <c r="H195" s="15">
        <f t="shared" si="53"/>
        <v>874</v>
      </c>
      <c r="I195" s="13">
        <f>IFERROR(H195/H446, "NA")</f>
        <v>-0.4172156346</v>
      </c>
      <c r="J195" s="14"/>
      <c r="K195" s="12">
        <v>871.14</v>
      </c>
      <c r="L195" s="13">
        <f>IFERROR(K195/K446, "NA")</f>
        <v>0.00941095486</v>
      </c>
      <c r="M195" s="14"/>
      <c r="N195" s="15">
        <f t="shared" si="54"/>
        <v>871.14</v>
      </c>
      <c r="O195" s="13">
        <f>IFERROR(N195/N446, "NA")</f>
        <v>0.1361551951</v>
      </c>
      <c r="P195" s="14"/>
      <c r="Q195" s="12">
        <v>0.0</v>
      </c>
      <c r="R195" s="13">
        <f>IFERROR(Q195/Q446, "NA")</f>
        <v>0</v>
      </c>
      <c r="S195" s="14"/>
      <c r="T195" s="12">
        <v>8093.52</v>
      </c>
      <c r="U195" s="13">
        <f>IFERROR(T195/T446, "NA")</f>
        <v>0.008358846678</v>
      </c>
      <c r="V195" s="14"/>
      <c r="W195" s="15">
        <f t="shared" si="55"/>
        <v>8093.52</v>
      </c>
      <c r="X195" s="13">
        <f>IFERROR(W195/W446, "NA")</f>
        <v>-0.09222104556</v>
      </c>
      <c r="Y195" s="14"/>
      <c r="Z195" s="12">
        <v>6900.28</v>
      </c>
      <c r="AA195" s="13">
        <f>IFERROR(Z195/Z446, "NA")</f>
        <v>0.007682527469</v>
      </c>
      <c r="AB195" s="14"/>
      <c r="AC195" s="15">
        <f t="shared" si="56"/>
        <v>6900.28</v>
      </c>
      <c r="AD195" s="13">
        <f>IFERROR(AC195/AC446, "NA")</f>
        <v>-0.3902306056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30976.57</v>
      </c>
      <c r="C196" s="18">
        <f>IFERROR(B196/B446, "NA")</f>
        <v>0.3130061589</v>
      </c>
      <c r="D196" s="8"/>
      <c r="E196" s="17">
        <f>IFERROR(E175+E177+E178+E179+E180+E181+E183+E184+E186+E187+E188+E189+E190+E191+E192+E194+E195, "NA")</f>
        <v>29808.15</v>
      </c>
      <c r="F196" s="18">
        <f>IFERROR(E196/E446, "NA")</f>
        <v>0.2949562322</v>
      </c>
      <c r="G196" s="8"/>
      <c r="H196" s="17">
        <f t="shared" si="53"/>
        <v>-1168.42</v>
      </c>
      <c r="I196" s="18">
        <f>IFERROR(H196/H446, "NA")</f>
        <v>0.5577609746</v>
      </c>
      <c r="J196" s="8"/>
      <c r="K196" s="17">
        <f>IFERROR(K175+K177+K178+K179+K180+K181+K183+K184+K186+K187+K188+K189+K190+K191+K192+K194+K195, "NA")</f>
        <v>31507.51</v>
      </c>
      <c r="L196" s="18">
        <f>IFERROR(K196/K446, "NA")</f>
        <v>0.3403766953</v>
      </c>
      <c r="M196" s="8"/>
      <c r="N196" s="17">
        <f t="shared" si="54"/>
        <v>530.94</v>
      </c>
      <c r="O196" s="18">
        <f>IFERROR(N196/N446, "NA")</f>
        <v>0.08298349208</v>
      </c>
      <c r="P196" s="8"/>
      <c r="Q196" s="17">
        <f>IFERROR(Q175+Q177+Q178+Q179+Q180+Q181+Q183+Q184+Q186+Q187+Q188+Q189+Q190+Q191+Q192+Q194+Q195, "NA")</f>
        <v>249167.83</v>
      </c>
      <c r="R196" s="18">
        <f>IFERROR(Q196/Q446, "NA")</f>
        <v>0.2829858246</v>
      </c>
      <c r="S196" s="8"/>
      <c r="T196" s="17">
        <f>IFERROR(T175+T177+T178+T179+T180+T181+T183+T184+T186+T187+T188+T189+T190+T191+T192+T194+T195, "NA")</f>
        <v>272142.87</v>
      </c>
      <c r="U196" s="18">
        <f>IFERROR(T196/T446, "NA")</f>
        <v>0.2810644225</v>
      </c>
      <c r="V196" s="8"/>
      <c r="W196" s="17">
        <f t="shared" si="55"/>
        <v>22975.04</v>
      </c>
      <c r="X196" s="18">
        <f>IFERROR(W196/W446, "NA")</f>
        <v>-0.2617874807</v>
      </c>
      <c r="Y196" s="8"/>
      <c r="Z196" s="17">
        <f>IFERROR(Z175+Z177+Z178+Z179+Z180+Z181+Z183+Z184+Z186+Z187+Z188+Z189+Z190+Z191+Z192+Z194+Z195, "NA")</f>
        <v>266592.23</v>
      </c>
      <c r="AA196" s="18">
        <f>IFERROR(Z196/Z446, "NA")</f>
        <v>0.296814351</v>
      </c>
      <c r="AB196" s="8"/>
      <c r="AC196" s="17">
        <f t="shared" si="56"/>
        <v>17424.4</v>
      </c>
      <c r="AD196" s="18">
        <f>IFERROR(AC196/AC446, "NA")</f>
        <v>-0.9853997468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30976.57</v>
      </c>
      <c r="C197" s="18">
        <f>IFERROR(B197/B446, "NA")</f>
        <v>0.3130061589</v>
      </c>
      <c r="D197" s="8"/>
      <c r="E197" s="17">
        <f>IFERROR(E175+E177+E178+E179+E180+E181+E183+E184+E186+E187+E188+E189+E190+E191+E192+E194+E195, "NA")</f>
        <v>29808.15</v>
      </c>
      <c r="F197" s="18">
        <f>IFERROR(E197/E446, "NA")</f>
        <v>0.2949562322</v>
      </c>
      <c r="G197" s="8"/>
      <c r="H197" s="17">
        <f t="shared" si="53"/>
        <v>-1168.42</v>
      </c>
      <c r="I197" s="18">
        <f>IFERROR(H197/H446, "NA")</f>
        <v>0.5577609746</v>
      </c>
      <c r="J197" s="8"/>
      <c r="K197" s="17">
        <f>IFERROR(K175+K177+K178+K179+K180+K181+K183+K184+K186+K187+K188+K189+K190+K191+K192+K194+K195, "NA")</f>
        <v>31507.51</v>
      </c>
      <c r="L197" s="18">
        <f>IFERROR(K197/K446, "NA")</f>
        <v>0.3403766953</v>
      </c>
      <c r="M197" s="8"/>
      <c r="N197" s="17">
        <f t="shared" si="54"/>
        <v>530.94</v>
      </c>
      <c r="O197" s="18">
        <f>IFERROR(N197/N446, "NA")</f>
        <v>0.08298349208</v>
      </c>
      <c r="P197" s="8"/>
      <c r="Q197" s="17">
        <f>IFERROR(Q175+Q177+Q178+Q179+Q180+Q181+Q183+Q184+Q186+Q187+Q188+Q189+Q190+Q191+Q192+Q194+Q195, "NA")</f>
        <v>249167.83</v>
      </c>
      <c r="R197" s="18">
        <f>IFERROR(Q197/Q446, "NA")</f>
        <v>0.2829858246</v>
      </c>
      <c r="S197" s="8"/>
      <c r="T197" s="17">
        <f>IFERROR(T175+T177+T178+T179+T180+T181+T183+T184+T186+T187+T188+T189+T190+T191+T192+T194+T195, "NA")</f>
        <v>272142.87</v>
      </c>
      <c r="U197" s="18">
        <f>IFERROR(T197/T446, "NA")</f>
        <v>0.2810644225</v>
      </c>
      <c r="V197" s="8"/>
      <c r="W197" s="17">
        <f t="shared" si="55"/>
        <v>22975.04</v>
      </c>
      <c r="X197" s="18">
        <f>IFERROR(W197/W446, "NA")</f>
        <v>-0.2617874807</v>
      </c>
      <c r="Y197" s="8"/>
      <c r="Z197" s="17">
        <f>IFERROR(Z175+Z177+Z178+Z179+Z180+Z181+Z183+Z184+Z186+Z187+Z188+Z189+Z190+Z191+Z192+Z194+Z195, "NA")</f>
        <v>266592.23</v>
      </c>
      <c r="AA197" s="18">
        <f>IFERROR(Z197/Z446, "NA")</f>
        <v>0.296814351</v>
      </c>
      <c r="AB197" s="8"/>
      <c r="AC197" s="17">
        <f t="shared" si="56"/>
        <v>17424.4</v>
      </c>
      <c r="AD197" s="18">
        <f>IFERROR(AC197/AC446, "NA")</f>
        <v>-0.9853997468</v>
      </c>
    </row>
    <row r="198" ht="16.5" customHeight="1">
      <c r="A198" s="19" t="s">
        <v>184</v>
      </c>
      <c r="B198" s="20">
        <f>IFERROR(B172-B197, "NA")</f>
        <v>41788.62</v>
      </c>
      <c r="C198" s="21">
        <f>IFERROR(B198/B446, "NA")</f>
        <v>0.4222577074</v>
      </c>
      <c r="D198" s="22"/>
      <c r="E198" s="20">
        <f>IFERROR(E172-E197, "NA")</f>
        <v>44268.51</v>
      </c>
      <c r="F198" s="21">
        <f>IFERROR(E198/E446, "NA")</f>
        <v>0.4380437202</v>
      </c>
      <c r="G198" s="22"/>
      <c r="H198" s="20">
        <f>IFERROR(B198-E198, "NA")</f>
        <v>-2479.89</v>
      </c>
      <c r="I198" s="21">
        <f>IFERROR(H198/H446, "NA")</f>
        <v>1.183808787</v>
      </c>
      <c r="J198" s="22"/>
      <c r="K198" s="20">
        <f>IFERROR(K172-K197, "NA")</f>
        <v>32914.53</v>
      </c>
      <c r="L198" s="21">
        <f>IFERROR(K198/K446, "NA")</f>
        <v>0.3555767799</v>
      </c>
      <c r="M198" s="22"/>
      <c r="N198" s="20">
        <f>IFERROR(B198-K198, "NA")</f>
        <v>8874.09</v>
      </c>
      <c r="O198" s="21">
        <f>IFERROR(N198/N446, "NA")</f>
        <v>1.386979653</v>
      </c>
      <c r="P198" s="22"/>
      <c r="Q198" s="20">
        <f>IFERROR(Q172-Q197, "NA")</f>
        <v>384736.24</v>
      </c>
      <c r="R198" s="21">
        <f>IFERROR(Q198/Q446, "NA")</f>
        <v>0.4369540888</v>
      </c>
      <c r="S198" s="22"/>
      <c r="T198" s="20">
        <f>IFERROR(T172-T197, "NA")</f>
        <v>436133.51</v>
      </c>
      <c r="U198" s="21">
        <f>IFERROR(T198/T446, "NA")</f>
        <v>0.4504311031</v>
      </c>
      <c r="V198" s="22"/>
      <c r="W198" s="20">
        <f>IFERROR(Q198-T198, "NA")</f>
        <v>-51397.27</v>
      </c>
      <c r="X198" s="21">
        <f>IFERROR(W198/W446, "NA")</f>
        <v>0.5856425855</v>
      </c>
      <c r="Y198" s="22"/>
      <c r="Z198" s="20">
        <f>IFERROR(Z172-Z197, "NA")</f>
        <v>362401.36</v>
      </c>
      <c r="AA198" s="21">
        <f>IFERROR(Z198/Z446, "NA")</f>
        <v>0.4034848446</v>
      </c>
      <c r="AB198" s="22"/>
      <c r="AC198" s="20">
        <f>IFERROR(Q198-Z198, "NA")</f>
        <v>22334.88</v>
      </c>
      <c r="AD198" s="21">
        <f>IFERROR(AC198/AC446, "NA")</f>
        <v>-1.263101461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t="16.5" hidden="1" customHeight="1">
      <c r="A201" s="11" t="s">
        <v>186</v>
      </c>
      <c r="B201" s="12">
        <v>0.0</v>
      </c>
      <c r="C201" s="13">
        <f>IFERROR(B201/B446, "NA")</f>
        <v>0</v>
      </c>
      <c r="D201" s="14"/>
      <c r="E201" s="12">
        <v>0.0</v>
      </c>
      <c r="F201" s="13">
        <f>IFERROR(E201/E446, "NA")</f>
        <v>0</v>
      </c>
      <c r="G201" s="14"/>
      <c r="H201" s="15">
        <f t="shared" ref="H201:H209" si="57">IFERROR(-(B201-E201), "NA")</f>
        <v>0</v>
      </c>
      <c r="I201" s="13">
        <f>IFERROR(H201/H446, "NA")</f>
        <v>0</v>
      </c>
      <c r="J201" s="14"/>
      <c r="K201" s="12">
        <v>0.0</v>
      </c>
      <c r="L201" s="13">
        <f>IFERROR(K201/K446, "NA")</f>
        <v>0</v>
      </c>
      <c r="M201" s="14"/>
      <c r="N201" s="15">
        <f t="shared" ref="N201:N209" si="58">IFERROR(-(B201-K201), "NA")</f>
        <v>0</v>
      </c>
      <c r="O201" s="13">
        <f>IFERROR(N201/N446, "NA")</f>
        <v>0</v>
      </c>
      <c r="P201" s="14"/>
      <c r="Q201" s="12">
        <v>0.0</v>
      </c>
      <c r="R201" s="13">
        <f>IFERROR(Q201/Q446, "NA")</f>
        <v>0</v>
      </c>
      <c r="S201" s="14"/>
      <c r="T201" s="12">
        <v>0.0</v>
      </c>
      <c r="U201" s="13">
        <f>IFERROR(T201/T446, "NA")</f>
        <v>0</v>
      </c>
      <c r="V201" s="14"/>
      <c r="W201" s="15">
        <f t="shared" ref="W201:W209" si="59">IFERROR(-(Q201-T201), "NA")</f>
        <v>0</v>
      </c>
      <c r="X201" s="13">
        <f>IFERROR(W201/W446, "NA")</f>
        <v>0</v>
      </c>
      <c r="Y201" s="14"/>
      <c r="Z201" s="12">
        <v>0.0</v>
      </c>
      <c r="AA201" s="13">
        <f>IFERROR(Z201/Z446, "NA")</f>
        <v>0</v>
      </c>
      <c r="AB201" s="14"/>
      <c r="AC201" s="15">
        <f t="shared" ref="AC201:AC209" si="60">IFERROR(-(Q201-Z201), "NA")</f>
        <v>0</v>
      </c>
      <c r="AD201" s="13">
        <f>IFERROR(AC201/AC446, "NA")</f>
        <v>0</v>
      </c>
    </row>
    <row r="202" ht="16.5" customHeight="1">
      <c r="A202" s="11" t="s">
        <v>187</v>
      </c>
      <c r="B202" s="12">
        <v>698.07</v>
      </c>
      <c r="C202" s="13">
        <f>IFERROR(B202/B446, "NA")</f>
        <v>0.0070537251</v>
      </c>
      <c r="D202" s="14"/>
      <c r="E202" s="12">
        <v>1111.66</v>
      </c>
      <c r="F202" s="13">
        <f>IFERROR(E202/E446, "NA")</f>
        <v>0.0110000468</v>
      </c>
      <c r="G202" s="14"/>
      <c r="H202" s="15">
        <f t="shared" si="57"/>
        <v>413.59</v>
      </c>
      <c r="I202" s="13">
        <f>IFERROR(H202/H446, "NA")</f>
        <v>-0.1974327395</v>
      </c>
      <c r="J202" s="14"/>
      <c r="K202" s="12">
        <v>843.84</v>
      </c>
      <c r="L202" s="13">
        <f>IFERROR(K202/K446, "NA")</f>
        <v>0.009116032037</v>
      </c>
      <c r="M202" s="14"/>
      <c r="N202" s="15">
        <f t="shared" si="58"/>
        <v>145.77</v>
      </c>
      <c r="O202" s="13">
        <f>IFERROR(N202/N446, "NA")</f>
        <v>0.02278318386</v>
      </c>
      <c r="P202" s="14"/>
      <c r="Q202" s="12">
        <v>7517.5</v>
      </c>
      <c r="R202" s="13">
        <f>IFERROR(Q202/Q446, "NA")</f>
        <v>0.00853780336</v>
      </c>
      <c r="S202" s="14"/>
      <c r="T202" s="12">
        <v>10650.85</v>
      </c>
      <c r="U202" s="13">
        <f>IFERROR(T202/T446, "NA")</f>
        <v>0.01100001262</v>
      </c>
      <c r="V202" s="14"/>
      <c r="W202" s="15">
        <f t="shared" si="59"/>
        <v>3133.35</v>
      </c>
      <c r="X202" s="13">
        <f>IFERROR(W202/W446, "NA")</f>
        <v>-0.03570273665</v>
      </c>
      <c r="Y202" s="14"/>
      <c r="Z202" s="12">
        <v>8326.53</v>
      </c>
      <c r="AA202" s="13">
        <f>IFERROR(Z202/Z446, "NA")</f>
        <v>0.009270463728</v>
      </c>
      <c r="AB202" s="14"/>
      <c r="AC202" s="15">
        <f t="shared" si="60"/>
        <v>809.03</v>
      </c>
      <c r="AD202" s="13">
        <f>IFERROR(AC202/AC446, "NA")</f>
        <v>-0.04575296464</v>
      </c>
    </row>
    <row r="203" ht="16.5" customHeight="1">
      <c r="A203" s="11" t="s">
        <v>188</v>
      </c>
      <c r="B203" s="12">
        <v>466.61</v>
      </c>
      <c r="C203" s="13">
        <f>IFERROR(B203/B446, "NA")</f>
        <v>0.00471491207</v>
      </c>
      <c r="D203" s="14"/>
      <c r="E203" s="12">
        <v>707.42</v>
      </c>
      <c r="F203" s="13">
        <f>IFERROR(E203/E446, "NA")</f>
        <v>0.007000029784</v>
      </c>
      <c r="G203" s="14"/>
      <c r="H203" s="15">
        <f t="shared" si="57"/>
        <v>240.81</v>
      </c>
      <c r="I203" s="13">
        <f>IFERROR(H203/H446, "NA")</f>
        <v>-0.1149538867</v>
      </c>
      <c r="J203" s="14"/>
      <c r="K203" s="12">
        <v>855.43</v>
      </c>
      <c r="L203" s="13">
        <f>IFERROR(K203/K446, "NA")</f>
        <v>0.009241239199</v>
      </c>
      <c r="M203" s="14"/>
      <c r="N203" s="15">
        <f t="shared" si="58"/>
        <v>388.82</v>
      </c>
      <c r="O203" s="13">
        <f>IFERROR(N203/N446, "NA")</f>
        <v>0.06077078651</v>
      </c>
      <c r="P203" s="14"/>
      <c r="Q203" s="12">
        <v>7415.12</v>
      </c>
      <c r="R203" s="13">
        <f>IFERROR(Q203/Q446, "NA")</f>
        <v>0.008421527962</v>
      </c>
      <c r="S203" s="14"/>
      <c r="T203" s="12">
        <v>6777.81</v>
      </c>
      <c r="U203" s="13">
        <f>IFERROR(T203/T446, "NA")</f>
        <v>0.007000004276</v>
      </c>
      <c r="V203" s="14"/>
      <c r="W203" s="15">
        <f t="shared" si="59"/>
        <v>-637.31</v>
      </c>
      <c r="X203" s="13">
        <f>IFERROR(W203/W446, "NA")</f>
        <v>0.007261784062</v>
      </c>
      <c r="Y203" s="14"/>
      <c r="Z203" s="12">
        <v>7547.82</v>
      </c>
      <c r="AA203" s="13">
        <f>IFERROR(Z203/Z446, "NA")</f>
        <v>0.008403475581</v>
      </c>
      <c r="AB203" s="14"/>
      <c r="AC203" s="15">
        <f t="shared" si="60"/>
        <v>132.7</v>
      </c>
      <c r="AD203" s="13">
        <f>IFERROR(AC203/AC446, "NA")</f>
        <v>-0.00750456523</v>
      </c>
    </row>
    <row r="204" ht="16.5" customHeight="1">
      <c r="A204" s="11" t="s">
        <v>189</v>
      </c>
      <c r="B204" s="12">
        <v>47.48</v>
      </c>
      <c r="C204" s="13">
        <f>IFERROR(B204/B446, "NA")</f>
        <v>0.0004797668826</v>
      </c>
      <c r="D204" s="14"/>
      <c r="E204" s="12">
        <v>202.12</v>
      </c>
      <c r="F204" s="13">
        <f>IFERROR(E204/E446, "NA")</f>
        <v>0.00200000851</v>
      </c>
      <c r="G204" s="14"/>
      <c r="H204" s="15">
        <f t="shared" si="57"/>
        <v>154.64</v>
      </c>
      <c r="I204" s="13">
        <f>IFERROR(H204/H446, "NA")</f>
        <v>-0.07381948025</v>
      </c>
      <c r="J204" s="14"/>
      <c r="K204" s="12">
        <v>75.79</v>
      </c>
      <c r="L204" s="13">
        <f>IFERROR(K204/K446, "NA")</f>
        <v>0.0008187619313</v>
      </c>
      <c r="M204" s="14"/>
      <c r="N204" s="15">
        <f t="shared" si="58"/>
        <v>28.31</v>
      </c>
      <c r="O204" s="13">
        <f>IFERROR(N204/N446, "NA")</f>
        <v>0.004424723435</v>
      </c>
      <c r="P204" s="14"/>
      <c r="Q204" s="12">
        <v>552.0</v>
      </c>
      <c r="R204" s="13">
        <f>IFERROR(Q204/Q446, "NA")</f>
        <v>0.0006269195151</v>
      </c>
      <c r="S204" s="14"/>
      <c r="T204" s="12">
        <v>1936.52</v>
      </c>
      <c r="U204" s="13">
        <f>IFERROR(T204/T446, "NA")</f>
        <v>0.002000004172</v>
      </c>
      <c r="V204" s="14"/>
      <c r="W204" s="15">
        <f t="shared" si="59"/>
        <v>1384.52</v>
      </c>
      <c r="X204" s="13">
        <f>IFERROR(W204/W446, "NA")</f>
        <v>-0.01577581596</v>
      </c>
      <c r="Y204" s="14"/>
      <c r="Z204" s="12">
        <v>1116.98</v>
      </c>
      <c r="AA204" s="13">
        <f>IFERROR(Z204/Z446, "NA")</f>
        <v>0.001243605989</v>
      </c>
      <c r="AB204" s="14"/>
      <c r="AC204" s="15">
        <f t="shared" si="60"/>
        <v>564.98</v>
      </c>
      <c r="AD204" s="13">
        <f>IFERROR(AC204/AC446, "NA")</f>
        <v>-0.03195123786</v>
      </c>
    </row>
    <row r="205" ht="16.5" customHeight="1">
      <c r="A205" s="11" t="s">
        <v>190</v>
      </c>
      <c r="B205" s="12">
        <v>364.24</v>
      </c>
      <c r="C205" s="13">
        <f>IFERROR(B205/B446, "NA")</f>
        <v>0.003680503145</v>
      </c>
      <c r="D205" s="14"/>
      <c r="E205" s="12">
        <v>303.18</v>
      </c>
      <c r="F205" s="13">
        <f>IFERROR(E205/E446, "NA")</f>
        <v>0.003000012765</v>
      </c>
      <c r="G205" s="14"/>
      <c r="H205" s="15">
        <f t="shared" si="57"/>
        <v>-61.06</v>
      </c>
      <c r="I205" s="13">
        <f>IFERROR(H205/H446, "NA")</f>
        <v>0.02914781081</v>
      </c>
      <c r="J205" s="14"/>
      <c r="K205" s="12">
        <v>364.24</v>
      </c>
      <c r="L205" s="13">
        <f>IFERROR(K205/K446, "NA")</f>
        <v>0.003934897029</v>
      </c>
      <c r="M205" s="14"/>
      <c r="N205" s="15">
        <f t="shared" si="58"/>
        <v>0</v>
      </c>
      <c r="O205" s="13">
        <f>IFERROR(N205/N446, "NA")</f>
        <v>0</v>
      </c>
      <c r="P205" s="14"/>
      <c r="Q205" s="12">
        <v>3188.44</v>
      </c>
      <c r="R205" s="13">
        <f>IFERROR(Q205/Q446, "NA")</f>
        <v>0.003621187063</v>
      </c>
      <c r="S205" s="14"/>
      <c r="T205" s="12">
        <v>2904.77</v>
      </c>
      <c r="U205" s="13">
        <f>IFERROR(T205/T446, "NA")</f>
        <v>0.002999995931</v>
      </c>
      <c r="V205" s="14"/>
      <c r="W205" s="15">
        <f t="shared" si="59"/>
        <v>-283.67</v>
      </c>
      <c r="X205" s="13">
        <f>IFERROR(W205/W446, "NA")</f>
        <v>0.003232257904</v>
      </c>
      <c r="Y205" s="14"/>
      <c r="Z205" s="12">
        <v>3096.04</v>
      </c>
      <c r="AA205" s="13">
        <f>IFERROR(Z205/Z446, "NA")</f>
        <v>0.003447021331</v>
      </c>
      <c r="AB205" s="14"/>
      <c r="AC205" s="15">
        <f t="shared" si="60"/>
        <v>-92.4</v>
      </c>
      <c r="AD205" s="13">
        <f>IFERROR(AC205/AC446, "NA")</f>
        <v>0.005225484757</v>
      </c>
    </row>
    <row r="206" ht="16.5" customHeight="1">
      <c r="A206" s="11" t="s">
        <v>191</v>
      </c>
      <c r="B206" s="12">
        <v>12.63</v>
      </c>
      <c r="C206" s="13">
        <f>IFERROR(B206/B446, "NA")</f>
        <v>0.0001276212242</v>
      </c>
      <c r="D206" s="14"/>
      <c r="E206" s="12">
        <v>101.06</v>
      </c>
      <c r="F206" s="13">
        <f>IFERROR(E206/E446, "NA")</f>
        <v>0.001000004255</v>
      </c>
      <c r="G206" s="14"/>
      <c r="H206" s="15">
        <f t="shared" si="57"/>
        <v>88.43</v>
      </c>
      <c r="I206" s="13">
        <f>IFERROR(H206/H446, "NA")</f>
        <v>-0.04221324779</v>
      </c>
      <c r="J206" s="14"/>
      <c r="K206" s="12">
        <v>0.0</v>
      </c>
      <c r="L206" s="13">
        <f>IFERROR(K206/K446, "NA")</f>
        <v>0</v>
      </c>
      <c r="M206" s="14"/>
      <c r="N206" s="15">
        <f t="shared" si="58"/>
        <v>-12.63</v>
      </c>
      <c r="O206" s="13">
        <f>IFERROR(N206/N446, "NA")</f>
        <v>-0.001974011197</v>
      </c>
      <c r="P206" s="14"/>
      <c r="Q206" s="12">
        <v>113.57</v>
      </c>
      <c r="R206" s="13">
        <f>IFERROR(Q206/Q446, "NA")</f>
        <v>0.0001289841473</v>
      </c>
      <c r="S206" s="14"/>
      <c r="T206" s="12">
        <v>968.26</v>
      </c>
      <c r="U206" s="13">
        <f>IFERROR(T206/T446, "NA")</f>
        <v>0.001000002086</v>
      </c>
      <c r="V206" s="14"/>
      <c r="W206" s="15">
        <f t="shared" si="59"/>
        <v>854.69</v>
      </c>
      <c r="X206" s="13">
        <f>IFERROR(W206/W446, "NA")</f>
        <v>-0.009738705214</v>
      </c>
      <c r="Y206" s="14"/>
      <c r="Z206" s="12">
        <v>865.24</v>
      </c>
      <c r="AA206" s="13">
        <f>IFERROR(Z206/Z446, "NA")</f>
        <v>0.0009633275849</v>
      </c>
      <c r="AB206" s="14"/>
      <c r="AC206" s="15">
        <f t="shared" si="60"/>
        <v>751.67</v>
      </c>
      <c r="AD206" s="13">
        <f>IFERROR(AC206/AC446, "NA")</f>
        <v>-0.04250909229</v>
      </c>
    </row>
    <row r="207" ht="16.5" customHeight="1">
      <c r="A207" s="11" t="s">
        <v>192</v>
      </c>
      <c r="B207" s="12">
        <v>0.0</v>
      </c>
      <c r="C207" s="13">
        <f>IFERROR(B207/B446, "NA")</f>
        <v>0</v>
      </c>
      <c r="D207" s="14"/>
      <c r="E207" s="12">
        <v>100.0</v>
      </c>
      <c r="F207" s="13">
        <f>IFERROR(E207/E446, "NA")</f>
        <v>0.0009895153918</v>
      </c>
      <c r="G207" s="14"/>
      <c r="H207" s="15">
        <f t="shared" si="57"/>
        <v>100</v>
      </c>
      <c r="I207" s="13">
        <f>IFERROR(H207/H446, "NA")</f>
        <v>-0.04773634263</v>
      </c>
      <c r="J207" s="14"/>
      <c r="K207" s="12">
        <v>0.0</v>
      </c>
      <c r="L207" s="13">
        <f>IFERROR(K207/K446, "NA")</f>
        <v>0</v>
      </c>
      <c r="M207" s="14"/>
      <c r="N207" s="15">
        <f t="shared" si="58"/>
        <v>0</v>
      </c>
      <c r="O207" s="13">
        <f>IFERROR(N207/N446, "NA")</f>
        <v>0</v>
      </c>
      <c r="P207" s="14"/>
      <c r="Q207" s="12">
        <v>291.23</v>
      </c>
      <c r="R207" s="13">
        <f>IFERROR(Q207/Q446, "NA")</f>
        <v>0.0003307568304</v>
      </c>
      <c r="S207" s="14"/>
      <c r="T207" s="12">
        <v>800.0</v>
      </c>
      <c r="U207" s="13">
        <f>IFERROR(T207/T446, "NA")</f>
        <v>0.0008262260849</v>
      </c>
      <c r="V207" s="14"/>
      <c r="W207" s="15">
        <f t="shared" si="59"/>
        <v>508.77</v>
      </c>
      <c r="X207" s="13">
        <f>IFERROR(W207/W446, "NA")</f>
        <v>-0.005797144055</v>
      </c>
      <c r="Y207" s="14"/>
      <c r="Z207" s="12">
        <v>762.98</v>
      </c>
      <c r="AA207" s="13">
        <f>IFERROR(Z207/Z446, "NA")</f>
        <v>0.0008494749211</v>
      </c>
      <c r="AB207" s="14"/>
      <c r="AC207" s="15">
        <f t="shared" si="60"/>
        <v>471.75</v>
      </c>
      <c r="AD207" s="13">
        <f>IFERROR(AC207/AC446, "NA")</f>
        <v>-0.02667881422</v>
      </c>
    </row>
    <row r="208" ht="16.5" customHeight="1">
      <c r="A208" s="11" t="s">
        <v>193</v>
      </c>
      <c r="B208" s="12">
        <v>187.59</v>
      </c>
      <c r="C208" s="13">
        <f>IFERROR(B208/B446, "NA")</f>
        <v>0.001895523789</v>
      </c>
      <c r="D208" s="14"/>
      <c r="E208" s="12">
        <v>100.0</v>
      </c>
      <c r="F208" s="13">
        <f>IFERROR(E208/E446, "NA")</f>
        <v>0.0009895153918</v>
      </c>
      <c r="G208" s="14"/>
      <c r="H208" s="15">
        <f t="shared" si="57"/>
        <v>-87.59</v>
      </c>
      <c r="I208" s="13">
        <f>IFERROR(H208/H446, "NA")</f>
        <v>0.04181226251</v>
      </c>
      <c r="J208" s="14"/>
      <c r="K208" s="12">
        <v>125.31</v>
      </c>
      <c r="L208" s="13">
        <f>IFERROR(K208/K446, "NA")</f>
        <v>0.001353728165</v>
      </c>
      <c r="M208" s="14"/>
      <c r="N208" s="15">
        <f t="shared" si="58"/>
        <v>-62.28</v>
      </c>
      <c r="O208" s="13">
        <f>IFERROR(N208/N446, "NA")</f>
        <v>-0.009734078967</v>
      </c>
      <c r="P208" s="14"/>
      <c r="Q208" s="12">
        <v>939.69</v>
      </c>
      <c r="R208" s="13">
        <f>IFERROR(Q208/Q446, "NA")</f>
        <v>0.001067228259</v>
      </c>
      <c r="S208" s="14"/>
      <c r="T208" s="12">
        <v>800.0</v>
      </c>
      <c r="U208" s="13">
        <f>IFERROR(T208/T446, "NA")</f>
        <v>0.0008262260849</v>
      </c>
      <c r="V208" s="14"/>
      <c r="W208" s="15">
        <f t="shared" si="59"/>
        <v>-139.69</v>
      </c>
      <c r="X208" s="13">
        <f>IFERROR(W208/W446, "NA")</f>
        <v>0.0015916879</v>
      </c>
      <c r="Y208" s="14"/>
      <c r="Z208" s="12">
        <v>1207.56</v>
      </c>
      <c r="AA208" s="13">
        <f>IFERROR(Z208/Z446, "NA")</f>
        <v>0.001344454554</v>
      </c>
      <c r="AB208" s="14"/>
      <c r="AC208" s="15">
        <f t="shared" si="60"/>
        <v>267.87</v>
      </c>
      <c r="AD208" s="13">
        <f>IFERROR(AC208/AC446, "NA")</f>
        <v>-0.01514881604</v>
      </c>
    </row>
    <row r="209" ht="16.5" customHeight="1">
      <c r="A209" s="16" t="s">
        <v>194</v>
      </c>
      <c r="B209" s="17">
        <f>IFERROR(B201+B202+B203+B204+B205+B206+B207+B208, "NA")</f>
        <v>1776.62</v>
      </c>
      <c r="C209" s="18">
        <f>IFERROR(B209/B446, "NA")</f>
        <v>0.01795205221</v>
      </c>
      <c r="D209" s="8"/>
      <c r="E209" s="17">
        <f>IFERROR(E201+E202+E203+E204+E205+E206+E207+E208, "NA")</f>
        <v>2625.44</v>
      </c>
      <c r="F209" s="18">
        <f>IFERROR(E209/E446, "NA")</f>
        <v>0.0259791329</v>
      </c>
      <c r="G209" s="8"/>
      <c r="H209" s="17">
        <f t="shared" si="57"/>
        <v>848.82</v>
      </c>
      <c r="I209" s="18">
        <f>IFERROR(H209/H446, "NA")</f>
        <v>-0.4051956235</v>
      </c>
      <c r="J209" s="8"/>
      <c r="K209" s="17">
        <f>IFERROR(K201+K202+K203+K204+K205+K206+K207+K208, "NA")</f>
        <v>2264.61</v>
      </c>
      <c r="L209" s="18">
        <f>IFERROR(K209/K446, "NA")</f>
        <v>0.02446465836</v>
      </c>
      <c r="M209" s="8"/>
      <c r="N209" s="17">
        <f t="shared" si="58"/>
        <v>487.99</v>
      </c>
      <c r="O209" s="18">
        <f>IFERROR(N209/N446, "NA")</f>
        <v>0.07627060364</v>
      </c>
      <c r="P209" s="8"/>
      <c r="Q209" s="17">
        <f>IFERROR(Q201+Q202+Q203+Q204+Q205+Q206+Q207+Q208, "NA")</f>
        <v>20017.55</v>
      </c>
      <c r="R209" s="18">
        <f>IFERROR(Q209/Q446, "NA")</f>
        <v>0.02273440714</v>
      </c>
      <c r="S209" s="8"/>
      <c r="T209" s="17">
        <f>IFERROR(T201+T202+T203+T204+T205+T206+T207+T208, "NA")</f>
        <v>24838.21</v>
      </c>
      <c r="U209" s="18">
        <f>IFERROR(T209/T446, "NA")</f>
        <v>0.02565247126</v>
      </c>
      <c r="V209" s="8"/>
      <c r="W209" s="17">
        <f t="shared" si="59"/>
        <v>4820.66</v>
      </c>
      <c r="X209" s="18">
        <f>IFERROR(W209/W446, "NA")</f>
        <v>-0.05492867201</v>
      </c>
      <c r="Y209" s="8"/>
      <c r="Z209" s="17">
        <f>IFERROR(Z201+Z202+Z203+Z204+Z205+Z206+Z207+Z208, "NA")</f>
        <v>22923.15</v>
      </c>
      <c r="AA209" s="18">
        <f>IFERROR(Z209/Z446, "NA")</f>
        <v>0.02552182369</v>
      </c>
      <c r="AB209" s="8"/>
      <c r="AC209" s="17">
        <f t="shared" si="60"/>
        <v>2905.6</v>
      </c>
      <c r="AD209" s="18">
        <f>IFERROR(AC209/AC446, "NA")</f>
        <v>-0.1643200055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t="16.5" hidden="1" customHeight="1">
      <c r="A211" s="11" t="s">
        <v>195</v>
      </c>
      <c r="B211" s="12">
        <v>0.0</v>
      </c>
      <c r="C211" s="13">
        <f>IFERROR(B211/B446, "NA")</f>
        <v>0</v>
      </c>
      <c r="D211" s="14"/>
      <c r="E211" s="12">
        <v>0.0</v>
      </c>
      <c r="F211" s="13">
        <f>IFERROR(E211/E446, "NA")</f>
        <v>0</v>
      </c>
      <c r="G211" s="14"/>
      <c r="H211" s="15">
        <f>IFERROR(-(B211-E211), "NA")</f>
        <v>0</v>
      </c>
      <c r="I211" s="13">
        <f>IFERROR(H211/H446, "NA")</f>
        <v>0</v>
      </c>
      <c r="J211" s="14"/>
      <c r="K211" s="12">
        <v>0.0</v>
      </c>
      <c r="L211" s="13">
        <f>IFERROR(K211/K446, "NA")</f>
        <v>0</v>
      </c>
      <c r="M211" s="14"/>
      <c r="N211" s="15">
        <f>IFERROR(-(B211-K211), "NA")</f>
        <v>0</v>
      </c>
      <c r="O211" s="13">
        <f>IFERROR(N211/N446, "NA")</f>
        <v>0</v>
      </c>
      <c r="P211" s="14"/>
      <c r="Q211" s="12">
        <v>0.0</v>
      </c>
      <c r="R211" s="13">
        <f>IFERROR(Q211/Q446, "NA")</f>
        <v>0</v>
      </c>
      <c r="S211" s="14"/>
      <c r="T211" s="12">
        <v>0.0</v>
      </c>
      <c r="U211" s="13">
        <f>IFERROR(T211/T446, "NA")</f>
        <v>0</v>
      </c>
      <c r="V211" s="14"/>
      <c r="W211" s="15">
        <f>IFERROR(-(Q211-T211), "NA")</f>
        <v>0</v>
      </c>
      <c r="X211" s="13">
        <f>IFERROR(W211/W446, "NA")</f>
        <v>0</v>
      </c>
      <c r="Y211" s="14"/>
      <c r="Z211" s="12">
        <v>0.0</v>
      </c>
      <c r="AA211" s="13">
        <f>IFERROR(Z211/Z446, "NA")</f>
        <v>0</v>
      </c>
      <c r="AB211" s="14"/>
      <c r="AC211" s="15">
        <f>IFERROR(-(Q211-Z211), "NA")</f>
        <v>0</v>
      </c>
      <c r="AD211" s="13">
        <f>IFERROR(AC211/AC446,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r="A213" s="11" t="s">
        <v>196</v>
      </c>
      <c r="B213" s="12">
        <v>0.0</v>
      </c>
      <c r="C213" s="13">
        <f>IFERROR(B213/B446, "NA")</f>
        <v>0</v>
      </c>
      <c r="D213" s="14"/>
      <c r="E213" s="12">
        <v>2930.73</v>
      </c>
      <c r="F213" s="13">
        <f>IFERROR(E213/E446, "NA")</f>
        <v>0.02900002444</v>
      </c>
      <c r="G213" s="14"/>
      <c r="H213" s="15">
        <f t="shared" ref="H213:H227" si="61">IFERROR(-(B213-E213), "NA")</f>
        <v>2930.73</v>
      </c>
      <c r="I213" s="13">
        <f>IFERROR(H213/H446, "NA")</f>
        <v>-1.399023314</v>
      </c>
      <c r="J213" s="14"/>
      <c r="K213" s="12">
        <v>0.0</v>
      </c>
      <c r="L213" s="13">
        <f>IFERROR(K213/K446, "NA")</f>
        <v>0</v>
      </c>
      <c r="M213" s="14"/>
      <c r="N213" s="15">
        <f t="shared" ref="N213:N227" si="62">IFERROR(-(B213-K213), "NA")</f>
        <v>0</v>
      </c>
      <c r="O213" s="13">
        <f>IFERROR(N213/N446, "NA")</f>
        <v>0</v>
      </c>
      <c r="P213" s="14"/>
      <c r="Q213" s="12">
        <v>0.0</v>
      </c>
      <c r="R213" s="13">
        <f>IFERROR(Q213/Q446, "NA")</f>
        <v>0</v>
      </c>
      <c r="S213" s="14"/>
      <c r="T213" s="12">
        <v>28079.48</v>
      </c>
      <c r="U213" s="13">
        <f>IFERROR(T213/T446, "NA")</f>
        <v>0.02899999853</v>
      </c>
      <c r="V213" s="14"/>
      <c r="W213" s="15">
        <f t="shared" ref="W213:W227" si="63">IFERROR(-(Q213-T213), "NA")</f>
        <v>28079.48</v>
      </c>
      <c r="X213" s="13">
        <f>IFERROR(W213/W446, "NA")</f>
        <v>-0.319949664</v>
      </c>
      <c r="Y213" s="14"/>
      <c r="Z213" s="12">
        <v>0.0</v>
      </c>
      <c r="AA213" s="13">
        <f>IFERROR(Z213/Z446, "NA")</f>
        <v>0</v>
      </c>
      <c r="AB213" s="14"/>
      <c r="AC213" s="15">
        <f t="shared" ref="AC213:AC227" si="64">IFERROR(-(Q213-Z213), "NA")</f>
        <v>0</v>
      </c>
      <c r="AD213" s="13">
        <f>IFERROR(AC213/AC446, "NA")</f>
        <v>0</v>
      </c>
    </row>
    <row r="214" ht="16.5" customHeight="1">
      <c r="A214" s="11" t="s">
        <v>197</v>
      </c>
      <c r="B214" s="12">
        <v>1620.69</v>
      </c>
      <c r="C214" s="13">
        <f>IFERROR(B214/B446, "NA")</f>
        <v>0.01637644037</v>
      </c>
      <c r="D214" s="14"/>
      <c r="E214" s="12">
        <v>0.0</v>
      </c>
      <c r="F214" s="13">
        <f>IFERROR(E214/E446, "NA")</f>
        <v>0</v>
      </c>
      <c r="G214" s="14"/>
      <c r="H214" s="15">
        <f t="shared" si="61"/>
        <v>-1620.69</v>
      </c>
      <c r="I214" s="13">
        <f>IFERROR(H214/H446, "NA")</f>
        <v>0.7736581314</v>
      </c>
      <c r="J214" s="14"/>
      <c r="K214" s="12">
        <v>458.9</v>
      </c>
      <c r="L214" s="13">
        <f>IFERROR(K214/K446, "NA")</f>
        <v>0.004957512208</v>
      </c>
      <c r="M214" s="14"/>
      <c r="N214" s="15">
        <f t="shared" si="62"/>
        <v>-1161.79</v>
      </c>
      <c r="O214" s="13">
        <f>IFERROR(N214/N446, "NA")</f>
        <v>-0.1815824599</v>
      </c>
      <c r="P214" s="14"/>
      <c r="Q214" s="12">
        <v>9485.67</v>
      </c>
      <c r="R214" s="13">
        <f>IFERROR(Q214/Q446, "NA")</f>
        <v>0.01077310079</v>
      </c>
      <c r="S214" s="14"/>
      <c r="T214" s="12">
        <v>0.0</v>
      </c>
      <c r="U214" s="13">
        <f>IFERROR(T214/T446, "NA")</f>
        <v>0</v>
      </c>
      <c r="V214" s="14"/>
      <c r="W214" s="15">
        <f t="shared" si="63"/>
        <v>-9485.67</v>
      </c>
      <c r="X214" s="13">
        <f>IFERROR(W214/W446, "NA")</f>
        <v>0.108083801</v>
      </c>
      <c r="Y214" s="14"/>
      <c r="Z214" s="12">
        <v>14491.21</v>
      </c>
      <c r="AA214" s="13">
        <f>IFERROR(Z214/Z446, "NA")</f>
        <v>0.0161340002</v>
      </c>
      <c r="AB214" s="14"/>
      <c r="AC214" s="15">
        <f t="shared" si="64"/>
        <v>5005.54</v>
      </c>
      <c r="AD214" s="13">
        <f>IFERROR(AC214/AC446, "NA")</f>
        <v>-0.2830776296</v>
      </c>
    </row>
    <row r="215" ht="16.5" customHeight="1">
      <c r="A215" s="11" t="s">
        <v>198</v>
      </c>
      <c r="B215" s="12">
        <v>163.59</v>
      </c>
      <c r="C215" s="13">
        <f>IFERROR(B215/B446, "NA")</f>
        <v>0.001653013149</v>
      </c>
      <c r="D215" s="14"/>
      <c r="E215" s="12">
        <v>0.0</v>
      </c>
      <c r="F215" s="13">
        <f>IFERROR(E215/E446, "NA")</f>
        <v>0</v>
      </c>
      <c r="G215" s="14"/>
      <c r="H215" s="15">
        <f t="shared" si="61"/>
        <v>-163.59</v>
      </c>
      <c r="I215" s="13">
        <f>IFERROR(H215/H446, "NA")</f>
        <v>0.07809188291</v>
      </c>
      <c r="J215" s="14"/>
      <c r="K215" s="12">
        <v>190.4</v>
      </c>
      <c r="L215" s="13">
        <f>IFERROR(K215/K446, "NA")</f>
        <v>0.002056897634</v>
      </c>
      <c r="M215" s="14"/>
      <c r="N215" s="15">
        <f t="shared" si="62"/>
        <v>26.81</v>
      </c>
      <c r="O215" s="13">
        <f>IFERROR(N215/N446, "NA")</f>
        <v>0.0041902803</v>
      </c>
      <c r="P215" s="14"/>
      <c r="Q215" s="12">
        <v>1920.33</v>
      </c>
      <c r="R215" s="13">
        <f>IFERROR(Q215/Q446, "NA")</f>
        <v>0.002180964407</v>
      </c>
      <c r="S215" s="14"/>
      <c r="T215" s="12">
        <v>0.0</v>
      </c>
      <c r="U215" s="13">
        <f>IFERROR(T215/T446, "NA")</f>
        <v>0</v>
      </c>
      <c r="V215" s="14"/>
      <c r="W215" s="15">
        <f t="shared" si="63"/>
        <v>-1920.33</v>
      </c>
      <c r="X215" s="13">
        <f>IFERROR(W215/W446, "NA")</f>
        <v>0.0218810654</v>
      </c>
      <c r="Y215" s="14"/>
      <c r="Z215" s="12">
        <v>371.45</v>
      </c>
      <c r="AA215" s="13">
        <f>IFERROR(Z215/Z446, "NA")</f>
        <v>0.00041355928</v>
      </c>
      <c r="AB215" s="14"/>
      <c r="AC215" s="15">
        <f t="shared" si="64"/>
        <v>-1548.88</v>
      </c>
      <c r="AD215" s="13">
        <f>IFERROR(AC215/AC446, "NA")</f>
        <v>0.08759360206</v>
      </c>
    </row>
    <row r="216" ht="16.5" customHeight="1">
      <c r="A216" s="11" t="s">
        <v>199</v>
      </c>
      <c r="B216" s="12">
        <v>25.0</v>
      </c>
      <c r="C216" s="13">
        <f>IFERROR(B216/B446, "NA")</f>
        <v>0.0002526152499</v>
      </c>
      <c r="D216" s="14"/>
      <c r="E216" s="12">
        <v>0.0</v>
      </c>
      <c r="F216" s="13">
        <f>IFERROR(E216/E446, "NA")</f>
        <v>0</v>
      </c>
      <c r="G216" s="14"/>
      <c r="H216" s="15">
        <f t="shared" si="61"/>
        <v>-25</v>
      </c>
      <c r="I216" s="13">
        <f>IFERROR(H216/H446, "NA")</f>
        <v>0.01193408566</v>
      </c>
      <c r="J216" s="14"/>
      <c r="K216" s="12">
        <v>0.0</v>
      </c>
      <c r="L216" s="13">
        <f>IFERROR(K216/K446, "NA")</f>
        <v>0</v>
      </c>
      <c r="M216" s="14"/>
      <c r="N216" s="15">
        <f t="shared" si="62"/>
        <v>-25</v>
      </c>
      <c r="O216" s="13">
        <f>IFERROR(N216/N446, "NA")</f>
        <v>-0.003907385584</v>
      </c>
      <c r="P216" s="14"/>
      <c r="Q216" s="12">
        <v>310.0</v>
      </c>
      <c r="R216" s="13">
        <f>IFERROR(Q216/Q446, "NA")</f>
        <v>0.0003520743654</v>
      </c>
      <c r="S216" s="14"/>
      <c r="T216" s="12">
        <v>0.0</v>
      </c>
      <c r="U216" s="13">
        <f>IFERROR(T216/T446, "NA")</f>
        <v>0</v>
      </c>
      <c r="V216" s="14"/>
      <c r="W216" s="15">
        <f t="shared" si="63"/>
        <v>-310</v>
      </c>
      <c r="X216" s="13">
        <f>IFERROR(W216/W446, "NA")</f>
        <v>0.003532273241</v>
      </c>
      <c r="Y216" s="14"/>
      <c r="Z216" s="12">
        <v>2.1</v>
      </c>
      <c r="AA216" s="13">
        <f>IFERROR(Z216/Z446, "NA")</f>
        <v>0.000002338065656</v>
      </c>
      <c r="AB216" s="14"/>
      <c r="AC216" s="15">
        <f t="shared" si="64"/>
        <v>-307.9</v>
      </c>
      <c r="AD216" s="13">
        <f>IFERROR(AC216/AC446, "NA")</f>
        <v>0.01741262724</v>
      </c>
    </row>
    <row r="217" ht="16.5" customHeight="1">
      <c r="A217" s="11" t="s">
        <v>200</v>
      </c>
      <c r="B217" s="12">
        <v>1500.7</v>
      </c>
      <c r="C217" s="13">
        <f>IFERROR(B217/B446, "NA")</f>
        <v>0.01516398822</v>
      </c>
      <c r="D217" s="14"/>
      <c r="E217" s="12">
        <v>0.0</v>
      </c>
      <c r="F217" s="13">
        <f>IFERROR(E217/E446, "NA")</f>
        <v>0</v>
      </c>
      <c r="G217" s="14"/>
      <c r="H217" s="15">
        <f t="shared" si="61"/>
        <v>-1500.7</v>
      </c>
      <c r="I217" s="13">
        <f>IFERROR(H217/H446, "NA")</f>
        <v>0.7163792939</v>
      </c>
      <c r="J217" s="14"/>
      <c r="K217" s="12">
        <v>309.46</v>
      </c>
      <c r="L217" s="13">
        <f>IFERROR(K217/K446, "NA")</f>
        <v>0.003343106838</v>
      </c>
      <c r="M217" s="14"/>
      <c r="N217" s="15">
        <f t="shared" si="62"/>
        <v>-1191.24</v>
      </c>
      <c r="O217" s="13">
        <f>IFERROR(N217/N446, "NA")</f>
        <v>-0.1861853601</v>
      </c>
      <c r="P217" s="14"/>
      <c r="Q217" s="12">
        <v>18773.74</v>
      </c>
      <c r="R217" s="13">
        <f>IFERROR(Q217/Q446, "NA")</f>
        <v>0.02132178257</v>
      </c>
      <c r="S217" s="14"/>
      <c r="T217" s="12">
        <v>0.0</v>
      </c>
      <c r="U217" s="13">
        <f>IFERROR(T217/T446, "NA")</f>
        <v>0</v>
      </c>
      <c r="V217" s="14"/>
      <c r="W217" s="15">
        <f t="shared" si="63"/>
        <v>-18773.74</v>
      </c>
      <c r="X217" s="13">
        <f>IFERROR(W217/W446, "NA")</f>
        <v>0.2139160627</v>
      </c>
      <c r="Y217" s="14"/>
      <c r="Z217" s="12">
        <v>14719.94</v>
      </c>
      <c r="AA217" s="13">
        <f>IFERROR(Z217/Z446, "NA")</f>
        <v>0.01638866008</v>
      </c>
      <c r="AB217" s="14"/>
      <c r="AC217" s="15">
        <f t="shared" si="64"/>
        <v>-4053.8</v>
      </c>
      <c r="AD217" s="13">
        <f>IFERROR(AC217/AC446, "NA")</f>
        <v>0.2292540055</v>
      </c>
    </row>
    <row r="218" ht="16.5" customHeight="1">
      <c r="A218" s="16" t="s">
        <v>201</v>
      </c>
      <c r="B218" s="17">
        <f>IFERROR(B213+B214+B215+B216+B217, "NA")</f>
        <v>3309.98</v>
      </c>
      <c r="C218" s="18">
        <f>IFERROR(B218/B446, "NA")</f>
        <v>0.03344605699</v>
      </c>
      <c r="D218" s="8"/>
      <c r="E218" s="17">
        <f>IFERROR(E213+E214+E215+E216+E217, "NA")</f>
        <v>2930.73</v>
      </c>
      <c r="F218" s="18">
        <f>IFERROR(E218/E446, "NA")</f>
        <v>0.02900002444</v>
      </c>
      <c r="G218" s="8"/>
      <c r="H218" s="17">
        <f t="shared" si="61"/>
        <v>-379.25</v>
      </c>
      <c r="I218" s="18">
        <f>IFERROR(H218/H446, "NA")</f>
        <v>0.1810400794</v>
      </c>
      <c r="J218" s="8"/>
      <c r="K218" s="17">
        <f>IFERROR(K213+K214+K215+K216+K217, "NA")</f>
        <v>958.76</v>
      </c>
      <c r="L218" s="18">
        <f>IFERROR(K218/K446, "NA")</f>
        <v>0.01035751668</v>
      </c>
      <c r="M218" s="8"/>
      <c r="N218" s="17">
        <f t="shared" si="62"/>
        <v>-2351.22</v>
      </c>
      <c r="O218" s="18">
        <f>IFERROR(N218/N446, "NA")</f>
        <v>-0.3674849253</v>
      </c>
      <c r="P218" s="8"/>
      <c r="Q218" s="17">
        <f>IFERROR(Q213+Q214+Q215+Q216+Q217, "NA")</f>
        <v>30489.74</v>
      </c>
      <c r="R218" s="18">
        <f>IFERROR(Q218/Q446, "NA")</f>
        <v>0.03462792213</v>
      </c>
      <c r="S218" s="8"/>
      <c r="T218" s="17">
        <f>IFERROR(T213+T214+T215+T216+T217, "NA")</f>
        <v>28079.48</v>
      </c>
      <c r="U218" s="18">
        <f>IFERROR(T218/T446, "NA")</f>
        <v>0.02899999853</v>
      </c>
      <c r="V218" s="8"/>
      <c r="W218" s="17">
        <f t="shared" si="63"/>
        <v>-2410.26</v>
      </c>
      <c r="X218" s="18">
        <f>IFERROR(W218/W446, "NA")</f>
        <v>0.02746353839</v>
      </c>
      <c r="Y218" s="8"/>
      <c r="Z218" s="17">
        <f>IFERROR(Z213+Z214+Z215+Z216+Z217, "NA")</f>
        <v>29584.7</v>
      </c>
      <c r="AA218" s="18">
        <f>IFERROR(Z218/Z446, "NA")</f>
        <v>0.03293855763</v>
      </c>
      <c r="AB218" s="8"/>
      <c r="AC218" s="17">
        <f t="shared" si="64"/>
        <v>-905.04</v>
      </c>
      <c r="AD218" s="18">
        <f>IFERROR(AC218/AC446, "NA")</f>
        <v>0.05118260524</v>
      </c>
    </row>
    <row r="219" ht="16.5" hidden="1" customHeight="1">
      <c r="A219" s="11" t="s">
        <v>202</v>
      </c>
      <c r="B219" s="12">
        <v>0.0</v>
      </c>
      <c r="C219" s="13">
        <f>IFERROR(B219/B446, "NA")</f>
        <v>0</v>
      </c>
      <c r="D219" s="14"/>
      <c r="E219" s="12">
        <v>0.0</v>
      </c>
      <c r="F219" s="13">
        <f>IFERROR(E219/E446, "NA")</f>
        <v>0</v>
      </c>
      <c r="G219" s="14"/>
      <c r="H219" s="15">
        <f t="shared" si="61"/>
        <v>0</v>
      </c>
      <c r="I219" s="13">
        <f>IFERROR(H219/H446, "NA")</f>
        <v>0</v>
      </c>
      <c r="J219" s="14"/>
      <c r="K219" s="12">
        <v>0.0</v>
      </c>
      <c r="L219" s="13">
        <f>IFERROR(K219/K446, "NA")</f>
        <v>0</v>
      </c>
      <c r="M219" s="14"/>
      <c r="N219" s="15">
        <f t="shared" si="62"/>
        <v>0</v>
      </c>
      <c r="O219" s="13">
        <f>IFERROR(N219/N446, "NA")</f>
        <v>0</v>
      </c>
      <c r="P219" s="14"/>
      <c r="Q219" s="12">
        <v>0.0</v>
      </c>
      <c r="R219" s="13">
        <f>IFERROR(Q219/Q446, "NA")</f>
        <v>0</v>
      </c>
      <c r="S219" s="14"/>
      <c r="T219" s="12">
        <v>0.0</v>
      </c>
      <c r="U219" s="13">
        <f>IFERROR(T219/T446, "NA")</f>
        <v>0</v>
      </c>
      <c r="V219" s="14"/>
      <c r="W219" s="15">
        <f t="shared" si="63"/>
        <v>0</v>
      </c>
      <c r="X219" s="13">
        <f>IFERROR(W219/W446, "NA")</f>
        <v>0</v>
      </c>
      <c r="Y219" s="14"/>
      <c r="Z219" s="12">
        <v>0.0</v>
      </c>
      <c r="AA219" s="13">
        <f>IFERROR(Z219/Z446, "NA")</f>
        <v>0</v>
      </c>
      <c r="AB219" s="14"/>
      <c r="AC219" s="15">
        <f t="shared" si="64"/>
        <v>0</v>
      </c>
      <c r="AD219" s="13">
        <f>IFERROR(AC219/AC446, "NA")</f>
        <v>0</v>
      </c>
    </row>
    <row r="220" ht="16.5" hidden="1" customHeight="1">
      <c r="A220" s="11" t="s">
        <v>203</v>
      </c>
      <c r="B220" s="12">
        <v>0.0</v>
      </c>
      <c r="C220" s="13">
        <f>IFERROR(B220/B446, "NA")</f>
        <v>0</v>
      </c>
      <c r="D220" s="14"/>
      <c r="E220" s="12">
        <v>0.0</v>
      </c>
      <c r="F220" s="13">
        <f>IFERROR(E220/E446, "NA")</f>
        <v>0</v>
      </c>
      <c r="G220" s="14"/>
      <c r="H220" s="15">
        <f t="shared" si="61"/>
        <v>0</v>
      </c>
      <c r="I220" s="13">
        <f>IFERROR(H220/H446, "NA")</f>
        <v>0</v>
      </c>
      <c r="J220" s="14"/>
      <c r="K220" s="12">
        <v>0.0</v>
      </c>
      <c r="L220" s="13">
        <f>IFERROR(K220/K446, "NA")</f>
        <v>0</v>
      </c>
      <c r="M220" s="14"/>
      <c r="N220" s="15">
        <f t="shared" si="62"/>
        <v>0</v>
      </c>
      <c r="O220" s="13">
        <f>IFERROR(N220/N446, "NA")</f>
        <v>0</v>
      </c>
      <c r="P220" s="14"/>
      <c r="Q220" s="12">
        <v>0.0</v>
      </c>
      <c r="R220" s="13">
        <f>IFERROR(Q220/Q446, "NA")</f>
        <v>0</v>
      </c>
      <c r="S220" s="14"/>
      <c r="T220" s="12">
        <v>0.0</v>
      </c>
      <c r="U220" s="13">
        <f>IFERROR(T220/T446, "NA")</f>
        <v>0</v>
      </c>
      <c r="V220" s="14"/>
      <c r="W220" s="15">
        <f t="shared" si="63"/>
        <v>0</v>
      </c>
      <c r="X220" s="13">
        <f>IFERROR(W220/W446, "NA")</f>
        <v>0</v>
      </c>
      <c r="Y220" s="14"/>
      <c r="Z220" s="12">
        <v>0.0</v>
      </c>
      <c r="AA220" s="13">
        <f>IFERROR(Z220/Z446, "NA")</f>
        <v>0</v>
      </c>
      <c r="AB220" s="14"/>
      <c r="AC220" s="15">
        <f t="shared" si="64"/>
        <v>0</v>
      </c>
      <c r="AD220" s="13">
        <f>IFERROR(AC220/AC446, "NA")</f>
        <v>0</v>
      </c>
    </row>
    <row r="221" ht="16.5" hidden="1" customHeight="1">
      <c r="A221" s="11" t="s">
        <v>204</v>
      </c>
      <c r="B221" s="12">
        <v>0.0</v>
      </c>
      <c r="C221" s="13">
        <f>IFERROR(B221/B446, "NA")</f>
        <v>0</v>
      </c>
      <c r="D221" s="14"/>
      <c r="E221" s="12">
        <v>0.0</v>
      </c>
      <c r="F221" s="13">
        <f>IFERROR(E221/E446, "NA")</f>
        <v>0</v>
      </c>
      <c r="G221" s="14"/>
      <c r="H221" s="15">
        <f t="shared" si="61"/>
        <v>0</v>
      </c>
      <c r="I221" s="13">
        <f>IFERROR(H221/H446, "NA")</f>
        <v>0</v>
      </c>
      <c r="J221" s="14"/>
      <c r="K221" s="12">
        <v>0.0</v>
      </c>
      <c r="L221" s="13">
        <f>IFERROR(K221/K446, "NA")</f>
        <v>0</v>
      </c>
      <c r="M221" s="14"/>
      <c r="N221" s="15">
        <f t="shared" si="62"/>
        <v>0</v>
      </c>
      <c r="O221" s="13">
        <f>IFERROR(N221/N446, "NA")</f>
        <v>0</v>
      </c>
      <c r="P221" s="14"/>
      <c r="Q221" s="12">
        <v>0.0</v>
      </c>
      <c r="R221" s="13">
        <f>IFERROR(Q221/Q446, "NA")</f>
        <v>0</v>
      </c>
      <c r="S221" s="14"/>
      <c r="T221" s="12">
        <v>0.0</v>
      </c>
      <c r="U221" s="13">
        <f>IFERROR(T221/T446, "NA")</f>
        <v>0</v>
      </c>
      <c r="V221" s="14"/>
      <c r="W221" s="15">
        <f t="shared" si="63"/>
        <v>0</v>
      </c>
      <c r="X221" s="13">
        <f>IFERROR(W221/W446, "NA")</f>
        <v>0</v>
      </c>
      <c r="Y221" s="14"/>
      <c r="Z221" s="12">
        <v>0.0</v>
      </c>
      <c r="AA221" s="13">
        <f>IFERROR(Z221/Z446, "NA")</f>
        <v>0</v>
      </c>
      <c r="AB221" s="14"/>
      <c r="AC221" s="15">
        <f t="shared" si="64"/>
        <v>0</v>
      </c>
      <c r="AD221" s="13">
        <f>IFERROR(AC221/AC446, "NA")</f>
        <v>0</v>
      </c>
    </row>
    <row r="222" ht="16.5" customHeight="1">
      <c r="A222" s="11" t="s">
        <v>205</v>
      </c>
      <c r="B222" s="12">
        <v>87.99</v>
      </c>
      <c r="C222" s="13">
        <f>IFERROR(B222/B446, "NA")</f>
        <v>0.0008891046335</v>
      </c>
      <c r="D222" s="14"/>
      <c r="E222" s="12">
        <v>100.0</v>
      </c>
      <c r="F222" s="13">
        <f>IFERROR(E222/E446, "NA")</f>
        <v>0.0009895153918</v>
      </c>
      <c r="G222" s="14"/>
      <c r="H222" s="15">
        <f t="shared" si="61"/>
        <v>12.01</v>
      </c>
      <c r="I222" s="13">
        <f>IFERROR(H222/H446, "NA")</f>
        <v>-0.00573313475</v>
      </c>
      <c r="J222" s="14"/>
      <c r="K222" s="12">
        <v>0.0</v>
      </c>
      <c r="L222" s="13">
        <f>IFERROR(K222/K446, "NA")</f>
        <v>0</v>
      </c>
      <c r="M222" s="14"/>
      <c r="N222" s="15">
        <f t="shared" si="62"/>
        <v>-87.99</v>
      </c>
      <c r="O222" s="13">
        <f>IFERROR(N222/N446, "NA")</f>
        <v>-0.0137524343</v>
      </c>
      <c r="P222" s="14"/>
      <c r="Q222" s="12">
        <v>557.03</v>
      </c>
      <c r="R222" s="13">
        <f>IFERROR(Q222/Q446, "NA")</f>
        <v>0.0006326322056</v>
      </c>
      <c r="S222" s="14"/>
      <c r="T222" s="12">
        <v>800.0</v>
      </c>
      <c r="U222" s="13">
        <f>IFERROR(T222/T446, "NA")</f>
        <v>0.0008262260849</v>
      </c>
      <c r="V222" s="14"/>
      <c r="W222" s="15">
        <f t="shared" si="63"/>
        <v>242.97</v>
      </c>
      <c r="X222" s="13">
        <f>IFERROR(W222/W446, "NA")</f>
        <v>-0.002768504611</v>
      </c>
      <c r="Y222" s="14"/>
      <c r="Z222" s="12">
        <v>874.14</v>
      </c>
      <c r="AA222" s="13">
        <f>IFERROR(Z222/Z446, "NA")</f>
        <v>0.0009732365298</v>
      </c>
      <c r="AB222" s="14"/>
      <c r="AC222" s="15">
        <f t="shared" si="64"/>
        <v>317.11</v>
      </c>
      <c r="AD222" s="13">
        <f>IFERROR(AC222/AC446, "NA")</f>
        <v>-0.01793347913</v>
      </c>
    </row>
    <row r="223" ht="16.5" hidden="1" customHeight="1">
      <c r="A223" s="11" t="s">
        <v>206</v>
      </c>
      <c r="B223" s="12">
        <v>0.0</v>
      </c>
      <c r="C223" s="13">
        <f>IFERROR(B223/B446, "NA")</f>
        <v>0</v>
      </c>
      <c r="D223" s="14"/>
      <c r="E223" s="12">
        <v>0.0</v>
      </c>
      <c r="F223" s="13">
        <f>IFERROR(E223/E446, "NA")</f>
        <v>0</v>
      </c>
      <c r="G223" s="14"/>
      <c r="H223" s="15">
        <f t="shared" si="61"/>
        <v>0</v>
      </c>
      <c r="I223" s="13">
        <f>IFERROR(H223/H446, "NA")</f>
        <v>0</v>
      </c>
      <c r="J223" s="14"/>
      <c r="K223" s="12">
        <v>0.0</v>
      </c>
      <c r="L223" s="13">
        <f>IFERROR(K223/K446, "NA")</f>
        <v>0</v>
      </c>
      <c r="M223" s="14"/>
      <c r="N223" s="15">
        <f t="shared" si="62"/>
        <v>0</v>
      </c>
      <c r="O223" s="13">
        <f>IFERROR(N223/N446, "NA")</f>
        <v>0</v>
      </c>
      <c r="P223" s="14"/>
      <c r="Q223" s="12">
        <v>0.0</v>
      </c>
      <c r="R223" s="13">
        <f>IFERROR(Q223/Q446, "NA")</f>
        <v>0</v>
      </c>
      <c r="S223" s="14"/>
      <c r="T223" s="12">
        <v>0.0</v>
      </c>
      <c r="U223" s="13">
        <f>IFERROR(T223/T446, "NA")</f>
        <v>0</v>
      </c>
      <c r="V223" s="14"/>
      <c r="W223" s="15">
        <f t="shared" si="63"/>
        <v>0</v>
      </c>
      <c r="X223" s="13">
        <f>IFERROR(W223/W446, "NA")</f>
        <v>0</v>
      </c>
      <c r="Y223" s="14"/>
      <c r="Z223" s="12">
        <v>0.0</v>
      </c>
      <c r="AA223" s="13">
        <f>IFERROR(Z223/Z446, "NA")</f>
        <v>0</v>
      </c>
      <c r="AB223" s="14"/>
      <c r="AC223" s="15">
        <f t="shared" si="64"/>
        <v>0</v>
      </c>
      <c r="AD223" s="13">
        <f>IFERROR(AC223/AC446, "NA")</f>
        <v>0</v>
      </c>
    </row>
    <row r="224" ht="16.5" hidden="1" customHeight="1">
      <c r="A224" s="11" t="s">
        <v>207</v>
      </c>
      <c r="B224" s="12">
        <v>0.0</v>
      </c>
      <c r="C224" s="13">
        <f>IFERROR(B224/B446, "NA")</f>
        <v>0</v>
      </c>
      <c r="D224" s="14"/>
      <c r="E224" s="12">
        <v>0.0</v>
      </c>
      <c r="F224" s="13">
        <f>IFERROR(E224/E446, "NA")</f>
        <v>0</v>
      </c>
      <c r="G224" s="14"/>
      <c r="H224" s="15">
        <f t="shared" si="61"/>
        <v>0</v>
      </c>
      <c r="I224" s="13">
        <f>IFERROR(H224/H446, "NA")</f>
        <v>0</v>
      </c>
      <c r="J224" s="14"/>
      <c r="K224" s="12">
        <v>0.0</v>
      </c>
      <c r="L224" s="13">
        <f>IFERROR(K224/K446, "NA")</f>
        <v>0</v>
      </c>
      <c r="M224" s="14"/>
      <c r="N224" s="15">
        <f t="shared" si="62"/>
        <v>0</v>
      </c>
      <c r="O224" s="13">
        <f>IFERROR(N224/N446, "NA")</f>
        <v>0</v>
      </c>
      <c r="P224" s="14"/>
      <c r="Q224" s="12">
        <v>0.0</v>
      </c>
      <c r="R224" s="13">
        <f>IFERROR(Q224/Q446, "NA")</f>
        <v>0</v>
      </c>
      <c r="S224" s="14"/>
      <c r="T224" s="12">
        <v>0.0</v>
      </c>
      <c r="U224" s="13">
        <f>IFERROR(T224/T446, "NA")</f>
        <v>0</v>
      </c>
      <c r="V224" s="14"/>
      <c r="W224" s="15">
        <f t="shared" si="63"/>
        <v>0</v>
      </c>
      <c r="X224" s="13">
        <f>IFERROR(W224/W446, "NA")</f>
        <v>0</v>
      </c>
      <c r="Y224" s="14"/>
      <c r="Z224" s="12">
        <v>0.0</v>
      </c>
      <c r="AA224" s="13">
        <f>IFERROR(Z224/Z446, "NA")</f>
        <v>0</v>
      </c>
      <c r="AB224" s="14"/>
      <c r="AC224" s="15">
        <f t="shared" si="64"/>
        <v>0</v>
      </c>
      <c r="AD224" s="13">
        <f>IFERROR(AC224/AC446, "NA")</f>
        <v>0</v>
      </c>
    </row>
    <row r="225" ht="16.5" hidden="1" customHeight="1">
      <c r="A225" s="11" t="s">
        <v>208</v>
      </c>
      <c r="B225" s="12">
        <v>0.0</v>
      </c>
      <c r="C225" s="13">
        <f>IFERROR(B225/B446, "NA")</f>
        <v>0</v>
      </c>
      <c r="D225" s="14"/>
      <c r="E225" s="12">
        <v>0.0</v>
      </c>
      <c r="F225" s="13">
        <f>IFERROR(E225/E446, "NA")</f>
        <v>0</v>
      </c>
      <c r="G225" s="14"/>
      <c r="H225" s="15">
        <f t="shared" si="61"/>
        <v>0</v>
      </c>
      <c r="I225" s="13">
        <f>IFERROR(H225/H446, "NA")</f>
        <v>0</v>
      </c>
      <c r="J225" s="14"/>
      <c r="K225" s="12">
        <v>0.0</v>
      </c>
      <c r="L225" s="13">
        <f>IFERROR(K225/K446, "NA")</f>
        <v>0</v>
      </c>
      <c r="M225" s="14"/>
      <c r="N225" s="15">
        <f t="shared" si="62"/>
        <v>0</v>
      </c>
      <c r="O225" s="13">
        <f>IFERROR(N225/N446, "NA")</f>
        <v>0</v>
      </c>
      <c r="P225" s="14"/>
      <c r="Q225" s="12">
        <v>0.0</v>
      </c>
      <c r="R225" s="13">
        <f>IFERROR(Q225/Q446, "NA")</f>
        <v>0</v>
      </c>
      <c r="S225" s="14"/>
      <c r="T225" s="12">
        <v>0.0</v>
      </c>
      <c r="U225" s="13">
        <f>IFERROR(T225/T446, "NA")</f>
        <v>0</v>
      </c>
      <c r="V225" s="14"/>
      <c r="W225" s="15">
        <f t="shared" si="63"/>
        <v>0</v>
      </c>
      <c r="X225" s="13">
        <f>IFERROR(W225/W446, "NA")</f>
        <v>0</v>
      </c>
      <c r="Y225" s="14"/>
      <c r="Z225" s="12">
        <v>0.0</v>
      </c>
      <c r="AA225" s="13">
        <f>IFERROR(Z225/Z446, "NA")</f>
        <v>0</v>
      </c>
      <c r="AB225" s="14"/>
      <c r="AC225" s="15">
        <f t="shared" si="64"/>
        <v>0</v>
      </c>
      <c r="AD225" s="13">
        <f>IFERROR(AC225/AC446, "NA")</f>
        <v>0</v>
      </c>
    </row>
    <row r="226" ht="16.5" hidden="1" customHeight="1">
      <c r="A226" s="11" t="s">
        <v>209</v>
      </c>
      <c r="B226" s="12">
        <v>0.0</v>
      </c>
      <c r="C226" s="13">
        <f>IFERROR(B226/B446, "NA")</f>
        <v>0</v>
      </c>
      <c r="D226" s="14"/>
      <c r="E226" s="12">
        <v>0.0</v>
      </c>
      <c r="F226" s="13">
        <f>IFERROR(E226/E446, "NA")</f>
        <v>0</v>
      </c>
      <c r="G226" s="14"/>
      <c r="H226" s="15">
        <f t="shared" si="61"/>
        <v>0</v>
      </c>
      <c r="I226" s="13">
        <f>IFERROR(H226/H446, "NA")</f>
        <v>0</v>
      </c>
      <c r="J226" s="14"/>
      <c r="K226" s="12">
        <v>0.0</v>
      </c>
      <c r="L226" s="13">
        <f>IFERROR(K226/K446, "NA")</f>
        <v>0</v>
      </c>
      <c r="M226" s="14"/>
      <c r="N226" s="15">
        <f t="shared" si="62"/>
        <v>0</v>
      </c>
      <c r="O226" s="13">
        <f>IFERROR(N226/N446, "NA")</f>
        <v>0</v>
      </c>
      <c r="P226" s="14"/>
      <c r="Q226" s="12">
        <v>0.0</v>
      </c>
      <c r="R226" s="13">
        <f>IFERROR(Q226/Q446, "NA")</f>
        <v>0</v>
      </c>
      <c r="S226" s="14"/>
      <c r="T226" s="12">
        <v>0.0</v>
      </c>
      <c r="U226" s="13">
        <f>IFERROR(T226/T446, "NA")</f>
        <v>0</v>
      </c>
      <c r="V226" s="14"/>
      <c r="W226" s="15">
        <f t="shared" si="63"/>
        <v>0</v>
      </c>
      <c r="X226" s="13">
        <f>IFERROR(W226/W446, "NA")</f>
        <v>0</v>
      </c>
      <c r="Y226" s="14"/>
      <c r="Z226" s="12">
        <v>0.0</v>
      </c>
      <c r="AA226" s="13">
        <f>IFERROR(Z226/Z446, "NA")</f>
        <v>0</v>
      </c>
      <c r="AB226" s="14"/>
      <c r="AC226" s="15">
        <f t="shared" si="64"/>
        <v>0</v>
      </c>
      <c r="AD226" s="13">
        <f>IFERROR(AC226/AC446, "NA")</f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3397.97</v>
      </c>
      <c r="C227" s="18">
        <f>IFERROR(B227/B446, "NA")</f>
        <v>0.03433516163</v>
      </c>
      <c r="D227" s="8"/>
      <c r="E227" s="17">
        <f>IFERROR(E211+E213+E214+E215+E216+E217+E219+E220+E221+E222+E223+E224+E225+E226, "NA")</f>
        <v>3030.73</v>
      </c>
      <c r="F227" s="18">
        <f>IFERROR(E227/E446, "NA")</f>
        <v>0.02998953983</v>
      </c>
      <c r="G227" s="8"/>
      <c r="H227" s="17">
        <f t="shared" si="61"/>
        <v>-367.24</v>
      </c>
      <c r="I227" s="18">
        <f>IFERROR(H227/H446, "NA")</f>
        <v>0.1753069447</v>
      </c>
      <c r="J227" s="8"/>
      <c r="K227" s="17">
        <f>IFERROR(K211+K213+K214+K215+K216+K217+K219+K220+K221+K222+K223+K224+K225+K226, "NA")</f>
        <v>958.76</v>
      </c>
      <c r="L227" s="18">
        <f>IFERROR(K227/K446, "NA")</f>
        <v>0.01035751668</v>
      </c>
      <c r="M227" s="8"/>
      <c r="N227" s="17">
        <f t="shared" si="62"/>
        <v>-2439.21</v>
      </c>
      <c r="O227" s="18">
        <f>IFERROR(N227/N446, "NA")</f>
        <v>-0.3812373596</v>
      </c>
      <c r="P227" s="8"/>
      <c r="Q227" s="17">
        <f>IFERROR(Q211+Q213+Q214+Q215+Q216+Q217+Q219+Q220+Q221+Q222+Q223+Q224+Q225+Q226, "NA")</f>
        <v>31046.77</v>
      </c>
      <c r="R227" s="18">
        <f>IFERROR(Q227/Q446, "NA")</f>
        <v>0.03526055434</v>
      </c>
      <c r="S227" s="8"/>
      <c r="T227" s="17">
        <f>IFERROR(T211+T213+T214+T215+T216+T217+T219+T220+T221+T222+T223+T224+T225+T226, "NA")</f>
        <v>28879.48</v>
      </c>
      <c r="U227" s="18">
        <f>IFERROR(T227/T446, "NA")</f>
        <v>0.02982622462</v>
      </c>
      <c r="V227" s="8"/>
      <c r="W227" s="17">
        <f t="shared" si="63"/>
        <v>-2167.29</v>
      </c>
      <c r="X227" s="18">
        <f>IFERROR(W227/W446, "NA")</f>
        <v>0.02469503378</v>
      </c>
      <c r="Y227" s="8"/>
      <c r="Z227" s="17">
        <f>IFERROR(Z211+Z213+Z214+Z215+Z216+Z217+Z219+Z220+Z221+Z222+Z223+Z224+Z225+Z226, "NA")</f>
        <v>30458.84</v>
      </c>
      <c r="AA227" s="18">
        <f>IFERROR(Z227/Z446, "NA")</f>
        <v>0.03391179416</v>
      </c>
      <c r="AB227" s="8"/>
      <c r="AC227" s="17">
        <f t="shared" si="64"/>
        <v>-587.93</v>
      </c>
      <c r="AD227" s="18">
        <f>IFERROR(AC227/AC446, "NA")</f>
        <v>0.03324912612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r="A229" s="11" t="s">
        <v>211</v>
      </c>
      <c r="B229" s="12">
        <v>0.0</v>
      </c>
      <c r="C229" s="13">
        <f>IFERROR(B229/B446, "NA")</f>
        <v>0</v>
      </c>
      <c r="D229" s="14"/>
      <c r="E229" s="12">
        <v>1313.77</v>
      </c>
      <c r="F229" s="13">
        <f>IFERROR(E229/E446, "NA")</f>
        <v>0.01299995636</v>
      </c>
      <c r="G229" s="14"/>
      <c r="H229" s="15">
        <f t="shared" ref="H229:H236" si="65">IFERROR(-(B229-E229), "NA")</f>
        <v>1313.77</v>
      </c>
      <c r="I229" s="13">
        <f>IFERROR(H229/H446, "NA")</f>
        <v>-0.6271457486</v>
      </c>
      <c r="J229" s="14"/>
      <c r="K229" s="12">
        <v>0.0</v>
      </c>
      <c r="L229" s="13">
        <f>IFERROR(K229/K446, "NA")</f>
        <v>0</v>
      </c>
      <c r="M229" s="14"/>
      <c r="N229" s="15">
        <f t="shared" ref="N229:N236" si="66">IFERROR(-(B229-K229), "NA")</f>
        <v>0</v>
      </c>
      <c r="O229" s="13">
        <f>IFERROR(N229/N446, "NA")</f>
        <v>0</v>
      </c>
      <c r="P229" s="14"/>
      <c r="Q229" s="12">
        <v>0.0</v>
      </c>
      <c r="R229" s="13">
        <f>IFERROR(Q229/Q446, "NA")</f>
        <v>0</v>
      </c>
      <c r="S229" s="14"/>
      <c r="T229" s="12">
        <v>12587.35</v>
      </c>
      <c r="U229" s="13">
        <f>IFERROR(T229/T446, "NA")</f>
        <v>0.01299999614</v>
      </c>
      <c r="V229" s="14"/>
      <c r="W229" s="15">
        <f t="shared" ref="W229:W236" si="67">IFERROR(-(Q229-T229), "NA")</f>
        <v>12587.35</v>
      </c>
      <c r="X229" s="13">
        <f>IFERROR(W229/W446, "NA")</f>
        <v>-0.1434256761</v>
      </c>
      <c r="Y229" s="14"/>
      <c r="Z229" s="12">
        <v>0.0</v>
      </c>
      <c r="AA229" s="13">
        <f>IFERROR(Z229/Z446, "NA")</f>
        <v>0</v>
      </c>
      <c r="AB229" s="14"/>
      <c r="AC229" s="15">
        <f t="shared" ref="AC229:AC236" si="68">IFERROR(-(Q229-Z229), "NA")</f>
        <v>0</v>
      </c>
      <c r="AD229" s="13">
        <f>IFERROR(AC229/AC446, "NA")</f>
        <v>0</v>
      </c>
    </row>
    <row r="230" ht="16.5" hidden="1" customHeight="1">
      <c r="A230" s="11" t="s">
        <v>212</v>
      </c>
      <c r="B230" s="12">
        <v>0.0</v>
      </c>
      <c r="C230" s="13">
        <f>IFERROR(B230/B446, "NA")</f>
        <v>0</v>
      </c>
      <c r="D230" s="14"/>
      <c r="E230" s="12">
        <v>0.0</v>
      </c>
      <c r="F230" s="13">
        <f>IFERROR(E230/E446, "NA")</f>
        <v>0</v>
      </c>
      <c r="G230" s="14"/>
      <c r="H230" s="15">
        <f t="shared" si="65"/>
        <v>0</v>
      </c>
      <c r="I230" s="13">
        <f>IFERROR(H230/H446, "NA")</f>
        <v>0</v>
      </c>
      <c r="J230" s="14"/>
      <c r="K230" s="12">
        <v>0.0</v>
      </c>
      <c r="L230" s="13">
        <f>IFERROR(K230/K446, "NA")</f>
        <v>0</v>
      </c>
      <c r="M230" s="14"/>
      <c r="N230" s="15">
        <f t="shared" si="66"/>
        <v>0</v>
      </c>
      <c r="O230" s="13">
        <f>IFERROR(N230/N446, "NA")</f>
        <v>0</v>
      </c>
      <c r="P230" s="14"/>
      <c r="Q230" s="12">
        <v>0.0</v>
      </c>
      <c r="R230" s="13">
        <f>IFERROR(Q230/Q446, "NA")</f>
        <v>0</v>
      </c>
      <c r="S230" s="14"/>
      <c r="T230" s="12">
        <v>0.0</v>
      </c>
      <c r="U230" s="13">
        <f>IFERROR(T230/T446, "NA")</f>
        <v>0</v>
      </c>
      <c r="V230" s="14"/>
      <c r="W230" s="15">
        <f t="shared" si="67"/>
        <v>0</v>
      </c>
      <c r="X230" s="13">
        <f>IFERROR(W230/W446, "NA")</f>
        <v>0</v>
      </c>
      <c r="Y230" s="14"/>
      <c r="Z230" s="12">
        <v>0.0</v>
      </c>
      <c r="AA230" s="13">
        <f>IFERROR(Z230/Z446, "NA")</f>
        <v>0</v>
      </c>
      <c r="AB230" s="14"/>
      <c r="AC230" s="15">
        <f t="shared" si="68"/>
        <v>0</v>
      </c>
      <c r="AD230" s="13">
        <f>IFERROR(AC230/AC446, "NA")</f>
        <v>0</v>
      </c>
    </row>
    <row r="231" ht="16.5" customHeight="1">
      <c r="A231" s="11" t="s">
        <v>213</v>
      </c>
      <c r="B231" s="12">
        <v>0.0</v>
      </c>
      <c r="C231" s="13">
        <f>IFERROR(B231/B446, "NA")</f>
        <v>0</v>
      </c>
      <c r="D231" s="14"/>
      <c r="E231" s="12">
        <v>0.0</v>
      </c>
      <c r="F231" s="13">
        <f>IFERROR(E231/E446, "NA")</f>
        <v>0</v>
      </c>
      <c r="G231" s="14"/>
      <c r="H231" s="15">
        <f t="shared" si="65"/>
        <v>0</v>
      </c>
      <c r="I231" s="13">
        <f>IFERROR(H231/H446, "NA")</f>
        <v>0</v>
      </c>
      <c r="J231" s="14"/>
      <c r="K231" s="12">
        <v>154.0</v>
      </c>
      <c r="L231" s="13">
        <f>IFERROR(K231/K446, "NA")</f>
        <v>0.001663667204</v>
      </c>
      <c r="M231" s="14"/>
      <c r="N231" s="15">
        <f t="shared" si="66"/>
        <v>154</v>
      </c>
      <c r="O231" s="13">
        <f>IFERROR(N231/N446, "NA")</f>
        <v>0.0240694952</v>
      </c>
      <c r="P231" s="14"/>
      <c r="Q231" s="12">
        <v>231.0</v>
      </c>
      <c r="R231" s="13">
        <f>IFERROR(Q231/Q446, "NA")</f>
        <v>0.0002623521884</v>
      </c>
      <c r="S231" s="14"/>
      <c r="T231" s="12">
        <v>0.0</v>
      </c>
      <c r="U231" s="13">
        <f>IFERROR(T231/T446, "NA")</f>
        <v>0</v>
      </c>
      <c r="V231" s="14"/>
      <c r="W231" s="15">
        <f t="shared" si="67"/>
        <v>-231</v>
      </c>
      <c r="X231" s="13">
        <f>IFERROR(W231/W446, "NA")</f>
        <v>0.002632113286</v>
      </c>
      <c r="Y231" s="14"/>
      <c r="Z231" s="12">
        <v>1428.05</v>
      </c>
      <c r="AA231" s="13">
        <f>IFERROR(Z231/Z446, "NA")</f>
        <v>0.001589940314</v>
      </c>
      <c r="AB231" s="14"/>
      <c r="AC231" s="15">
        <f t="shared" si="68"/>
        <v>1197.05</v>
      </c>
      <c r="AD231" s="13">
        <f>IFERROR(AC231/AC446, "NA")</f>
        <v>-0.06769660745</v>
      </c>
    </row>
    <row r="232" ht="16.5" hidden="1" customHeight="1">
      <c r="A232" s="11" t="s">
        <v>214</v>
      </c>
      <c r="B232" s="12">
        <v>0.0</v>
      </c>
      <c r="C232" s="13">
        <f>IFERROR(B232/B446, "NA")</f>
        <v>0</v>
      </c>
      <c r="D232" s="14"/>
      <c r="E232" s="12">
        <v>0.0</v>
      </c>
      <c r="F232" s="13">
        <f>IFERROR(E232/E446, "NA")</f>
        <v>0</v>
      </c>
      <c r="G232" s="14"/>
      <c r="H232" s="15">
        <f t="shared" si="65"/>
        <v>0</v>
      </c>
      <c r="I232" s="13">
        <f>IFERROR(H232/H446, "NA")</f>
        <v>0</v>
      </c>
      <c r="J232" s="14"/>
      <c r="K232" s="12">
        <v>0.0</v>
      </c>
      <c r="L232" s="13">
        <f>IFERROR(K232/K446, "NA")</f>
        <v>0</v>
      </c>
      <c r="M232" s="14"/>
      <c r="N232" s="15">
        <f t="shared" si="66"/>
        <v>0</v>
      </c>
      <c r="O232" s="13">
        <f>IFERROR(N232/N446, "NA")</f>
        <v>0</v>
      </c>
      <c r="P232" s="14"/>
      <c r="Q232" s="12">
        <v>0.0</v>
      </c>
      <c r="R232" s="13">
        <f>IFERROR(Q232/Q446, "NA")</f>
        <v>0</v>
      </c>
      <c r="S232" s="14"/>
      <c r="T232" s="12">
        <v>0.0</v>
      </c>
      <c r="U232" s="13">
        <f>IFERROR(T232/T446, "NA")</f>
        <v>0</v>
      </c>
      <c r="V232" s="14"/>
      <c r="W232" s="15">
        <f t="shared" si="67"/>
        <v>0</v>
      </c>
      <c r="X232" s="13">
        <f>IFERROR(W232/W446, "NA")</f>
        <v>0</v>
      </c>
      <c r="Y232" s="14"/>
      <c r="Z232" s="12">
        <v>0.0</v>
      </c>
      <c r="AA232" s="13">
        <f>IFERROR(Z232/Z446, "NA")</f>
        <v>0</v>
      </c>
      <c r="AB232" s="14"/>
      <c r="AC232" s="15">
        <f t="shared" si="68"/>
        <v>0</v>
      </c>
      <c r="AD232" s="13">
        <f>IFERROR(AC232/AC446, "NA")</f>
        <v>0</v>
      </c>
    </row>
    <row r="233" ht="16.5" hidden="1" customHeight="1">
      <c r="A233" s="11" t="s">
        <v>215</v>
      </c>
      <c r="B233" s="12">
        <v>0.0</v>
      </c>
      <c r="C233" s="13">
        <f>IFERROR(B233/B446, "NA")</f>
        <v>0</v>
      </c>
      <c r="D233" s="14"/>
      <c r="E233" s="12">
        <v>0.0</v>
      </c>
      <c r="F233" s="13">
        <f>IFERROR(E233/E446, "NA")</f>
        <v>0</v>
      </c>
      <c r="G233" s="14"/>
      <c r="H233" s="15">
        <f t="shared" si="65"/>
        <v>0</v>
      </c>
      <c r="I233" s="13">
        <f>IFERROR(H233/H446, "NA")</f>
        <v>0</v>
      </c>
      <c r="J233" s="14"/>
      <c r="K233" s="12">
        <v>0.0</v>
      </c>
      <c r="L233" s="13">
        <f>IFERROR(K233/K446, "NA")</f>
        <v>0</v>
      </c>
      <c r="M233" s="14"/>
      <c r="N233" s="15">
        <f t="shared" si="66"/>
        <v>0</v>
      </c>
      <c r="O233" s="13">
        <f>IFERROR(N233/N446, "NA")</f>
        <v>0</v>
      </c>
      <c r="P233" s="14"/>
      <c r="Q233" s="12">
        <v>0.0</v>
      </c>
      <c r="R233" s="13">
        <f>IFERROR(Q233/Q446, "NA")</f>
        <v>0</v>
      </c>
      <c r="S233" s="14"/>
      <c r="T233" s="12">
        <v>0.0</v>
      </c>
      <c r="U233" s="13">
        <f>IFERROR(T233/T446, "NA")</f>
        <v>0</v>
      </c>
      <c r="V233" s="14"/>
      <c r="W233" s="15">
        <f t="shared" si="67"/>
        <v>0</v>
      </c>
      <c r="X233" s="13">
        <f>IFERROR(W233/W446, "NA")</f>
        <v>0</v>
      </c>
      <c r="Y233" s="14"/>
      <c r="Z233" s="12">
        <v>0.0</v>
      </c>
      <c r="AA233" s="13">
        <f>IFERROR(Z233/Z446, "NA")</f>
        <v>0</v>
      </c>
      <c r="AB233" s="14"/>
      <c r="AC233" s="15">
        <f t="shared" si="68"/>
        <v>0</v>
      </c>
      <c r="AD233" s="13">
        <f>IFERROR(AC233/AC446, "NA")</f>
        <v>0</v>
      </c>
    </row>
    <row r="234" ht="16.5" customHeight="1">
      <c r="A234" s="11" t="s">
        <v>216</v>
      </c>
      <c r="B234" s="12">
        <v>756.43</v>
      </c>
      <c r="C234" s="13">
        <f>IFERROR(B234/B446, "NA")</f>
        <v>0.007643430139</v>
      </c>
      <c r="D234" s="14"/>
      <c r="E234" s="12">
        <v>0.0</v>
      </c>
      <c r="F234" s="13">
        <f>IFERROR(E234/E446, "NA")</f>
        <v>0</v>
      </c>
      <c r="G234" s="14"/>
      <c r="H234" s="15">
        <f t="shared" si="65"/>
        <v>-756.43</v>
      </c>
      <c r="I234" s="13">
        <f>IFERROR(H234/H446, "NA")</f>
        <v>0.3610920166</v>
      </c>
      <c r="J234" s="14"/>
      <c r="K234" s="12">
        <v>1064.1</v>
      </c>
      <c r="L234" s="13">
        <f>IFERROR(K234/K446, "NA")</f>
        <v>0.01149550826</v>
      </c>
      <c r="M234" s="14"/>
      <c r="N234" s="15">
        <f t="shared" si="66"/>
        <v>307.67</v>
      </c>
      <c r="O234" s="13">
        <f>IFERROR(N234/N446, "NA")</f>
        <v>0.0480874129</v>
      </c>
      <c r="P234" s="14"/>
      <c r="Q234" s="12">
        <v>8736.99</v>
      </c>
      <c r="R234" s="13">
        <f>IFERROR(Q234/Q446, "NA")</f>
        <v>0.009922807128</v>
      </c>
      <c r="S234" s="14"/>
      <c r="T234" s="12">
        <v>0.0</v>
      </c>
      <c r="U234" s="13">
        <f>IFERROR(T234/T446, "NA")</f>
        <v>0</v>
      </c>
      <c r="V234" s="14"/>
      <c r="W234" s="15">
        <f t="shared" si="67"/>
        <v>-8736.99</v>
      </c>
      <c r="X234" s="13">
        <f>IFERROR(W234/W446, "NA")</f>
        <v>0.09955301931</v>
      </c>
      <c r="Y234" s="14"/>
      <c r="Z234" s="12">
        <v>10514.48</v>
      </c>
      <c r="AA234" s="13">
        <f>IFERROR(Z234/Z446, "NA")</f>
        <v>0.0117064498</v>
      </c>
      <c r="AB234" s="14"/>
      <c r="AC234" s="15">
        <f t="shared" si="68"/>
        <v>1777.49</v>
      </c>
      <c r="AD234" s="13">
        <f>IFERROR(AC234/AC446, "NA")</f>
        <v>-0.1005221526</v>
      </c>
    </row>
    <row r="235" ht="16.5" customHeight="1">
      <c r="A235" s="11" t="s">
        <v>217</v>
      </c>
      <c r="B235" s="12">
        <v>113.61</v>
      </c>
      <c r="C235" s="13">
        <f>IFERROR(B235/B446, "NA")</f>
        <v>0.001147984742</v>
      </c>
      <c r="D235" s="14"/>
      <c r="E235" s="12">
        <v>0.0</v>
      </c>
      <c r="F235" s="13">
        <f>IFERROR(E235/E446, "NA")</f>
        <v>0</v>
      </c>
      <c r="G235" s="14"/>
      <c r="H235" s="15">
        <f t="shared" si="65"/>
        <v>-113.61</v>
      </c>
      <c r="I235" s="13">
        <f>IFERROR(H235/H446, "NA")</f>
        <v>0.05423325886</v>
      </c>
      <c r="J235" s="14"/>
      <c r="K235" s="12">
        <v>0.0</v>
      </c>
      <c r="L235" s="13">
        <f>IFERROR(K235/K446, "NA")</f>
        <v>0</v>
      </c>
      <c r="M235" s="14"/>
      <c r="N235" s="15">
        <f t="shared" si="66"/>
        <v>-113.61</v>
      </c>
      <c r="O235" s="13">
        <f>IFERROR(N235/N446, "NA")</f>
        <v>-0.01775672305</v>
      </c>
      <c r="P235" s="14"/>
      <c r="Q235" s="12">
        <v>413.38</v>
      </c>
      <c r="R235" s="13">
        <f>IFERROR(Q235/Q446, "NA")</f>
        <v>0.0004694854876</v>
      </c>
      <c r="S235" s="14"/>
      <c r="T235" s="12">
        <v>0.0</v>
      </c>
      <c r="U235" s="13">
        <f>IFERROR(T235/T446, "NA")</f>
        <v>0</v>
      </c>
      <c r="V235" s="14"/>
      <c r="W235" s="15">
        <f t="shared" si="67"/>
        <v>-413.38</v>
      </c>
      <c r="X235" s="13">
        <f>IFERROR(W235/W446, "NA")</f>
        <v>0.004710229395</v>
      </c>
      <c r="Y235" s="14"/>
      <c r="Z235" s="12">
        <v>0.0</v>
      </c>
      <c r="AA235" s="13">
        <f>IFERROR(Z235/Z446, "NA")</f>
        <v>0</v>
      </c>
      <c r="AB235" s="14"/>
      <c r="AC235" s="15">
        <f t="shared" si="68"/>
        <v>-413.38</v>
      </c>
      <c r="AD235" s="13">
        <f>IFERROR(AC235/AC446, "NA")</f>
        <v>0.02337782347</v>
      </c>
    </row>
    <row r="236" ht="16.5" customHeight="1">
      <c r="A236" s="16" t="s">
        <v>218</v>
      </c>
      <c r="B236" s="17">
        <f>IFERROR(B229+B230+B231+B232+B233+B234+B235, "NA")</f>
        <v>870.04</v>
      </c>
      <c r="C236" s="18">
        <f>IFERROR(B236/B446, "NA")</f>
        <v>0.008791414881</v>
      </c>
      <c r="D236" s="8"/>
      <c r="E236" s="17">
        <f>IFERROR(E229+E230+E231+E232+E233+E234+E235, "NA")</f>
        <v>1313.77</v>
      </c>
      <c r="F236" s="18">
        <f>IFERROR(E236/E446, "NA")</f>
        <v>0.01299995636</v>
      </c>
      <c r="G236" s="8"/>
      <c r="H236" s="17">
        <f t="shared" si="65"/>
        <v>443.73</v>
      </c>
      <c r="I236" s="18">
        <f>IFERROR(H236/H446, "NA")</f>
        <v>-0.2118204732</v>
      </c>
      <c r="J236" s="8"/>
      <c r="K236" s="17">
        <f>IFERROR(K229+K230+K231+K232+K233+K234+K235, "NA")</f>
        <v>1218.1</v>
      </c>
      <c r="L236" s="18">
        <f>IFERROR(K236/K446, "NA")</f>
        <v>0.01315917546</v>
      </c>
      <c r="M236" s="8"/>
      <c r="N236" s="17">
        <f t="shared" si="66"/>
        <v>348.06</v>
      </c>
      <c r="O236" s="18">
        <f>IFERROR(N236/N446, "NA")</f>
        <v>0.05440018505</v>
      </c>
      <c r="P236" s="8"/>
      <c r="Q236" s="17">
        <f>IFERROR(Q229+Q230+Q231+Q232+Q233+Q234+Q235, "NA")</f>
        <v>9381.37</v>
      </c>
      <c r="R236" s="18">
        <f>IFERROR(Q236/Q446, "NA")</f>
        <v>0.0106546448</v>
      </c>
      <c r="S236" s="8"/>
      <c r="T236" s="17">
        <f>IFERROR(T229+T230+T231+T232+T233+T234+T235, "NA")</f>
        <v>12587.35</v>
      </c>
      <c r="U236" s="18">
        <f>IFERROR(T236/T446, "NA")</f>
        <v>0.01299999614</v>
      </c>
      <c r="V236" s="8"/>
      <c r="W236" s="17">
        <f t="shared" si="67"/>
        <v>3205.98</v>
      </c>
      <c r="X236" s="18">
        <f>IFERROR(W236/W446, "NA")</f>
        <v>-0.03653031408</v>
      </c>
      <c r="Y236" s="8"/>
      <c r="Z236" s="17">
        <f>IFERROR(Z229+Z230+Z231+Z232+Z233+Z234+Z235, "NA")</f>
        <v>11942.53</v>
      </c>
      <c r="AA236" s="18">
        <f>IFERROR(Z236/Z446, "NA")</f>
        <v>0.01329639011</v>
      </c>
      <c r="AB236" s="8"/>
      <c r="AC236" s="17">
        <f t="shared" si="68"/>
        <v>2561.16</v>
      </c>
      <c r="AD236" s="18">
        <f>IFERROR(AC236/AC446, "NA")</f>
        <v>-0.1448409366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t="16.5" hidden="1" customHeight="1">
      <c r="A238" s="11" t="s">
        <v>219</v>
      </c>
      <c r="B238" s="12">
        <v>0.0</v>
      </c>
      <c r="C238" s="13">
        <f>IFERROR(B238/B446, "NA")</f>
        <v>0</v>
      </c>
      <c r="D238" s="14"/>
      <c r="E238" s="12">
        <v>0.0</v>
      </c>
      <c r="F238" s="13">
        <f>IFERROR(E238/E446, "NA")</f>
        <v>0</v>
      </c>
      <c r="G238" s="14"/>
      <c r="H238" s="15">
        <f>IFERROR(-(B238-E238), "NA")</f>
        <v>0</v>
      </c>
      <c r="I238" s="13">
        <f>IFERROR(H238/H446, "NA")</f>
        <v>0</v>
      </c>
      <c r="J238" s="14"/>
      <c r="K238" s="12">
        <v>0.0</v>
      </c>
      <c r="L238" s="13">
        <f>IFERROR(K238/K446, "NA")</f>
        <v>0</v>
      </c>
      <c r="M238" s="14"/>
      <c r="N238" s="15">
        <f>IFERROR(-(B238-K238), "NA")</f>
        <v>0</v>
      </c>
      <c r="O238" s="13">
        <f>IFERROR(N238/N446, "NA")</f>
        <v>0</v>
      </c>
      <c r="P238" s="14"/>
      <c r="Q238" s="12">
        <v>0.0</v>
      </c>
      <c r="R238" s="13">
        <f>IFERROR(Q238/Q446, "NA")</f>
        <v>0</v>
      </c>
      <c r="S238" s="14"/>
      <c r="T238" s="12">
        <v>0.0</v>
      </c>
      <c r="U238" s="13">
        <f>IFERROR(T238/T446, "NA")</f>
        <v>0</v>
      </c>
      <c r="V238" s="14"/>
      <c r="W238" s="15">
        <f>IFERROR(-(Q238-T238), "NA")</f>
        <v>0</v>
      </c>
      <c r="X238" s="13">
        <f>IFERROR(W238/W446, "NA")</f>
        <v>0</v>
      </c>
      <c r="Y238" s="14"/>
      <c r="Z238" s="12">
        <v>0.0</v>
      </c>
      <c r="AA238" s="13">
        <f>IFERROR(Z238/Z446, "NA")</f>
        <v>0</v>
      </c>
      <c r="AB238" s="14"/>
      <c r="AC238" s="15">
        <f>IFERROR(-(Q238-Z238), "NA")</f>
        <v>0</v>
      </c>
      <c r="AD238" s="13">
        <f>IFERROR(AC238/AC446,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r="A240" s="11" t="s">
        <v>220</v>
      </c>
      <c r="B240" s="12">
        <v>0.0</v>
      </c>
      <c r="C240" s="13">
        <f>IFERROR(B240/B446, "NA")</f>
        <v>0</v>
      </c>
      <c r="D240" s="14"/>
      <c r="E240" s="12">
        <v>6164.63</v>
      </c>
      <c r="F240" s="13">
        <f>IFERROR(E240/E446, "NA")</f>
        <v>0.0609999627</v>
      </c>
      <c r="G240" s="14"/>
      <c r="H240" s="15">
        <f t="shared" ref="H240:H264" si="69">IFERROR(-(B240-E240), "NA")</f>
        <v>6164.63</v>
      </c>
      <c r="I240" s="13">
        <f>IFERROR(H240/H446, "NA")</f>
        <v>-2.942768899</v>
      </c>
      <c r="J240" s="14"/>
      <c r="K240" s="12">
        <v>0.0</v>
      </c>
      <c r="L240" s="13">
        <f>IFERROR(K240/K446, "NA")</f>
        <v>0</v>
      </c>
      <c r="M240" s="14"/>
      <c r="N240" s="15">
        <f t="shared" ref="N240:N264" si="70">IFERROR(-(B240-K240), "NA")</f>
        <v>0</v>
      </c>
      <c r="O240" s="13">
        <f>IFERROR(N240/N446, "NA")</f>
        <v>0</v>
      </c>
      <c r="P240" s="14"/>
      <c r="Q240" s="12">
        <v>0.0</v>
      </c>
      <c r="R240" s="13">
        <f>IFERROR(Q240/Q446, "NA")</f>
        <v>0</v>
      </c>
      <c r="S240" s="14"/>
      <c r="T240" s="12">
        <v>59063.74</v>
      </c>
      <c r="U240" s="13">
        <f>IFERROR(T240/T446, "NA")</f>
        <v>0.06100000333</v>
      </c>
      <c r="V240" s="14"/>
      <c r="W240" s="15">
        <f t="shared" ref="W240:W264" si="71">IFERROR(-(Q240-T240), "NA")</f>
        <v>59063.74</v>
      </c>
      <c r="X240" s="13">
        <f>IFERROR(W240/W446, "NA")</f>
        <v>-0.6729976398</v>
      </c>
      <c r="Y240" s="14"/>
      <c r="Z240" s="12">
        <v>0.0</v>
      </c>
      <c r="AA240" s="13">
        <f>IFERROR(Z240/Z446, "NA")</f>
        <v>0</v>
      </c>
      <c r="AB240" s="14"/>
      <c r="AC240" s="15">
        <f t="shared" ref="AC240:AC264" si="72">IFERROR(-(Q240-Z240), "NA")</f>
        <v>0</v>
      </c>
      <c r="AD240" s="13">
        <f>IFERROR(AC240/AC446, "NA")</f>
        <v>0</v>
      </c>
    </row>
    <row r="241" ht="16.5" hidden="1" customHeight="1">
      <c r="A241" s="11" t="s">
        <v>221</v>
      </c>
      <c r="B241" s="12">
        <v>0.0</v>
      </c>
      <c r="C241" s="13">
        <f>IFERROR(B241/B446, "NA")</f>
        <v>0</v>
      </c>
      <c r="D241" s="14"/>
      <c r="E241" s="12">
        <v>0.0</v>
      </c>
      <c r="F241" s="13">
        <f>IFERROR(E241/E446, "NA")</f>
        <v>0</v>
      </c>
      <c r="G241" s="14"/>
      <c r="H241" s="15">
        <f t="shared" si="69"/>
        <v>0</v>
      </c>
      <c r="I241" s="13">
        <f>IFERROR(H241/H446, "NA")</f>
        <v>0</v>
      </c>
      <c r="J241" s="14"/>
      <c r="K241" s="12">
        <v>0.0</v>
      </c>
      <c r="L241" s="13">
        <f>IFERROR(K241/K446, "NA")</f>
        <v>0</v>
      </c>
      <c r="M241" s="14"/>
      <c r="N241" s="15">
        <f t="shared" si="70"/>
        <v>0</v>
      </c>
      <c r="O241" s="13">
        <f>IFERROR(N241/N446, "NA")</f>
        <v>0</v>
      </c>
      <c r="P241" s="14"/>
      <c r="Q241" s="12">
        <v>0.0</v>
      </c>
      <c r="R241" s="13">
        <f>IFERROR(Q241/Q446, "NA")</f>
        <v>0</v>
      </c>
      <c r="S241" s="14"/>
      <c r="T241" s="12">
        <v>0.0</v>
      </c>
      <c r="U241" s="13">
        <f>IFERROR(T241/T446, "NA")</f>
        <v>0</v>
      </c>
      <c r="V241" s="14"/>
      <c r="W241" s="15">
        <f t="shared" si="71"/>
        <v>0</v>
      </c>
      <c r="X241" s="13">
        <f>IFERROR(W241/W446, "NA")</f>
        <v>0</v>
      </c>
      <c r="Y241" s="14"/>
      <c r="Z241" s="12">
        <v>0.0</v>
      </c>
      <c r="AA241" s="13">
        <f>IFERROR(Z241/Z446, "NA")</f>
        <v>0</v>
      </c>
      <c r="AB241" s="14"/>
      <c r="AC241" s="15">
        <f t="shared" si="72"/>
        <v>0</v>
      </c>
      <c r="AD241" s="13">
        <f>IFERROR(AC241/AC446, "NA")</f>
        <v>0</v>
      </c>
    </row>
    <row r="242" ht="16.5" customHeight="1">
      <c r="A242" s="11" t="s">
        <v>222</v>
      </c>
      <c r="B242" s="12">
        <v>1237.22</v>
      </c>
      <c r="C242" s="13">
        <f>IFERROR(B242/B446, "NA")</f>
        <v>0.01250162558</v>
      </c>
      <c r="D242" s="14"/>
      <c r="E242" s="12">
        <v>0.0</v>
      </c>
      <c r="F242" s="13">
        <f>IFERROR(E242/E446, "NA")</f>
        <v>0</v>
      </c>
      <c r="G242" s="14"/>
      <c r="H242" s="15">
        <f t="shared" si="69"/>
        <v>-1237.22</v>
      </c>
      <c r="I242" s="13">
        <f>IFERROR(H242/H446, "NA")</f>
        <v>0.5906035783</v>
      </c>
      <c r="J242" s="14"/>
      <c r="K242" s="12">
        <v>772.85</v>
      </c>
      <c r="L242" s="13">
        <f>IFERROR(K242/K446, "NA")</f>
        <v>0.008349124668</v>
      </c>
      <c r="M242" s="14"/>
      <c r="N242" s="15">
        <f t="shared" si="70"/>
        <v>-464.37</v>
      </c>
      <c r="O242" s="13">
        <f>IFERROR(N242/N446, "NA")</f>
        <v>-0.07257890574</v>
      </c>
      <c r="P242" s="14"/>
      <c r="Q242" s="12">
        <v>12367.64</v>
      </c>
      <c r="R242" s="13">
        <f>IFERROR(Q242/Q446, "NA")</f>
        <v>0.01404622259</v>
      </c>
      <c r="S242" s="14"/>
      <c r="T242" s="12">
        <v>0.0</v>
      </c>
      <c r="U242" s="13">
        <f>IFERROR(T242/T446, "NA")</f>
        <v>0</v>
      </c>
      <c r="V242" s="14"/>
      <c r="W242" s="15">
        <f t="shared" si="71"/>
        <v>-12367.64</v>
      </c>
      <c r="X242" s="13">
        <f>IFERROR(W242/W446, "NA")</f>
        <v>0.1409222059</v>
      </c>
      <c r="Y242" s="14"/>
      <c r="Z242" s="12">
        <v>8896.99</v>
      </c>
      <c r="AA242" s="13">
        <f>IFERROR(Z242/Z446, "NA")</f>
        <v>0.009905593696</v>
      </c>
      <c r="AB242" s="14"/>
      <c r="AC242" s="15">
        <f t="shared" si="72"/>
        <v>-3470.65</v>
      </c>
      <c r="AD242" s="13">
        <f>IFERROR(AC242/AC446, "NA")</f>
        <v>0.1962752021</v>
      </c>
    </row>
    <row r="243" ht="16.5" customHeight="1">
      <c r="A243" s="11" t="s">
        <v>223</v>
      </c>
      <c r="B243" s="12">
        <v>1745.06</v>
      </c>
      <c r="C243" s="13">
        <f>IFERROR(B243/B446, "NA")</f>
        <v>0.01763315072</v>
      </c>
      <c r="D243" s="14"/>
      <c r="E243" s="12">
        <v>0.0</v>
      </c>
      <c r="F243" s="13">
        <f>IFERROR(E243/E446, "NA")</f>
        <v>0</v>
      </c>
      <c r="G243" s="14"/>
      <c r="H243" s="15">
        <f t="shared" si="69"/>
        <v>-1745.06</v>
      </c>
      <c r="I243" s="13">
        <f>IFERROR(H243/H446, "NA")</f>
        <v>0.8330278207</v>
      </c>
      <c r="J243" s="14"/>
      <c r="K243" s="12">
        <v>2047.41</v>
      </c>
      <c r="L243" s="13">
        <f>IFERROR(K243/K446, "NA")</f>
        <v>0.02211823942</v>
      </c>
      <c r="M243" s="14"/>
      <c r="N243" s="15">
        <f t="shared" si="70"/>
        <v>302.35</v>
      </c>
      <c r="O243" s="13">
        <f>IFERROR(N243/N446, "NA")</f>
        <v>0.04725592125</v>
      </c>
      <c r="P243" s="14"/>
      <c r="Q243" s="12">
        <v>17612.52</v>
      </c>
      <c r="R243" s="13">
        <f>IFERROR(Q243/Q446, "NA")</f>
        <v>0.02000295742</v>
      </c>
      <c r="S243" s="14"/>
      <c r="T243" s="12">
        <v>0.0</v>
      </c>
      <c r="U243" s="13">
        <f>IFERROR(T243/T446, "NA")</f>
        <v>0</v>
      </c>
      <c r="V243" s="14"/>
      <c r="W243" s="15">
        <f t="shared" si="71"/>
        <v>-17612.52</v>
      </c>
      <c r="X243" s="13">
        <f>IFERROR(W243/W446, "NA")</f>
        <v>0.2006846229</v>
      </c>
      <c r="Y243" s="14"/>
      <c r="Z243" s="12">
        <v>20851.6</v>
      </c>
      <c r="AA243" s="13">
        <f>IFERROR(Z243/Z446, "NA")</f>
        <v>0.02321543326</v>
      </c>
      <c r="AB243" s="14"/>
      <c r="AC243" s="15">
        <f t="shared" si="72"/>
        <v>3239.08</v>
      </c>
      <c r="AD243" s="13">
        <f>IFERROR(AC243/AC446, "NA")</f>
        <v>-0.1831792551</v>
      </c>
    </row>
    <row r="244" ht="16.5" customHeight="1">
      <c r="A244" s="11" t="s">
        <v>224</v>
      </c>
      <c r="B244" s="12">
        <v>806.67</v>
      </c>
      <c r="C244" s="13">
        <f>IFERROR(B244/B446, "NA")</f>
        <v>0.008151085745</v>
      </c>
      <c r="D244" s="14"/>
      <c r="E244" s="12">
        <v>0.0</v>
      </c>
      <c r="F244" s="13">
        <f>IFERROR(E244/E446, "NA")</f>
        <v>0</v>
      </c>
      <c r="G244" s="14"/>
      <c r="H244" s="15">
        <f t="shared" si="69"/>
        <v>-806.67</v>
      </c>
      <c r="I244" s="13">
        <f>IFERROR(H244/H446, "NA")</f>
        <v>0.3850747551</v>
      </c>
      <c r="J244" s="14"/>
      <c r="K244" s="12">
        <v>792.36</v>
      </c>
      <c r="L244" s="13">
        <f>IFERROR(K244/K446, "NA")</f>
        <v>0.008559891857</v>
      </c>
      <c r="M244" s="14"/>
      <c r="N244" s="15">
        <f t="shared" si="70"/>
        <v>-14.31</v>
      </c>
      <c r="O244" s="13">
        <f>IFERROR(N244/N446, "NA")</f>
        <v>-0.002236587508</v>
      </c>
      <c r="P244" s="14"/>
      <c r="Q244" s="12">
        <v>7078.73</v>
      </c>
      <c r="R244" s="13">
        <f>IFERROR(Q244/Q446, "NA")</f>
        <v>0.008039481846</v>
      </c>
      <c r="S244" s="14"/>
      <c r="T244" s="12">
        <v>0.0</v>
      </c>
      <c r="U244" s="13">
        <f>IFERROR(T244/T446, "NA")</f>
        <v>0</v>
      </c>
      <c r="V244" s="14"/>
      <c r="W244" s="15">
        <f t="shared" si="71"/>
        <v>-7078.73</v>
      </c>
      <c r="X244" s="13">
        <f>IFERROR(W244/W446, "NA")</f>
        <v>0.08065809213</v>
      </c>
      <c r="Y244" s="14"/>
      <c r="Z244" s="12">
        <v>3122.3</v>
      </c>
      <c r="AA244" s="13">
        <f>IFERROR(Z244/Z446, "NA")</f>
        <v>0.003476258285</v>
      </c>
      <c r="AB244" s="14"/>
      <c r="AC244" s="15">
        <f t="shared" si="72"/>
        <v>-3956.43</v>
      </c>
      <c r="AD244" s="13">
        <f>IFERROR(AC244/AC446, "NA")</f>
        <v>0.223747453</v>
      </c>
    </row>
    <row r="245" ht="16.5" hidden="1" customHeight="1">
      <c r="A245" s="11" t="s">
        <v>225</v>
      </c>
      <c r="B245" s="12">
        <v>0.0</v>
      </c>
      <c r="C245" s="13">
        <f>IFERROR(B245/B446, "NA")</f>
        <v>0</v>
      </c>
      <c r="D245" s="14"/>
      <c r="E245" s="12">
        <v>0.0</v>
      </c>
      <c r="F245" s="13">
        <f>IFERROR(E245/E446, "NA")</f>
        <v>0</v>
      </c>
      <c r="G245" s="14"/>
      <c r="H245" s="15">
        <f t="shared" si="69"/>
        <v>0</v>
      </c>
      <c r="I245" s="13">
        <f>IFERROR(H245/H446, "NA")</f>
        <v>0</v>
      </c>
      <c r="J245" s="14"/>
      <c r="K245" s="12">
        <v>0.0</v>
      </c>
      <c r="L245" s="13">
        <f>IFERROR(K245/K446, "NA")</f>
        <v>0</v>
      </c>
      <c r="M245" s="14"/>
      <c r="N245" s="15">
        <f t="shared" si="70"/>
        <v>0</v>
      </c>
      <c r="O245" s="13">
        <f>IFERROR(N245/N446, "NA")</f>
        <v>0</v>
      </c>
      <c r="P245" s="14"/>
      <c r="Q245" s="12">
        <v>0.0</v>
      </c>
      <c r="R245" s="13">
        <f>IFERROR(Q245/Q446, "NA")</f>
        <v>0</v>
      </c>
      <c r="S245" s="14"/>
      <c r="T245" s="12">
        <v>0.0</v>
      </c>
      <c r="U245" s="13">
        <f>IFERROR(T245/T446, "NA")</f>
        <v>0</v>
      </c>
      <c r="V245" s="14"/>
      <c r="W245" s="15">
        <f t="shared" si="71"/>
        <v>0</v>
      </c>
      <c r="X245" s="13">
        <f>IFERROR(W245/W446, "NA")</f>
        <v>0</v>
      </c>
      <c r="Y245" s="14"/>
      <c r="Z245" s="12">
        <v>0.0</v>
      </c>
      <c r="AA245" s="13">
        <f>IFERROR(Z245/Z446, "NA")</f>
        <v>0</v>
      </c>
      <c r="AB245" s="14"/>
      <c r="AC245" s="15">
        <f t="shared" si="72"/>
        <v>0</v>
      </c>
      <c r="AD245" s="13">
        <f>IFERROR(AC245/AC446, "NA")</f>
        <v>0</v>
      </c>
    </row>
    <row r="246" ht="16.5" customHeight="1">
      <c r="A246" s="11" t="s">
        <v>226</v>
      </c>
      <c r="B246" s="12">
        <v>109.17</v>
      </c>
      <c r="C246" s="13">
        <f>IFERROR(B246/B446, "NA")</f>
        <v>0.001103120273</v>
      </c>
      <c r="D246" s="14"/>
      <c r="E246" s="12">
        <v>0.0</v>
      </c>
      <c r="F246" s="13">
        <f>IFERROR(E246/E446, "NA")</f>
        <v>0</v>
      </c>
      <c r="G246" s="14"/>
      <c r="H246" s="15">
        <f t="shared" si="69"/>
        <v>-109.17</v>
      </c>
      <c r="I246" s="13">
        <f>IFERROR(H246/H446, "NA")</f>
        <v>0.05211376525</v>
      </c>
      <c r="J246" s="14"/>
      <c r="K246" s="12">
        <v>301.27</v>
      </c>
      <c r="L246" s="13">
        <f>IFERROR(K246/K446, "NA")</f>
        <v>0.003254629991</v>
      </c>
      <c r="M246" s="14"/>
      <c r="N246" s="15">
        <f t="shared" si="70"/>
        <v>192.1</v>
      </c>
      <c r="O246" s="13">
        <f>IFERROR(N246/N446, "NA")</f>
        <v>0.03002435083</v>
      </c>
      <c r="P246" s="14"/>
      <c r="Q246" s="12">
        <v>1086.03</v>
      </c>
      <c r="R246" s="13">
        <f>IFERROR(Q246/Q446, "NA")</f>
        <v>0.001233430074</v>
      </c>
      <c r="S246" s="14"/>
      <c r="T246" s="12">
        <v>0.0</v>
      </c>
      <c r="U246" s="13">
        <f>IFERROR(T246/T446, "NA")</f>
        <v>0</v>
      </c>
      <c r="V246" s="14"/>
      <c r="W246" s="15">
        <f t="shared" si="71"/>
        <v>-1086.03</v>
      </c>
      <c r="X246" s="13">
        <f>IFERROR(W246/W446, "NA")</f>
        <v>0.01237469261</v>
      </c>
      <c r="Y246" s="14"/>
      <c r="Z246" s="12">
        <v>2906.54</v>
      </c>
      <c r="AA246" s="13">
        <f>IFERROR(Z246/Z446, "NA")</f>
        <v>0.003236038739</v>
      </c>
      <c r="AB246" s="14"/>
      <c r="AC246" s="15">
        <f t="shared" si="72"/>
        <v>1820.51</v>
      </c>
      <c r="AD246" s="13">
        <f>IFERROR(AC246/AC446, "NA")</f>
        <v>-0.1029550569</v>
      </c>
    </row>
    <row r="247" ht="16.5" hidden="1" customHeight="1">
      <c r="A247" s="11" t="s">
        <v>227</v>
      </c>
      <c r="B247" s="12">
        <v>0.0</v>
      </c>
      <c r="C247" s="13">
        <f>IFERROR(B247/B446, "NA")</f>
        <v>0</v>
      </c>
      <c r="D247" s="14"/>
      <c r="E247" s="12">
        <v>0.0</v>
      </c>
      <c r="F247" s="13">
        <f>IFERROR(E247/E446, "NA")</f>
        <v>0</v>
      </c>
      <c r="G247" s="14"/>
      <c r="H247" s="15">
        <f t="shared" si="69"/>
        <v>0</v>
      </c>
      <c r="I247" s="13">
        <f>IFERROR(H247/H446, "NA")</f>
        <v>0</v>
      </c>
      <c r="J247" s="14"/>
      <c r="K247" s="12">
        <v>0.0</v>
      </c>
      <c r="L247" s="13">
        <f>IFERROR(K247/K446, "NA")</f>
        <v>0</v>
      </c>
      <c r="M247" s="14"/>
      <c r="N247" s="15">
        <f t="shared" si="70"/>
        <v>0</v>
      </c>
      <c r="O247" s="13">
        <f>IFERROR(N247/N446, "NA")</f>
        <v>0</v>
      </c>
      <c r="P247" s="14"/>
      <c r="Q247" s="12">
        <v>0.0</v>
      </c>
      <c r="R247" s="13">
        <f>IFERROR(Q247/Q446, "NA")</f>
        <v>0</v>
      </c>
      <c r="S247" s="14"/>
      <c r="T247" s="12">
        <v>0.0</v>
      </c>
      <c r="U247" s="13">
        <f>IFERROR(T247/T446, "NA")</f>
        <v>0</v>
      </c>
      <c r="V247" s="14"/>
      <c r="W247" s="15">
        <f t="shared" si="71"/>
        <v>0</v>
      </c>
      <c r="X247" s="13">
        <f>IFERROR(W247/W446, "NA")</f>
        <v>0</v>
      </c>
      <c r="Y247" s="14"/>
      <c r="Z247" s="12">
        <v>0.0</v>
      </c>
      <c r="AA247" s="13">
        <f>IFERROR(Z247/Z446, "NA")</f>
        <v>0</v>
      </c>
      <c r="AB247" s="14"/>
      <c r="AC247" s="15">
        <f t="shared" si="72"/>
        <v>0</v>
      </c>
      <c r="AD247" s="13">
        <f>IFERROR(AC247/AC446, "NA")</f>
        <v>0</v>
      </c>
    </row>
    <row r="248" ht="16.5" customHeight="1">
      <c r="A248" s="11" t="s">
        <v>228</v>
      </c>
      <c r="B248" s="12">
        <v>243.0</v>
      </c>
      <c r="C248" s="13">
        <f>IFERROR(B248/B446, "NA")</f>
        <v>0.002455420229</v>
      </c>
      <c r="D248" s="14"/>
      <c r="E248" s="12">
        <v>0.0</v>
      </c>
      <c r="F248" s="13">
        <f>IFERROR(E248/E446, "NA")</f>
        <v>0</v>
      </c>
      <c r="G248" s="14"/>
      <c r="H248" s="15">
        <f t="shared" si="69"/>
        <v>-243</v>
      </c>
      <c r="I248" s="13">
        <f>IFERROR(H248/H446, "NA")</f>
        <v>0.1159993126</v>
      </c>
      <c r="J248" s="14"/>
      <c r="K248" s="12">
        <v>273.87</v>
      </c>
      <c r="L248" s="13">
        <f>IFERROR(K248/K446, "NA")</f>
        <v>0.002958626865</v>
      </c>
      <c r="M248" s="14"/>
      <c r="N248" s="15">
        <f t="shared" si="70"/>
        <v>30.87</v>
      </c>
      <c r="O248" s="13">
        <f>IFERROR(N248/N446, "NA")</f>
        <v>0.004824839719</v>
      </c>
      <c r="P248" s="14"/>
      <c r="Q248" s="12">
        <v>2097.1</v>
      </c>
      <c r="R248" s="13">
        <f>IFERROR(Q248/Q446, "NA")</f>
        <v>0.002381726296</v>
      </c>
      <c r="S248" s="14"/>
      <c r="T248" s="12">
        <v>0.0</v>
      </c>
      <c r="U248" s="13">
        <f>IFERROR(T248/T446, "NA")</f>
        <v>0</v>
      </c>
      <c r="V248" s="14"/>
      <c r="W248" s="15">
        <f t="shared" si="71"/>
        <v>-2097.1</v>
      </c>
      <c r="X248" s="13">
        <f>IFERROR(W248/W446, "NA")</f>
        <v>0.02389525875</v>
      </c>
      <c r="Y248" s="14"/>
      <c r="Z248" s="12">
        <v>2158.67</v>
      </c>
      <c r="AA248" s="13">
        <f>IFERROR(Z248/Z446, "NA")</f>
        <v>0.002403386757</v>
      </c>
      <c r="AB248" s="14"/>
      <c r="AC248" s="15">
        <f t="shared" si="72"/>
        <v>61.57</v>
      </c>
      <c r="AD248" s="13">
        <f>IFERROR(AC248/AC446, "NA")</f>
        <v>-0.003481959919</v>
      </c>
    </row>
    <row r="249" ht="16.5" customHeight="1">
      <c r="A249" s="11" t="s">
        <v>229</v>
      </c>
      <c r="B249" s="12">
        <v>1835.68</v>
      </c>
      <c r="C249" s="13">
        <f>IFERROR(B249/B446, "NA")</f>
        <v>0.01854883048</v>
      </c>
      <c r="D249" s="14"/>
      <c r="E249" s="12">
        <v>0.0</v>
      </c>
      <c r="F249" s="13">
        <f>IFERROR(E249/E446, "NA")</f>
        <v>0</v>
      </c>
      <c r="G249" s="14"/>
      <c r="H249" s="15">
        <f t="shared" si="69"/>
        <v>-1835.68</v>
      </c>
      <c r="I249" s="13">
        <f>IFERROR(H249/H446, "NA")</f>
        <v>0.8762864944</v>
      </c>
      <c r="J249" s="14"/>
      <c r="K249" s="12">
        <v>740.97</v>
      </c>
      <c r="L249" s="13">
        <f>IFERROR(K249/K446, "NA")</f>
        <v>0.008004723951</v>
      </c>
      <c r="M249" s="14"/>
      <c r="N249" s="15">
        <f t="shared" si="70"/>
        <v>-1094.71</v>
      </c>
      <c r="O249" s="13">
        <f>IFERROR(N249/N446, "NA")</f>
        <v>-0.1710981629</v>
      </c>
      <c r="P249" s="14"/>
      <c r="Q249" s="12">
        <v>17764.98</v>
      </c>
      <c r="R249" s="13">
        <f>IFERROR(Q249/Q446, "NA")</f>
        <v>0.02017610987</v>
      </c>
      <c r="S249" s="14"/>
      <c r="T249" s="12">
        <v>0.0</v>
      </c>
      <c r="U249" s="13">
        <f>IFERROR(T249/T446, "NA")</f>
        <v>0</v>
      </c>
      <c r="V249" s="14"/>
      <c r="W249" s="15">
        <f t="shared" si="71"/>
        <v>-17764.98</v>
      </c>
      <c r="X249" s="13">
        <f>IFERROR(W249/W446, "NA")</f>
        <v>0.2024218177</v>
      </c>
      <c r="Y249" s="14"/>
      <c r="Z249" s="12">
        <v>10360.51</v>
      </c>
      <c r="AA249" s="13">
        <f>IFERROR(Z249/Z446, "NA")</f>
        <v>0.01153502505</v>
      </c>
      <c r="AB249" s="14"/>
      <c r="AC249" s="15">
        <f t="shared" si="72"/>
        <v>-7404.47</v>
      </c>
      <c r="AD249" s="13">
        <f>IFERROR(AC249/AC446, "NA")</f>
        <v>0.4187439948</v>
      </c>
    </row>
    <row r="250" ht="16.5" hidden="1" customHeight="1">
      <c r="A250" s="11" t="s">
        <v>230</v>
      </c>
      <c r="B250" s="12">
        <v>0.0</v>
      </c>
      <c r="C250" s="13">
        <f>IFERROR(B250/B446, "NA")</f>
        <v>0</v>
      </c>
      <c r="D250" s="14"/>
      <c r="E250" s="12">
        <v>0.0</v>
      </c>
      <c r="F250" s="13">
        <f>IFERROR(E250/E446, "NA")</f>
        <v>0</v>
      </c>
      <c r="G250" s="14"/>
      <c r="H250" s="15">
        <f t="shared" si="69"/>
        <v>0</v>
      </c>
      <c r="I250" s="13">
        <f>IFERROR(H250/H446, "NA")</f>
        <v>0</v>
      </c>
      <c r="J250" s="14"/>
      <c r="K250" s="12">
        <v>0.0</v>
      </c>
      <c r="L250" s="13">
        <f>IFERROR(K250/K446, "NA")</f>
        <v>0</v>
      </c>
      <c r="M250" s="14"/>
      <c r="N250" s="15">
        <f t="shared" si="70"/>
        <v>0</v>
      </c>
      <c r="O250" s="13">
        <f>IFERROR(N250/N446, "NA")</f>
        <v>0</v>
      </c>
      <c r="P250" s="14"/>
      <c r="Q250" s="12">
        <v>0.0</v>
      </c>
      <c r="R250" s="13">
        <f>IFERROR(Q250/Q446, "NA")</f>
        <v>0</v>
      </c>
      <c r="S250" s="14"/>
      <c r="T250" s="12">
        <v>0.0</v>
      </c>
      <c r="U250" s="13">
        <f>IFERROR(T250/T446, "NA")</f>
        <v>0</v>
      </c>
      <c r="V250" s="14"/>
      <c r="W250" s="15">
        <f t="shared" si="71"/>
        <v>0</v>
      </c>
      <c r="X250" s="13">
        <f>IFERROR(W250/W446, "NA")</f>
        <v>0</v>
      </c>
      <c r="Y250" s="14"/>
      <c r="Z250" s="12">
        <v>0.0</v>
      </c>
      <c r="AA250" s="13">
        <f>IFERROR(Z250/Z446, "NA")</f>
        <v>0</v>
      </c>
      <c r="AB250" s="14"/>
      <c r="AC250" s="15">
        <f t="shared" si="72"/>
        <v>0</v>
      </c>
      <c r="AD250" s="13">
        <f>IFERROR(AC250/AC446, "NA")</f>
        <v>0</v>
      </c>
    </row>
    <row r="251" ht="16.5" hidden="1" customHeight="1">
      <c r="A251" s="11" t="s">
        <v>231</v>
      </c>
      <c r="B251" s="12">
        <v>0.0</v>
      </c>
      <c r="C251" s="13">
        <f>IFERROR(B251/B446, "NA")</f>
        <v>0</v>
      </c>
      <c r="D251" s="14"/>
      <c r="E251" s="12">
        <v>0.0</v>
      </c>
      <c r="F251" s="13">
        <f>IFERROR(E251/E446, "NA")</f>
        <v>0</v>
      </c>
      <c r="G251" s="14"/>
      <c r="H251" s="15">
        <f t="shared" si="69"/>
        <v>0</v>
      </c>
      <c r="I251" s="13">
        <f>IFERROR(H251/H446, "NA")</f>
        <v>0</v>
      </c>
      <c r="J251" s="14"/>
      <c r="K251" s="12">
        <v>0.0</v>
      </c>
      <c r="L251" s="13">
        <f>IFERROR(K251/K446, "NA")</f>
        <v>0</v>
      </c>
      <c r="M251" s="14"/>
      <c r="N251" s="15">
        <f t="shared" si="70"/>
        <v>0</v>
      </c>
      <c r="O251" s="13">
        <f>IFERROR(N251/N446, "NA")</f>
        <v>0</v>
      </c>
      <c r="P251" s="14"/>
      <c r="Q251" s="12">
        <v>0.0</v>
      </c>
      <c r="R251" s="13">
        <f>IFERROR(Q251/Q446, "NA")</f>
        <v>0</v>
      </c>
      <c r="S251" s="14"/>
      <c r="T251" s="12">
        <v>0.0</v>
      </c>
      <c r="U251" s="13">
        <f>IFERROR(T251/T446, "NA")</f>
        <v>0</v>
      </c>
      <c r="V251" s="14"/>
      <c r="W251" s="15">
        <f t="shared" si="71"/>
        <v>0</v>
      </c>
      <c r="X251" s="13">
        <f>IFERROR(W251/W446, "NA")</f>
        <v>0</v>
      </c>
      <c r="Y251" s="14"/>
      <c r="Z251" s="12">
        <v>0.0</v>
      </c>
      <c r="AA251" s="13">
        <f>IFERROR(Z251/Z446, "NA")</f>
        <v>0</v>
      </c>
      <c r="AB251" s="14"/>
      <c r="AC251" s="15">
        <f t="shared" si="72"/>
        <v>0</v>
      </c>
      <c r="AD251" s="13">
        <f>IFERROR(AC251/AC446, "NA")</f>
        <v>0</v>
      </c>
    </row>
    <row r="252" ht="16.5" hidden="1" customHeight="1">
      <c r="A252" s="11" t="s">
        <v>232</v>
      </c>
      <c r="B252" s="12">
        <v>0.0</v>
      </c>
      <c r="C252" s="13">
        <f>IFERROR(B252/B446, "NA")</f>
        <v>0</v>
      </c>
      <c r="D252" s="14"/>
      <c r="E252" s="12">
        <v>0.0</v>
      </c>
      <c r="F252" s="13">
        <f>IFERROR(E252/E446, "NA")</f>
        <v>0</v>
      </c>
      <c r="G252" s="14"/>
      <c r="H252" s="15">
        <f t="shared" si="69"/>
        <v>0</v>
      </c>
      <c r="I252" s="13">
        <f>IFERROR(H252/H446, "NA")</f>
        <v>0</v>
      </c>
      <c r="J252" s="14"/>
      <c r="K252" s="12">
        <v>0.0</v>
      </c>
      <c r="L252" s="13">
        <f>IFERROR(K252/K446, "NA")</f>
        <v>0</v>
      </c>
      <c r="M252" s="14"/>
      <c r="N252" s="15">
        <f t="shared" si="70"/>
        <v>0</v>
      </c>
      <c r="O252" s="13">
        <f>IFERROR(N252/N446, "NA")</f>
        <v>0</v>
      </c>
      <c r="P252" s="14"/>
      <c r="Q252" s="12">
        <v>0.0</v>
      </c>
      <c r="R252" s="13">
        <f>IFERROR(Q252/Q446, "NA")</f>
        <v>0</v>
      </c>
      <c r="S252" s="14"/>
      <c r="T252" s="12">
        <v>0.0</v>
      </c>
      <c r="U252" s="13">
        <f>IFERROR(T252/T446, "NA")</f>
        <v>0</v>
      </c>
      <c r="V252" s="14"/>
      <c r="W252" s="15">
        <f t="shared" si="71"/>
        <v>0</v>
      </c>
      <c r="X252" s="13">
        <f>IFERROR(W252/W446, "NA")</f>
        <v>0</v>
      </c>
      <c r="Y252" s="14"/>
      <c r="Z252" s="12">
        <v>0.0</v>
      </c>
      <c r="AA252" s="13">
        <f>IFERROR(Z252/Z446, "NA")</f>
        <v>0</v>
      </c>
      <c r="AB252" s="14"/>
      <c r="AC252" s="15">
        <f t="shared" si="72"/>
        <v>0</v>
      </c>
      <c r="AD252" s="13">
        <f>IFERROR(AC252/AC446, "NA")</f>
        <v>0</v>
      </c>
    </row>
    <row r="253" ht="16.5" hidden="1" customHeight="1">
      <c r="A253" s="11" t="s">
        <v>233</v>
      </c>
      <c r="B253" s="12">
        <v>0.0</v>
      </c>
      <c r="C253" s="13">
        <f>IFERROR(B253/B446, "NA")</f>
        <v>0</v>
      </c>
      <c r="D253" s="14"/>
      <c r="E253" s="12">
        <v>0.0</v>
      </c>
      <c r="F253" s="13">
        <f>IFERROR(E253/E446, "NA")</f>
        <v>0</v>
      </c>
      <c r="G253" s="14"/>
      <c r="H253" s="15">
        <f t="shared" si="69"/>
        <v>0</v>
      </c>
      <c r="I253" s="13">
        <f>IFERROR(H253/H446, "NA")</f>
        <v>0</v>
      </c>
      <c r="J253" s="14"/>
      <c r="K253" s="12">
        <v>0.0</v>
      </c>
      <c r="L253" s="13">
        <f>IFERROR(K253/K446, "NA")</f>
        <v>0</v>
      </c>
      <c r="M253" s="14"/>
      <c r="N253" s="15">
        <f t="shared" si="70"/>
        <v>0</v>
      </c>
      <c r="O253" s="13">
        <f>IFERROR(N253/N446, "NA")</f>
        <v>0</v>
      </c>
      <c r="P253" s="14"/>
      <c r="Q253" s="12">
        <v>0.0</v>
      </c>
      <c r="R253" s="13">
        <f>IFERROR(Q253/Q446, "NA")</f>
        <v>0</v>
      </c>
      <c r="S253" s="14"/>
      <c r="T253" s="12">
        <v>0.0</v>
      </c>
      <c r="U253" s="13">
        <f>IFERROR(T253/T446, "NA")</f>
        <v>0</v>
      </c>
      <c r="V253" s="14"/>
      <c r="W253" s="15">
        <f t="shared" si="71"/>
        <v>0</v>
      </c>
      <c r="X253" s="13">
        <f>IFERROR(W253/W446, "NA")</f>
        <v>0</v>
      </c>
      <c r="Y253" s="14"/>
      <c r="Z253" s="12">
        <v>0.0</v>
      </c>
      <c r="AA253" s="13">
        <f>IFERROR(Z253/Z446, "NA")</f>
        <v>0</v>
      </c>
      <c r="AB253" s="14"/>
      <c r="AC253" s="15">
        <f t="shared" si="72"/>
        <v>0</v>
      </c>
      <c r="AD253" s="13">
        <f>IFERROR(AC253/AC446, "NA")</f>
        <v>0</v>
      </c>
    </row>
    <row r="254" ht="16.5" customHeight="1">
      <c r="A254" s="11" t="s">
        <v>234</v>
      </c>
      <c r="B254" s="12">
        <v>606.84</v>
      </c>
      <c r="C254" s="13">
        <f>IFERROR(B254/B446, "NA")</f>
        <v>0.00613188153</v>
      </c>
      <c r="D254" s="14"/>
      <c r="E254" s="12">
        <v>0.0</v>
      </c>
      <c r="F254" s="13">
        <f>IFERROR(E254/E446, "NA")</f>
        <v>0</v>
      </c>
      <c r="G254" s="14"/>
      <c r="H254" s="15">
        <f t="shared" si="69"/>
        <v>-606.84</v>
      </c>
      <c r="I254" s="13">
        <f>IFERROR(H254/H446, "NA")</f>
        <v>0.2896832216</v>
      </c>
      <c r="J254" s="14"/>
      <c r="K254" s="12">
        <v>452.3</v>
      </c>
      <c r="L254" s="13">
        <f>IFERROR(K254/K446, "NA")</f>
        <v>0.004886212185</v>
      </c>
      <c r="M254" s="14"/>
      <c r="N254" s="15">
        <f t="shared" si="70"/>
        <v>-154.54</v>
      </c>
      <c r="O254" s="13">
        <f>IFERROR(N254/N446, "NA")</f>
        <v>-0.02415389473</v>
      </c>
      <c r="P254" s="14"/>
      <c r="Q254" s="12">
        <v>4206.1</v>
      </c>
      <c r="R254" s="13">
        <f>IFERROR(Q254/Q446, "NA")</f>
        <v>0.004776967704</v>
      </c>
      <c r="S254" s="14"/>
      <c r="T254" s="12">
        <v>0.0</v>
      </c>
      <c r="U254" s="13">
        <f>IFERROR(T254/T446, "NA")</f>
        <v>0</v>
      </c>
      <c r="V254" s="14"/>
      <c r="W254" s="15">
        <f t="shared" si="71"/>
        <v>-4206.1</v>
      </c>
      <c r="X254" s="13">
        <f>IFERROR(W254/W446, "NA")</f>
        <v>0.04792611122</v>
      </c>
      <c r="Y254" s="14"/>
      <c r="Z254" s="12">
        <v>5884.8</v>
      </c>
      <c r="AA254" s="13">
        <f>IFERROR(Z254/Z446, "NA")</f>
        <v>0.006551927987</v>
      </c>
      <c r="AB254" s="14"/>
      <c r="AC254" s="15">
        <f t="shared" si="72"/>
        <v>1678.7</v>
      </c>
      <c r="AD254" s="13">
        <f>IFERROR(AC254/AC446, "NA")</f>
        <v>-0.09493529504</v>
      </c>
    </row>
    <row r="255" ht="16.5" hidden="1" customHeight="1">
      <c r="A255" s="11" t="s">
        <v>235</v>
      </c>
      <c r="B255" s="12">
        <v>0.0</v>
      </c>
      <c r="C255" s="13">
        <f>IFERROR(B255/B446, "NA")</f>
        <v>0</v>
      </c>
      <c r="D255" s="14"/>
      <c r="E255" s="12">
        <v>0.0</v>
      </c>
      <c r="F255" s="13">
        <f>IFERROR(E255/E446, "NA")</f>
        <v>0</v>
      </c>
      <c r="G255" s="14"/>
      <c r="H255" s="15">
        <f t="shared" si="69"/>
        <v>0</v>
      </c>
      <c r="I255" s="13">
        <f>IFERROR(H255/H446, "NA")</f>
        <v>0</v>
      </c>
      <c r="J255" s="14"/>
      <c r="K255" s="12">
        <v>0.0</v>
      </c>
      <c r="L255" s="13">
        <f>IFERROR(K255/K446, "NA")</f>
        <v>0</v>
      </c>
      <c r="M255" s="14"/>
      <c r="N255" s="15">
        <f t="shared" si="70"/>
        <v>0</v>
      </c>
      <c r="O255" s="13">
        <f>IFERROR(N255/N446, "NA")</f>
        <v>0</v>
      </c>
      <c r="P255" s="14"/>
      <c r="Q255" s="12">
        <v>0.0</v>
      </c>
      <c r="R255" s="13">
        <f>IFERROR(Q255/Q446, "NA")</f>
        <v>0</v>
      </c>
      <c r="S255" s="14"/>
      <c r="T255" s="12">
        <v>0.0</v>
      </c>
      <c r="U255" s="13">
        <f>IFERROR(T255/T446, "NA")</f>
        <v>0</v>
      </c>
      <c r="V255" s="14"/>
      <c r="W255" s="15">
        <f t="shared" si="71"/>
        <v>0</v>
      </c>
      <c r="X255" s="13">
        <f>IFERROR(W255/W446, "NA")</f>
        <v>0</v>
      </c>
      <c r="Y255" s="14"/>
      <c r="Z255" s="12">
        <v>0.0</v>
      </c>
      <c r="AA255" s="13">
        <f>IFERROR(Z255/Z446, "NA")</f>
        <v>0</v>
      </c>
      <c r="AB255" s="14"/>
      <c r="AC255" s="15">
        <f t="shared" si="72"/>
        <v>0</v>
      </c>
      <c r="AD255" s="13">
        <f>IFERROR(AC255/AC446, "NA")</f>
        <v>0</v>
      </c>
    </row>
    <row r="256" ht="16.5" hidden="1" customHeight="1">
      <c r="A256" s="11" t="s">
        <v>236</v>
      </c>
      <c r="B256" s="12">
        <v>0.0</v>
      </c>
      <c r="C256" s="13">
        <f>IFERROR(B256/B446, "NA")</f>
        <v>0</v>
      </c>
      <c r="D256" s="14"/>
      <c r="E256" s="12">
        <v>0.0</v>
      </c>
      <c r="F256" s="13">
        <f>IFERROR(E256/E446, "NA")</f>
        <v>0</v>
      </c>
      <c r="G256" s="14"/>
      <c r="H256" s="15">
        <f t="shared" si="69"/>
        <v>0</v>
      </c>
      <c r="I256" s="13">
        <f>IFERROR(H256/H446, "NA")</f>
        <v>0</v>
      </c>
      <c r="J256" s="14"/>
      <c r="K256" s="12">
        <v>0.0</v>
      </c>
      <c r="L256" s="13">
        <f>IFERROR(K256/K446, "NA")</f>
        <v>0</v>
      </c>
      <c r="M256" s="14"/>
      <c r="N256" s="15">
        <f t="shared" si="70"/>
        <v>0</v>
      </c>
      <c r="O256" s="13">
        <f>IFERROR(N256/N446, "NA")</f>
        <v>0</v>
      </c>
      <c r="P256" s="14"/>
      <c r="Q256" s="12">
        <v>0.0</v>
      </c>
      <c r="R256" s="13">
        <f>IFERROR(Q256/Q446, "NA")</f>
        <v>0</v>
      </c>
      <c r="S256" s="14"/>
      <c r="T256" s="12">
        <v>0.0</v>
      </c>
      <c r="U256" s="13">
        <f>IFERROR(T256/T446, "NA")</f>
        <v>0</v>
      </c>
      <c r="V256" s="14"/>
      <c r="W256" s="15">
        <f t="shared" si="71"/>
        <v>0</v>
      </c>
      <c r="X256" s="13">
        <f>IFERROR(W256/W446, "NA")</f>
        <v>0</v>
      </c>
      <c r="Y256" s="14"/>
      <c r="Z256" s="12">
        <v>0.0</v>
      </c>
      <c r="AA256" s="13">
        <f>IFERROR(Z256/Z446, "NA")</f>
        <v>0</v>
      </c>
      <c r="AB256" s="14"/>
      <c r="AC256" s="15">
        <f t="shared" si="72"/>
        <v>0</v>
      </c>
      <c r="AD256" s="13">
        <f>IFERROR(AC256/AC446, "NA")</f>
        <v>0</v>
      </c>
    </row>
    <row r="257" ht="16.5" hidden="1" customHeight="1">
      <c r="A257" s="11" t="s">
        <v>237</v>
      </c>
      <c r="B257" s="12">
        <v>0.0</v>
      </c>
      <c r="C257" s="13">
        <f>IFERROR(B257/B446, "NA")</f>
        <v>0</v>
      </c>
      <c r="D257" s="14"/>
      <c r="E257" s="12">
        <v>0.0</v>
      </c>
      <c r="F257" s="13">
        <f>IFERROR(E257/E446, "NA")</f>
        <v>0</v>
      </c>
      <c r="G257" s="14"/>
      <c r="H257" s="15">
        <f t="shared" si="69"/>
        <v>0</v>
      </c>
      <c r="I257" s="13">
        <f>IFERROR(H257/H446, "NA")</f>
        <v>0</v>
      </c>
      <c r="J257" s="14"/>
      <c r="K257" s="12">
        <v>0.0</v>
      </c>
      <c r="L257" s="13">
        <f>IFERROR(K257/K446, "NA")</f>
        <v>0</v>
      </c>
      <c r="M257" s="14"/>
      <c r="N257" s="15">
        <f t="shared" si="70"/>
        <v>0</v>
      </c>
      <c r="O257" s="13">
        <f>IFERROR(N257/N446, "NA")</f>
        <v>0</v>
      </c>
      <c r="P257" s="14"/>
      <c r="Q257" s="12">
        <v>0.0</v>
      </c>
      <c r="R257" s="13">
        <f>IFERROR(Q257/Q446, "NA")</f>
        <v>0</v>
      </c>
      <c r="S257" s="14"/>
      <c r="T257" s="12">
        <v>0.0</v>
      </c>
      <c r="U257" s="13">
        <f>IFERROR(T257/T446, "NA")</f>
        <v>0</v>
      </c>
      <c r="V257" s="14"/>
      <c r="W257" s="15">
        <f t="shared" si="71"/>
        <v>0</v>
      </c>
      <c r="X257" s="13">
        <f>IFERROR(W257/W446, "NA")</f>
        <v>0</v>
      </c>
      <c r="Y257" s="14"/>
      <c r="Z257" s="12">
        <v>0.0</v>
      </c>
      <c r="AA257" s="13">
        <f>IFERROR(Z257/Z446, "NA")</f>
        <v>0</v>
      </c>
      <c r="AB257" s="14"/>
      <c r="AC257" s="15">
        <f t="shared" si="72"/>
        <v>0</v>
      </c>
      <c r="AD257" s="13">
        <f>IFERROR(AC257/AC446, "NA")</f>
        <v>0</v>
      </c>
    </row>
    <row r="258" ht="16.5" customHeight="1">
      <c r="A258" s="11" t="s">
        <v>238</v>
      </c>
      <c r="B258" s="12">
        <v>1169.1</v>
      </c>
      <c r="C258" s="13">
        <f>IFERROR(B258/B446, "NA")</f>
        <v>0.01181329955</v>
      </c>
      <c r="D258" s="14"/>
      <c r="E258" s="12">
        <v>0.0</v>
      </c>
      <c r="F258" s="13">
        <f>IFERROR(E258/E446, "NA")</f>
        <v>0</v>
      </c>
      <c r="G258" s="14"/>
      <c r="H258" s="15">
        <f t="shared" si="69"/>
        <v>-1169.1</v>
      </c>
      <c r="I258" s="13">
        <f>IFERROR(H258/H446, "NA")</f>
        <v>0.5580855817</v>
      </c>
      <c r="J258" s="14"/>
      <c r="K258" s="12">
        <v>0.0</v>
      </c>
      <c r="L258" s="13">
        <f>IFERROR(K258/K446, "NA")</f>
        <v>0</v>
      </c>
      <c r="M258" s="14"/>
      <c r="N258" s="15">
        <f t="shared" si="70"/>
        <v>-1169.1</v>
      </c>
      <c r="O258" s="13">
        <f>IFERROR(N258/N446, "NA")</f>
        <v>-0.1827249794</v>
      </c>
      <c r="P258" s="14"/>
      <c r="Q258" s="12">
        <v>5636.63</v>
      </c>
      <c r="R258" s="13">
        <f>IFERROR(Q258/Q446, "NA")</f>
        <v>0.006401654613</v>
      </c>
      <c r="S258" s="14"/>
      <c r="T258" s="12">
        <v>0.0</v>
      </c>
      <c r="U258" s="13">
        <f>IFERROR(T258/T446, "NA")</f>
        <v>0</v>
      </c>
      <c r="V258" s="14"/>
      <c r="W258" s="15">
        <f t="shared" si="71"/>
        <v>-5636.63</v>
      </c>
      <c r="X258" s="13">
        <f>IFERROR(W258/W446, "NA")</f>
        <v>0.0642261849</v>
      </c>
      <c r="Y258" s="14"/>
      <c r="Z258" s="12">
        <v>556.79</v>
      </c>
      <c r="AA258" s="13">
        <f>IFERROR(Z258/Z446, "NA")</f>
        <v>0.0006199102746</v>
      </c>
      <c r="AB258" s="14"/>
      <c r="AC258" s="15">
        <f t="shared" si="72"/>
        <v>-5079.84</v>
      </c>
      <c r="AD258" s="13">
        <f>IFERROR(AC258/AC446, "NA")</f>
        <v>0.2872795074</v>
      </c>
    </row>
    <row r="259" ht="16.5" hidden="1" customHeight="1">
      <c r="A259" s="11" t="s">
        <v>239</v>
      </c>
      <c r="B259" s="12">
        <v>0.0</v>
      </c>
      <c r="C259" s="13">
        <f>IFERROR(B259/B446, "NA")</f>
        <v>0</v>
      </c>
      <c r="D259" s="14"/>
      <c r="E259" s="12">
        <v>0.0</v>
      </c>
      <c r="F259" s="13">
        <f>IFERROR(E259/E446, "NA")</f>
        <v>0</v>
      </c>
      <c r="G259" s="14"/>
      <c r="H259" s="15">
        <f t="shared" si="69"/>
        <v>0</v>
      </c>
      <c r="I259" s="13">
        <f>IFERROR(H259/H446, "NA")</f>
        <v>0</v>
      </c>
      <c r="J259" s="14"/>
      <c r="K259" s="12">
        <v>0.0</v>
      </c>
      <c r="L259" s="13">
        <f>IFERROR(K259/K446, "NA")</f>
        <v>0</v>
      </c>
      <c r="M259" s="14"/>
      <c r="N259" s="15">
        <f t="shared" si="70"/>
        <v>0</v>
      </c>
      <c r="O259" s="13">
        <f>IFERROR(N259/N446, "NA")</f>
        <v>0</v>
      </c>
      <c r="P259" s="14"/>
      <c r="Q259" s="12">
        <v>0.0</v>
      </c>
      <c r="R259" s="13">
        <f>IFERROR(Q259/Q446, "NA")</f>
        <v>0</v>
      </c>
      <c r="S259" s="14"/>
      <c r="T259" s="12">
        <v>0.0</v>
      </c>
      <c r="U259" s="13">
        <f>IFERROR(T259/T446, "NA")</f>
        <v>0</v>
      </c>
      <c r="V259" s="14"/>
      <c r="W259" s="15">
        <f t="shared" si="71"/>
        <v>0</v>
      </c>
      <c r="X259" s="13">
        <f>IFERROR(W259/W446, "NA")</f>
        <v>0</v>
      </c>
      <c r="Y259" s="14"/>
      <c r="Z259" s="12">
        <v>0.0</v>
      </c>
      <c r="AA259" s="13">
        <f>IFERROR(Z259/Z446, "NA")</f>
        <v>0</v>
      </c>
      <c r="AB259" s="14"/>
      <c r="AC259" s="15">
        <f t="shared" si="72"/>
        <v>0</v>
      </c>
      <c r="AD259" s="13">
        <f>IFERROR(AC259/AC446, "NA")</f>
        <v>0</v>
      </c>
    </row>
    <row r="260" ht="16.5" hidden="1" customHeight="1">
      <c r="A260" s="11" t="s">
        <v>240</v>
      </c>
      <c r="B260" s="12">
        <v>0.0</v>
      </c>
      <c r="C260" s="13">
        <f>IFERROR(B260/B446, "NA")</f>
        <v>0</v>
      </c>
      <c r="D260" s="14"/>
      <c r="E260" s="12">
        <v>0.0</v>
      </c>
      <c r="F260" s="13">
        <f>IFERROR(E260/E446, "NA")</f>
        <v>0</v>
      </c>
      <c r="G260" s="14"/>
      <c r="H260" s="15">
        <f t="shared" si="69"/>
        <v>0</v>
      </c>
      <c r="I260" s="13">
        <f>IFERROR(H260/H446, "NA")</f>
        <v>0</v>
      </c>
      <c r="J260" s="14"/>
      <c r="K260" s="12">
        <v>0.0</v>
      </c>
      <c r="L260" s="13">
        <f>IFERROR(K260/K446, "NA")</f>
        <v>0</v>
      </c>
      <c r="M260" s="14"/>
      <c r="N260" s="15">
        <f t="shared" si="70"/>
        <v>0</v>
      </c>
      <c r="O260" s="13">
        <f>IFERROR(N260/N446, "NA")</f>
        <v>0</v>
      </c>
      <c r="P260" s="14"/>
      <c r="Q260" s="12">
        <v>0.0</v>
      </c>
      <c r="R260" s="13">
        <f>IFERROR(Q260/Q446, "NA")</f>
        <v>0</v>
      </c>
      <c r="S260" s="14"/>
      <c r="T260" s="12">
        <v>0.0</v>
      </c>
      <c r="U260" s="13">
        <f>IFERROR(T260/T446, "NA")</f>
        <v>0</v>
      </c>
      <c r="V260" s="14"/>
      <c r="W260" s="15">
        <f t="shared" si="71"/>
        <v>0</v>
      </c>
      <c r="X260" s="13">
        <f>IFERROR(W260/W446, "NA")</f>
        <v>0</v>
      </c>
      <c r="Y260" s="14"/>
      <c r="Z260" s="12">
        <v>0.0</v>
      </c>
      <c r="AA260" s="13">
        <f>IFERROR(Z260/Z446, "NA")</f>
        <v>0</v>
      </c>
      <c r="AB260" s="14"/>
      <c r="AC260" s="15">
        <f t="shared" si="72"/>
        <v>0</v>
      </c>
      <c r="AD260" s="13">
        <f>IFERROR(AC260/AC446, "NA")</f>
        <v>0</v>
      </c>
    </row>
    <row r="261" ht="16.5" hidden="1" customHeight="1">
      <c r="A261" s="11" t="s">
        <v>241</v>
      </c>
      <c r="B261" s="12">
        <v>0.0</v>
      </c>
      <c r="C261" s="13">
        <f>IFERROR(B261/B446, "NA")</f>
        <v>0</v>
      </c>
      <c r="D261" s="14"/>
      <c r="E261" s="12">
        <v>0.0</v>
      </c>
      <c r="F261" s="13">
        <f>IFERROR(E261/E446, "NA")</f>
        <v>0</v>
      </c>
      <c r="G261" s="14"/>
      <c r="H261" s="15">
        <f t="shared" si="69"/>
        <v>0</v>
      </c>
      <c r="I261" s="13">
        <f>IFERROR(H261/H446, "NA")</f>
        <v>0</v>
      </c>
      <c r="J261" s="14"/>
      <c r="K261" s="12">
        <v>0.0</v>
      </c>
      <c r="L261" s="13">
        <f>IFERROR(K261/K446, "NA")</f>
        <v>0</v>
      </c>
      <c r="M261" s="14"/>
      <c r="N261" s="15">
        <f t="shared" si="70"/>
        <v>0</v>
      </c>
      <c r="O261" s="13">
        <f>IFERROR(N261/N446, "NA")</f>
        <v>0</v>
      </c>
      <c r="P261" s="14"/>
      <c r="Q261" s="12">
        <v>0.0</v>
      </c>
      <c r="R261" s="13">
        <f>IFERROR(Q261/Q446, "NA")</f>
        <v>0</v>
      </c>
      <c r="S261" s="14"/>
      <c r="T261" s="12">
        <v>0.0</v>
      </c>
      <c r="U261" s="13">
        <f>IFERROR(T261/T446, "NA")</f>
        <v>0</v>
      </c>
      <c r="V261" s="14"/>
      <c r="W261" s="15">
        <f t="shared" si="71"/>
        <v>0</v>
      </c>
      <c r="X261" s="13">
        <f>IFERROR(W261/W446, "NA")</f>
        <v>0</v>
      </c>
      <c r="Y261" s="14"/>
      <c r="Z261" s="12">
        <v>0.0</v>
      </c>
      <c r="AA261" s="13">
        <f>IFERROR(Z261/Z446, "NA")</f>
        <v>0</v>
      </c>
      <c r="AB261" s="14"/>
      <c r="AC261" s="15">
        <f t="shared" si="72"/>
        <v>0</v>
      </c>
      <c r="AD261" s="13">
        <f>IFERROR(AC261/AC446, "NA")</f>
        <v>0</v>
      </c>
    </row>
    <row r="262" ht="16.5" hidden="1" customHeight="1">
      <c r="A262" s="11" t="s">
        <v>242</v>
      </c>
      <c r="B262" s="12">
        <v>0.0</v>
      </c>
      <c r="C262" s="13">
        <f>IFERROR(B262/B446, "NA")</f>
        <v>0</v>
      </c>
      <c r="D262" s="14"/>
      <c r="E262" s="12">
        <v>0.0</v>
      </c>
      <c r="F262" s="13">
        <f>IFERROR(E262/E446, "NA")</f>
        <v>0</v>
      </c>
      <c r="G262" s="14"/>
      <c r="H262" s="15">
        <f t="shared" si="69"/>
        <v>0</v>
      </c>
      <c r="I262" s="13">
        <f>IFERROR(H262/H446, "NA")</f>
        <v>0</v>
      </c>
      <c r="J262" s="14"/>
      <c r="K262" s="12">
        <v>0.0</v>
      </c>
      <c r="L262" s="13">
        <f>IFERROR(K262/K446, "NA")</f>
        <v>0</v>
      </c>
      <c r="M262" s="14"/>
      <c r="N262" s="15">
        <f t="shared" si="70"/>
        <v>0</v>
      </c>
      <c r="O262" s="13">
        <f>IFERROR(N262/N446, "NA")</f>
        <v>0</v>
      </c>
      <c r="P262" s="14"/>
      <c r="Q262" s="12">
        <v>0.0</v>
      </c>
      <c r="R262" s="13">
        <f>IFERROR(Q262/Q446, "NA")</f>
        <v>0</v>
      </c>
      <c r="S262" s="14"/>
      <c r="T262" s="12">
        <v>0.0</v>
      </c>
      <c r="U262" s="13">
        <f>IFERROR(T262/T446, "NA")</f>
        <v>0</v>
      </c>
      <c r="V262" s="14"/>
      <c r="W262" s="15">
        <f t="shared" si="71"/>
        <v>0</v>
      </c>
      <c r="X262" s="13">
        <f>IFERROR(W262/W446, "NA")</f>
        <v>0</v>
      </c>
      <c r="Y262" s="14"/>
      <c r="Z262" s="12">
        <v>0.0</v>
      </c>
      <c r="AA262" s="13">
        <f>IFERROR(Z262/Z446, "NA")</f>
        <v>0</v>
      </c>
      <c r="AB262" s="14"/>
      <c r="AC262" s="15">
        <f t="shared" si="72"/>
        <v>0</v>
      </c>
      <c r="AD262" s="13">
        <f>IFERROR(AC262/AC446, "NA")</f>
        <v>0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7752.74</v>
      </c>
      <c r="C263" s="18">
        <f>IFERROR(B263/B446, "NA")</f>
        <v>0.0783384141</v>
      </c>
      <c r="D263" s="8"/>
      <c r="E263" s="17">
        <f>IFERROR(E240+E241+E242+E243+E244+E245+E246+E247+E248+E249+E250+E251+E252+E253+E254+E255+E256+E257+E258+E259+E260+E261+E262, "NA")</f>
        <v>6164.63</v>
      </c>
      <c r="F263" s="18">
        <f>IFERROR(E263/E446, "NA")</f>
        <v>0.0609999627</v>
      </c>
      <c r="G263" s="8"/>
      <c r="H263" s="17">
        <f t="shared" si="69"/>
        <v>-1588.11</v>
      </c>
      <c r="I263" s="18">
        <f>IFERROR(H263/H446, "NA")</f>
        <v>0.758105631</v>
      </c>
      <c r="J263" s="8"/>
      <c r="K263" s="17">
        <f>IFERROR(K240+K241+K242+K243+K244+K245+K246+K247+K248+K249+K250+K251+K252+K253+K254+K255+K256+K257+K258+K259+K260+K261+K262, "NA")</f>
        <v>5381.03</v>
      </c>
      <c r="L263" s="18">
        <f>IFERROR(K263/K446, "NA")</f>
        <v>0.05813144894</v>
      </c>
      <c r="M263" s="8"/>
      <c r="N263" s="17">
        <f t="shared" si="70"/>
        <v>-2371.71</v>
      </c>
      <c r="O263" s="18">
        <f>IFERROR(N263/N446, "NA")</f>
        <v>-0.3706874185</v>
      </c>
      <c r="P263" s="8"/>
      <c r="Q263" s="17">
        <f>IFERROR(Q240+Q241+Q242+Q243+Q244+Q245+Q246+Q247+Q248+Q249+Q250+Q251+Q252+Q253+Q254+Q255+Q256+Q257+Q258+Q259+Q260+Q261+Q262, "NA")</f>
        <v>67849.73</v>
      </c>
      <c r="R263" s="18">
        <f>IFERROR(Q263/Q446, "NA")</f>
        <v>0.07705855042</v>
      </c>
      <c r="S263" s="8"/>
      <c r="T263" s="17">
        <f>IFERROR(T240+T241+T242+T243+T244+T245+T246+T247+T248+T249+T250+T251+T252+T253+T254+T255+T256+T257+T258+T259+T260+T261+T262, "NA")</f>
        <v>59063.74</v>
      </c>
      <c r="U263" s="18">
        <f>IFERROR(T263/T446, "NA")</f>
        <v>0.06100000333</v>
      </c>
      <c r="V263" s="8"/>
      <c r="W263" s="17">
        <f t="shared" si="71"/>
        <v>-8785.99</v>
      </c>
      <c r="X263" s="18">
        <f>IFERROR(W263/W446, "NA")</f>
        <v>0.1001113464</v>
      </c>
      <c r="Y263" s="8"/>
      <c r="Z263" s="17">
        <f>IFERROR(Z240+Z241+Z242+Z243+Z244+Z245+Z246+Z247+Z248+Z249+Z250+Z251+Z252+Z253+Z254+Z255+Z256+Z257+Z258+Z259+Z260+Z261+Z262, "NA")</f>
        <v>54738.2</v>
      </c>
      <c r="AA263" s="18">
        <f>IFERROR(Z263/Z446, "NA")</f>
        <v>0.06094357405</v>
      </c>
      <c r="AB263" s="8"/>
      <c r="AC263" s="17">
        <f t="shared" si="72"/>
        <v>-13111.53</v>
      </c>
      <c r="AD263" s="18">
        <f>IFERROR(AC263/AC446, "NA")</f>
        <v>0.7414945904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7752.74</v>
      </c>
      <c r="C264" s="18">
        <f>IFERROR(B264/B446, "NA")</f>
        <v>0.0783384141</v>
      </c>
      <c r="D264" s="8"/>
      <c r="E264" s="17">
        <f>IFERROR(E238+E240+E241+E242+E243+E244+E245+E246+E247+E248+E249+E250+E251+E252+E253+E254+E255+E256+E257+E258+E259+E260+E261+E262, "NA")</f>
        <v>6164.63</v>
      </c>
      <c r="F264" s="18">
        <f>IFERROR(E264/E446, "NA")</f>
        <v>0.0609999627</v>
      </c>
      <c r="G264" s="8"/>
      <c r="H264" s="17">
        <f t="shared" si="69"/>
        <v>-1588.11</v>
      </c>
      <c r="I264" s="18">
        <f>IFERROR(H264/H446, "NA")</f>
        <v>0.758105631</v>
      </c>
      <c r="J264" s="8"/>
      <c r="K264" s="17">
        <f>IFERROR(K238+K240+K241+K242+K243+K244+K245+K246+K247+K248+K249+K250+K251+K252+K253+K254+K255+K256+K257+K258+K259+K260+K261+K262, "NA")</f>
        <v>5381.03</v>
      </c>
      <c r="L264" s="18">
        <f>IFERROR(K264/K446, "NA")</f>
        <v>0.05813144894</v>
      </c>
      <c r="M264" s="8"/>
      <c r="N264" s="17">
        <f t="shared" si="70"/>
        <v>-2371.71</v>
      </c>
      <c r="O264" s="18">
        <f>IFERROR(N264/N446, "NA")</f>
        <v>-0.3706874185</v>
      </c>
      <c r="P264" s="8"/>
      <c r="Q264" s="17">
        <f>IFERROR(Q238+Q240+Q241+Q242+Q243+Q244+Q245+Q246+Q247+Q248+Q249+Q250+Q251+Q252+Q253+Q254+Q255+Q256+Q257+Q258+Q259+Q260+Q261+Q262, "NA")</f>
        <v>67849.73</v>
      </c>
      <c r="R264" s="18">
        <f>IFERROR(Q264/Q446, "NA")</f>
        <v>0.07705855042</v>
      </c>
      <c r="S264" s="8"/>
      <c r="T264" s="17">
        <f>IFERROR(T238+T240+T241+T242+T243+T244+T245+T246+T247+T248+T249+T250+T251+T252+T253+T254+T255+T256+T257+T258+T259+T260+T261+T262, "NA")</f>
        <v>59063.74</v>
      </c>
      <c r="U264" s="18">
        <f>IFERROR(T264/T446, "NA")</f>
        <v>0.06100000333</v>
      </c>
      <c r="V264" s="8"/>
      <c r="W264" s="17">
        <f t="shared" si="71"/>
        <v>-8785.99</v>
      </c>
      <c r="X264" s="18">
        <f>IFERROR(W264/W446, "NA")</f>
        <v>0.1001113464</v>
      </c>
      <c r="Y264" s="8"/>
      <c r="Z264" s="17">
        <f>IFERROR(Z238+Z240+Z241+Z242+Z243+Z244+Z245+Z246+Z247+Z248+Z249+Z250+Z251+Z252+Z253+Z254+Z255+Z256+Z257+Z258+Z259+Z260+Z261+Z262, "NA")</f>
        <v>54738.2</v>
      </c>
      <c r="AA264" s="18">
        <f>IFERROR(Z264/Z446, "NA")</f>
        <v>0.06094357405</v>
      </c>
      <c r="AB264" s="8"/>
      <c r="AC264" s="17">
        <f t="shared" si="72"/>
        <v>-13111.53</v>
      </c>
      <c r="AD264" s="18">
        <f>IFERROR(AC264/AC446, "NA")</f>
        <v>0.7414945904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r="A266" s="11" t="s">
        <v>245</v>
      </c>
      <c r="B266" s="12">
        <v>2466.33</v>
      </c>
      <c r="C266" s="13">
        <f>IFERROR(B266/B446, "NA")</f>
        <v>0.02492130277</v>
      </c>
      <c r="D266" s="14"/>
      <c r="E266" s="12">
        <v>2728.61</v>
      </c>
      <c r="F266" s="13">
        <f>IFERROR(E266/E446, "NA")</f>
        <v>0.02700001593</v>
      </c>
      <c r="G266" s="14"/>
      <c r="H266" s="15">
        <f t="shared" ref="H266:H268" si="73">IFERROR(-(B266-E266), "NA")</f>
        <v>262.28</v>
      </c>
      <c r="I266" s="13">
        <f>IFERROR(H266/H446, "NA")</f>
        <v>-0.1252028795</v>
      </c>
      <c r="J266" s="14"/>
      <c r="K266" s="12">
        <v>2721.86</v>
      </c>
      <c r="L266" s="13">
        <f>IFERROR(K266/K446, "NA")</f>
        <v>0.02940434556</v>
      </c>
      <c r="M266" s="14"/>
      <c r="N266" s="15">
        <f t="shared" ref="N266:N268" si="74">IFERROR(-(B266-K266), "NA")</f>
        <v>255.53</v>
      </c>
      <c r="O266" s="13">
        <f>IFERROR(N266/N446, "NA")</f>
        <v>0.03993816953</v>
      </c>
      <c r="P266" s="14"/>
      <c r="Q266" s="12">
        <v>23158.73</v>
      </c>
      <c r="R266" s="13">
        <f>IFERROR(Q266/Q446, "NA")</f>
        <v>0.0263019199</v>
      </c>
      <c r="S266" s="14"/>
      <c r="T266" s="12">
        <v>26142.97</v>
      </c>
      <c r="U266" s="13">
        <f>IFERROR(T266/T446, "NA")</f>
        <v>0.02700000469</v>
      </c>
      <c r="V266" s="14"/>
      <c r="W266" s="15">
        <f t="shared" ref="W266:W268" si="75">IFERROR(-(Q266-T266), "NA")</f>
        <v>2984.24</v>
      </c>
      <c r="X266" s="13">
        <f>IFERROR(W266/W446, "NA")</f>
        <v>-0.03400371322</v>
      </c>
      <c r="Y266" s="14"/>
      <c r="Z266" s="12">
        <v>24142.32</v>
      </c>
      <c r="AA266" s="13">
        <f>IFERROR(Z266/Z446, "NA")</f>
        <v>0.02687920441</v>
      </c>
      <c r="AB266" s="14"/>
      <c r="AC266" s="15">
        <f t="shared" ref="AC266:AC268" si="76">IFERROR(-(Q266-Z266), "NA")</f>
        <v>983.59</v>
      </c>
      <c r="AD266" s="13">
        <f>IFERROR(AC266/AC446, "NA")</f>
        <v>-0.05562483282</v>
      </c>
    </row>
    <row r="267" ht="16.5" customHeight="1">
      <c r="A267" s="11" t="s">
        <v>246</v>
      </c>
      <c r="B267" s="12">
        <v>0.0</v>
      </c>
      <c r="C267" s="13">
        <f>IFERROR(B267/B446, "NA")</f>
        <v>0</v>
      </c>
      <c r="D267" s="14"/>
      <c r="E267" s="12">
        <v>0.0</v>
      </c>
      <c r="F267" s="13">
        <f>IFERROR(E267/E446, "NA")</f>
        <v>0</v>
      </c>
      <c r="G267" s="14"/>
      <c r="H267" s="15">
        <f t="shared" si="73"/>
        <v>0</v>
      </c>
      <c r="I267" s="13">
        <f>IFERROR(H267/H446, "NA")</f>
        <v>0</v>
      </c>
      <c r="J267" s="14"/>
      <c r="K267" s="12">
        <v>0.0</v>
      </c>
      <c r="L267" s="13">
        <f>IFERROR(K267/K446, "NA")</f>
        <v>0</v>
      </c>
      <c r="M267" s="14"/>
      <c r="N267" s="15">
        <f t="shared" si="74"/>
        <v>0</v>
      </c>
      <c r="O267" s="13">
        <f>IFERROR(N267/N446, "NA")</f>
        <v>0</v>
      </c>
      <c r="P267" s="14"/>
      <c r="Q267" s="12">
        <v>0.0</v>
      </c>
      <c r="R267" s="13">
        <f>IFERROR(Q267/Q446, "NA")</f>
        <v>0</v>
      </c>
      <c r="S267" s="14"/>
      <c r="T267" s="12">
        <v>0.0</v>
      </c>
      <c r="U267" s="13">
        <f>IFERROR(T267/T446, "NA")</f>
        <v>0</v>
      </c>
      <c r="V267" s="14"/>
      <c r="W267" s="15">
        <f t="shared" si="75"/>
        <v>0</v>
      </c>
      <c r="X267" s="13">
        <f>IFERROR(W267/W446, "NA")</f>
        <v>0</v>
      </c>
      <c r="Y267" s="14"/>
      <c r="Z267" s="12">
        <v>74.1</v>
      </c>
      <c r="AA267" s="13">
        <f>IFERROR(Z267/Z446, "NA")</f>
        <v>0.00008250031672</v>
      </c>
      <c r="AB267" s="14"/>
      <c r="AC267" s="15">
        <f t="shared" si="76"/>
        <v>74.1</v>
      </c>
      <c r="AD267" s="13">
        <f>IFERROR(AC267/AC446, "NA")</f>
        <v>-0.004190567321</v>
      </c>
    </row>
    <row r="268" ht="16.5" customHeight="1">
      <c r="A268" s="16" t="s">
        <v>247</v>
      </c>
      <c r="B268" s="17">
        <f>IFERROR(B266+B267, "NA")</f>
        <v>2466.33</v>
      </c>
      <c r="C268" s="18">
        <f>IFERROR(B268/B446, "NA")</f>
        <v>0.02492130277</v>
      </c>
      <c r="D268" s="8"/>
      <c r="E268" s="17">
        <f>IFERROR(E266+E267, "NA")</f>
        <v>2728.61</v>
      </c>
      <c r="F268" s="18">
        <f>IFERROR(E268/E446, "NA")</f>
        <v>0.02700001593</v>
      </c>
      <c r="G268" s="8"/>
      <c r="H268" s="17">
        <f t="shared" si="73"/>
        <v>262.28</v>
      </c>
      <c r="I268" s="18">
        <f>IFERROR(H268/H446, "NA")</f>
        <v>-0.1252028795</v>
      </c>
      <c r="J268" s="8"/>
      <c r="K268" s="17">
        <f>IFERROR(K266+K267, "NA")</f>
        <v>2721.86</v>
      </c>
      <c r="L268" s="18">
        <f>IFERROR(K268/K446, "NA")</f>
        <v>0.02940434556</v>
      </c>
      <c r="M268" s="8"/>
      <c r="N268" s="17">
        <f t="shared" si="74"/>
        <v>255.53</v>
      </c>
      <c r="O268" s="18">
        <f>IFERROR(N268/N446, "NA")</f>
        <v>0.03993816953</v>
      </c>
      <c r="P268" s="8"/>
      <c r="Q268" s="17">
        <f>IFERROR(Q266+Q267, "NA")</f>
        <v>23158.73</v>
      </c>
      <c r="R268" s="18">
        <f>IFERROR(Q268/Q446, "NA")</f>
        <v>0.0263019199</v>
      </c>
      <c r="S268" s="8"/>
      <c r="T268" s="17">
        <f>IFERROR(T266+T267, "NA")</f>
        <v>26142.97</v>
      </c>
      <c r="U268" s="18">
        <f>IFERROR(T268/T446, "NA")</f>
        <v>0.02700000469</v>
      </c>
      <c r="V268" s="8"/>
      <c r="W268" s="17">
        <f t="shared" si="75"/>
        <v>2984.24</v>
      </c>
      <c r="X268" s="18">
        <f>IFERROR(W268/W446, "NA")</f>
        <v>-0.03400371322</v>
      </c>
      <c r="Y268" s="8"/>
      <c r="Z268" s="17">
        <f>IFERROR(Z266+Z267, "NA")</f>
        <v>24216.42</v>
      </c>
      <c r="AA268" s="18">
        <f>IFERROR(Z268/Z446, "NA")</f>
        <v>0.02696170472</v>
      </c>
      <c r="AB268" s="8"/>
      <c r="AC268" s="17">
        <f t="shared" si="76"/>
        <v>1057.69</v>
      </c>
      <c r="AD268" s="18">
        <f>IFERROR(AC268/AC446, "NA")</f>
        <v>-0.05981540014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t="16.5" hidden="1" customHeight="1">
      <c r="A270" s="11" t="s">
        <v>248</v>
      </c>
      <c r="B270" s="12">
        <v>0.0</v>
      </c>
      <c r="C270" s="13">
        <f>IFERROR(B270/B446, "NA")</f>
        <v>0</v>
      </c>
      <c r="D270" s="14"/>
      <c r="E270" s="12">
        <v>0.0</v>
      </c>
      <c r="F270" s="13">
        <f>IFERROR(E270/E446, "NA")</f>
        <v>0</v>
      </c>
      <c r="G270" s="14"/>
      <c r="H270" s="15">
        <f t="shared" ref="H270:H274" si="77">IFERROR(-(B270-E270), "NA")</f>
        <v>0</v>
      </c>
      <c r="I270" s="13">
        <f>IFERROR(H270/H446, "NA")</f>
        <v>0</v>
      </c>
      <c r="J270" s="14"/>
      <c r="K270" s="12">
        <v>0.0</v>
      </c>
      <c r="L270" s="13">
        <f>IFERROR(K270/K446, "NA")</f>
        <v>0</v>
      </c>
      <c r="M270" s="14"/>
      <c r="N270" s="15">
        <f t="shared" ref="N270:N274" si="78">IFERROR(-(B270-K270), "NA")</f>
        <v>0</v>
      </c>
      <c r="O270" s="13">
        <f>IFERROR(N270/N446, "NA")</f>
        <v>0</v>
      </c>
      <c r="P270" s="14"/>
      <c r="Q270" s="12">
        <v>0.0</v>
      </c>
      <c r="R270" s="13">
        <f>IFERROR(Q270/Q446, "NA")</f>
        <v>0</v>
      </c>
      <c r="S270" s="14"/>
      <c r="T270" s="12">
        <v>0.0</v>
      </c>
      <c r="U270" s="13">
        <f>IFERROR(T270/T446, "NA")</f>
        <v>0</v>
      </c>
      <c r="V270" s="14"/>
      <c r="W270" s="15">
        <f t="shared" ref="W270:W274" si="79">IFERROR(-(Q270-T270), "NA")</f>
        <v>0</v>
      </c>
      <c r="X270" s="13">
        <f>IFERROR(W270/W446, "NA")</f>
        <v>0</v>
      </c>
      <c r="Y270" s="14"/>
      <c r="Z270" s="12">
        <v>0.0</v>
      </c>
      <c r="AA270" s="13">
        <f>IFERROR(Z270/Z446, "NA")</f>
        <v>0</v>
      </c>
      <c r="AB270" s="14"/>
      <c r="AC270" s="15">
        <f t="shared" ref="AC270:AC274" si="80">IFERROR(-(Q270-Z270), "NA")</f>
        <v>0</v>
      </c>
      <c r="AD270" s="13">
        <f>IFERROR(AC270/AC446, "NA")</f>
        <v>0</v>
      </c>
    </row>
    <row r="271" ht="16.5" customHeight="1">
      <c r="A271" s="11" t="s">
        <v>249</v>
      </c>
      <c r="B271" s="12">
        <v>84.9</v>
      </c>
      <c r="C271" s="13">
        <f>IFERROR(B271/B446, "NA")</f>
        <v>0.0008578813887</v>
      </c>
      <c r="D271" s="14"/>
      <c r="E271" s="12">
        <v>111.38</v>
      </c>
      <c r="F271" s="13">
        <f>IFERROR(E271/E446, "NA")</f>
        <v>0.001102122243</v>
      </c>
      <c r="G271" s="14"/>
      <c r="H271" s="15">
        <f t="shared" si="77"/>
        <v>26.48</v>
      </c>
      <c r="I271" s="13">
        <f>IFERROR(H271/H446, "NA")</f>
        <v>-0.01264058353</v>
      </c>
      <c r="J271" s="14"/>
      <c r="K271" s="12">
        <v>89.79</v>
      </c>
      <c r="L271" s="13">
        <f>IFERROR(K271/K446, "NA")</f>
        <v>0.0009700044044</v>
      </c>
      <c r="M271" s="14"/>
      <c r="N271" s="15">
        <f t="shared" si="78"/>
        <v>4.89</v>
      </c>
      <c r="O271" s="13">
        <f>IFERROR(N271/N446, "NA")</f>
        <v>0.0007642846202</v>
      </c>
      <c r="P271" s="14"/>
      <c r="Q271" s="12">
        <v>538.2</v>
      </c>
      <c r="R271" s="13">
        <f>IFERROR(Q271/Q446, "NA")</f>
        <v>0.0006112465272</v>
      </c>
      <c r="S271" s="14"/>
      <c r="T271" s="12">
        <v>891.04</v>
      </c>
      <c r="U271" s="13">
        <f>IFERROR(T271/T446, "NA")</f>
        <v>0.0009202506134</v>
      </c>
      <c r="V271" s="14"/>
      <c r="W271" s="15">
        <f t="shared" si="79"/>
        <v>352.84</v>
      </c>
      <c r="X271" s="13">
        <f>IFERROR(W271/W446, "NA")</f>
        <v>-0.004020410614</v>
      </c>
      <c r="Y271" s="14"/>
      <c r="Z271" s="12">
        <v>977.13</v>
      </c>
      <c r="AA271" s="13">
        <f>IFERROR(Z271/Z446, "NA")</f>
        <v>0.00108790195</v>
      </c>
      <c r="AB271" s="14"/>
      <c r="AC271" s="15">
        <f t="shared" si="80"/>
        <v>438.93</v>
      </c>
      <c r="AD271" s="13">
        <f>IFERROR(AC271/AC446, "NA")</f>
        <v>-0.02482274918</v>
      </c>
    </row>
    <row r="272" ht="16.5" customHeight="1">
      <c r="A272" s="11" t="s">
        <v>250</v>
      </c>
      <c r="B272" s="12">
        <v>487.12</v>
      </c>
      <c r="C272" s="13">
        <f>IFERROR(B272/B446, "NA")</f>
        <v>0.004922157621</v>
      </c>
      <c r="D272" s="14"/>
      <c r="E272" s="12">
        <v>1183.75</v>
      </c>
      <c r="F272" s="13">
        <f>IFERROR(E272/E446, "NA")</f>
        <v>0.01171338845</v>
      </c>
      <c r="G272" s="14"/>
      <c r="H272" s="15">
        <f t="shared" si="77"/>
        <v>696.63</v>
      </c>
      <c r="I272" s="13">
        <f>IFERROR(H272/H446, "NA")</f>
        <v>-0.3325456837</v>
      </c>
      <c r="J272" s="14"/>
      <c r="K272" s="12">
        <v>1183.75</v>
      </c>
      <c r="L272" s="13">
        <f>IFERROR(K272/K446, "NA")</f>
        <v>0.01278809125</v>
      </c>
      <c r="M272" s="14"/>
      <c r="N272" s="15">
        <f t="shared" si="78"/>
        <v>696.63</v>
      </c>
      <c r="O272" s="13">
        <f>IFERROR(N272/N446, "NA")</f>
        <v>0.1088800808</v>
      </c>
      <c r="P272" s="14"/>
      <c r="Q272" s="12">
        <v>6700.03</v>
      </c>
      <c r="R272" s="13">
        <f>IFERROR(Q272/Q446, "NA")</f>
        <v>0.007609383259</v>
      </c>
      <c r="S272" s="14"/>
      <c r="T272" s="12">
        <v>9470.0</v>
      </c>
      <c r="U272" s="13">
        <f>IFERROR(T272/T446, "NA")</f>
        <v>0.00978045128</v>
      </c>
      <c r="V272" s="14"/>
      <c r="W272" s="15">
        <f t="shared" si="79"/>
        <v>2769.97</v>
      </c>
      <c r="X272" s="13">
        <f>IFERROR(W272/W446, "NA")</f>
        <v>-0.03156222874</v>
      </c>
      <c r="Y272" s="14"/>
      <c r="Z272" s="12">
        <v>8658.78</v>
      </c>
      <c r="AA272" s="13">
        <f>IFERROR(Z272/Z446, "NA")</f>
        <v>0.009640379115</v>
      </c>
      <c r="AB272" s="14"/>
      <c r="AC272" s="15">
        <f t="shared" si="80"/>
        <v>1958.75</v>
      </c>
      <c r="AD272" s="13">
        <f>IFERROR(AC272/AC446, "NA")</f>
        <v>-0.110772925</v>
      </c>
    </row>
    <row r="273" ht="16.5" hidden="1" customHeight="1">
      <c r="A273" s="11" t="s">
        <v>251</v>
      </c>
      <c r="B273" s="12">
        <v>0.0</v>
      </c>
      <c r="C273" s="13">
        <f>IFERROR(B273/B446, "NA")</f>
        <v>0</v>
      </c>
      <c r="D273" s="14"/>
      <c r="E273" s="12">
        <v>0.0</v>
      </c>
      <c r="F273" s="13">
        <f>IFERROR(E273/E446, "NA")</f>
        <v>0</v>
      </c>
      <c r="G273" s="14"/>
      <c r="H273" s="15">
        <f t="shared" si="77"/>
        <v>0</v>
      </c>
      <c r="I273" s="13">
        <f>IFERROR(H273/H446, "NA")</f>
        <v>0</v>
      </c>
      <c r="J273" s="14"/>
      <c r="K273" s="12">
        <v>0.0</v>
      </c>
      <c r="L273" s="13">
        <f>IFERROR(K273/K446, "NA")</f>
        <v>0</v>
      </c>
      <c r="M273" s="14"/>
      <c r="N273" s="15">
        <f t="shared" si="78"/>
        <v>0</v>
      </c>
      <c r="O273" s="13">
        <f>IFERROR(N273/N446, "NA")</f>
        <v>0</v>
      </c>
      <c r="P273" s="14"/>
      <c r="Q273" s="12">
        <v>0.0</v>
      </c>
      <c r="R273" s="13">
        <f>IFERROR(Q273/Q446, "NA")</f>
        <v>0</v>
      </c>
      <c r="S273" s="14"/>
      <c r="T273" s="12">
        <v>0.0</v>
      </c>
      <c r="U273" s="13">
        <f>IFERROR(T273/T446, "NA")</f>
        <v>0</v>
      </c>
      <c r="V273" s="14"/>
      <c r="W273" s="15">
        <f t="shared" si="79"/>
        <v>0</v>
      </c>
      <c r="X273" s="13">
        <f>IFERROR(W273/W446, "NA")</f>
        <v>0</v>
      </c>
      <c r="Y273" s="14"/>
      <c r="Z273" s="12">
        <v>0.0</v>
      </c>
      <c r="AA273" s="13">
        <f>IFERROR(Z273/Z446, "NA")</f>
        <v>0</v>
      </c>
      <c r="AB273" s="14"/>
      <c r="AC273" s="15">
        <f t="shared" si="80"/>
        <v>0</v>
      </c>
      <c r="AD273" s="13">
        <f>IFERROR(AC273/AC446, "NA")</f>
        <v>0</v>
      </c>
    </row>
    <row r="274" ht="16.5" customHeight="1">
      <c r="A274" s="16" t="s">
        <v>252</v>
      </c>
      <c r="B274" s="17">
        <f>IFERROR(B270+B271+B272+B273, "NA")</f>
        <v>572.02</v>
      </c>
      <c r="C274" s="18">
        <f>IFERROR(B274/B446, "NA")</f>
        <v>0.00578003901</v>
      </c>
      <c r="D274" s="8"/>
      <c r="E274" s="17">
        <f>IFERROR(E270+E271+E272+E273, "NA")</f>
        <v>1295.13</v>
      </c>
      <c r="F274" s="18">
        <f>IFERROR(E274/E446, "NA")</f>
        <v>0.01281551069</v>
      </c>
      <c r="G274" s="8"/>
      <c r="H274" s="17">
        <f t="shared" si="77"/>
        <v>723.11</v>
      </c>
      <c r="I274" s="18">
        <f>IFERROR(H274/H446, "NA")</f>
        <v>-0.3451862672</v>
      </c>
      <c r="J274" s="8"/>
      <c r="K274" s="17">
        <f>IFERROR(K270+K271+K272+K273, "NA")</f>
        <v>1273.54</v>
      </c>
      <c r="L274" s="18">
        <f>IFERROR(K274/K446, "NA")</f>
        <v>0.01375809566</v>
      </c>
      <c r="M274" s="8"/>
      <c r="N274" s="17">
        <f t="shared" si="78"/>
        <v>701.52</v>
      </c>
      <c r="O274" s="18">
        <f>IFERROR(N274/N446, "NA")</f>
        <v>0.1096443654</v>
      </c>
      <c r="P274" s="8"/>
      <c r="Q274" s="17">
        <f>IFERROR(Q270+Q271+Q272+Q273, "NA")</f>
        <v>7238.23</v>
      </c>
      <c r="R274" s="18">
        <f>IFERROR(Q274/Q446, "NA")</f>
        <v>0.008220629786</v>
      </c>
      <c r="S274" s="8"/>
      <c r="T274" s="17">
        <f>IFERROR(T270+T271+T272+T273, "NA")</f>
        <v>10361.04</v>
      </c>
      <c r="U274" s="18">
        <f>IFERROR(T274/T446, "NA")</f>
        <v>0.01070070189</v>
      </c>
      <c r="V274" s="8"/>
      <c r="W274" s="17">
        <f t="shared" si="79"/>
        <v>3122.81</v>
      </c>
      <c r="X274" s="18">
        <f>IFERROR(W274/W446, "NA")</f>
        <v>-0.03558263936</v>
      </c>
      <c r="Y274" s="8"/>
      <c r="Z274" s="17">
        <f>IFERROR(Z270+Z271+Z272+Z273, "NA")</f>
        <v>9635.91</v>
      </c>
      <c r="AA274" s="18">
        <f>IFERROR(Z274/Z446, "NA")</f>
        <v>0.01072828107</v>
      </c>
      <c r="AB274" s="8"/>
      <c r="AC274" s="17">
        <f t="shared" si="80"/>
        <v>2397.68</v>
      </c>
      <c r="AD274" s="18">
        <f>IFERROR(AC274/AC446, "NA")</f>
        <v>-0.1355956742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t="16.5" hidden="1" customHeight="1">
      <c r="A276" s="11" t="s">
        <v>253</v>
      </c>
      <c r="B276" s="12">
        <v>0.0</v>
      </c>
      <c r="C276" s="13">
        <f>IFERROR(B276/B446, "NA")</f>
        <v>0</v>
      </c>
      <c r="D276" s="14"/>
      <c r="E276" s="12">
        <v>0.0</v>
      </c>
      <c r="F276" s="13">
        <f>IFERROR(E276/E446, "NA")</f>
        <v>0</v>
      </c>
      <c r="G276" s="14"/>
      <c r="H276" s="15">
        <f t="shared" ref="H276:H285" si="81">IFERROR(-(B276-E276), "NA")</f>
        <v>0</v>
      </c>
      <c r="I276" s="13">
        <f>IFERROR(H276/H446, "NA")</f>
        <v>0</v>
      </c>
      <c r="J276" s="14"/>
      <c r="K276" s="12">
        <v>0.0</v>
      </c>
      <c r="L276" s="13">
        <f>IFERROR(K276/K446, "NA")</f>
        <v>0</v>
      </c>
      <c r="M276" s="14"/>
      <c r="N276" s="15">
        <f t="shared" ref="N276:N285" si="82">IFERROR(-(B276-K276), "NA")</f>
        <v>0</v>
      </c>
      <c r="O276" s="13">
        <f>IFERROR(N276/N446, "NA")</f>
        <v>0</v>
      </c>
      <c r="P276" s="14"/>
      <c r="Q276" s="12">
        <v>0.0</v>
      </c>
      <c r="R276" s="13">
        <f>IFERROR(Q276/Q446, "NA")</f>
        <v>0</v>
      </c>
      <c r="S276" s="14"/>
      <c r="T276" s="12">
        <v>0.0</v>
      </c>
      <c r="U276" s="13">
        <f>IFERROR(T276/T446, "NA")</f>
        <v>0</v>
      </c>
      <c r="V276" s="14"/>
      <c r="W276" s="15">
        <f t="shared" ref="W276:W285" si="83">IFERROR(-(Q276-T276), "NA")</f>
        <v>0</v>
      </c>
      <c r="X276" s="13">
        <f>IFERROR(W276/W446, "NA")</f>
        <v>0</v>
      </c>
      <c r="Y276" s="14"/>
      <c r="Z276" s="12">
        <v>0.0</v>
      </c>
      <c r="AA276" s="13">
        <f>IFERROR(Z276/Z446, "NA")</f>
        <v>0</v>
      </c>
      <c r="AB276" s="14"/>
      <c r="AC276" s="15">
        <f t="shared" ref="AC276:AC285" si="84">IFERROR(-(Q276-Z276), "NA")</f>
        <v>0</v>
      </c>
      <c r="AD276" s="13">
        <f>IFERROR(AC276/AC446, "NA")</f>
        <v>0</v>
      </c>
    </row>
    <row r="277" ht="16.5" hidden="1" customHeight="1">
      <c r="A277" s="11" t="s">
        <v>254</v>
      </c>
      <c r="B277" s="12">
        <v>0.0</v>
      </c>
      <c r="C277" s="13">
        <f>IFERROR(B277/B446, "NA")</f>
        <v>0</v>
      </c>
      <c r="D277" s="14"/>
      <c r="E277" s="12">
        <v>0.0</v>
      </c>
      <c r="F277" s="13">
        <f>IFERROR(E277/E446, "NA")</f>
        <v>0</v>
      </c>
      <c r="G277" s="14"/>
      <c r="H277" s="15">
        <f t="shared" si="81"/>
        <v>0</v>
      </c>
      <c r="I277" s="13">
        <f>IFERROR(H277/H446, "NA")</f>
        <v>0</v>
      </c>
      <c r="J277" s="14"/>
      <c r="K277" s="12">
        <v>0.0</v>
      </c>
      <c r="L277" s="13">
        <f>IFERROR(K277/K446, "NA")</f>
        <v>0</v>
      </c>
      <c r="M277" s="14"/>
      <c r="N277" s="15">
        <f t="shared" si="82"/>
        <v>0</v>
      </c>
      <c r="O277" s="13">
        <f>IFERROR(N277/N446, "NA")</f>
        <v>0</v>
      </c>
      <c r="P277" s="14"/>
      <c r="Q277" s="12">
        <v>0.0</v>
      </c>
      <c r="R277" s="13">
        <f>IFERROR(Q277/Q446, "NA")</f>
        <v>0</v>
      </c>
      <c r="S277" s="14"/>
      <c r="T277" s="12">
        <v>0.0</v>
      </c>
      <c r="U277" s="13">
        <f>IFERROR(T277/T446, "NA")</f>
        <v>0</v>
      </c>
      <c r="V277" s="14"/>
      <c r="W277" s="15">
        <f t="shared" si="83"/>
        <v>0</v>
      </c>
      <c r="X277" s="13">
        <f>IFERROR(W277/W446, "NA")</f>
        <v>0</v>
      </c>
      <c r="Y277" s="14"/>
      <c r="Z277" s="12">
        <v>0.0</v>
      </c>
      <c r="AA277" s="13">
        <f>IFERROR(Z277/Z446, "NA")</f>
        <v>0</v>
      </c>
      <c r="AB277" s="14"/>
      <c r="AC277" s="15">
        <f t="shared" si="84"/>
        <v>0</v>
      </c>
      <c r="AD277" s="13">
        <f>IFERROR(AC277/AC446, "NA")</f>
        <v>0</v>
      </c>
    </row>
    <row r="278" ht="16.5" hidden="1" customHeight="1">
      <c r="A278" s="11" t="s">
        <v>255</v>
      </c>
      <c r="B278" s="12">
        <v>0.0</v>
      </c>
      <c r="C278" s="13">
        <f>IFERROR(B278/B446, "NA")</f>
        <v>0</v>
      </c>
      <c r="D278" s="14"/>
      <c r="E278" s="12">
        <v>0.0</v>
      </c>
      <c r="F278" s="13">
        <f>IFERROR(E278/E446, "NA")</f>
        <v>0</v>
      </c>
      <c r="G278" s="14"/>
      <c r="H278" s="15">
        <f t="shared" si="81"/>
        <v>0</v>
      </c>
      <c r="I278" s="13">
        <f>IFERROR(H278/H446, "NA")</f>
        <v>0</v>
      </c>
      <c r="J278" s="14"/>
      <c r="K278" s="12">
        <v>0.0</v>
      </c>
      <c r="L278" s="13">
        <f>IFERROR(K278/K446, "NA")</f>
        <v>0</v>
      </c>
      <c r="M278" s="14"/>
      <c r="N278" s="15">
        <f t="shared" si="82"/>
        <v>0</v>
      </c>
      <c r="O278" s="13">
        <f>IFERROR(N278/N446, "NA")</f>
        <v>0</v>
      </c>
      <c r="P278" s="14"/>
      <c r="Q278" s="12">
        <v>0.0</v>
      </c>
      <c r="R278" s="13">
        <f>IFERROR(Q278/Q446, "NA")</f>
        <v>0</v>
      </c>
      <c r="S278" s="14"/>
      <c r="T278" s="12">
        <v>0.0</v>
      </c>
      <c r="U278" s="13">
        <f>IFERROR(T278/T446, "NA")</f>
        <v>0</v>
      </c>
      <c r="V278" s="14"/>
      <c r="W278" s="15">
        <f t="shared" si="83"/>
        <v>0</v>
      </c>
      <c r="X278" s="13">
        <f>IFERROR(W278/W446, "NA")</f>
        <v>0</v>
      </c>
      <c r="Y278" s="14"/>
      <c r="Z278" s="12">
        <v>0.0</v>
      </c>
      <c r="AA278" s="13">
        <f>IFERROR(Z278/Z446, "NA")</f>
        <v>0</v>
      </c>
      <c r="AB278" s="14"/>
      <c r="AC278" s="15">
        <f t="shared" si="84"/>
        <v>0</v>
      </c>
      <c r="AD278" s="13">
        <f>IFERROR(AC278/AC446, "NA")</f>
        <v>0</v>
      </c>
    </row>
    <row r="279" ht="16.5" hidden="1" customHeight="1">
      <c r="A279" s="11" t="s">
        <v>256</v>
      </c>
      <c r="B279" s="12">
        <v>0.0</v>
      </c>
      <c r="C279" s="13">
        <f>IFERROR(B279/B446, "NA")</f>
        <v>0</v>
      </c>
      <c r="D279" s="14"/>
      <c r="E279" s="12">
        <v>0.0</v>
      </c>
      <c r="F279" s="13">
        <f>IFERROR(E279/E446, "NA")</f>
        <v>0</v>
      </c>
      <c r="G279" s="14"/>
      <c r="H279" s="15">
        <f t="shared" si="81"/>
        <v>0</v>
      </c>
      <c r="I279" s="13">
        <f>IFERROR(H279/H446, "NA")</f>
        <v>0</v>
      </c>
      <c r="J279" s="14"/>
      <c r="K279" s="12">
        <v>0.0</v>
      </c>
      <c r="L279" s="13">
        <f>IFERROR(K279/K446, "NA")</f>
        <v>0</v>
      </c>
      <c r="M279" s="14"/>
      <c r="N279" s="15">
        <f t="shared" si="82"/>
        <v>0</v>
      </c>
      <c r="O279" s="13">
        <f>IFERROR(N279/N446, "NA")</f>
        <v>0</v>
      </c>
      <c r="P279" s="14"/>
      <c r="Q279" s="12">
        <v>0.0</v>
      </c>
      <c r="R279" s="13">
        <f>IFERROR(Q279/Q446, "NA")</f>
        <v>0</v>
      </c>
      <c r="S279" s="14"/>
      <c r="T279" s="12">
        <v>0.0</v>
      </c>
      <c r="U279" s="13">
        <f>IFERROR(T279/T446, "NA")</f>
        <v>0</v>
      </c>
      <c r="V279" s="14"/>
      <c r="W279" s="15">
        <f t="shared" si="83"/>
        <v>0</v>
      </c>
      <c r="X279" s="13">
        <f>IFERROR(W279/W446, "NA")</f>
        <v>0</v>
      </c>
      <c r="Y279" s="14"/>
      <c r="Z279" s="12">
        <v>0.0</v>
      </c>
      <c r="AA279" s="13">
        <f>IFERROR(Z279/Z446, "NA")</f>
        <v>0</v>
      </c>
      <c r="AB279" s="14"/>
      <c r="AC279" s="15">
        <f t="shared" si="84"/>
        <v>0</v>
      </c>
      <c r="AD279" s="13">
        <f>IFERROR(AC279/AC446, "NA")</f>
        <v>0</v>
      </c>
    </row>
    <row r="280" ht="16.5" hidden="1" customHeight="1">
      <c r="A280" s="11" t="s">
        <v>257</v>
      </c>
      <c r="B280" s="12">
        <v>0.0</v>
      </c>
      <c r="C280" s="13">
        <f>IFERROR(B280/B446, "NA")</f>
        <v>0</v>
      </c>
      <c r="D280" s="14"/>
      <c r="E280" s="12">
        <v>0.0</v>
      </c>
      <c r="F280" s="13">
        <f>IFERROR(E280/E446, "NA")</f>
        <v>0</v>
      </c>
      <c r="G280" s="14"/>
      <c r="H280" s="15">
        <f t="shared" si="81"/>
        <v>0</v>
      </c>
      <c r="I280" s="13">
        <f>IFERROR(H280/H446, "NA")</f>
        <v>0</v>
      </c>
      <c r="J280" s="14"/>
      <c r="K280" s="12">
        <v>0.0</v>
      </c>
      <c r="L280" s="13">
        <f>IFERROR(K280/K446, "NA")</f>
        <v>0</v>
      </c>
      <c r="M280" s="14"/>
      <c r="N280" s="15">
        <f t="shared" si="82"/>
        <v>0</v>
      </c>
      <c r="O280" s="13">
        <f>IFERROR(N280/N446, "NA")</f>
        <v>0</v>
      </c>
      <c r="P280" s="14"/>
      <c r="Q280" s="12">
        <v>0.0</v>
      </c>
      <c r="R280" s="13">
        <f>IFERROR(Q280/Q446, "NA")</f>
        <v>0</v>
      </c>
      <c r="S280" s="14"/>
      <c r="T280" s="12">
        <v>0.0</v>
      </c>
      <c r="U280" s="13">
        <f>IFERROR(T280/T446, "NA")</f>
        <v>0</v>
      </c>
      <c r="V280" s="14"/>
      <c r="W280" s="15">
        <f t="shared" si="83"/>
        <v>0</v>
      </c>
      <c r="X280" s="13">
        <f>IFERROR(W280/W446, "NA")</f>
        <v>0</v>
      </c>
      <c r="Y280" s="14"/>
      <c r="Z280" s="12">
        <v>0.0</v>
      </c>
      <c r="AA280" s="13">
        <f>IFERROR(Z280/Z446, "NA")</f>
        <v>0</v>
      </c>
      <c r="AB280" s="14"/>
      <c r="AC280" s="15">
        <f t="shared" si="84"/>
        <v>0</v>
      </c>
      <c r="AD280" s="13">
        <f>IFERROR(AC280/AC446, "NA")</f>
        <v>0</v>
      </c>
    </row>
    <row r="281" ht="16.5" hidden="1" customHeight="1">
      <c r="A281" s="11" t="s">
        <v>258</v>
      </c>
      <c r="B281" s="12">
        <v>0.0</v>
      </c>
      <c r="C281" s="13">
        <f>IFERROR(B281/B446, "NA")</f>
        <v>0</v>
      </c>
      <c r="D281" s="14"/>
      <c r="E281" s="12">
        <v>0.0</v>
      </c>
      <c r="F281" s="13">
        <f>IFERROR(E281/E446, "NA")</f>
        <v>0</v>
      </c>
      <c r="G281" s="14"/>
      <c r="H281" s="15">
        <f t="shared" si="81"/>
        <v>0</v>
      </c>
      <c r="I281" s="13">
        <f>IFERROR(H281/H446, "NA")</f>
        <v>0</v>
      </c>
      <c r="J281" s="14"/>
      <c r="K281" s="12">
        <v>0.0</v>
      </c>
      <c r="L281" s="13">
        <f>IFERROR(K281/K446, "NA")</f>
        <v>0</v>
      </c>
      <c r="M281" s="14"/>
      <c r="N281" s="15">
        <f t="shared" si="82"/>
        <v>0</v>
      </c>
      <c r="O281" s="13">
        <f>IFERROR(N281/N446, "NA")</f>
        <v>0</v>
      </c>
      <c r="P281" s="14"/>
      <c r="Q281" s="12">
        <v>0.0</v>
      </c>
      <c r="R281" s="13">
        <f>IFERROR(Q281/Q446, "NA")</f>
        <v>0</v>
      </c>
      <c r="S281" s="14"/>
      <c r="T281" s="12">
        <v>0.0</v>
      </c>
      <c r="U281" s="13">
        <f>IFERROR(T281/T446, "NA")</f>
        <v>0</v>
      </c>
      <c r="V281" s="14"/>
      <c r="W281" s="15">
        <f t="shared" si="83"/>
        <v>0</v>
      </c>
      <c r="X281" s="13">
        <f>IFERROR(W281/W446, "NA")</f>
        <v>0</v>
      </c>
      <c r="Y281" s="14"/>
      <c r="Z281" s="12">
        <v>0.0</v>
      </c>
      <c r="AA281" s="13">
        <f>IFERROR(Z281/Z446, "NA")</f>
        <v>0</v>
      </c>
      <c r="AB281" s="14"/>
      <c r="AC281" s="15">
        <f t="shared" si="84"/>
        <v>0</v>
      </c>
      <c r="AD281" s="13">
        <f>IFERROR(AC281/AC446, "NA")</f>
        <v>0</v>
      </c>
    </row>
    <row r="282" ht="16.5" hidden="1" customHeight="1">
      <c r="A282" s="11" t="s">
        <v>259</v>
      </c>
      <c r="B282" s="12">
        <v>0.0</v>
      </c>
      <c r="C282" s="13">
        <f>IFERROR(B282/B446, "NA")</f>
        <v>0</v>
      </c>
      <c r="D282" s="14"/>
      <c r="E282" s="12">
        <v>0.0</v>
      </c>
      <c r="F282" s="13">
        <f>IFERROR(E282/E446, "NA")</f>
        <v>0</v>
      </c>
      <c r="G282" s="14"/>
      <c r="H282" s="15">
        <f t="shared" si="81"/>
        <v>0</v>
      </c>
      <c r="I282" s="13">
        <f>IFERROR(H282/H446, "NA")</f>
        <v>0</v>
      </c>
      <c r="J282" s="14"/>
      <c r="K282" s="12">
        <v>0.0</v>
      </c>
      <c r="L282" s="13">
        <f>IFERROR(K282/K446, "NA")</f>
        <v>0</v>
      </c>
      <c r="M282" s="14"/>
      <c r="N282" s="15">
        <f t="shared" si="82"/>
        <v>0</v>
      </c>
      <c r="O282" s="13">
        <f>IFERROR(N282/N446, "NA")</f>
        <v>0</v>
      </c>
      <c r="P282" s="14"/>
      <c r="Q282" s="12">
        <v>0.0</v>
      </c>
      <c r="R282" s="13">
        <f>IFERROR(Q282/Q446, "NA")</f>
        <v>0</v>
      </c>
      <c r="S282" s="14"/>
      <c r="T282" s="12">
        <v>0.0</v>
      </c>
      <c r="U282" s="13">
        <f>IFERROR(T282/T446, "NA")</f>
        <v>0</v>
      </c>
      <c r="V282" s="14"/>
      <c r="W282" s="15">
        <f t="shared" si="83"/>
        <v>0</v>
      </c>
      <c r="X282" s="13">
        <f>IFERROR(W282/W446, "NA")</f>
        <v>0</v>
      </c>
      <c r="Y282" s="14"/>
      <c r="Z282" s="12">
        <v>0.0</v>
      </c>
      <c r="AA282" s="13">
        <f>IFERROR(Z282/Z446, "NA")</f>
        <v>0</v>
      </c>
      <c r="AB282" s="14"/>
      <c r="AC282" s="15">
        <f t="shared" si="84"/>
        <v>0</v>
      </c>
      <c r="AD282" s="13">
        <f>IFERROR(AC282/AC446, "NA")</f>
        <v>0</v>
      </c>
    </row>
    <row r="283" ht="16.5" hidden="1" customHeight="1">
      <c r="A283" s="11" t="s">
        <v>260</v>
      </c>
      <c r="B283" s="12">
        <v>0.0</v>
      </c>
      <c r="C283" s="13">
        <f>IFERROR(B283/B446, "NA")</f>
        <v>0</v>
      </c>
      <c r="D283" s="14"/>
      <c r="E283" s="12">
        <v>0.0</v>
      </c>
      <c r="F283" s="13">
        <f>IFERROR(E283/E446, "NA")</f>
        <v>0</v>
      </c>
      <c r="G283" s="14"/>
      <c r="H283" s="15">
        <f t="shared" si="81"/>
        <v>0</v>
      </c>
      <c r="I283" s="13">
        <f>IFERROR(H283/H446, "NA")</f>
        <v>0</v>
      </c>
      <c r="J283" s="14"/>
      <c r="K283" s="12">
        <v>0.0</v>
      </c>
      <c r="L283" s="13">
        <f>IFERROR(K283/K446, "NA")</f>
        <v>0</v>
      </c>
      <c r="M283" s="14"/>
      <c r="N283" s="15">
        <f t="shared" si="82"/>
        <v>0</v>
      </c>
      <c r="O283" s="13">
        <f>IFERROR(N283/N446, "NA")</f>
        <v>0</v>
      </c>
      <c r="P283" s="14"/>
      <c r="Q283" s="12">
        <v>0.0</v>
      </c>
      <c r="R283" s="13">
        <f>IFERROR(Q283/Q446, "NA")</f>
        <v>0</v>
      </c>
      <c r="S283" s="14"/>
      <c r="T283" s="12">
        <v>0.0</v>
      </c>
      <c r="U283" s="13">
        <f>IFERROR(T283/T446, "NA")</f>
        <v>0</v>
      </c>
      <c r="V283" s="14"/>
      <c r="W283" s="15">
        <f t="shared" si="83"/>
        <v>0</v>
      </c>
      <c r="X283" s="13">
        <f>IFERROR(W283/W446, "NA")</f>
        <v>0</v>
      </c>
      <c r="Y283" s="14"/>
      <c r="Z283" s="12">
        <v>0.0</v>
      </c>
      <c r="AA283" s="13">
        <f>IFERROR(Z283/Z446, "NA")</f>
        <v>0</v>
      </c>
      <c r="AB283" s="14"/>
      <c r="AC283" s="15">
        <f t="shared" si="84"/>
        <v>0</v>
      </c>
      <c r="AD283" s="13">
        <f>IFERROR(AC283/AC446, "NA")</f>
        <v>0</v>
      </c>
    </row>
    <row r="284" ht="16.5" hidden="1" customHeight="1">
      <c r="A284" s="11" t="s">
        <v>261</v>
      </c>
      <c r="B284" s="12">
        <v>0.0</v>
      </c>
      <c r="C284" s="13">
        <f>IFERROR(B284/B446, "NA")</f>
        <v>0</v>
      </c>
      <c r="D284" s="14"/>
      <c r="E284" s="12">
        <v>0.0</v>
      </c>
      <c r="F284" s="13">
        <f>IFERROR(E284/E446, "NA")</f>
        <v>0</v>
      </c>
      <c r="G284" s="14"/>
      <c r="H284" s="15">
        <f t="shared" si="81"/>
        <v>0</v>
      </c>
      <c r="I284" s="13">
        <f>IFERROR(H284/H446, "NA")</f>
        <v>0</v>
      </c>
      <c r="J284" s="14"/>
      <c r="K284" s="12">
        <v>0.0</v>
      </c>
      <c r="L284" s="13">
        <f>IFERROR(K284/K446, "NA")</f>
        <v>0</v>
      </c>
      <c r="M284" s="14"/>
      <c r="N284" s="15">
        <f t="shared" si="82"/>
        <v>0</v>
      </c>
      <c r="O284" s="13">
        <f>IFERROR(N284/N446, "NA")</f>
        <v>0</v>
      </c>
      <c r="P284" s="14"/>
      <c r="Q284" s="12">
        <v>0.0</v>
      </c>
      <c r="R284" s="13">
        <f>IFERROR(Q284/Q446, "NA")</f>
        <v>0</v>
      </c>
      <c r="S284" s="14"/>
      <c r="T284" s="12">
        <v>0.0</v>
      </c>
      <c r="U284" s="13">
        <f>IFERROR(T284/T446, "NA")</f>
        <v>0</v>
      </c>
      <c r="V284" s="14"/>
      <c r="W284" s="15">
        <f t="shared" si="83"/>
        <v>0</v>
      </c>
      <c r="X284" s="13">
        <f>IFERROR(W284/W446, "NA")</f>
        <v>0</v>
      </c>
      <c r="Y284" s="14"/>
      <c r="Z284" s="12">
        <v>0.0</v>
      </c>
      <c r="AA284" s="13">
        <f>IFERROR(Z284/Z446, "NA")</f>
        <v>0</v>
      </c>
      <c r="AB284" s="14"/>
      <c r="AC284" s="15">
        <f t="shared" si="84"/>
        <v>0</v>
      </c>
      <c r="AD284" s="13">
        <f>IFERROR(AC284/AC446, "NA")</f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>
        <f>IFERROR(B285/B446, "NA")</f>
        <v>0</v>
      </c>
      <c r="D285" s="8"/>
      <c r="E285" s="17">
        <f>IFERROR(E276+E277+E278+E279+E280+E281+E282+E283+E284, "NA")</f>
        <v>0</v>
      </c>
      <c r="F285" s="18">
        <f>IFERROR(E285/E446, "NA")</f>
        <v>0</v>
      </c>
      <c r="G285" s="8"/>
      <c r="H285" s="17">
        <f t="shared" si="81"/>
        <v>0</v>
      </c>
      <c r="I285" s="18">
        <f>IFERROR(H285/H446, "NA")</f>
        <v>0</v>
      </c>
      <c r="J285" s="8"/>
      <c r="K285" s="17">
        <f>IFERROR(K276+K277+K278+K279+K280+K281+K282+K283+K284, "NA")</f>
        <v>0</v>
      </c>
      <c r="L285" s="18">
        <f>IFERROR(K285/K446, "NA")</f>
        <v>0</v>
      </c>
      <c r="M285" s="8"/>
      <c r="N285" s="17">
        <f t="shared" si="82"/>
        <v>0</v>
      </c>
      <c r="O285" s="18">
        <f>IFERROR(N285/N446, "NA")</f>
        <v>0</v>
      </c>
      <c r="P285" s="8"/>
      <c r="Q285" s="17">
        <f>IFERROR(Q276+Q277+Q278+Q279+Q280+Q281+Q282+Q283+Q284, "NA")</f>
        <v>0</v>
      </c>
      <c r="R285" s="18">
        <f>IFERROR(Q285/Q446, "NA")</f>
        <v>0</v>
      </c>
      <c r="S285" s="8"/>
      <c r="T285" s="17">
        <f>IFERROR(T276+T277+T278+T279+T280+T281+T282+T283+T284, "NA")</f>
        <v>0</v>
      </c>
      <c r="U285" s="18">
        <f>IFERROR(T285/T446, "NA")</f>
        <v>0</v>
      </c>
      <c r="V285" s="8"/>
      <c r="W285" s="17">
        <f t="shared" si="83"/>
        <v>0</v>
      </c>
      <c r="X285" s="18">
        <f>IFERROR(W285/W446, "NA")</f>
        <v>0</v>
      </c>
      <c r="Y285" s="8"/>
      <c r="Z285" s="17">
        <f>IFERROR(Z276+Z277+Z278+Z279+Z280+Z281+Z282+Z283+Z284, "NA")</f>
        <v>0</v>
      </c>
      <c r="AA285" s="18">
        <f>IFERROR(Z285/Z446, "NA")</f>
        <v>0</v>
      </c>
      <c r="AB285" s="8"/>
      <c r="AC285" s="17">
        <f t="shared" si="84"/>
        <v>0</v>
      </c>
      <c r="AD285" s="18">
        <f>IFERROR(AC285/AC446, "NA")</f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t="16.5" hidden="1" customHeight="1">
      <c r="A287" s="11" t="s">
        <v>263</v>
      </c>
      <c r="B287" s="12">
        <v>0.0</v>
      </c>
      <c r="C287" s="13">
        <f>IFERROR(B287/B446, "NA")</f>
        <v>0</v>
      </c>
      <c r="D287" s="14"/>
      <c r="E287" s="12">
        <v>0.0</v>
      </c>
      <c r="F287" s="13">
        <f>IFERROR(E287/E446, "NA")</f>
        <v>0</v>
      </c>
      <c r="G287" s="14"/>
      <c r="H287" s="15">
        <f t="shared" ref="H287:H296" si="85">IFERROR(-(B287-E287), "NA")</f>
        <v>0</v>
      </c>
      <c r="I287" s="13">
        <f>IFERROR(H287/H446, "NA")</f>
        <v>0</v>
      </c>
      <c r="J287" s="14"/>
      <c r="K287" s="12">
        <v>0.0</v>
      </c>
      <c r="L287" s="13">
        <f>IFERROR(K287/K446, "NA")</f>
        <v>0</v>
      </c>
      <c r="M287" s="14"/>
      <c r="N287" s="15">
        <f t="shared" ref="N287:N296" si="86">IFERROR(-(B287-K287), "NA")</f>
        <v>0</v>
      </c>
      <c r="O287" s="13">
        <f>IFERROR(N287/N446, "NA")</f>
        <v>0</v>
      </c>
      <c r="P287" s="14"/>
      <c r="Q287" s="12">
        <v>0.0</v>
      </c>
      <c r="R287" s="13">
        <f>IFERROR(Q287/Q446, "NA")</f>
        <v>0</v>
      </c>
      <c r="S287" s="14"/>
      <c r="T287" s="12">
        <v>0.0</v>
      </c>
      <c r="U287" s="13">
        <f>IFERROR(T287/T446, "NA")</f>
        <v>0</v>
      </c>
      <c r="V287" s="14"/>
      <c r="W287" s="15">
        <f t="shared" ref="W287:W296" si="87">IFERROR(-(Q287-T287), "NA")</f>
        <v>0</v>
      </c>
      <c r="X287" s="13">
        <f>IFERROR(W287/W446, "NA")</f>
        <v>0</v>
      </c>
      <c r="Y287" s="14"/>
      <c r="Z287" s="12">
        <v>0.0</v>
      </c>
      <c r="AA287" s="13">
        <f>IFERROR(Z287/Z446, "NA")</f>
        <v>0</v>
      </c>
      <c r="AB287" s="14"/>
      <c r="AC287" s="15">
        <f t="shared" ref="AC287:AC296" si="88">IFERROR(-(Q287-Z287), "NA")</f>
        <v>0</v>
      </c>
      <c r="AD287" s="13">
        <f>IFERROR(AC287/AC446, "NA")</f>
        <v>0</v>
      </c>
    </row>
    <row r="288" ht="16.5" hidden="1" customHeight="1">
      <c r="A288" s="11" t="s">
        <v>264</v>
      </c>
      <c r="B288" s="12">
        <v>0.0</v>
      </c>
      <c r="C288" s="13">
        <f>IFERROR(B288/B446, "NA")</f>
        <v>0</v>
      </c>
      <c r="D288" s="14"/>
      <c r="E288" s="12">
        <v>0.0</v>
      </c>
      <c r="F288" s="13">
        <f>IFERROR(E288/E446, "NA")</f>
        <v>0</v>
      </c>
      <c r="G288" s="14"/>
      <c r="H288" s="15">
        <f t="shared" si="85"/>
        <v>0</v>
      </c>
      <c r="I288" s="13">
        <f>IFERROR(H288/H446, "NA")</f>
        <v>0</v>
      </c>
      <c r="J288" s="14"/>
      <c r="K288" s="12">
        <v>0.0</v>
      </c>
      <c r="L288" s="13">
        <f>IFERROR(K288/K446, "NA")</f>
        <v>0</v>
      </c>
      <c r="M288" s="14"/>
      <c r="N288" s="15">
        <f t="shared" si="86"/>
        <v>0</v>
      </c>
      <c r="O288" s="13">
        <f>IFERROR(N288/N446, "NA")</f>
        <v>0</v>
      </c>
      <c r="P288" s="14"/>
      <c r="Q288" s="12">
        <v>0.0</v>
      </c>
      <c r="R288" s="13">
        <f>IFERROR(Q288/Q446, "NA")</f>
        <v>0</v>
      </c>
      <c r="S288" s="14"/>
      <c r="T288" s="12">
        <v>0.0</v>
      </c>
      <c r="U288" s="13">
        <f>IFERROR(T288/T446, "NA")</f>
        <v>0</v>
      </c>
      <c r="V288" s="14"/>
      <c r="W288" s="15">
        <f t="shared" si="87"/>
        <v>0</v>
      </c>
      <c r="X288" s="13">
        <f>IFERROR(W288/W446, "NA")</f>
        <v>0</v>
      </c>
      <c r="Y288" s="14"/>
      <c r="Z288" s="12">
        <v>0.0</v>
      </c>
      <c r="AA288" s="13">
        <f>IFERROR(Z288/Z446, "NA")</f>
        <v>0</v>
      </c>
      <c r="AB288" s="14"/>
      <c r="AC288" s="15">
        <f t="shared" si="88"/>
        <v>0</v>
      </c>
      <c r="AD288" s="13">
        <f>IFERROR(AC288/AC446, "NA")</f>
        <v>0</v>
      </c>
    </row>
    <row r="289" ht="16.5" customHeight="1">
      <c r="A289" s="11" t="s">
        <v>265</v>
      </c>
      <c r="B289" s="12">
        <v>158.3</v>
      </c>
      <c r="C289" s="13">
        <f>IFERROR(B289/B446, "NA")</f>
        <v>0.001599559762</v>
      </c>
      <c r="D289" s="14"/>
      <c r="E289" s="12">
        <v>158.0</v>
      </c>
      <c r="F289" s="13">
        <f>IFERROR(E289/E446, "NA")</f>
        <v>0.001563434319</v>
      </c>
      <c r="G289" s="14"/>
      <c r="H289" s="15">
        <f t="shared" si="85"/>
        <v>-0.3</v>
      </c>
      <c r="I289" s="13">
        <f>IFERROR(H289/H446, "NA")</f>
        <v>0.0001432090279</v>
      </c>
      <c r="J289" s="14"/>
      <c r="K289" s="12">
        <v>158.33</v>
      </c>
      <c r="L289" s="13">
        <f>IFERROR(K289/K446, "NA")</f>
        <v>0.001710444341</v>
      </c>
      <c r="M289" s="14"/>
      <c r="N289" s="15">
        <f t="shared" si="86"/>
        <v>0.03</v>
      </c>
      <c r="O289" s="13">
        <f>IFERROR(N289/N446, "NA")</f>
        <v>0.000004688862701</v>
      </c>
      <c r="P289" s="14"/>
      <c r="Q289" s="12">
        <v>1266.7</v>
      </c>
      <c r="R289" s="13">
        <f>IFERROR(Q289/Q446, "NA")</f>
        <v>0.001438621286</v>
      </c>
      <c r="S289" s="14"/>
      <c r="T289" s="12">
        <v>1264.0</v>
      </c>
      <c r="U289" s="13">
        <f>IFERROR(T289/T446, "NA")</f>
        <v>0.001305437214</v>
      </c>
      <c r="V289" s="14"/>
      <c r="W289" s="15">
        <f t="shared" si="87"/>
        <v>-2.7</v>
      </c>
      <c r="X289" s="13">
        <f>IFERROR(W289/W446, "NA")</f>
        <v>0.00003076496049</v>
      </c>
      <c r="Y289" s="14"/>
      <c r="Z289" s="12">
        <v>1266.66</v>
      </c>
      <c r="AA289" s="13">
        <f>IFERROR(Z289/Z446, "NA")</f>
        <v>0.001410254402</v>
      </c>
      <c r="AB289" s="14"/>
      <c r="AC289" s="15">
        <f t="shared" si="88"/>
        <v>-0.04</v>
      </c>
      <c r="AD289" s="13">
        <f>IFERROR(AC289/AC446, "NA")</f>
        <v>0.000002262114613</v>
      </c>
    </row>
    <row r="290" ht="16.5" customHeight="1">
      <c r="A290" s="11" t="s">
        <v>266</v>
      </c>
      <c r="B290" s="12">
        <v>250.05</v>
      </c>
      <c r="C290" s="13">
        <f>IFERROR(B290/B446, "NA")</f>
        <v>0.002526657729</v>
      </c>
      <c r="D290" s="14"/>
      <c r="E290" s="12">
        <v>233.0</v>
      </c>
      <c r="F290" s="13">
        <f>IFERROR(E290/E446, "NA")</f>
        <v>0.002305570863</v>
      </c>
      <c r="G290" s="14"/>
      <c r="H290" s="15">
        <f t="shared" si="85"/>
        <v>-17.05</v>
      </c>
      <c r="I290" s="13">
        <f>IFERROR(H290/H446, "NA")</f>
        <v>0.008139046419</v>
      </c>
      <c r="J290" s="14"/>
      <c r="K290" s="12">
        <v>216.02</v>
      </c>
      <c r="L290" s="13">
        <f>IFERROR(K290/K446, "NA")</f>
        <v>0.00233367136</v>
      </c>
      <c r="M290" s="14"/>
      <c r="N290" s="15">
        <f t="shared" si="86"/>
        <v>-34.03</v>
      </c>
      <c r="O290" s="13">
        <f>IFERROR(N290/N446, "NA")</f>
        <v>-0.005318733257</v>
      </c>
      <c r="P290" s="14"/>
      <c r="Q290" s="12">
        <v>1996.65</v>
      </c>
      <c r="R290" s="13">
        <f>IFERROR(Q290/Q446, "NA")</f>
        <v>0.002267642844</v>
      </c>
      <c r="S290" s="14"/>
      <c r="T290" s="12">
        <v>1864.0</v>
      </c>
      <c r="U290" s="13">
        <f>IFERROR(T290/T446, "NA")</f>
        <v>0.001925106778</v>
      </c>
      <c r="V290" s="14"/>
      <c r="W290" s="15">
        <f t="shared" si="87"/>
        <v>-132.65</v>
      </c>
      <c r="X290" s="13">
        <f>IFERROR(W290/W446, "NA")</f>
        <v>0.001511471114</v>
      </c>
      <c r="Y290" s="14"/>
      <c r="Z290" s="12">
        <v>1692.5</v>
      </c>
      <c r="AA290" s="13">
        <f>IFERROR(Z290/Z446, "NA")</f>
        <v>0.001884369582</v>
      </c>
      <c r="AB290" s="14"/>
      <c r="AC290" s="15">
        <f t="shared" si="88"/>
        <v>-304.15</v>
      </c>
      <c r="AD290" s="13">
        <f>IFERROR(AC290/AC446, "NA")</f>
        <v>0.01720055399</v>
      </c>
    </row>
    <row r="291" ht="16.5" customHeight="1">
      <c r="A291" s="11" t="s">
        <v>267</v>
      </c>
      <c r="B291" s="12">
        <v>101.74</v>
      </c>
      <c r="C291" s="13">
        <f>IFERROR(B291/B446, "NA")</f>
        <v>0.001028043021</v>
      </c>
      <c r="D291" s="14"/>
      <c r="E291" s="12">
        <v>303.18</v>
      </c>
      <c r="F291" s="13">
        <f>IFERROR(E291/E446, "NA")</f>
        <v>0.003000012765</v>
      </c>
      <c r="G291" s="14"/>
      <c r="H291" s="15">
        <f t="shared" si="85"/>
        <v>201.44</v>
      </c>
      <c r="I291" s="13">
        <f>IFERROR(H291/H446, "NA")</f>
        <v>-0.0961600886</v>
      </c>
      <c r="J291" s="14"/>
      <c r="K291" s="12">
        <v>0.0</v>
      </c>
      <c r="L291" s="13">
        <f>IFERROR(K291/K446, "NA")</f>
        <v>0</v>
      </c>
      <c r="M291" s="14"/>
      <c r="N291" s="15">
        <f t="shared" si="86"/>
        <v>-101.74</v>
      </c>
      <c r="O291" s="13">
        <f>IFERROR(N291/N446, "NA")</f>
        <v>-0.01590149637</v>
      </c>
      <c r="P291" s="14"/>
      <c r="Q291" s="12">
        <v>1413.07</v>
      </c>
      <c r="R291" s="13">
        <f>IFERROR(Q291/Q446, "NA")</f>
        <v>0.001604857173</v>
      </c>
      <c r="S291" s="14"/>
      <c r="T291" s="12">
        <v>2631.38</v>
      </c>
      <c r="U291" s="13">
        <f>IFERROR(T291/T446, "NA")</f>
        <v>0.002717643494</v>
      </c>
      <c r="V291" s="14"/>
      <c r="W291" s="15">
        <f t="shared" si="87"/>
        <v>1218.31</v>
      </c>
      <c r="X291" s="13">
        <f>IFERROR(W291/W446, "NA")</f>
        <v>-0.01388194778</v>
      </c>
      <c r="Y291" s="14"/>
      <c r="Z291" s="12">
        <v>215.74</v>
      </c>
      <c r="AA291" s="13">
        <f>IFERROR(Z291/Z446, "NA")</f>
        <v>0.0002401972784</v>
      </c>
      <c r="AB291" s="14"/>
      <c r="AC291" s="15">
        <f t="shared" si="88"/>
        <v>-1197.33</v>
      </c>
      <c r="AD291" s="13">
        <f>IFERROR(AC291/AC446, "NA")</f>
        <v>0.06771244225</v>
      </c>
    </row>
    <row r="292" ht="16.5" customHeight="1">
      <c r="A292" s="11" t="s">
        <v>268</v>
      </c>
      <c r="B292" s="12">
        <v>0.0</v>
      </c>
      <c r="C292" s="13">
        <f>IFERROR(B292/B446, "NA")</f>
        <v>0</v>
      </c>
      <c r="D292" s="14"/>
      <c r="E292" s="12">
        <v>404.24</v>
      </c>
      <c r="F292" s="13">
        <f>IFERROR(E292/E446, "NA")</f>
        <v>0.00400001702</v>
      </c>
      <c r="G292" s="14"/>
      <c r="H292" s="15">
        <f t="shared" si="85"/>
        <v>404.24</v>
      </c>
      <c r="I292" s="13">
        <f>IFERROR(H292/H446, "NA")</f>
        <v>-0.1929693915</v>
      </c>
      <c r="J292" s="14"/>
      <c r="K292" s="12">
        <v>0.0</v>
      </c>
      <c r="L292" s="13">
        <f>IFERROR(K292/K446, "NA")</f>
        <v>0</v>
      </c>
      <c r="M292" s="14"/>
      <c r="N292" s="15">
        <f t="shared" si="86"/>
        <v>0</v>
      </c>
      <c r="O292" s="13">
        <f>IFERROR(N292/N446, "NA")</f>
        <v>0</v>
      </c>
      <c r="P292" s="14"/>
      <c r="Q292" s="12">
        <v>9378.05</v>
      </c>
      <c r="R292" s="13">
        <f>IFERROR(Q292/Q446, "NA")</f>
        <v>0.0106508742</v>
      </c>
      <c r="S292" s="14"/>
      <c r="T292" s="12">
        <v>3873.04</v>
      </c>
      <c r="U292" s="13">
        <f>IFERROR(T292/T446, "NA")</f>
        <v>0.004000008345</v>
      </c>
      <c r="V292" s="14"/>
      <c r="W292" s="15">
        <f t="shared" si="87"/>
        <v>-5505.01</v>
      </c>
      <c r="X292" s="13">
        <f>IFERROR(W292/W446, "NA")</f>
        <v>0.06272645005</v>
      </c>
      <c r="Y292" s="14"/>
      <c r="Z292" s="12">
        <v>2499.58</v>
      </c>
      <c r="AA292" s="13">
        <f>IFERROR(Z292/Z446, "NA")</f>
        <v>0.002782943882</v>
      </c>
      <c r="AB292" s="14"/>
      <c r="AC292" s="15">
        <f t="shared" si="88"/>
        <v>-6878.47</v>
      </c>
      <c r="AD292" s="13">
        <f>IFERROR(AC292/AC446, "NA")</f>
        <v>0.3889971876</v>
      </c>
    </row>
    <row r="293" ht="16.5" customHeight="1">
      <c r="A293" s="11" t="s">
        <v>269</v>
      </c>
      <c r="B293" s="12">
        <v>0.0</v>
      </c>
      <c r="C293" s="13">
        <f>IFERROR(B293/B446, "NA")</f>
        <v>0</v>
      </c>
      <c r="D293" s="14"/>
      <c r="E293" s="12">
        <v>101.06</v>
      </c>
      <c r="F293" s="13">
        <f>IFERROR(E293/E446, "NA")</f>
        <v>0.001000004255</v>
      </c>
      <c r="G293" s="14"/>
      <c r="H293" s="15">
        <f t="shared" si="85"/>
        <v>101.06</v>
      </c>
      <c r="I293" s="13">
        <f>IFERROR(H293/H446, "NA")</f>
        <v>-0.04824234786</v>
      </c>
      <c r="J293" s="14"/>
      <c r="K293" s="12">
        <v>0.0</v>
      </c>
      <c r="L293" s="13">
        <f>IFERROR(K293/K446, "NA")</f>
        <v>0</v>
      </c>
      <c r="M293" s="14"/>
      <c r="N293" s="15">
        <f t="shared" si="86"/>
        <v>0</v>
      </c>
      <c r="O293" s="13">
        <f>IFERROR(N293/N446, "NA")</f>
        <v>0</v>
      </c>
      <c r="P293" s="14"/>
      <c r="Q293" s="12">
        <v>522.95</v>
      </c>
      <c r="R293" s="13">
        <f>IFERROR(Q293/Q446, "NA")</f>
        <v>0.0005939267399</v>
      </c>
      <c r="S293" s="14"/>
      <c r="T293" s="12">
        <v>968.26</v>
      </c>
      <c r="U293" s="13">
        <f>IFERROR(T293/T446, "NA")</f>
        <v>0.001000002086</v>
      </c>
      <c r="V293" s="14"/>
      <c r="W293" s="15">
        <f t="shared" si="87"/>
        <v>445.31</v>
      </c>
      <c r="X293" s="13">
        <f>IFERROR(W293/W446, "NA")</f>
        <v>-0.005074053539</v>
      </c>
      <c r="Y293" s="14"/>
      <c r="Z293" s="12">
        <v>0.0</v>
      </c>
      <c r="AA293" s="13">
        <f>IFERROR(Z293/Z446, "NA")</f>
        <v>0</v>
      </c>
      <c r="AB293" s="14"/>
      <c r="AC293" s="15">
        <f t="shared" si="88"/>
        <v>-522.95</v>
      </c>
      <c r="AD293" s="13">
        <f>IFERROR(AC293/AC446, "NA")</f>
        <v>0.02957432093</v>
      </c>
    </row>
    <row r="294" ht="16.5" customHeight="1">
      <c r="A294" s="11" t="s">
        <v>270</v>
      </c>
      <c r="B294" s="12">
        <v>0.0</v>
      </c>
      <c r="C294" s="13">
        <f>IFERROR(B294/B446, "NA")</f>
        <v>0</v>
      </c>
      <c r="D294" s="14"/>
      <c r="E294" s="12">
        <v>101.06</v>
      </c>
      <c r="F294" s="13">
        <f>IFERROR(E294/E446, "NA")</f>
        <v>0.001000004255</v>
      </c>
      <c r="G294" s="14"/>
      <c r="H294" s="15">
        <f t="shared" si="85"/>
        <v>101.06</v>
      </c>
      <c r="I294" s="13">
        <f>IFERROR(H294/H446, "NA")</f>
        <v>-0.04824234786</v>
      </c>
      <c r="J294" s="14"/>
      <c r="K294" s="12">
        <v>0.0</v>
      </c>
      <c r="L294" s="13">
        <f>IFERROR(K294/K446, "NA")</f>
        <v>0</v>
      </c>
      <c r="M294" s="14"/>
      <c r="N294" s="15">
        <f t="shared" si="86"/>
        <v>0</v>
      </c>
      <c r="O294" s="13">
        <f>IFERROR(N294/N446, "NA")</f>
        <v>0</v>
      </c>
      <c r="P294" s="14"/>
      <c r="Q294" s="12">
        <v>0.0</v>
      </c>
      <c r="R294" s="13">
        <f>IFERROR(Q294/Q446, "NA")</f>
        <v>0</v>
      </c>
      <c r="S294" s="14"/>
      <c r="T294" s="12">
        <v>968.26</v>
      </c>
      <c r="U294" s="13">
        <f>IFERROR(T294/T446, "NA")</f>
        <v>0.001000002086</v>
      </c>
      <c r="V294" s="14"/>
      <c r="W294" s="15">
        <f t="shared" si="87"/>
        <v>968.26</v>
      </c>
      <c r="X294" s="13">
        <f>IFERROR(W294/W446, "NA")</f>
        <v>-0.01103277061</v>
      </c>
      <c r="Y294" s="14"/>
      <c r="Z294" s="12">
        <v>630.96</v>
      </c>
      <c r="AA294" s="13">
        <f>IFERROR(Z294/Z446, "NA")</f>
        <v>0.0007024885269</v>
      </c>
      <c r="AB294" s="14"/>
      <c r="AC294" s="15">
        <f t="shared" si="88"/>
        <v>630.96</v>
      </c>
      <c r="AD294" s="13">
        <f>IFERROR(AC294/AC446, "NA")</f>
        <v>-0.03568259591</v>
      </c>
    </row>
    <row r="295" ht="16.5" customHeight="1">
      <c r="A295" s="11" t="s">
        <v>271</v>
      </c>
      <c r="B295" s="12">
        <v>300.0</v>
      </c>
      <c r="C295" s="13">
        <f>IFERROR(B295/B446, "NA")</f>
        <v>0.003031382999</v>
      </c>
      <c r="D295" s="14"/>
      <c r="E295" s="12">
        <v>412.0</v>
      </c>
      <c r="F295" s="13">
        <f>IFERROR(E295/E446, "NA")</f>
        <v>0.004076803414</v>
      </c>
      <c r="G295" s="14"/>
      <c r="H295" s="15">
        <f t="shared" si="85"/>
        <v>112</v>
      </c>
      <c r="I295" s="13">
        <f>IFERROR(H295/H446, "NA")</f>
        <v>-0.05346470375</v>
      </c>
      <c r="J295" s="14"/>
      <c r="K295" s="12">
        <v>430.73</v>
      </c>
      <c r="L295" s="13">
        <f>IFERROR(K295/K446, "NA")</f>
        <v>0.004653190746</v>
      </c>
      <c r="M295" s="14"/>
      <c r="N295" s="15">
        <f t="shared" si="86"/>
        <v>130.73</v>
      </c>
      <c r="O295" s="13">
        <f>IFERROR(N295/N446, "NA")</f>
        <v>0.0204325007</v>
      </c>
      <c r="P295" s="14"/>
      <c r="Q295" s="12">
        <v>1713.96</v>
      </c>
      <c r="R295" s="13">
        <f>IFERROR(Q295/Q446, "NA")</f>
        <v>0.001946585094</v>
      </c>
      <c r="S295" s="14"/>
      <c r="T295" s="12">
        <v>3296.0</v>
      </c>
      <c r="U295" s="13">
        <f>IFERROR(T295/T446, "NA")</f>
        <v>0.00340405147</v>
      </c>
      <c r="V295" s="14"/>
      <c r="W295" s="15">
        <f t="shared" si="87"/>
        <v>1582.04</v>
      </c>
      <c r="X295" s="13">
        <f>IFERROR(W295/W446, "NA")</f>
        <v>-0.01802644374</v>
      </c>
      <c r="Y295" s="14"/>
      <c r="Z295" s="12">
        <v>3221.86</v>
      </c>
      <c r="AA295" s="13">
        <f>IFERROR(Z295/Z446, "NA")</f>
        <v>0.003587104864</v>
      </c>
      <c r="AB295" s="14"/>
      <c r="AC295" s="15">
        <f t="shared" si="88"/>
        <v>1507.9</v>
      </c>
      <c r="AD295" s="13">
        <f>IFERROR(AC295/AC446, "NA")</f>
        <v>-0.08527606564</v>
      </c>
    </row>
    <row r="296" ht="16.5" customHeight="1">
      <c r="A296" s="16" t="s">
        <v>272</v>
      </c>
      <c r="B296" s="17">
        <f>IFERROR(B287+B288+B289+B290+B291+B292+B293+B294+B295, "NA")</f>
        <v>810.09</v>
      </c>
      <c r="C296" s="18">
        <f>IFERROR(B296/B446, "NA")</f>
        <v>0.008185643512</v>
      </c>
      <c r="D296" s="8"/>
      <c r="E296" s="17">
        <f>IFERROR(E287+E288+E289+E290+E291+E292+E293+E294+E295, "NA")</f>
        <v>1712.54</v>
      </c>
      <c r="F296" s="18">
        <f>IFERROR(E296/E446, "NA")</f>
        <v>0.01694584689</v>
      </c>
      <c r="G296" s="8"/>
      <c r="H296" s="17">
        <f t="shared" si="85"/>
        <v>902.45</v>
      </c>
      <c r="I296" s="18">
        <f>IFERROR(H296/H446, "NA")</f>
        <v>-0.4307966241</v>
      </c>
      <c r="J296" s="8"/>
      <c r="K296" s="17">
        <f>IFERROR(K287+K288+K289+K290+K291+K292+K293+K294+K295, "NA")</f>
        <v>805.08</v>
      </c>
      <c r="L296" s="18">
        <f>IFERROR(K296/K446, "NA")</f>
        <v>0.008697306447</v>
      </c>
      <c r="M296" s="8"/>
      <c r="N296" s="17">
        <f t="shared" si="86"/>
        <v>-5.01</v>
      </c>
      <c r="O296" s="18">
        <f>IFERROR(N296/N446, "NA")</f>
        <v>-0.000783040071</v>
      </c>
      <c r="P296" s="8"/>
      <c r="Q296" s="17">
        <f>IFERROR(Q287+Q288+Q289+Q290+Q291+Q292+Q293+Q294+Q295, "NA")</f>
        <v>16291.38</v>
      </c>
      <c r="R296" s="18">
        <f>IFERROR(Q296/Q446, "NA")</f>
        <v>0.01850250734</v>
      </c>
      <c r="S296" s="8"/>
      <c r="T296" s="17">
        <f>IFERROR(T287+T288+T289+T290+T291+T292+T293+T294+T295, "NA")</f>
        <v>14864.94</v>
      </c>
      <c r="U296" s="18">
        <f>IFERROR(T296/T446, "NA")</f>
        <v>0.01535225147</v>
      </c>
      <c r="V296" s="8"/>
      <c r="W296" s="17">
        <f t="shared" si="87"/>
        <v>-1426.44</v>
      </c>
      <c r="X296" s="18">
        <f>IFERROR(W296/W446, "NA")</f>
        <v>0.01625347046</v>
      </c>
      <c r="Y296" s="8"/>
      <c r="Z296" s="17">
        <f>IFERROR(Z287+Z288+Z289+Z290+Z291+Z292+Z293+Z294+Z295, "NA")</f>
        <v>9527.3</v>
      </c>
      <c r="AA296" s="18">
        <f>IFERROR(Z296/Z446, "NA")</f>
        <v>0.01060735854</v>
      </c>
      <c r="AB296" s="8"/>
      <c r="AC296" s="17">
        <f t="shared" si="88"/>
        <v>-6764.08</v>
      </c>
      <c r="AD296" s="18">
        <f>IFERROR(AC296/AC446, "NA")</f>
        <v>0.3825281054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t="16.5" hidden="1" customHeight="1">
      <c r="A298" s="11" t="s">
        <v>273</v>
      </c>
      <c r="B298" s="12">
        <v>0.0</v>
      </c>
      <c r="C298" s="13">
        <f>IFERROR(B298/B446, "NA")</f>
        <v>0</v>
      </c>
      <c r="D298" s="14"/>
      <c r="E298" s="12">
        <v>0.0</v>
      </c>
      <c r="F298" s="13">
        <f>IFERROR(E298/E446, "NA")</f>
        <v>0</v>
      </c>
      <c r="G298" s="14"/>
      <c r="H298" s="15">
        <f t="shared" ref="H298:H326" si="89">IFERROR(-(B298-E298), "NA")</f>
        <v>0</v>
      </c>
      <c r="I298" s="13">
        <f>IFERROR(H298/H446, "NA")</f>
        <v>0</v>
      </c>
      <c r="J298" s="14"/>
      <c r="K298" s="12">
        <v>0.0</v>
      </c>
      <c r="L298" s="13">
        <f>IFERROR(K298/K446, "NA")</f>
        <v>0</v>
      </c>
      <c r="M298" s="14"/>
      <c r="N298" s="15">
        <f t="shared" ref="N298:N326" si="90">IFERROR(-(B298-K298), "NA")</f>
        <v>0</v>
      </c>
      <c r="O298" s="13">
        <f>IFERROR(N298/N446, "NA")</f>
        <v>0</v>
      </c>
      <c r="P298" s="14"/>
      <c r="Q298" s="12">
        <v>0.0</v>
      </c>
      <c r="R298" s="13">
        <f>IFERROR(Q298/Q446, "NA")</f>
        <v>0</v>
      </c>
      <c r="S298" s="14"/>
      <c r="T298" s="12">
        <v>0.0</v>
      </c>
      <c r="U298" s="13">
        <f>IFERROR(T298/T446, "NA")</f>
        <v>0</v>
      </c>
      <c r="V298" s="14"/>
      <c r="W298" s="15">
        <f t="shared" ref="W298:W326" si="91">IFERROR(-(Q298-T298), "NA")</f>
        <v>0</v>
      </c>
      <c r="X298" s="13">
        <f>IFERROR(W298/W446, "NA")</f>
        <v>0</v>
      </c>
      <c r="Y298" s="14"/>
      <c r="Z298" s="12">
        <v>0.0</v>
      </c>
      <c r="AA298" s="13">
        <f>IFERROR(Z298/Z446, "NA")</f>
        <v>0</v>
      </c>
      <c r="AB298" s="14"/>
      <c r="AC298" s="15">
        <f t="shared" ref="AC298:AC326" si="92">IFERROR(-(Q298-Z298), "NA")</f>
        <v>0</v>
      </c>
      <c r="AD298" s="13">
        <f>IFERROR(AC298/AC446, "NA")</f>
        <v>0</v>
      </c>
    </row>
    <row r="299" ht="16.5" hidden="1" customHeight="1">
      <c r="A299" s="11" t="s">
        <v>274</v>
      </c>
      <c r="B299" s="12">
        <v>0.0</v>
      </c>
      <c r="C299" s="13">
        <f>IFERROR(B299/B446, "NA")</f>
        <v>0</v>
      </c>
      <c r="D299" s="14"/>
      <c r="E299" s="12">
        <v>0.0</v>
      </c>
      <c r="F299" s="13">
        <f>IFERROR(E299/E446, "NA")</f>
        <v>0</v>
      </c>
      <c r="G299" s="14"/>
      <c r="H299" s="15">
        <f t="shared" si="89"/>
        <v>0</v>
      </c>
      <c r="I299" s="13">
        <f>IFERROR(H299/H446, "NA")</f>
        <v>0</v>
      </c>
      <c r="J299" s="14"/>
      <c r="K299" s="12">
        <v>0.0</v>
      </c>
      <c r="L299" s="13">
        <f>IFERROR(K299/K446, "NA")</f>
        <v>0</v>
      </c>
      <c r="M299" s="14"/>
      <c r="N299" s="15">
        <f t="shared" si="90"/>
        <v>0</v>
      </c>
      <c r="O299" s="13">
        <f>IFERROR(N299/N446, "NA")</f>
        <v>0</v>
      </c>
      <c r="P299" s="14"/>
      <c r="Q299" s="12">
        <v>0.0</v>
      </c>
      <c r="R299" s="13">
        <f>IFERROR(Q299/Q446, "NA")</f>
        <v>0</v>
      </c>
      <c r="S299" s="14"/>
      <c r="T299" s="12">
        <v>0.0</v>
      </c>
      <c r="U299" s="13">
        <f>IFERROR(T299/T446, "NA")</f>
        <v>0</v>
      </c>
      <c r="V299" s="14"/>
      <c r="W299" s="15">
        <f t="shared" si="91"/>
        <v>0</v>
      </c>
      <c r="X299" s="13">
        <f>IFERROR(W299/W446, "NA")</f>
        <v>0</v>
      </c>
      <c r="Y299" s="14"/>
      <c r="Z299" s="12">
        <v>0.0</v>
      </c>
      <c r="AA299" s="13">
        <f>IFERROR(Z299/Z446, "NA")</f>
        <v>0</v>
      </c>
      <c r="AB299" s="14"/>
      <c r="AC299" s="15">
        <f t="shared" si="92"/>
        <v>0</v>
      </c>
      <c r="AD299" s="13">
        <f>IFERROR(AC299/AC446, "NA")</f>
        <v>0</v>
      </c>
    </row>
    <row r="300" ht="16.5" customHeight="1">
      <c r="A300" s="11" t="s">
        <v>275</v>
      </c>
      <c r="B300" s="12">
        <v>505.28</v>
      </c>
      <c r="C300" s="13">
        <f>IFERROR(B300/B446, "NA")</f>
        <v>0.005105657339</v>
      </c>
      <c r="D300" s="14"/>
      <c r="E300" s="12">
        <v>469.0</v>
      </c>
      <c r="F300" s="13">
        <f>IFERROR(E300/E446, "NA")</f>
        <v>0.004640827187</v>
      </c>
      <c r="G300" s="14"/>
      <c r="H300" s="15">
        <f t="shared" si="89"/>
        <v>-36.28</v>
      </c>
      <c r="I300" s="13">
        <f>IFERROR(H300/H446, "NA")</f>
        <v>0.01731874511</v>
      </c>
      <c r="J300" s="14"/>
      <c r="K300" s="12">
        <v>469.2</v>
      </c>
      <c r="L300" s="13">
        <f>IFERROR(K300/K446, "NA")</f>
        <v>0.005068783456</v>
      </c>
      <c r="M300" s="14"/>
      <c r="N300" s="15">
        <f t="shared" si="90"/>
        <v>-36.08</v>
      </c>
      <c r="O300" s="13">
        <f>IFERROR(N300/N446, "NA")</f>
        <v>-0.005639138875</v>
      </c>
      <c r="P300" s="14"/>
      <c r="Q300" s="12">
        <v>3925.51</v>
      </c>
      <c r="R300" s="13">
        <f>IFERROR(Q300/Q446, "NA")</f>
        <v>0.004458294974</v>
      </c>
      <c r="S300" s="14"/>
      <c r="T300" s="12">
        <v>3752.0</v>
      </c>
      <c r="U300" s="13">
        <f>IFERROR(T300/T446, "NA")</f>
        <v>0.003875000338</v>
      </c>
      <c r="V300" s="14"/>
      <c r="W300" s="15">
        <f t="shared" si="91"/>
        <v>-173.51</v>
      </c>
      <c r="X300" s="13">
        <f>IFERROR(W300/W446, "NA")</f>
        <v>0.001977047516</v>
      </c>
      <c r="Y300" s="14"/>
      <c r="Z300" s="12">
        <v>3533.15</v>
      </c>
      <c r="AA300" s="13">
        <f>IFERROR(Z300/Z446, "NA")</f>
        <v>0.00393368413</v>
      </c>
      <c r="AB300" s="14"/>
      <c r="AC300" s="15">
        <f t="shared" si="92"/>
        <v>-392.36</v>
      </c>
      <c r="AD300" s="13">
        <f>IFERROR(AC300/AC446, "NA")</f>
        <v>0.02218908224</v>
      </c>
    </row>
    <row r="301" ht="16.5" hidden="1" customHeight="1">
      <c r="A301" s="11" t="s">
        <v>276</v>
      </c>
      <c r="B301" s="12">
        <v>0.0</v>
      </c>
      <c r="C301" s="13">
        <f>IFERROR(B301/B446, "NA")</f>
        <v>0</v>
      </c>
      <c r="D301" s="14"/>
      <c r="E301" s="12">
        <v>0.0</v>
      </c>
      <c r="F301" s="13">
        <f>IFERROR(E301/E446, "NA")</f>
        <v>0</v>
      </c>
      <c r="G301" s="14"/>
      <c r="H301" s="15">
        <f t="shared" si="89"/>
        <v>0</v>
      </c>
      <c r="I301" s="13">
        <f>IFERROR(H301/H446, "NA")</f>
        <v>0</v>
      </c>
      <c r="J301" s="14"/>
      <c r="K301" s="12">
        <v>0.0</v>
      </c>
      <c r="L301" s="13">
        <f>IFERROR(K301/K446, "NA")</f>
        <v>0</v>
      </c>
      <c r="M301" s="14"/>
      <c r="N301" s="15">
        <f t="shared" si="90"/>
        <v>0</v>
      </c>
      <c r="O301" s="13">
        <f>IFERROR(N301/N446, "NA")</f>
        <v>0</v>
      </c>
      <c r="P301" s="14"/>
      <c r="Q301" s="12">
        <v>0.0</v>
      </c>
      <c r="R301" s="13">
        <f>IFERROR(Q301/Q446, "NA")</f>
        <v>0</v>
      </c>
      <c r="S301" s="14"/>
      <c r="T301" s="12">
        <v>0.0</v>
      </c>
      <c r="U301" s="13">
        <f>IFERROR(T301/T446, "NA")</f>
        <v>0</v>
      </c>
      <c r="V301" s="14"/>
      <c r="W301" s="15">
        <f t="shared" si="91"/>
        <v>0</v>
      </c>
      <c r="X301" s="13">
        <f>IFERROR(W301/W446, "NA")</f>
        <v>0</v>
      </c>
      <c r="Y301" s="14"/>
      <c r="Z301" s="12">
        <v>0.0</v>
      </c>
      <c r="AA301" s="13">
        <f>IFERROR(Z301/Z446, "NA")</f>
        <v>0</v>
      </c>
      <c r="AB301" s="14"/>
      <c r="AC301" s="15">
        <f t="shared" si="92"/>
        <v>0</v>
      </c>
      <c r="AD301" s="13">
        <f>IFERROR(AC301/AC446, "NA")</f>
        <v>0</v>
      </c>
    </row>
    <row r="302" ht="16.5" hidden="1" customHeight="1">
      <c r="A302" s="11" t="s">
        <v>277</v>
      </c>
      <c r="B302" s="12">
        <v>0.0</v>
      </c>
      <c r="C302" s="13">
        <f>IFERROR(B302/B446, "NA")</f>
        <v>0</v>
      </c>
      <c r="D302" s="14"/>
      <c r="E302" s="12">
        <v>0.0</v>
      </c>
      <c r="F302" s="13">
        <f>IFERROR(E302/E446, "NA")</f>
        <v>0</v>
      </c>
      <c r="G302" s="14"/>
      <c r="H302" s="15">
        <f t="shared" si="89"/>
        <v>0</v>
      </c>
      <c r="I302" s="13">
        <f>IFERROR(H302/H446, "NA")</f>
        <v>0</v>
      </c>
      <c r="J302" s="14"/>
      <c r="K302" s="12">
        <v>0.0</v>
      </c>
      <c r="L302" s="13">
        <f>IFERROR(K302/K446, "NA")</f>
        <v>0</v>
      </c>
      <c r="M302" s="14"/>
      <c r="N302" s="15">
        <f t="shared" si="90"/>
        <v>0</v>
      </c>
      <c r="O302" s="13">
        <f>IFERROR(N302/N446, "NA")</f>
        <v>0</v>
      </c>
      <c r="P302" s="14"/>
      <c r="Q302" s="12">
        <v>0.0</v>
      </c>
      <c r="R302" s="13">
        <f>IFERROR(Q302/Q446, "NA")</f>
        <v>0</v>
      </c>
      <c r="S302" s="14"/>
      <c r="T302" s="12">
        <v>0.0</v>
      </c>
      <c r="U302" s="13">
        <f>IFERROR(T302/T446, "NA")</f>
        <v>0</v>
      </c>
      <c r="V302" s="14"/>
      <c r="W302" s="15">
        <f t="shared" si="91"/>
        <v>0</v>
      </c>
      <c r="X302" s="13">
        <f>IFERROR(W302/W446, "NA")</f>
        <v>0</v>
      </c>
      <c r="Y302" s="14"/>
      <c r="Z302" s="12">
        <v>0.0</v>
      </c>
      <c r="AA302" s="13">
        <f>IFERROR(Z302/Z446, "NA")</f>
        <v>0</v>
      </c>
      <c r="AB302" s="14"/>
      <c r="AC302" s="15">
        <f t="shared" si="92"/>
        <v>0</v>
      </c>
      <c r="AD302" s="13">
        <f>IFERROR(AC302/AC446, "NA")</f>
        <v>0</v>
      </c>
    </row>
    <row r="303" ht="16.5" hidden="1" customHeight="1">
      <c r="A303" s="11" t="s">
        <v>278</v>
      </c>
      <c r="B303" s="12">
        <v>0.0</v>
      </c>
      <c r="C303" s="13">
        <f>IFERROR(B303/B446, "NA")</f>
        <v>0</v>
      </c>
      <c r="D303" s="14"/>
      <c r="E303" s="12">
        <v>0.0</v>
      </c>
      <c r="F303" s="13">
        <f>IFERROR(E303/E446, "NA")</f>
        <v>0</v>
      </c>
      <c r="G303" s="14"/>
      <c r="H303" s="15">
        <f t="shared" si="89"/>
        <v>0</v>
      </c>
      <c r="I303" s="13">
        <f>IFERROR(H303/H446, "NA")</f>
        <v>0</v>
      </c>
      <c r="J303" s="14"/>
      <c r="K303" s="12">
        <v>0.0</v>
      </c>
      <c r="L303" s="13">
        <f>IFERROR(K303/K446, "NA")</f>
        <v>0</v>
      </c>
      <c r="M303" s="14"/>
      <c r="N303" s="15">
        <f t="shared" si="90"/>
        <v>0</v>
      </c>
      <c r="O303" s="13">
        <f>IFERROR(N303/N446, "NA")</f>
        <v>0</v>
      </c>
      <c r="P303" s="14"/>
      <c r="Q303" s="12">
        <v>0.0</v>
      </c>
      <c r="R303" s="13">
        <f>IFERROR(Q303/Q446, "NA")</f>
        <v>0</v>
      </c>
      <c r="S303" s="14"/>
      <c r="T303" s="12">
        <v>0.0</v>
      </c>
      <c r="U303" s="13">
        <f>IFERROR(T303/T446, "NA")</f>
        <v>0</v>
      </c>
      <c r="V303" s="14"/>
      <c r="W303" s="15">
        <f t="shared" si="91"/>
        <v>0</v>
      </c>
      <c r="X303" s="13">
        <f>IFERROR(W303/W446, "NA")</f>
        <v>0</v>
      </c>
      <c r="Y303" s="14"/>
      <c r="Z303" s="12">
        <v>0.0</v>
      </c>
      <c r="AA303" s="13">
        <f>IFERROR(Z303/Z446, "NA")</f>
        <v>0</v>
      </c>
      <c r="AB303" s="14"/>
      <c r="AC303" s="15">
        <f t="shared" si="92"/>
        <v>0</v>
      </c>
      <c r="AD303" s="13">
        <f>IFERROR(AC303/AC446, "NA")</f>
        <v>0</v>
      </c>
    </row>
    <row r="304" ht="16.5" hidden="1" customHeight="1">
      <c r="A304" s="11" t="s">
        <v>279</v>
      </c>
      <c r="B304" s="12">
        <v>0.0</v>
      </c>
      <c r="C304" s="13">
        <f>IFERROR(B304/B446, "NA")</f>
        <v>0</v>
      </c>
      <c r="D304" s="14"/>
      <c r="E304" s="12">
        <v>0.0</v>
      </c>
      <c r="F304" s="13">
        <f>IFERROR(E304/E446, "NA")</f>
        <v>0</v>
      </c>
      <c r="G304" s="14"/>
      <c r="H304" s="15">
        <f t="shared" si="89"/>
        <v>0</v>
      </c>
      <c r="I304" s="13">
        <f>IFERROR(H304/H446, "NA")</f>
        <v>0</v>
      </c>
      <c r="J304" s="14"/>
      <c r="K304" s="12">
        <v>0.0</v>
      </c>
      <c r="L304" s="13">
        <f>IFERROR(K304/K446, "NA")</f>
        <v>0</v>
      </c>
      <c r="M304" s="14"/>
      <c r="N304" s="15">
        <f t="shared" si="90"/>
        <v>0</v>
      </c>
      <c r="O304" s="13">
        <f>IFERROR(N304/N446, "NA")</f>
        <v>0</v>
      </c>
      <c r="P304" s="14"/>
      <c r="Q304" s="12">
        <v>0.0</v>
      </c>
      <c r="R304" s="13">
        <f>IFERROR(Q304/Q446, "NA")</f>
        <v>0</v>
      </c>
      <c r="S304" s="14"/>
      <c r="T304" s="12">
        <v>0.0</v>
      </c>
      <c r="U304" s="13">
        <f>IFERROR(T304/T446, "NA")</f>
        <v>0</v>
      </c>
      <c r="V304" s="14"/>
      <c r="W304" s="15">
        <f t="shared" si="91"/>
        <v>0</v>
      </c>
      <c r="X304" s="13">
        <f>IFERROR(W304/W446, "NA")</f>
        <v>0</v>
      </c>
      <c r="Y304" s="14"/>
      <c r="Z304" s="12">
        <v>0.0</v>
      </c>
      <c r="AA304" s="13">
        <f>IFERROR(Z304/Z446, "NA")</f>
        <v>0</v>
      </c>
      <c r="AB304" s="14"/>
      <c r="AC304" s="15">
        <f t="shared" si="92"/>
        <v>0</v>
      </c>
      <c r="AD304" s="13">
        <f>IFERROR(AC304/AC446, "NA")</f>
        <v>0</v>
      </c>
    </row>
    <row r="305" ht="16.5" customHeight="1">
      <c r="A305" s="11" t="s">
        <v>280</v>
      </c>
      <c r="B305" s="12">
        <v>0.0</v>
      </c>
      <c r="C305" s="13">
        <f>IFERROR(B305/B446, "NA")</f>
        <v>0</v>
      </c>
      <c r="D305" s="14"/>
      <c r="E305" s="12">
        <v>0.0</v>
      </c>
      <c r="F305" s="13">
        <f>IFERROR(E305/E446, "NA")</f>
        <v>0</v>
      </c>
      <c r="G305" s="14"/>
      <c r="H305" s="15">
        <f t="shared" si="89"/>
        <v>0</v>
      </c>
      <c r="I305" s="13">
        <f>IFERROR(H305/H446, "NA")</f>
        <v>0</v>
      </c>
      <c r="J305" s="14"/>
      <c r="K305" s="12">
        <v>0.0</v>
      </c>
      <c r="L305" s="13">
        <f>IFERROR(K305/K446, "NA")</f>
        <v>0</v>
      </c>
      <c r="M305" s="14"/>
      <c r="N305" s="15">
        <f t="shared" si="90"/>
        <v>0</v>
      </c>
      <c r="O305" s="13">
        <f>IFERROR(N305/N446, "NA")</f>
        <v>0</v>
      </c>
      <c r="P305" s="14"/>
      <c r="Q305" s="12">
        <v>291.68</v>
      </c>
      <c r="R305" s="13">
        <f>IFERROR(Q305/Q446, "NA")</f>
        <v>0.0003312679061</v>
      </c>
      <c r="S305" s="14"/>
      <c r="T305" s="12">
        <v>0.0</v>
      </c>
      <c r="U305" s="13">
        <f>IFERROR(T305/T446, "NA")</f>
        <v>0</v>
      </c>
      <c r="V305" s="14"/>
      <c r="W305" s="15">
        <f t="shared" si="91"/>
        <v>-291.68</v>
      </c>
      <c r="X305" s="13">
        <f>IFERROR(W305/W446, "NA")</f>
        <v>0.003323527287</v>
      </c>
      <c r="Y305" s="14"/>
      <c r="Z305" s="12">
        <v>217.93</v>
      </c>
      <c r="AA305" s="13">
        <f>IFERROR(Z305/Z446, "NA")</f>
        <v>0.0002426355469</v>
      </c>
      <c r="AB305" s="14"/>
      <c r="AC305" s="15">
        <f t="shared" si="92"/>
        <v>-73.75</v>
      </c>
      <c r="AD305" s="13">
        <f>IFERROR(AC305/AC446, "NA")</f>
        <v>0.004170773819</v>
      </c>
    </row>
    <row r="306" ht="16.5" customHeight="1">
      <c r="A306" s="11" t="s">
        <v>281</v>
      </c>
      <c r="B306" s="12">
        <v>156.11</v>
      </c>
      <c r="C306" s="13">
        <f>IFERROR(B306/B446, "NA")</f>
        <v>0.001577430666</v>
      </c>
      <c r="D306" s="14"/>
      <c r="E306" s="12">
        <v>0.0</v>
      </c>
      <c r="F306" s="13">
        <f>IFERROR(E306/E446, "NA")</f>
        <v>0</v>
      </c>
      <c r="G306" s="14"/>
      <c r="H306" s="15">
        <f t="shared" si="89"/>
        <v>-156.11</v>
      </c>
      <c r="I306" s="13">
        <f>IFERROR(H306/H446, "NA")</f>
        <v>0.07452120448</v>
      </c>
      <c r="J306" s="14"/>
      <c r="K306" s="12">
        <v>30.41</v>
      </c>
      <c r="L306" s="13">
        <f>IFERROR(K306/K446, "NA")</f>
        <v>0.0003285202577</v>
      </c>
      <c r="M306" s="14"/>
      <c r="N306" s="15">
        <f t="shared" si="90"/>
        <v>-125.7</v>
      </c>
      <c r="O306" s="13">
        <f>IFERROR(N306/N446, "NA")</f>
        <v>-0.01964633472</v>
      </c>
      <c r="P306" s="14"/>
      <c r="Q306" s="12">
        <v>890.96</v>
      </c>
      <c r="R306" s="13">
        <f>IFERROR(Q306/Q446, "NA")</f>
        <v>0.001011884441</v>
      </c>
      <c r="S306" s="14"/>
      <c r="T306" s="12">
        <v>0.0</v>
      </c>
      <c r="U306" s="13">
        <f>IFERROR(T306/T446, "NA")</f>
        <v>0</v>
      </c>
      <c r="V306" s="14"/>
      <c r="W306" s="15">
        <f t="shared" si="91"/>
        <v>-890.96</v>
      </c>
      <c r="X306" s="13">
        <f>IFERROR(W306/W446, "NA")</f>
        <v>0.01015198118</v>
      </c>
      <c r="Y306" s="14"/>
      <c r="Z306" s="12">
        <v>157.72</v>
      </c>
      <c r="AA306" s="13">
        <f>IFERROR(Z306/Z446, "NA")</f>
        <v>0.0001755998644</v>
      </c>
      <c r="AB306" s="14"/>
      <c r="AC306" s="15">
        <f t="shared" si="92"/>
        <v>-733.24</v>
      </c>
      <c r="AD306" s="13">
        <f>IFERROR(AC306/AC446, "NA")</f>
        <v>0.04146682298</v>
      </c>
    </row>
    <row r="307" ht="16.5" hidden="1" customHeight="1">
      <c r="A307" s="11" t="s">
        <v>282</v>
      </c>
      <c r="B307" s="12">
        <v>0.0</v>
      </c>
      <c r="C307" s="13">
        <f>IFERROR(B307/B446, "NA")</f>
        <v>0</v>
      </c>
      <c r="D307" s="14"/>
      <c r="E307" s="12">
        <v>0.0</v>
      </c>
      <c r="F307" s="13">
        <f>IFERROR(E307/E446, "NA")</f>
        <v>0</v>
      </c>
      <c r="G307" s="14"/>
      <c r="H307" s="15">
        <f t="shared" si="89"/>
        <v>0</v>
      </c>
      <c r="I307" s="13">
        <f>IFERROR(H307/H446, "NA")</f>
        <v>0</v>
      </c>
      <c r="J307" s="14"/>
      <c r="K307" s="12">
        <v>0.0</v>
      </c>
      <c r="L307" s="13">
        <f>IFERROR(K307/K446, "NA")</f>
        <v>0</v>
      </c>
      <c r="M307" s="14"/>
      <c r="N307" s="15">
        <f t="shared" si="90"/>
        <v>0</v>
      </c>
      <c r="O307" s="13">
        <f>IFERROR(N307/N446, "NA")</f>
        <v>0</v>
      </c>
      <c r="P307" s="14"/>
      <c r="Q307" s="12">
        <v>0.0</v>
      </c>
      <c r="R307" s="13">
        <f>IFERROR(Q307/Q446, "NA")</f>
        <v>0</v>
      </c>
      <c r="S307" s="14"/>
      <c r="T307" s="12">
        <v>0.0</v>
      </c>
      <c r="U307" s="13">
        <f>IFERROR(T307/T446, "NA")</f>
        <v>0</v>
      </c>
      <c r="V307" s="14"/>
      <c r="W307" s="15">
        <f t="shared" si="91"/>
        <v>0</v>
      </c>
      <c r="X307" s="13">
        <f>IFERROR(W307/W446, "NA")</f>
        <v>0</v>
      </c>
      <c r="Y307" s="14"/>
      <c r="Z307" s="12">
        <v>0.0</v>
      </c>
      <c r="AA307" s="13">
        <f>IFERROR(Z307/Z446, "NA")</f>
        <v>0</v>
      </c>
      <c r="AB307" s="14"/>
      <c r="AC307" s="15">
        <f t="shared" si="92"/>
        <v>0</v>
      </c>
      <c r="AD307" s="13">
        <f>IFERROR(AC307/AC446, "NA")</f>
        <v>0</v>
      </c>
    </row>
    <row r="308" ht="16.5" hidden="1" customHeight="1">
      <c r="A308" s="11" t="s">
        <v>283</v>
      </c>
      <c r="B308" s="12">
        <v>0.0</v>
      </c>
      <c r="C308" s="13">
        <f>IFERROR(B308/B446, "NA")</f>
        <v>0</v>
      </c>
      <c r="D308" s="14"/>
      <c r="E308" s="12">
        <v>0.0</v>
      </c>
      <c r="F308" s="13">
        <f>IFERROR(E308/E446, "NA")</f>
        <v>0</v>
      </c>
      <c r="G308" s="14"/>
      <c r="H308" s="15">
        <f t="shared" si="89"/>
        <v>0</v>
      </c>
      <c r="I308" s="13">
        <f>IFERROR(H308/H446, "NA")</f>
        <v>0</v>
      </c>
      <c r="J308" s="14"/>
      <c r="K308" s="12">
        <v>0.0</v>
      </c>
      <c r="L308" s="13">
        <f>IFERROR(K308/K446, "NA")</f>
        <v>0</v>
      </c>
      <c r="M308" s="14"/>
      <c r="N308" s="15">
        <f t="shared" si="90"/>
        <v>0</v>
      </c>
      <c r="O308" s="13">
        <f>IFERROR(N308/N446, "NA")</f>
        <v>0</v>
      </c>
      <c r="P308" s="14"/>
      <c r="Q308" s="12">
        <v>0.0</v>
      </c>
      <c r="R308" s="13">
        <f>IFERROR(Q308/Q446, "NA")</f>
        <v>0</v>
      </c>
      <c r="S308" s="14"/>
      <c r="T308" s="12">
        <v>0.0</v>
      </c>
      <c r="U308" s="13">
        <f>IFERROR(T308/T446, "NA")</f>
        <v>0</v>
      </c>
      <c r="V308" s="14"/>
      <c r="W308" s="15">
        <f t="shared" si="91"/>
        <v>0</v>
      </c>
      <c r="X308" s="13">
        <f>IFERROR(W308/W446, "NA")</f>
        <v>0</v>
      </c>
      <c r="Y308" s="14"/>
      <c r="Z308" s="12">
        <v>0.0</v>
      </c>
      <c r="AA308" s="13">
        <f>IFERROR(Z308/Z446, "NA")</f>
        <v>0</v>
      </c>
      <c r="AB308" s="14"/>
      <c r="AC308" s="15">
        <f t="shared" si="92"/>
        <v>0</v>
      </c>
      <c r="AD308" s="13">
        <f>IFERROR(AC308/AC446, "NA")</f>
        <v>0</v>
      </c>
    </row>
    <row r="309" ht="16.5" hidden="1" customHeight="1">
      <c r="A309" s="11" t="s">
        <v>284</v>
      </c>
      <c r="B309" s="12">
        <v>0.0</v>
      </c>
      <c r="C309" s="13">
        <f>IFERROR(B309/B446, "NA")</f>
        <v>0</v>
      </c>
      <c r="D309" s="14"/>
      <c r="E309" s="12">
        <v>0.0</v>
      </c>
      <c r="F309" s="13">
        <f>IFERROR(E309/E446, "NA")</f>
        <v>0</v>
      </c>
      <c r="G309" s="14"/>
      <c r="H309" s="15">
        <f t="shared" si="89"/>
        <v>0</v>
      </c>
      <c r="I309" s="13">
        <f>IFERROR(H309/H446, "NA")</f>
        <v>0</v>
      </c>
      <c r="J309" s="14"/>
      <c r="K309" s="12">
        <v>0.0</v>
      </c>
      <c r="L309" s="13">
        <f>IFERROR(K309/K446, "NA")</f>
        <v>0</v>
      </c>
      <c r="M309" s="14"/>
      <c r="N309" s="15">
        <f t="shared" si="90"/>
        <v>0</v>
      </c>
      <c r="O309" s="13">
        <f>IFERROR(N309/N446, "NA")</f>
        <v>0</v>
      </c>
      <c r="P309" s="14"/>
      <c r="Q309" s="12">
        <v>0.0</v>
      </c>
      <c r="R309" s="13">
        <f>IFERROR(Q309/Q446, "NA")</f>
        <v>0</v>
      </c>
      <c r="S309" s="14"/>
      <c r="T309" s="12">
        <v>0.0</v>
      </c>
      <c r="U309" s="13">
        <f>IFERROR(T309/T446, "NA")</f>
        <v>0</v>
      </c>
      <c r="V309" s="14"/>
      <c r="W309" s="15">
        <f t="shared" si="91"/>
        <v>0</v>
      </c>
      <c r="X309" s="13">
        <f>IFERROR(W309/W446, "NA")</f>
        <v>0</v>
      </c>
      <c r="Y309" s="14"/>
      <c r="Z309" s="12">
        <v>0.0</v>
      </c>
      <c r="AA309" s="13">
        <f>IFERROR(Z309/Z446, "NA")</f>
        <v>0</v>
      </c>
      <c r="AB309" s="14"/>
      <c r="AC309" s="15">
        <f t="shared" si="92"/>
        <v>0</v>
      </c>
      <c r="AD309" s="13">
        <f>IFERROR(AC309/AC446, "NA")</f>
        <v>0</v>
      </c>
    </row>
    <row r="310" ht="16.5" hidden="1" customHeight="1">
      <c r="A310" s="11" t="s">
        <v>285</v>
      </c>
      <c r="B310" s="12">
        <v>0.0</v>
      </c>
      <c r="C310" s="13">
        <f>IFERROR(B310/B446, "NA")</f>
        <v>0</v>
      </c>
      <c r="D310" s="14"/>
      <c r="E310" s="12">
        <v>0.0</v>
      </c>
      <c r="F310" s="13">
        <f>IFERROR(E310/E446, "NA")</f>
        <v>0</v>
      </c>
      <c r="G310" s="14"/>
      <c r="H310" s="15">
        <f t="shared" si="89"/>
        <v>0</v>
      </c>
      <c r="I310" s="13">
        <f>IFERROR(H310/H446, "NA")</f>
        <v>0</v>
      </c>
      <c r="J310" s="14"/>
      <c r="K310" s="12">
        <v>0.0</v>
      </c>
      <c r="L310" s="13">
        <f>IFERROR(K310/K446, "NA")</f>
        <v>0</v>
      </c>
      <c r="M310" s="14"/>
      <c r="N310" s="15">
        <f t="shared" si="90"/>
        <v>0</v>
      </c>
      <c r="O310" s="13">
        <f>IFERROR(N310/N446, "NA")</f>
        <v>0</v>
      </c>
      <c r="P310" s="14"/>
      <c r="Q310" s="12">
        <v>0.0</v>
      </c>
      <c r="R310" s="13">
        <f>IFERROR(Q310/Q446, "NA")</f>
        <v>0</v>
      </c>
      <c r="S310" s="14"/>
      <c r="T310" s="12">
        <v>0.0</v>
      </c>
      <c r="U310" s="13">
        <f>IFERROR(T310/T446, "NA")</f>
        <v>0</v>
      </c>
      <c r="V310" s="14"/>
      <c r="W310" s="15">
        <f t="shared" si="91"/>
        <v>0</v>
      </c>
      <c r="X310" s="13">
        <f>IFERROR(W310/W446, "NA")</f>
        <v>0</v>
      </c>
      <c r="Y310" s="14"/>
      <c r="Z310" s="12">
        <v>0.0</v>
      </c>
      <c r="AA310" s="13">
        <f>IFERROR(Z310/Z446, "NA")</f>
        <v>0</v>
      </c>
      <c r="AB310" s="14"/>
      <c r="AC310" s="15">
        <f t="shared" si="92"/>
        <v>0</v>
      </c>
      <c r="AD310" s="13">
        <f>IFERROR(AC310/AC446, "NA")</f>
        <v>0</v>
      </c>
    </row>
    <row r="311" ht="16.5" customHeight="1">
      <c r="A311" s="11" t="s">
        <v>286</v>
      </c>
      <c r="B311" s="12">
        <v>0.0</v>
      </c>
      <c r="C311" s="13">
        <f>IFERROR(B311/B446, "NA")</f>
        <v>0</v>
      </c>
      <c r="D311" s="14"/>
      <c r="E311" s="12">
        <v>55.0</v>
      </c>
      <c r="F311" s="13">
        <f>IFERROR(E311/E446, "NA")</f>
        <v>0.0005442334655</v>
      </c>
      <c r="G311" s="14"/>
      <c r="H311" s="15">
        <f t="shared" si="89"/>
        <v>55</v>
      </c>
      <c r="I311" s="13">
        <f>IFERROR(H311/H446, "NA")</f>
        <v>-0.02625498845</v>
      </c>
      <c r="J311" s="14"/>
      <c r="K311" s="12">
        <v>11.21</v>
      </c>
      <c r="L311" s="13">
        <f>IFERROR(K311/K446, "NA")</f>
        <v>0.0001211020088</v>
      </c>
      <c r="M311" s="14"/>
      <c r="N311" s="15">
        <f t="shared" si="90"/>
        <v>11.21</v>
      </c>
      <c r="O311" s="13">
        <f>IFERROR(N311/N446, "NA")</f>
        <v>0.001752071696</v>
      </c>
      <c r="P311" s="14"/>
      <c r="Q311" s="12">
        <v>177.95</v>
      </c>
      <c r="R311" s="13">
        <f>IFERROR(Q311/Q446, "NA")</f>
        <v>0.000202102043</v>
      </c>
      <c r="S311" s="14"/>
      <c r="T311" s="12">
        <v>440.0</v>
      </c>
      <c r="U311" s="13">
        <f>IFERROR(T311/T446, "NA")</f>
        <v>0.0004544243467</v>
      </c>
      <c r="V311" s="14"/>
      <c r="W311" s="15">
        <f t="shared" si="91"/>
        <v>262.05</v>
      </c>
      <c r="X311" s="13">
        <f>IFERROR(W311/W446, "NA")</f>
        <v>-0.002985910332</v>
      </c>
      <c r="Y311" s="14"/>
      <c r="Z311" s="12">
        <v>170.41</v>
      </c>
      <c r="AA311" s="13">
        <f>IFERROR(Z311/Z446, "NA")</f>
        <v>0.0001897284612</v>
      </c>
      <c r="AB311" s="14"/>
      <c r="AC311" s="15">
        <f t="shared" si="92"/>
        <v>-7.54</v>
      </c>
      <c r="AD311" s="13">
        <f>IFERROR(AC311/AC446, "NA")</f>
        <v>0.0004264086046</v>
      </c>
    </row>
    <row r="312" ht="16.5" customHeight="1">
      <c r="A312" s="11" t="s">
        <v>287</v>
      </c>
      <c r="B312" s="12">
        <v>0.0</v>
      </c>
      <c r="C312" s="13">
        <f>IFERROR(B312/B446, "NA")</f>
        <v>0</v>
      </c>
      <c r="D312" s="14"/>
      <c r="E312" s="12">
        <v>0.0</v>
      </c>
      <c r="F312" s="13">
        <f>IFERROR(E312/E446, "NA")</f>
        <v>0</v>
      </c>
      <c r="G312" s="14"/>
      <c r="H312" s="15">
        <f t="shared" si="89"/>
        <v>0</v>
      </c>
      <c r="I312" s="13">
        <f>IFERROR(H312/H446, "NA")</f>
        <v>0</v>
      </c>
      <c r="J312" s="14"/>
      <c r="K312" s="12">
        <v>0.0</v>
      </c>
      <c r="L312" s="13">
        <f>IFERROR(K312/K446, "NA")</f>
        <v>0</v>
      </c>
      <c r="M312" s="14"/>
      <c r="N312" s="15">
        <f t="shared" si="90"/>
        <v>0</v>
      </c>
      <c r="O312" s="13">
        <f>IFERROR(N312/N446, "NA")</f>
        <v>0</v>
      </c>
      <c r="P312" s="14"/>
      <c r="Q312" s="12">
        <v>0.0</v>
      </c>
      <c r="R312" s="13">
        <f>IFERROR(Q312/Q446, "NA")</f>
        <v>0</v>
      </c>
      <c r="S312" s="14"/>
      <c r="T312" s="12">
        <v>0.0</v>
      </c>
      <c r="U312" s="13">
        <f>IFERROR(T312/T446, "NA")</f>
        <v>0</v>
      </c>
      <c r="V312" s="14"/>
      <c r="W312" s="15">
        <f t="shared" si="91"/>
        <v>0</v>
      </c>
      <c r="X312" s="13">
        <f>IFERROR(W312/W446, "NA")</f>
        <v>0</v>
      </c>
      <c r="Y312" s="14"/>
      <c r="Z312" s="12">
        <v>26.7</v>
      </c>
      <c r="AA312" s="13">
        <f>IFERROR(Z312/Z446, "NA")</f>
        <v>0.00002972683477</v>
      </c>
      <c r="AB312" s="14"/>
      <c r="AC312" s="15">
        <f t="shared" si="92"/>
        <v>26.7</v>
      </c>
      <c r="AD312" s="13">
        <f>IFERROR(AC312/AC446, "NA")</f>
        <v>-0.001509961504</v>
      </c>
    </row>
    <row r="313" ht="16.5" customHeight="1">
      <c r="A313" s="11" t="s">
        <v>288</v>
      </c>
      <c r="B313" s="12">
        <v>1016.48</v>
      </c>
      <c r="C313" s="13">
        <f>IFERROR(B313/B446, "NA")</f>
        <v>0.01027113397</v>
      </c>
      <c r="D313" s="14"/>
      <c r="E313" s="12">
        <v>35.0</v>
      </c>
      <c r="F313" s="13">
        <f>IFERROR(E313/E446, "NA")</f>
        <v>0.0003463303871</v>
      </c>
      <c r="G313" s="14"/>
      <c r="H313" s="15">
        <f t="shared" si="89"/>
        <v>-981.48</v>
      </c>
      <c r="I313" s="13">
        <f>IFERROR(H313/H446, "NA")</f>
        <v>0.4685226557</v>
      </c>
      <c r="J313" s="14"/>
      <c r="K313" s="12">
        <v>456.73</v>
      </c>
      <c r="L313" s="13">
        <f>IFERROR(K313/K446, "NA")</f>
        <v>0.004934069625</v>
      </c>
      <c r="M313" s="14"/>
      <c r="N313" s="15">
        <f t="shared" si="90"/>
        <v>-559.75</v>
      </c>
      <c r="O313" s="13">
        <f>IFERROR(N313/N446, "NA")</f>
        <v>-0.08748636322</v>
      </c>
      <c r="P313" s="14"/>
      <c r="Q313" s="12">
        <v>5350.03</v>
      </c>
      <c r="R313" s="13">
        <f>IFERROR(Q313/Q446, "NA")</f>
        <v>0.006076156184</v>
      </c>
      <c r="S313" s="14"/>
      <c r="T313" s="12">
        <v>280.0</v>
      </c>
      <c r="U313" s="13">
        <f>IFERROR(T313/T446, "NA")</f>
        <v>0.0002891791297</v>
      </c>
      <c r="V313" s="14"/>
      <c r="W313" s="15">
        <f t="shared" si="91"/>
        <v>-5070.03</v>
      </c>
      <c r="X313" s="13">
        <f>IFERROR(W313/W446, "NA")</f>
        <v>0.05777010097</v>
      </c>
      <c r="Y313" s="14"/>
      <c r="Z313" s="12">
        <v>3984.53</v>
      </c>
      <c r="AA313" s="13">
        <f>IFERROR(Z313/Z446, "NA")</f>
        <v>0.004436234642</v>
      </c>
      <c r="AB313" s="14"/>
      <c r="AC313" s="15">
        <f t="shared" si="92"/>
        <v>-1365.5</v>
      </c>
      <c r="AD313" s="13">
        <f>IFERROR(AC313/AC446, "NA")</f>
        <v>0.07722293762</v>
      </c>
    </row>
    <row r="314" ht="16.5" customHeight="1">
      <c r="A314" s="11" t="s">
        <v>289</v>
      </c>
      <c r="B314" s="12">
        <v>3.0</v>
      </c>
      <c r="C314" s="13">
        <f>IFERROR(B314/B446, "NA")</f>
        <v>0.00003031382999</v>
      </c>
      <c r="D314" s="14"/>
      <c r="E314" s="12">
        <v>10.0</v>
      </c>
      <c r="F314" s="13">
        <f>IFERROR(E314/E446, "NA")</f>
        <v>0.00009895153918</v>
      </c>
      <c r="G314" s="14"/>
      <c r="H314" s="15">
        <f t="shared" si="89"/>
        <v>7</v>
      </c>
      <c r="I314" s="13">
        <f>IFERROR(H314/H446, "NA")</f>
        <v>-0.003341543984</v>
      </c>
      <c r="J314" s="14"/>
      <c r="K314" s="12">
        <v>0.0</v>
      </c>
      <c r="L314" s="13">
        <f>IFERROR(K314/K446, "NA")</f>
        <v>0</v>
      </c>
      <c r="M314" s="14"/>
      <c r="N314" s="15">
        <f t="shared" si="90"/>
        <v>-3</v>
      </c>
      <c r="O314" s="13">
        <f>IFERROR(N314/N446, "NA")</f>
        <v>-0.0004688862701</v>
      </c>
      <c r="P314" s="14"/>
      <c r="Q314" s="12">
        <v>13.0</v>
      </c>
      <c r="R314" s="13">
        <f>IFERROR(Q314/Q446, "NA")</f>
        <v>0.00001476440887</v>
      </c>
      <c r="S314" s="14"/>
      <c r="T314" s="12">
        <v>90.0</v>
      </c>
      <c r="U314" s="13">
        <f>IFERROR(T314/T446, "NA")</f>
        <v>0.00009295043455</v>
      </c>
      <c r="V314" s="14"/>
      <c r="W314" s="15">
        <f t="shared" si="91"/>
        <v>77</v>
      </c>
      <c r="X314" s="13">
        <f>IFERROR(W314/W446, "NA")</f>
        <v>-0.0008773710954</v>
      </c>
      <c r="Y314" s="14"/>
      <c r="Z314" s="12">
        <v>40.85</v>
      </c>
      <c r="AA314" s="13">
        <f>IFERROR(Z314/Z446, "NA")</f>
        <v>0.00004548094384</v>
      </c>
      <c r="AB314" s="14"/>
      <c r="AC314" s="15">
        <f t="shared" si="92"/>
        <v>27.85</v>
      </c>
      <c r="AD314" s="13">
        <f>IFERROR(AC314/AC446, "NA")</f>
        <v>-0.0015749973</v>
      </c>
    </row>
    <row r="315" ht="16.5" hidden="1" customHeight="1">
      <c r="A315" s="11" t="s">
        <v>290</v>
      </c>
      <c r="B315" s="12">
        <v>0.0</v>
      </c>
      <c r="C315" s="13">
        <f>IFERROR(B315/B446, "NA")</f>
        <v>0</v>
      </c>
      <c r="D315" s="14"/>
      <c r="E315" s="12">
        <v>0.0</v>
      </c>
      <c r="F315" s="13">
        <f>IFERROR(E315/E446, "NA")</f>
        <v>0</v>
      </c>
      <c r="G315" s="14"/>
      <c r="H315" s="15">
        <f t="shared" si="89"/>
        <v>0</v>
      </c>
      <c r="I315" s="13">
        <f>IFERROR(H315/H446, "NA")</f>
        <v>0</v>
      </c>
      <c r="J315" s="14"/>
      <c r="K315" s="12">
        <v>0.0</v>
      </c>
      <c r="L315" s="13">
        <f>IFERROR(K315/K446, "NA")</f>
        <v>0</v>
      </c>
      <c r="M315" s="14"/>
      <c r="N315" s="15">
        <f t="shared" si="90"/>
        <v>0</v>
      </c>
      <c r="O315" s="13">
        <f>IFERROR(N315/N446, "NA")</f>
        <v>0</v>
      </c>
      <c r="P315" s="14"/>
      <c r="Q315" s="12">
        <v>0.0</v>
      </c>
      <c r="R315" s="13">
        <f>IFERROR(Q315/Q446, "NA")</f>
        <v>0</v>
      </c>
      <c r="S315" s="14"/>
      <c r="T315" s="12">
        <v>0.0</v>
      </c>
      <c r="U315" s="13">
        <f>IFERROR(T315/T446, "NA")</f>
        <v>0</v>
      </c>
      <c r="V315" s="14"/>
      <c r="W315" s="15">
        <f t="shared" si="91"/>
        <v>0</v>
      </c>
      <c r="X315" s="13">
        <f>IFERROR(W315/W446, "NA")</f>
        <v>0</v>
      </c>
      <c r="Y315" s="14"/>
      <c r="Z315" s="12">
        <v>0.0</v>
      </c>
      <c r="AA315" s="13">
        <f>IFERROR(Z315/Z446, "NA")</f>
        <v>0</v>
      </c>
      <c r="AB315" s="14"/>
      <c r="AC315" s="15">
        <f t="shared" si="92"/>
        <v>0</v>
      </c>
      <c r="AD315" s="13">
        <f>IFERROR(AC315/AC446, "NA")</f>
        <v>0</v>
      </c>
    </row>
    <row r="316" ht="16.5" customHeight="1">
      <c r="A316" s="11" t="s">
        <v>291</v>
      </c>
      <c r="B316" s="12">
        <v>483.45</v>
      </c>
      <c r="C316" s="13">
        <f>IFERROR(B316/B446, "NA")</f>
        <v>0.004885073703</v>
      </c>
      <c r="D316" s="14"/>
      <c r="E316" s="12">
        <v>404.24</v>
      </c>
      <c r="F316" s="13">
        <f>IFERROR(E316/E446, "NA")</f>
        <v>0.00400001702</v>
      </c>
      <c r="G316" s="14"/>
      <c r="H316" s="15">
        <f t="shared" si="89"/>
        <v>-79.21</v>
      </c>
      <c r="I316" s="13">
        <f>IFERROR(H316/H446, "NA")</f>
        <v>0.037811957</v>
      </c>
      <c r="J316" s="14"/>
      <c r="K316" s="12">
        <v>533.34</v>
      </c>
      <c r="L316" s="13">
        <f>IFERROR(K316/K446, "NA")</f>
        <v>0.005761690044</v>
      </c>
      <c r="M316" s="14"/>
      <c r="N316" s="15">
        <f t="shared" si="90"/>
        <v>49.89</v>
      </c>
      <c r="O316" s="13">
        <f>IFERROR(N316/N446, "NA")</f>
        <v>0.007797578671</v>
      </c>
      <c r="P316" s="14"/>
      <c r="Q316" s="12">
        <v>4117.01</v>
      </c>
      <c r="R316" s="13">
        <f>IFERROR(Q316/Q446, "NA")</f>
        <v>0.004675786074</v>
      </c>
      <c r="S316" s="14"/>
      <c r="T316" s="12">
        <v>3873.04</v>
      </c>
      <c r="U316" s="13">
        <f>IFERROR(T316/T446, "NA")</f>
        <v>0.004000008345</v>
      </c>
      <c r="V316" s="14"/>
      <c r="W316" s="15">
        <f t="shared" si="91"/>
        <v>-243.97</v>
      </c>
      <c r="X316" s="13">
        <f>IFERROR(W316/W446, "NA")</f>
        <v>0.002779899041</v>
      </c>
      <c r="Y316" s="14"/>
      <c r="Z316" s="12">
        <v>3266.7</v>
      </c>
      <c r="AA316" s="13">
        <f>IFERROR(Z316/Z446, "NA")</f>
        <v>0.003637028133</v>
      </c>
      <c r="AB316" s="14"/>
      <c r="AC316" s="15">
        <f t="shared" si="92"/>
        <v>-850.31</v>
      </c>
      <c r="AD316" s="13">
        <f>IFERROR(AC316/AC446, "NA")</f>
        <v>0.04808746692</v>
      </c>
    </row>
    <row r="317" ht="16.5" customHeight="1">
      <c r="A317" s="11" t="s">
        <v>292</v>
      </c>
      <c r="B317" s="12">
        <v>-0.62</v>
      </c>
      <c r="C317" s="13">
        <f>IFERROR(B317/B446, "NA")</f>
        <v>-0.000006264858197</v>
      </c>
      <c r="D317" s="14"/>
      <c r="E317" s="12">
        <v>0.0</v>
      </c>
      <c r="F317" s="13">
        <f>IFERROR(E317/E446, "NA")</f>
        <v>0</v>
      </c>
      <c r="G317" s="14"/>
      <c r="H317" s="15">
        <f t="shared" si="89"/>
        <v>0.62</v>
      </c>
      <c r="I317" s="13">
        <f>IFERROR(H317/H446, "NA")</f>
        <v>-0.0002959653243</v>
      </c>
      <c r="J317" s="14"/>
      <c r="K317" s="12">
        <v>0.0</v>
      </c>
      <c r="L317" s="13">
        <f>IFERROR(K317/K446, "NA")</f>
        <v>0</v>
      </c>
      <c r="M317" s="14"/>
      <c r="N317" s="15">
        <f t="shared" si="90"/>
        <v>0.62</v>
      </c>
      <c r="O317" s="13">
        <f>IFERROR(N317/N446, "NA")</f>
        <v>0.00009690316248</v>
      </c>
      <c r="P317" s="14"/>
      <c r="Q317" s="12">
        <v>347.51</v>
      </c>
      <c r="R317" s="13">
        <f>IFERROR(Q317/Q446, "NA")</f>
        <v>0.0003946753636</v>
      </c>
      <c r="S317" s="14"/>
      <c r="T317" s="12">
        <v>0.0</v>
      </c>
      <c r="U317" s="13">
        <f>IFERROR(T317/T446, "NA")</f>
        <v>0</v>
      </c>
      <c r="V317" s="14"/>
      <c r="W317" s="15">
        <f t="shared" si="91"/>
        <v>-347.51</v>
      </c>
      <c r="X317" s="13">
        <f>IFERROR(W317/W446, "NA")</f>
        <v>0.003959678303</v>
      </c>
      <c r="Y317" s="14"/>
      <c r="Z317" s="12">
        <v>0.0</v>
      </c>
      <c r="AA317" s="13">
        <f>IFERROR(Z317/Z446, "NA")</f>
        <v>0</v>
      </c>
      <c r="AB317" s="14"/>
      <c r="AC317" s="15">
        <f t="shared" si="92"/>
        <v>-347.51</v>
      </c>
      <c r="AD317" s="13">
        <f>IFERROR(AC317/AC446, "NA")</f>
        <v>0.01965268623</v>
      </c>
    </row>
    <row r="318" ht="16.5" hidden="1" customHeight="1">
      <c r="A318" s="11" t="s">
        <v>293</v>
      </c>
      <c r="B318" s="12">
        <v>0.0</v>
      </c>
      <c r="C318" s="13">
        <f>IFERROR(B318/B446, "NA")</f>
        <v>0</v>
      </c>
      <c r="D318" s="14"/>
      <c r="E318" s="12">
        <v>0.0</v>
      </c>
      <c r="F318" s="13">
        <f>IFERROR(E318/E446, "NA")</f>
        <v>0</v>
      </c>
      <c r="G318" s="14"/>
      <c r="H318" s="15">
        <f t="shared" si="89"/>
        <v>0</v>
      </c>
      <c r="I318" s="13">
        <f>IFERROR(H318/H446, "NA")</f>
        <v>0</v>
      </c>
      <c r="J318" s="14"/>
      <c r="K318" s="12">
        <v>0.0</v>
      </c>
      <c r="L318" s="13">
        <f>IFERROR(K318/K446, "NA")</f>
        <v>0</v>
      </c>
      <c r="M318" s="14"/>
      <c r="N318" s="15">
        <f t="shared" si="90"/>
        <v>0</v>
      </c>
      <c r="O318" s="13">
        <f>IFERROR(N318/N446, "NA")</f>
        <v>0</v>
      </c>
      <c r="P318" s="14"/>
      <c r="Q318" s="12">
        <v>0.0</v>
      </c>
      <c r="R318" s="13">
        <f>IFERROR(Q318/Q446, "NA")</f>
        <v>0</v>
      </c>
      <c r="S318" s="14"/>
      <c r="T318" s="12">
        <v>0.0</v>
      </c>
      <c r="U318" s="13">
        <f>IFERROR(T318/T446, "NA")</f>
        <v>0</v>
      </c>
      <c r="V318" s="14"/>
      <c r="W318" s="15">
        <f t="shared" si="91"/>
        <v>0</v>
      </c>
      <c r="X318" s="13">
        <f>IFERROR(W318/W446, "NA")</f>
        <v>0</v>
      </c>
      <c r="Y318" s="14"/>
      <c r="Z318" s="12">
        <v>0.0</v>
      </c>
      <c r="AA318" s="13">
        <f>IFERROR(Z318/Z446, "NA")</f>
        <v>0</v>
      </c>
      <c r="AB318" s="14"/>
      <c r="AC318" s="15">
        <f t="shared" si="92"/>
        <v>0</v>
      </c>
      <c r="AD318" s="13">
        <f>IFERROR(AC318/AC446, "NA")</f>
        <v>0</v>
      </c>
    </row>
    <row r="319" ht="16.5" hidden="1" customHeight="1">
      <c r="A319" s="11" t="s">
        <v>294</v>
      </c>
      <c r="B319" s="12">
        <v>0.0</v>
      </c>
      <c r="C319" s="13">
        <f>IFERROR(B319/B446, "NA")</f>
        <v>0</v>
      </c>
      <c r="D319" s="14"/>
      <c r="E319" s="12">
        <v>0.0</v>
      </c>
      <c r="F319" s="13">
        <f>IFERROR(E319/E446, "NA")</f>
        <v>0</v>
      </c>
      <c r="G319" s="14"/>
      <c r="H319" s="15">
        <f t="shared" si="89"/>
        <v>0</v>
      </c>
      <c r="I319" s="13">
        <f>IFERROR(H319/H446, "NA")</f>
        <v>0</v>
      </c>
      <c r="J319" s="14"/>
      <c r="K319" s="12">
        <v>0.0</v>
      </c>
      <c r="L319" s="13">
        <f>IFERROR(K319/K446, "NA")</f>
        <v>0</v>
      </c>
      <c r="M319" s="14"/>
      <c r="N319" s="15">
        <f t="shared" si="90"/>
        <v>0</v>
      </c>
      <c r="O319" s="13">
        <f>IFERROR(N319/N446, "NA")</f>
        <v>0</v>
      </c>
      <c r="P319" s="14"/>
      <c r="Q319" s="12">
        <v>0.0</v>
      </c>
      <c r="R319" s="13">
        <f>IFERROR(Q319/Q446, "NA")</f>
        <v>0</v>
      </c>
      <c r="S319" s="14"/>
      <c r="T319" s="12">
        <v>0.0</v>
      </c>
      <c r="U319" s="13">
        <f>IFERROR(T319/T446, "NA")</f>
        <v>0</v>
      </c>
      <c r="V319" s="14"/>
      <c r="W319" s="15">
        <f t="shared" si="91"/>
        <v>0</v>
      </c>
      <c r="X319" s="13">
        <f>IFERROR(W319/W446, "NA")</f>
        <v>0</v>
      </c>
      <c r="Y319" s="14"/>
      <c r="Z319" s="12">
        <v>0.0</v>
      </c>
      <c r="AA319" s="13">
        <f>IFERROR(Z319/Z446, "NA")</f>
        <v>0</v>
      </c>
      <c r="AB319" s="14"/>
      <c r="AC319" s="15">
        <f t="shared" si="92"/>
        <v>0</v>
      </c>
      <c r="AD319" s="13">
        <f>IFERROR(AC319/AC446, "NA")</f>
        <v>0</v>
      </c>
    </row>
    <row r="320" ht="16.5" customHeight="1">
      <c r="A320" s="11" t="s">
        <v>295</v>
      </c>
      <c r="B320" s="12">
        <v>396.28</v>
      </c>
      <c r="C320" s="13">
        <f>IFERROR(B320/B446, "NA")</f>
        <v>0.004004254849</v>
      </c>
      <c r="D320" s="14"/>
      <c r="E320" s="12">
        <v>308.0</v>
      </c>
      <c r="F320" s="13">
        <f>IFERROR(E320/E446, "NA")</f>
        <v>0.003047707407</v>
      </c>
      <c r="G320" s="14"/>
      <c r="H320" s="15">
        <f t="shared" si="89"/>
        <v>-88.28</v>
      </c>
      <c r="I320" s="13">
        <f>IFERROR(H320/H446, "NA")</f>
        <v>0.04214164328</v>
      </c>
      <c r="J320" s="14"/>
      <c r="K320" s="12">
        <v>307.43</v>
      </c>
      <c r="L320" s="13">
        <f>IFERROR(K320/K446, "NA")</f>
        <v>0.003321176679</v>
      </c>
      <c r="M320" s="14"/>
      <c r="N320" s="15">
        <f t="shared" si="90"/>
        <v>-88.85</v>
      </c>
      <c r="O320" s="13">
        <f>IFERROR(N320/N446, "NA")</f>
        <v>-0.01388684837</v>
      </c>
      <c r="P320" s="14"/>
      <c r="Q320" s="12">
        <v>3004.03</v>
      </c>
      <c r="R320" s="13">
        <f>IFERROR(Q320/Q446, "NA")</f>
        <v>0.003411748245</v>
      </c>
      <c r="S320" s="14"/>
      <c r="T320" s="12">
        <v>2464.0</v>
      </c>
      <c r="U320" s="13">
        <f>IFERROR(T320/T446, "NA")</f>
        <v>0.002544776342</v>
      </c>
      <c r="V320" s="14"/>
      <c r="W320" s="15">
        <f t="shared" si="91"/>
        <v>-540.03</v>
      </c>
      <c r="X320" s="13">
        <f>IFERROR(W320/W446, "NA")</f>
        <v>0.00615333393</v>
      </c>
      <c r="Y320" s="14"/>
      <c r="Z320" s="12">
        <v>2322.43</v>
      </c>
      <c r="AA320" s="13">
        <f>IFERROR(Z320/Z446, "NA")</f>
        <v>0.002585711344</v>
      </c>
      <c r="AB320" s="14"/>
      <c r="AC320" s="15">
        <f t="shared" si="92"/>
        <v>-681.6</v>
      </c>
      <c r="AD320" s="13">
        <f>IFERROR(AC320/AC446, "NA")</f>
        <v>0.03854643301</v>
      </c>
    </row>
    <row r="321" ht="16.5" customHeight="1">
      <c r="A321" s="11" t="s">
        <v>296</v>
      </c>
      <c r="B321" s="12">
        <v>1111.42</v>
      </c>
      <c r="C321" s="13">
        <f>IFERROR(B321/B446, "NA")</f>
        <v>0.01123046564</v>
      </c>
      <c r="D321" s="14"/>
      <c r="E321" s="12">
        <v>1186.0</v>
      </c>
      <c r="F321" s="13">
        <f>IFERROR(E321/E446, "NA")</f>
        <v>0.01173565255</v>
      </c>
      <c r="G321" s="14"/>
      <c r="H321" s="15">
        <f t="shared" si="89"/>
        <v>74.58</v>
      </c>
      <c r="I321" s="13">
        <f>IFERROR(H321/H446, "NA")</f>
        <v>-0.03560176434</v>
      </c>
      <c r="J321" s="14"/>
      <c r="K321" s="12">
        <v>1188.23</v>
      </c>
      <c r="L321" s="13">
        <f>IFERROR(K321/K446, "NA")</f>
        <v>0.01283648885</v>
      </c>
      <c r="M321" s="14"/>
      <c r="N321" s="15">
        <f t="shared" si="90"/>
        <v>76.81</v>
      </c>
      <c r="O321" s="13">
        <f>IFERROR(N321/N446, "NA")</f>
        <v>0.01200505147</v>
      </c>
      <c r="P321" s="14"/>
      <c r="Q321" s="12">
        <v>8901.1</v>
      </c>
      <c r="R321" s="13">
        <f>IFERROR(Q321/Q446, "NA")</f>
        <v>0.01010919075</v>
      </c>
      <c r="S321" s="14"/>
      <c r="T321" s="12">
        <v>9488.0</v>
      </c>
      <c r="U321" s="13">
        <f>IFERROR(T321/T446, "NA")</f>
        <v>0.009799041367</v>
      </c>
      <c r="V321" s="14"/>
      <c r="W321" s="15">
        <f t="shared" si="91"/>
        <v>586.9</v>
      </c>
      <c r="X321" s="13">
        <f>IFERROR(W321/W446, "NA")</f>
        <v>-0.006687390856</v>
      </c>
      <c r="Y321" s="14"/>
      <c r="Z321" s="12">
        <v>9349.71</v>
      </c>
      <c r="AA321" s="13">
        <f>IFERROR(Z321/Z446, "NA")</f>
        <v>0.01040963612</v>
      </c>
      <c r="AB321" s="14"/>
      <c r="AC321" s="15">
        <f t="shared" si="92"/>
        <v>448.61</v>
      </c>
      <c r="AD321" s="13">
        <f>IFERROR(AC321/AC446, "NA")</f>
        <v>-0.02537018092</v>
      </c>
    </row>
    <row r="322" ht="16.5" customHeight="1">
      <c r="A322" s="11" t="s">
        <v>297</v>
      </c>
      <c r="B322" s="12">
        <v>1148.42</v>
      </c>
      <c r="C322" s="13">
        <f>IFERROR(B322/B446, "NA")</f>
        <v>0.01160433621</v>
      </c>
      <c r="D322" s="14"/>
      <c r="E322" s="12">
        <v>1515.89</v>
      </c>
      <c r="F322" s="13">
        <f>IFERROR(E322/E446, "NA")</f>
        <v>0.01499996487</v>
      </c>
      <c r="G322" s="14"/>
      <c r="H322" s="15">
        <f t="shared" si="89"/>
        <v>367.47</v>
      </c>
      <c r="I322" s="13">
        <f>IFERROR(H322/H446, "NA")</f>
        <v>-0.1754167383</v>
      </c>
      <c r="J322" s="14"/>
      <c r="K322" s="12">
        <v>1051.34</v>
      </c>
      <c r="L322" s="13">
        <f>IFERROR(K322/K446, "NA")</f>
        <v>0.01135766155</v>
      </c>
      <c r="M322" s="14"/>
      <c r="N322" s="15">
        <f t="shared" si="90"/>
        <v>-97.08</v>
      </c>
      <c r="O322" s="13">
        <f>IFERROR(N322/N446, "NA")</f>
        <v>-0.0151731597</v>
      </c>
      <c r="P322" s="14"/>
      <c r="Q322" s="12">
        <v>8021.15</v>
      </c>
      <c r="R322" s="13">
        <f>IFERROR(Q322/Q446, "NA")</f>
        <v>0.009109810632</v>
      </c>
      <c r="S322" s="14"/>
      <c r="T322" s="12">
        <v>14426.76</v>
      </c>
      <c r="U322" s="13">
        <f>IFERROR(T322/T446, "NA")</f>
        <v>0.01489970679</v>
      </c>
      <c r="V322" s="14"/>
      <c r="W322" s="15">
        <f t="shared" si="91"/>
        <v>6405.61</v>
      </c>
      <c r="X322" s="13">
        <f>IFERROR(W322/W446, "NA")</f>
        <v>-0.07298827354</v>
      </c>
      <c r="Y322" s="14"/>
      <c r="Z322" s="12">
        <v>16949.72</v>
      </c>
      <c r="AA322" s="13">
        <f>IFERROR(Z322/Z446, "NA")</f>
        <v>0.0188712182</v>
      </c>
      <c r="AB322" s="14"/>
      <c r="AC322" s="15">
        <f t="shared" si="92"/>
        <v>8928.57</v>
      </c>
      <c r="AD322" s="13">
        <f>IFERROR(AC322/AC446, "NA")</f>
        <v>-0.5049362169</v>
      </c>
    </row>
    <row r="323" ht="16.5" customHeight="1">
      <c r="A323" s="11" t="s">
        <v>298</v>
      </c>
      <c r="B323" s="12">
        <v>368.01</v>
      </c>
      <c r="C323" s="13">
        <f>IFERROR(B323/B446, "NA")</f>
        <v>0.003718597525</v>
      </c>
      <c r="D323" s="14"/>
      <c r="E323" s="12">
        <v>252.0</v>
      </c>
      <c r="F323" s="13">
        <f>IFERROR(E323/E446, "NA")</f>
        <v>0.002493578787</v>
      </c>
      <c r="G323" s="14"/>
      <c r="H323" s="15">
        <f t="shared" si="89"/>
        <v>-116.01</v>
      </c>
      <c r="I323" s="13">
        <f>IFERROR(H323/H446, "NA")</f>
        <v>0.05537893109</v>
      </c>
      <c r="J323" s="14"/>
      <c r="K323" s="12">
        <v>252.08</v>
      </c>
      <c r="L323" s="13">
        <f>IFERROR(K323/K446, "NA")</f>
        <v>0.002723228759</v>
      </c>
      <c r="M323" s="14"/>
      <c r="N323" s="15">
        <f t="shared" si="90"/>
        <v>-115.93</v>
      </c>
      <c r="O323" s="13">
        <f>IFERROR(N323/N446, "NA")</f>
        <v>-0.01811932843</v>
      </c>
      <c r="P323" s="14"/>
      <c r="Q323" s="12">
        <v>3461.75</v>
      </c>
      <c r="R323" s="13">
        <f>IFERROR(Q323/Q446, "NA")</f>
        <v>0.003931591724</v>
      </c>
      <c r="S323" s="14"/>
      <c r="T323" s="12">
        <v>2016.0</v>
      </c>
      <c r="U323" s="13">
        <f>IFERROR(T323/T446, "NA")</f>
        <v>0.002082089734</v>
      </c>
      <c r="V323" s="14"/>
      <c r="W323" s="15">
        <f t="shared" si="91"/>
        <v>-1445.75</v>
      </c>
      <c r="X323" s="13">
        <f>IFERROR(W323/W446, "NA")</f>
        <v>0.0164734969</v>
      </c>
      <c r="Y323" s="14"/>
      <c r="Z323" s="12">
        <v>4550.54</v>
      </c>
      <c r="AA323" s="13">
        <f>IFERROR(Z323/Z446, "NA")</f>
        <v>0.005066410139</v>
      </c>
      <c r="AB323" s="14"/>
      <c r="AC323" s="15">
        <f t="shared" si="92"/>
        <v>1088.79</v>
      </c>
      <c r="AD323" s="13">
        <f>IFERROR(AC323/AC446, "NA")</f>
        <v>-0.06157419425</v>
      </c>
    </row>
    <row r="324" ht="16.5" hidden="1" customHeight="1">
      <c r="A324" s="11" t="s">
        <v>299</v>
      </c>
      <c r="B324" s="12">
        <v>0.0</v>
      </c>
      <c r="C324" s="13">
        <f>IFERROR(B324/B446, "NA")</f>
        <v>0</v>
      </c>
      <c r="D324" s="14"/>
      <c r="E324" s="12">
        <v>0.0</v>
      </c>
      <c r="F324" s="13">
        <f>IFERROR(E324/E446, "NA")</f>
        <v>0</v>
      </c>
      <c r="G324" s="14"/>
      <c r="H324" s="15">
        <f t="shared" si="89"/>
        <v>0</v>
      </c>
      <c r="I324" s="13">
        <f>IFERROR(H324/H446, "NA")</f>
        <v>0</v>
      </c>
      <c r="J324" s="14"/>
      <c r="K324" s="12">
        <v>0.0</v>
      </c>
      <c r="L324" s="13">
        <f>IFERROR(K324/K446, "NA")</f>
        <v>0</v>
      </c>
      <c r="M324" s="14"/>
      <c r="N324" s="15">
        <f t="shared" si="90"/>
        <v>0</v>
      </c>
      <c r="O324" s="13">
        <f>IFERROR(N324/N446, "NA")</f>
        <v>0</v>
      </c>
      <c r="P324" s="14"/>
      <c r="Q324" s="12">
        <v>0.0</v>
      </c>
      <c r="R324" s="13">
        <f>IFERROR(Q324/Q446, "NA")</f>
        <v>0</v>
      </c>
      <c r="S324" s="14"/>
      <c r="T324" s="12">
        <v>0.0</v>
      </c>
      <c r="U324" s="13">
        <f>IFERROR(T324/T446, "NA")</f>
        <v>0</v>
      </c>
      <c r="V324" s="14"/>
      <c r="W324" s="15">
        <f t="shared" si="91"/>
        <v>0</v>
      </c>
      <c r="X324" s="13">
        <f>IFERROR(W324/W446, "NA")</f>
        <v>0</v>
      </c>
      <c r="Y324" s="14"/>
      <c r="Z324" s="12">
        <v>0.0</v>
      </c>
      <c r="AA324" s="13">
        <f>IFERROR(Z324/Z446, "NA")</f>
        <v>0</v>
      </c>
      <c r="AB324" s="14"/>
      <c r="AC324" s="15">
        <f t="shared" si="92"/>
        <v>0</v>
      </c>
      <c r="AD324" s="13">
        <f>IFERROR(AC324/AC446, "NA")</f>
        <v>0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5187.83</v>
      </c>
      <c r="C325" s="18">
        <f>IFERROR(B325/B446, "NA")</f>
        <v>0.05242099888</v>
      </c>
      <c r="D325" s="8"/>
      <c r="E325" s="17">
        <f>IFERROR(E298+E299+E300+E301+E302+E303+E304+E305+E306+E307+E308+E309+E310+E311+E312+E313+E314+E315+E316+E317+E318+E319+E320+E321+E322+E323+E324, "NA")</f>
        <v>4235.13</v>
      </c>
      <c r="F325" s="18">
        <f>IFERROR(E325/E446, "NA")</f>
        <v>0.04190726321</v>
      </c>
      <c r="G325" s="8"/>
      <c r="H325" s="17">
        <f t="shared" si="89"/>
        <v>-952.7</v>
      </c>
      <c r="I325" s="18">
        <f>IFERROR(H325/H446, "NA")</f>
        <v>0.4547841363</v>
      </c>
      <c r="J325" s="8"/>
      <c r="K325" s="17">
        <f>IFERROR(K298+K299+K300+K301+K302+K303+K304+K305+K306+K307+K308+K309+K310+K311+K312+K313+K314+K315+K316+K317+K318+K319+K320+K321+K322+K323+K324, "NA")</f>
        <v>4299.97</v>
      </c>
      <c r="L325" s="18">
        <f>IFERROR(K325/K446, "NA")</f>
        <v>0.04645272122</v>
      </c>
      <c r="M325" s="8"/>
      <c r="N325" s="17">
        <f t="shared" si="90"/>
        <v>-887.86</v>
      </c>
      <c r="O325" s="18">
        <f>IFERROR(N325/N446, "NA")</f>
        <v>-0.1387684546</v>
      </c>
      <c r="P325" s="8"/>
      <c r="Q325" s="17">
        <f>IFERROR(Q298+Q299+Q300+Q301+Q302+Q303+Q304+Q305+Q306+Q307+Q308+Q309+Q310+Q311+Q312+Q313+Q314+Q315+Q316+Q317+Q318+Q319+Q320+Q321+Q322+Q323+Q324, "NA")</f>
        <v>38501.68</v>
      </c>
      <c r="R325" s="18">
        <f>IFERROR(Q325/Q446, "NA")</f>
        <v>0.04372727275</v>
      </c>
      <c r="S325" s="8"/>
      <c r="T325" s="17">
        <f>IFERROR(T298+T299+T300+T301+T302+T303+T304+T305+T306+T307+T308+T309+T310+T311+T312+T313+T314+T315+T316+T317+T318+T319+T320+T321+T322+T323+T324, "NA")</f>
        <v>36829.8</v>
      </c>
      <c r="U325" s="18">
        <f>IFERROR(T325/T446, "NA")</f>
        <v>0.03803717683</v>
      </c>
      <c r="V325" s="8"/>
      <c r="W325" s="17">
        <f t="shared" si="91"/>
        <v>-1671.88</v>
      </c>
      <c r="X325" s="18">
        <f>IFERROR(W325/W446, "NA")</f>
        <v>0.01905011931</v>
      </c>
      <c r="Y325" s="8"/>
      <c r="Z325" s="17">
        <f>IFERROR(Z298+Z299+Z300+Z301+Z302+Z303+Z304+Z305+Z306+Z307+Z308+Z309+Z310+Z311+Z312+Z313+Z314+Z315+Z316+Z317+Z318+Z319+Z320+Z321+Z322+Z323+Z324, "NA")</f>
        <v>44570.39</v>
      </c>
      <c r="AA325" s="18">
        <f>IFERROR(Z325/Z446, "NA")</f>
        <v>0.04962309435</v>
      </c>
      <c r="AB325" s="8"/>
      <c r="AC325" s="17">
        <f t="shared" si="92"/>
        <v>6068.71</v>
      </c>
      <c r="AD325" s="18">
        <f>IFERROR(AC325/AC446, "NA")</f>
        <v>-0.3432029394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22833.64</v>
      </c>
      <c r="C326" s="18">
        <f>IFERROR(B326/B446, "NA")</f>
        <v>0.230725027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23105.98</v>
      </c>
      <c r="F326" s="18">
        <f>IFERROR(E326/E446, "NA")</f>
        <v>0.2286372285</v>
      </c>
      <c r="G326" s="8"/>
      <c r="H326" s="17">
        <f t="shared" si="89"/>
        <v>272.34</v>
      </c>
      <c r="I326" s="18">
        <f>IFERROR(H326/H446, "NA")</f>
        <v>-0.1300051555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18922.95</v>
      </c>
      <c r="L326" s="18">
        <f>IFERROR(K326/K446, "NA")</f>
        <v>0.2044252683</v>
      </c>
      <c r="M326" s="8"/>
      <c r="N326" s="17">
        <f t="shared" si="90"/>
        <v>-3910.69</v>
      </c>
      <c r="O326" s="18">
        <f>IFERROR(N326/N446, "NA")</f>
        <v>-0.6112229492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213485.44</v>
      </c>
      <c r="R326" s="18">
        <f>IFERROR(Q326/Q446, "NA")</f>
        <v>0.2424604865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213567.53</v>
      </c>
      <c r="U326" s="18">
        <f>IFERROR(T326/T446, "NA")</f>
        <v>0.2205688302</v>
      </c>
      <c r="V326" s="8"/>
      <c r="W326" s="17">
        <f t="shared" si="91"/>
        <v>82.09</v>
      </c>
      <c r="X326" s="18">
        <f>IFERROR(W326/W446, "NA")</f>
        <v>-0.0009353687431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208012.74</v>
      </c>
      <c r="AA326" s="18">
        <f>IFERROR(Z326/Z446, "NA")</f>
        <v>0.2315940207</v>
      </c>
      <c r="AB326" s="8"/>
      <c r="AC326" s="17">
        <f t="shared" si="92"/>
        <v>-5472.7</v>
      </c>
      <c r="AD326" s="18">
        <f>IFERROR(AC326/AC446, "NA")</f>
        <v>0.3094968661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t="16.5" hidden="1" customHeight="1">
      <c r="A329" s="11" t="s">
        <v>303</v>
      </c>
      <c r="B329" s="12">
        <v>0.0</v>
      </c>
      <c r="C329" s="13">
        <f>IFERROR(B329/B446, "NA")</f>
        <v>0</v>
      </c>
      <c r="D329" s="14"/>
      <c r="E329" s="12">
        <v>0.0</v>
      </c>
      <c r="F329" s="13">
        <f>IFERROR(E329/E446, "NA")</f>
        <v>0</v>
      </c>
      <c r="G329" s="14"/>
      <c r="H329" s="15">
        <f t="shared" ref="H329:H336" si="93">IFERROR(-(B329-E329), "NA")</f>
        <v>0</v>
      </c>
      <c r="I329" s="13">
        <f>IFERROR(H329/H446, "NA")</f>
        <v>0</v>
      </c>
      <c r="J329" s="14"/>
      <c r="K329" s="12">
        <v>0.0</v>
      </c>
      <c r="L329" s="13">
        <f>IFERROR(K329/K446, "NA")</f>
        <v>0</v>
      </c>
      <c r="M329" s="14"/>
      <c r="N329" s="15">
        <f t="shared" ref="N329:N336" si="94">IFERROR(-(B329-K329), "NA")</f>
        <v>0</v>
      </c>
      <c r="O329" s="13">
        <f>IFERROR(N329/N446, "NA")</f>
        <v>0</v>
      </c>
      <c r="P329" s="14"/>
      <c r="Q329" s="12">
        <v>0.0</v>
      </c>
      <c r="R329" s="13">
        <f>IFERROR(Q329/Q446, "NA")</f>
        <v>0</v>
      </c>
      <c r="S329" s="14"/>
      <c r="T329" s="12">
        <v>0.0</v>
      </c>
      <c r="U329" s="13">
        <f>IFERROR(T329/T446, "NA")</f>
        <v>0</v>
      </c>
      <c r="V329" s="14"/>
      <c r="W329" s="15">
        <f t="shared" ref="W329:W336" si="95">IFERROR(-(Q329-T329), "NA")</f>
        <v>0</v>
      </c>
      <c r="X329" s="13">
        <f>IFERROR(W329/W446, "NA")</f>
        <v>0</v>
      </c>
      <c r="Y329" s="14"/>
      <c r="Z329" s="12">
        <v>0.0</v>
      </c>
      <c r="AA329" s="13">
        <f>IFERROR(Z329/Z446, "NA")</f>
        <v>0</v>
      </c>
      <c r="AB329" s="14"/>
      <c r="AC329" s="15">
        <f t="shared" ref="AC329:AC336" si="96">IFERROR(-(Q329-Z329), "NA")</f>
        <v>0</v>
      </c>
      <c r="AD329" s="13">
        <f>IFERROR(AC329/AC446, "NA")</f>
        <v>0</v>
      </c>
    </row>
    <row r="330" ht="16.5" customHeight="1">
      <c r="A330" s="11" t="s">
        <v>304</v>
      </c>
      <c r="B330" s="12">
        <v>20560.52</v>
      </c>
      <c r="C330" s="13">
        <f>IFERROR(B330/B446, "NA")</f>
        <v>0.2077560359</v>
      </c>
      <c r="D330" s="14"/>
      <c r="E330" s="12">
        <v>20560.52</v>
      </c>
      <c r="F330" s="13">
        <f>IFERROR(E330/E446, "NA")</f>
        <v>0.20344951</v>
      </c>
      <c r="G330" s="14"/>
      <c r="H330" s="15">
        <f t="shared" si="93"/>
        <v>0</v>
      </c>
      <c r="I330" s="13">
        <f>IFERROR(H330/H446, "NA")</f>
        <v>0</v>
      </c>
      <c r="J330" s="14"/>
      <c r="K330" s="12">
        <v>20059.04</v>
      </c>
      <c r="L330" s="13">
        <f>IFERROR(K330/K446, "NA")</f>
        <v>0.216698487</v>
      </c>
      <c r="M330" s="14"/>
      <c r="N330" s="15">
        <f t="shared" si="94"/>
        <v>-501.48</v>
      </c>
      <c r="O330" s="13">
        <f>IFERROR(N330/N446, "NA")</f>
        <v>-0.07837902891</v>
      </c>
      <c r="P330" s="14"/>
      <c r="Q330" s="12">
        <v>160973.8</v>
      </c>
      <c r="R330" s="13">
        <f>IFERROR(Q330/Q446, "NA")</f>
        <v>0.1828217693</v>
      </c>
      <c r="S330" s="14"/>
      <c r="T330" s="12">
        <v>160973.8</v>
      </c>
      <c r="U330" s="13">
        <f>IFERROR(T330/T446, "NA")</f>
        <v>0.1662509407</v>
      </c>
      <c r="V330" s="14"/>
      <c r="W330" s="15">
        <f t="shared" si="95"/>
        <v>0</v>
      </c>
      <c r="X330" s="13">
        <f>IFERROR(W330/W446, "NA")</f>
        <v>0</v>
      </c>
      <c r="Y330" s="14"/>
      <c r="Z330" s="12">
        <v>157047.57</v>
      </c>
      <c r="AA330" s="13">
        <f>IFERROR(Z330/Z446, "NA")</f>
        <v>0.1748512047</v>
      </c>
      <c r="AB330" s="14"/>
      <c r="AC330" s="15">
        <f t="shared" si="96"/>
        <v>-3926.23</v>
      </c>
      <c r="AD330" s="13">
        <f>IFERROR(AC330/AC446, "NA")</f>
        <v>0.2220395565</v>
      </c>
    </row>
    <row r="331" ht="16.5" customHeight="1">
      <c r="A331" s="11" t="s">
        <v>305</v>
      </c>
      <c r="B331" s="12">
        <v>126.96</v>
      </c>
      <c r="C331" s="13">
        <f>IFERROR(B331/B446, "NA")</f>
        <v>0.001282881285</v>
      </c>
      <c r="D331" s="14"/>
      <c r="E331" s="12">
        <v>658.51</v>
      </c>
      <c r="F331" s="13">
        <f>IFERROR(E331/E446, "NA")</f>
        <v>0.006516057806</v>
      </c>
      <c r="G331" s="14"/>
      <c r="H331" s="15">
        <f t="shared" si="93"/>
        <v>531.55</v>
      </c>
      <c r="I331" s="13">
        <f>IFERROR(H331/H446, "NA")</f>
        <v>-0.2537425293</v>
      </c>
      <c r="J331" s="14"/>
      <c r="K331" s="12">
        <v>788.51</v>
      </c>
      <c r="L331" s="13">
        <f>IFERROR(K331/K446, "NA")</f>
        <v>0.008518300177</v>
      </c>
      <c r="M331" s="14"/>
      <c r="N331" s="15">
        <f t="shared" si="94"/>
        <v>661.55</v>
      </c>
      <c r="O331" s="13">
        <f>IFERROR(N331/N446, "NA")</f>
        <v>0.1033972373</v>
      </c>
      <c r="P331" s="14"/>
      <c r="Q331" s="12">
        <v>5081.84</v>
      </c>
      <c r="R331" s="13">
        <f>IFERROR(Q331/Q446, "NA")</f>
        <v>0.005771566429</v>
      </c>
      <c r="S331" s="14"/>
      <c r="T331" s="12">
        <v>5268.08</v>
      </c>
      <c r="U331" s="13">
        <f>IFERROR(T331/T446, "NA")</f>
        <v>0.005440781392</v>
      </c>
      <c r="V331" s="14"/>
      <c r="W331" s="15">
        <f t="shared" si="95"/>
        <v>186.24</v>
      </c>
      <c r="X331" s="13">
        <f>IFERROR(W331/W446, "NA")</f>
        <v>-0.002122098608</v>
      </c>
      <c r="Y331" s="14"/>
      <c r="Z331" s="12">
        <v>5719.79</v>
      </c>
      <c r="AA331" s="13">
        <f>IFERROR(Z331/Z446, "NA")</f>
        <v>0.006368211695</v>
      </c>
      <c r="AB331" s="14"/>
      <c r="AC331" s="15">
        <f t="shared" si="96"/>
        <v>637.95</v>
      </c>
      <c r="AD331" s="13">
        <f>IFERROR(AC331/AC446, "NA")</f>
        <v>-0.03607790044</v>
      </c>
    </row>
    <row r="332" ht="16.5" hidden="1" customHeight="1">
      <c r="A332" s="11" t="s">
        <v>306</v>
      </c>
      <c r="B332" s="12">
        <v>0.0</v>
      </c>
      <c r="C332" s="13">
        <f>IFERROR(B332/B446, "NA")</f>
        <v>0</v>
      </c>
      <c r="D332" s="14"/>
      <c r="E332" s="12">
        <v>0.0</v>
      </c>
      <c r="F332" s="13">
        <f>IFERROR(E332/E446, "NA")</f>
        <v>0</v>
      </c>
      <c r="G332" s="14"/>
      <c r="H332" s="15">
        <f t="shared" si="93"/>
        <v>0</v>
      </c>
      <c r="I332" s="13">
        <f>IFERROR(H332/H446, "NA")</f>
        <v>0</v>
      </c>
      <c r="J332" s="14"/>
      <c r="K332" s="12">
        <v>0.0</v>
      </c>
      <c r="L332" s="13">
        <f>IFERROR(K332/K446, "NA")</f>
        <v>0</v>
      </c>
      <c r="M332" s="14"/>
      <c r="N332" s="15">
        <f t="shared" si="94"/>
        <v>0</v>
      </c>
      <c r="O332" s="13">
        <f>IFERROR(N332/N446, "NA")</f>
        <v>0</v>
      </c>
      <c r="P332" s="14"/>
      <c r="Q332" s="12">
        <v>0.0</v>
      </c>
      <c r="R332" s="13">
        <f>IFERROR(Q332/Q446, "NA")</f>
        <v>0</v>
      </c>
      <c r="S332" s="14"/>
      <c r="T332" s="12">
        <v>0.0</v>
      </c>
      <c r="U332" s="13">
        <f>IFERROR(T332/T446, "NA")</f>
        <v>0</v>
      </c>
      <c r="V332" s="14"/>
      <c r="W332" s="15">
        <f t="shared" si="95"/>
        <v>0</v>
      </c>
      <c r="X332" s="13">
        <f>IFERROR(W332/W446, "NA")</f>
        <v>0</v>
      </c>
      <c r="Y332" s="14"/>
      <c r="Z332" s="12">
        <v>0.0</v>
      </c>
      <c r="AA332" s="13">
        <f>IFERROR(Z332/Z446, "NA")</f>
        <v>0</v>
      </c>
      <c r="AB332" s="14"/>
      <c r="AC332" s="15">
        <f t="shared" si="96"/>
        <v>0</v>
      </c>
      <c r="AD332" s="13">
        <f>IFERROR(AC332/AC446, "NA")</f>
        <v>0</v>
      </c>
    </row>
    <row r="333" ht="16.5" hidden="1" customHeight="1">
      <c r="A333" s="11" t="s">
        <v>307</v>
      </c>
      <c r="B333" s="12">
        <v>0.0</v>
      </c>
      <c r="C333" s="13">
        <f>IFERROR(B333/B446, "NA")</f>
        <v>0</v>
      </c>
      <c r="D333" s="14"/>
      <c r="E333" s="12">
        <v>0.0</v>
      </c>
      <c r="F333" s="13">
        <f>IFERROR(E333/E446, "NA")</f>
        <v>0</v>
      </c>
      <c r="G333" s="14"/>
      <c r="H333" s="15">
        <f t="shared" si="93"/>
        <v>0</v>
      </c>
      <c r="I333" s="13">
        <f>IFERROR(H333/H446, "NA")</f>
        <v>0</v>
      </c>
      <c r="J333" s="14"/>
      <c r="K333" s="12">
        <v>0.0</v>
      </c>
      <c r="L333" s="13">
        <f>IFERROR(K333/K446, "NA")</f>
        <v>0</v>
      </c>
      <c r="M333" s="14"/>
      <c r="N333" s="15">
        <f t="shared" si="94"/>
        <v>0</v>
      </c>
      <c r="O333" s="13">
        <f>IFERROR(N333/N446, "NA")</f>
        <v>0</v>
      </c>
      <c r="P333" s="14"/>
      <c r="Q333" s="12">
        <v>0.0</v>
      </c>
      <c r="R333" s="13">
        <f>IFERROR(Q333/Q446, "NA")</f>
        <v>0</v>
      </c>
      <c r="S333" s="14"/>
      <c r="T333" s="12">
        <v>0.0</v>
      </c>
      <c r="U333" s="13">
        <f>IFERROR(T333/T446, "NA")</f>
        <v>0</v>
      </c>
      <c r="V333" s="14"/>
      <c r="W333" s="15">
        <f t="shared" si="95"/>
        <v>0</v>
      </c>
      <c r="X333" s="13">
        <f>IFERROR(W333/W446, "NA")</f>
        <v>0</v>
      </c>
      <c r="Y333" s="14"/>
      <c r="Z333" s="12">
        <v>0.0</v>
      </c>
      <c r="AA333" s="13">
        <f>IFERROR(Z333/Z446, "NA")</f>
        <v>0</v>
      </c>
      <c r="AB333" s="14"/>
      <c r="AC333" s="15">
        <f t="shared" si="96"/>
        <v>0</v>
      </c>
      <c r="AD333" s="13">
        <f>IFERROR(AC333/AC446, "NA")</f>
        <v>0</v>
      </c>
    </row>
    <row r="334" ht="16.5" customHeight="1">
      <c r="A334" s="11" t="s">
        <v>308</v>
      </c>
      <c r="B334" s="12">
        <v>847.81</v>
      </c>
      <c r="C334" s="13">
        <f>IFERROR(B334/B446, "NA")</f>
        <v>0.008566789401</v>
      </c>
      <c r="D334" s="14"/>
      <c r="E334" s="12">
        <v>856.0</v>
      </c>
      <c r="F334" s="13">
        <f>IFERROR(E334/E446, "NA")</f>
        <v>0.008470251753</v>
      </c>
      <c r="G334" s="14"/>
      <c r="H334" s="15">
        <f t="shared" si="93"/>
        <v>8.19</v>
      </c>
      <c r="I334" s="13">
        <f>IFERROR(H334/H446, "NA")</f>
        <v>-0.003909606462</v>
      </c>
      <c r="J334" s="14"/>
      <c r="K334" s="12">
        <v>855.93</v>
      </c>
      <c r="L334" s="13">
        <f>IFERROR(K334/K446, "NA")</f>
        <v>0.009246640716</v>
      </c>
      <c r="M334" s="14"/>
      <c r="N334" s="15">
        <f t="shared" si="94"/>
        <v>8.12</v>
      </c>
      <c r="O334" s="13">
        <f>IFERROR(N334/N446, "NA")</f>
        <v>0.001269118838</v>
      </c>
      <c r="P334" s="14"/>
      <c r="Q334" s="12">
        <v>6831.2</v>
      </c>
      <c r="R334" s="13">
        <f>IFERROR(Q334/Q446, "NA")</f>
        <v>0.007758356144</v>
      </c>
      <c r="S334" s="14"/>
      <c r="T334" s="12">
        <v>6848.0</v>
      </c>
      <c r="U334" s="13">
        <f>IFERROR(T334/T446, "NA")</f>
        <v>0.007072495287</v>
      </c>
      <c r="V334" s="14"/>
      <c r="W334" s="15">
        <f t="shared" si="95"/>
        <v>16.8</v>
      </c>
      <c r="X334" s="13">
        <f>IFERROR(W334/W446, "NA")</f>
        <v>-0.0001914264208</v>
      </c>
      <c r="Y334" s="14"/>
      <c r="Z334" s="12">
        <v>6752.15</v>
      </c>
      <c r="AA334" s="13">
        <f>IFERROR(Z334/Z446, "NA")</f>
        <v>0.007517604772</v>
      </c>
      <c r="AB334" s="14"/>
      <c r="AC334" s="15">
        <f t="shared" si="96"/>
        <v>-79.05</v>
      </c>
      <c r="AD334" s="13">
        <f>IFERROR(AC334/AC446, "NA")</f>
        <v>0.004470504005</v>
      </c>
    </row>
    <row r="335" ht="16.5" customHeight="1">
      <c r="A335" s="11" t="s">
        <v>309</v>
      </c>
      <c r="B335" s="12">
        <v>-1583.16</v>
      </c>
      <c r="C335" s="13">
        <f>IFERROR(B335/B446, "NA")</f>
        <v>-0.01599721436</v>
      </c>
      <c r="D335" s="14"/>
      <c r="E335" s="12">
        <v>-1583.16</v>
      </c>
      <c r="F335" s="13">
        <f>IFERROR(E335/E446, "NA")</f>
        <v>-0.01566561188</v>
      </c>
      <c r="G335" s="14"/>
      <c r="H335" s="15">
        <f t="shared" si="93"/>
        <v>0</v>
      </c>
      <c r="I335" s="13">
        <f>IFERROR(H335/H446, "NA")</f>
        <v>0</v>
      </c>
      <c r="J335" s="14"/>
      <c r="K335" s="12">
        <v>-1544.55</v>
      </c>
      <c r="L335" s="13">
        <f>IFERROR(K335/K446, "NA")</f>
        <v>-0.01668582585</v>
      </c>
      <c r="M335" s="14"/>
      <c r="N335" s="15">
        <f t="shared" si="94"/>
        <v>38.61</v>
      </c>
      <c r="O335" s="13">
        <f>IFERROR(N335/N446, "NA")</f>
        <v>0.006034566296</v>
      </c>
      <c r="P335" s="14"/>
      <c r="Q335" s="12">
        <v>-3127.71</v>
      </c>
      <c r="R335" s="13">
        <f>IFERROR(Q335/Q446, "NA")</f>
        <v>-0.003552214559</v>
      </c>
      <c r="S335" s="14"/>
      <c r="T335" s="12">
        <v>-3127.71</v>
      </c>
      <c r="U335" s="13">
        <f>IFERROR(T335/T446, "NA")</f>
        <v>-0.003230244485</v>
      </c>
      <c r="V335" s="14"/>
      <c r="W335" s="15">
        <f t="shared" si="95"/>
        <v>0</v>
      </c>
      <c r="X335" s="13">
        <f>IFERROR(W335/W446, "NA")</f>
        <v>0</v>
      </c>
      <c r="Y335" s="14"/>
      <c r="Z335" s="12">
        <v>-3051.42</v>
      </c>
      <c r="AA335" s="13">
        <f>IFERROR(Z335/Z446, "NA")</f>
        <v>-0.003397343002</v>
      </c>
      <c r="AB335" s="14"/>
      <c r="AC335" s="15">
        <f t="shared" si="96"/>
        <v>76.29</v>
      </c>
      <c r="AD335" s="13">
        <f>IFERROR(AC335/AC446, "NA")</f>
        <v>-0.004314418096</v>
      </c>
    </row>
    <row r="336" ht="16.5" hidden="1" customHeight="1">
      <c r="A336" s="11" t="s">
        <v>310</v>
      </c>
      <c r="B336" s="12">
        <v>0.0</v>
      </c>
      <c r="C336" s="13">
        <f>IFERROR(B336/B446, "NA")</f>
        <v>0</v>
      </c>
      <c r="D336" s="14"/>
      <c r="E336" s="12">
        <v>0.0</v>
      </c>
      <c r="F336" s="13">
        <f>IFERROR(E336/E446, "NA")</f>
        <v>0</v>
      </c>
      <c r="G336" s="14"/>
      <c r="H336" s="15">
        <f t="shared" si="93"/>
        <v>0</v>
      </c>
      <c r="I336" s="13">
        <f>IFERROR(H336/H446, "NA")</f>
        <v>0</v>
      </c>
      <c r="J336" s="14"/>
      <c r="K336" s="12">
        <v>0.0</v>
      </c>
      <c r="L336" s="13">
        <f>IFERROR(K336/K446, "NA")</f>
        <v>0</v>
      </c>
      <c r="M336" s="14"/>
      <c r="N336" s="15">
        <f t="shared" si="94"/>
        <v>0</v>
      </c>
      <c r="O336" s="13">
        <f>IFERROR(N336/N446, "NA")</f>
        <v>0</v>
      </c>
      <c r="P336" s="14"/>
      <c r="Q336" s="12">
        <v>0.0</v>
      </c>
      <c r="R336" s="13">
        <f>IFERROR(Q336/Q446, "NA")</f>
        <v>0</v>
      </c>
      <c r="S336" s="14"/>
      <c r="T336" s="12">
        <v>0.0</v>
      </c>
      <c r="U336" s="13">
        <f>IFERROR(T336/T446, "NA")</f>
        <v>0</v>
      </c>
      <c r="V336" s="14"/>
      <c r="W336" s="15">
        <f t="shared" si="95"/>
        <v>0</v>
      </c>
      <c r="X336" s="13">
        <f>IFERROR(W336/W446, "NA")</f>
        <v>0</v>
      </c>
      <c r="Y336" s="14"/>
      <c r="Z336" s="12">
        <v>0.0</v>
      </c>
      <c r="AA336" s="13">
        <f>IFERROR(Z336/Z446, "NA")</f>
        <v>0</v>
      </c>
      <c r="AB336" s="14"/>
      <c r="AC336" s="15">
        <f t="shared" si="96"/>
        <v>0</v>
      </c>
      <c r="AD336" s="13">
        <f>IFERROR(AC336/AC446, "NA")</f>
        <v>0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t="16.5" hidden="1" customHeight="1">
      <c r="A338" s="11" t="s">
        <v>311</v>
      </c>
      <c r="B338" s="12">
        <v>0.0</v>
      </c>
      <c r="C338" s="13">
        <f>IFERROR(B338/B446, "NA")</f>
        <v>0</v>
      </c>
      <c r="D338" s="14"/>
      <c r="E338" s="12">
        <v>0.0</v>
      </c>
      <c r="F338" s="13">
        <f>IFERROR(E338/E446, "NA")</f>
        <v>0</v>
      </c>
      <c r="G338" s="14"/>
      <c r="H338" s="15">
        <f t="shared" ref="H338:H345" si="97">IFERROR(-(B338-E338), "NA")</f>
        <v>0</v>
      </c>
      <c r="I338" s="13">
        <f>IFERROR(H338/H446, "NA")</f>
        <v>0</v>
      </c>
      <c r="J338" s="14"/>
      <c r="K338" s="12">
        <v>0.0</v>
      </c>
      <c r="L338" s="13">
        <f>IFERROR(K338/K446, "NA")</f>
        <v>0</v>
      </c>
      <c r="M338" s="14"/>
      <c r="N338" s="15">
        <f t="shared" ref="N338:N345" si="98">IFERROR(-(B338-K338), "NA")</f>
        <v>0</v>
      </c>
      <c r="O338" s="13">
        <f>IFERROR(N338/N446, "NA")</f>
        <v>0</v>
      </c>
      <c r="P338" s="14"/>
      <c r="Q338" s="12">
        <v>0.0</v>
      </c>
      <c r="R338" s="13">
        <f>IFERROR(Q338/Q446, "NA")</f>
        <v>0</v>
      </c>
      <c r="S338" s="14"/>
      <c r="T338" s="12">
        <v>0.0</v>
      </c>
      <c r="U338" s="13">
        <f>IFERROR(T338/T446, "NA")</f>
        <v>0</v>
      </c>
      <c r="V338" s="14"/>
      <c r="W338" s="15">
        <f t="shared" ref="W338:W345" si="99">IFERROR(-(Q338-T338), "NA")</f>
        <v>0</v>
      </c>
      <c r="X338" s="13">
        <f>IFERROR(W338/W446, "NA")</f>
        <v>0</v>
      </c>
      <c r="Y338" s="14"/>
      <c r="Z338" s="12">
        <v>0.0</v>
      </c>
      <c r="AA338" s="13">
        <f>IFERROR(Z338/Z446, "NA")</f>
        <v>0</v>
      </c>
      <c r="AB338" s="14"/>
      <c r="AC338" s="15">
        <f t="shared" ref="AC338:AC345" si="100">IFERROR(-(Q338-Z338), "NA")</f>
        <v>0</v>
      </c>
      <c r="AD338" s="13">
        <f>IFERROR(AC338/AC446, "NA")</f>
        <v>0</v>
      </c>
    </row>
    <row r="339" ht="16.5" customHeight="1">
      <c r="A339" s="11" t="s">
        <v>312</v>
      </c>
      <c r="B339" s="12">
        <v>2467.86</v>
      </c>
      <c r="C339" s="13">
        <f>IFERROR(B339/B446, "NA")</f>
        <v>0.02493676282</v>
      </c>
      <c r="D339" s="14"/>
      <c r="E339" s="12">
        <v>2122.25</v>
      </c>
      <c r="F339" s="13">
        <f>IFERROR(E339/E446, "NA")</f>
        <v>0.0209999904</v>
      </c>
      <c r="G339" s="14"/>
      <c r="H339" s="15">
        <f t="shared" si="97"/>
        <v>-345.61</v>
      </c>
      <c r="I339" s="13">
        <f>IFERROR(H339/H446, "NA")</f>
        <v>0.1649815738</v>
      </c>
      <c r="J339" s="14"/>
      <c r="K339" s="12">
        <v>2534.49</v>
      </c>
      <c r="L339" s="13">
        <f>IFERROR(K339/K446, "NA")</f>
        <v>0.02738018112</v>
      </c>
      <c r="M339" s="14"/>
      <c r="N339" s="15">
        <f t="shared" si="98"/>
        <v>66.63</v>
      </c>
      <c r="O339" s="13">
        <f>IFERROR(N339/N446, "NA")</f>
        <v>0.01041396406</v>
      </c>
      <c r="P339" s="14"/>
      <c r="Q339" s="12">
        <v>17729.16</v>
      </c>
      <c r="R339" s="13">
        <f>IFERROR(Q339/Q446, "NA")</f>
        <v>0.02013542824</v>
      </c>
      <c r="S339" s="14"/>
      <c r="T339" s="12">
        <v>20333.42</v>
      </c>
      <c r="U339" s="13">
        <f>IFERROR(T339/T446, "NA")</f>
        <v>0.0210000025</v>
      </c>
      <c r="V339" s="14"/>
      <c r="W339" s="15">
        <f t="shared" si="99"/>
        <v>2604.26</v>
      </c>
      <c r="X339" s="13">
        <f>IFERROR(W339/W446, "NA")</f>
        <v>-0.02967405778</v>
      </c>
      <c r="Y339" s="14"/>
      <c r="Z339" s="12">
        <v>17648.84</v>
      </c>
      <c r="AA339" s="13">
        <f>IFERROR(Z339/Z446, "NA")</f>
        <v>0.01964959365</v>
      </c>
      <c r="AB339" s="14"/>
      <c r="AC339" s="15">
        <f t="shared" si="100"/>
        <v>-80.32</v>
      </c>
      <c r="AD339" s="13">
        <f>IFERROR(AC339/AC446, "NA")</f>
        <v>0.004542326144</v>
      </c>
    </row>
    <row r="340" ht="16.5" customHeight="1">
      <c r="A340" s="11" t="s">
        <v>313</v>
      </c>
      <c r="B340" s="12">
        <v>412.17</v>
      </c>
      <c r="C340" s="13">
        <f>IFERROR(B340/B446, "NA")</f>
        <v>0.004164817102</v>
      </c>
      <c r="D340" s="14"/>
      <c r="E340" s="12">
        <v>707.42</v>
      </c>
      <c r="F340" s="13">
        <f>IFERROR(E340/E446, "NA")</f>
        <v>0.007000029784</v>
      </c>
      <c r="G340" s="14"/>
      <c r="H340" s="15">
        <f t="shared" si="97"/>
        <v>295.25</v>
      </c>
      <c r="I340" s="13">
        <f>IFERROR(H340/H446, "NA")</f>
        <v>-0.1409415516</v>
      </c>
      <c r="J340" s="14"/>
      <c r="K340" s="12">
        <v>392.86</v>
      </c>
      <c r="L340" s="13">
        <f>IFERROR(K340/K446, "NA")</f>
        <v>0.004244079856</v>
      </c>
      <c r="M340" s="14"/>
      <c r="N340" s="15">
        <f t="shared" si="98"/>
        <v>-19.31</v>
      </c>
      <c r="O340" s="13">
        <f>IFERROR(N340/N446, "NA")</f>
        <v>-0.003018064625</v>
      </c>
      <c r="P340" s="14"/>
      <c r="Q340" s="12">
        <v>6756.65</v>
      </c>
      <c r="R340" s="13">
        <f>IFERROR(Q340/Q446, "NA")</f>
        <v>0.007673687938</v>
      </c>
      <c r="S340" s="14"/>
      <c r="T340" s="12">
        <v>6777.81</v>
      </c>
      <c r="U340" s="13">
        <f>IFERROR(T340/T446, "NA")</f>
        <v>0.007000004276</v>
      </c>
      <c r="V340" s="14"/>
      <c r="W340" s="15">
        <f t="shared" si="99"/>
        <v>21.16</v>
      </c>
      <c r="X340" s="13">
        <f>IFERROR(W340/W446, "NA")</f>
        <v>-0.0002411061348</v>
      </c>
      <c r="Y340" s="14"/>
      <c r="Z340" s="12">
        <v>6850.14</v>
      </c>
      <c r="AA340" s="13">
        <f>IFERROR(Z340/Z446, "NA")</f>
        <v>0.007626703369</v>
      </c>
      <c r="AB340" s="14"/>
      <c r="AC340" s="15">
        <f t="shared" si="100"/>
        <v>93.49</v>
      </c>
      <c r="AD340" s="13">
        <f>IFERROR(AC340/AC446, "NA")</f>
        <v>-0.00528712738</v>
      </c>
    </row>
    <row r="341" ht="16.5" customHeight="1">
      <c r="A341" s="11" t="s">
        <v>314</v>
      </c>
      <c r="B341" s="12">
        <v>800.17</v>
      </c>
      <c r="C341" s="13">
        <f>IFERROR(B341/B446, "NA")</f>
        <v>0.00808540578</v>
      </c>
      <c r="D341" s="14"/>
      <c r="E341" s="12">
        <v>707.42</v>
      </c>
      <c r="F341" s="13">
        <f>IFERROR(E341/E446, "NA")</f>
        <v>0.007000029784</v>
      </c>
      <c r="G341" s="14"/>
      <c r="H341" s="15">
        <f t="shared" si="97"/>
        <v>-92.75</v>
      </c>
      <c r="I341" s="13">
        <f>IFERROR(H341/H446, "NA")</f>
        <v>0.04427545779</v>
      </c>
      <c r="J341" s="14"/>
      <c r="K341" s="12">
        <v>981.29</v>
      </c>
      <c r="L341" s="13">
        <f>IFERROR(K341/K446, "NA")</f>
        <v>0.01060090903</v>
      </c>
      <c r="M341" s="14"/>
      <c r="N341" s="15">
        <f t="shared" si="98"/>
        <v>181.12</v>
      </c>
      <c r="O341" s="13">
        <f>IFERROR(N341/N446, "NA")</f>
        <v>0.02830822708</v>
      </c>
      <c r="P341" s="14"/>
      <c r="Q341" s="12">
        <v>6678.08</v>
      </c>
      <c r="R341" s="13">
        <f>IFERROR(Q341/Q446, "NA")</f>
        <v>0.007584454122</v>
      </c>
      <c r="S341" s="14"/>
      <c r="T341" s="12">
        <v>6777.81</v>
      </c>
      <c r="U341" s="13">
        <f>IFERROR(T341/T446, "NA")</f>
        <v>0.007000004276</v>
      </c>
      <c r="V341" s="14"/>
      <c r="W341" s="15">
        <f t="shared" si="99"/>
        <v>99.73</v>
      </c>
      <c r="X341" s="13">
        <f>IFERROR(W341/W446, "NA")</f>
        <v>-0.001136366485</v>
      </c>
      <c r="Y341" s="14"/>
      <c r="Z341" s="12">
        <v>7244.54</v>
      </c>
      <c r="AA341" s="13">
        <f>IFERROR(Z341/Z446, "NA")</f>
        <v>0.008065814366</v>
      </c>
      <c r="AB341" s="14"/>
      <c r="AC341" s="15">
        <f t="shared" si="100"/>
        <v>566.46</v>
      </c>
      <c r="AD341" s="13">
        <f>IFERROR(AC341/AC446, "NA")</f>
        <v>-0.0320349361</v>
      </c>
    </row>
    <row r="342" ht="16.5" customHeight="1">
      <c r="A342" s="11" t="s">
        <v>315</v>
      </c>
      <c r="B342" s="12">
        <v>1066.19</v>
      </c>
      <c r="C342" s="13">
        <f>IFERROR(B342/B446, "NA")</f>
        <v>0.01077343413</v>
      </c>
      <c r="D342" s="14"/>
      <c r="E342" s="12">
        <v>909.54</v>
      </c>
      <c r="F342" s="13">
        <f>IFERROR(E342/E446, "NA")</f>
        <v>0.009000038294</v>
      </c>
      <c r="G342" s="14"/>
      <c r="H342" s="15">
        <f t="shared" si="97"/>
        <v>-156.65</v>
      </c>
      <c r="I342" s="13">
        <f>IFERROR(H342/H446, "NA")</f>
        <v>0.07477898073</v>
      </c>
      <c r="J342" s="14"/>
      <c r="K342" s="12">
        <v>1031.99</v>
      </c>
      <c r="L342" s="13">
        <f>IFERROR(K342/K446, "NA")</f>
        <v>0.01114862285</v>
      </c>
      <c r="M342" s="14"/>
      <c r="N342" s="15">
        <f t="shared" si="98"/>
        <v>-34.2</v>
      </c>
      <c r="O342" s="13">
        <f>IFERROR(N342/N446, "NA")</f>
        <v>-0.005345303479</v>
      </c>
      <c r="P342" s="14"/>
      <c r="Q342" s="12">
        <v>8461.12</v>
      </c>
      <c r="R342" s="13">
        <f>IFERROR(Q342/Q446, "NA")</f>
        <v>0.009609495014</v>
      </c>
      <c r="S342" s="14"/>
      <c r="T342" s="12">
        <v>8714.33</v>
      </c>
      <c r="U342" s="13">
        <f>IFERROR(T342/T446, "NA")</f>
        <v>0.009000008448</v>
      </c>
      <c r="V342" s="14"/>
      <c r="W342" s="15">
        <f t="shared" si="99"/>
        <v>253.21</v>
      </c>
      <c r="X342" s="13">
        <f>IFERROR(W342/W446, "NA")</f>
        <v>-0.002885183572</v>
      </c>
      <c r="Y342" s="14"/>
      <c r="Z342" s="12">
        <v>8218.24</v>
      </c>
      <c r="AA342" s="13">
        <f>IFERROR(Z342/Z446, "NA")</f>
        <v>0.009149897475</v>
      </c>
      <c r="AB342" s="14"/>
      <c r="AC342" s="15">
        <f t="shared" si="100"/>
        <v>-242.88</v>
      </c>
      <c r="AD342" s="13">
        <f>IFERROR(AC342/AC446, "NA")</f>
        <v>0.01373555993</v>
      </c>
    </row>
    <row r="343" ht="16.5" customHeight="1">
      <c r="A343" s="16" t="s">
        <v>316</v>
      </c>
      <c r="B343" s="17">
        <f>IFERROR(B338+B339+B340+B341+B342, "NA")</f>
        <v>4746.39</v>
      </c>
      <c r="C343" s="18">
        <f>IFERROR(B343/B446, "NA")</f>
        <v>0.04796041984</v>
      </c>
      <c r="D343" s="8"/>
      <c r="E343" s="17">
        <f>IFERROR(E338+E339+E340+E341+E342, "NA")</f>
        <v>4446.63</v>
      </c>
      <c r="F343" s="18">
        <f>IFERROR(E343/E446, "NA")</f>
        <v>0.04400008826</v>
      </c>
      <c r="G343" s="8"/>
      <c r="H343" s="17">
        <f t="shared" si="97"/>
        <v>-299.76</v>
      </c>
      <c r="I343" s="18">
        <f>IFERROR(H343/H446, "NA")</f>
        <v>0.1430944607</v>
      </c>
      <c r="J343" s="8"/>
      <c r="K343" s="17">
        <f>IFERROR(K338+K339+K340+K341+K342, "NA")</f>
        <v>4940.63</v>
      </c>
      <c r="L343" s="18">
        <f>IFERROR(K343/K446, "NA")</f>
        <v>0.05337379286</v>
      </c>
      <c r="M343" s="8"/>
      <c r="N343" s="17">
        <f t="shared" si="98"/>
        <v>194.24</v>
      </c>
      <c r="O343" s="18">
        <f>IFERROR(N343/N446, "NA")</f>
        <v>0.03035882303</v>
      </c>
      <c r="P343" s="8"/>
      <c r="Q343" s="17">
        <f>IFERROR(Q338+Q339+Q340+Q341+Q342, "NA")</f>
        <v>39625.01</v>
      </c>
      <c r="R343" s="18">
        <f>IFERROR(Q343/Q446, "NA")</f>
        <v>0.04500306532</v>
      </c>
      <c r="S343" s="8"/>
      <c r="T343" s="17">
        <f>IFERROR(T338+T339+T340+T341+T342, "NA")</f>
        <v>42603.37</v>
      </c>
      <c r="U343" s="18">
        <f>IFERROR(T343/T446, "NA")</f>
        <v>0.0440000195</v>
      </c>
      <c r="V343" s="8"/>
      <c r="W343" s="17">
        <f t="shared" si="99"/>
        <v>2978.36</v>
      </c>
      <c r="X343" s="18">
        <f>IFERROR(W343/W446, "NA")</f>
        <v>-0.03393671397</v>
      </c>
      <c r="Y343" s="8"/>
      <c r="Z343" s="17">
        <f>IFERROR(Z338+Z339+Z340+Z341+Z342, "NA")</f>
        <v>39961.76</v>
      </c>
      <c r="AA343" s="18">
        <f>IFERROR(Z343/Z446, "NA")</f>
        <v>0.04449200886</v>
      </c>
      <c r="AB343" s="8"/>
      <c r="AC343" s="17">
        <f t="shared" si="100"/>
        <v>336.75</v>
      </c>
      <c r="AD343" s="18">
        <f>IFERROR(AC343/AC446, "NA")</f>
        <v>-0.0190441774</v>
      </c>
    </row>
    <row r="344" ht="16.5" customHeight="1">
      <c r="A344" s="16" t="s">
        <v>317</v>
      </c>
      <c r="B344" s="17">
        <f>IFERROR(B329+B330+B331+B332+B333+B334+B335+B336+B338+B339+B340+B341+B342, "NA")</f>
        <v>24698.52</v>
      </c>
      <c r="C344" s="18">
        <f>IFERROR(B344/B446, "NA")</f>
        <v>0.2495689121</v>
      </c>
      <c r="D344" s="8"/>
      <c r="E344" s="17">
        <f>IFERROR(E329+E330+E331+E332+E333+E334+E335+E336+E338+E339+E340+E341+E342, "NA")</f>
        <v>24938.5</v>
      </c>
      <c r="F344" s="18">
        <f>IFERROR(E344/E446, "NA")</f>
        <v>0.246770296</v>
      </c>
      <c r="G344" s="8"/>
      <c r="H344" s="17">
        <f t="shared" si="97"/>
        <v>239.98</v>
      </c>
      <c r="I344" s="18">
        <f>IFERROR(H344/H446, "NA")</f>
        <v>-0.114557675</v>
      </c>
      <c r="J344" s="8"/>
      <c r="K344" s="17">
        <f>IFERROR(K329+K330+K331+K332+K333+K334+K335+K336+K338+K339+K340+K341+K342, "NA")</f>
        <v>25099.56</v>
      </c>
      <c r="L344" s="18">
        <f>IFERROR(K344/K446, "NA")</f>
        <v>0.2711513949</v>
      </c>
      <c r="M344" s="8"/>
      <c r="N344" s="17">
        <f t="shared" si="98"/>
        <v>401.04</v>
      </c>
      <c r="O344" s="18">
        <f>IFERROR(N344/N446, "NA")</f>
        <v>0.06268071658</v>
      </c>
      <c r="P344" s="8"/>
      <c r="Q344" s="17">
        <f>IFERROR(Q329+Q330+Q331+Q332+Q333+Q334+Q335+Q336+Q338+Q339+Q340+Q341+Q342, "NA")</f>
        <v>209384.14</v>
      </c>
      <c r="R344" s="18">
        <f>IFERROR(Q344/Q446, "NA")</f>
        <v>0.2378025426</v>
      </c>
      <c r="S344" s="8"/>
      <c r="T344" s="17">
        <f>IFERROR(T329+T330+T331+T332+T333+T334+T335+T336+T338+T339+T340+T341+T342, "NA")</f>
        <v>212565.54</v>
      </c>
      <c r="U344" s="18">
        <f>IFERROR(T344/T446, "NA")</f>
        <v>0.2195339924</v>
      </c>
      <c r="V344" s="8"/>
      <c r="W344" s="17">
        <f t="shared" si="99"/>
        <v>3181.4</v>
      </c>
      <c r="X344" s="18">
        <f>IFERROR(W344/W446, "NA")</f>
        <v>-0.036250239</v>
      </c>
      <c r="Y344" s="8"/>
      <c r="Z344" s="17">
        <f>IFERROR(Z329+Z330+Z331+Z332+Z333+Z334+Z335+Z336+Z338+Z339+Z340+Z341+Z342, "NA")</f>
        <v>206429.85</v>
      </c>
      <c r="AA344" s="18">
        <f>IFERROR(Z344/Z446, "NA")</f>
        <v>0.229831687</v>
      </c>
      <c r="AB344" s="8"/>
      <c r="AC344" s="17">
        <f t="shared" si="100"/>
        <v>-2954.29</v>
      </c>
      <c r="AD344" s="18">
        <f>IFERROR(AC344/AC446, "NA")</f>
        <v>0.1670735645</v>
      </c>
    </row>
    <row r="345" ht="16.5" customHeight="1">
      <c r="A345" s="16" t="s">
        <v>318</v>
      </c>
      <c r="B345" s="17">
        <f>IFERROR(B329+B330+B331+B332+B333+B334+B335+B336+B338+B339+B340+B341+B342, "NA")</f>
        <v>24698.52</v>
      </c>
      <c r="C345" s="18">
        <f>IFERROR(B345/B446, "NA")</f>
        <v>0.2495689121</v>
      </c>
      <c r="D345" s="8"/>
      <c r="E345" s="17">
        <f>IFERROR(E329+E330+E331+E332+E333+E334+E335+E336+E338+E339+E340+E341+E342, "NA")</f>
        <v>24938.5</v>
      </c>
      <c r="F345" s="18">
        <f>IFERROR(E345/E446, "NA")</f>
        <v>0.246770296</v>
      </c>
      <c r="G345" s="8"/>
      <c r="H345" s="17">
        <f t="shared" si="97"/>
        <v>239.98</v>
      </c>
      <c r="I345" s="18">
        <f>IFERROR(H345/H446, "NA")</f>
        <v>-0.114557675</v>
      </c>
      <c r="J345" s="8"/>
      <c r="K345" s="17">
        <f>IFERROR(K329+K330+K331+K332+K333+K334+K335+K336+K338+K339+K340+K341+K342, "NA")</f>
        <v>25099.56</v>
      </c>
      <c r="L345" s="18">
        <f>IFERROR(K345/K446, "NA")</f>
        <v>0.2711513949</v>
      </c>
      <c r="M345" s="8"/>
      <c r="N345" s="17">
        <f t="shared" si="98"/>
        <v>401.04</v>
      </c>
      <c r="O345" s="18">
        <f>IFERROR(N345/N446, "NA")</f>
        <v>0.06268071658</v>
      </c>
      <c r="P345" s="8"/>
      <c r="Q345" s="17">
        <f>IFERROR(Q329+Q330+Q331+Q332+Q333+Q334+Q335+Q336+Q338+Q339+Q340+Q341+Q342, "NA")</f>
        <v>209384.14</v>
      </c>
      <c r="R345" s="18">
        <f>IFERROR(Q345/Q446, "NA")</f>
        <v>0.2378025426</v>
      </c>
      <c r="S345" s="8"/>
      <c r="T345" s="17">
        <f>IFERROR(T329+T330+T331+T332+T333+T334+T335+T336+T338+T339+T340+T341+T342, "NA")</f>
        <v>212565.54</v>
      </c>
      <c r="U345" s="18">
        <f>IFERROR(T345/T446, "NA")</f>
        <v>0.2195339924</v>
      </c>
      <c r="V345" s="8"/>
      <c r="W345" s="17">
        <f t="shared" si="99"/>
        <v>3181.4</v>
      </c>
      <c r="X345" s="18">
        <f>IFERROR(W345/W446, "NA")</f>
        <v>-0.036250239</v>
      </c>
      <c r="Y345" s="8"/>
      <c r="Z345" s="17">
        <f>IFERROR(Z329+Z330+Z331+Z332+Z333+Z334+Z335+Z336+Z338+Z339+Z340+Z341+Z342, "NA")</f>
        <v>206429.85</v>
      </c>
      <c r="AA345" s="18">
        <f>IFERROR(Z345/Z446, "NA")</f>
        <v>0.229831687</v>
      </c>
      <c r="AB345" s="8"/>
      <c r="AC345" s="17">
        <f t="shared" si="100"/>
        <v>-2954.29</v>
      </c>
      <c r="AD345" s="18">
        <f>IFERROR(AC345/AC446, "NA")</f>
        <v>0.1670735645</v>
      </c>
    </row>
    <row r="346" ht="16.5" customHeight="1">
      <c r="A346" s="19" t="s">
        <v>319</v>
      </c>
      <c r="B346" s="20">
        <f>IFERROR(B198-B326-B345, "NA")</f>
        <v>-5743.54</v>
      </c>
      <c r="C346" s="21">
        <f>IFERROR(B346/B446, "NA")</f>
        <v>-0.0580362317</v>
      </c>
      <c r="D346" s="22"/>
      <c r="E346" s="20">
        <f>IFERROR(E198-E326-E345, "NA")</f>
        <v>-3775.97</v>
      </c>
      <c r="F346" s="21">
        <f>IFERROR(E346/E446, "NA")</f>
        <v>-0.03736380434</v>
      </c>
      <c r="G346" s="22"/>
      <c r="H346" s="20">
        <f>IFERROR(B346-E346, "NA")</f>
        <v>-1967.57</v>
      </c>
      <c r="I346" s="21">
        <f>IFERROR(H346/H446, "NA")</f>
        <v>0.9392459567</v>
      </c>
      <c r="J346" s="22"/>
      <c r="K346" s="20">
        <f>IFERROR(K198-K326-K345, "NA")</f>
        <v>-11107.98</v>
      </c>
      <c r="L346" s="21">
        <f>IFERROR(K346/K446, "NA")</f>
        <v>-0.1199998833</v>
      </c>
      <c r="M346" s="22"/>
      <c r="N346" s="20">
        <f>IFERROR(B346-K346, "NA")</f>
        <v>5364.44</v>
      </c>
      <c r="O346" s="21">
        <f>IFERROR(N346/N446, "NA")</f>
        <v>0.8384374209</v>
      </c>
      <c r="P346" s="22"/>
      <c r="Q346" s="20">
        <f>IFERROR(Q198-Q326-Q345, "NA")</f>
        <v>-38133.34</v>
      </c>
      <c r="R346" s="21">
        <f>IFERROR(Q346/Q446, "NA")</f>
        <v>-0.04330894026</v>
      </c>
      <c r="S346" s="22"/>
      <c r="T346" s="20">
        <f>IFERROR(T198-T326-T345, "NA")</f>
        <v>10000.44</v>
      </c>
      <c r="U346" s="21">
        <f>IFERROR(T346/T446, "NA")</f>
        <v>0.01032828049</v>
      </c>
      <c r="V346" s="22"/>
      <c r="W346" s="20">
        <f>IFERROR(Q346-T346, "NA")</f>
        <v>-48133.78</v>
      </c>
      <c r="X346" s="21">
        <f>IFERROR(W346/W446, "NA")</f>
        <v>0.5484569777</v>
      </c>
      <c r="Y346" s="22"/>
      <c r="Z346" s="20">
        <f>IFERROR(Z198-Z326-Z345, "NA")</f>
        <v>-52041.23</v>
      </c>
      <c r="AA346" s="21">
        <f>IFERROR(Z346/Z446, "NA")</f>
        <v>-0.05794086313</v>
      </c>
      <c r="AB346" s="22"/>
      <c r="AC346" s="20">
        <f>IFERROR(Q346-Z346, "NA")</f>
        <v>13907.89</v>
      </c>
      <c r="AD346" s="21">
        <f>IFERROR(AC346/AC446, "NA")</f>
        <v>-0.7865310303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t="16.5" hidden="1" customHeight="1">
      <c r="A348" s="11" t="s">
        <v>321</v>
      </c>
      <c r="B348" s="12">
        <v>0.0</v>
      </c>
      <c r="C348" s="13">
        <f>IFERROR(B348/B446, "NA")</f>
        <v>0</v>
      </c>
      <c r="D348" s="14"/>
      <c r="E348" s="12">
        <v>0.0</v>
      </c>
      <c r="F348" s="13">
        <f>IFERROR(E348/E446, "NA")</f>
        <v>0</v>
      </c>
      <c r="G348" s="14"/>
      <c r="H348" s="15">
        <f>IFERROR(-(B348-E348), "NA")</f>
        <v>0</v>
      </c>
      <c r="I348" s="13">
        <f>IFERROR(H348/H446, "NA")</f>
        <v>0</v>
      </c>
      <c r="J348" s="14"/>
      <c r="K348" s="12">
        <v>0.0</v>
      </c>
      <c r="L348" s="13">
        <f>IFERROR(K348/K446, "NA")</f>
        <v>0</v>
      </c>
      <c r="M348" s="14"/>
      <c r="N348" s="15">
        <f>IFERROR(-(B348-K348), "NA")</f>
        <v>0</v>
      </c>
      <c r="O348" s="13">
        <f>IFERROR(N348/N446, "NA")</f>
        <v>0</v>
      </c>
      <c r="P348" s="14"/>
      <c r="Q348" s="12">
        <v>0.0</v>
      </c>
      <c r="R348" s="13">
        <f>IFERROR(Q348/Q446, "NA")</f>
        <v>0</v>
      </c>
      <c r="S348" s="14"/>
      <c r="T348" s="12">
        <v>0.0</v>
      </c>
      <c r="U348" s="13">
        <f>IFERROR(T348/T446, "NA")</f>
        <v>0</v>
      </c>
      <c r="V348" s="14"/>
      <c r="W348" s="15">
        <f>IFERROR(-(Q348-T348), "NA")</f>
        <v>0</v>
      </c>
      <c r="X348" s="13">
        <f>IFERROR(W348/W446, "NA")</f>
        <v>0</v>
      </c>
      <c r="Y348" s="14"/>
      <c r="Z348" s="12">
        <v>0.0</v>
      </c>
      <c r="AA348" s="13">
        <f>IFERROR(Z348/Z446, "NA")</f>
        <v>0</v>
      </c>
      <c r="AB348" s="14"/>
      <c r="AC348" s="15">
        <f>IFERROR(-(Q348-Z348), "NA")</f>
        <v>0</v>
      </c>
      <c r="AD348" s="13">
        <f>IFERROR(AC348/AC446,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t="16.5" hidden="1" customHeight="1">
      <c r="A350" s="11" t="s">
        <v>322</v>
      </c>
      <c r="B350" s="12">
        <v>0.0</v>
      </c>
      <c r="C350" s="13">
        <f>IFERROR(B350/B446, "NA")</f>
        <v>0</v>
      </c>
      <c r="D350" s="14"/>
      <c r="E350" s="12">
        <v>0.0</v>
      </c>
      <c r="F350" s="13">
        <f>IFERROR(E350/E446, "NA")</f>
        <v>0</v>
      </c>
      <c r="G350" s="14"/>
      <c r="H350" s="15">
        <f t="shared" ref="H350:H359" si="101">IFERROR(-(B350-E350), "NA")</f>
        <v>0</v>
      </c>
      <c r="I350" s="13">
        <f>IFERROR(H350/H446, "NA")</f>
        <v>0</v>
      </c>
      <c r="J350" s="14"/>
      <c r="K350" s="12">
        <v>0.0</v>
      </c>
      <c r="L350" s="13">
        <f>IFERROR(K350/K446, "NA")</f>
        <v>0</v>
      </c>
      <c r="M350" s="14"/>
      <c r="N350" s="15">
        <f t="shared" ref="N350:N359" si="102">IFERROR(-(B350-K350), "NA")</f>
        <v>0</v>
      </c>
      <c r="O350" s="13">
        <f>IFERROR(N350/N446, "NA")</f>
        <v>0</v>
      </c>
      <c r="P350" s="14"/>
      <c r="Q350" s="12">
        <v>0.0</v>
      </c>
      <c r="R350" s="13">
        <f>IFERROR(Q350/Q446, "NA")</f>
        <v>0</v>
      </c>
      <c r="S350" s="14"/>
      <c r="T350" s="12">
        <v>0.0</v>
      </c>
      <c r="U350" s="13">
        <f>IFERROR(T350/T446, "NA")</f>
        <v>0</v>
      </c>
      <c r="V350" s="14"/>
      <c r="W350" s="15">
        <f t="shared" ref="W350:W359" si="103">IFERROR(-(Q350-T350), "NA")</f>
        <v>0</v>
      </c>
      <c r="X350" s="13">
        <f>IFERROR(W350/W446, "NA")</f>
        <v>0</v>
      </c>
      <c r="Y350" s="14"/>
      <c r="Z350" s="12">
        <v>0.0</v>
      </c>
      <c r="AA350" s="13">
        <f>IFERROR(Z350/Z446, "NA")</f>
        <v>0</v>
      </c>
      <c r="AB350" s="14"/>
      <c r="AC350" s="15">
        <f t="shared" ref="AC350:AC359" si="104">IFERROR(-(Q350-Z350), "NA")</f>
        <v>0</v>
      </c>
      <c r="AD350" s="13">
        <f>IFERROR(AC350/AC446, "NA")</f>
        <v>0</v>
      </c>
    </row>
    <row r="351" ht="16.5" hidden="1" customHeight="1">
      <c r="A351" s="11" t="s">
        <v>323</v>
      </c>
      <c r="B351" s="12">
        <v>0.0</v>
      </c>
      <c r="C351" s="13">
        <f>IFERROR(B351/B446, "NA")</f>
        <v>0</v>
      </c>
      <c r="D351" s="14"/>
      <c r="E351" s="12">
        <v>0.0</v>
      </c>
      <c r="F351" s="13">
        <f>IFERROR(E351/E446, "NA")</f>
        <v>0</v>
      </c>
      <c r="G351" s="14"/>
      <c r="H351" s="15">
        <f t="shared" si="101"/>
        <v>0</v>
      </c>
      <c r="I351" s="13">
        <f>IFERROR(H351/H446, "NA")</f>
        <v>0</v>
      </c>
      <c r="J351" s="14"/>
      <c r="K351" s="12">
        <v>0.0</v>
      </c>
      <c r="L351" s="13">
        <f>IFERROR(K351/K446, "NA")</f>
        <v>0</v>
      </c>
      <c r="M351" s="14"/>
      <c r="N351" s="15">
        <f t="shared" si="102"/>
        <v>0</v>
      </c>
      <c r="O351" s="13">
        <f>IFERROR(N351/N446, "NA")</f>
        <v>0</v>
      </c>
      <c r="P351" s="14"/>
      <c r="Q351" s="12">
        <v>0.0</v>
      </c>
      <c r="R351" s="13">
        <f>IFERROR(Q351/Q446, "NA")</f>
        <v>0</v>
      </c>
      <c r="S351" s="14"/>
      <c r="T351" s="12">
        <v>0.0</v>
      </c>
      <c r="U351" s="13">
        <f>IFERROR(T351/T446, "NA")</f>
        <v>0</v>
      </c>
      <c r="V351" s="14"/>
      <c r="W351" s="15">
        <f t="shared" si="103"/>
        <v>0</v>
      </c>
      <c r="X351" s="13">
        <f>IFERROR(W351/W446, "NA")</f>
        <v>0</v>
      </c>
      <c r="Y351" s="14"/>
      <c r="Z351" s="12">
        <v>0.0</v>
      </c>
      <c r="AA351" s="13">
        <f>IFERROR(Z351/Z446, "NA")</f>
        <v>0</v>
      </c>
      <c r="AB351" s="14"/>
      <c r="AC351" s="15">
        <f t="shared" si="104"/>
        <v>0</v>
      </c>
      <c r="AD351" s="13">
        <f>IFERROR(AC351/AC446, "NA")</f>
        <v>0</v>
      </c>
    </row>
    <row r="352" ht="16.5" hidden="1" customHeight="1">
      <c r="A352" s="11" t="s">
        <v>324</v>
      </c>
      <c r="B352" s="12">
        <v>0.0</v>
      </c>
      <c r="C352" s="13">
        <f>IFERROR(B352/B446, "NA")</f>
        <v>0</v>
      </c>
      <c r="D352" s="14"/>
      <c r="E352" s="12">
        <v>0.0</v>
      </c>
      <c r="F352" s="13">
        <f>IFERROR(E352/E446, "NA")</f>
        <v>0</v>
      </c>
      <c r="G352" s="14"/>
      <c r="H352" s="15">
        <f t="shared" si="101"/>
        <v>0</v>
      </c>
      <c r="I352" s="13">
        <f>IFERROR(H352/H446, "NA")</f>
        <v>0</v>
      </c>
      <c r="J352" s="14"/>
      <c r="K352" s="12">
        <v>0.0</v>
      </c>
      <c r="L352" s="13">
        <f>IFERROR(K352/K446, "NA")</f>
        <v>0</v>
      </c>
      <c r="M352" s="14"/>
      <c r="N352" s="15">
        <f t="shared" si="102"/>
        <v>0</v>
      </c>
      <c r="O352" s="13">
        <f>IFERROR(N352/N446, "NA")</f>
        <v>0</v>
      </c>
      <c r="P352" s="14"/>
      <c r="Q352" s="12">
        <v>0.0</v>
      </c>
      <c r="R352" s="13">
        <f>IFERROR(Q352/Q446, "NA")</f>
        <v>0</v>
      </c>
      <c r="S352" s="14"/>
      <c r="T352" s="12">
        <v>0.0</v>
      </c>
      <c r="U352" s="13">
        <f>IFERROR(T352/T446, "NA")</f>
        <v>0</v>
      </c>
      <c r="V352" s="14"/>
      <c r="W352" s="15">
        <f t="shared" si="103"/>
        <v>0</v>
      </c>
      <c r="X352" s="13">
        <f>IFERROR(W352/W446, "NA")</f>
        <v>0</v>
      </c>
      <c r="Y352" s="14"/>
      <c r="Z352" s="12">
        <v>0.0</v>
      </c>
      <c r="AA352" s="13">
        <f>IFERROR(Z352/Z446, "NA")</f>
        <v>0</v>
      </c>
      <c r="AB352" s="14"/>
      <c r="AC352" s="15">
        <f t="shared" si="104"/>
        <v>0</v>
      </c>
      <c r="AD352" s="13">
        <f>IFERROR(AC352/AC446, "NA")</f>
        <v>0</v>
      </c>
    </row>
    <row r="353" ht="16.5" hidden="1" customHeight="1">
      <c r="A353" s="11" t="s">
        <v>325</v>
      </c>
      <c r="B353" s="12">
        <v>0.0</v>
      </c>
      <c r="C353" s="13">
        <f>IFERROR(B353/B446, "NA")</f>
        <v>0</v>
      </c>
      <c r="D353" s="14"/>
      <c r="E353" s="12">
        <v>0.0</v>
      </c>
      <c r="F353" s="13">
        <f>IFERROR(E353/E446, "NA")</f>
        <v>0</v>
      </c>
      <c r="G353" s="14"/>
      <c r="H353" s="15">
        <f t="shared" si="101"/>
        <v>0</v>
      </c>
      <c r="I353" s="13">
        <f>IFERROR(H353/H446, "NA")</f>
        <v>0</v>
      </c>
      <c r="J353" s="14"/>
      <c r="K353" s="12">
        <v>0.0</v>
      </c>
      <c r="L353" s="13">
        <f>IFERROR(K353/K446, "NA")</f>
        <v>0</v>
      </c>
      <c r="M353" s="14"/>
      <c r="N353" s="15">
        <f t="shared" si="102"/>
        <v>0</v>
      </c>
      <c r="O353" s="13">
        <f>IFERROR(N353/N446, "NA")</f>
        <v>0</v>
      </c>
      <c r="P353" s="14"/>
      <c r="Q353" s="12">
        <v>0.0</v>
      </c>
      <c r="R353" s="13">
        <f>IFERROR(Q353/Q446, "NA")</f>
        <v>0</v>
      </c>
      <c r="S353" s="14"/>
      <c r="T353" s="12">
        <v>0.0</v>
      </c>
      <c r="U353" s="13">
        <f>IFERROR(T353/T446, "NA")</f>
        <v>0</v>
      </c>
      <c r="V353" s="14"/>
      <c r="W353" s="15">
        <f t="shared" si="103"/>
        <v>0</v>
      </c>
      <c r="X353" s="13">
        <f>IFERROR(W353/W446, "NA")</f>
        <v>0</v>
      </c>
      <c r="Y353" s="14"/>
      <c r="Z353" s="12">
        <v>0.0</v>
      </c>
      <c r="AA353" s="13">
        <f>IFERROR(Z353/Z446, "NA")</f>
        <v>0</v>
      </c>
      <c r="AB353" s="14"/>
      <c r="AC353" s="15">
        <f t="shared" si="104"/>
        <v>0</v>
      </c>
      <c r="AD353" s="13">
        <f>IFERROR(AC353/AC446, "NA")</f>
        <v>0</v>
      </c>
    </row>
    <row r="354" ht="16.5" hidden="1" customHeight="1">
      <c r="A354" s="11" t="s">
        <v>326</v>
      </c>
      <c r="B354" s="12">
        <v>0.0</v>
      </c>
      <c r="C354" s="13">
        <f>IFERROR(B354/B446, "NA")</f>
        <v>0</v>
      </c>
      <c r="D354" s="14"/>
      <c r="E354" s="12">
        <v>0.0</v>
      </c>
      <c r="F354" s="13">
        <f>IFERROR(E354/E446, "NA")</f>
        <v>0</v>
      </c>
      <c r="G354" s="14"/>
      <c r="H354" s="15">
        <f t="shared" si="101"/>
        <v>0</v>
      </c>
      <c r="I354" s="13">
        <f>IFERROR(H354/H446, "NA")</f>
        <v>0</v>
      </c>
      <c r="J354" s="14"/>
      <c r="K354" s="12">
        <v>0.0</v>
      </c>
      <c r="L354" s="13">
        <f>IFERROR(K354/K446, "NA")</f>
        <v>0</v>
      </c>
      <c r="M354" s="14"/>
      <c r="N354" s="15">
        <f t="shared" si="102"/>
        <v>0</v>
      </c>
      <c r="O354" s="13">
        <f>IFERROR(N354/N446, "NA")</f>
        <v>0</v>
      </c>
      <c r="P354" s="14"/>
      <c r="Q354" s="12">
        <v>0.0</v>
      </c>
      <c r="R354" s="13">
        <f>IFERROR(Q354/Q446, "NA")</f>
        <v>0</v>
      </c>
      <c r="S354" s="14"/>
      <c r="T354" s="12">
        <v>0.0</v>
      </c>
      <c r="U354" s="13">
        <f>IFERROR(T354/T446, "NA")</f>
        <v>0</v>
      </c>
      <c r="V354" s="14"/>
      <c r="W354" s="15">
        <f t="shared" si="103"/>
        <v>0</v>
      </c>
      <c r="X354" s="13">
        <f>IFERROR(W354/W446, "NA")</f>
        <v>0</v>
      </c>
      <c r="Y354" s="14"/>
      <c r="Z354" s="12">
        <v>0.0</v>
      </c>
      <c r="AA354" s="13">
        <f>IFERROR(Z354/Z446, "NA")</f>
        <v>0</v>
      </c>
      <c r="AB354" s="14"/>
      <c r="AC354" s="15">
        <f t="shared" si="104"/>
        <v>0</v>
      </c>
      <c r="AD354" s="13">
        <f>IFERROR(AC354/AC446, "NA")</f>
        <v>0</v>
      </c>
    </row>
    <row r="355" ht="16.5" hidden="1" customHeight="1">
      <c r="A355" s="11" t="s">
        <v>327</v>
      </c>
      <c r="B355" s="12">
        <v>0.0</v>
      </c>
      <c r="C355" s="13">
        <f>IFERROR(B355/B446, "NA")</f>
        <v>0</v>
      </c>
      <c r="D355" s="14"/>
      <c r="E355" s="12">
        <v>0.0</v>
      </c>
      <c r="F355" s="13">
        <f>IFERROR(E355/E446, "NA")</f>
        <v>0</v>
      </c>
      <c r="G355" s="14"/>
      <c r="H355" s="15">
        <f t="shared" si="101"/>
        <v>0</v>
      </c>
      <c r="I355" s="13">
        <f>IFERROR(H355/H446, "NA")</f>
        <v>0</v>
      </c>
      <c r="J355" s="14"/>
      <c r="K355" s="12">
        <v>0.0</v>
      </c>
      <c r="L355" s="13">
        <f>IFERROR(K355/K446, "NA")</f>
        <v>0</v>
      </c>
      <c r="M355" s="14"/>
      <c r="N355" s="15">
        <f t="shared" si="102"/>
        <v>0</v>
      </c>
      <c r="O355" s="13">
        <f>IFERROR(N355/N446, "NA")</f>
        <v>0</v>
      </c>
      <c r="P355" s="14"/>
      <c r="Q355" s="12">
        <v>0.0</v>
      </c>
      <c r="R355" s="13">
        <f>IFERROR(Q355/Q446, "NA")</f>
        <v>0</v>
      </c>
      <c r="S355" s="14"/>
      <c r="T355" s="12">
        <v>0.0</v>
      </c>
      <c r="U355" s="13">
        <f>IFERROR(T355/T446, "NA")</f>
        <v>0</v>
      </c>
      <c r="V355" s="14"/>
      <c r="W355" s="15">
        <f t="shared" si="103"/>
        <v>0</v>
      </c>
      <c r="X355" s="13">
        <f>IFERROR(W355/W446, "NA")</f>
        <v>0</v>
      </c>
      <c r="Y355" s="14"/>
      <c r="Z355" s="12">
        <v>0.0</v>
      </c>
      <c r="AA355" s="13">
        <f>IFERROR(Z355/Z446, "NA")</f>
        <v>0</v>
      </c>
      <c r="AB355" s="14"/>
      <c r="AC355" s="15">
        <f t="shared" si="104"/>
        <v>0</v>
      </c>
      <c r="AD355" s="13">
        <f>IFERROR(AC355/AC446, "NA")</f>
        <v>0</v>
      </c>
    </row>
    <row r="356" ht="16.5" hidden="1" customHeight="1">
      <c r="A356" s="11" t="s">
        <v>328</v>
      </c>
      <c r="B356" s="12">
        <v>0.0</v>
      </c>
      <c r="C356" s="13">
        <f>IFERROR(B356/B446, "NA")</f>
        <v>0</v>
      </c>
      <c r="D356" s="14"/>
      <c r="E356" s="12">
        <v>0.0</v>
      </c>
      <c r="F356" s="13">
        <f>IFERROR(E356/E446, "NA")</f>
        <v>0</v>
      </c>
      <c r="G356" s="14"/>
      <c r="H356" s="15">
        <f t="shared" si="101"/>
        <v>0</v>
      </c>
      <c r="I356" s="13">
        <f>IFERROR(H356/H446, "NA")</f>
        <v>0</v>
      </c>
      <c r="J356" s="14"/>
      <c r="K356" s="12">
        <v>0.0</v>
      </c>
      <c r="L356" s="13">
        <f>IFERROR(K356/K446, "NA")</f>
        <v>0</v>
      </c>
      <c r="M356" s="14"/>
      <c r="N356" s="15">
        <f t="shared" si="102"/>
        <v>0</v>
      </c>
      <c r="O356" s="13">
        <f>IFERROR(N356/N446, "NA")</f>
        <v>0</v>
      </c>
      <c r="P356" s="14"/>
      <c r="Q356" s="12">
        <v>0.0</v>
      </c>
      <c r="R356" s="13">
        <f>IFERROR(Q356/Q446, "NA")</f>
        <v>0</v>
      </c>
      <c r="S356" s="14"/>
      <c r="T356" s="12">
        <v>0.0</v>
      </c>
      <c r="U356" s="13">
        <f>IFERROR(T356/T446, "NA")</f>
        <v>0</v>
      </c>
      <c r="V356" s="14"/>
      <c r="W356" s="15">
        <f t="shared" si="103"/>
        <v>0</v>
      </c>
      <c r="X356" s="13">
        <f>IFERROR(W356/W446, "NA")</f>
        <v>0</v>
      </c>
      <c r="Y356" s="14"/>
      <c r="Z356" s="12">
        <v>0.0</v>
      </c>
      <c r="AA356" s="13">
        <f>IFERROR(Z356/Z446, "NA")</f>
        <v>0</v>
      </c>
      <c r="AB356" s="14"/>
      <c r="AC356" s="15">
        <f t="shared" si="104"/>
        <v>0</v>
      </c>
      <c r="AD356" s="13">
        <f>IFERROR(AC356/AC446, "NA")</f>
        <v>0</v>
      </c>
    </row>
    <row r="357" ht="16.5" hidden="1" customHeight="1">
      <c r="A357" s="11" t="s">
        <v>329</v>
      </c>
      <c r="B357" s="12">
        <v>0.0</v>
      </c>
      <c r="C357" s="13">
        <f>IFERROR(B357/B446, "NA")</f>
        <v>0</v>
      </c>
      <c r="D357" s="14"/>
      <c r="E357" s="12">
        <v>0.0</v>
      </c>
      <c r="F357" s="13">
        <f>IFERROR(E357/E446, "NA")</f>
        <v>0</v>
      </c>
      <c r="G357" s="14"/>
      <c r="H357" s="15">
        <f t="shared" si="101"/>
        <v>0</v>
      </c>
      <c r="I357" s="13">
        <f>IFERROR(H357/H446, "NA")</f>
        <v>0</v>
      </c>
      <c r="J357" s="14"/>
      <c r="K357" s="12">
        <v>0.0</v>
      </c>
      <c r="L357" s="13">
        <f>IFERROR(K357/K446, "NA")</f>
        <v>0</v>
      </c>
      <c r="M357" s="14"/>
      <c r="N357" s="15">
        <f t="shared" si="102"/>
        <v>0</v>
      </c>
      <c r="O357" s="13">
        <f>IFERROR(N357/N446, "NA")</f>
        <v>0</v>
      </c>
      <c r="P357" s="14"/>
      <c r="Q357" s="12">
        <v>0.0</v>
      </c>
      <c r="R357" s="13">
        <f>IFERROR(Q357/Q446, "NA")</f>
        <v>0</v>
      </c>
      <c r="S357" s="14"/>
      <c r="T357" s="12">
        <v>0.0</v>
      </c>
      <c r="U357" s="13">
        <f>IFERROR(T357/T446, "NA")</f>
        <v>0</v>
      </c>
      <c r="V357" s="14"/>
      <c r="W357" s="15">
        <f t="shared" si="103"/>
        <v>0</v>
      </c>
      <c r="X357" s="13">
        <f>IFERROR(W357/W446, "NA")</f>
        <v>0</v>
      </c>
      <c r="Y357" s="14"/>
      <c r="Z357" s="12">
        <v>0.0</v>
      </c>
      <c r="AA357" s="13">
        <f>IFERROR(Z357/Z446, "NA")</f>
        <v>0</v>
      </c>
      <c r="AB357" s="14"/>
      <c r="AC357" s="15">
        <f t="shared" si="104"/>
        <v>0</v>
      </c>
      <c r="AD357" s="13">
        <f>IFERROR(AC357/AC446, "NA")</f>
        <v>0</v>
      </c>
    </row>
    <row r="358" ht="16.5" hidden="1" customHeight="1">
      <c r="A358" s="11" t="s">
        <v>330</v>
      </c>
      <c r="B358" s="12">
        <v>0.0</v>
      </c>
      <c r="C358" s="13">
        <f>IFERROR(B358/B446, "NA")</f>
        <v>0</v>
      </c>
      <c r="D358" s="14"/>
      <c r="E358" s="12">
        <v>0.0</v>
      </c>
      <c r="F358" s="13">
        <f>IFERROR(E358/E446, "NA")</f>
        <v>0</v>
      </c>
      <c r="G358" s="14"/>
      <c r="H358" s="15">
        <f t="shared" si="101"/>
        <v>0</v>
      </c>
      <c r="I358" s="13">
        <f>IFERROR(H358/H446, "NA")</f>
        <v>0</v>
      </c>
      <c r="J358" s="14"/>
      <c r="K358" s="12">
        <v>0.0</v>
      </c>
      <c r="L358" s="13">
        <f>IFERROR(K358/K446, "NA")</f>
        <v>0</v>
      </c>
      <c r="M358" s="14"/>
      <c r="N358" s="15">
        <f t="shared" si="102"/>
        <v>0</v>
      </c>
      <c r="O358" s="13">
        <f>IFERROR(N358/N446, "NA")</f>
        <v>0</v>
      </c>
      <c r="P358" s="14"/>
      <c r="Q358" s="12">
        <v>0.0</v>
      </c>
      <c r="R358" s="13">
        <f>IFERROR(Q358/Q446, "NA")</f>
        <v>0</v>
      </c>
      <c r="S358" s="14"/>
      <c r="T358" s="12">
        <v>0.0</v>
      </c>
      <c r="U358" s="13">
        <f>IFERROR(T358/T446, "NA")</f>
        <v>0</v>
      </c>
      <c r="V358" s="14"/>
      <c r="W358" s="15">
        <f t="shared" si="103"/>
        <v>0</v>
      </c>
      <c r="X358" s="13">
        <f>IFERROR(W358/W446, "NA")</f>
        <v>0</v>
      </c>
      <c r="Y358" s="14"/>
      <c r="Z358" s="12">
        <v>0.0</v>
      </c>
      <c r="AA358" s="13">
        <f>IFERROR(Z358/Z446, "NA")</f>
        <v>0</v>
      </c>
      <c r="AB358" s="14"/>
      <c r="AC358" s="15">
        <f t="shared" si="104"/>
        <v>0</v>
      </c>
      <c r="AD358" s="13">
        <f>IFERROR(AC358/AC446, "NA")</f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>
        <f>IFERROR(B359/B446, "NA")</f>
        <v>0</v>
      </c>
      <c r="D359" s="8"/>
      <c r="E359" s="17">
        <f>IFERROR(E350+E351+E352+E353+E354+E355+E356+E357+E358, "NA")</f>
        <v>0</v>
      </c>
      <c r="F359" s="18">
        <f>IFERROR(E359/E446, "NA")</f>
        <v>0</v>
      </c>
      <c r="G359" s="8"/>
      <c r="H359" s="17">
        <f t="shared" si="101"/>
        <v>0</v>
      </c>
      <c r="I359" s="18">
        <f>IFERROR(H359/H446, "NA")</f>
        <v>0</v>
      </c>
      <c r="J359" s="8"/>
      <c r="K359" s="17">
        <f>IFERROR(K350+K351+K352+K353+K354+K355+K356+K357+K358, "NA")</f>
        <v>0</v>
      </c>
      <c r="L359" s="18">
        <f>IFERROR(K359/K446, "NA")</f>
        <v>0</v>
      </c>
      <c r="M359" s="8"/>
      <c r="N359" s="17">
        <f t="shared" si="102"/>
        <v>0</v>
      </c>
      <c r="O359" s="18">
        <f>IFERROR(N359/N446, "NA")</f>
        <v>0</v>
      </c>
      <c r="P359" s="8"/>
      <c r="Q359" s="17">
        <f>IFERROR(Q350+Q351+Q352+Q353+Q354+Q355+Q356+Q357+Q358, "NA")</f>
        <v>0</v>
      </c>
      <c r="R359" s="18">
        <f>IFERROR(Q359/Q446, "NA")</f>
        <v>0</v>
      </c>
      <c r="S359" s="8"/>
      <c r="T359" s="17">
        <f>IFERROR(T350+T351+T352+T353+T354+T355+T356+T357+T358, "NA")</f>
        <v>0</v>
      </c>
      <c r="U359" s="18">
        <f>IFERROR(T359/T446, "NA")</f>
        <v>0</v>
      </c>
      <c r="V359" s="8"/>
      <c r="W359" s="17">
        <f t="shared" si="103"/>
        <v>0</v>
      </c>
      <c r="X359" s="18">
        <f>IFERROR(W359/W446, "NA")</f>
        <v>0</v>
      </c>
      <c r="Y359" s="8"/>
      <c r="Z359" s="17">
        <f>IFERROR(Z350+Z351+Z352+Z353+Z354+Z355+Z356+Z357+Z358, "NA")</f>
        <v>0</v>
      </c>
      <c r="AA359" s="18">
        <f>IFERROR(Z359/Z446, "NA")</f>
        <v>0</v>
      </c>
      <c r="AB359" s="8"/>
      <c r="AC359" s="17">
        <f t="shared" si="104"/>
        <v>0</v>
      </c>
      <c r="AD359" s="18">
        <f>IFERROR(AC359/AC446, "NA")</f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t="16.5" hidden="1" customHeight="1">
      <c r="A361" s="11" t="s">
        <v>332</v>
      </c>
      <c r="B361" s="12">
        <v>0.0</v>
      </c>
      <c r="C361" s="13">
        <f>IFERROR(B361/B446, "NA")</f>
        <v>0</v>
      </c>
      <c r="D361" s="14"/>
      <c r="E361" s="12">
        <v>0.0</v>
      </c>
      <c r="F361" s="13">
        <f>IFERROR(E361/E446, "NA")</f>
        <v>0</v>
      </c>
      <c r="G361" s="14"/>
      <c r="H361" s="15">
        <f t="shared" ref="H361:H384" si="105">IFERROR(-(B361-E361), "NA")</f>
        <v>0</v>
      </c>
      <c r="I361" s="13">
        <f>IFERROR(H361/H446, "NA")</f>
        <v>0</v>
      </c>
      <c r="J361" s="14"/>
      <c r="K361" s="12">
        <v>0.0</v>
      </c>
      <c r="L361" s="13">
        <f>IFERROR(K361/K446, "NA")</f>
        <v>0</v>
      </c>
      <c r="M361" s="14"/>
      <c r="N361" s="15">
        <f t="shared" ref="N361:N384" si="106">IFERROR(-(B361-K361), "NA")</f>
        <v>0</v>
      </c>
      <c r="O361" s="13">
        <f>IFERROR(N361/N446, "NA")</f>
        <v>0</v>
      </c>
      <c r="P361" s="14"/>
      <c r="Q361" s="12">
        <v>0.0</v>
      </c>
      <c r="R361" s="13">
        <f>IFERROR(Q361/Q446, "NA")</f>
        <v>0</v>
      </c>
      <c r="S361" s="14"/>
      <c r="T361" s="12">
        <v>0.0</v>
      </c>
      <c r="U361" s="13">
        <f>IFERROR(T361/T446, "NA")</f>
        <v>0</v>
      </c>
      <c r="V361" s="14"/>
      <c r="W361" s="15">
        <f t="shared" ref="W361:W384" si="107">IFERROR(-(Q361-T361), "NA")</f>
        <v>0</v>
      </c>
      <c r="X361" s="13">
        <f>IFERROR(W361/W446, "NA")</f>
        <v>0</v>
      </c>
      <c r="Y361" s="14"/>
      <c r="Z361" s="12">
        <v>0.0</v>
      </c>
      <c r="AA361" s="13">
        <f>IFERROR(Z361/Z446, "NA")</f>
        <v>0</v>
      </c>
      <c r="AB361" s="14"/>
      <c r="AC361" s="15">
        <f t="shared" ref="AC361:AC384" si="108">IFERROR(-(Q361-Z361), "NA")</f>
        <v>0</v>
      </c>
      <c r="AD361" s="13">
        <f>IFERROR(AC361/AC446, "NA")</f>
        <v>0</v>
      </c>
    </row>
    <row r="362" ht="16.5" hidden="1" customHeight="1">
      <c r="A362" s="11" t="s">
        <v>333</v>
      </c>
      <c r="B362" s="12">
        <v>0.0</v>
      </c>
      <c r="C362" s="13">
        <f>IFERROR(B362/B446, "NA")</f>
        <v>0</v>
      </c>
      <c r="D362" s="14"/>
      <c r="E362" s="12">
        <v>0.0</v>
      </c>
      <c r="F362" s="13">
        <f>IFERROR(E362/E446, "NA")</f>
        <v>0</v>
      </c>
      <c r="G362" s="14"/>
      <c r="H362" s="15">
        <f t="shared" si="105"/>
        <v>0</v>
      </c>
      <c r="I362" s="13">
        <f>IFERROR(H362/H446, "NA")</f>
        <v>0</v>
      </c>
      <c r="J362" s="14"/>
      <c r="K362" s="12">
        <v>0.0</v>
      </c>
      <c r="L362" s="13">
        <f>IFERROR(K362/K446, "NA")</f>
        <v>0</v>
      </c>
      <c r="M362" s="14"/>
      <c r="N362" s="15">
        <f t="shared" si="106"/>
        <v>0</v>
      </c>
      <c r="O362" s="13">
        <f>IFERROR(N362/N446, "NA")</f>
        <v>0</v>
      </c>
      <c r="P362" s="14"/>
      <c r="Q362" s="12">
        <v>0.0</v>
      </c>
      <c r="R362" s="13">
        <f>IFERROR(Q362/Q446, "NA")</f>
        <v>0</v>
      </c>
      <c r="S362" s="14"/>
      <c r="T362" s="12">
        <v>0.0</v>
      </c>
      <c r="U362" s="13">
        <f>IFERROR(T362/T446, "NA")</f>
        <v>0</v>
      </c>
      <c r="V362" s="14"/>
      <c r="W362" s="15">
        <f t="shared" si="107"/>
        <v>0</v>
      </c>
      <c r="X362" s="13">
        <f>IFERROR(W362/W446, "NA")</f>
        <v>0</v>
      </c>
      <c r="Y362" s="14"/>
      <c r="Z362" s="12">
        <v>0.0</v>
      </c>
      <c r="AA362" s="13">
        <f>IFERROR(Z362/Z446, "NA")</f>
        <v>0</v>
      </c>
      <c r="AB362" s="14"/>
      <c r="AC362" s="15">
        <f t="shared" si="108"/>
        <v>0</v>
      </c>
      <c r="AD362" s="13">
        <f>IFERROR(AC362/AC446, "NA")</f>
        <v>0</v>
      </c>
    </row>
    <row r="363" ht="16.5" hidden="1" customHeight="1">
      <c r="A363" s="11" t="s">
        <v>334</v>
      </c>
      <c r="B363" s="12">
        <v>0.0</v>
      </c>
      <c r="C363" s="13">
        <f>IFERROR(B363/B446, "NA")</f>
        <v>0</v>
      </c>
      <c r="D363" s="14"/>
      <c r="E363" s="12">
        <v>0.0</v>
      </c>
      <c r="F363" s="13">
        <f>IFERROR(E363/E446, "NA")</f>
        <v>0</v>
      </c>
      <c r="G363" s="14"/>
      <c r="H363" s="15">
        <f t="shared" si="105"/>
        <v>0</v>
      </c>
      <c r="I363" s="13">
        <f>IFERROR(H363/H446, "NA")</f>
        <v>0</v>
      </c>
      <c r="J363" s="14"/>
      <c r="K363" s="12">
        <v>0.0</v>
      </c>
      <c r="L363" s="13">
        <f>IFERROR(K363/K446, "NA")</f>
        <v>0</v>
      </c>
      <c r="M363" s="14"/>
      <c r="N363" s="15">
        <f t="shared" si="106"/>
        <v>0</v>
      </c>
      <c r="O363" s="13">
        <f>IFERROR(N363/N446, "NA")</f>
        <v>0</v>
      </c>
      <c r="P363" s="14"/>
      <c r="Q363" s="12">
        <v>0.0</v>
      </c>
      <c r="R363" s="13">
        <f>IFERROR(Q363/Q446, "NA")</f>
        <v>0</v>
      </c>
      <c r="S363" s="14"/>
      <c r="T363" s="12">
        <v>0.0</v>
      </c>
      <c r="U363" s="13">
        <f>IFERROR(T363/T446, "NA")</f>
        <v>0</v>
      </c>
      <c r="V363" s="14"/>
      <c r="W363" s="15">
        <f t="shared" si="107"/>
        <v>0</v>
      </c>
      <c r="X363" s="13">
        <f>IFERROR(W363/W446, "NA")</f>
        <v>0</v>
      </c>
      <c r="Y363" s="14"/>
      <c r="Z363" s="12">
        <v>0.0</v>
      </c>
      <c r="AA363" s="13">
        <f>IFERROR(Z363/Z446, "NA")</f>
        <v>0</v>
      </c>
      <c r="AB363" s="14"/>
      <c r="AC363" s="15">
        <f t="shared" si="108"/>
        <v>0</v>
      </c>
      <c r="AD363" s="13">
        <f>IFERROR(AC363/AC446, "NA")</f>
        <v>0</v>
      </c>
    </row>
    <row r="364" ht="16.5" hidden="1" customHeight="1">
      <c r="A364" s="11" t="s">
        <v>335</v>
      </c>
      <c r="B364" s="12">
        <v>0.0</v>
      </c>
      <c r="C364" s="13">
        <f>IFERROR(B364/B446, "NA")</f>
        <v>0</v>
      </c>
      <c r="D364" s="14"/>
      <c r="E364" s="12">
        <v>0.0</v>
      </c>
      <c r="F364" s="13">
        <f>IFERROR(E364/E446, "NA")</f>
        <v>0</v>
      </c>
      <c r="G364" s="14"/>
      <c r="H364" s="15">
        <f t="shared" si="105"/>
        <v>0</v>
      </c>
      <c r="I364" s="13">
        <f>IFERROR(H364/H446, "NA")</f>
        <v>0</v>
      </c>
      <c r="J364" s="14"/>
      <c r="K364" s="12">
        <v>0.0</v>
      </c>
      <c r="L364" s="13">
        <f>IFERROR(K364/K446, "NA")</f>
        <v>0</v>
      </c>
      <c r="M364" s="14"/>
      <c r="N364" s="15">
        <f t="shared" si="106"/>
        <v>0</v>
      </c>
      <c r="O364" s="13">
        <f>IFERROR(N364/N446, "NA")</f>
        <v>0</v>
      </c>
      <c r="P364" s="14"/>
      <c r="Q364" s="12">
        <v>0.0</v>
      </c>
      <c r="R364" s="13">
        <f>IFERROR(Q364/Q446, "NA")</f>
        <v>0</v>
      </c>
      <c r="S364" s="14"/>
      <c r="T364" s="12">
        <v>0.0</v>
      </c>
      <c r="U364" s="13">
        <f>IFERROR(T364/T446, "NA")</f>
        <v>0</v>
      </c>
      <c r="V364" s="14"/>
      <c r="W364" s="15">
        <f t="shared" si="107"/>
        <v>0</v>
      </c>
      <c r="X364" s="13">
        <f>IFERROR(W364/W446, "NA")</f>
        <v>0</v>
      </c>
      <c r="Y364" s="14"/>
      <c r="Z364" s="12">
        <v>0.0</v>
      </c>
      <c r="AA364" s="13">
        <f>IFERROR(Z364/Z446, "NA")</f>
        <v>0</v>
      </c>
      <c r="AB364" s="14"/>
      <c r="AC364" s="15">
        <f t="shared" si="108"/>
        <v>0</v>
      </c>
      <c r="AD364" s="13">
        <f>IFERROR(AC364/AC446, "NA")</f>
        <v>0</v>
      </c>
    </row>
    <row r="365" ht="16.5" hidden="1" customHeight="1">
      <c r="A365" s="11" t="s">
        <v>336</v>
      </c>
      <c r="B365" s="12">
        <v>0.0</v>
      </c>
      <c r="C365" s="13">
        <f>IFERROR(B365/B446, "NA")</f>
        <v>0</v>
      </c>
      <c r="D365" s="14"/>
      <c r="E365" s="12">
        <v>0.0</v>
      </c>
      <c r="F365" s="13">
        <f>IFERROR(E365/E446, "NA")</f>
        <v>0</v>
      </c>
      <c r="G365" s="14"/>
      <c r="H365" s="15">
        <f t="shared" si="105"/>
        <v>0</v>
      </c>
      <c r="I365" s="13">
        <f>IFERROR(H365/H446, "NA")</f>
        <v>0</v>
      </c>
      <c r="J365" s="14"/>
      <c r="K365" s="12">
        <v>0.0</v>
      </c>
      <c r="L365" s="13">
        <f>IFERROR(K365/K446, "NA")</f>
        <v>0</v>
      </c>
      <c r="M365" s="14"/>
      <c r="N365" s="15">
        <f t="shared" si="106"/>
        <v>0</v>
      </c>
      <c r="O365" s="13">
        <f>IFERROR(N365/N446, "NA")</f>
        <v>0</v>
      </c>
      <c r="P365" s="14"/>
      <c r="Q365" s="12">
        <v>0.0</v>
      </c>
      <c r="R365" s="13">
        <f>IFERROR(Q365/Q446, "NA")</f>
        <v>0</v>
      </c>
      <c r="S365" s="14"/>
      <c r="T365" s="12">
        <v>0.0</v>
      </c>
      <c r="U365" s="13">
        <f>IFERROR(T365/T446, "NA")</f>
        <v>0</v>
      </c>
      <c r="V365" s="14"/>
      <c r="W365" s="15">
        <f t="shared" si="107"/>
        <v>0</v>
      </c>
      <c r="X365" s="13">
        <f>IFERROR(W365/W446, "NA")</f>
        <v>0</v>
      </c>
      <c r="Y365" s="14"/>
      <c r="Z365" s="12">
        <v>0.0</v>
      </c>
      <c r="AA365" s="13">
        <f>IFERROR(Z365/Z446, "NA")</f>
        <v>0</v>
      </c>
      <c r="AB365" s="14"/>
      <c r="AC365" s="15">
        <f t="shared" si="108"/>
        <v>0</v>
      </c>
      <c r="AD365" s="13">
        <f>IFERROR(AC365/AC446, "NA")</f>
        <v>0</v>
      </c>
    </row>
    <row r="366" ht="16.5" hidden="1" customHeight="1">
      <c r="A366" s="11" t="s">
        <v>337</v>
      </c>
      <c r="B366" s="12">
        <v>0.0</v>
      </c>
      <c r="C366" s="13">
        <f>IFERROR(B366/B446, "NA")</f>
        <v>0</v>
      </c>
      <c r="D366" s="14"/>
      <c r="E366" s="12">
        <v>0.0</v>
      </c>
      <c r="F366" s="13">
        <f>IFERROR(E366/E446, "NA")</f>
        <v>0</v>
      </c>
      <c r="G366" s="14"/>
      <c r="H366" s="15">
        <f t="shared" si="105"/>
        <v>0</v>
      </c>
      <c r="I366" s="13">
        <f>IFERROR(H366/H446, "NA")</f>
        <v>0</v>
      </c>
      <c r="J366" s="14"/>
      <c r="K366" s="12">
        <v>0.0</v>
      </c>
      <c r="L366" s="13">
        <f>IFERROR(K366/K446, "NA")</f>
        <v>0</v>
      </c>
      <c r="M366" s="14"/>
      <c r="N366" s="15">
        <f t="shared" si="106"/>
        <v>0</v>
      </c>
      <c r="O366" s="13">
        <f>IFERROR(N366/N446, "NA")</f>
        <v>0</v>
      </c>
      <c r="P366" s="14"/>
      <c r="Q366" s="12">
        <v>0.0</v>
      </c>
      <c r="R366" s="13">
        <f>IFERROR(Q366/Q446, "NA")</f>
        <v>0</v>
      </c>
      <c r="S366" s="14"/>
      <c r="T366" s="12">
        <v>0.0</v>
      </c>
      <c r="U366" s="13">
        <f>IFERROR(T366/T446, "NA")</f>
        <v>0</v>
      </c>
      <c r="V366" s="14"/>
      <c r="W366" s="15">
        <f t="shared" si="107"/>
        <v>0</v>
      </c>
      <c r="X366" s="13">
        <f>IFERROR(W366/W446, "NA")</f>
        <v>0</v>
      </c>
      <c r="Y366" s="14"/>
      <c r="Z366" s="12">
        <v>0.0</v>
      </c>
      <c r="AA366" s="13">
        <f>IFERROR(Z366/Z446, "NA")</f>
        <v>0</v>
      </c>
      <c r="AB366" s="14"/>
      <c r="AC366" s="15">
        <f t="shared" si="108"/>
        <v>0</v>
      </c>
      <c r="AD366" s="13">
        <f>IFERROR(AC366/AC446, "NA")</f>
        <v>0</v>
      </c>
    </row>
    <row r="367" ht="16.5" hidden="1" customHeight="1">
      <c r="A367" s="11" t="s">
        <v>338</v>
      </c>
      <c r="B367" s="12">
        <v>0.0</v>
      </c>
      <c r="C367" s="13">
        <f>IFERROR(B367/B446, "NA")</f>
        <v>0</v>
      </c>
      <c r="D367" s="14"/>
      <c r="E367" s="12">
        <v>0.0</v>
      </c>
      <c r="F367" s="13">
        <f>IFERROR(E367/E446, "NA")</f>
        <v>0</v>
      </c>
      <c r="G367" s="14"/>
      <c r="H367" s="15">
        <f t="shared" si="105"/>
        <v>0</v>
      </c>
      <c r="I367" s="13">
        <f>IFERROR(H367/H446, "NA")</f>
        <v>0</v>
      </c>
      <c r="J367" s="14"/>
      <c r="K367" s="12">
        <v>0.0</v>
      </c>
      <c r="L367" s="13">
        <f>IFERROR(K367/K446, "NA")</f>
        <v>0</v>
      </c>
      <c r="M367" s="14"/>
      <c r="N367" s="15">
        <f t="shared" si="106"/>
        <v>0</v>
      </c>
      <c r="O367" s="13">
        <f>IFERROR(N367/N446, "NA")</f>
        <v>0</v>
      </c>
      <c r="P367" s="14"/>
      <c r="Q367" s="12">
        <v>0.0</v>
      </c>
      <c r="R367" s="13">
        <f>IFERROR(Q367/Q446, "NA")</f>
        <v>0</v>
      </c>
      <c r="S367" s="14"/>
      <c r="T367" s="12">
        <v>0.0</v>
      </c>
      <c r="U367" s="13">
        <f>IFERROR(T367/T446, "NA")</f>
        <v>0</v>
      </c>
      <c r="V367" s="14"/>
      <c r="W367" s="15">
        <f t="shared" si="107"/>
        <v>0</v>
      </c>
      <c r="X367" s="13">
        <f>IFERROR(W367/W446, "NA")</f>
        <v>0</v>
      </c>
      <c r="Y367" s="14"/>
      <c r="Z367" s="12">
        <v>0.0</v>
      </c>
      <c r="AA367" s="13">
        <f>IFERROR(Z367/Z446, "NA")</f>
        <v>0</v>
      </c>
      <c r="AB367" s="14"/>
      <c r="AC367" s="15">
        <f t="shared" si="108"/>
        <v>0</v>
      </c>
      <c r="AD367" s="13">
        <f>IFERROR(AC367/AC446, "NA")</f>
        <v>0</v>
      </c>
    </row>
    <row r="368" ht="16.5" hidden="1" customHeight="1">
      <c r="A368" s="11" t="s">
        <v>339</v>
      </c>
      <c r="B368" s="12">
        <v>0.0</v>
      </c>
      <c r="C368" s="13">
        <f>IFERROR(B368/B446, "NA")</f>
        <v>0</v>
      </c>
      <c r="D368" s="14"/>
      <c r="E368" s="12">
        <v>0.0</v>
      </c>
      <c r="F368" s="13">
        <f>IFERROR(E368/E446, "NA")</f>
        <v>0</v>
      </c>
      <c r="G368" s="14"/>
      <c r="H368" s="15">
        <f t="shared" si="105"/>
        <v>0</v>
      </c>
      <c r="I368" s="13">
        <f>IFERROR(H368/H446, "NA")</f>
        <v>0</v>
      </c>
      <c r="J368" s="14"/>
      <c r="K368" s="12">
        <v>0.0</v>
      </c>
      <c r="L368" s="13">
        <f>IFERROR(K368/K446, "NA")</f>
        <v>0</v>
      </c>
      <c r="M368" s="14"/>
      <c r="N368" s="15">
        <f t="shared" si="106"/>
        <v>0</v>
      </c>
      <c r="O368" s="13">
        <f>IFERROR(N368/N446, "NA")</f>
        <v>0</v>
      </c>
      <c r="P368" s="14"/>
      <c r="Q368" s="12">
        <v>0.0</v>
      </c>
      <c r="R368" s="13">
        <f>IFERROR(Q368/Q446, "NA")</f>
        <v>0</v>
      </c>
      <c r="S368" s="14"/>
      <c r="T368" s="12">
        <v>0.0</v>
      </c>
      <c r="U368" s="13">
        <f>IFERROR(T368/T446, "NA")</f>
        <v>0</v>
      </c>
      <c r="V368" s="14"/>
      <c r="W368" s="15">
        <f t="shared" si="107"/>
        <v>0</v>
      </c>
      <c r="X368" s="13">
        <f>IFERROR(W368/W446, "NA")</f>
        <v>0</v>
      </c>
      <c r="Y368" s="14"/>
      <c r="Z368" s="12">
        <v>0.0</v>
      </c>
      <c r="AA368" s="13">
        <f>IFERROR(Z368/Z446, "NA")</f>
        <v>0</v>
      </c>
      <c r="AB368" s="14"/>
      <c r="AC368" s="15">
        <f t="shared" si="108"/>
        <v>0</v>
      </c>
      <c r="AD368" s="13">
        <f>IFERROR(AC368/AC446, "NA")</f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>
        <f>IFERROR(B369/B446, "NA")</f>
        <v>0</v>
      </c>
      <c r="D369" s="8"/>
      <c r="E369" s="17">
        <f>IFERROR(E361+E362+E363+E364+E365+E366+E367+E368, "NA")</f>
        <v>0</v>
      </c>
      <c r="F369" s="18">
        <f>IFERROR(E369/E446, "NA")</f>
        <v>0</v>
      </c>
      <c r="G369" s="8"/>
      <c r="H369" s="17">
        <f t="shared" si="105"/>
        <v>0</v>
      </c>
      <c r="I369" s="18">
        <f>IFERROR(H369/H446, "NA")</f>
        <v>0</v>
      </c>
      <c r="J369" s="8"/>
      <c r="K369" s="17">
        <f>IFERROR(K361+K362+K363+K364+K365+K366+K367+K368, "NA")</f>
        <v>0</v>
      </c>
      <c r="L369" s="18">
        <f>IFERROR(K369/K446, "NA")</f>
        <v>0</v>
      </c>
      <c r="M369" s="8"/>
      <c r="N369" s="17">
        <f t="shared" si="106"/>
        <v>0</v>
      </c>
      <c r="O369" s="18">
        <f>IFERROR(N369/N446, "NA")</f>
        <v>0</v>
      </c>
      <c r="P369" s="8"/>
      <c r="Q369" s="17">
        <f>IFERROR(Q361+Q362+Q363+Q364+Q365+Q366+Q367+Q368, "NA")</f>
        <v>0</v>
      </c>
      <c r="R369" s="18">
        <f>IFERROR(Q369/Q446, "NA")</f>
        <v>0</v>
      </c>
      <c r="S369" s="8"/>
      <c r="T369" s="17">
        <f>IFERROR(T361+T362+T363+T364+T365+T366+T367+T368, "NA")</f>
        <v>0</v>
      </c>
      <c r="U369" s="18">
        <f>IFERROR(T369/T446, "NA")</f>
        <v>0</v>
      </c>
      <c r="V369" s="8"/>
      <c r="W369" s="17">
        <f t="shared" si="107"/>
        <v>0</v>
      </c>
      <c r="X369" s="18">
        <f>IFERROR(W369/W446, "NA")</f>
        <v>0</v>
      </c>
      <c r="Y369" s="8"/>
      <c r="Z369" s="17">
        <f>IFERROR(Z361+Z362+Z363+Z364+Z365+Z366+Z367+Z368, "NA")</f>
        <v>0</v>
      </c>
      <c r="AA369" s="18">
        <f>IFERROR(Z369/Z446, "NA")</f>
        <v>0</v>
      </c>
      <c r="AB369" s="8"/>
      <c r="AC369" s="17">
        <f t="shared" si="108"/>
        <v>0</v>
      </c>
      <c r="AD369" s="18">
        <f>IFERROR(AC369/AC446, "NA")</f>
        <v>0</v>
      </c>
    </row>
    <row r="370" ht="16.5" hidden="1" customHeight="1">
      <c r="A370" s="11" t="s">
        <v>341</v>
      </c>
      <c r="B370" s="12">
        <v>0.0</v>
      </c>
      <c r="C370" s="13">
        <f>IFERROR(B370/B446, "NA")</f>
        <v>0</v>
      </c>
      <c r="D370" s="14"/>
      <c r="E370" s="12">
        <v>0.0</v>
      </c>
      <c r="F370" s="13">
        <f>IFERROR(E370/E446, "NA")</f>
        <v>0</v>
      </c>
      <c r="G370" s="14"/>
      <c r="H370" s="15">
        <f t="shared" si="105"/>
        <v>0</v>
      </c>
      <c r="I370" s="13">
        <f>IFERROR(H370/H446, "NA")</f>
        <v>0</v>
      </c>
      <c r="J370" s="14"/>
      <c r="K370" s="12">
        <v>0.0</v>
      </c>
      <c r="L370" s="13">
        <f>IFERROR(K370/K446, "NA")</f>
        <v>0</v>
      </c>
      <c r="M370" s="14"/>
      <c r="N370" s="15">
        <f t="shared" si="106"/>
        <v>0</v>
      </c>
      <c r="O370" s="13">
        <f>IFERROR(N370/N446, "NA")</f>
        <v>0</v>
      </c>
      <c r="P370" s="14"/>
      <c r="Q370" s="12">
        <v>0.0</v>
      </c>
      <c r="R370" s="13">
        <f>IFERROR(Q370/Q446, "NA")</f>
        <v>0</v>
      </c>
      <c r="S370" s="14"/>
      <c r="T370" s="12">
        <v>0.0</v>
      </c>
      <c r="U370" s="13">
        <f>IFERROR(T370/T446, "NA")</f>
        <v>0</v>
      </c>
      <c r="V370" s="14"/>
      <c r="W370" s="15">
        <f t="shared" si="107"/>
        <v>0</v>
      </c>
      <c r="X370" s="13">
        <f>IFERROR(W370/W446, "NA")</f>
        <v>0</v>
      </c>
      <c r="Y370" s="14"/>
      <c r="Z370" s="12">
        <v>0.0</v>
      </c>
      <c r="AA370" s="13">
        <f>IFERROR(Z370/Z446, "NA")</f>
        <v>0</v>
      </c>
      <c r="AB370" s="14"/>
      <c r="AC370" s="15">
        <f t="shared" si="108"/>
        <v>0</v>
      </c>
      <c r="AD370" s="13">
        <f>IFERROR(AC370/AC446, "NA")</f>
        <v>0</v>
      </c>
    </row>
    <row r="371" ht="16.5" hidden="1" customHeight="1">
      <c r="A371" s="11" t="s">
        <v>342</v>
      </c>
      <c r="B371" s="12">
        <v>0.0</v>
      </c>
      <c r="C371" s="13">
        <f>IFERROR(B371/B446, "NA")</f>
        <v>0</v>
      </c>
      <c r="D371" s="14"/>
      <c r="E371" s="12">
        <v>0.0</v>
      </c>
      <c r="F371" s="13">
        <f>IFERROR(E371/E446, "NA")</f>
        <v>0</v>
      </c>
      <c r="G371" s="14"/>
      <c r="H371" s="15">
        <f t="shared" si="105"/>
        <v>0</v>
      </c>
      <c r="I371" s="13">
        <f>IFERROR(H371/H446, "NA")</f>
        <v>0</v>
      </c>
      <c r="J371" s="14"/>
      <c r="K371" s="12">
        <v>0.0</v>
      </c>
      <c r="L371" s="13">
        <f>IFERROR(K371/K446, "NA")</f>
        <v>0</v>
      </c>
      <c r="M371" s="14"/>
      <c r="N371" s="15">
        <f t="shared" si="106"/>
        <v>0</v>
      </c>
      <c r="O371" s="13">
        <f>IFERROR(N371/N446, "NA")</f>
        <v>0</v>
      </c>
      <c r="P371" s="14"/>
      <c r="Q371" s="12">
        <v>0.0</v>
      </c>
      <c r="R371" s="13">
        <f>IFERROR(Q371/Q446, "NA")</f>
        <v>0</v>
      </c>
      <c r="S371" s="14"/>
      <c r="T371" s="12">
        <v>0.0</v>
      </c>
      <c r="U371" s="13">
        <f>IFERROR(T371/T446, "NA")</f>
        <v>0</v>
      </c>
      <c r="V371" s="14"/>
      <c r="W371" s="15">
        <f t="shared" si="107"/>
        <v>0</v>
      </c>
      <c r="X371" s="13">
        <f>IFERROR(W371/W446, "NA")</f>
        <v>0</v>
      </c>
      <c r="Y371" s="14"/>
      <c r="Z371" s="12">
        <v>0.0</v>
      </c>
      <c r="AA371" s="13">
        <f>IFERROR(Z371/Z446, "NA")</f>
        <v>0</v>
      </c>
      <c r="AB371" s="14"/>
      <c r="AC371" s="15">
        <f t="shared" si="108"/>
        <v>0</v>
      </c>
      <c r="AD371" s="13">
        <f>IFERROR(AC371/AC446, "NA")</f>
        <v>0</v>
      </c>
    </row>
    <row r="372" ht="16.5" hidden="1" customHeight="1">
      <c r="A372" s="11" t="s">
        <v>343</v>
      </c>
      <c r="B372" s="12">
        <v>0.0</v>
      </c>
      <c r="C372" s="13">
        <f>IFERROR(B372/B446, "NA")</f>
        <v>0</v>
      </c>
      <c r="D372" s="14"/>
      <c r="E372" s="12">
        <v>0.0</v>
      </c>
      <c r="F372" s="13">
        <f>IFERROR(E372/E446, "NA")</f>
        <v>0</v>
      </c>
      <c r="G372" s="14"/>
      <c r="H372" s="15">
        <f t="shared" si="105"/>
        <v>0</v>
      </c>
      <c r="I372" s="13">
        <f>IFERROR(H372/H446, "NA")</f>
        <v>0</v>
      </c>
      <c r="J372" s="14"/>
      <c r="K372" s="12">
        <v>0.0</v>
      </c>
      <c r="L372" s="13">
        <f>IFERROR(K372/K446, "NA")</f>
        <v>0</v>
      </c>
      <c r="M372" s="14"/>
      <c r="N372" s="15">
        <f t="shared" si="106"/>
        <v>0</v>
      </c>
      <c r="O372" s="13">
        <f>IFERROR(N372/N446, "NA")</f>
        <v>0</v>
      </c>
      <c r="P372" s="14"/>
      <c r="Q372" s="12">
        <v>0.0</v>
      </c>
      <c r="R372" s="13">
        <f>IFERROR(Q372/Q446, "NA")</f>
        <v>0</v>
      </c>
      <c r="S372" s="14"/>
      <c r="T372" s="12">
        <v>0.0</v>
      </c>
      <c r="U372" s="13">
        <f>IFERROR(T372/T446, "NA")</f>
        <v>0</v>
      </c>
      <c r="V372" s="14"/>
      <c r="W372" s="15">
        <f t="shared" si="107"/>
        <v>0</v>
      </c>
      <c r="X372" s="13">
        <f>IFERROR(W372/W446, "NA")</f>
        <v>0</v>
      </c>
      <c r="Y372" s="14"/>
      <c r="Z372" s="12">
        <v>0.0</v>
      </c>
      <c r="AA372" s="13">
        <f>IFERROR(Z372/Z446, "NA")</f>
        <v>0</v>
      </c>
      <c r="AB372" s="14"/>
      <c r="AC372" s="15">
        <f t="shared" si="108"/>
        <v>0</v>
      </c>
      <c r="AD372" s="13">
        <f>IFERROR(AC372/AC446, "NA")</f>
        <v>0</v>
      </c>
    </row>
    <row r="373" ht="16.5" hidden="1" customHeight="1">
      <c r="A373" s="11" t="s">
        <v>344</v>
      </c>
      <c r="B373" s="12">
        <v>0.0</v>
      </c>
      <c r="C373" s="13">
        <f>IFERROR(B373/B446, "NA")</f>
        <v>0</v>
      </c>
      <c r="D373" s="14"/>
      <c r="E373" s="12">
        <v>0.0</v>
      </c>
      <c r="F373" s="13">
        <f>IFERROR(E373/E446, "NA")</f>
        <v>0</v>
      </c>
      <c r="G373" s="14"/>
      <c r="H373" s="15">
        <f t="shared" si="105"/>
        <v>0</v>
      </c>
      <c r="I373" s="13">
        <f>IFERROR(H373/H446, "NA")</f>
        <v>0</v>
      </c>
      <c r="J373" s="14"/>
      <c r="K373" s="12">
        <v>0.0</v>
      </c>
      <c r="L373" s="13">
        <f>IFERROR(K373/K446, "NA")</f>
        <v>0</v>
      </c>
      <c r="M373" s="14"/>
      <c r="N373" s="15">
        <f t="shared" si="106"/>
        <v>0</v>
      </c>
      <c r="O373" s="13">
        <f>IFERROR(N373/N446, "NA")</f>
        <v>0</v>
      </c>
      <c r="P373" s="14"/>
      <c r="Q373" s="12">
        <v>0.0</v>
      </c>
      <c r="R373" s="13">
        <f>IFERROR(Q373/Q446, "NA")</f>
        <v>0</v>
      </c>
      <c r="S373" s="14"/>
      <c r="T373" s="12">
        <v>0.0</v>
      </c>
      <c r="U373" s="13">
        <f>IFERROR(T373/T446, "NA")</f>
        <v>0</v>
      </c>
      <c r="V373" s="14"/>
      <c r="W373" s="15">
        <f t="shared" si="107"/>
        <v>0</v>
      </c>
      <c r="X373" s="13">
        <f>IFERROR(W373/W446, "NA")</f>
        <v>0</v>
      </c>
      <c r="Y373" s="14"/>
      <c r="Z373" s="12">
        <v>0.0</v>
      </c>
      <c r="AA373" s="13">
        <f>IFERROR(Z373/Z446, "NA")</f>
        <v>0</v>
      </c>
      <c r="AB373" s="14"/>
      <c r="AC373" s="15">
        <f t="shared" si="108"/>
        <v>0</v>
      </c>
      <c r="AD373" s="13">
        <f>IFERROR(AC373/AC446, "NA")</f>
        <v>0</v>
      </c>
    </row>
    <row r="374" ht="16.5" hidden="1" customHeight="1">
      <c r="A374" s="11" t="s">
        <v>345</v>
      </c>
      <c r="B374" s="12">
        <v>0.0</v>
      </c>
      <c r="C374" s="13">
        <f>IFERROR(B374/B446, "NA")</f>
        <v>0</v>
      </c>
      <c r="D374" s="14"/>
      <c r="E374" s="12">
        <v>0.0</v>
      </c>
      <c r="F374" s="13">
        <f>IFERROR(E374/E446, "NA")</f>
        <v>0</v>
      </c>
      <c r="G374" s="14"/>
      <c r="H374" s="15">
        <f t="shared" si="105"/>
        <v>0</v>
      </c>
      <c r="I374" s="13">
        <f>IFERROR(H374/H446, "NA")</f>
        <v>0</v>
      </c>
      <c r="J374" s="14"/>
      <c r="K374" s="12">
        <v>0.0</v>
      </c>
      <c r="L374" s="13">
        <f>IFERROR(K374/K446, "NA")</f>
        <v>0</v>
      </c>
      <c r="M374" s="14"/>
      <c r="N374" s="15">
        <f t="shared" si="106"/>
        <v>0</v>
      </c>
      <c r="O374" s="13">
        <f>IFERROR(N374/N446, "NA")</f>
        <v>0</v>
      </c>
      <c r="P374" s="14"/>
      <c r="Q374" s="12">
        <v>0.0</v>
      </c>
      <c r="R374" s="13">
        <f>IFERROR(Q374/Q446, "NA")</f>
        <v>0</v>
      </c>
      <c r="S374" s="14"/>
      <c r="T374" s="12">
        <v>0.0</v>
      </c>
      <c r="U374" s="13">
        <f>IFERROR(T374/T446, "NA")</f>
        <v>0</v>
      </c>
      <c r="V374" s="14"/>
      <c r="W374" s="15">
        <f t="shared" si="107"/>
        <v>0</v>
      </c>
      <c r="X374" s="13">
        <f>IFERROR(W374/W446, "NA")</f>
        <v>0</v>
      </c>
      <c r="Y374" s="14"/>
      <c r="Z374" s="12">
        <v>0.0</v>
      </c>
      <c r="AA374" s="13">
        <f>IFERROR(Z374/Z446, "NA")</f>
        <v>0</v>
      </c>
      <c r="AB374" s="14"/>
      <c r="AC374" s="15">
        <f t="shared" si="108"/>
        <v>0</v>
      </c>
      <c r="AD374" s="13">
        <f>IFERROR(AC374/AC446, "NA")</f>
        <v>0</v>
      </c>
    </row>
    <row r="375" ht="16.5" hidden="1" customHeight="1">
      <c r="A375" s="11" t="s">
        <v>346</v>
      </c>
      <c r="B375" s="12">
        <v>0.0</v>
      </c>
      <c r="C375" s="13">
        <f>IFERROR(B375/B446, "NA")</f>
        <v>0</v>
      </c>
      <c r="D375" s="14"/>
      <c r="E375" s="12">
        <v>0.0</v>
      </c>
      <c r="F375" s="13">
        <f>IFERROR(E375/E446, "NA")</f>
        <v>0</v>
      </c>
      <c r="G375" s="14"/>
      <c r="H375" s="15">
        <f t="shared" si="105"/>
        <v>0</v>
      </c>
      <c r="I375" s="13">
        <f>IFERROR(H375/H446, "NA")</f>
        <v>0</v>
      </c>
      <c r="J375" s="14"/>
      <c r="K375" s="12">
        <v>0.0</v>
      </c>
      <c r="L375" s="13">
        <f>IFERROR(K375/K446, "NA")</f>
        <v>0</v>
      </c>
      <c r="M375" s="14"/>
      <c r="N375" s="15">
        <f t="shared" si="106"/>
        <v>0</v>
      </c>
      <c r="O375" s="13">
        <f>IFERROR(N375/N446, "NA")</f>
        <v>0</v>
      </c>
      <c r="P375" s="14"/>
      <c r="Q375" s="12">
        <v>0.0</v>
      </c>
      <c r="R375" s="13">
        <f>IFERROR(Q375/Q446, "NA")</f>
        <v>0</v>
      </c>
      <c r="S375" s="14"/>
      <c r="T375" s="12">
        <v>0.0</v>
      </c>
      <c r="U375" s="13">
        <f>IFERROR(T375/T446, "NA")</f>
        <v>0</v>
      </c>
      <c r="V375" s="14"/>
      <c r="W375" s="15">
        <f t="shared" si="107"/>
        <v>0</v>
      </c>
      <c r="X375" s="13">
        <f>IFERROR(W375/W446, "NA")</f>
        <v>0</v>
      </c>
      <c r="Y375" s="14"/>
      <c r="Z375" s="12">
        <v>0.0</v>
      </c>
      <c r="AA375" s="13">
        <f>IFERROR(Z375/Z446, "NA")</f>
        <v>0</v>
      </c>
      <c r="AB375" s="14"/>
      <c r="AC375" s="15">
        <f t="shared" si="108"/>
        <v>0</v>
      </c>
      <c r="AD375" s="13">
        <f>IFERROR(AC375/AC446, "NA")</f>
        <v>0</v>
      </c>
    </row>
    <row r="376" ht="16.5" hidden="1" customHeight="1">
      <c r="A376" s="11" t="s">
        <v>347</v>
      </c>
      <c r="B376" s="12">
        <v>0.0</v>
      </c>
      <c r="C376" s="13">
        <f>IFERROR(B376/B446, "NA")</f>
        <v>0</v>
      </c>
      <c r="D376" s="14"/>
      <c r="E376" s="12">
        <v>0.0</v>
      </c>
      <c r="F376" s="13">
        <f>IFERROR(E376/E446, "NA")</f>
        <v>0</v>
      </c>
      <c r="G376" s="14"/>
      <c r="H376" s="15">
        <f t="shared" si="105"/>
        <v>0</v>
      </c>
      <c r="I376" s="13">
        <f>IFERROR(H376/H446, "NA")</f>
        <v>0</v>
      </c>
      <c r="J376" s="14"/>
      <c r="K376" s="12">
        <v>0.0</v>
      </c>
      <c r="L376" s="13">
        <f>IFERROR(K376/K446, "NA")</f>
        <v>0</v>
      </c>
      <c r="M376" s="14"/>
      <c r="N376" s="15">
        <f t="shared" si="106"/>
        <v>0</v>
      </c>
      <c r="O376" s="13">
        <f>IFERROR(N376/N446, "NA")</f>
        <v>0</v>
      </c>
      <c r="P376" s="14"/>
      <c r="Q376" s="12">
        <v>0.0</v>
      </c>
      <c r="R376" s="13">
        <f>IFERROR(Q376/Q446, "NA")</f>
        <v>0</v>
      </c>
      <c r="S376" s="14"/>
      <c r="T376" s="12">
        <v>0.0</v>
      </c>
      <c r="U376" s="13">
        <f>IFERROR(T376/T446, "NA")</f>
        <v>0</v>
      </c>
      <c r="V376" s="14"/>
      <c r="W376" s="15">
        <f t="shared" si="107"/>
        <v>0</v>
      </c>
      <c r="X376" s="13">
        <f>IFERROR(W376/W446, "NA")</f>
        <v>0</v>
      </c>
      <c r="Y376" s="14"/>
      <c r="Z376" s="12">
        <v>0.0</v>
      </c>
      <c r="AA376" s="13">
        <f>IFERROR(Z376/Z446, "NA")</f>
        <v>0</v>
      </c>
      <c r="AB376" s="14"/>
      <c r="AC376" s="15">
        <f t="shared" si="108"/>
        <v>0</v>
      </c>
      <c r="AD376" s="13">
        <f>IFERROR(AC376/AC446, "NA")</f>
        <v>0</v>
      </c>
    </row>
    <row r="377" ht="16.5" hidden="1" customHeight="1">
      <c r="A377" s="11" t="s">
        <v>348</v>
      </c>
      <c r="B377" s="12">
        <v>0.0</v>
      </c>
      <c r="C377" s="13">
        <f>IFERROR(B377/B446, "NA")</f>
        <v>0</v>
      </c>
      <c r="D377" s="14"/>
      <c r="E377" s="12">
        <v>0.0</v>
      </c>
      <c r="F377" s="13">
        <f>IFERROR(E377/E446, "NA")</f>
        <v>0</v>
      </c>
      <c r="G377" s="14"/>
      <c r="H377" s="15">
        <f t="shared" si="105"/>
        <v>0</v>
      </c>
      <c r="I377" s="13">
        <f>IFERROR(H377/H446, "NA")</f>
        <v>0</v>
      </c>
      <c r="J377" s="14"/>
      <c r="K377" s="12">
        <v>0.0</v>
      </c>
      <c r="L377" s="13">
        <f>IFERROR(K377/K446, "NA")</f>
        <v>0</v>
      </c>
      <c r="M377" s="14"/>
      <c r="N377" s="15">
        <f t="shared" si="106"/>
        <v>0</v>
      </c>
      <c r="O377" s="13">
        <f>IFERROR(N377/N446, "NA")</f>
        <v>0</v>
      </c>
      <c r="P377" s="14"/>
      <c r="Q377" s="12">
        <v>0.0</v>
      </c>
      <c r="R377" s="13">
        <f>IFERROR(Q377/Q446, "NA")</f>
        <v>0</v>
      </c>
      <c r="S377" s="14"/>
      <c r="T377" s="12">
        <v>0.0</v>
      </c>
      <c r="U377" s="13">
        <f>IFERROR(T377/T446, "NA")</f>
        <v>0</v>
      </c>
      <c r="V377" s="14"/>
      <c r="W377" s="15">
        <f t="shared" si="107"/>
        <v>0</v>
      </c>
      <c r="X377" s="13">
        <f>IFERROR(W377/W446, "NA")</f>
        <v>0</v>
      </c>
      <c r="Y377" s="14"/>
      <c r="Z377" s="12">
        <v>0.0</v>
      </c>
      <c r="AA377" s="13">
        <f>IFERROR(Z377/Z446, "NA")</f>
        <v>0</v>
      </c>
      <c r="AB377" s="14"/>
      <c r="AC377" s="15">
        <f t="shared" si="108"/>
        <v>0</v>
      </c>
      <c r="AD377" s="13">
        <f>IFERROR(AC377/AC446, "NA")</f>
        <v>0</v>
      </c>
    </row>
    <row r="378" ht="16.5" hidden="1" customHeight="1">
      <c r="A378" s="11" t="s">
        <v>349</v>
      </c>
      <c r="B378" s="12">
        <v>0.0</v>
      </c>
      <c r="C378" s="13">
        <f>IFERROR(B378/B446, "NA")</f>
        <v>0</v>
      </c>
      <c r="D378" s="14"/>
      <c r="E378" s="12">
        <v>0.0</v>
      </c>
      <c r="F378" s="13">
        <f>IFERROR(E378/E446, "NA")</f>
        <v>0</v>
      </c>
      <c r="G378" s="14"/>
      <c r="H378" s="15">
        <f t="shared" si="105"/>
        <v>0</v>
      </c>
      <c r="I378" s="13">
        <f>IFERROR(H378/H446, "NA")</f>
        <v>0</v>
      </c>
      <c r="J378" s="14"/>
      <c r="K378" s="12">
        <v>0.0</v>
      </c>
      <c r="L378" s="13">
        <f>IFERROR(K378/K446, "NA")</f>
        <v>0</v>
      </c>
      <c r="M378" s="14"/>
      <c r="N378" s="15">
        <f t="shared" si="106"/>
        <v>0</v>
      </c>
      <c r="O378" s="13">
        <f>IFERROR(N378/N446, "NA")</f>
        <v>0</v>
      </c>
      <c r="P378" s="14"/>
      <c r="Q378" s="12">
        <v>0.0</v>
      </c>
      <c r="R378" s="13">
        <f>IFERROR(Q378/Q446, "NA")</f>
        <v>0</v>
      </c>
      <c r="S378" s="14"/>
      <c r="T378" s="12">
        <v>0.0</v>
      </c>
      <c r="U378" s="13">
        <f>IFERROR(T378/T446, "NA")</f>
        <v>0</v>
      </c>
      <c r="V378" s="14"/>
      <c r="W378" s="15">
        <f t="shared" si="107"/>
        <v>0</v>
      </c>
      <c r="X378" s="13">
        <f>IFERROR(W378/W446, "NA")</f>
        <v>0</v>
      </c>
      <c r="Y378" s="14"/>
      <c r="Z378" s="12">
        <v>0.0</v>
      </c>
      <c r="AA378" s="13">
        <f>IFERROR(Z378/Z446, "NA")</f>
        <v>0</v>
      </c>
      <c r="AB378" s="14"/>
      <c r="AC378" s="15">
        <f t="shared" si="108"/>
        <v>0</v>
      </c>
      <c r="AD378" s="13">
        <f>IFERROR(AC378/AC446, "NA")</f>
        <v>0</v>
      </c>
    </row>
    <row r="379" ht="16.5" hidden="1" customHeight="1">
      <c r="A379" s="11" t="s">
        <v>350</v>
      </c>
      <c r="B379" s="12">
        <v>0.0</v>
      </c>
      <c r="C379" s="13">
        <f>IFERROR(B379/B446, "NA")</f>
        <v>0</v>
      </c>
      <c r="D379" s="14"/>
      <c r="E379" s="12">
        <v>0.0</v>
      </c>
      <c r="F379" s="13">
        <f>IFERROR(E379/E446, "NA")</f>
        <v>0</v>
      </c>
      <c r="G379" s="14"/>
      <c r="H379" s="15">
        <f t="shared" si="105"/>
        <v>0</v>
      </c>
      <c r="I379" s="13">
        <f>IFERROR(H379/H446, "NA")</f>
        <v>0</v>
      </c>
      <c r="J379" s="14"/>
      <c r="K379" s="12">
        <v>0.0</v>
      </c>
      <c r="L379" s="13">
        <f>IFERROR(K379/K446, "NA")</f>
        <v>0</v>
      </c>
      <c r="M379" s="14"/>
      <c r="N379" s="15">
        <f t="shared" si="106"/>
        <v>0</v>
      </c>
      <c r="O379" s="13">
        <f>IFERROR(N379/N446, "NA")</f>
        <v>0</v>
      </c>
      <c r="P379" s="14"/>
      <c r="Q379" s="12">
        <v>0.0</v>
      </c>
      <c r="R379" s="13">
        <f>IFERROR(Q379/Q446, "NA")</f>
        <v>0</v>
      </c>
      <c r="S379" s="14"/>
      <c r="T379" s="12">
        <v>0.0</v>
      </c>
      <c r="U379" s="13">
        <f>IFERROR(T379/T446, "NA")</f>
        <v>0</v>
      </c>
      <c r="V379" s="14"/>
      <c r="W379" s="15">
        <f t="shared" si="107"/>
        <v>0</v>
      </c>
      <c r="X379" s="13">
        <f>IFERROR(W379/W446, "NA")</f>
        <v>0</v>
      </c>
      <c r="Y379" s="14"/>
      <c r="Z379" s="12">
        <v>0.0</v>
      </c>
      <c r="AA379" s="13">
        <f>IFERROR(Z379/Z446, "NA")</f>
        <v>0</v>
      </c>
      <c r="AB379" s="14"/>
      <c r="AC379" s="15">
        <f t="shared" si="108"/>
        <v>0</v>
      </c>
      <c r="AD379" s="13">
        <f>IFERROR(AC379/AC446, "NA")</f>
        <v>0</v>
      </c>
    </row>
    <row r="380" ht="16.5" hidden="1" customHeight="1">
      <c r="A380" s="11" t="s">
        <v>351</v>
      </c>
      <c r="B380" s="12">
        <v>0.0</v>
      </c>
      <c r="C380" s="13">
        <f>IFERROR(B380/B446, "NA")</f>
        <v>0</v>
      </c>
      <c r="D380" s="14"/>
      <c r="E380" s="12">
        <v>0.0</v>
      </c>
      <c r="F380" s="13">
        <f>IFERROR(E380/E446, "NA")</f>
        <v>0</v>
      </c>
      <c r="G380" s="14"/>
      <c r="H380" s="15">
        <f t="shared" si="105"/>
        <v>0</v>
      </c>
      <c r="I380" s="13">
        <f>IFERROR(H380/H446, "NA")</f>
        <v>0</v>
      </c>
      <c r="J380" s="14"/>
      <c r="K380" s="12">
        <v>0.0</v>
      </c>
      <c r="L380" s="13">
        <f>IFERROR(K380/K446, "NA")</f>
        <v>0</v>
      </c>
      <c r="M380" s="14"/>
      <c r="N380" s="15">
        <f t="shared" si="106"/>
        <v>0</v>
      </c>
      <c r="O380" s="13">
        <f>IFERROR(N380/N446, "NA")</f>
        <v>0</v>
      </c>
      <c r="P380" s="14"/>
      <c r="Q380" s="12">
        <v>0.0</v>
      </c>
      <c r="R380" s="13">
        <f>IFERROR(Q380/Q446, "NA")</f>
        <v>0</v>
      </c>
      <c r="S380" s="14"/>
      <c r="T380" s="12">
        <v>0.0</v>
      </c>
      <c r="U380" s="13">
        <f>IFERROR(T380/T446, "NA")</f>
        <v>0</v>
      </c>
      <c r="V380" s="14"/>
      <c r="W380" s="15">
        <f t="shared" si="107"/>
        <v>0</v>
      </c>
      <c r="X380" s="13">
        <f>IFERROR(W380/W446, "NA")</f>
        <v>0</v>
      </c>
      <c r="Y380" s="14"/>
      <c r="Z380" s="12">
        <v>0.0</v>
      </c>
      <c r="AA380" s="13">
        <f>IFERROR(Z380/Z446, "NA")</f>
        <v>0</v>
      </c>
      <c r="AB380" s="14"/>
      <c r="AC380" s="15">
        <f t="shared" si="108"/>
        <v>0</v>
      </c>
      <c r="AD380" s="13">
        <f>IFERROR(AC380/AC446, "NA")</f>
        <v>0</v>
      </c>
    </row>
    <row r="381" ht="16.5" hidden="1" customHeight="1">
      <c r="A381" s="11" t="s">
        <v>352</v>
      </c>
      <c r="B381" s="12">
        <v>0.0</v>
      </c>
      <c r="C381" s="13">
        <f>IFERROR(B381/B446, "NA")</f>
        <v>0</v>
      </c>
      <c r="D381" s="14"/>
      <c r="E381" s="12">
        <v>0.0</v>
      </c>
      <c r="F381" s="13">
        <f>IFERROR(E381/E446, "NA")</f>
        <v>0</v>
      </c>
      <c r="G381" s="14"/>
      <c r="H381" s="15">
        <f t="shared" si="105"/>
        <v>0</v>
      </c>
      <c r="I381" s="13">
        <f>IFERROR(H381/H446, "NA")</f>
        <v>0</v>
      </c>
      <c r="J381" s="14"/>
      <c r="K381" s="12">
        <v>0.0</v>
      </c>
      <c r="L381" s="13">
        <f>IFERROR(K381/K446, "NA")</f>
        <v>0</v>
      </c>
      <c r="M381" s="14"/>
      <c r="N381" s="15">
        <f t="shared" si="106"/>
        <v>0</v>
      </c>
      <c r="O381" s="13">
        <f>IFERROR(N381/N446, "NA")</f>
        <v>0</v>
      </c>
      <c r="P381" s="14"/>
      <c r="Q381" s="12">
        <v>0.0</v>
      </c>
      <c r="R381" s="13">
        <f>IFERROR(Q381/Q446, "NA")</f>
        <v>0</v>
      </c>
      <c r="S381" s="14"/>
      <c r="T381" s="12">
        <v>0.0</v>
      </c>
      <c r="U381" s="13">
        <f>IFERROR(T381/T446, "NA")</f>
        <v>0</v>
      </c>
      <c r="V381" s="14"/>
      <c r="W381" s="15">
        <f t="shared" si="107"/>
        <v>0</v>
      </c>
      <c r="X381" s="13">
        <f>IFERROR(W381/W446, "NA")</f>
        <v>0</v>
      </c>
      <c r="Y381" s="14"/>
      <c r="Z381" s="12">
        <v>0.0</v>
      </c>
      <c r="AA381" s="13">
        <f>IFERROR(Z381/Z446, "NA")</f>
        <v>0</v>
      </c>
      <c r="AB381" s="14"/>
      <c r="AC381" s="15">
        <f t="shared" si="108"/>
        <v>0</v>
      </c>
      <c r="AD381" s="13">
        <f>IFERROR(AC381/AC446, "NA")</f>
        <v>0</v>
      </c>
    </row>
    <row r="382" ht="16.5" hidden="1" customHeight="1">
      <c r="A382" s="11" t="s">
        <v>353</v>
      </c>
      <c r="B382" s="12">
        <v>0.0</v>
      </c>
      <c r="C382" s="13">
        <f>IFERROR(B382/B446, "NA")</f>
        <v>0</v>
      </c>
      <c r="D382" s="14"/>
      <c r="E382" s="12">
        <v>0.0</v>
      </c>
      <c r="F382" s="13">
        <f>IFERROR(E382/E446, "NA")</f>
        <v>0</v>
      </c>
      <c r="G382" s="14"/>
      <c r="H382" s="15">
        <f t="shared" si="105"/>
        <v>0</v>
      </c>
      <c r="I382" s="13">
        <f>IFERROR(H382/H446, "NA")</f>
        <v>0</v>
      </c>
      <c r="J382" s="14"/>
      <c r="K382" s="12">
        <v>0.0</v>
      </c>
      <c r="L382" s="13">
        <f>IFERROR(K382/K446, "NA")</f>
        <v>0</v>
      </c>
      <c r="M382" s="14"/>
      <c r="N382" s="15">
        <f t="shared" si="106"/>
        <v>0</v>
      </c>
      <c r="O382" s="13">
        <f>IFERROR(N382/N446, "NA")</f>
        <v>0</v>
      </c>
      <c r="P382" s="14"/>
      <c r="Q382" s="12">
        <v>0.0</v>
      </c>
      <c r="R382" s="13">
        <f>IFERROR(Q382/Q446, "NA")</f>
        <v>0</v>
      </c>
      <c r="S382" s="14"/>
      <c r="T382" s="12">
        <v>0.0</v>
      </c>
      <c r="U382" s="13">
        <f>IFERROR(T382/T446, "NA")</f>
        <v>0</v>
      </c>
      <c r="V382" s="14"/>
      <c r="W382" s="15">
        <f t="shared" si="107"/>
        <v>0</v>
      </c>
      <c r="X382" s="13">
        <f>IFERROR(W382/W446, "NA")</f>
        <v>0</v>
      </c>
      <c r="Y382" s="14"/>
      <c r="Z382" s="12">
        <v>0.0</v>
      </c>
      <c r="AA382" s="13">
        <f>IFERROR(Z382/Z446, "NA")</f>
        <v>0</v>
      </c>
      <c r="AB382" s="14"/>
      <c r="AC382" s="15">
        <f t="shared" si="108"/>
        <v>0</v>
      </c>
      <c r="AD382" s="13">
        <f>IFERROR(AC382/AC446, "NA")</f>
        <v>0</v>
      </c>
    </row>
    <row r="383" ht="16.5" hidden="1" customHeight="1">
      <c r="A383" s="11" t="s">
        <v>354</v>
      </c>
      <c r="B383" s="12">
        <v>0.0</v>
      </c>
      <c r="C383" s="13">
        <f>IFERROR(B383/B446, "NA")</f>
        <v>0</v>
      </c>
      <c r="D383" s="14"/>
      <c r="E383" s="12">
        <v>0.0</v>
      </c>
      <c r="F383" s="13">
        <f>IFERROR(E383/E446, "NA")</f>
        <v>0</v>
      </c>
      <c r="G383" s="14"/>
      <c r="H383" s="15">
        <f t="shared" si="105"/>
        <v>0</v>
      </c>
      <c r="I383" s="13">
        <f>IFERROR(H383/H446, "NA")</f>
        <v>0</v>
      </c>
      <c r="J383" s="14"/>
      <c r="K383" s="12">
        <v>0.0</v>
      </c>
      <c r="L383" s="13">
        <f>IFERROR(K383/K446, "NA")</f>
        <v>0</v>
      </c>
      <c r="M383" s="14"/>
      <c r="N383" s="15">
        <f t="shared" si="106"/>
        <v>0</v>
      </c>
      <c r="O383" s="13">
        <f>IFERROR(N383/N446, "NA")</f>
        <v>0</v>
      </c>
      <c r="P383" s="14"/>
      <c r="Q383" s="12">
        <v>0.0</v>
      </c>
      <c r="R383" s="13">
        <f>IFERROR(Q383/Q446, "NA")</f>
        <v>0</v>
      </c>
      <c r="S383" s="14"/>
      <c r="T383" s="12">
        <v>0.0</v>
      </c>
      <c r="U383" s="13">
        <f>IFERROR(T383/T446, "NA")</f>
        <v>0</v>
      </c>
      <c r="V383" s="14"/>
      <c r="W383" s="15">
        <f t="shared" si="107"/>
        <v>0</v>
      </c>
      <c r="X383" s="13">
        <f>IFERROR(W383/W446, "NA")</f>
        <v>0</v>
      </c>
      <c r="Y383" s="14"/>
      <c r="Z383" s="12">
        <v>0.0</v>
      </c>
      <c r="AA383" s="13">
        <f>IFERROR(Z383/Z446, "NA")</f>
        <v>0</v>
      </c>
      <c r="AB383" s="14"/>
      <c r="AC383" s="15">
        <f t="shared" si="108"/>
        <v>0</v>
      </c>
      <c r="AD383" s="13">
        <f>IFERROR(AC383/AC446, "NA")</f>
        <v>0</v>
      </c>
    </row>
    <row r="384" ht="16.5" hidden="1" customHeight="1">
      <c r="A384" s="11" t="s">
        <v>355</v>
      </c>
      <c r="B384" s="12">
        <v>0.0</v>
      </c>
      <c r="C384" s="13">
        <f>IFERROR(B384/B446, "NA")</f>
        <v>0</v>
      </c>
      <c r="D384" s="14"/>
      <c r="E384" s="12">
        <v>0.0</v>
      </c>
      <c r="F384" s="13">
        <f>IFERROR(E384/E446, "NA")</f>
        <v>0</v>
      </c>
      <c r="G384" s="14"/>
      <c r="H384" s="15">
        <f t="shared" si="105"/>
        <v>0</v>
      </c>
      <c r="I384" s="13">
        <f>IFERROR(H384/H446, "NA")</f>
        <v>0</v>
      </c>
      <c r="J384" s="14"/>
      <c r="K384" s="12">
        <v>0.0</v>
      </c>
      <c r="L384" s="13">
        <f>IFERROR(K384/K446, "NA")</f>
        <v>0</v>
      </c>
      <c r="M384" s="14"/>
      <c r="N384" s="15">
        <f t="shared" si="106"/>
        <v>0</v>
      </c>
      <c r="O384" s="13">
        <f>IFERROR(N384/N446, "NA")</f>
        <v>0</v>
      </c>
      <c r="P384" s="14"/>
      <c r="Q384" s="12">
        <v>0.0</v>
      </c>
      <c r="R384" s="13">
        <f>IFERROR(Q384/Q446, "NA")</f>
        <v>0</v>
      </c>
      <c r="S384" s="14"/>
      <c r="T384" s="12">
        <v>0.0</v>
      </c>
      <c r="U384" s="13">
        <f>IFERROR(T384/T446, "NA")</f>
        <v>0</v>
      </c>
      <c r="V384" s="14"/>
      <c r="W384" s="15">
        <f t="shared" si="107"/>
        <v>0</v>
      </c>
      <c r="X384" s="13">
        <f>IFERROR(W384/W446, "NA")</f>
        <v>0</v>
      </c>
      <c r="Y384" s="14"/>
      <c r="Z384" s="12">
        <v>0.0</v>
      </c>
      <c r="AA384" s="13">
        <f>IFERROR(Z384/Z446, "NA")</f>
        <v>0</v>
      </c>
      <c r="AB384" s="14"/>
      <c r="AC384" s="15">
        <f t="shared" si="108"/>
        <v>0</v>
      </c>
      <c r="AD384" s="13">
        <f>IFERROR(AC384/AC446, "NA")</f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hidden="1" customHeight="1">
      <c r="A386" s="11" t="s">
        <v>356</v>
      </c>
      <c r="B386" s="12">
        <v>0.0</v>
      </c>
      <c r="C386" s="13">
        <f>IFERROR(B386/B446, "NA")</f>
        <v>0</v>
      </c>
      <c r="D386" s="14"/>
      <c r="E386" s="12">
        <v>0.0</v>
      </c>
      <c r="F386" s="13">
        <f>IFERROR(E386/E446, "NA")</f>
        <v>0</v>
      </c>
      <c r="G386" s="14"/>
      <c r="H386" s="15">
        <f t="shared" ref="H386:H387" si="109">IFERROR(-(B386-E386), "NA")</f>
        <v>0</v>
      </c>
      <c r="I386" s="13">
        <f>IFERROR(H386/H446, "NA")</f>
        <v>0</v>
      </c>
      <c r="J386" s="14"/>
      <c r="K386" s="12">
        <v>0.0</v>
      </c>
      <c r="L386" s="13">
        <f>IFERROR(K386/K446, "NA")</f>
        <v>0</v>
      </c>
      <c r="M386" s="14"/>
      <c r="N386" s="15">
        <f t="shared" ref="N386:N387" si="110">IFERROR(-(B386-K386), "NA")</f>
        <v>0</v>
      </c>
      <c r="O386" s="13">
        <f>IFERROR(N386/N446, "NA")</f>
        <v>0</v>
      </c>
      <c r="P386" s="14"/>
      <c r="Q386" s="12">
        <v>0.0</v>
      </c>
      <c r="R386" s="13">
        <f>IFERROR(Q386/Q446, "NA")</f>
        <v>0</v>
      </c>
      <c r="S386" s="14"/>
      <c r="T386" s="12">
        <v>0.0</v>
      </c>
      <c r="U386" s="13">
        <f>IFERROR(T386/T446, "NA")</f>
        <v>0</v>
      </c>
      <c r="V386" s="14"/>
      <c r="W386" s="15">
        <f t="shared" ref="W386:W387" si="111">IFERROR(-(Q386-T386), "NA")</f>
        <v>0</v>
      </c>
      <c r="X386" s="13">
        <f>IFERROR(W386/W446, "NA")</f>
        <v>0</v>
      </c>
      <c r="Y386" s="14"/>
      <c r="Z386" s="12">
        <v>0.0</v>
      </c>
      <c r="AA386" s="13">
        <f>IFERROR(Z386/Z446, "NA")</f>
        <v>0</v>
      </c>
      <c r="AB386" s="14"/>
      <c r="AC386" s="15">
        <f t="shared" ref="AC386:AC387" si="112">IFERROR(-(Q386-Z386), "NA")</f>
        <v>0</v>
      </c>
      <c r="AD386" s="13">
        <f>IFERROR(AC386/AC446, "NA")</f>
        <v>0</v>
      </c>
    </row>
    <row r="387" ht="16.5" hidden="1" customHeight="1">
      <c r="A387" s="11" t="s">
        <v>357</v>
      </c>
      <c r="B387" s="12">
        <v>0.0</v>
      </c>
      <c r="C387" s="13">
        <f>IFERROR(B387/B446, "NA")</f>
        <v>0</v>
      </c>
      <c r="D387" s="14"/>
      <c r="E387" s="12">
        <v>0.0</v>
      </c>
      <c r="F387" s="13">
        <f>IFERROR(E387/E446, "NA")</f>
        <v>0</v>
      </c>
      <c r="G387" s="14"/>
      <c r="H387" s="15">
        <f t="shared" si="109"/>
        <v>0</v>
      </c>
      <c r="I387" s="13">
        <f>IFERROR(H387/H446, "NA")</f>
        <v>0</v>
      </c>
      <c r="J387" s="14"/>
      <c r="K387" s="12">
        <v>0.0</v>
      </c>
      <c r="L387" s="13">
        <f>IFERROR(K387/K446, "NA")</f>
        <v>0</v>
      </c>
      <c r="M387" s="14"/>
      <c r="N387" s="15">
        <f t="shared" si="110"/>
        <v>0</v>
      </c>
      <c r="O387" s="13">
        <f>IFERROR(N387/N446, "NA")</f>
        <v>0</v>
      </c>
      <c r="P387" s="14"/>
      <c r="Q387" s="12">
        <v>0.0</v>
      </c>
      <c r="R387" s="13">
        <f>IFERROR(Q387/Q446, "NA")</f>
        <v>0</v>
      </c>
      <c r="S387" s="14"/>
      <c r="T387" s="12">
        <v>0.0</v>
      </c>
      <c r="U387" s="13">
        <f>IFERROR(T387/T446, "NA")</f>
        <v>0</v>
      </c>
      <c r="V387" s="14"/>
      <c r="W387" s="15">
        <f t="shared" si="111"/>
        <v>0</v>
      </c>
      <c r="X387" s="13">
        <f>IFERROR(W387/W446, "NA")</f>
        <v>0</v>
      </c>
      <c r="Y387" s="14"/>
      <c r="Z387" s="12">
        <v>0.0</v>
      </c>
      <c r="AA387" s="13">
        <f>IFERROR(Z387/Z446, "NA")</f>
        <v>0</v>
      </c>
      <c r="AB387" s="14"/>
      <c r="AC387" s="15">
        <f t="shared" si="112"/>
        <v>0</v>
      </c>
      <c r="AD387" s="13">
        <f>IFERROR(AC387/AC446, "NA")</f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hidden="1" customHeight="1">
      <c r="A389" s="11" t="s">
        <v>358</v>
      </c>
      <c r="B389" s="12">
        <v>0.0</v>
      </c>
      <c r="C389" s="13">
        <f>IFERROR(B389/B446, "NA")</f>
        <v>0</v>
      </c>
      <c r="D389" s="14"/>
      <c r="E389" s="12">
        <v>0.0</v>
      </c>
      <c r="F389" s="13">
        <f>IFERROR(E389/E446, "NA")</f>
        <v>0</v>
      </c>
      <c r="G389" s="14"/>
      <c r="H389" s="15">
        <f t="shared" ref="H389:H404" si="113">IFERROR(-(B389-E389), "NA")</f>
        <v>0</v>
      </c>
      <c r="I389" s="13">
        <f>IFERROR(H389/H446, "NA")</f>
        <v>0</v>
      </c>
      <c r="J389" s="14"/>
      <c r="K389" s="12">
        <v>0.0</v>
      </c>
      <c r="L389" s="13">
        <f>IFERROR(K389/K446, "NA")</f>
        <v>0</v>
      </c>
      <c r="M389" s="14"/>
      <c r="N389" s="15">
        <f t="shared" ref="N389:N404" si="114">IFERROR(-(B389-K389), "NA")</f>
        <v>0</v>
      </c>
      <c r="O389" s="13">
        <f>IFERROR(N389/N446, "NA")</f>
        <v>0</v>
      </c>
      <c r="P389" s="14"/>
      <c r="Q389" s="12">
        <v>0.0</v>
      </c>
      <c r="R389" s="13">
        <f>IFERROR(Q389/Q446, "NA")</f>
        <v>0</v>
      </c>
      <c r="S389" s="14"/>
      <c r="T389" s="12">
        <v>0.0</v>
      </c>
      <c r="U389" s="13">
        <f>IFERROR(T389/T446, "NA")</f>
        <v>0</v>
      </c>
      <c r="V389" s="14"/>
      <c r="W389" s="15">
        <f t="shared" ref="W389:W404" si="115">IFERROR(-(Q389-T389), "NA")</f>
        <v>0</v>
      </c>
      <c r="X389" s="13">
        <f>IFERROR(W389/W446, "NA")</f>
        <v>0</v>
      </c>
      <c r="Y389" s="14"/>
      <c r="Z389" s="12">
        <v>0.0</v>
      </c>
      <c r="AA389" s="13">
        <f>IFERROR(Z389/Z446, "NA")</f>
        <v>0</v>
      </c>
      <c r="AB389" s="14"/>
      <c r="AC389" s="15">
        <f t="shared" ref="AC389:AC404" si="116">IFERROR(-(Q389-Z389), "NA")</f>
        <v>0</v>
      </c>
      <c r="AD389" s="13">
        <f>IFERROR(AC389/AC446, "NA")</f>
        <v>0</v>
      </c>
    </row>
    <row r="390" ht="16.5" hidden="1" customHeight="1">
      <c r="A390" s="11" t="s">
        <v>359</v>
      </c>
      <c r="B390" s="12">
        <v>0.0</v>
      </c>
      <c r="C390" s="13">
        <f>IFERROR(B390/B446, "NA")</f>
        <v>0</v>
      </c>
      <c r="D390" s="14"/>
      <c r="E390" s="12">
        <v>0.0</v>
      </c>
      <c r="F390" s="13">
        <f>IFERROR(E390/E446, "NA")</f>
        <v>0</v>
      </c>
      <c r="G390" s="14"/>
      <c r="H390" s="15">
        <f t="shared" si="113"/>
        <v>0</v>
      </c>
      <c r="I390" s="13">
        <f>IFERROR(H390/H446, "NA")</f>
        <v>0</v>
      </c>
      <c r="J390" s="14"/>
      <c r="K390" s="12">
        <v>0.0</v>
      </c>
      <c r="L390" s="13">
        <f>IFERROR(K390/K446, "NA")</f>
        <v>0</v>
      </c>
      <c r="M390" s="14"/>
      <c r="N390" s="15">
        <f t="shared" si="114"/>
        <v>0</v>
      </c>
      <c r="O390" s="13">
        <f>IFERROR(N390/N446, "NA")</f>
        <v>0</v>
      </c>
      <c r="P390" s="14"/>
      <c r="Q390" s="12">
        <v>0.0</v>
      </c>
      <c r="R390" s="13">
        <f>IFERROR(Q390/Q446, "NA")</f>
        <v>0</v>
      </c>
      <c r="S390" s="14"/>
      <c r="T390" s="12">
        <v>0.0</v>
      </c>
      <c r="U390" s="13">
        <f>IFERROR(T390/T446, "NA")</f>
        <v>0</v>
      </c>
      <c r="V390" s="14"/>
      <c r="W390" s="15">
        <f t="shared" si="115"/>
        <v>0</v>
      </c>
      <c r="X390" s="13">
        <f>IFERROR(W390/W446, "NA")</f>
        <v>0</v>
      </c>
      <c r="Y390" s="14"/>
      <c r="Z390" s="12">
        <v>0.0</v>
      </c>
      <c r="AA390" s="13">
        <f>IFERROR(Z390/Z446, "NA")</f>
        <v>0</v>
      </c>
      <c r="AB390" s="14"/>
      <c r="AC390" s="15">
        <f t="shared" si="116"/>
        <v>0</v>
      </c>
      <c r="AD390" s="13">
        <f>IFERROR(AC390/AC446, "NA")</f>
        <v>0</v>
      </c>
    </row>
    <row r="391" ht="16.5" hidden="1" customHeight="1">
      <c r="A391" s="11" t="s">
        <v>360</v>
      </c>
      <c r="B391" s="12">
        <v>0.0</v>
      </c>
      <c r="C391" s="13">
        <f>IFERROR(B391/B446, "NA")</f>
        <v>0</v>
      </c>
      <c r="D391" s="14"/>
      <c r="E391" s="12">
        <v>0.0</v>
      </c>
      <c r="F391" s="13">
        <f>IFERROR(E391/E446, "NA")</f>
        <v>0</v>
      </c>
      <c r="G391" s="14"/>
      <c r="H391" s="15">
        <f t="shared" si="113"/>
        <v>0</v>
      </c>
      <c r="I391" s="13">
        <f>IFERROR(H391/H446, "NA")</f>
        <v>0</v>
      </c>
      <c r="J391" s="14"/>
      <c r="K391" s="12">
        <v>0.0</v>
      </c>
      <c r="L391" s="13">
        <f>IFERROR(K391/K446, "NA")</f>
        <v>0</v>
      </c>
      <c r="M391" s="14"/>
      <c r="N391" s="15">
        <f t="shared" si="114"/>
        <v>0</v>
      </c>
      <c r="O391" s="13">
        <f>IFERROR(N391/N446, "NA")</f>
        <v>0</v>
      </c>
      <c r="P391" s="14"/>
      <c r="Q391" s="12">
        <v>0.0</v>
      </c>
      <c r="R391" s="13">
        <f>IFERROR(Q391/Q446, "NA")</f>
        <v>0</v>
      </c>
      <c r="S391" s="14"/>
      <c r="T391" s="12">
        <v>0.0</v>
      </c>
      <c r="U391" s="13">
        <f>IFERROR(T391/T446, "NA")</f>
        <v>0</v>
      </c>
      <c r="V391" s="14"/>
      <c r="W391" s="15">
        <f t="shared" si="115"/>
        <v>0</v>
      </c>
      <c r="X391" s="13">
        <f>IFERROR(W391/W446, "NA")</f>
        <v>0</v>
      </c>
      <c r="Y391" s="14"/>
      <c r="Z391" s="12">
        <v>0.0</v>
      </c>
      <c r="AA391" s="13">
        <f>IFERROR(Z391/Z446, "NA")</f>
        <v>0</v>
      </c>
      <c r="AB391" s="14"/>
      <c r="AC391" s="15">
        <f t="shared" si="116"/>
        <v>0</v>
      </c>
      <c r="AD391" s="13">
        <f>IFERROR(AC391/AC446, "NA")</f>
        <v>0</v>
      </c>
    </row>
    <row r="392" ht="16.5" hidden="1" customHeight="1">
      <c r="A392" s="11" t="s">
        <v>361</v>
      </c>
      <c r="B392" s="12">
        <v>0.0</v>
      </c>
      <c r="C392" s="13">
        <f>IFERROR(B392/B446, "NA")</f>
        <v>0</v>
      </c>
      <c r="D392" s="14"/>
      <c r="E392" s="12">
        <v>0.0</v>
      </c>
      <c r="F392" s="13">
        <f>IFERROR(E392/E446, "NA")</f>
        <v>0</v>
      </c>
      <c r="G392" s="14"/>
      <c r="H392" s="15">
        <f t="shared" si="113"/>
        <v>0</v>
      </c>
      <c r="I392" s="13">
        <f>IFERROR(H392/H446, "NA")</f>
        <v>0</v>
      </c>
      <c r="J392" s="14"/>
      <c r="K392" s="12">
        <v>0.0</v>
      </c>
      <c r="L392" s="13">
        <f>IFERROR(K392/K446, "NA")</f>
        <v>0</v>
      </c>
      <c r="M392" s="14"/>
      <c r="N392" s="15">
        <f t="shared" si="114"/>
        <v>0</v>
      </c>
      <c r="O392" s="13">
        <f>IFERROR(N392/N446, "NA")</f>
        <v>0</v>
      </c>
      <c r="P392" s="14"/>
      <c r="Q392" s="12">
        <v>0.0</v>
      </c>
      <c r="R392" s="13">
        <f>IFERROR(Q392/Q446, "NA")</f>
        <v>0</v>
      </c>
      <c r="S392" s="14"/>
      <c r="T392" s="12">
        <v>0.0</v>
      </c>
      <c r="U392" s="13">
        <f>IFERROR(T392/T446, "NA")</f>
        <v>0</v>
      </c>
      <c r="V392" s="14"/>
      <c r="W392" s="15">
        <f t="shared" si="115"/>
        <v>0</v>
      </c>
      <c r="X392" s="13">
        <f>IFERROR(W392/W446, "NA")</f>
        <v>0</v>
      </c>
      <c r="Y392" s="14"/>
      <c r="Z392" s="12">
        <v>0.0</v>
      </c>
      <c r="AA392" s="13">
        <f>IFERROR(Z392/Z446, "NA")</f>
        <v>0</v>
      </c>
      <c r="AB392" s="14"/>
      <c r="AC392" s="15">
        <f t="shared" si="116"/>
        <v>0</v>
      </c>
      <c r="AD392" s="13">
        <f>IFERROR(AC392/AC446, "NA")</f>
        <v>0</v>
      </c>
    </row>
    <row r="393" ht="16.5" hidden="1" customHeight="1">
      <c r="A393" s="11" t="s">
        <v>362</v>
      </c>
      <c r="B393" s="12">
        <v>0.0</v>
      </c>
      <c r="C393" s="13">
        <f>IFERROR(B393/B446, "NA")</f>
        <v>0</v>
      </c>
      <c r="D393" s="14"/>
      <c r="E393" s="12">
        <v>0.0</v>
      </c>
      <c r="F393" s="13">
        <f>IFERROR(E393/E446, "NA")</f>
        <v>0</v>
      </c>
      <c r="G393" s="14"/>
      <c r="H393" s="15">
        <f t="shared" si="113"/>
        <v>0</v>
      </c>
      <c r="I393" s="13">
        <f>IFERROR(H393/H446, "NA")</f>
        <v>0</v>
      </c>
      <c r="J393" s="14"/>
      <c r="K393" s="12">
        <v>0.0</v>
      </c>
      <c r="L393" s="13">
        <f>IFERROR(K393/K446, "NA")</f>
        <v>0</v>
      </c>
      <c r="M393" s="14"/>
      <c r="N393" s="15">
        <f t="shared" si="114"/>
        <v>0</v>
      </c>
      <c r="O393" s="13">
        <f>IFERROR(N393/N446, "NA")</f>
        <v>0</v>
      </c>
      <c r="P393" s="14"/>
      <c r="Q393" s="12">
        <v>0.0</v>
      </c>
      <c r="R393" s="13">
        <f>IFERROR(Q393/Q446, "NA")</f>
        <v>0</v>
      </c>
      <c r="S393" s="14"/>
      <c r="T393" s="12">
        <v>0.0</v>
      </c>
      <c r="U393" s="13">
        <f>IFERROR(T393/T446, "NA")</f>
        <v>0</v>
      </c>
      <c r="V393" s="14"/>
      <c r="W393" s="15">
        <f t="shared" si="115"/>
        <v>0</v>
      </c>
      <c r="X393" s="13">
        <f>IFERROR(W393/W446, "NA")</f>
        <v>0</v>
      </c>
      <c r="Y393" s="14"/>
      <c r="Z393" s="12">
        <v>0.0</v>
      </c>
      <c r="AA393" s="13">
        <f>IFERROR(Z393/Z446, "NA")</f>
        <v>0</v>
      </c>
      <c r="AB393" s="14"/>
      <c r="AC393" s="15">
        <f t="shared" si="116"/>
        <v>0</v>
      </c>
      <c r="AD393" s="13">
        <f>IFERROR(AC393/AC446, "NA")</f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>
        <f>IFERROR(B394/B446, "NA")</f>
        <v>0</v>
      </c>
      <c r="D394" s="8"/>
      <c r="E394" s="17">
        <f>IFERROR(E389+E390+E391+E392+E393, "NA")</f>
        <v>0</v>
      </c>
      <c r="F394" s="18">
        <f>IFERROR(E394/E446, "NA")</f>
        <v>0</v>
      </c>
      <c r="G394" s="8"/>
      <c r="H394" s="17">
        <f t="shared" si="113"/>
        <v>0</v>
      </c>
      <c r="I394" s="18">
        <f>IFERROR(H394/H446, "NA")</f>
        <v>0</v>
      </c>
      <c r="J394" s="8"/>
      <c r="K394" s="17">
        <f>IFERROR(K389+K390+K391+K392+K393, "NA")</f>
        <v>0</v>
      </c>
      <c r="L394" s="18">
        <f>IFERROR(K394/K446, "NA")</f>
        <v>0</v>
      </c>
      <c r="M394" s="8"/>
      <c r="N394" s="17">
        <f t="shared" si="114"/>
        <v>0</v>
      </c>
      <c r="O394" s="18">
        <f>IFERROR(N394/N446, "NA")</f>
        <v>0</v>
      </c>
      <c r="P394" s="8"/>
      <c r="Q394" s="17">
        <f>IFERROR(Q389+Q390+Q391+Q392+Q393, "NA")</f>
        <v>0</v>
      </c>
      <c r="R394" s="18">
        <f>IFERROR(Q394/Q446, "NA")</f>
        <v>0</v>
      </c>
      <c r="S394" s="8"/>
      <c r="T394" s="17">
        <f>IFERROR(T389+T390+T391+T392+T393, "NA")</f>
        <v>0</v>
      </c>
      <c r="U394" s="18">
        <f>IFERROR(T394/T446, "NA")</f>
        <v>0</v>
      </c>
      <c r="V394" s="8"/>
      <c r="W394" s="17">
        <f t="shared" si="115"/>
        <v>0</v>
      </c>
      <c r="X394" s="18">
        <f>IFERROR(W394/W446, "NA")</f>
        <v>0</v>
      </c>
      <c r="Y394" s="8"/>
      <c r="Z394" s="17">
        <f>IFERROR(Z389+Z390+Z391+Z392+Z393, "NA")</f>
        <v>0</v>
      </c>
      <c r="AA394" s="18">
        <f>IFERROR(Z394/Z446, "NA")</f>
        <v>0</v>
      </c>
      <c r="AB394" s="8"/>
      <c r="AC394" s="17">
        <f t="shared" si="116"/>
        <v>0</v>
      </c>
      <c r="AD394" s="18">
        <f>IFERROR(AC394/AC446, "NA")</f>
        <v>0</v>
      </c>
    </row>
    <row r="395" ht="16.5" hidden="1" customHeight="1">
      <c r="A395" s="11" t="s">
        <v>364</v>
      </c>
      <c r="B395" s="12">
        <v>0.0</v>
      </c>
      <c r="C395" s="13">
        <f>IFERROR(B395/B446, "NA")</f>
        <v>0</v>
      </c>
      <c r="D395" s="14"/>
      <c r="E395" s="12">
        <v>0.0</v>
      </c>
      <c r="F395" s="13">
        <f>IFERROR(E395/E446, "NA")</f>
        <v>0</v>
      </c>
      <c r="G395" s="14"/>
      <c r="H395" s="15">
        <f t="shared" si="113"/>
        <v>0</v>
      </c>
      <c r="I395" s="13">
        <f>IFERROR(H395/H446, "NA")</f>
        <v>0</v>
      </c>
      <c r="J395" s="14"/>
      <c r="K395" s="12">
        <v>0.0</v>
      </c>
      <c r="L395" s="13">
        <f>IFERROR(K395/K446, "NA")</f>
        <v>0</v>
      </c>
      <c r="M395" s="14"/>
      <c r="N395" s="15">
        <f t="shared" si="114"/>
        <v>0</v>
      </c>
      <c r="O395" s="13">
        <f>IFERROR(N395/N446, "NA")</f>
        <v>0</v>
      </c>
      <c r="P395" s="14"/>
      <c r="Q395" s="12">
        <v>0.0</v>
      </c>
      <c r="R395" s="13">
        <f>IFERROR(Q395/Q446, "NA")</f>
        <v>0</v>
      </c>
      <c r="S395" s="14"/>
      <c r="T395" s="12">
        <v>0.0</v>
      </c>
      <c r="U395" s="13">
        <f>IFERROR(T395/T446, "NA")</f>
        <v>0</v>
      </c>
      <c r="V395" s="14"/>
      <c r="W395" s="15">
        <f t="shared" si="115"/>
        <v>0</v>
      </c>
      <c r="X395" s="13">
        <f>IFERROR(W395/W446, "NA")</f>
        <v>0</v>
      </c>
      <c r="Y395" s="14"/>
      <c r="Z395" s="12">
        <v>0.0</v>
      </c>
      <c r="AA395" s="13">
        <f>IFERROR(Z395/Z446, "NA")</f>
        <v>0</v>
      </c>
      <c r="AB395" s="14"/>
      <c r="AC395" s="15">
        <f t="shared" si="116"/>
        <v>0</v>
      </c>
      <c r="AD395" s="13">
        <f>IFERROR(AC395/AC446, "NA")</f>
        <v>0</v>
      </c>
    </row>
    <row r="396" ht="16.5" hidden="1" customHeight="1">
      <c r="A396" s="11" t="s">
        <v>365</v>
      </c>
      <c r="B396" s="12">
        <v>0.0</v>
      </c>
      <c r="C396" s="13">
        <f>IFERROR(B396/B446, "NA")</f>
        <v>0</v>
      </c>
      <c r="D396" s="14"/>
      <c r="E396" s="12">
        <v>0.0</v>
      </c>
      <c r="F396" s="13">
        <f>IFERROR(E396/E446, "NA")</f>
        <v>0</v>
      </c>
      <c r="G396" s="14"/>
      <c r="H396" s="15">
        <f t="shared" si="113"/>
        <v>0</v>
      </c>
      <c r="I396" s="13">
        <f>IFERROR(H396/H446, "NA")</f>
        <v>0</v>
      </c>
      <c r="J396" s="14"/>
      <c r="K396" s="12">
        <v>0.0</v>
      </c>
      <c r="L396" s="13">
        <f>IFERROR(K396/K446, "NA")</f>
        <v>0</v>
      </c>
      <c r="M396" s="14"/>
      <c r="N396" s="15">
        <f t="shared" si="114"/>
        <v>0</v>
      </c>
      <c r="O396" s="13">
        <f>IFERROR(N396/N446, "NA")</f>
        <v>0</v>
      </c>
      <c r="P396" s="14"/>
      <c r="Q396" s="12">
        <v>0.0</v>
      </c>
      <c r="R396" s="13">
        <f>IFERROR(Q396/Q446, "NA")</f>
        <v>0</v>
      </c>
      <c r="S396" s="14"/>
      <c r="T396" s="12">
        <v>0.0</v>
      </c>
      <c r="U396" s="13">
        <f>IFERROR(T396/T446, "NA")</f>
        <v>0</v>
      </c>
      <c r="V396" s="14"/>
      <c r="W396" s="15">
        <f t="shared" si="115"/>
        <v>0</v>
      </c>
      <c r="X396" s="13">
        <f>IFERROR(W396/W446, "NA")</f>
        <v>0</v>
      </c>
      <c r="Y396" s="14"/>
      <c r="Z396" s="12">
        <v>0.0</v>
      </c>
      <c r="AA396" s="13">
        <f>IFERROR(Z396/Z446, "NA")</f>
        <v>0</v>
      </c>
      <c r="AB396" s="14"/>
      <c r="AC396" s="15">
        <f t="shared" si="116"/>
        <v>0</v>
      </c>
      <c r="AD396" s="13">
        <f>IFERROR(AC396/AC446, "NA")</f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>
        <f>IFERROR(B397/B446, "NA")</f>
        <v>0</v>
      </c>
      <c r="D397" s="8"/>
      <c r="E397" s="17">
        <f>IFERROR(E386+E387+E389+E390+E391+E392+E393+E395+E396, "NA")</f>
        <v>0</v>
      </c>
      <c r="F397" s="18">
        <f>IFERROR(E397/E446, "NA")</f>
        <v>0</v>
      </c>
      <c r="G397" s="8"/>
      <c r="H397" s="17">
        <f t="shared" si="113"/>
        <v>0</v>
      </c>
      <c r="I397" s="18">
        <f>IFERROR(H397/H446, "NA")</f>
        <v>0</v>
      </c>
      <c r="J397" s="8"/>
      <c r="K397" s="17">
        <f>IFERROR(K386+K387+K389+K390+K391+K392+K393+K395+K396, "NA")</f>
        <v>0</v>
      </c>
      <c r="L397" s="18">
        <f>IFERROR(K397/K446, "NA")</f>
        <v>0</v>
      </c>
      <c r="M397" s="8"/>
      <c r="N397" s="17">
        <f t="shared" si="114"/>
        <v>0</v>
      </c>
      <c r="O397" s="18">
        <f>IFERROR(N397/N446, "NA")</f>
        <v>0</v>
      </c>
      <c r="P397" s="8"/>
      <c r="Q397" s="17">
        <f>IFERROR(Q386+Q387+Q389+Q390+Q391+Q392+Q393+Q395+Q396, "NA")</f>
        <v>0</v>
      </c>
      <c r="R397" s="18">
        <f>IFERROR(Q397/Q446, "NA")</f>
        <v>0</v>
      </c>
      <c r="S397" s="8"/>
      <c r="T397" s="17">
        <f>IFERROR(T386+T387+T389+T390+T391+T392+T393+T395+T396, "NA")</f>
        <v>0</v>
      </c>
      <c r="U397" s="18">
        <f>IFERROR(T397/T446, "NA")</f>
        <v>0</v>
      </c>
      <c r="V397" s="8"/>
      <c r="W397" s="17">
        <f t="shared" si="115"/>
        <v>0</v>
      </c>
      <c r="X397" s="18">
        <f>IFERROR(W397/W446, "NA")</f>
        <v>0</v>
      </c>
      <c r="Y397" s="8"/>
      <c r="Z397" s="17">
        <f>IFERROR(Z386+Z387+Z389+Z390+Z391+Z392+Z393+Z395+Z396, "NA")</f>
        <v>0</v>
      </c>
      <c r="AA397" s="18">
        <f>IFERROR(Z397/Z446, "NA")</f>
        <v>0</v>
      </c>
      <c r="AB397" s="8"/>
      <c r="AC397" s="17">
        <f t="shared" si="116"/>
        <v>0</v>
      </c>
      <c r="AD397" s="18">
        <f>IFERROR(AC397/AC446, "NA")</f>
        <v>0</v>
      </c>
    </row>
    <row r="398" ht="16.5" hidden="1" customHeight="1">
      <c r="A398" s="11" t="s">
        <v>367</v>
      </c>
      <c r="B398" s="12">
        <v>0.0</v>
      </c>
      <c r="C398" s="13">
        <f>IFERROR(B398/B446, "NA")</f>
        <v>0</v>
      </c>
      <c r="D398" s="14"/>
      <c r="E398" s="12">
        <v>0.0</v>
      </c>
      <c r="F398" s="13">
        <f>IFERROR(E398/E446, "NA")</f>
        <v>0</v>
      </c>
      <c r="G398" s="14"/>
      <c r="H398" s="15">
        <f t="shared" si="113"/>
        <v>0</v>
      </c>
      <c r="I398" s="13">
        <f>IFERROR(H398/H446, "NA")</f>
        <v>0</v>
      </c>
      <c r="J398" s="14"/>
      <c r="K398" s="12">
        <v>0.0</v>
      </c>
      <c r="L398" s="13">
        <f>IFERROR(K398/K446, "NA")</f>
        <v>0</v>
      </c>
      <c r="M398" s="14"/>
      <c r="N398" s="15">
        <f t="shared" si="114"/>
        <v>0</v>
      </c>
      <c r="O398" s="13">
        <f>IFERROR(N398/N446, "NA")</f>
        <v>0</v>
      </c>
      <c r="P398" s="14"/>
      <c r="Q398" s="12">
        <v>0.0</v>
      </c>
      <c r="R398" s="13">
        <f>IFERROR(Q398/Q446, "NA")</f>
        <v>0</v>
      </c>
      <c r="S398" s="14"/>
      <c r="T398" s="12">
        <v>0.0</v>
      </c>
      <c r="U398" s="13">
        <f>IFERROR(T398/T446, "NA")</f>
        <v>0</v>
      </c>
      <c r="V398" s="14"/>
      <c r="W398" s="15">
        <f t="shared" si="115"/>
        <v>0</v>
      </c>
      <c r="X398" s="13">
        <f>IFERROR(W398/W446, "NA")</f>
        <v>0</v>
      </c>
      <c r="Y398" s="14"/>
      <c r="Z398" s="12">
        <v>0.0</v>
      </c>
      <c r="AA398" s="13">
        <f>IFERROR(Z398/Z446, "NA")</f>
        <v>0</v>
      </c>
      <c r="AB398" s="14"/>
      <c r="AC398" s="15">
        <f t="shared" si="116"/>
        <v>0</v>
      </c>
      <c r="AD398" s="13">
        <f>IFERROR(AC398/AC446, "NA")</f>
        <v>0</v>
      </c>
    </row>
    <row r="399" ht="16.5" hidden="1" customHeight="1">
      <c r="A399" s="11" t="s">
        <v>368</v>
      </c>
      <c r="B399" s="12">
        <v>0.0</v>
      </c>
      <c r="C399" s="13">
        <f>IFERROR(B399/B446, "NA")</f>
        <v>0</v>
      </c>
      <c r="D399" s="14"/>
      <c r="E399" s="12">
        <v>0.0</v>
      </c>
      <c r="F399" s="13">
        <f>IFERROR(E399/E446, "NA")</f>
        <v>0</v>
      </c>
      <c r="G399" s="14"/>
      <c r="H399" s="15">
        <f t="shared" si="113"/>
        <v>0</v>
      </c>
      <c r="I399" s="13">
        <f>IFERROR(H399/H446, "NA")</f>
        <v>0</v>
      </c>
      <c r="J399" s="14"/>
      <c r="K399" s="12">
        <v>0.0</v>
      </c>
      <c r="L399" s="13">
        <f>IFERROR(K399/K446, "NA")</f>
        <v>0</v>
      </c>
      <c r="M399" s="14"/>
      <c r="N399" s="15">
        <f t="shared" si="114"/>
        <v>0</v>
      </c>
      <c r="O399" s="13">
        <f>IFERROR(N399/N446, "NA")</f>
        <v>0</v>
      </c>
      <c r="P399" s="14"/>
      <c r="Q399" s="12">
        <v>0.0</v>
      </c>
      <c r="R399" s="13">
        <f>IFERROR(Q399/Q446, "NA")</f>
        <v>0</v>
      </c>
      <c r="S399" s="14"/>
      <c r="T399" s="12">
        <v>0.0</v>
      </c>
      <c r="U399" s="13">
        <f>IFERROR(T399/T446, "NA")</f>
        <v>0</v>
      </c>
      <c r="V399" s="14"/>
      <c r="W399" s="15">
        <f t="shared" si="115"/>
        <v>0</v>
      </c>
      <c r="X399" s="13">
        <f>IFERROR(W399/W446, "NA")</f>
        <v>0</v>
      </c>
      <c r="Y399" s="14"/>
      <c r="Z399" s="12">
        <v>0.0</v>
      </c>
      <c r="AA399" s="13">
        <f>IFERROR(Z399/Z446, "NA")</f>
        <v>0</v>
      </c>
      <c r="AB399" s="14"/>
      <c r="AC399" s="15">
        <f t="shared" si="116"/>
        <v>0</v>
      </c>
      <c r="AD399" s="13">
        <f>IFERROR(AC399/AC446, "NA")</f>
        <v>0</v>
      </c>
    </row>
    <row r="400" ht="16.5" hidden="1" customHeight="1">
      <c r="A400" s="11" t="s">
        <v>369</v>
      </c>
      <c r="B400" s="12">
        <v>0.0</v>
      </c>
      <c r="C400" s="13">
        <f>IFERROR(B400/B446, "NA")</f>
        <v>0</v>
      </c>
      <c r="D400" s="14"/>
      <c r="E400" s="12">
        <v>0.0</v>
      </c>
      <c r="F400" s="13">
        <f>IFERROR(E400/E446, "NA")</f>
        <v>0</v>
      </c>
      <c r="G400" s="14"/>
      <c r="H400" s="15">
        <f t="shared" si="113"/>
        <v>0</v>
      </c>
      <c r="I400" s="13">
        <f>IFERROR(H400/H446, "NA")</f>
        <v>0</v>
      </c>
      <c r="J400" s="14"/>
      <c r="K400" s="12">
        <v>0.0</v>
      </c>
      <c r="L400" s="13">
        <f>IFERROR(K400/K446, "NA")</f>
        <v>0</v>
      </c>
      <c r="M400" s="14"/>
      <c r="N400" s="15">
        <f t="shared" si="114"/>
        <v>0</v>
      </c>
      <c r="O400" s="13">
        <f>IFERROR(N400/N446, "NA")</f>
        <v>0</v>
      </c>
      <c r="P400" s="14"/>
      <c r="Q400" s="12">
        <v>0.0</v>
      </c>
      <c r="R400" s="13">
        <f>IFERROR(Q400/Q446, "NA")</f>
        <v>0</v>
      </c>
      <c r="S400" s="14"/>
      <c r="T400" s="12">
        <v>0.0</v>
      </c>
      <c r="U400" s="13">
        <f>IFERROR(T400/T446, "NA")</f>
        <v>0</v>
      </c>
      <c r="V400" s="14"/>
      <c r="W400" s="15">
        <f t="shared" si="115"/>
        <v>0</v>
      </c>
      <c r="X400" s="13">
        <f>IFERROR(W400/W446, "NA")</f>
        <v>0</v>
      </c>
      <c r="Y400" s="14"/>
      <c r="Z400" s="12">
        <v>0.0</v>
      </c>
      <c r="AA400" s="13">
        <f>IFERROR(Z400/Z446, "NA")</f>
        <v>0</v>
      </c>
      <c r="AB400" s="14"/>
      <c r="AC400" s="15">
        <f t="shared" si="116"/>
        <v>0</v>
      </c>
      <c r="AD400" s="13">
        <f>IFERROR(AC400/AC446, "NA")</f>
        <v>0</v>
      </c>
    </row>
    <row r="401" ht="16.5" hidden="1" customHeight="1">
      <c r="A401" s="11" t="s">
        <v>370</v>
      </c>
      <c r="B401" s="12">
        <v>0.0</v>
      </c>
      <c r="C401" s="13">
        <f>IFERROR(B401/B446, "NA")</f>
        <v>0</v>
      </c>
      <c r="D401" s="14"/>
      <c r="E401" s="12">
        <v>0.0</v>
      </c>
      <c r="F401" s="13">
        <f>IFERROR(E401/E446, "NA")</f>
        <v>0</v>
      </c>
      <c r="G401" s="14"/>
      <c r="H401" s="15">
        <f t="shared" si="113"/>
        <v>0</v>
      </c>
      <c r="I401" s="13">
        <f>IFERROR(H401/H446, "NA")</f>
        <v>0</v>
      </c>
      <c r="J401" s="14"/>
      <c r="K401" s="12">
        <v>0.0</v>
      </c>
      <c r="L401" s="13">
        <f>IFERROR(K401/K446, "NA")</f>
        <v>0</v>
      </c>
      <c r="M401" s="14"/>
      <c r="N401" s="15">
        <f t="shared" si="114"/>
        <v>0</v>
      </c>
      <c r="O401" s="13">
        <f>IFERROR(N401/N446, "NA")</f>
        <v>0</v>
      </c>
      <c r="P401" s="14"/>
      <c r="Q401" s="12">
        <v>0.0</v>
      </c>
      <c r="R401" s="13">
        <f>IFERROR(Q401/Q446, "NA")</f>
        <v>0</v>
      </c>
      <c r="S401" s="14"/>
      <c r="T401" s="12">
        <v>0.0</v>
      </c>
      <c r="U401" s="13">
        <f>IFERROR(T401/T446, "NA")</f>
        <v>0</v>
      </c>
      <c r="V401" s="14"/>
      <c r="W401" s="15">
        <f t="shared" si="115"/>
        <v>0</v>
      </c>
      <c r="X401" s="13">
        <f>IFERROR(W401/W446, "NA")</f>
        <v>0</v>
      </c>
      <c r="Y401" s="14"/>
      <c r="Z401" s="12">
        <v>0.0</v>
      </c>
      <c r="AA401" s="13">
        <f>IFERROR(Z401/Z446, "NA")</f>
        <v>0</v>
      </c>
      <c r="AB401" s="14"/>
      <c r="AC401" s="15">
        <f t="shared" si="116"/>
        <v>0</v>
      </c>
      <c r="AD401" s="13">
        <f>IFERROR(AC401/AC446, "NA")</f>
        <v>0</v>
      </c>
    </row>
    <row r="402" ht="16.5" hidden="1" customHeight="1">
      <c r="A402" s="11" t="s">
        <v>371</v>
      </c>
      <c r="B402" s="12">
        <v>0.0</v>
      </c>
      <c r="C402" s="13">
        <f>IFERROR(B402/B446, "NA")</f>
        <v>0</v>
      </c>
      <c r="D402" s="14"/>
      <c r="E402" s="12">
        <v>0.0</v>
      </c>
      <c r="F402" s="13">
        <f>IFERROR(E402/E446, "NA")</f>
        <v>0</v>
      </c>
      <c r="G402" s="14"/>
      <c r="H402" s="15">
        <f t="shared" si="113"/>
        <v>0</v>
      </c>
      <c r="I402" s="13">
        <f>IFERROR(H402/H446, "NA")</f>
        <v>0</v>
      </c>
      <c r="J402" s="14"/>
      <c r="K402" s="12">
        <v>0.0</v>
      </c>
      <c r="L402" s="13">
        <f>IFERROR(K402/K446, "NA")</f>
        <v>0</v>
      </c>
      <c r="M402" s="14"/>
      <c r="N402" s="15">
        <f t="shared" si="114"/>
        <v>0</v>
      </c>
      <c r="O402" s="13">
        <f>IFERROR(N402/N446, "NA")</f>
        <v>0</v>
      </c>
      <c r="P402" s="14"/>
      <c r="Q402" s="12">
        <v>0.0</v>
      </c>
      <c r="R402" s="13">
        <f>IFERROR(Q402/Q446, "NA")</f>
        <v>0</v>
      </c>
      <c r="S402" s="14"/>
      <c r="T402" s="12">
        <v>0.0</v>
      </c>
      <c r="U402" s="13">
        <f>IFERROR(T402/T446, "NA")</f>
        <v>0</v>
      </c>
      <c r="V402" s="14"/>
      <c r="W402" s="15">
        <f t="shared" si="115"/>
        <v>0</v>
      </c>
      <c r="X402" s="13">
        <f>IFERROR(W402/W446, "NA")</f>
        <v>0</v>
      </c>
      <c r="Y402" s="14"/>
      <c r="Z402" s="12">
        <v>0.0</v>
      </c>
      <c r="AA402" s="13">
        <f>IFERROR(Z402/Z446, "NA")</f>
        <v>0</v>
      </c>
      <c r="AB402" s="14"/>
      <c r="AC402" s="15">
        <f t="shared" si="116"/>
        <v>0</v>
      </c>
      <c r="AD402" s="13">
        <f>IFERROR(AC402/AC446, "NA")</f>
        <v>0</v>
      </c>
    </row>
    <row r="403" ht="16.5" hidden="1" customHeight="1">
      <c r="A403" s="11" t="s">
        <v>372</v>
      </c>
      <c r="B403" s="12">
        <v>0.0</v>
      </c>
      <c r="C403" s="13">
        <f>IFERROR(B403/B446, "NA")</f>
        <v>0</v>
      </c>
      <c r="D403" s="14"/>
      <c r="E403" s="12">
        <v>0.0</v>
      </c>
      <c r="F403" s="13">
        <f>IFERROR(E403/E446, "NA")</f>
        <v>0</v>
      </c>
      <c r="G403" s="14"/>
      <c r="H403" s="15">
        <f t="shared" si="113"/>
        <v>0</v>
      </c>
      <c r="I403" s="13">
        <f>IFERROR(H403/H446, "NA")</f>
        <v>0</v>
      </c>
      <c r="J403" s="14"/>
      <c r="K403" s="12">
        <v>0.0</v>
      </c>
      <c r="L403" s="13">
        <f>IFERROR(K403/K446, "NA")</f>
        <v>0</v>
      </c>
      <c r="M403" s="14"/>
      <c r="N403" s="15">
        <f t="shared" si="114"/>
        <v>0</v>
      </c>
      <c r="O403" s="13">
        <f>IFERROR(N403/N446, "NA")</f>
        <v>0</v>
      </c>
      <c r="P403" s="14"/>
      <c r="Q403" s="12">
        <v>0.0</v>
      </c>
      <c r="R403" s="13">
        <f>IFERROR(Q403/Q446, "NA")</f>
        <v>0</v>
      </c>
      <c r="S403" s="14"/>
      <c r="T403" s="12">
        <v>0.0</v>
      </c>
      <c r="U403" s="13">
        <f>IFERROR(T403/T446, "NA")</f>
        <v>0</v>
      </c>
      <c r="V403" s="14"/>
      <c r="W403" s="15">
        <f t="shared" si="115"/>
        <v>0</v>
      </c>
      <c r="X403" s="13">
        <f>IFERROR(W403/W446, "NA")</f>
        <v>0</v>
      </c>
      <c r="Y403" s="14"/>
      <c r="Z403" s="12">
        <v>0.0</v>
      </c>
      <c r="AA403" s="13">
        <f>IFERROR(Z403/Z446, "NA")</f>
        <v>0</v>
      </c>
      <c r="AB403" s="14"/>
      <c r="AC403" s="15">
        <f t="shared" si="116"/>
        <v>0</v>
      </c>
      <c r="AD403" s="13">
        <f>IFERROR(AC403/AC446, "NA")</f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>
        <f>IFERROR(B404/B446, "NA")</f>
        <v>0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>
        <f>IFERROR(E404/E446, "NA")</f>
        <v>0</v>
      </c>
      <c r="G404" s="8"/>
      <c r="H404" s="17">
        <f t="shared" si="113"/>
        <v>0</v>
      </c>
      <c r="I404" s="18">
        <f>IFERROR(H404/H446, "NA")</f>
        <v>0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>
        <f>IFERROR(K404/K446, "NA")</f>
        <v>0</v>
      </c>
      <c r="M404" s="8"/>
      <c r="N404" s="17">
        <f t="shared" si="114"/>
        <v>0</v>
      </c>
      <c r="O404" s="18">
        <f>IFERROR(N404/N446, "NA")</f>
        <v>0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>
        <f>IFERROR(Q404/Q446, "NA")</f>
        <v>0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>
        <f>IFERROR(T404/T446, "NA")</f>
        <v>0</v>
      </c>
      <c r="V404" s="8"/>
      <c r="W404" s="17">
        <f t="shared" si="115"/>
        <v>0</v>
      </c>
      <c r="X404" s="18">
        <f>IFERROR(W404/W446, "NA")</f>
        <v>0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>
        <f>IFERROR(Z404/Z446, "NA")</f>
        <v>0</v>
      </c>
      <c r="AB404" s="8"/>
      <c r="AC404" s="17">
        <f t="shared" si="116"/>
        <v>0</v>
      </c>
      <c r="AD404" s="18">
        <f>IFERROR(AC404/AC446, "NA")</f>
        <v>0</v>
      </c>
    </row>
    <row r="405" ht="16.5" customHeight="1">
      <c r="A405" s="19" t="s">
        <v>374</v>
      </c>
      <c r="B405" s="20">
        <f>IFERROR(B346-B404, "NA")</f>
        <v>-5743.54</v>
      </c>
      <c r="C405" s="21">
        <f>IFERROR(B405/B446, "NA")</f>
        <v>-0.0580362317</v>
      </c>
      <c r="D405" s="22"/>
      <c r="E405" s="20">
        <f>IFERROR(E346-E404, "NA")</f>
        <v>-3775.97</v>
      </c>
      <c r="F405" s="21">
        <f>IFERROR(E405/E446, "NA")</f>
        <v>-0.03736380434</v>
      </c>
      <c r="G405" s="22"/>
      <c r="H405" s="20">
        <f>IFERROR(B405-E405, "NA")</f>
        <v>-1967.57</v>
      </c>
      <c r="I405" s="21">
        <f>IFERROR(H405/H446, "NA")</f>
        <v>0.9392459567</v>
      </c>
      <c r="J405" s="22"/>
      <c r="K405" s="20">
        <f>IFERROR(K346-K404, "NA")</f>
        <v>-11107.98</v>
      </c>
      <c r="L405" s="21">
        <f>IFERROR(K405/K446, "NA")</f>
        <v>-0.1199998833</v>
      </c>
      <c r="M405" s="22"/>
      <c r="N405" s="20">
        <f>IFERROR(B405-K405, "NA")</f>
        <v>5364.44</v>
      </c>
      <c r="O405" s="21">
        <f>IFERROR(N405/N446, "NA")</f>
        <v>0.8384374209</v>
      </c>
      <c r="P405" s="22"/>
      <c r="Q405" s="20">
        <f>IFERROR(Q346-Q404, "NA")</f>
        <v>-38133.34</v>
      </c>
      <c r="R405" s="21">
        <f>IFERROR(Q405/Q446, "NA")</f>
        <v>-0.04330894026</v>
      </c>
      <c r="S405" s="22"/>
      <c r="T405" s="20">
        <f>IFERROR(T346-T404, "NA")</f>
        <v>10000.44</v>
      </c>
      <c r="U405" s="21">
        <f>IFERROR(T405/T446, "NA")</f>
        <v>0.01032828049</v>
      </c>
      <c r="V405" s="22"/>
      <c r="W405" s="20">
        <f>IFERROR(Q405-T405, "NA")</f>
        <v>-48133.78</v>
      </c>
      <c r="X405" s="21">
        <f>IFERROR(W405/W446, "NA")</f>
        <v>0.5484569777</v>
      </c>
      <c r="Y405" s="22"/>
      <c r="Z405" s="20">
        <f>IFERROR(Z346-Z404, "NA")</f>
        <v>-52041.23</v>
      </c>
      <c r="AA405" s="21">
        <f>IFERROR(Z405/Z446, "NA")</f>
        <v>-0.05794086313</v>
      </c>
      <c r="AB405" s="22"/>
      <c r="AC405" s="20">
        <f>IFERROR(Q405-Z405, "NA")</f>
        <v>13907.89</v>
      </c>
      <c r="AD405" s="21">
        <f>IFERROR(AC405/AC446, "NA")</f>
        <v>-0.7865310303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r="A408" s="11" t="s">
        <v>376</v>
      </c>
      <c r="B408" s="12">
        <v>0.0</v>
      </c>
      <c r="C408" s="13">
        <f>IFERROR(B408/B446, "NA")</f>
        <v>0</v>
      </c>
      <c r="D408" s="14"/>
      <c r="E408" s="12">
        <v>11152.24</v>
      </c>
      <c r="F408" s="13">
        <f>IFERROR(E408/E446, "NA")</f>
        <v>0.1103531313</v>
      </c>
      <c r="G408" s="14"/>
      <c r="H408" s="15">
        <f t="shared" ref="H408:H431" si="117">IFERROR(-(B408-E408), "NA")</f>
        <v>11152.24</v>
      </c>
      <c r="I408" s="13">
        <f>IFERROR(H408/H446, "NA")</f>
        <v>-5.323671498</v>
      </c>
      <c r="J408" s="14"/>
      <c r="K408" s="12">
        <v>0.0</v>
      </c>
      <c r="L408" s="13">
        <f>IFERROR(K408/K446, "NA")</f>
        <v>0</v>
      </c>
      <c r="M408" s="14"/>
      <c r="N408" s="15">
        <f t="shared" ref="N408:N431" si="118">IFERROR(-(B408-K408), "NA")</f>
        <v>0</v>
      </c>
      <c r="O408" s="13">
        <f>IFERROR(N408/N446, "NA")</f>
        <v>0</v>
      </c>
      <c r="P408" s="14"/>
      <c r="Q408" s="12">
        <v>0.0</v>
      </c>
      <c r="R408" s="13">
        <f>IFERROR(Q408/Q446, "NA")</f>
        <v>0</v>
      </c>
      <c r="S408" s="14"/>
      <c r="T408" s="12">
        <v>85126.72</v>
      </c>
      <c r="U408" s="13">
        <f>IFERROR(T408/T446, "NA")</f>
        <v>0.08791739573</v>
      </c>
      <c r="V408" s="14"/>
      <c r="W408" s="15">
        <f t="shared" ref="W408:W431" si="119">IFERROR(-(Q408-T408), "NA")</f>
        <v>85126.72</v>
      </c>
      <c r="X408" s="13">
        <f>IFERROR(W408/W446, "NA")</f>
        <v>-0.969970436</v>
      </c>
      <c r="Y408" s="14"/>
      <c r="Z408" s="12">
        <v>0.0</v>
      </c>
      <c r="AA408" s="13">
        <f>IFERROR(Z408/Z446, "NA")</f>
        <v>0</v>
      </c>
      <c r="AB408" s="14"/>
      <c r="AC408" s="15">
        <f t="shared" ref="AC408:AC431" si="120">IFERROR(-(Q408-Z408), "NA")</f>
        <v>0</v>
      </c>
      <c r="AD408" s="13">
        <f>IFERROR(AC408/AC446, "NA")</f>
        <v>0</v>
      </c>
    </row>
    <row r="409" ht="16.5" hidden="1" customHeight="1">
      <c r="A409" s="11" t="s">
        <v>377</v>
      </c>
      <c r="B409" s="12">
        <v>0.0</v>
      </c>
      <c r="C409" s="13">
        <f>IFERROR(B409/B446, "NA")</f>
        <v>0</v>
      </c>
      <c r="D409" s="14"/>
      <c r="E409" s="12">
        <v>0.0</v>
      </c>
      <c r="F409" s="13">
        <f>IFERROR(E409/E446, "NA")</f>
        <v>0</v>
      </c>
      <c r="G409" s="14"/>
      <c r="H409" s="15">
        <f t="shared" si="117"/>
        <v>0</v>
      </c>
      <c r="I409" s="13">
        <f>IFERROR(H409/H446, "NA")</f>
        <v>0</v>
      </c>
      <c r="J409" s="14"/>
      <c r="K409" s="12">
        <v>0.0</v>
      </c>
      <c r="L409" s="13">
        <f>IFERROR(K409/K446, "NA")</f>
        <v>0</v>
      </c>
      <c r="M409" s="14"/>
      <c r="N409" s="15">
        <f t="shared" si="118"/>
        <v>0</v>
      </c>
      <c r="O409" s="13">
        <f>IFERROR(N409/N446, "NA")</f>
        <v>0</v>
      </c>
      <c r="P409" s="14"/>
      <c r="Q409" s="12">
        <v>0.0</v>
      </c>
      <c r="R409" s="13">
        <f>IFERROR(Q409/Q446, "NA")</f>
        <v>0</v>
      </c>
      <c r="S409" s="14"/>
      <c r="T409" s="12">
        <v>0.0</v>
      </c>
      <c r="U409" s="13">
        <f>IFERROR(T409/T446, "NA")</f>
        <v>0</v>
      </c>
      <c r="V409" s="14"/>
      <c r="W409" s="15">
        <f t="shared" si="119"/>
        <v>0</v>
      </c>
      <c r="X409" s="13">
        <f>IFERROR(W409/W446, "NA")</f>
        <v>0</v>
      </c>
      <c r="Y409" s="14"/>
      <c r="Z409" s="12">
        <v>0.0</v>
      </c>
      <c r="AA409" s="13">
        <f>IFERROR(Z409/Z446, "NA")</f>
        <v>0</v>
      </c>
      <c r="AB409" s="14"/>
      <c r="AC409" s="15">
        <f t="shared" si="120"/>
        <v>0</v>
      </c>
      <c r="AD409" s="13">
        <f>IFERROR(AC409/AC446, "NA")</f>
        <v>0</v>
      </c>
    </row>
    <row r="410" ht="16.5" hidden="1" customHeight="1">
      <c r="A410" s="11" t="s">
        <v>378</v>
      </c>
      <c r="B410" s="12">
        <v>0.0</v>
      </c>
      <c r="C410" s="13">
        <f>IFERROR(B410/B446, "NA")</f>
        <v>0</v>
      </c>
      <c r="D410" s="14"/>
      <c r="E410" s="12">
        <v>0.0</v>
      </c>
      <c r="F410" s="13">
        <f>IFERROR(E410/E446, "NA")</f>
        <v>0</v>
      </c>
      <c r="G410" s="14"/>
      <c r="H410" s="15">
        <f t="shared" si="117"/>
        <v>0</v>
      </c>
      <c r="I410" s="13">
        <f>IFERROR(H410/H446, "NA")</f>
        <v>0</v>
      </c>
      <c r="J410" s="14"/>
      <c r="K410" s="12">
        <v>0.0</v>
      </c>
      <c r="L410" s="13">
        <f>IFERROR(K410/K446, "NA")</f>
        <v>0</v>
      </c>
      <c r="M410" s="14"/>
      <c r="N410" s="15">
        <f t="shared" si="118"/>
        <v>0</v>
      </c>
      <c r="O410" s="13">
        <f>IFERROR(N410/N446, "NA")</f>
        <v>0</v>
      </c>
      <c r="P410" s="14"/>
      <c r="Q410" s="12">
        <v>0.0</v>
      </c>
      <c r="R410" s="13">
        <f>IFERROR(Q410/Q446, "NA")</f>
        <v>0</v>
      </c>
      <c r="S410" s="14"/>
      <c r="T410" s="12">
        <v>0.0</v>
      </c>
      <c r="U410" s="13">
        <f>IFERROR(T410/T446, "NA")</f>
        <v>0</v>
      </c>
      <c r="V410" s="14"/>
      <c r="W410" s="15">
        <f t="shared" si="119"/>
        <v>0</v>
      </c>
      <c r="X410" s="13">
        <f>IFERROR(W410/W446, "NA")</f>
        <v>0</v>
      </c>
      <c r="Y410" s="14"/>
      <c r="Z410" s="12">
        <v>0.0</v>
      </c>
      <c r="AA410" s="13">
        <f>IFERROR(Z410/Z446, "NA")</f>
        <v>0</v>
      </c>
      <c r="AB410" s="14"/>
      <c r="AC410" s="15">
        <f t="shared" si="120"/>
        <v>0</v>
      </c>
      <c r="AD410" s="13">
        <f>IFERROR(AC410/AC446, "NA")</f>
        <v>0</v>
      </c>
    </row>
    <row r="411" ht="16.5" customHeight="1">
      <c r="A411" s="11" t="s">
        <v>379</v>
      </c>
      <c r="B411" s="12">
        <v>10743.03</v>
      </c>
      <c r="C411" s="13">
        <f>IFERROR(B411/B446, "NA")</f>
        <v>0.1085541283</v>
      </c>
      <c r="D411" s="14"/>
      <c r="E411" s="12">
        <v>0.0</v>
      </c>
      <c r="F411" s="13">
        <f>IFERROR(E411/E446, "NA")</f>
        <v>0</v>
      </c>
      <c r="G411" s="14"/>
      <c r="H411" s="15">
        <f t="shared" si="117"/>
        <v>-10743.03</v>
      </c>
      <c r="I411" s="13">
        <f>IFERROR(H411/H446, "NA")</f>
        <v>5.12832961</v>
      </c>
      <c r="J411" s="14"/>
      <c r="K411" s="12">
        <v>10315.54</v>
      </c>
      <c r="L411" s="13">
        <f>IFERROR(K411/K446, "NA")</f>
        <v>0.1114391272</v>
      </c>
      <c r="M411" s="14"/>
      <c r="N411" s="15">
        <f t="shared" si="118"/>
        <v>-427.49</v>
      </c>
      <c r="O411" s="13">
        <f>IFERROR(N411/N446, "NA")</f>
        <v>-0.06681473053</v>
      </c>
      <c r="P411" s="14"/>
      <c r="Q411" s="12">
        <v>85943.61</v>
      </c>
      <c r="R411" s="13">
        <f>IFERROR(Q411/Q446, "NA")</f>
        <v>0.09760819983</v>
      </c>
      <c r="S411" s="14"/>
      <c r="T411" s="12">
        <v>0.0</v>
      </c>
      <c r="U411" s="13">
        <f>IFERROR(T411/T446, "NA")</f>
        <v>0</v>
      </c>
      <c r="V411" s="14"/>
      <c r="W411" s="15">
        <f t="shared" si="119"/>
        <v>-85943.61</v>
      </c>
      <c r="X411" s="13">
        <f>IFERROR(W411/W446, "NA")</f>
        <v>0.9792784318</v>
      </c>
      <c r="Y411" s="14"/>
      <c r="Z411" s="12">
        <v>79405.7</v>
      </c>
      <c r="AA411" s="13">
        <f>IFERROR(Z411/Z446, "NA")</f>
        <v>0.08840749527</v>
      </c>
      <c r="AB411" s="14"/>
      <c r="AC411" s="15">
        <f t="shared" si="120"/>
        <v>-6537.91</v>
      </c>
      <c r="AD411" s="13">
        <f>IFERROR(AC411/AC446, "NA")</f>
        <v>0.3697375438</v>
      </c>
    </row>
    <row r="412" ht="16.5" hidden="1" customHeight="1">
      <c r="A412" s="11" t="s">
        <v>380</v>
      </c>
      <c r="B412" s="12">
        <v>0.0</v>
      </c>
      <c r="C412" s="13">
        <f>IFERROR(B412/B446, "NA")</f>
        <v>0</v>
      </c>
      <c r="D412" s="14"/>
      <c r="E412" s="12">
        <v>0.0</v>
      </c>
      <c r="F412" s="13">
        <f>IFERROR(E412/E446, "NA")</f>
        <v>0</v>
      </c>
      <c r="G412" s="14"/>
      <c r="H412" s="15">
        <f t="shared" si="117"/>
        <v>0</v>
      </c>
      <c r="I412" s="13">
        <f>IFERROR(H412/H446, "NA")</f>
        <v>0</v>
      </c>
      <c r="J412" s="14"/>
      <c r="K412" s="12">
        <v>0.0</v>
      </c>
      <c r="L412" s="13">
        <f>IFERROR(K412/K446, "NA")</f>
        <v>0</v>
      </c>
      <c r="M412" s="14"/>
      <c r="N412" s="15">
        <f t="shared" si="118"/>
        <v>0</v>
      </c>
      <c r="O412" s="13">
        <f>IFERROR(N412/N446, "NA")</f>
        <v>0</v>
      </c>
      <c r="P412" s="14"/>
      <c r="Q412" s="12">
        <v>0.0</v>
      </c>
      <c r="R412" s="13">
        <f>IFERROR(Q412/Q446, "NA")</f>
        <v>0</v>
      </c>
      <c r="S412" s="14"/>
      <c r="T412" s="12">
        <v>0.0</v>
      </c>
      <c r="U412" s="13">
        <f>IFERROR(T412/T446, "NA")</f>
        <v>0</v>
      </c>
      <c r="V412" s="14"/>
      <c r="W412" s="15">
        <f t="shared" si="119"/>
        <v>0</v>
      </c>
      <c r="X412" s="13">
        <f>IFERROR(W412/W446, "NA")</f>
        <v>0</v>
      </c>
      <c r="Y412" s="14"/>
      <c r="Z412" s="12">
        <v>0.0</v>
      </c>
      <c r="AA412" s="13">
        <f>IFERROR(Z412/Z446, "NA")</f>
        <v>0</v>
      </c>
      <c r="AB412" s="14"/>
      <c r="AC412" s="15">
        <f t="shared" si="120"/>
        <v>0</v>
      </c>
      <c r="AD412" s="13">
        <f>IFERROR(AC412/AC446, "NA")</f>
        <v>0</v>
      </c>
    </row>
    <row r="413" ht="16.5" hidden="1" customHeight="1">
      <c r="A413" s="11" t="s">
        <v>381</v>
      </c>
      <c r="B413" s="12">
        <v>0.0</v>
      </c>
      <c r="C413" s="13">
        <f>IFERROR(B413/B446, "NA")</f>
        <v>0</v>
      </c>
      <c r="D413" s="14"/>
      <c r="E413" s="12">
        <v>0.0</v>
      </c>
      <c r="F413" s="13">
        <f>IFERROR(E413/E446, "NA")</f>
        <v>0</v>
      </c>
      <c r="G413" s="14"/>
      <c r="H413" s="15">
        <f t="shared" si="117"/>
        <v>0</v>
      </c>
      <c r="I413" s="13">
        <f>IFERROR(H413/H446, "NA")</f>
        <v>0</v>
      </c>
      <c r="J413" s="14"/>
      <c r="K413" s="12">
        <v>0.0</v>
      </c>
      <c r="L413" s="13">
        <f>IFERROR(K413/K446, "NA")</f>
        <v>0</v>
      </c>
      <c r="M413" s="14"/>
      <c r="N413" s="15">
        <f t="shared" si="118"/>
        <v>0</v>
      </c>
      <c r="O413" s="13">
        <f>IFERROR(N413/N446, "NA")</f>
        <v>0</v>
      </c>
      <c r="P413" s="14"/>
      <c r="Q413" s="12">
        <v>0.0</v>
      </c>
      <c r="R413" s="13">
        <f>IFERROR(Q413/Q446, "NA")</f>
        <v>0</v>
      </c>
      <c r="S413" s="14"/>
      <c r="T413" s="12">
        <v>0.0</v>
      </c>
      <c r="U413" s="13">
        <f>IFERROR(T413/T446, "NA")</f>
        <v>0</v>
      </c>
      <c r="V413" s="14"/>
      <c r="W413" s="15">
        <f t="shared" si="119"/>
        <v>0</v>
      </c>
      <c r="X413" s="13">
        <f>IFERROR(W413/W446, "NA")</f>
        <v>0</v>
      </c>
      <c r="Y413" s="14"/>
      <c r="Z413" s="12">
        <v>0.0</v>
      </c>
      <c r="AA413" s="13">
        <f>IFERROR(Z413/Z446, "NA")</f>
        <v>0</v>
      </c>
      <c r="AB413" s="14"/>
      <c r="AC413" s="15">
        <f t="shared" si="120"/>
        <v>0</v>
      </c>
      <c r="AD413" s="13">
        <f>IFERROR(AC413/AC446, "NA")</f>
        <v>0</v>
      </c>
    </row>
    <row r="414" ht="16.5" hidden="1" customHeight="1">
      <c r="A414" s="11" t="s">
        <v>382</v>
      </c>
      <c r="B414" s="12">
        <v>0.0</v>
      </c>
      <c r="C414" s="13">
        <f>IFERROR(B414/B446, "NA")</f>
        <v>0</v>
      </c>
      <c r="D414" s="14"/>
      <c r="E414" s="12">
        <v>0.0</v>
      </c>
      <c r="F414" s="13">
        <f>IFERROR(E414/E446, "NA")</f>
        <v>0</v>
      </c>
      <c r="G414" s="14"/>
      <c r="H414" s="15">
        <f t="shared" si="117"/>
        <v>0</v>
      </c>
      <c r="I414" s="13">
        <f>IFERROR(H414/H446, "NA")</f>
        <v>0</v>
      </c>
      <c r="J414" s="14"/>
      <c r="K414" s="12">
        <v>0.0</v>
      </c>
      <c r="L414" s="13">
        <f>IFERROR(K414/K446, "NA")</f>
        <v>0</v>
      </c>
      <c r="M414" s="14"/>
      <c r="N414" s="15">
        <f t="shared" si="118"/>
        <v>0</v>
      </c>
      <c r="O414" s="13">
        <f>IFERROR(N414/N446, "NA")</f>
        <v>0</v>
      </c>
      <c r="P414" s="14"/>
      <c r="Q414" s="12">
        <v>0.0</v>
      </c>
      <c r="R414" s="13">
        <f>IFERROR(Q414/Q446, "NA")</f>
        <v>0</v>
      </c>
      <c r="S414" s="14"/>
      <c r="T414" s="12">
        <v>0.0</v>
      </c>
      <c r="U414" s="13">
        <f>IFERROR(T414/T446, "NA")</f>
        <v>0</v>
      </c>
      <c r="V414" s="14"/>
      <c r="W414" s="15">
        <f t="shared" si="119"/>
        <v>0</v>
      </c>
      <c r="X414" s="13">
        <f>IFERROR(W414/W446, "NA")</f>
        <v>0</v>
      </c>
      <c r="Y414" s="14"/>
      <c r="Z414" s="12">
        <v>0.0</v>
      </c>
      <c r="AA414" s="13">
        <f>IFERROR(Z414/Z446, "NA")</f>
        <v>0</v>
      </c>
      <c r="AB414" s="14"/>
      <c r="AC414" s="15">
        <f t="shared" si="120"/>
        <v>0</v>
      </c>
      <c r="AD414" s="13">
        <f>IFERROR(AC414/AC446, "NA")</f>
        <v>0</v>
      </c>
    </row>
    <row r="415" ht="16.5" hidden="1" customHeight="1">
      <c r="A415" s="11" t="s">
        <v>383</v>
      </c>
      <c r="B415" s="12">
        <v>0.0</v>
      </c>
      <c r="C415" s="13">
        <f>IFERROR(B415/B446, "NA")</f>
        <v>0</v>
      </c>
      <c r="D415" s="14"/>
      <c r="E415" s="12">
        <v>0.0</v>
      </c>
      <c r="F415" s="13">
        <f>IFERROR(E415/E446, "NA")</f>
        <v>0</v>
      </c>
      <c r="G415" s="14"/>
      <c r="H415" s="15">
        <f t="shared" si="117"/>
        <v>0</v>
      </c>
      <c r="I415" s="13">
        <f>IFERROR(H415/H446, "NA")</f>
        <v>0</v>
      </c>
      <c r="J415" s="14"/>
      <c r="K415" s="12">
        <v>0.0</v>
      </c>
      <c r="L415" s="13">
        <f>IFERROR(K415/K446, "NA")</f>
        <v>0</v>
      </c>
      <c r="M415" s="14"/>
      <c r="N415" s="15">
        <f t="shared" si="118"/>
        <v>0</v>
      </c>
      <c r="O415" s="13">
        <f>IFERROR(N415/N446, "NA")</f>
        <v>0</v>
      </c>
      <c r="P415" s="14"/>
      <c r="Q415" s="12">
        <v>0.0</v>
      </c>
      <c r="R415" s="13">
        <f>IFERROR(Q415/Q446, "NA")</f>
        <v>0</v>
      </c>
      <c r="S415" s="14"/>
      <c r="T415" s="12">
        <v>0.0</v>
      </c>
      <c r="U415" s="13">
        <f>IFERROR(T415/T446, "NA")</f>
        <v>0</v>
      </c>
      <c r="V415" s="14"/>
      <c r="W415" s="15">
        <f t="shared" si="119"/>
        <v>0</v>
      </c>
      <c r="X415" s="13">
        <f>IFERROR(W415/W446, "NA")</f>
        <v>0</v>
      </c>
      <c r="Y415" s="14"/>
      <c r="Z415" s="12">
        <v>0.0</v>
      </c>
      <c r="AA415" s="13">
        <f>IFERROR(Z415/Z446, "NA")</f>
        <v>0</v>
      </c>
      <c r="AB415" s="14"/>
      <c r="AC415" s="15">
        <f t="shared" si="120"/>
        <v>0</v>
      </c>
      <c r="AD415" s="13">
        <f>IFERROR(AC415/AC446, "NA")</f>
        <v>0</v>
      </c>
    </row>
    <row r="416" ht="16.5" hidden="1" customHeight="1">
      <c r="A416" s="11" t="s">
        <v>384</v>
      </c>
      <c r="B416" s="12">
        <v>0.0</v>
      </c>
      <c r="C416" s="13">
        <f>IFERROR(B416/B446, "NA")</f>
        <v>0</v>
      </c>
      <c r="D416" s="14"/>
      <c r="E416" s="12">
        <v>0.0</v>
      </c>
      <c r="F416" s="13">
        <f>IFERROR(E416/E446, "NA")</f>
        <v>0</v>
      </c>
      <c r="G416" s="14"/>
      <c r="H416" s="15">
        <f t="shared" si="117"/>
        <v>0</v>
      </c>
      <c r="I416" s="13">
        <f>IFERROR(H416/H446, "NA")</f>
        <v>0</v>
      </c>
      <c r="J416" s="14"/>
      <c r="K416" s="12">
        <v>0.0</v>
      </c>
      <c r="L416" s="13">
        <f>IFERROR(K416/K446, "NA")</f>
        <v>0</v>
      </c>
      <c r="M416" s="14"/>
      <c r="N416" s="15">
        <f t="shared" si="118"/>
        <v>0</v>
      </c>
      <c r="O416" s="13">
        <f>IFERROR(N416/N446, "NA")</f>
        <v>0</v>
      </c>
      <c r="P416" s="14"/>
      <c r="Q416" s="12">
        <v>0.0</v>
      </c>
      <c r="R416" s="13">
        <f>IFERROR(Q416/Q446, "NA")</f>
        <v>0</v>
      </c>
      <c r="S416" s="14"/>
      <c r="T416" s="12">
        <v>0.0</v>
      </c>
      <c r="U416" s="13">
        <f>IFERROR(T416/T446, "NA")</f>
        <v>0</v>
      </c>
      <c r="V416" s="14"/>
      <c r="W416" s="15">
        <f t="shared" si="119"/>
        <v>0</v>
      </c>
      <c r="X416" s="13">
        <f>IFERROR(W416/W446, "NA")</f>
        <v>0</v>
      </c>
      <c r="Y416" s="14"/>
      <c r="Z416" s="12">
        <v>0.0</v>
      </c>
      <c r="AA416" s="13">
        <f>IFERROR(Z416/Z446, "NA")</f>
        <v>0</v>
      </c>
      <c r="AB416" s="14"/>
      <c r="AC416" s="15">
        <f t="shared" si="120"/>
        <v>0</v>
      </c>
      <c r="AD416" s="13">
        <f>IFERROR(AC416/AC446, "NA")</f>
        <v>0</v>
      </c>
    </row>
    <row r="417" ht="16.5" customHeight="1">
      <c r="A417" s="11" t="s">
        <v>385</v>
      </c>
      <c r="B417" s="12">
        <v>-53.3</v>
      </c>
      <c r="C417" s="13">
        <f>IFERROR(B417/B446, "NA")</f>
        <v>-0.0005385757128</v>
      </c>
      <c r="D417" s="14"/>
      <c r="E417" s="12">
        <v>0.0</v>
      </c>
      <c r="F417" s="13">
        <f>IFERROR(E417/E446, "NA")</f>
        <v>0</v>
      </c>
      <c r="G417" s="14"/>
      <c r="H417" s="15">
        <f t="shared" si="117"/>
        <v>53.3</v>
      </c>
      <c r="I417" s="13">
        <f>IFERROR(H417/H446, "NA")</f>
        <v>-0.02544347062</v>
      </c>
      <c r="J417" s="14"/>
      <c r="K417" s="12">
        <v>-60.04</v>
      </c>
      <c r="L417" s="13">
        <f>IFERROR(K417/K446, "NA")</f>
        <v>-0.000648614149</v>
      </c>
      <c r="M417" s="14"/>
      <c r="N417" s="15">
        <f t="shared" si="118"/>
        <v>-6.74</v>
      </c>
      <c r="O417" s="13">
        <f>IFERROR(N417/N446, "NA")</f>
        <v>-0.001053431153</v>
      </c>
      <c r="P417" s="14"/>
      <c r="Q417" s="12">
        <v>-333.24</v>
      </c>
      <c r="R417" s="13">
        <f>IFERROR(Q417/Q446, "NA")</f>
        <v>-0.0003784685855</v>
      </c>
      <c r="S417" s="14"/>
      <c r="T417" s="12">
        <v>0.0</v>
      </c>
      <c r="U417" s="13">
        <f>IFERROR(T417/T446, "NA")</f>
        <v>0</v>
      </c>
      <c r="V417" s="14"/>
      <c r="W417" s="15">
        <f t="shared" si="119"/>
        <v>333.24</v>
      </c>
      <c r="X417" s="13">
        <f>IFERROR(W417/W446, "NA")</f>
        <v>-0.00379707979</v>
      </c>
      <c r="Y417" s="14"/>
      <c r="Z417" s="12">
        <v>-13.47</v>
      </c>
      <c r="AA417" s="13">
        <f>IFERROR(Z417/Z446, "NA")</f>
        <v>-0.00001499702114</v>
      </c>
      <c r="AB417" s="14"/>
      <c r="AC417" s="15">
        <f t="shared" si="120"/>
        <v>319.77</v>
      </c>
      <c r="AD417" s="13">
        <f>IFERROR(AC417/AC446, "NA")</f>
        <v>-0.01808390975</v>
      </c>
    </row>
    <row r="418" ht="16.5" customHeight="1">
      <c r="A418" s="11" t="s">
        <v>386</v>
      </c>
      <c r="B418" s="12">
        <v>-2.01</v>
      </c>
      <c r="C418" s="13">
        <f>IFERROR(B418/B446, "NA")</f>
        <v>-0.00002031026609</v>
      </c>
      <c r="D418" s="14"/>
      <c r="E418" s="12">
        <v>0.0</v>
      </c>
      <c r="F418" s="13">
        <f>IFERROR(E418/E446, "NA")</f>
        <v>0</v>
      </c>
      <c r="G418" s="14"/>
      <c r="H418" s="15">
        <f t="shared" si="117"/>
        <v>2.01</v>
      </c>
      <c r="I418" s="13">
        <f>IFERROR(H418/H446, "NA")</f>
        <v>-0.0009595004869</v>
      </c>
      <c r="J418" s="14"/>
      <c r="K418" s="12">
        <v>-40.49</v>
      </c>
      <c r="L418" s="13">
        <f>IFERROR(K418/K446, "NA")</f>
        <v>-0.0004374148383</v>
      </c>
      <c r="M418" s="14"/>
      <c r="N418" s="15">
        <f t="shared" si="118"/>
        <v>-38.48</v>
      </c>
      <c r="O418" s="13">
        <f>IFERROR(N418/N446, "NA")</f>
        <v>-0.006014247891</v>
      </c>
      <c r="P418" s="14"/>
      <c r="Q418" s="12">
        <v>-163.2</v>
      </c>
      <c r="R418" s="13">
        <f>IFERROR(Q418/Q446, "NA")</f>
        <v>-0.0001853501175</v>
      </c>
      <c r="S418" s="14"/>
      <c r="T418" s="12">
        <v>0.0</v>
      </c>
      <c r="U418" s="13">
        <f>IFERROR(T418/T446, "NA")</f>
        <v>0</v>
      </c>
      <c r="V418" s="14"/>
      <c r="W418" s="15">
        <f t="shared" si="119"/>
        <v>163.2</v>
      </c>
      <c r="X418" s="13">
        <f>IFERROR(W418/W446, "NA")</f>
        <v>-0.001859570945</v>
      </c>
      <c r="Y418" s="14"/>
      <c r="Z418" s="12">
        <v>-313.15</v>
      </c>
      <c r="AA418" s="13">
        <f>IFERROR(Z418/Z446, "NA")</f>
        <v>-0.0003486501239</v>
      </c>
      <c r="AB418" s="14"/>
      <c r="AC418" s="15">
        <f t="shared" si="120"/>
        <v>-149.95</v>
      </c>
      <c r="AD418" s="13">
        <f>IFERROR(AC418/AC446, "NA")</f>
        <v>0.008480102157</v>
      </c>
    </row>
    <row r="419" ht="16.5" hidden="1" customHeight="1">
      <c r="A419" s="11" t="s">
        <v>387</v>
      </c>
      <c r="B419" s="12">
        <v>0.0</v>
      </c>
      <c r="C419" s="13">
        <f>IFERROR(B419/B446, "NA")</f>
        <v>0</v>
      </c>
      <c r="D419" s="14"/>
      <c r="E419" s="12">
        <v>0.0</v>
      </c>
      <c r="F419" s="13">
        <f>IFERROR(E419/E446, "NA")</f>
        <v>0</v>
      </c>
      <c r="G419" s="14"/>
      <c r="H419" s="15">
        <f t="shared" si="117"/>
        <v>0</v>
      </c>
      <c r="I419" s="13">
        <f>IFERROR(H419/H446, "NA")</f>
        <v>0</v>
      </c>
      <c r="J419" s="14"/>
      <c r="K419" s="12">
        <v>0.0</v>
      </c>
      <c r="L419" s="13">
        <f>IFERROR(K419/K446, "NA")</f>
        <v>0</v>
      </c>
      <c r="M419" s="14"/>
      <c r="N419" s="15">
        <f t="shared" si="118"/>
        <v>0</v>
      </c>
      <c r="O419" s="13">
        <f>IFERROR(N419/N446, "NA")</f>
        <v>0</v>
      </c>
      <c r="P419" s="14"/>
      <c r="Q419" s="12">
        <v>0.0</v>
      </c>
      <c r="R419" s="13">
        <f>IFERROR(Q419/Q446, "NA")</f>
        <v>0</v>
      </c>
      <c r="S419" s="14"/>
      <c r="T419" s="12">
        <v>0.0</v>
      </c>
      <c r="U419" s="13">
        <f>IFERROR(T419/T446, "NA")</f>
        <v>0</v>
      </c>
      <c r="V419" s="14"/>
      <c r="W419" s="15">
        <f t="shared" si="119"/>
        <v>0</v>
      </c>
      <c r="X419" s="13">
        <f>IFERROR(W419/W446, "NA")</f>
        <v>0</v>
      </c>
      <c r="Y419" s="14"/>
      <c r="Z419" s="12">
        <v>0.0</v>
      </c>
      <c r="AA419" s="13">
        <f>IFERROR(Z419/Z446, "NA")</f>
        <v>0</v>
      </c>
      <c r="AB419" s="14"/>
      <c r="AC419" s="15">
        <f t="shared" si="120"/>
        <v>0</v>
      </c>
      <c r="AD419" s="13">
        <f>IFERROR(AC419/AC446, "NA")</f>
        <v>0</v>
      </c>
    </row>
    <row r="420" ht="16.5" hidden="1" customHeight="1">
      <c r="A420" s="11" t="s">
        <v>388</v>
      </c>
      <c r="B420" s="12">
        <v>0.0</v>
      </c>
      <c r="C420" s="13">
        <f>IFERROR(B420/B446, "NA")</f>
        <v>0</v>
      </c>
      <c r="D420" s="14"/>
      <c r="E420" s="12">
        <v>0.0</v>
      </c>
      <c r="F420" s="13">
        <f>IFERROR(E420/E446, "NA")</f>
        <v>0</v>
      </c>
      <c r="G420" s="14"/>
      <c r="H420" s="15">
        <f t="shared" si="117"/>
        <v>0</v>
      </c>
      <c r="I420" s="13">
        <f>IFERROR(H420/H446, "NA")</f>
        <v>0</v>
      </c>
      <c r="J420" s="14"/>
      <c r="K420" s="12">
        <v>0.0</v>
      </c>
      <c r="L420" s="13">
        <f>IFERROR(K420/K446, "NA")</f>
        <v>0</v>
      </c>
      <c r="M420" s="14"/>
      <c r="N420" s="15">
        <f t="shared" si="118"/>
        <v>0</v>
      </c>
      <c r="O420" s="13">
        <f>IFERROR(N420/N446, "NA")</f>
        <v>0</v>
      </c>
      <c r="P420" s="14"/>
      <c r="Q420" s="12">
        <v>0.0</v>
      </c>
      <c r="R420" s="13">
        <f>IFERROR(Q420/Q446, "NA")</f>
        <v>0</v>
      </c>
      <c r="S420" s="14"/>
      <c r="T420" s="12">
        <v>0.0</v>
      </c>
      <c r="U420" s="13">
        <f>IFERROR(T420/T446, "NA")</f>
        <v>0</v>
      </c>
      <c r="V420" s="14"/>
      <c r="W420" s="15">
        <f t="shared" si="119"/>
        <v>0</v>
      </c>
      <c r="X420" s="13">
        <f>IFERROR(W420/W446, "NA")</f>
        <v>0</v>
      </c>
      <c r="Y420" s="14"/>
      <c r="Z420" s="12">
        <v>0.0</v>
      </c>
      <c r="AA420" s="13">
        <f>IFERROR(Z420/Z446, "NA")</f>
        <v>0</v>
      </c>
      <c r="AB420" s="14"/>
      <c r="AC420" s="15">
        <f t="shared" si="120"/>
        <v>0</v>
      </c>
      <c r="AD420" s="13">
        <f>IFERROR(AC420/AC446, "NA")</f>
        <v>0</v>
      </c>
    </row>
    <row r="421" ht="16.5" hidden="1" customHeight="1">
      <c r="A421" s="11" t="s">
        <v>389</v>
      </c>
      <c r="B421" s="12">
        <v>0.0</v>
      </c>
      <c r="C421" s="13">
        <f>IFERROR(B421/B446, "NA")</f>
        <v>0</v>
      </c>
      <c r="D421" s="14"/>
      <c r="E421" s="12">
        <v>0.0</v>
      </c>
      <c r="F421" s="13">
        <f>IFERROR(E421/E446, "NA")</f>
        <v>0</v>
      </c>
      <c r="G421" s="14"/>
      <c r="H421" s="15">
        <f t="shared" si="117"/>
        <v>0</v>
      </c>
      <c r="I421" s="13">
        <f>IFERROR(H421/H446, "NA")</f>
        <v>0</v>
      </c>
      <c r="J421" s="14"/>
      <c r="K421" s="12">
        <v>0.0</v>
      </c>
      <c r="L421" s="13">
        <f>IFERROR(K421/K446, "NA")</f>
        <v>0</v>
      </c>
      <c r="M421" s="14"/>
      <c r="N421" s="15">
        <f t="shared" si="118"/>
        <v>0</v>
      </c>
      <c r="O421" s="13">
        <f>IFERROR(N421/N446, "NA")</f>
        <v>0</v>
      </c>
      <c r="P421" s="14"/>
      <c r="Q421" s="12">
        <v>0.0</v>
      </c>
      <c r="R421" s="13">
        <f>IFERROR(Q421/Q446, "NA")</f>
        <v>0</v>
      </c>
      <c r="S421" s="14"/>
      <c r="T421" s="12">
        <v>0.0</v>
      </c>
      <c r="U421" s="13">
        <f>IFERROR(T421/T446, "NA")</f>
        <v>0</v>
      </c>
      <c r="V421" s="14"/>
      <c r="W421" s="15">
        <f t="shared" si="119"/>
        <v>0</v>
      </c>
      <c r="X421" s="13">
        <f>IFERROR(W421/W446, "NA")</f>
        <v>0</v>
      </c>
      <c r="Y421" s="14"/>
      <c r="Z421" s="12">
        <v>0.0</v>
      </c>
      <c r="AA421" s="13">
        <f>IFERROR(Z421/Z446, "NA")</f>
        <v>0</v>
      </c>
      <c r="AB421" s="14"/>
      <c r="AC421" s="15">
        <f t="shared" si="120"/>
        <v>0</v>
      </c>
      <c r="AD421" s="13">
        <f>IFERROR(AC421/AC446, "NA")</f>
        <v>0</v>
      </c>
    </row>
    <row r="422" ht="16.5" hidden="1" customHeight="1">
      <c r="A422" s="11" t="s">
        <v>390</v>
      </c>
      <c r="B422" s="12">
        <v>0.0</v>
      </c>
      <c r="C422" s="13">
        <f>IFERROR(B422/B446, "NA")</f>
        <v>0</v>
      </c>
      <c r="D422" s="14"/>
      <c r="E422" s="12">
        <v>0.0</v>
      </c>
      <c r="F422" s="13">
        <f>IFERROR(E422/E446, "NA")</f>
        <v>0</v>
      </c>
      <c r="G422" s="14"/>
      <c r="H422" s="15">
        <f t="shared" si="117"/>
        <v>0</v>
      </c>
      <c r="I422" s="13">
        <f>IFERROR(H422/H446, "NA")</f>
        <v>0</v>
      </c>
      <c r="J422" s="14"/>
      <c r="K422" s="12">
        <v>0.0</v>
      </c>
      <c r="L422" s="13">
        <f>IFERROR(K422/K446, "NA")</f>
        <v>0</v>
      </c>
      <c r="M422" s="14"/>
      <c r="N422" s="15">
        <f t="shared" si="118"/>
        <v>0</v>
      </c>
      <c r="O422" s="13">
        <f>IFERROR(N422/N446, "NA")</f>
        <v>0</v>
      </c>
      <c r="P422" s="14"/>
      <c r="Q422" s="12">
        <v>0.0</v>
      </c>
      <c r="R422" s="13">
        <f>IFERROR(Q422/Q446, "NA")</f>
        <v>0</v>
      </c>
      <c r="S422" s="14"/>
      <c r="T422" s="12">
        <v>0.0</v>
      </c>
      <c r="U422" s="13">
        <f>IFERROR(T422/T446, "NA")</f>
        <v>0</v>
      </c>
      <c r="V422" s="14"/>
      <c r="W422" s="15">
        <f t="shared" si="119"/>
        <v>0</v>
      </c>
      <c r="X422" s="13">
        <f>IFERROR(W422/W446, "NA")</f>
        <v>0</v>
      </c>
      <c r="Y422" s="14"/>
      <c r="Z422" s="12">
        <v>0.0</v>
      </c>
      <c r="AA422" s="13">
        <f>IFERROR(Z422/Z446, "NA")</f>
        <v>0</v>
      </c>
      <c r="AB422" s="14"/>
      <c r="AC422" s="15">
        <f t="shared" si="120"/>
        <v>0</v>
      </c>
      <c r="AD422" s="13">
        <f>IFERROR(AC422/AC446, "NA")</f>
        <v>0</v>
      </c>
    </row>
    <row r="423" ht="16.5" hidden="1" customHeight="1">
      <c r="A423" s="11" t="s">
        <v>391</v>
      </c>
      <c r="B423" s="12">
        <v>0.0</v>
      </c>
      <c r="C423" s="13">
        <f>IFERROR(B423/B446, "NA")</f>
        <v>0</v>
      </c>
      <c r="D423" s="14"/>
      <c r="E423" s="12">
        <v>0.0</v>
      </c>
      <c r="F423" s="13">
        <f>IFERROR(E423/E446, "NA")</f>
        <v>0</v>
      </c>
      <c r="G423" s="14"/>
      <c r="H423" s="15">
        <f t="shared" si="117"/>
        <v>0</v>
      </c>
      <c r="I423" s="13">
        <f>IFERROR(H423/H446, "NA")</f>
        <v>0</v>
      </c>
      <c r="J423" s="14"/>
      <c r="K423" s="12">
        <v>0.0</v>
      </c>
      <c r="L423" s="13">
        <f>IFERROR(K423/K446, "NA")</f>
        <v>0</v>
      </c>
      <c r="M423" s="14"/>
      <c r="N423" s="15">
        <f t="shared" si="118"/>
        <v>0</v>
      </c>
      <c r="O423" s="13">
        <f>IFERROR(N423/N446, "NA")</f>
        <v>0</v>
      </c>
      <c r="P423" s="14"/>
      <c r="Q423" s="12">
        <v>0.0</v>
      </c>
      <c r="R423" s="13">
        <f>IFERROR(Q423/Q446, "NA")</f>
        <v>0</v>
      </c>
      <c r="S423" s="14"/>
      <c r="T423" s="12">
        <v>0.0</v>
      </c>
      <c r="U423" s="13">
        <f>IFERROR(T423/T446, "NA")</f>
        <v>0</v>
      </c>
      <c r="V423" s="14"/>
      <c r="W423" s="15">
        <f t="shared" si="119"/>
        <v>0</v>
      </c>
      <c r="X423" s="13">
        <f>IFERROR(W423/W446, "NA")</f>
        <v>0</v>
      </c>
      <c r="Y423" s="14"/>
      <c r="Z423" s="12">
        <v>0.0</v>
      </c>
      <c r="AA423" s="13">
        <f>IFERROR(Z423/Z446, "NA")</f>
        <v>0</v>
      </c>
      <c r="AB423" s="14"/>
      <c r="AC423" s="15">
        <f t="shared" si="120"/>
        <v>0</v>
      </c>
      <c r="AD423" s="13">
        <f>IFERROR(AC423/AC446, "NA")</f>
        <v>0</v>
      </c>
    </row>
    <row r="424" ht="16.5" hidden="1" customHeight="1">
      <c r="A424" s="11" t="s">
        <v>392</v>
      </c>
      <c r="B424" s="12">
        <v>0.0</v>
      </c>
      <c r="C424" s="13">
        <f>IFERROR(B424/B446, "NA")</f>
        <v>0</v>
      </c>
      <c r="D424" s="14"/>
      <c r="E424" s="12">
        <v>0.0</v>
      </c>
      <c r="F424" s="13">
        <f>IFERROR(E424/E446, "NA")</f>
        <v>0</v>
      </c>
      <c r="G424" s="14"/>
      <c r="H424" s="15">
        <f t="shared" si="117"/>
        <v>0</v>
      </c>
      <c r="I424" s="13">
        <f>IFERROR(H424/H446, "NA")</f>
        <v>0</v>
      </c>
      <c r="J424" s="14"/>
      <c r="K424" s="12">
        <v>0.0</v>
      </c>
      <c r="L424" s="13">
        <f>IFERROR(K424/K446, "NA")</f>
        <v>0</v>
      </c>
      <c r="M424" s="14"/>
      <c r="N424" s="15">
        <f t="shared" si="118"/>
        <v>0</v>
      </c>
      <c r="O424" s="13">
        <f>IFERROR(N424/N446, "NA")</f>
        <v>0</v>
      </c>
      <c r="P424" s="14"/>
      <c r="Q424" s="12">
        <v>0.0</v>
      </c>
      <c r="R424" s="13">
        <f>IFERROR(Q424/Q446, "NA")</f>
        <v>0</v>
      </c>
      <c r="S424" s="14"/>
      <c r="T424" s="12">
        <v>0.0</v>
      </c>
      <c r="U424" s="13">
        <f>IFERROR(T424/T446, "NA")</f>
        <v>0</v>
      </c>
      <c r="V424" s="14"/>
      <c r="W424" s="15">
        <f t="shared" si="119"/>
        <v>0</v>
      </c>
      <c r="X424" s="13">
        <f>IFERROR(W424/W446, "NA")</f>
        <v>0</v>
      </c>
      <c r="Y424" s="14"/>
      <c r="Z424" s="12">
        <v>0.0</v>
      </c>
      <c r="AA424" s="13">
        <f>IFERROR(Z424/Z446, "NA")</f>
        <v>0</v>
      </c>
      <c r="AB424" s="14"/>
      <c r="AC424" s="15">
        <f t="shared" si="120"/>
        <v>0</v>
      </c>
      <c r="AD424" s="13">
        <f>IFERROR(AC424/AC446, "NA")</f>
        <v>0</v>
      </c>
    </row>
    <row r="425" ht="16.5" hidden="1" customHeight="1">
      <c r="A425" s="11" t="s">
        <v>393</v>
      </c>
      <c r="B425" s="12">
        <v>0.0</v>
      </c>
      <c r="C425" s="13">
        <f>IFERROR(B425/B446, "NA")</f>
        <v>0</v>
      </c>
      <c r="D425" s="14"/>
      <c r="E425" s="12">
        <v>0.0</v>
      </c>
      <c r="F425" s="13">
        <f>IFERROR(E425/E446, "NA")</f>
        <v>0</v>
      </c>
      <c r="G425" s="14"/>
      <c r="H425" s="15">
        <f t="shared" si="117"/>
        <v>0</v>
      </c>
      <c r="I425" s="13">
        <f>IFERROR(H425/H446, "NA")</f>
        <v>0</v>
      </c>
      <c r="J425" s="14"/>
      <c r="K425" s="12">
        <v>0.0</v>
      </c>
      <c r="L425" s="13">
        <f>IFERROR(K425/K446, "NA")</f>
        <v>0</v>
      </c>
      <c r="M425" s="14"/>
      <c r="N425" s="15">
        <f t="shared" si="118"/>
        <v>0</v>
      </c>
      <c r="O425" s="13">
        <f>IFERROR(N425/N446, "NA")</f>
        <v>0</v>
      </c>
      <c r="P425" s="14"/>
      <c r="Q425" s="12">
        <v>0.0</v>
      </c>
      <c r="R425" s="13">
        <f>IFERROR(Q425/Q446, "NA")</f>
        <v>0</v>
      </c>
      <c r="S425" s="14"/>
      <c r="T425" s="12">
        <v>0.0</v>
      </c>
      <c r="U425" s="13">
        <f>IFERROR(T425/T446, "NA")</f>
        <v>0</v>
      </c>
      <c r="V425" s="14"/>
      <c r="W425" s="15">
        <f t="shared" si="119"/>
        <v>0</v>
      </c>
      <c r="X425" s="13">
        <f>IFERROR(W425/W446, "NA")</f>
        <v>0</v>
      </c>
      <c r="Y425" s="14"/>
      <c r="Z425" s="12">
        <v>0.0</v>
      </c>
      <c r="AA425" s="13">
        <f>IFERROR(Z425/Z446, "NA")</f>
        <v>0</v>
      </c>
      <c r="AB425" s="14"/>
      <c r="AC425" s="15">
        <f t="shared" si="120"/>
        <v>0</v>
      </c>
      <c r="AD425" s="13">
        <f>IFERROR(AC425/AC446, "NA")</f>
        <v>0</v>
      </c>
    </row>
    <row r="426" ht="16.5" hidden="1" customHeight="1">
      <c r="A426" s="11" t="s">
        <v>394</v>
      </c>
      <c r="B426" s="12">
        <v>0.0</v>
      </c>
      <c r="C426" s="13">
        <f>IFERROR(B426/B446, "NA")</f>
        <v>0</v>
      </c>
      <c r="D426" s="14"/>
      <c r="E426" s="12">
        <v>0.0</v>
      </c>
      <c r="F426" s="13">
        <f>IFERROR(E426/E446, "NA")</f>
        <v>0</v>
      </c>
      <c r="G426" s="14"/>
      <c r="H426" s="15">
        <f t="shared" si="117"/>
        <v>0</v>
      </c>
      <c r="I426" s="13">
        <f>IFERROR(H426/H446, "NA")</f>
        <v>0</v>
      </c>
      <c r="J426" s="14"/>
      <c r="K426" s="12">
        <v>0.0</v>
      </c>
      <c r="L426" s="13">
        <f>IFERROR(K426/K446, "NA")</f>
        <v>0</v>
      </c>
      <c r="M426" s="14"/>
      <c r="N426" s="15">
        <f t="shared" si="118"/>
        <v>0</v>
      </c>
      <c r="O426" s="13">
        <f>IFERROR(N426/N446, "NA")</f>
        <v>0</v>
      </c>
      <c r="P426" s="14"/>
      <c r="Q426" s="12">
        <v>0.0</v>
      </c>
      <c r="R426" s="13">
        <f>IFERROR(Q426/Q446, "NA")</f>
        <v>0</v>
      </c>
      <c r="S426" s="14"/>
      <c r="T426" s="12">
        <v>0.0</v>
      </c>
      <c r="U426" s="13">
        <f>IFERROR(T426/T446, "NA")</f>
        <v>0</v>
      </c>
      <c r="V426" s="14"/>
      <c r="W426" s="15">
        <f t="shared" si="119"/>
        <v>0</v>
      </c>
      <c r="X426" s="13">
        <f>IFERROR(W426/W446, "NA")</f>
        <v>0</v>
      </c>
      <c r="Y426" s="14"/>
      <c r="Z426" s="12">
        <v>0.0</v>
      </c>
      <c r="AA426" s="13">
        <f>IFERROR(Z426/Z446, "NA")</f>
        <v>0</v>
      </c>
      <c r="AB426" s="14"/>
      <c r="AC426" s="15">
        <f t="shared" si="120"/>
        <v>0</v>
      </c>
      <c r="AD426" s="13">
        <f>IFERROR(AC426/AC446, "NA")</f>
        <v>0</v>
      </c>
    </row>
    <row r="427" ht="16.5" hidden="1" customHeight="1">
      <c r="A427" s="11" t="s">
        <v>395</v>
      </c>
      <c r="B427" s="12">
        <v>0.0</v>
      </c>
      <c r="C427" s="13">
        <f>IFERROR(B427/B446, "NA")</f>
        <v>0</v>
      </c>
      <c r="D427" s="14"/>
      <c r="E427" s="12">
        <v>0.0</v>
      </c>
      <c r="F427" s="13">
        <f>IFERROR(E427/E446, "NA")</f>
        <v>0</v>
      </c>
      <c r="G427" s="14"/>
      <c r="H427" s="15">
        <f t="shared" si="117"/>
        <v>0</v>
      </c>
      <c r="I427" s="13">
        <f>IFERROR(H427/H446, "NA")</f>
        <v>0</v>
      </c>
      <c r="J427" s="14"/>
      <c r="K427" s="12">
        <v>0.0</v>
      </c>
      <c r="L427" s="13">
        <f>IFERROR(K427/K446, "NA")</f>
        <v>0</v>
      </c>
      <c r="M427" s="14"/>
      <c r="N427" s="15">
        <f t="shared" si="118"/>
        <v>0</v>
      </c>
      <c r="O427" s="13">
        <f>IFERROR(N427/N446, "NA")</f>
        <v>0</v>
      </c>
      <c r="P427" s="14"/>
      <c r="Q427" s="12">
        <v>0.0</v>
      </c>
      <c r="R427" s="13">
        <f>IFERROR(Q427/Q446, "NA")</f>
        <v>0</v>
      </c>
      <c r="S427" s="14"/>
      <c r="T427" s="12">
        <v>0.0</v>
      </c>
      <c r="U427" s="13">
        <f>IFERROR(T427/T446, "NA")</f>
        <v>0</v>
      </c>
      <c r="V427" s="14"/>
      <c r="W427" s="15">
        <f t="shared" si="119"/>
        <v>0</v>
      </c>
      <c r="X427" s="13">
        <f>IFERROR(W427/W446, "NA")</f>
        <v>0</v>
      </c>
      <c r="Y427" s="14"/>
      <c r="Z427" s="12">
        <v>0.0</v>
      </c>
      <c r="AA427" s="13">
        <f>IFERROR(Z427/Z446, "NA")</f>
        <v>0</v>
      </c>
      <c r="AB427" s="14"/>
      <c r="AC427" s="15">
        <f t="shared" si="120"/>
        <v>0</v>
      </c>
      <c r="AD427" s="13">
        <f>IFERROR(AC427/AC446, "NA")</f>
        <v>0</v>
      </c>
    </row>
    <row r="428" ht="16.5" hidden="1" customHeight="1">
      <c r="A428" s="11" t="s">
        <v>396</v>
      </c>
      <c r="B428" s="12">
        <v>0.0</v>
      </c>
      <c r="C428" s="13">
        <f>IFERROR(B428/B446, "NA")</f>
        <v>0</v>
      </c>
      <c r="D428" s="14"/>
      <c r="E428" s="12">
        <v>0.0</v>
      </c>
      <c r="F428" s="13">
        <f>IFERROR(E428/E446, "NA")</f>
        <v>0</v>
      </c>
      <c r="G428" s="14"/>
      <c r="H428" s="15">
        <f t="shared" si="117"/>
        <v>0</v>
      </c>
      <c r="I428" s="13">
        <f>IFERROR(H428/H446, "NA")</f>
        <v>0</v>
      </c>
      <c r="J428" s="14"/>
      <c r="K428" s="12">
        <v>0.0</v>
      </c>
      <c r="L428" s="13">
        <f>IFERROR(K428/K446, "NA")</f>
        <v>0</v>
      </c>
      <c r="M428" s="14"/>
      <c r="N428" s="15">
        <f t="shared" si="118"/>
        <v>0</v>
      </c>
      <c r="O428" s="13">
        <f>IFERROR(N428/N446, "NA")</f>
        <v>0</v>
      </c>
      <c r="P428" s="14"/>
      <c r="Q428" s="12">
        <v>0.0</v>
      </c>
      <c r="R428" s="13">
        <f>IFERROR(Q428/Q446, "NA")</f>
        <v>0</v>
      </c>
      <c r="S428" s="14"/>
      <c r="T428" s="12">
        <v>0.0</v>
      </c>
      <c r="U428" s="13">
        <f>IFERROR(T428/T446, "NA")</f>
        <v>0</v>
      </c>
      <c r="V428" s="14"/>
      <c r="W428" s="15">
        <f t="shared" si="119"/>
        <v>0</v>
      </c>
      <c r="X428" s="13">
        <f>IFERROR(W428/W446, "NA")</f>
        <v>0</v>
      </c>
      <c r="Y428" s="14"/>
      <c r="Z428" s="12">
        <v>0.0</v>
      </c>
      <c r="AA428" s="13">
        <f>IFERROR(Z428/Z446, "NA")</f>
        <v>0</v>
      </c>
      <c r="AB428" s="14"/>
      <c r="AC428" s="15">
        <f t="shared" si="120"/>
        <v>0</v>
      </c>
      <c r="AD428" s="13">
        <f>IFERROR(AC428/AC446, "NA")</f>
        <v>0</v>
      </c>
    </row>
    <row r="429" ht="16.5" hidden="1" customHeight="1">
      <c r="A429" s="11" t="s">
        <v>397</v>
      </c>
      <c r="B429" s="12">
        <v>0.0</v>
      </c>
      <c r="C429" s="13">
        <f>IFERROR(B429/B446, "NA")</f>
        <v>0</v>
      </c>
      <c r="D429" s="14"/>
      <c r="E429" s="12">
        <v>0.0</v>
      </c>
      <c r="F429" s="13">
        <f>IFERROR(E429/E446, "NA")</f>
        <v>0</v>
      </c>
      <c r="G429" s="14"/>
      <c r="H429" s="15">
        <f t="shared" si="117"/>
        <v>0</v>
      </c>
      <c r="I429" s="13">
        <f>IFERROR(H429/H446, "NA")</f>
        <v>0</v>
      </c>
      <c r="J429" s="14"/>
      <c r="K429" s="12">
        <v>0.0</v>
      </c>
      <c r="L429" s="13">
        <f>IFERROR(K429/K446, "NA")</f>
        <v>0</v>
      </c>
      <c r="M429" s="14"/>
      <c r="N429" s="15">
        <f t="shared" si="118"/>
        <v>0</v>
      </c>
      <c r="O429" s="13">
        <f>IFERROR(N429/N446, "NA")</f>
        <v>0</v>
      </c>
      <c r="P429" s="14"/>
      <c r="Q429" s="12">
        <v>0.0</v>
      </c>
      <c r="R429" s="13">
        <f>IFERROR(Q429/Q446, "NA")</f>
        <v>0</v>
      </c>
      <c r="S429" s="14"/>
      <c r="T429" s="12">
        <v>0.0</v>
      </c>
      <c r="U429" s="13">
        <f>IFERROR(T429/T446, "NA")</f>
        <v>0</v>
      </c>
      <c r="V429" s="14"/>
      <c r="W429" s="15">
        <f t="shared" si="119"/>
        <v>0</v>
      </c>
      <c r="X429" s="13">
        <f>IFERROR(W429/W446, "NA")</f>
        <v>0</v>
      </c>
      <c r="Y429" s="14"/>
      <c r="Z429" s="12">
        <v>0.0</v>
      </c>
      <c r="AA429" s="13">
        <f>IFERROR(Z429/Z446, "NA")</f>
        <v>0</v>
      </c>
      <c r="AB429" s="14"/>
      <c r="AC429" s="15">
        <f t="shared" si="120"/>
        <v>0</v>
      </c>
      <c r="AD429" s="13">
        <f>IFERROR(AC429/AC446, "NA")</f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10687.72</v>
      </c>
      <c r="C430" s="18">
        <f>IFERROR(B430/B446, "NA")</f>
        <v>0.1079952423</v>
      </c>
      <c r="D430" s="8"/>
      <c r="E430" s="17">
        <f>IFERROR(E408+E409+E410+E411+E412+E413+E414+E415+E416+E417+E418+E419+E420+E421+E422+E423+E424+E425+E426+E427+E428+E429, "NA")</f>
        <v>11152.24</v>
      </c>
      <c r="F430" s="18">
        <f>IFERROR(E430/E446, "NA")</f>
        <v>0.1103531313</v>
      </c>
      <c r="G430" s="8"/>
      <c r="H430" s="17">
        <f t="shared" si="117"/>
        <v>464.52</v>
      </c>
      <c r="I430" s="18">
        <f>IFERROR(H430/H446, "NA")</f>
        <v>-0.2217448588</v>
      </c>
      <c r="J430" s="8"/>
      <c r="K430" s="17">
        <f>IFERROR(K408+K409+K410+K411+K412+K413+K414+K415+K416+K417+K418+K419+K420+K421+K422+K423+K424+K425+K426+K427+K428+K429, "NA")</f>
        <v>10215.01</v>
      </c>
      <c r="L430" s="18">
        <f>IFERROR(K430/K446, "NA")</f>
        <v>0.1103530982</v>
      </c>
      <c r="M430" s="8"/>
      <c r="N430" s="17">
        <f t="shared" si="118"/>
        <v>-472.71</v>
      </c>
      <c r="O430" s="18">
        <f>IFERROR(N430/N446, "NA")</f>
        <v>-0.07388240958</v>
      </c>
      <c r="P430" s="8"/>
      <c r="Q430" s="17">
        <f>IFERROR(Q408+Q409+Q410+Q411+Q412+Q413+Q414+Q415+Q416+Q417+Q418+Q419+Q420+Q421+Q422+Q423+Q424+Q425+Q426+Q427+Q428+Q429, "NA")</f>
        <v>85447.17</v>
      </c>
      <c r="R430" s="18">
        <f>IFERROR(Q430/Q446, "NA")</f>
        <v>0.09704438113</v>
      </c>
      <c r="S430" s="8"/>
      <c r="T430" s="17">
        <f>IFERROR(T408+T409+T410+T411+T412+T413+T414+T415+T416+T417+T418+T419+T420+T421+T422+T423+T424+T425+T426+T427+T428+T429, "NA")</f>
        <v>85126.72</v>
      </c>
      <c r="U430" s="18">
        <f>IFERROR(T430/T446, "NA")</f>
        <v>0.08791739573</v>
      </c>
      <c r="V430" s="8"/>
      <c r="W430" s="17">
        <f t="shared" si="119"/>
        <v>-320.45</v>
      </c>
      <c r="X430" s="18">
        <f>IFERROR(W430/W446, "NA")</f>
        <v>0.003651345033</v>
      </c>
      <c r="Y430" s="8"/>
      <c r="Z430" s="17">
        <f>IFERROR(Z408+Z409+Z410+Z411+Z412+Z413+Z414+Z415+Z416+Z417+Z418+Z419+Z420+Z421+Z422+Z423+Z424+Z425+Z426+Z427+Z428+Z429, "NA")</f>
        <v>79079.08</v>
      </c>
      <c r="AA430" s="18">
        <f>IFERROR(Z430/Z446, "NA")</f>
        <v>0.08804384813</v>
      </c>
      <c r="AB430" s="8"/>
      <c r="AC430" s="17">
        <f t="shared" si="120"/>
        <v>-6368.09</v>
      </c>
      <c r="AD430" s="18">
        <f>IFERROR(AC430/AC446, "NA")</f>
        <v>0.3601337362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10687.72</v>
      </c>
      <c r="C431" s="18">
        <f>IFERROR(B431/B446, "NA")</f>
        <v>0.1079952423</v>
      </c>
      <c r="D431" s="8"/>
      <c r="E431" s="17">
        <f>IFERROR(E408+E409+E410+E411+E412+E413+E414+E415+E416+E417+E418+E419+E420+E421+E422+E423+E424+E425+E426+E427+E428+E429, "NA")</f>
        <v>11152.24</v>
      </c>
      <c r="F431" s="18">
        <f>IFERROR(E431/E446, "NA")</f>
        <v>0.1103531313</v>
      </c>
      <c r="G431" s="8"/>
      <c r="H431" s="17">
        <f t="shared" si="117"/>
        <v>464.52</v>
      </c>
      <c r="I431" s="18">
        <f>IFERROR(H431/H446, "NA")</f>
        <v>-0.2217448588</v>
      </c>
      <c r="J431" s="8"/>
      <c r="K431" s="17">
        <f>IFERROR(K408+K409+K410+K411+K412+K413+K414+K415+K416+K417+K418+K419+K420+K421+K422+K423+K424+K425+K426+K427+K428+K429, "NA")</f>
        <v>10215.01</v>
      </c>
      <c r="L431" s="18">
        <f>IFERROR(K431/K446, "NA")</f>
        <v>0.1103530982</v>
      </c>
      <c r="M431" s="8"/>
      <c r="N431" s="17">
        <f t="shared" si="118"/>
        <v>-472.71</v>
      </c>
      <c r="O431" s="18">
        <f>IFERROR(N431/N446, "NA")</f>
        <v>-0.07388240958</v>
      </c>
      <c r="P431" s="8"/>
      <c r="Q431" s="17">
        <f>IFERROR(Q408+Q409+Q410+Q411+Q412+Q413+Q414+Q415+Q416+Q417+Q418+Q419+Q420+Q421+Q422+Q423+Q424+Q425+Q426+Q427+Q428+Q429, "NA")</f>
        <v>85447.17</v>
      </c>
      <c r="R431" s="18">
        <f>IFERROR(Q431/Q446, "NA")</f>
        <v>0.09704438113</v>
      </c>
      <c r="S431" s="8"/>
      <c r="T431" s="17">
        <f>IFERROR(T408+T409+T410+T411+T412+T413+T414+T415+T416+T417+T418+T419+T420+T421+T422+T423+T424+T425+T426+T427+T428+T429, "NA")</f>
        <v>85126.72</v>
      </c>
      <c r="U431" s="18">
        <f>IFERROR(T431/T446, "NA")</f>
        <v>0.08791739573</v>
      </c>
      <c r="V431" s="8"/>
      <c r="W431" s="17">
        <f t="shared" si="119"/>
        <v>-320.45</v>
      </c>
      <c r="X431" s="18">
        <f>IFERROR(W431/W446, "NA")</f>
        <v>0.003651345033</v>
      </c>
      <c r="Y431" s="8"/>
      <c r="Z431" s="17">
        <f>IFERROR(Z408+Z409+Z410+Z411+Z412+Z413+Z414+Z415+Z416+Z417+Z418+Z419+Z420+Z421+Z422+Z423+Z424+Z425+Z426+Z427+Z428+Z429, "NA")</f>
        <v>79079.08</v>
      </c>
      <c r="AA431" s="18">
        <f>IFERROR(Z431/Z446, "NA")</f>
        <v>0.08804384813</v>
      </c>
      <c r="AB431" s="8"/>
      <c r="AC431" s="17">
        <f t="shared" si="120"/>
        <v>-6368.09</v>
      </c>
      <c r="AD431" s="18">
        <f>IFERROR(AC431/AC446, "NA")</f>
        <v>0.3601337362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t="16.5" hidden="1" customHeight="1">
      <c r="A434" s="11" t="s">
        <v>401</v>
      </c>
      <c r="B434" s="12">
        <v>0.0</v>
      </c>
      <c r="C434" s="13">
        <f>IFERROR(B434/B446, "NA")</f>
        <v>0</v>
      </c>
      <c r="D434" s="14"/>
      <c r="E434" s="12">
        <v>0.0</v>
      </c>
      <c r="F434" s="13">
        <f>IFERROR(E434/E446, "NA")</f>
        <v>0</v>
      </c>
      <c r="G434" s="14"/>
      <c r="H434" s="15">
        <f t="shared" ref="H434:H444" si="121">IFERROR(-(B434-E434), "NA")</f>
        <v>0</v>
      </c>
      <c r="I434" s="13">
        <f>IFERROR(H434/H446, "NA")</f>
        <v>0</v>
      </c>
      <c r="J434" s="14"/>
      <c r="K434" s="12">
        <v>0.0</v>
      </c>
      <c r="L434" s="13">
        <f>IFERROR(K434/K446, "NA")</f>
        <v>0</v>
      </c>
      <c r="M434" s="14"/>
      <c r="N434" s="15">
        <f t="shared" ref="N434:N444" si="122">IFERROR(-(B434-K434), "NA")</f>
        <v>0</v>
      </c>
      <c r="O434" s="13">
        <f>IFERROR(N434/N446, "NA")</f>
        <v>0</v>
      </c>
      <c r="P434" s="14"/>
      <c r="Q434" s="12">
        <v>0.0</v>
      </c>
      <c r="R434" s="13">
        <f>IFERROR(Q434/Q446, "NA")</f>
        <v>0</v>
      </c>
      <c r="S434" s="14"/>
      <c r="T434" s="12">
        <v>0.0</v>
      </c>
      <c r="U434" s="13">
        <f>IFERROR(T434/T446, "NA")</f>
        <v>0</v>
      </c>
      <c r="V434" s="14"/>
      <c r="W434" s="15">
        <f t="shared" ref="W434:W444" si="123">IFERROR(-(Q434-T434), "NA")</f>
        <v>0</v>
      </c>
      <c r="X434" s="13">
        <f>IFERROR(W434/W446, "NA")</f>
        <v>0</v>
      </c>
      <c r="Y434" s="14"/>
      <c r="Z434" s="12">
        <v>0.0</v>
      </c>
      <c r="AA434" s="13">
        <f>IFERROR(Z434/Z446, "NA")</f>
        <v>0</v>
      </c>
      <c r="AB434" s="14"/>
      <c r="AC434" s="15">
        <f t="shared" ref="AC434:AC444" si="124">IFERROR(-(Q434-Z434), "NA")</f>
        <v>0</v>
      </c>
      <c r="AD434" s="13">
        <f>IFERROR(AC434/AC446, "NA")</f>
        <v>0</v>
      </c>
    </row>
    <row r="435" ht="16.5" hidden="1" customHeight="1">
      <c r="A435" s="11" t="s">
        <v>402</v>
      </c>
      <c r="B435" s="12">
        <v>0.0</v>
      </c>
      <c r="C435" s="13">
        <f>IFERROR(B435/B446, "NA")</f>
        <v>0</v>
      </c>
      <c r="D435" s="14"/>
      <c r="E435" s="12">
        <v>0.0</v>
      </c>
      <c r="F435" s="13">
        <f>IFERROR(E435/E446, "NA")</f>
        <v>0</v>
      </c>
      <c r="G435" s="14"/>
      <c r="H435" s="15">
        <f t="shared" si="121"/>
        <v>0</v>
      </c>
      <c r="I435" s="13">
        <f>IFERROR(H435/H446, "NA")</f>
        <v>0</v>
      </c>
      <c r="J435" s="14"/>
      <c r="K435" s="12">
        <v>0.0</v>
      </c>
      <c r="L435" s="13">
        <f>IFERROR(K435/K446, "NA")</f>
        <v>0</v>
      </c>
      <c r="M435" s="14"/>
      <c r="N435" s="15">
        <f t="shared" si="122"/>
        <v>0</v>
      </c>
      <c r="O435" s="13">
        <f>IFERROR(N435/N446, "NA")</f>
        <v>0</v>
      </c>
      <c r="P435" s="14"/>
      <c r="Q435" s="12">
        <v>0.0</v>
      </c>
      <c r="R435" s="13">
        <f>IFERROR(Q435/Q446, "NA")</f>
        <v>0</v>
      </c>
      <c r="S435" s="14"/>
      <c r="T435" s="12">
        <v>0.0</v>
      </c>
      <c r="U435" s="13">
        <f>IFERROR(T435/T446, "NA")</f>
        <v>0</v>
      </c>
      <c r="V435" s="14"/>
      <c r="W435" s="15">
        <f t="shared" si="123"/>
        <v>0</v>
      </c>
      <c r="X435" s="13">
        <f>IFERROR(W435/W446, "NA")</f>
        <v>0</v>
      </c>
      <c r="Y435" s="14"/>
      <c r="Z435" s="12">
        <v>0.0</v>
      </c>
      <c r="AA435" s="13">
        <f>IFERROR(Z435/Z446, "NA")</f>
        <v>0</v>
      </c>
      <c r="AB435" s="14"/>
      <c r="AC435" s="15">
        <f t="shared" si="124"/>
        <v>0</v>
      </c>
      <c r="AD435" s="13">
        <f>IFERROR(AC435/AC446, "NA")</f>
        <v>0</v>
      </c>
    </row>
    <row r="436" ht="16.5" hidden="1" customHeight="1">
      <c r="A436" s="11" t="s">
        <v>403</v>
      </c>
      <c r="B436" s="12">
        <v>0.0</v>
      </c>
      <c r="C436" s="13">
        <f>IFERROR(B436/B446, "NA")</f>
        <v>0</v>
      </c>
      <c r="D436" s="14"/>
      <c r="E436" s="12">
        <v>0.0</v>
      </c>
      <c r="F436" s="13">
        <f>IFERROR(E436/E446, "NA")</f>
        <v>0</v>
      </c>
      <c r="G436" s="14"/>
      <c r="H436" s="15">
        <f t="shared" si="121"/>
        <v>0</v>
      </c>
      <c r="I436" s="13">
        <f>IFERROR(H436/H446, "NA")</f>
        <v>0</v>
      </c>
      <c r="J436" s="14"/>
      <c r="K436" s="12">
        <v>0.0</v>
      </c>
      <c r="L436" s="13">
        <f>IFERROR(K436/K446, "NA")</f>
        <v>0</v>
      </c>
      <c r="M436" s="14"/>
      <c r="N436" s="15">
        <f t="shared" si="122"/>
        <v>0</v>
      </c>
      <c r="O436" s="13">
        <f>IFERROR(N436/N446, "NA")</f>
        <v>0</v>
      </c>
      <c r="P436" s="14"/>
      <c r="Q436" s="12">
        <v>0.0</v>
      </c>
      <c r="R436" s="13">
        <f>IFERROR(Q436/Q446, "NA")</f>
        <v>0</v>
      </c>
      <c r="S436" s="14"/>
      <c r="T436" s="12">
        <v>0.0</v>
      </c>
      <c r="U436" s="13">
        <f>IFERROR(T436/T446, "NA")</f>
        <v>0</v>
      </c>
      <c r="V436" s="14"/>
      <c r="W436" s="15">
        <f t="shared" si="123"/>
        <v>0</v>
      </c>
      <c r="X436" s="13">
        <f>IFERROR(W436/W446, "NA")</f>
        <v>0</v>
      </c>
      <c r="Y436" s="14"/>
      <c r="Z436" s="12">
        <v>0.0</v>
      </c>
      <c r="AA436" s="13">
        <f>IFERROR(Z436/Z446, "NA")</f>
        <v>0</v>
      </c>
      <c r="AB436" s="14"/>
      <c r="AC436" s="15">
        <f t="shared" si="124"/>
        <v>0</v>
      </c>
      <c r="AD436" s="13">
        <f>IFERROR(AC436/AC446, "NA")</f>
        <v>0</v>
      </c>
    </row>
    <row r="437" ht="16.5" hidden="1" customHeight="1">
      <c r="A437" s="11" t="s">
        <v>404</v>
      </c>
      <c r="B437" s="12">
        <v>0.0</v>
      </c>
      <c r="C437" s="13">
        <f>IFERROR(B437/B446, "NA")</f>
        <v>0</v>
      </c>
      <c r="D437" s="14"/>
      <c r="E437" s="12">
        <v>0.0</v>
      </c>
      <c r="F437" s="13">
        <f>IFERROR(E437/E446, "NA")</f>
        <v>0</v>
      </c>
      <c r="G437" s="14"/>
      <c r="H437" s="15">
        <f t="shared" si="121"/>
        <v>0</v>
      </c>
      <c r="I437" s="13">
        <f>IFERROR(H437/H446, "NA")</f>
        <v>0</v>
      </c>
      <c r="J437" s="14"/>
      <c r="K437" s="12">
        <v>0.0</v>
      </c>
      <c r="L437" s="13">
        <f>IFERROR(K437/K446, "NA")</f>
        <v>0</v>
      </c>
      <c r="M437" s="14"/>
      <c r="N437" s="15">
        <f t="shared" si="122"/>
        <v>0</v>
      </c>
      <c r="O437" s="13">
        <f>IFERROR(N437/N446, "NA")</f>
        <v>0</v>
      </c>
      <c r="P437" s="14"/>
      <c r="Q437" s="12">
        <v>0.0</v>
      </c>
      <c r="R437" s="13">
        <f>IFERROR(Q437/Q446, "NA")</f>
        <v>0</v>
      </c>
      <c r="S437" s="14"/>
      <c r="T437" s="12">
        <v>0.0</v>
      </c>
      <c r="U437" s="13">
        <f>IFERROR(T437/T446, "NA")</f>
        <v>0</v>
      </c>
      <c r="V437" s="14"/>
      <c r="W437" s="15">
        <f t="shared" si="123"/>
        <v>0</v>
      </c>
      <c r="X437" s="13">
        <f>IFERROR(W437/W446, "NA")</f>
        <v>0</v>
      </c>
      <c r="Y437" s="14"/>
      <c r="Z437" s="12">
        <v>0.0</v>
      </c>
      <c r="AA437" s="13">
        <f>IFERROR(Z437/Z446, "NA")</f>
        <v>0</v>
      </c>
      <c r="AB437" s="14"/>
      <c r="AC437" s="15">
        <f t="shared" si="124"/>
        <v>0</v>
      </c>
      <c r="AD437" s="13">
        <f>IFERROR(AC437/AC446, "NA")</f>
        <v>0</v>
      </c>
    </row>
    <row r="438" ht="16.5" hidden="1" customHeight="1">
      <c r="A438" s="11" t="s">
        <v>405</v>
      </c>
      <c r="B438" s="12">
        <v>0.0</v>
      </c>
      <c r="C438" s="13">
        <f>IFERROR(B438/B446, "NA")</f>
        <v>0</v>
      </c>
      <c r="D438" s="14"/>
      <c r="E438" s="12">
        <v>0.0</v>
      </c>
      <c r="F438" s="13">
        <f>IFERROR(E438/E446, "NA")</f>
        <v>0</v>
      </c>
      <c r="G438" s="14"/>
      <c r="H438" s="15">
        <f t="shared" si="121"/>
        <v>0</v>
      </c>
      <c r="I438" s="13">
        <f>IFERROR(H438/H446, "NA")</f>
        <v>0</v>
      </c>
      <c r="J438" s="14"/>
      <c r="K438" s="12">
        <v>0.0</v>
      </c>
      <c r="L438" s="13">
        <f>IFERROR(K438/K446, "NA")</f>
        <v>0</v>
      </c>
      <c r="M438" s="14"/>
      <c r="N438" s="15">
        <f t="shared" si="122"/>
        <v>0</v>
      </c>
      <c r="O438" s="13">
        <f>IFERROR(N438/N446, "NA")</f>
        <v>0</v>
      </c>
      <c r="P438" s="14"/>
      <c r="Q438" s="12">
        <v>0.0</v>
      </c>
      <c r="R438" s="13">
        <f>IFERROR(Q438/Q446, "NA")</f>
        <v>0</v>
      </c>
      <c r="S438" s="14"/>
      <c r="T438" s="12">
        <v>0.0</v>
      </c>
      <c r="U438" s="13">
        <f>IFERROR(T438/T446, "NA")</f>
        <v>0</v>
      </c>
      <c r="V438" s="14"/>
      <c r="W438" s="15">
        <f t="shared" si="123"/>
        <v>0</v>
      </c>
      <c r="X438" s="13">
        <f>IFERROR(W438/W446, "NA")</f>
        <v>0</v>
      </c>
      <c r="Y438" s="14"/>
      <c r="Z438" s="12">
        <v>0.0</v>
      </c>
      <c r="AA438" s="13">
        <f>IFERROR(Z438/Z446, "NA")</f>
        <v>0</v>
      </c>
      <c r="AB438" s="14"/>
      <c r="AC438" s="15">
        <f t="shared" si="124"/>
        <v>0</v>
      </c>
      <c r="AD438" s="13">
        <f>IFERROR(AC438/AC446, "NA")</f>
        <v>0</v>
      </c>
    </row>
    <row r="439" ht="16.5" hidden="1" customHeight="1">
      <c r="A439" s="11" t="s">
        <v>406</v>
      </c>
      <c r="B439" s="12">
        <v>0.0</v>
      </c>
      <c r="C439" s="13">
        <f>IFERROR(B439/B446, "NA")</f>
        <v>0</v>
      </c>
      <c r="D439" s="14"/>
      <c r="E439" s="12">
        <v>0.0</v>
      </c>
      <c r="F439" s="13">
        <f>IFERROR(E439/E446, "NA")</f>
        <v>0</v>
      </c>
      <c r="G439" s="14"/>
      <c r="H439" s="15">
        <f t="shared" si="121"/>
        <v>0</v>
      </c>
      <c r="I439" s="13">
        <f>IFERROR(H439/H446, "NA")</f>
        <v>0</v>
      </c>
      <c r="J439" s="14"/>
      <c r="K439" s="12">
        <v>0.0</v>
      </c>
      <c r="L439" s="13">
        <f>IFERROR(K439/K446, "NA")</f>
        <v>0</v>
      </c>
      <c r="M439" s="14"/>
      <c r="N439" s="15">
        <f t="shared" si="122"/>
        <v>0</v>
      </c>
      <c r="O439" s="13">
        <f>IFERROR(N439/N446, "NA")</f>
        <v>0</v>
      </c>
      <c r="P439" s="14"/>
      <c r="Q439" s="12">
        <v>0.0</v>
      </c>
      <c r="R439" s="13">
        <f>IFERROR(Q439/Q446, "NA")</f>
        <v>0</v>
      </c>
      <c r="S439" s="14"/>
      <c r="T439" s="12">
        <v>0.0</v>
      </c>
      <c r="U439" s="13">
        <f>IFERROR(T439/T446, "NA")</f>
        <v>0</v>
      </c>
      <c r="V439" s="14"/>
      <c r="W439" s="15">
        <f t="shared" si="123"/>
        <v>0</v>
      </c>
      <c r="X439" s="13">
        <f>IFERROR(W439/W446, "NA")</f>
        <v>0</v>
      </c>
      <c r="Y439" s="14"/>
      <c r="Z439" s="12">
        <v>0.0</v>
      </c>
      <c r="AA439" s="13">
        <f>IFERROR(Z439/Z446, "NA")</f>
        <v>0</v>
      </c>
      <c r="AB439" s="14"/>
      <c r="AC439" s="15">
        <f t="shared" si="124"/>
        <v>0</v>
      </c>
      <c r="AD439" s="13">
        <f>IFERROR(AC439/AC446, "NA")</f>
        <v>0</v>
      </c>
    </row>
    <row r="440" ht="30.75" hidden="1" customHeight="1">
      <c r="A440" s="11" t="s">
        <v>407</v>
      </c>
      <c r="B440" s="12">
        <v>0.0</v>
      </c>
      <c r="C440" s="13">
        <f>IFERROR(B440/B446, "NA")</f>
        <v>0</v>
      </c>
      <c r="D440" s="14"/>
      <c r="E440" s="12">
        <v>0.0</v>
      </c>
      <c r="F440" s="13">
        <f>IFERROR(E440/E446, "NA")</f>
        <v>0</v>
      </c>
      <c r="G440" s="14"/>
      <c r="H440" s="15">
        <f t="shared" si="121"/>
        <v>0</v>
      </c>
      <c r="I440" s="13">
        <f>IFERROR(H440/H446, "NA")</f>
        <v>0</v>
      </c>
      <c r="J440" s="14"/>
      <c r="K440" s="12">
        <v>0.0</v>
      </c>
      <c r="L440" s="13">
        <f>IFERROR(K440/K446, "NA")</f>
        <v>0</v>
      </c>
      <c r="M440" s="14"/>
      <c r="N440" s="15">
        <f t="shared" si="122"/>
        <v>0</v>
      </c>
      <c r="O440" s="13">
        <f>IFERROR(N440/N446, "NA")</f>
        <v>0</v>
      </c>
      <c r="P440" s="14"/>
      <c r="Q440" s="12">
        <v>0.0</v>
      </c>
      <c r="R440" s="13">
        <f>IFERROR(Q440/Q446, "NA")</f>
        <v>0</v>
      </c>
      <c r="S440" s="14"/>
      <c r="T440" s="12">
        <v>0.0</v>
      </c>
      <c r="U440" s="13">
        <f>IFERROR(T440/T446, "NA")</f>
        <v>0</v>
      </c>
      <c r="V440" s="14"/>
      <c r="W440" s="15">
        <f t="shared" si="123"/>
        <v>0</v>
      </c>
      <c r="X440" s="13">
        <f>IFERROR(W440/W446, "NA")</f>
        <v>0</v>
      </c>
      <c r="Y440" s="14"/>
      <c r="Z440" s="12">
        <v>0.0</v>
      </c>
      <c r="AA440" s="13">
        <f>IFERROR(Z440/Z446, "NA")</f>
        <v>0</v>
      </c>
      <c r="AB440" s="14"/>
      <c r="AC440" s="15">
        <f t="shared" si="124"/>
        <v>0</v>
      </c>
      <c r="AD440" s="13">
        <f>IFERROR(AC440/AC446, "NA")</f>
        <v>0</v>
      </c>
    </row>
    <row r="441" ht="16.5" hidden="1" customHeight="1">
      <c r="A441" s="11" t="s">
        <v>408</v>
      </c>
      <c r="B441" s="12">
        <v>0.0</v>
      </c>
      <c r="C441" s="13">
        <f>IFERROR(B441/B446, "NA")</f>
        <v>0</v>
      </c>
      <c r="D441" s="14"/>
      <c r="E441" s="12">
        <v>0.0</v>
      </c>
      <c r="F441" s="13">
        <f>IFERROR(E441/E446, "NA")</f>
        <v>0</v>
      </c>
      <c r="G441" s="14"/>
      <c r="H441" s="15">
        <f t="shared" si="121"/>
        <v>0</v>
      </c>
      <c r="I441" s="13">
        <f>IFERROR(H441/H446, "NA")</f>
        <v>0</v>
      </c>
      <c r="J441" s="14"/>
      <c r="K441" s="12">
        <v>0.0</v>
      </c>
      <c r="L441" s="13">
        <f>IFERROR(K441/K446, "NA")</f>
        <v>0</v>
      </c>
      <c r="M441" s="14"/>
      <c r="N441" s="15">
        <f t="shared" si="122"/>
        <v>0</v>
      </c>
      <c r="O441" s="13">
        <f>IFERROR(N441/N446, "NA")</f>
        <v>0</v>
      </c>
      <c r="P441" s="14"/>
      <c r="Q441" s="12">
        <v>0.0</v>
      </c>
      <c r="R441" s="13">
        <f>IFERROR(Q441/Q446, "NA")</f>
        <v>0</v>
      </c>
      <c r="S441" s="14"/>
      <c r="T441" s="12">
        <v>0.0</v>
      </c>
      <c r="U441" s="13">
        <f>IFERROR(T441/T446, "NA")</f>
        <v>0</v>
      </c>
      <c r="V441" s="14"/>
      <c r="W441" s="15">
        <f t="shared" si="123"/>
        <v>0</v>
      </c>
      <c r="X441" s="13">
        <f>IFERROR(W441/W446, "NA")</f>
        <v>0</v>
      </c>
      <c r="Y441" s="14"/>
      <c r="Z441" s="12">
        <v>0.0</v>
      </c>
      <c r="AA441" s="13">
        <f>IFERROR(Z441/Z446, "NA")</f>
        <v>0</v>
      </c>
      <c r="AB441" s="14"/>
      <c r="AC441" s="15">
        <f t="shared" si="124"/>
        <v>0</v>
      </c>
      <c r="AD441" s="13">
        <f>IFERROR(AC441/AC446, "NA")</f>
        <v>0</v>
      </c>
    </row>
    <row r="442" ht="30.75" hidden="1" customHeight="1">
      <c r="A442" s="11" t="s">
        <v>409</v>
      </c>
      <c r="B442" s="12">
        <v>0.0</v>
      </c>
      <c r="C442" s="13">
        <f>IFERROR(B442/B446, "NA")</f>
        <v>0</v>
      </c>
      <c r="D442" s="14"/>
      <c r="E442" s="12">
        <v>0.0</v>
      </c>
      <c r="F442" s="13">
        <f>IFERROR(E442/E446, "NA")</f>
        <v>0</v>
      </c>
      <c r="G442" s="14"/>
      <c r="H442" s="15">
        <f t="shared" si="121"/>
        <v>0</v>
      </c>
      <c r="I442" s="13">
        <f>IFERROR(H442/H446, "NA")</f>
        <v>0</v>
      </c>
      <c r="J442" s="14"/>
      <c r="K442" s="12">
        <v>0.0</v>
      </c>
      <c r="L442" s="13">
        <f>IFERROR(K442/K446, "NA")</f>
        <v>0</v>
      </c>
      <c r="M442" s="14"/>
      <c r="N442" s="15">
        <f t="shared" si="122"/>
        <v>0</v>
      </c>
      <c r="O442" s="13">
        <f>IFERROR(N442/N446, "NA")</f>
        <v>0</v>
      </c>
      <c r="P442" s="14"/>
      <c r="Q442" s="12">
        <v>0.0</v>
      </c>
      <c r="R442" s="13">
        <f>IFERROR(Q442/Q446, "NA")</f>
        <v>0</v>
      </c>
      <c r="S442" s="14"/>
      <c r="T442" s="12">
        <v>0.0</v>
      </c>
      <c r="U442" s="13">
        <f>IFERROR(T442/T446, "NA")</f>
        <v>0</v>
      </c>
      <c r="V442" s="14"/>
      <c r="W442" s="15">
        <f t="shared" si="123"/>
        <v>0</v>
      </c>
      <c r="X442" s="13">
        <f>IFERROR(W442/W446, "NA")</f>
        <v>0</v>
      </c>
      <c r="Y442" s="14"/>
      <c r="Z442" s="12">
        <v>0.0</v>
      </c>
      <c r="AA442" s="13">
        <f>IFERROR(Z442/Z446, "NA")</f>
        <v>0</v>
      </c>
      <c r="AB442" s="14"/>
      <c r="AC442" s="15">
        <f t="shared" si="124"/>
        <v>0</v>
      </c>
      <c r="AD442" s="13">
        <f>IFERROR(AC442/AC446, "NA")</f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>
        <f>IFERROR(B443/B446, "NA")</f>
        <v>0</v>
      </c>
      <c r="D443" s="8"/>
      <c r="E443" s="17">
        <f>IFERROR(E434+E435+E436+E437+E438+E439+E440+E441+E442, "NA")</f>
        <v>0</v>
      </c>
      <c r="F443" s="18">
        <f>IFERROR(E443/E446, "NA")</f>
        <v>0</v>
      </c>
      <c r="G443" s="8"/>
      <c r="H443" s="17">
        <f t="shared" si="121"/>
        <v>0</v>
      </c>
      <c r="I443" s="18">
        <f>IFERROR(H443/H446, "NA")</f>
        <v>0</v>
      </c>
      <c r="J443" s="8"/>
      <c r="K443" s="17">
        <f>IFERROR(K434+K435+K436+K437+K438+K439+K440+K441+K442, "NA")</f>
        <v>0</v>
      </c>
      <c r="L443" s="18">
        <f>IFERROR(K443/K446, "NA")</f>
        <v>0</v>
      </c>
      <c r="M443" s="8"/>
      <c r="N443" s="17">
        <f t="shared" si="122"/>
        <v>0</v>
      </c>
      <c r="O443" s="18">
        <f>IFERROR(N443/N446, "NA")</f>
        <v>0</v>
      </c>
      <c r="P443" s="8"/>
      <c r="Q443" s="17">
        <f>IFERROR(Q434+Q435+Q436+Q437+Q438+Q439+Q440+Q441+Q442, "NA")</f>
        <v>0</v>
      </c>
      <c r="R443" s="18">
        <f>IFERROR(Q443/Q446, "NA")</f>
        <v>0</v>
      </c>
      <c r="S443" s="8"/>
      <c r="T443" s="17">
        <f>IFERROR(T434+T435+T436+T437+T438+T439+T440+T441+T442, "NA")</f>
        <v>0</v>
      </c>
      <c r="U443" s="18">
        <f>IFERROR(T443/T446, "NA")</f>
        <v>0</v>
      </c>
      <c r="V443" s="8"/>
      <c r="W443" s="17">
        <f t="shared" si="123"/>
        <v>0</v>
      </c>
      <c r="X443" s="18">
        <f>IFERROR(W443/W446, "NA")</f>
        <v>0</v>
      </c>
      <c r="Y443" s="8"/>
      <c r="Z443" s="17">
        <f>IFERROR(Z434+Z435+Z436+Z437+Z438+Z439+Z440+Z441+Z442, "NA")</f>
        <v>0</v>
      </c>
      <c r="AA443" s="18">
        <f>IFERROR(Z443/Z446, "NA")</f>
        <v>0</v>
      </c>
      <c r="AB443" s="8"/>
      <c r="AC443" s="17">
        <f t="shared" si="124"/>
        <v>0</v>
      </c>
      <c r="AD443" s="18">
        <f>IFERROR(AC443/AC446, "NA")</f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>
        <f>IFERROR(B444/B446, "NA")</f>
        <v>0</v>
      </c>
      <c r="D444" s="8"/>
      <c r="E444" s="17">
        <f>IFERROR(E434+E435+E436+E437+E438+E439+E440+E441+E442, "NA")</f>
        <v>0</v>
      </c>
      <c r="F444" s="18">
        <f>IFERROR(E444/E446, "NA")</f>
        <v>0</v>
      </c>
      <c r="G444" s="8"/>
      <c r="H444" s="17">
        <f t="shared" si="121"/>
        <v>0</v>
      </c>
      <c r="I444" s="18">
        <f>IFERROR(H444/H446, "NA")</f>
        <v>0</v>
      </c>
      <c r="J444" s="8"/>
      <c r="K444" s="17">
        <f>IFERROR(K434+K435+K436+K437+K438+K439+K440+K441+K442, "NA")</f>
        <v>0</v>
      </c>
      <c r="L444" s="18">
        <f>IFERROR(K444/K446, "NA")</f>
        <v>0</v>
      </c>
      <c r="M444" s="8"/>
      <c r="N444" s="17">
        <f t="shared" si="122"/>
        <v>0</v>
      </c>
      <c r="O444" s="18">
        <f>IFERROR(N444/N446, "NA")</f>
        <v>0</v>
      </c>
      <c r="P444" s="8"/>
      <c r="Q444" s="17">
        <f>IFERROR(Q434+Q435+Q436+Q437+Q438+Q439+Q440+Q441+Q442, "NA")</f>
        <v>0</v>
      </c>
      <c r="R444" s="18">
        <f>IFERROR(Q444/Q446, "NA")</f>
        <v>0</v>
      </c>
      <c r="S444" s="8"/>
      <c r="T444" s="17">
        <f>IFERROR(T434+T435+T436+T437+T438+T439+T440+T441+T442, "NA")</f>
        <v>0</v>
      </c>
      <c r="U444" s="18">
        <f>IFERROR(T444/T446, "NA")</f>
        <v>0</v>
      </c>
      <c r="V444" s="8"/>
      <c r="W444" s="17">
        <f t="shared" si="123"/>
        <v>0</v>
      </c>
      <c r="X444" s="18">
        <f>IFERROR(W444/W446, "NA")</f>
        <v>0</v>
      </c>
      <c r="Y444" s="8"/>
      <c r="Z444" s="17">
        <f>IFERROR(Z434+Z435+Z436+Z437+Z438+Z439+Z440+Z441+Z442, "NA")</f>
        <v>0</v>
      </c>
      <c r="AA444" s="18">
        <f>IFERROR(Z444/Z446, "NA")</f>
        <v>0</v>
      </c>
      <c r="AB444" s="8"/>
      <c r="AC444" s="17">
        <f t="shared" si="124"/>
        <v>0</v>
      </c>
      <c r="AD444" s="18">
        <f>IFERROR(AC444/AC446, "NA")</f>
        <v>0</v>
      </c>
    </row>
    <row r="445" ht="16.5" customHeight="1">
      <c r="A445" s="19" t="s">
        <v>412</v>
      </c>
      <c r="B445" s="20">
        <f>IFERROR(B405-B431-B444, "NA")</f>
        <v>-16431.26</v>
      </c>
      <c r="C445" s="21">
        <f>IFERROR(B445/B446, "NA")</f>
        <v>-0.166031474</v>
      </c>
      <c r="D445" s="22"/>
      <c r="E445" s="20">
        <f>IFERROR(E405-E431-E444, "NA")</f>
        <v>-14928.21</v>
      </c>
      <c r="F445" s="21">
        <f>IFERROR(E445/E446, "NA")</f>
        <v>-0.1477169357</v>
      </c>
      <c r="G445" s="22"/>
      <c r="H445" s="20">
        <f t="shared" ref="H445:H446" si="125">IFERROR(B445-E445, "NA")</f>
        <v>-1503.05</v>
      </c>
      <c r="I445" s="21">
        <f>IFERROR(H445/H446, "NA")</f>
        <v>0.7175010979</v>
      </c>
      <c r="J445" s="22"/>
      <c r="K445" s="20">
        <f>IFERROR(K405-K431-K444, "NA")</f>
        <v>-21322.99</v>
      </c>
      <c r="L445" s="21">
        <f>IFERROR(K445/K446, "NA")</f>
        <v>-0.2303529816</v>
      </c>
      <c r="M445" s="22"/>
      <c r="N445" s="20">
        <f t="shared" ref="N445:N446" si="126">IFERROR(B445-K445, "NA")</f>
        <v>4891.73</v>
      </c>
      <c r="O445" s="21">
        <f>IFERROR(N445/N446, "NA")</f>
        <v>0.7645550113</v>
      </c>
      <c r="P445" s="22"/>
      <c r="Q445" s="20">
        <f>IFERROR(Q405-Q431-Q444, "NA")</f>
        <v>-123580.51</v>
      </c>
      <c r="R445" s="21">
        <f>IFERROR(Q445/Q446, "NA")</f>
        <v>-0.1403533214</v>
      </c>
      <c r="S445" s="22"/>
      <c r="T445" s="20">
        <f>IFERROR(T405-T431-T444, "NA")</f>
        <v>-75126.28</v>
      </c>
      <c r="U445" s="21">
        <f>IFERROR(T445/T446, "NA")</f>
        <v>-0.07758911525</v>
      </c>
      <c r="V445" s="22"/>
      <c r="W445" s="20">
        <f t="shared" ref="W445:W446" si="127">IFERROR(Q445-T445, "NA")</f>
        <v>-48454.23</v>
      </c>
      <c r="X445" s="21">
        <f>IFERROR(W445/W446, "NA")</f>
        <v>0.5521083227</v>
      </c>
      <c r="Y445" s="22"/>
      <c r="Z445" s="20">
        <f>IFERROR(Z405-Z431-Z444, "NA")</f>
        <v>-131120.31</v>
      </c>
      <c r="AA445" s="21">
        <f>IFERROR(Z445/Z446, "NA")</f>
        <v>-0.1459847113</v>
      </c>
      <c r="AB445" s="22"/>
      <c r="AC445" s="20">
        <f t="shared" ref="AC445:AC446" si="128">IFERROR(Q445-Z445, "NA")</f>
        <v>7539.8</v>
      </c>
      <c r="AD445" s="21">
        <f>IFERROR(AC445/AC446, "NA")</f>
        <v>-0.4263972941</v>
      </c>
    </row>
    <row r="446" ht="14.25" hidden="1" customHeight="1">
      <c r="A446" s="11" t="s">
        <v>120</v>
      </c>
      <c r="B446" s="12">
        <v>98964.73</v>
      </c>
      <c r="C446" s="23"/>
      <c r="D446" s="14"/>
      <c r="E446" s="12">
        <v>101059.57</v>
      </c>
      <c r="F446" s="23"/>
      <c r="G446" s="14"/>
      <c r="H446" s="15">
        <f t="shared" si="125"/>
        <v>-2094.84</v>
      </c>
      <c r="I446" s="23"/>
      <c r="J446" s="14"/>
      <c r="K446" s="12">
        <v>92566.59</v>
      </c>
      <c r="L446" s="23"/>
      <c r="M446" s="14"/>
      <c r="N446" s="15">
        <f t="shared" si="126"/>
        <v>6398.14</v>
      </c>
      <c r="O446" s="23"/>
      <c r="P446" s="14"/>
      <c r="Q446" s="12">
        <v>880495.8</v>
      </c>
      <c r="R446" s="23"/>
      <c r="S446" s="14"/>
      <c r="T446" s="12">
        <v>968257.98</v>
      </c>
      <c r="U446" s="23"/>
      <c r="V446" s="14"/>
      <c r="W446" s="15">
        <f t="shared" si="127"/>
        <v>-87762.18</v>
      </c>
      <c r="X446" s="23"/>
      <c r="Y446" s="14"/>
      <c r="Z446" s="12">
        <v>898178.37</v>
      </c>
      <c r="AA446" s="23"/>
      <c r="AB446" s="14"/>
      <c r="AC446" s="15">
        <f t="shared" si="128"/>
        <v>-17682.57</v>
      </c>
      <c r="AD446" s="23"/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N5:O5"/>
    <mergeCell ref="Q5:R5"/>
    <mergeCell ref="T5:U5"/>
    <mergeCell ref="W5:X5"/>
    <mergeCell ref="Z5:AA5"/>
    <mergeCell ref="AC5:AD5"/>
    <mergeCell ref="A1:AD1"/>
    <mergeCell ref="A2:AD2"/>
    <mergeCell ref="A3:AD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.43"/>
    <col customWidth="1" min="5" max="5" width="17.14"/>
    <col customWidth="1" min="6" max="6" width="9.43"/>
    <col customWidth="1" min="7" max="7" width="1.43"/>
    <col customWidth="1" min="8" max="8" width="17.14"/>
    <col customWidth="1" min="9" max="9" width="9.43"/>
    <col customWidth="1" min="10" max="10" width="1.43"/>
    <col customWidth="1" min="11" max="11" width="17.14"/>
    <col customWidth="1" min="12" max="12" width="9.43"/>
    <col customWidth="1" min="13" max="13" width="1.43"/>
    <col customWidth="1" min="14" max="14" width="17.14"/>
    <col customWidth="1" min="15" max="15" width="9.43"/>
    <col customWidth="1" min="16" max="16" width="1.43"/>
    <col customWidth="1" min="17" max="17" width="17.14"/>
    <col customWidth="1" min="18" max="18" width="9.43"/>
    <col customWidth="1" min="19" max="19" width="1.43"/>
    <col customWidth="1" min="20" max="20" width="17.14"/>
    <col customWidth="1" min="21" max="21" width="9.43"/>
    <col customWidth="1" min="22" max="22" width="1.43"/>
    <col customWidth="1" min="23" max="23" width="17.14"/>
    <col customWidth="1" min="24" max="24" width="9.43"/>
    <col customWidth="1" min="25" max="25" width="1.43"/>
    <col customWidth="1" min="26" max="26" width="17.14"/>
    <col customWidth="1" min="27" max="27" width="9.43"/>
    <col customWidth="1" min="28" max="28" width="1.43"/>
    <col customWidth="1" min="29" max="29" width="17.14"/>
    <col customWidth="1" min="30" max="30" width="9.43"/>
    <col customWidth="1" min="31" max="31" width="1.43"/>
    <col customWidth="1" min="32" max="32" width="17.14"/>
    <col customWidth="1" min="33" max="33" width="9.43"/>
    <col customWidth="1" min="34" max="34" width="1.43"/>
    <col customWidth="1" min="35" max="35" width="17.14"/>
    <col customWidth="1" min="36" max="36" width="9.43"/>
    <col customWidth="1" min="37" max="37" width="1.43"/>
    <col customWidth="1" min="38" max="38" width="17.14"/>
    <col customWidth="1" min="39" max="39" width="9.43"/>
    <col customWidth="1" min="40" max="40" width="1.43"/>
    <col customWidth="1" min="41" max="41" width="17.14"/>
    <col customWidth="1" min="42" max="42" width="9.43"/>
    <col customWidth="1" min="43" max="43" width="1.43"/>
    <col customWidth="1" min="44" max="44" width="17.14"/>
  </cols>
  <sheetData>
    <row r="1" ht="14.25" customHeight="1">
      <c r="A1" s="1" t="s">
        <v>420</v>
      </c>
    </row>
    <row r="2" ht="14.25" customHeight="1">
      <c r="A2" s="2" t="s">
        <v>1</v>
      </c>
    </row>
    <row r="3" ht="14.25" customHeight="1">
      <c r="A3" s="3" t="s">
        <v>421</v>
      </c>
    </row>
    <row r="4" ht="14.25" customHeight="1"/>
    <row r="5" ht="16.5" customHeight="1">
      <c r="A5" s="4" t="s">
        <v>6</v>
      </c>
      <c r="B5" s="5" t="s">
        <v>422</v>
      </c>
      <c r="C5" s="6"/>
      <c r="D5" s="4" t="s">
        <v>6</v>
      </c>
      <c r="E5" s="5" t="s">
        <v>423</v>
      </c>
      <c r="F5" s="6"/>
      <c r="G5" s="4" t="s">
        <v>6</v>
      </c>
      <c r="H5" s="5" t="s">
        <v>424</v>
      </c>
      <c r="I5" s="6"/>
      <c r="J5" s="4" t="s">
        <v>6</v>
      </c>
      <c r="K5" s="5" t="s">
        <v>425</v>
      </c>
      <c r="L5" s="6"/>
      <c r="M5" s="4" t="s">
        <v>6</v>
      </c>
      <c r="N5" s="5" t="s">
        <v>426</v>
      </c>
      <c r="O5" s="6"/>
      <c r="P5" s="4" t="s">
        <v>6</v>
      </c>
      <c r="Q5" s="5" t="s">
        <v>427</v>
      </c>
      <c r="R5" s="6"/>
      <c r="S5" s="4" t="s">
        <v>6</v>
      </c>
      <c r="T5" s="5" t="s">
        <v>428</v>
      </c>
      <c r="U5" s="6"/>
      <c r="V5" s="4" t="s">
        <v>6</v>
      </c>
      <c r="W5" s="5" t="s">
        <v>429</v>
      </c>
      <c r="X5" s="6"/>
      <c r="Y5" s="4" t="s">
        <v>6</v>
      </c>
      <c r="Z5" s="5" t="s">
        <v>430</v>
      </c>
      <c r="AA5" s="6"/>
      <c r="AB5" s="4" t="s">
        <v>6</v>
      </c>
      <c r="AC5" s="5" t="s">
        <v>431</v>
      </c>
      <c r="AD5" s="6"/>
      <c r="AE5" s="4" t="s">
        <v>6</v>
      </c>
      <c r="AF5" s="5" t="s">
        <v>432</v>
      </c>
      <c r="AG5" s="6"/>
      <c r="AH5" s="4" t="s">
        <v>6</v>
      </c>
      <c r="AI5" s="5" t="s">
        <v>433</v>
      </c>
      <c r="AJ5" s="6"/>
      <c r="AK5" s="25" t="s">
        <v>6</v>
      </c>
      <c r="AL5" s="5" t="s">
        <v>434</v>
      </c>
      <c r="AM5" s="6"/>
      <c r="AN5" s="25" t="s">
        <v>6</v>
      </c>
      <c r="AO5" s="26" t="s">
        <v>435</v>
      </c>
      <c r="AP5" s="6"/>
      <c r="AQ5" s="25" t="s">
        <v>6</v>
      </c>
      <c r="AR5" s="27" t="s">
        <v>9</v>
      </c>
    </row>
    <row r="6" ht="16.5" customHeight="1">
      <c r="A6" s="7" t="s">
        <v>14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  <c r="AE6" s="10"/>
      <c r="AF6" s="8"/>
      <c r="AG6" s="9"/>
      <c r="AH6" s="10"/>
      <c r="AI6" s="8"/>
      <c r="AJ6" s="9"/>
      <c r="AK6" s="8"/>
      <c r="AL6" s="8"/>
      <c r="AM6" s="9"/>
      <c r="AN6" s="8"/>
      <c r="AO6" s="8"/>
      <c r="AP6" s="9"/>
      <c r="AQ6" s="8"/>
      <c r="AR6" s="8"/>
    </row>
    <row r="7" ht="16.5" customHeight="1">
      <c r="A7" s="7" t="s">
        <v>14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  <c r="AE7" s="10"/>
      <c r="AF7" s="8"/>
      <c r="AG7" s="9"/>
      <c r="AH7" s="10"/>
      <c r="AI7" s="8"/>
      <c r="AJ7" s="9"/>
      <c r="AK7" s="8"/>
      <c r="AL7" s="8"/>
      <c r="AM7" s="9"/>
      <c r="AN7" s="8"/>
      <c r="AO7" s="8"/>
      <c r="AP7" s="9"/>
      <c r="AQ7" s="8"/>
      <c r="AR7" s="8"/>
    </row>
    <row r="8" ht="16.5" hidden="1" customHeight="1">
      <c r="A8" s="11" t="s">
        <v>436</v>
      </c>
      <c r="B8" s="12">
        <v>0.0</v>
      </c>
      <c r="C8" s="13" t="str">
        <f>IFERROR(B8/B446, "NA")</f>
        <v>NA</v>
      </c>
      <c r="D8" s="14"/>
      <c r="E8" s="12">
        <v>0.0</v>
      </c>
      <c r="F8" s="13" t="str">
        <f>IFERROR(E8/E446, "NA")</f>
        <v>NA</v>
      </c>
      <c r="G8" s="14"/>
      <c r="H8" s="12">
        <v>0.0</v>
      </c>
      <c r="I8" s="13" t="str">
        <f>IFERROR(H8/H446, "NA")</f>
        <v>NA</v>
      </c>
      <c r="J8" s="14"/>
      <c r="K8" s="12">
        <v>0.0</v>
      </c>
      <c r="L8" s="13" t="str">
        <f>IFERROR(K8/K446, "NA")</f>
        <v>NA</v>
      </c>
      <c r="M8" s="14"/>
      <c r="N8" s="12">
        <v>0.0</v>
      </c>
      <c r="O8" s="13" t="str">
        <f>IFERROR(N8/N446, "NA")</f>
        <v>NA</v>
      </c>
      <c r="P8" s="14"/>
      <c r="Q8" s="12">
        <v>0.0</v>
      </c>
      <c r="R8" s="13" t="str">
        <f>IFERROR(Q8/Q446, "NA")</f>
        <v>NA</v>
      </c>
      <c r="S8" s="14"/>
      <c r="T8" s="12">
        <v>0.0</v>
      </c>
      <c r="U8" s="13" t="str">
        <f>IFERROR(T8/T446, "NA")</f>
        <v>NA</v>
      </c>
      <c r="V8" s="14"/>
      <c r="W8" s="12">
        <v>0.0</v>
      </c>
      <c r="X8" s="13" t="str">
        <f>IFERROR(W8/W446, "NA")</f>
        <v>NA</v>
      </c>
      <c r="Y8" s="14"/>
      <c r="Z8" s="12">
        <v>0.0</v>
      </c>
      <c r="AA8" s="13" t="str">
        <f>IFERROR(Z8/Z446, "NA")</f>
        <v>NA</v>
      </c>
      <c r="AB8" s="14"/>
      <c r="AC8" s="12">
        <v>0.0</v>
      </c>
      <c r="AD8" s="13" t="str">
        <f>IFERROR(AC8/AC446, "NA")</f>
        <v>NA</v>
      </c>
      <c r="AE8" s="14"/>
      <c r="AF8" s="12">
        <v>0.0</v>
      </c>
      <c r="AG8" s="13" t="str">
        <f>IFERROR(AF8/AF446, "NA")</f>
        <v>NA</v>
      </c>
      <c r="AH8" s="14"/>
      <c r="AI8" s="12">
        <v>0.0</v>
      </c>
      <c r="AJ8" s="13" t="str">
        <f>IFERROR(AI8/AI446, "NA")</f>
        <v>NA</v>
      </c>
      <c r="AK8" s="12"/>
      <c r="AL8" s="15">
        <f>IFERROR(B8+E8+H8+K8+N8+Q8+T8+W8+Z8+AC8+AF8+AI8, "NA")</f>
        <v>0</v>
      </c>
      <c r="AM8" s="13" t="str">
        <f>IFERROR(AL8/AL446, "NA")</f>
        <v>NA</v>
      </c>
      <c r="AN8" s="12"/>
      <c r="AO8" s="12">
        <v>0.0</v>
      </c>
      <c r="AP8" s="13" t="str">
        <f>IFERROR(AO8/AO446, "NA")</f>
        <v>NA</v>
      </c>
      <c r="AQ8" s="12"/>
      <c r="AR8" s="15">
        <f>IFERROR(AL8-AO8, "NA")</f>
        <v>0</v>
      </c>
    </row>
    <row r="9" ht="16.5" customHeight="1">
      <c r="A9" s="7" t="s">
        <v>15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  <c r="AE9" s="10"/>
      <c r="AF9" s="8"/>
      <c r="AG9" s="9"/>
      <c r="AH9" s="10"/>
      <c r="AI9" s="8"/>
      <c r="AJ9" s="9"/>
      <c r="AK9" s="8"/>
      <c r="AL9" s="8"/>
      <c r="AM9" s="9"/>
      <c r="AN9" s="8"/>
      <c r="AO9" s="8"/>
      <c r="AP9" s="9"/>
      <c r="AQ9" s="8"/>
      <c r="AR9" s="8"/>
    </row>
    <row r="10" ht="16.5" hidden="1" customHeight="1">
      <c r="A10" s="11" t="s">
        <v>437</v>
      </c>
      <c r="B10" s="12">
        <v>0.0</v>
      </c>
      <c r="C10" s="13" t="str">
        <f>IFERROR(B10/B446, "NA")</f>
        <v>NA</v>
      </c>
      <c r="D10" s="14"/>
      <c r="E10" s="12">
        <v>0.0</v>
      </c>
      <c r="F10" s="13" t="str">
        <f>IFERROR(E10/E446, "NA")</f>
        <v>NA</v>
      </c>
      <c r="G10" s="14"/>
      <c r="H10" s="12">
        <v>0.0</v>
      </c>
      <c r="I10" s="13" t="str">
        <f>IFERROR(H10/H446, "NA")</f>
        <v>NA</v>
      </c>
      <c r="J10" s="14"/>
      <c r="K10" s="12">
        <v>0.0</v>
      </c>
      <c r="L10" s="13" t="str">
        <f>IFERROR(K10/K446, "NA")</f>
        <v>NA</v>
      </c>
      <c r="M10" s="14"/>
      <c r="N10" s="12">
        <v>0.0</v>
      </c>
      <c r="O10" s="13" t="str">
        <f>IFERROR(N10/N446, "NA")</f>
        <v>NA</v>
      </c>
      <c r="P10" s="14"/>
      <c r="Q10" s="12">
        <v>0.0</v>
      </c>
      <c r="R10" s="13" t="str">
        <f>IFERROR(Q10/Q446, "NA")</f>
        <v>NA</v>
      </c>
      <c r="S10" s="14"/>
      <c r="T10" s="12">
        <v>0.0</v>
      </c>
      <c r="U10" s="13" t="str">
        <f>IFERROR(T10/T446, "NA")</f>
        <v>NA</v>
      </c>
      <c r="V10" s="14"/>
      <c r="W10" s="12">
        <v>0.0</v>
      </c>
      <c r="X10" s="13" t="str">
        <f>IFERROR(W10/W446, "NA")</f>
        <v>NA</v>
      </c>
      <c r="Y10" s="14"/>
      <c r="Z10" s="12">
        <v>0.0</v>
      </c>
      <c r="AA10" s="13" t="str">
        <f>IFERROR(Z10/Z446, "NA")</f>
        <v>NA</v>
      </c>
      <c r="AB10" s="14"/>
      <c r="AC10" s="12">
        <v>0.0</v>
      </c>
      <c r="AD10" s="13" t="str">
        <f>IFERROR(AC10/AC446, "NA")</f>
        <v>NA</v>
      </c>
      <c r="AE10" s="14"/>
      <c r="AF10" s="12">
        <v>0.0</v>
      </c>
      <c r="AG10" s="13" t="str">
        <f>IFERROR(AF10/AF446, "NA")</f>
        <v>NA</v>
      </c>
      <c r="AH10" s="14"/>
      <c r="AI10" s="12">
        <v>0.0</v>
      </c>
      <c r="AJ10" s="13" t="str">
        <f>IFERROR(AI10/AI446, "NA")</f>
        <v>NA</v>
      </c>
      <c r="AK10" s="12"/>
      <c r="AL10" s="15">
        <f t="shared" ref="AL10:AL19" si="1">IFERROR(B10+E10+H10+K10+N10+Q10+T10+W10+Z10+AC10+AF10+AI10, "NA")</f>
        <v>0</v>
      </c>
      <c r="AM10" s="13" t="str">
        <f>IFERROR(AL10/AL446, "NA")</f>
        <v>NA</v>
      </c>
      <c r="AN10" s="12"/>
      <c r="AO10" s="12">
        <v>0.0</v>
      </c>
      <c r="AP10" s="13" t="str">
        <f>IFERROR(AO10/AO446, "NA")</f>
        <v>NA</v>
      </c>
      <c r="AQ10" s="12"/>
      <c r="AR10" s="15">
        <f t="shared" ref="AR10:AR19" si="2">IFERROR(AL10-AO10, "NA")</f>
        <v>0</v>
      </c>
    </row>
    <row r="11" ht="16.5" hidden="1" customHeight="1">
      <c r="A11" s="11" t="s">
        <v>438</v>
      </c>
      <c r="B11" s="12">
        <v>0.0</v>
      </c>
      <c r="C11" s="13" t="str">
        <f>IFERROR(B11/B446, "NA")</f>
        <v>NA</v>
      </c>
      <c r="D11" s="14"/>
      <c r="E11" s="12">
        <v>0.0</v>
      </c>
      <c r="F11" s="13" t="str">
        <f>IFERROR(E11/E446, "NA")</f>
        <v>NA</v>
      </c>
      <c r="G11" s="14"/>
      <c r="H11" s="12">
        <v>0.0</v>
      </c>
      <c r="I11" s="13" t="str">
        <f>IFERROR(H11/H446, "NA")</f>
        <v>NA</v>
      </c>
      <c r="J11" s="14"/>
      <c r="K11" s="12">
        <v>0.0</v>
      </c>
      <c r="L11" s="13" t="str">
        <f>IFERROR(K11/K446, "NA")</f>
        <v>NA</v>
      </c>
      <c r="M11" s="14"/>
      <c r="N11" s="12">
        <v>0.0</v>
      </c>
      <c r="O11" s="13" t="str">
        <f>IFERROR(N11/N446, "NA")</f>
        <v>NA</v>
      </c>
      <c r="P11" s="14"/>
      <c r="Q11" s="12">
        <v>0.0</v>
      </c>
      <c r="R11" s="13" t="str">
        <f>IFERROR(Q11/Q446, "NA")</f>
        <v>NA</v>
      </c>
      <c r="S11" s="14"/>
      <c r="T11" s="12">
        <v>0.0</v>
      </c>
      <c r="U11" s="13" t="str">
        <f>IFERROR(T11/T446, "NA")</f>
        <v>NA</v>
      </c>
      <c r="V11" s="14"/>
      <c r="W11" s="12">
        <v>0.0</v>
      </c>
      <c r="X11" s="13" t="str">
        <f>IFERROR(W11/W446, "NA")</f>
        <v>NA</v>
      </c>
      <c r="Y11" s="14"/>
      <c r="Z11" s="12">
        <v>0.0</v>
      </c>
      <c r="AA11" s="13" t="str">
        <f>IFERROR(Z11/Z446, "NA")</f>
        <v>NA</v>
      </c>
      <c r="AB11" s="14"/>
      <c r="AC11" s="12">
        <v>0.0</v>
      </c>
      <c r="AD11" s="13" t="str">
        <f>IFERROR(AC11/AC446, "NA")</f>
        <v>NA</v>
      </c>
      <c r="AE11" s="14"/>
      <c r="AF11" s="12">
        <v>0.0</v>
      </c>
      <c r="AG11" s="13" t="str">
        <f>IFERROR(AF11/AF446, "NA")</f>
        <v>NA</v>
      </c>
      <c r="AH11" s="14"/>
      <c r="AI11" s="12">
        <v>0.0</v>
      </c>
      <c r="AJ11" s="13" t="str">
        <f>IFERROR(AI11/AI446, "NA")</f>
        <v>NA</v>
      </c>
      <c r="AK11" s="12"/>
      <c r="AL11" s="15">
        <f t="shared" si="1"/>
        <v>0</v>
      </c>
      <c r="AM11" s="13" t="str">
        <f>IFERROR(AL11/AL446, "NA")</f>
        <v>NA</v>
      </c>
      <c r="AN11" s="12"/>
      <c r="AO11" s="12">
        <v>0.0</v>
      </c>
      <c r="AP11" s="13" t="str">
        <f>IFERROR(AO11/AO446, "NA")</f>
        <v>NA</v>
      </c>
      <c r="AQ11" s="12"/>
      <c r="AR11" s="15">
        <f t="shared" si="2"/>
        <v>0</v>
      </c>
    </row>
    <row r="12" ht="16.5" hidden="1" customHeight="1">
      <c r="A12" s="11" t="s">
        <v>439</v>
      </c>
      <c r="B12" s="12">
        <v>0.0</v>
      </c>
      <c r="C12" s="13" t="str">
        <f>IFERROR(B12/B446, "NA")</f>
        <v>NA</v>
      </c>
      <c r="D12" s="14"/>
      <c r="E12" s="12">
        <v>0.0</v>
      </c>
      <c r="F12" s="13" t="str">
        <f>IFERROR(E12/E446, "NA")</f>
        <v>NA</v>
      </c>
      <c r="G12" s="14"/>
      <c r="H12" s="12">
        <v>0.0</v>
      </c>
      <c r="I12" s="13" t="str">
        <f>IFERROR(H12/H446, "NA")</f>
        <v>NA</v>
      </c>
      <c r="J12" s="14"/>
      <c r="K12" s="12">
        <v>0.0</v>
      </c>
      <c r="L12" s="13" t="str">
        <f>IFERROR(K12/K446, "NA")</f>
        <v>NA</v>
      </c>
      <c r="M12" s="14"/>
      <c r="N12" s="12">
        <v>0.0</v>
      </c>
      <c r="O12" s="13" t="str">
        <f>IFERROR(N12/N446, "NA")</f>
        <v>NA</v>
      </c>
      <c r="P12" s="14"/>
      <c r="Q12" s="12">
        <v>0.0</v>
      </c>
      <c r="R12" s="13" t="str">
        <f>IFERROR(Q12/Q446, "NA")</f>
        <v>NA</v>
      </c>
      <c r="S12" s="14"/>
      <c r="T12" s="12">
        <v>0.0</v>
      </c>
      <c r="U12" s="13" t="str">
        <f>IFERROR(T12/T446, "NA")</f>
        <v>NA</v>
      </c>
      <c r="V12" s="14"/>
      <c r="W12" s="12">
        <v>0.0</v>
      </c>
      <c r="X12" s="13" t="str">
        <f>IFERROR(W12/W446, "NA")</f>
        <v>NA</v>
      </c>
      <c r="Y12" s="14"/>
      <c r="Z12" s="12">
        <v>0.0</v>
      </c>
      <c r="AA12" s="13" t="str">
        <f>IFERROR(Z12/Z446, "NA")</f>
        <v>NA</v>
      </c>
      <c r="AB12" s="14"/>
      <c r="AC12" s="12">
        <v>0.0</v>
      </c>
      <c r="AD12" s="13" t="str">
        <f>IFERROR(AC12/AC446, "NA")</f>
        <v>NA</v>
      </c>
      <c r="AE12" s="14"/>
      <c r="AF12" s="12">
        <v>0.0</v>
      </c>
      <c r="AG12" s="13" t="str">
        <f>IFERROR(AF12/AF446, "NA")</f>
        <v>NA</v>
      </c>
      <c r="AH12" s="14"/>
      <c r="AI12" s="12">
        <v>0.0</v>
      </c>
      <c r="AJ12" s="13" t="str">
        <f>IFERROR(AI12/AI446, "NA")</f>
        <v>NA</v>
      </c>
      <c r="AK12" s="12"/>
      <c r="AL12" s="15">
        <f t="shared" si="1"/>
        <v>0</v>
      </c>
      <c r="AM12" s="13" t="str">
        <f>IFERROR(AL12/AL446, "NA")</f>
        <v>NA</v>
      </c>
      <c r="AN12" s="12"/>
      <c r="AO12" s="12">
        <v>0.0</v>
      </c>
      <c r="AP12" s="13" t="str">
        <f>IFERROR(AO12/AO446, "NA")</f>
        <v>NA</v>
      </c>
      <c r="AQ12" s="12"/>
      <c r="AR12" s="15">
        <f t="shared" si="2"/>
        <v>0</v>
      </c>
    </row>
    <row r="13" ht="16.5" hidden="1" customHeight="1">
      <c r="A13" s="11" t="s">
        <v>440</v>
      </c>
      <c r="B13" s="12">
        <v>0.0</v>
      </c>
      <c r="C13" s="13" t="str">
        <f>IFERROR(B13/B446, "NA")</f>
        <v>NA</v>
      </c>
      <c r="D13" s="14"/>
      <c r="E13" s="12">
        <v>0.0</v>
      </c>
      <c r="F13" s="13" t="str">
        <f>IFERROR(E13/E446, "NA")</f>
        <v>NA</v>
      </c>
      <c r="G13" s="14"/>
      <c r="H13" s="12">
        <v>0.0</v>
      </c>
      <c r="I13" s="13" t="str">
        <f>IFERROR(H13/H446, "NA")</f>
        <v>NA</v>
      </c>
      <c r="J13" s="14"/>
      <c r="K13" s="12">
        <v>0.0</v>
      </c>
      <c r="L13" s="13" t="str">
        <f>IFERROR(K13/K446, "NA")</f>
        <v>NA</v>
      </c>
      <c r="M13" s="14"/>
      <c r="N13" s="12">
        <v>0.0</v>
      </c>
      <c r="O13" s="13" t="str">
        <f>IFERROR(N13/N446, "NA")</f>
        <v>NA</v>
      </c>
      <c r="P13" s="14"/>
      <c r="Q13" s="12">
        <v>0.0</v>
      </c>
      <c r="R13" s="13" t="str">
        <f>IFERROR(Q13/Q446, "NA")</f>
        <v>NA</v>
      </c>
      <c r="S13" s="14"/>
      <c r="T13" s="12">
        <v>0.0</v>
      </c>
      <c r="U13" s="13" t="str">
        <f>IFERROR(T13/T446, "NA")</f>
        <v>NA</v>
      </c>
      <c r="V13" s="14"/>
      <c r="W13" s="12">
        <v>0.0</v>
      </c>
      <c r="X13" s="13" t="str">
        <f>IFERROR(W13/W446, "NA")</f>
        <v>NA</v>
      </c>
      <c r="Y13" s="14"/>
      <c r="Z13" s="12">
        <v>0.0</v>
      </c>
      <c r="AA13" s="13" t="str">
        <f>IFERROR(Z13/Z446, "NA")</f>
        <v>NA</v>
      </c>
      <c r="AB13" s="14"/>
      <c r="AC13" s="12">
        <v>0.0</v>
      </c>
      <c r="AD13" s="13" t="str">
        <f>IFERROR(AC13/AC446, "NA")</f>
        <v>NA</v>
      </c>
      <c r="AE13" s="14"/>
      <c r="AF13" s="12">
        <v>0.0</v>
      </c>
      <c r="AG13" s="13" t="str">
        <f>IFERROR(AF13/AF446, "NA")</f>
        <v>NA</v>
      </c>
      <c r="AH13" s="14"/>
      <c r="AI13" s="12">
        <v>0.0</v>
      </c>
      <c r="AJ13" s="13" t="str">
        <f>IFERROR(AI13/AI446, "NA")</f>
        <v>NA</v>
      </c>
      <c r="AK13" s="12"/>
      <c r="AL13" s="15">
        <f t="shared" si="1"/>
        <v>0</v>
      </c>
      <c r="AM13" s="13" t="str">
        <f>IFERROR(AL13/AL446, "NA")</f>
        <v>NA</v>
      </c>
      <c r="AN13" s="12"/>
      <c r="AO13" s="12">
        <v>0.0</v>
      </c>
      <c r="AP13" s="13" t="str">
        <f>IFERROR(AO13/AO446, "NA")</f>
        <v>NA</v>
      </c>
      <c r="AQ13" s="12"/>
      <c r="AR13" s="15">
        <f t="shared" si="2"/>
        <v>0</v>
      </c>
    </row>
    <row r="14" ht="16.5" hidden="1" customHeight="1">
      <c r="A14" s="11" t="s">
        <v>441</v>
      </c>
      <c r="B14" s="12">
        <v>0.0</v>
      </c>
      <c r="C14" s="13" t="str">
        <f>IFERROR(B14/B446, "NA")</f>
        <v>NA</v>
      </c>
      <c r="D14" s="14"/>
      <c r="E14" s="12">
        <v>0.0</v>
      </c>
      <c r="F14" s="13" t="str">
        <f>IFERROR(E14/E446, "NA")</f>
        <v>NA</v>
      </c>
      <c r="G14" s="14"/>
      <c r="H14" s="12">
        <v>0.0</v>
      </c>
      <c r="I14" s="13" t="str">
        <f>IFERROR(H14/H446, "NA")</f>
        <v>NA</v>
      </c>
      <c r="J14" s="14"/>
      <c r="K14" s="12">
        <v>0.0</v>
      </c>
      <c r="L14" s="13" t="str">
        <f>IFERROR(K14/K446, "NA")</f>
        <v>NA</v>
      </c>
      <c r="M14" s="14"/>
      <c r="N14" s="12">
        <v>0.0</v>
      </c>
      <c r="O14" s="13" t="str">
        <f>IFERROR(N14/N446, "NA")</f>
        <v>NA</v>
      </c>
      <c r="P14" s="14"/>
      <c r="Q14" s="12">
        <v>0.0</v>
      </c>
      <c r="R14" s="13" t="str">
        <f>IFERROR(Q14/Q446, "NA")</f>
        <v>NA</v>
      </c>
      <c r="S14" s="14"/>
      <c r="T14" s="12">
        <v>0.0</v>
      </c>
      <c r="U14" s="13" t="str">
        <f>IFERROR(T14/T446, "NA")</f>
        <v>NA</v>
      </c>
      <c r="V14" s="14"/>
      <c r="W14" s="12">
        <v>0.0</v>
      </c>
      <c r="X14" s="13" t="str">
        <f>IFERROR(W14/W446, "NA")</f>
        <v>NA</v>
      </c>
      <c r="Y14" s="14"/>
      <c r="Z14" s="12">
        <v>0.0</v>
      </c>
      <c r="AA14" s="13" t="str">
        <f>IFERROR(Z14/Z446, "NA")</f>
        <v>NA</v>
      </c>
      <c r="AB14" s="14"/>
      <c r="AC14" s="12">
        <v>0.0</v>
      </c>
      <c r="AD14" s="13" t="str">
        <f>IFERROR(AC14/AC446, "NA")</f>
        <v>NA</v>
      </c>
      <c r="AE14" s="14"/>
      <c r="AF14" s="12">
        <v>0.0</v>
      </c>
      <c r="AG14" s="13" t="str">
        <f>IFERROR(AF14/AF446, "NA")</f>
        <v>NA</v>
      </c>
      <c r="AH14" s="14"/>
      <c r="AI14" s="12">
        <v>0.0</v>
      </c>
      <c r="AJ14" s="13" t="str">
        <f>IFERROR(AI14/AI446, "NA")</f>
        <v>NA</v>
      </c>
      <c r="AK14" s="12"/>
      <c r="AL14" s="15">
        <f t="shared" si="1"/>
        <v>0</v>
      </c>
      <c r="AM14" s="13" t="str">
        <f>IFERROR(AL14/AL446, "NA")</f>
        <v>NA</v>
      </c>
      <c r="AN14" s="12"/>
      <c r="AO14" s="12">
        <v>0.0</v>
      </c>
      <c r="AP14" s="13" t="str">
        <f>IFERROR(AO14/AO446, "NA")</f>
        <v>NA</v>
      </c>
      <c r="AQ14" s="12"/>
      <c r="AR14" s="15">
        <f t="shared" si="2"/>
        <v>0</v>
      </c>
    </row>
    <row r="15" ht="16.5" hidden="1" customHeight="1">
      <c r="A15" s="11" t="s">
        <v>442</v>
      </c>
      <c r="B15" s="12">
        <v>0.0</v>
      </c>
      <c r="C15" s="13" t="str">
        <f>IFERROR(B15/B446, "NA")</f>
        <v>NA</v>
      </c>
      <c r="D15" s="14"/>
      <c r="E15" s="12">
        <v>0.0</v>
      </c>
      <c r="F15" s="13" t="str">
        <f>IFERROR(E15/E446, "NA")</f>
        <v>NA</v>
      </c>
      <c r="G15" s="14"/>
      <c r="H15" s="12">
        <v>0.0</v>
      </c>
      <c r="I15" s="13" t="str">
        <f>IFERROR(H15/H446, "NA")</f>
        <v>NA</v>
      </c>
      <c r="J15" s="14"/>
      <c r="K15" s="12">
        <v>0.0</v>
      </c>
      <c r="L15" s="13" t="str">
        <f>IFERROR(K15/K446, "NA")</f>
        <v>NA</v>
      </c>
      <c r="M15" s="14"/>
      <c r="N15" s="12">
        <v>0.0</v>
      </c>
      <c r="O15" s="13" t="str">
        <f>IFERROR(N15/N446, "NA")</f>
        <v>NA</v>
      </c>
      <c r="P15" s="14"/>
      <c r="Q15" s="12">
        <v>0.0</v>
      </c>
      <c r="R15" s="13" t="str">
        <f>IFERROR(Q15/Q446, "NA")</f>
        <v>NA</v>
      </c>
      <c r="S15" s="14"/>
      <c r="T15" s="12">
        <v>0.0</v>
      </c>
      <c r="U15" s="13" t="str">
        <f>IFERROR(T15/T446, "NA")</f>
        <v>NA</v>
      </c>
      <c r="V15" s="14"/>
      <c r="W15" s="12">
        <v>0.0</v>
      </c>
      <c r="X15" s="13" t="str">
        <f>IFERROR(W15/W446, "NA")</f>
        <v>NA</v>
      </c>
      <c r="Y15" s="14"/>
      <c r="Z15" s="12">
        <v>0.0</v>
      </c>
      <c r="AA15" s="13" t="str">
        <f>IFERROR(Z15/Z446, "NA")</f>
        <v>NA</v>
      </c>
      <c r="AB15" s="14"/>
      <c r="AC15" s="12">
        <v>0.0</v>
      </c>
      <c r="AD15" s="13" t="str">
        <f>IFERROR(AC15/AC446, "NA")</f>
        <v>NA</v>
      </c>
      <c r="AE15" s="14"/>
      <c r="AF15" s="12">
        <v>0.0</v>
      </c>
      <c r="AG15" s="13" t="str">
        <f>IFERROR(AF15/AF446, "NA")</f>
        <v>NA</v>
      </c>
      <c r="AH15" s="14"/>
      <c r="AI15" s="12">
        <v>0.0</v>
      </c>
      <c r="AJ15" s="13" t="str">
        <f>IFERROR(AI15/AI446, "NA")</f>
        <v>NA</v>
      </c>
      <c r="AK15" s="12"/>
      <c r="AL15" s="15">
        <f t="shared" si="1"/>
        <v>0</v>
      </c>
      <c r="AM15" s="13" t="str">
        <f>IFERROR(AL15/AL446, "NA")</f>
        <v>NA</v>
      </c>
      <c r="AN15" s="12"/>
      <c r="AO15" s="12">
        <v>0.0</v>
      </c>
      <c r="AP15" s="13" t="str">
        <f>IFERROR(AO15/AO446, "NA")</f>
        <v>NA</v>
      </c>
      <c r="AQ15" s="12"/>
      <c r="AR15" s="15">
        <f t="shared" si="2"/>
        <v>0</v>
      </c>
    </row>
    <row r="16" ht="16.5" hidden="1" customHeight="1">
      <c r="A16" s="11" t="s">
        <v>443</v>
      </c>
      <c r="B16" s="12">
        <v>0.0</v>
      </c>
      <c r="C16" s="13" t="str">
        <f>IFERROR(B16/B446, "NA")</f>
        <v>NA</v>
      </c>
      <c r="D16" s="14"/>
      <c r="E16" s="12">
        <v>0.0</v>
      </c>
      <c r="F16" s="13" t="str">
        <f>IFERROR(E16/E446, "NA")</f>
        <v>NA</v>
      </c>
      <c r="G16" s="14"/>
      <c r="H16" s="12">
        <v>0.0</v>
      </c>
      <c r="I16" s="13" t="str">
        <f>IFERROR(H16/H446, "NA")</f>
        <v>NA</v>
      </c>
      <c r="J16" s="14"/>
      <c r="K16" s="12">
        <v>0.0</v>
      </c>
      <c r="L16" s="13" t="str">
        <f>IFERROR(K16/K446, "NA")</f>
        <v>NA</v>
      </c>
      <c r="M16" s="14"/>
      <c r="N16" s="12">
        <v>0.0</v>
      </c>
      <c r="O16" s="13" t="str">
        <f>IFERROR(N16/N446, "NA")</f>
        <v>NA</v>
      </c>
      <c r="P16" s="14"/>
      <c r="Q16" s="12">
        <v>0.0</v>
      </c>
      <c r="R16" s="13" t="str">
        <f>IFERROR(Q16/Q446, "NA")</f>
        <v>NA</v>
      </c>
      <c r="S16" s="14"/>
      <c r="T16" s="12">
        <v>0.0</v>
      </c>
      <c r="U16" s="13" t="str">
        <f>IFERROR(T16/T446, "NA")</f>
        <v>NA</v>
      </c>
      <c r="V16" s="14"/>
      <c r="W16" s="12">
        <v>0.0</v>
      </c>
      <c r="X16" s="13" t="str">
        <f>IFERROR(W16/W446, "NA")</f>
        <v>NA</v>
      </c>
      <c r="Y16" s="14"/>
      <c r="Z16" s="12">
        <v>0.0</v>
      </c>
      <c r="AA16" s="13" t="str">
        <f>IFERROR(Z16/Z446, "NA")</f>
        <v>NA</v>
      </c>
      <c r="AB16" s="14"/>
      <c r="AC16" s="12">
        <v>0.0</v>
      </c>
      <c r="AD16" s="13" t="str">
        <f>IFERROR(AC16/AC446, "NA")</f>
        <v>NA</v>
      </c>
      <c r="AE16" s="14"/>
      <c r="AF16" s="12">
        <v>0.0</v>
      </c>
      <c r="AG16" s="13" t="str">
        <f>IFERROR(AF16/AF446, "NA")</f>
        <v>NA</v>
      </c>
      <c r="AH16" s="14"/>
      <c r="AI16" s="12">
        <v>0.0</v>
      </c>
      <c r="AJ16" s="13" t="str">
        <f>IFERROR(AI16/AI446, "NA")</f>
        <v>NA</v>
      </c>
      <c r="AK16" s="12"/>
      <c r="AL16" s="15">
        <f t="shared" si="1"/>
        <v>0</v>
      </c>
      <c r="AM16" s="13" t="str">
        <f>IFERROR(AL16/AL446, "NA")</f>
        <v>NA</v>
      </c>
      <c r="AN16" s="12"/>
      <c r="AO16" s="12">
        <v>0.0</v>
      </c>
      <c r="AP16" s="13" t="str">
        <f>IFERROR(AO16/AO446, "NA")</f>
        <v>NA</v>
      </c>
      <c r="AQ16" s="12"/>
      <c r="AR16" s="15">
        <f t="shared" si="2"/>
        <v>0</v>
      </c>
    </row>
    <row r="17" ht="16.5" hidden="1" customHeight="1">
      <c r="A17" s="11" t="s">
        <v>444</v>
      </c>
      <c r="B17" s="12">
        <v>0.0</v>
      </c>
      <c r="C17" s="13" t="str">
        <f>IFERROR(B17/B446, "NA")</f>
        <v>NA</v>
      </c>
      <c r="D17" s="14"/>
      <c r="E17" s="12">
        <v>0.0</v>
      </c>
      <c r="F17" s="13" t="str">
        <f>IFERROR(E17/E446, "NA")</f>
        <v>NA</v>
      </c>
      <c r="G17" s="14"/>
      <c r="H17" s="12">
        <v>0.0</v>
      </c>
      <c r="I17" s="13" t="str">
        <f>IFERROR(H17/H446, "NA")</f>
        <v>NA</v>
      </c>
      <c r="J17" s="14"/>
      <c r="K17" s="12">
        <v>0.0</v>
      </c>
      <c r="L17" s="13" t="str">
        <f>IFERROR(K17/K446, "NA")</f>
        <v>NA</v>
      </c>
      <c r="M17" s="14"/>
      <c r="N17" s="12">
        <v>0.0</v>
      </c>
      <c r="O17" s="13" t="str">
        <f>IFERROR(N17/N446, "NA")</f>
        <v>NA</v>
      </c>
      <c r="P17" s="14"/>
      <c r="Q17" s="12">
        <v>0.0</v>
      </c>
      <c r="R17" s="13" t="str">
        <f>IFERROR(Q17/Q446, "NA")</f>
        <v>NA</v>
      </c>
      <c r="S17" s="14"/>
      <c r="T17" s="12">
        <v>0.0</v>
      </c>
      <c r="U17" s="13" t="str">
        <f>IFERROR(T17/T446, "NA")</f>
        <v>NA</v>
      </c>
      <c r="V17" s="14"/>
      <c r="W17" s="12">
        <v>0.0</v>
      </c>
      <c r="X17" s="13" t="str">
        <f>IFERROR(W17/W446, "NA")</f>
        <v>NA</v>
      </c>
      <c r="Y17" s="14"/>
      <c r="Z17" s="12">
        <v>0.0</v>
      </c>
      <c r="AA17" s="13" t="str">
        <f>IFERROR(Z17/Z446, "NA")</f>
        <v>NA</v>
      </c>
      <c r="AB17" s="14"/>
      <c r="AC17" s="12">
        <v>0.0</v>
      </c>
      <c r="AD17" s="13" t="str">
        <f>IFERROR(AC17/AC446, "NA")</f>
        <v>NA</v>
      </c>
      <c r="AE17" s="14"/>
      <c r="AF17" s="12">
        <v>0.0</v>
      </c>
      <c r="AG17" s="13" t="str">
        <f>IFERROR(AF17/AF446, "NA")</f>
        <v>NA</v>
      </c>
      <c r="AH17" s="14"/>
      <c r="AI17" s="12">
        <v>0.0</v>
      </c>
      <c r="AJ17" s="13" t="str">
        <f>IFERROR(AI17/AI446, "NA")</f>
        <v>NA</v>
      </c>
      <c r="AK17" s="12"/>
      <c r="AL17" s="15">
        <f t="shared" si="1"/>
        <v>0</v>
      </c>
      <c r="AM17" s="13" t="str">
        <f>IFERROR(AL17/AL446, "NA")</f>
        <v>NA</v>
      </c>
      <c r="AN17" s="12"/>
      <c r="AO17" s="12">
        <v>0.0</v>
      </c>
      <c r="AP17" s="13" t="str">
        <f>IFERROR(AO17/AO446, "NA")</f>
        <v>NA</v>
      </c>
      <c r="AQ17" s="12"/>
      <c r="AR17" s="15">
        <f t="shared" si="2"/>
        <v>0</v>
      </c>
    </row>
    <row r="18" ht="16.5" customHeight="1">
      <c r="A18" s="16" t="s">
        <v>23</v>
      </c>
      <c r="B18" s="17">
        <f>IFERROR(B10+B11+B12+B13+B14+B15+B16+B17, "NA")</f>
        <v>0</v>
      </c>
      <c r="C18" s="18" t="str">
        <f>IFERROR(B18/B446, "NA")</f>
        <v>NA</v>
      </c>
      <c r="D18" s="8"/>
      <c r="E18" s="17">
        <f>IFERROR(E10+E11+E12+E13+E14+E15+E16+E17, "NA")</f>
        <v>0</v>
      </c>
      <c r="F18" s="18" t="str">
        <f>IFERROR(E18/E446, "NA")</f>
        <v>NA</v>
      </c>
      <c r="G18" s="8"/>
      <c r="H18" s="17">
        <f>IFERROR(H10+H11+H12+H13+H14+H15+H16+H17, "NA")</f>
        <v>0</v>
      </c>
      <c r="I18" s="18" t="str">
        <f>IFERROR(H18/H446, "NA")</f>
        <v>NA</v>
      </c>
      <c r="J18" s="8"/>
      <c r="K18" s="17">
        <f>IFERROR(K10+K11+K12+K13+K14+K15+K16+K17, "NA")</f>
        <v>0</v>
      </c>
      <c r="L18" s="18" t="str">
        <f>IFERROR(K18/K446, "NA")</f>
        <v>NA</v>
      </c>
      <c r="M18" s="8"/>
      <c r="N18" s="17">
        <f>IFERROR(N10+N11+N12+N13+N14+N15+N16+N17, "NA")</f>
        <v>0</v>
      </c>
      <c r="O18" s="18" t="str">
        <f>IFERROR(N18/N446, "NA")</f>
        <v>NA</v>
      </c>
      <c r="P18" s="8"/>
      <c r="Q18" s="17">
        <f>IFERROR(Q10+Q11+Q12+Q13+Q14+Q15+Q16+Q17, "NA")</f>
        <v>0</v>
      </c>
      <c r="R18" s="18" t="str">
        <f>IFERROR(Q18/Q446, "NA")</f>
        <v>NA</v>
      </c>
      <c r="S18" s="8"/>
      <c r="T18" s="17">
        <f>IFERROR(T10+T11+T12+T13+T14+T15+T16+T17, "NA")</f>
        <v>0</v>
      </c>
      <c r="U18" s="18" t="str">
        <f>IFERROR(T18/T446, "NA")</f>
        <v>NA</v>
      </c>
      <c r="V18" s="8"/>
      <c r="W18" s="17">
        <f>IFERROR(W10+W11+W12+W13+W14+W15+W16+W17, "NA")</f>
        <v>0</v>
      </c>
      <c r="X18" s="18" t="str">
        <f>IFERROR(W18/W446, "NA")</f>
        <v>NA</v>
      </c>
      <c r="Y18" s="8"/>
      <c r="Z18" s="17">
        <f>IFERROR(Z10+Z11+Z12+Z13+Z14+Z15+Z16+Z17, "NA")</f>
        <v>0</v>
      </c>
      <c r="AA18" s="18" t="str">
        <f>IFERROR(Z18/Z446, "NA")</f>
        <v>NA</v>
      </c>
      <c r="AB18" s="8"/>
      <c r="AC18" s="17">
        <f>IFERROR(AC10+AC11+AC12+AC13+AC14+AC15+AC16+AC17, "NA")</f>
        <v>0</v>
      </c>
      <c r="AD18" s="18" t="str">
        <f>IFERROR(AC18/AC446, "NA")</f>
        <v>NA</v>
      </c>
      <c r="AE18" s="8"/>
      <c r="AF18" s="17">
        <f>IFERROR(AF10+AF11+AF12+AF13+AF14+AF15+AF16+AF17, "NA")</f>
        <v>0</v>
      </c>
      <c r="AG18" s="18" t="str">
        <f>IFERROR(AF18/AF446, "NA")</f>
        <v>NA</v>
      </c>
      <c r="AH18" s="8"/>
      <c r="AI18" s="17">
        <f>IFERROR(AI10+AI11+AI12+AI13+AI14+AI15+AI16+AI17, "NA")</f>
        <v>0</v>
      </c>
      <c r="AJ18" s="18" t="str">
        <f>IFERROR(AI18/AI446, "NA")</f>
        <v>NA</v>
      </c>
      <c r="AK18" s="8"/>
      <c r="AL18" s="17">
        <f t="shared" si="1"/>
        <v>0</v>
      </c>
      <c r="AM18" s="18" t="str">
        <f>IFERROR(AL18/AL446, "NA")</f>
        <v>NA</v>
      </c>
      <c r="AN18" s="8"/>
      <c r="AO18" s="17">
        <f>IFERROR(AO10+AO11+AO12+AO13+AO14+AO15+AO16+AO17, "NA")</f>
        <v>0</v>
      </c>
      <c r="AP18" s="18" t="str">
        <f>IFERROR(AO18/AO446, "NA")</f>
        <v>NA</v>
      </c>
      <c r="AQ18" s="8"/>
      <c r="AR18" s="17">
        <f t="shared" si="2"/>
        <v>0</v>
      </c>
    </row>
    <row r="19" ht="16.5" hidden="1" customHeight="1">
      <c r="A19" s="11" t="s">
        <v>445</v>
      </c>
      <c r="B19" s="12">
        <v>0.0</v>
      </c>
      <c r="C19" s="13" t="str">
        <f>IFERROR(B19/B446, "NA")</f>
        <v>NA</v>
      </c>
      <c r="D19" s="14"/>
      <c r="E19" s="12">
        <v>0.0</v>
      </c>
      <c r="F19" s="13" t="str">
        <f>IFERROR(E19/E446, "NA")</f>
        <v>NA</v>
      </c>
      <c r="G19" s="14"/>
      <c r="H19" s="12">
        <v>0.0</v>
      </c>
      <c r="I19" s="13" t="str">
        <f>IFERROR(H19/H446, "NA")</f>
        <v>NA</v>
      </c>
      <c r="J19" s="14"/>
      <c r="K19" s="12">
        <v>0.0</v>
      </c>
      <c r="L19" s="13" t="str">
        <f>IFERROR(K19/K446, "NA")</f>
        <v>NA</v>
      </c>
      <c r="M19" s="14"/>
      <c r="N19" s="12">
        <v>0.0</v>
      </c>
      <c r="O19" s="13" t="str">
        <f>IFERROR(N19/N446, "NA")</f>
        <v>NA</v>
      </c>
      <c r="P19" s="14"/>
      <c r="Q19" s="12">
        <v>0.0</v>
      </c>
      <c r="R19" s="13" t="str">
        <f>IFERROR(Q19/Q446, "NA")</f>
        <v>NA</v>
      </c>
      <c r="S19" s="14"/>
      <c r="T19" s="12">
        <v>0.0</v>
      </c>
      <c r="U19" s="13" t="str">
        <f>IFERROR(T19/T446, "NA")</f>
        <v>NA</v>
      </c>
      <c r="V19" s="14"/>
      <c r="W19" s="12">
        <v>0.0</v>
      </c>
      <c r="X19" s="13" t="str">
        <f>IFERROR(W19/W446, "NA")</f>
        <v>NA</v>
      </c>
      <c r="Y19" s="14"/>
      <c r="Z19" s="12">
        <v>0.0</v>
      </c>
      <c r="AA19" s="13" t="str">
        <f>IFERROR(Z19/Z446, "NA")</f>
        <v>NA</v>
      </c>
      <c r="AB19" s="14"/>
      <c r="AC19" s="12">
        <v>0.0</v>
      </c>
      <c r="AD19" s="13" t="str">
        <f>IFERROR(AC19/AC446, "NA")</f>
        <v>NA</v>
      </c>
      <c r="AE19" s="14"/>
      <c r="AF19" s="12">
        <v>0.0</v>
      </c>
      <c r="AG19" s="13" t="str">
        <f>IFERROR(AF19/AF446, "NA")</f>
        <v>NA</v>
      </c>
      <c r="AH19" s="14"/>
      <c r="AI19" s="12">
        <v>0.0</v>
      </c>
      <c r="AJ19" s="13" t="str">
        <f>IFERROR(AI19/AI446, "NA")</f>
        <v>NA</v>
      </c>
      <c r="AK19" s="12"/>
      <c r="AL19" s="15">
        <f t="shared" si="1"/>
        <v>0</v>
      </c>
      <c r="AM19" s="13" t="str">
        <f>IFERROR(AL19/AL446, "NA")</f>
        <v>NA</v>
      </c>
      <c r="AN19" s="12"/>
      <c r="AO19" s="12">
        <v>0.0</v>
      </c>
      <c r="AP19" s="13" t="str">
        <f>IFERROR(AO19/AO446, "NA")</f>
        <v>NA</v>
      </c>
      <c r="AQ19" s="12"/>
      <c r="AR19" s="15">
        <f t="shared" si="2"/>
        <v>0</v>
      </c>
    </row>
    <row r="20" ht="16.5" customHeight="1">
      <c r="A20" s="7" t="s">
        <v>25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  <c r="AE20" s="10"/>
      <c r="AF20" s="8"/>
      <c r="AG20" s="9"/>
      <c r="AH20" s="10"/>
      <c r="AI20" s="8"/>
      <c r="AJ20" s="9"/>
      <c r="AK20" s="8"/>
      <c r="AL20" s="8"/>
      <c r="AM20" s="9"/>
      <c r="AN20" s="8"/>
      <c r="AO20" s="8"/>
      <c r="AP20" s="9"/>
      <c r="AQ20" s="8"/>
      <c r="AR20" s="8"/>
    </row>
    <row r="21" ht="16.5" hidden="1" customHeight="1">
      <c r="A21" s="11" t="s">
        <v>446</v>
      </c>
      <c r="B21" s="12">
        <v>0.0</v>
      </c>
      <c r="C21" s="13" t="str">
        <f>IFERROR(B21/B446, "NA")</f>
        <v>NA</v>
      </c>
      <c r="D21" s="14"/>
      <c r="E21" s="12">
        <v>0.0</v>
      </c>
      <c r="F21" s="13" t="str">
        <f>IFERROR(E21/E446, "NA")</f>
        <v>NA</v>
      </c>
      <c r="G21" s="14"/>
      <c r="H21" s="12">
        <v>0.0</v>
      </c>
      <c r="I21" s="13" t="str">
        <f>IFERROR(H21/H446, "NA")</f>
        <v>NA</v>
      </c>
      <c r="J21" s="14"/>
      <c r="K21" s="12">
        <v>0.0</v>
      </c>
      <c r="L21" s="13" t="str">
        <f>IFERROR(K21/K446, "NA")</f>
        <v>NA</v>
      </c>
      <c r="M21" s="14"/>
      <c r="N21" s="12">
        <v>0.0</v>
      </c>
      <c r="O21" s="13" t="str">
        <f>IFERROR(N21/N446, "NA")</f>
        <v>NA</v>
      </c>
      <c r="P21" s="14"/>
      <c r="Q21" s="12">
        <v>0.0</v>
      </c>
      <c r="R21" s="13" t="str">
        <f>IFERROR(Q21/Q446, "NA")</f>
        <v>NA</v>
      </c>
      <c r="S21" s="14"/>
      <c r="T21" s="12">
        <v>0.0</v>
      </c>
      <c r="U21" s="13" t="str">
        <f>IFERROR(T21/T446, "NA")</f>
        <v>NA</v>
      </c>
      <c r="V21" s="14"/>
      <c r="W21" s="12">
        <v>0.0</v>
      </c>
      <c r="X21" s="13" t="str">
        <f>IFERROR(W21/W446, "NA")</f>
        <v>NA</v>
      </c>
      <c r="Y21" s="14"/>
      <c r="Z21" s="12">
        <v>0.0</v>
      </c>
      <c r="AA21" s="13" t="str">
        <f>IFERROR(Z21/Z446, "NA")</f>
        <v>NA</v>
      </c>
      <c r="AB21" s="14"/>
      <c r="AC21" s="12">
        <v>0.0</v>
      </c>
      <c r="AD21" s="13" t="str">
        <f>IFERROR(AC21/AC446, "NA")</f>
        <v>NA</v>
      </c>
      <c r="AE21" s="14"/>
      <c r="AF21" s="12">
        <v>0.0</v>
      </c>
      <c r="AG21" s="13" t="str">
        <f>IFERROR(AF21/AF446, "NA")</f>
        <v>NA</v>
      </c>
      <c r="AH21" s="14"/>
      <c r="AI21" s="12">
        <v>0.0</v>
      </c>
      <c r="AJ21" s="13" t="str">
        <f>IFERROR(AI21/AI446, "NA")</f>
        <v>NA</v>
      </c>
      <c r="AK21" s="12"/>
      <c r="AL21" s="15">
        <f t="shared" ref="AL21:AL29" si="3">IFERROR(B21+E21+H21+K21+N21+Q21+T21+W21+Z21+AC21+AF21+AI21, "NA")</f>
        <v>0</v>
      </c>
      <c r="AM21" s="13" t="str">
        <f>IFERROR(AL21/AL446, "NA")</f>
        <v>NA</v>
      </c>
      <c r="AN21" s="12"/>
      <c r="AO21" s="12">
        <v>0.0</v>
      </c>
      <c r="AP21" s="13" t="str">
        <f>IFERROR(AO21/AO446, "NA")</f>
        <v>NA</v>
      </c>
      <c r="AQ21" s="12"/>
      <c r="AR21" s="15">
        <f t="shared" ref="AR21:AR29" si="4">IFERROR(AL21-AO21, "NA")</f>
        <v>0</v>
      </c>
    </row>
    <row r="22" ht="16.5" hidden="1" customHeight="1">
      <c r="A22" s="11" t="s">
        <v>447</v>
      </c>
      <c r="B22" s="12">
        <v>0.0</v>
      </c>
      <c r="C22" s="13" t="str">
        <f>IFERROR(B22/B446, "NA")</f>
        <v>NA</v>
      </c>
      <c r="D22" s="14"/>
      <c r="E22" s="12">
        <v>0.0</v>
      </c>
      <c r="F22" s="13" t="str">
        <f>IFERROR(E22/E446, "NA")</f>
        <v>NA</v>
      </c>
      <c r="G22" s="14"/>
      <c r="H22" s="12">
        <v>0.0</v>
      </c>
      <c r="I22" s="13" t="str">
        <f>IFERROR(H22/H446, "NA")</f>
        <v>NA</v>
      </c>
      <c r="J22" s="14"/>
      <c r="K22" s="12">
        <v>0.0</v>
      </c>
      <c r="L22" s="13" t="str">
        <f>IFERROR(K22/K446, "NA")</f>
        <v>NA</v>
      </c>
      <c r="M22" s="14"/>
      <c r="N22" s="12">
        <v>0.0</v>
      </c>
      <c r="O22" s="13" t="str">
        <f>IFERROR(N22/N446, "NA")</f>
        <v>NA</v>
      </c>
      <c r="P22" s="14"/>
      <c r="Q22" s="12">
        <v>0.0</v>
      </c>
      <c r="R22" s="13" t="str">
        <f>IFERROR(Q22/Q446, "NA")</f>
        <v>NA</v>
      </c>
      <c r="S22" s="14"/>
      <c r="T22" s="12">
        <v>0.0</v>
      </c>
      <c r="U22" s="13" t="str">
        <f>IFERROR(T22/T446, "NA")</f>
        <v>NA</v>
      </c>
      <c r="V22" s="14"/>
      <c r="W22" s="12">
        <v>0.0</v>
      </c>
      <c r="X22" s="13" t="str">
        <f>IFERROR(W22/W446, "NA")</f>
        <v>NA</v>
      </c>
      <c r="Y22" s="14"/>
      <c r="Z22" s="12">
        <v>0.0</v>
      </c>
      <c r="AA22" s="13" t="str">
        <f>IFERROR(Z22/Z446, "NA")</f>
        <v>NA</v>
      </c>
      <c r="AB22" s="14"/>
      <c r="AC22" s="12">
        <v>0.0</v>
      </c>
      <c r="AD22" s="13" t="str">
        <f>IFERROR(AC22/AC446, "NA")</f>
        <v>NA</v>
      </c>
      <c r="AE22" s="14"/>
      <c r="AF22" s="12">
        <v>0.0</v>
      </c>
      <c r="AG22" s="13" t="str">
        <f>IFERROR(AF22/AF446, "NA")</f>
        <v>NA</v>
      </c>
      <c r="AH22" s="14"/>
      <c r="AI22" s="12">
        <v>0.0</v>
      </c>
      <c r="AJ22" s="13" t="str">
        <f>IFERROR(AI22/AI446, "NA")</f>
        <v>NA</v>
      </c>
      <c r="AK22" s="12"/>
      <c r="AL22" s="15">
        <f t="shared" si="3"/>
        <v>0</v>
      </c>
      <c r="AM22" s="13" t="str">
        <f>IFERROR(AL22/AL446, "NA")</f>
        <v>NA</v>
      </c>
      <c r="AN22" s="12"/>
      <c r="AO22" s="12">
        <v>0.0</v>
      </c>
      <c r="AP22" s="13" t="str">
        <f>IFERROR(AO22/AO446, "NA")</f>
        <v>NA</v>
      </c>
      <c r="AQ22" s="12"/>
      <c r="AR22" s="15">
        <f t="shared" si="4"/>
        <v>0</v>
      </c>
    </row>
    <row r="23" ht="16.5" hidden="1" customHeight="1">
      <c r="A23" s="11" t="s">
        <v>448</v>
      </c>
      <c r="B23" s="12">
        <v>0.0</v>
      </c>
      <c r="C23" s="13" t="str">
        <f>IFERROR(B23/B446, "NA")</f>
        <v>NA</v>
      </c>
      <c r="D23" s="14"/>
      <c r="E23" s="12">
        <v>0.0</v>
      </c>
      <c r="F23" s="13" t="str">
        <f>IFERROR(E23/E446, "NA")</f>
        <v>NA</v>
      </c>
      <c r="G23" s="14"/>
      <c r="H23" s="12">
        <v>0.0</v>
      </c>
      <c r="I23" s="13" t="str">
        <f>IFERROR(H23/H446, "NA")</f>
        <v>NA</v>
      </c>
      <c r="J23" s="14"/>
      <c r="K23" s="12">
        <v>0.0</v>
      </c>
      <c r="L23" s="13" t="str">
        <f>IFERROR(K23/K446, "NA")</f>
        <v>NA</v>
      </c>
      <c r="M23" s="14"/>
      <c r="N23" s="12">
        <v>0.0</v>
      </c>
      <c r="O23" s="13" t="str">
        <f>IFERROR(N23/N446, "NA")</f>
        <v>NA</v>
      </c>
      <c r="P23" s="14"/>
      <c r="Q23" s="12">
        <v>0.0</v>
      </c>
      <c r="R23" s="13" t="str">
        <f>IFERROR(Q23/Q446, "NA")</f>
        <v>NA</v>
      </c>
      <c r="S23" s="14"/>
      <c r="T23" s="12">
        <v>0.0</v>
      </c>
      <c r="U23" s="13" t="str">
        <f>IFERROR(T23/T446, "NA")</f>
        <v>NA</v>
      </c>
      <c r="V23" s="14"/>
      <c r="W23" s="12">
        <v>0.0</v>
      </c>
      <c r="X23" s="13" t="str">
        <f>IFERROR(W23/W446, "NA")</f>
        <v>NA</v>
      </c>
      <c r="Y23" s="14"/>
      <c r="Z23" s="12">
        <v>0.0</v>
      </c>
      <c r="AA23" s="13" t="str">
        <f>IFERROR(Z23/Z446, "NA")</f>
        <v>NA</v>
      </c>
      <c r="AB23" s="14"/>
      <c r="AC23" s="12">
        <v>0.0</v>
      </c>
      <c r="AD23" s="13" t="str">
        <f>IFERROR(AC23/AC446, "NA")</f>
        <v>NA</v>
      </c>
      <c r="AE23" s="14"/>
      <c r="AF23" s="12">
        <v>0.0</v>
      </c>
      <c r="AG23" s="13" t="str">
        <f>IFERROR(AF23/AF446, "NA")</f>
        <v>NA</v>
      </c>
      <c r="AH23" s="14"/>
      <c r="AI23" s="12">
        <v>0.0</v>
      </c>
      <c r="AJ23" s="13" t="str">
        <f>IFERROR(AI23/AI446, "NA")</f>
        <v>NA</v>
      </c>
      <c r="AK23" s="12"/>
      <c r="AL23" s="15">
        <f t="shared" si="3"/>
        <v>0</v>
      </c>
      <c r="AM23" s="13" t="str">
        <f>IFERROR(AL23/AL446, "NA")</f>
        <v>NA</v>
      </c>
      <c r="AN23" s="12"/>
      <c r="AO23" s="12">
        <v>0.0</v>
      </c>
      <c r="AP23" s="13" t="str">
        <f>IFERROR(AO23/AO446, "NA")</f>
        <v>NA</v>
      </c>
      <c r="AQ23" s="12"/>
      <c r="AR23" s="15">
        <f t="shared" si="4"/>
        <v>0</v>
      </c>
    </row>
    <row r="24" ht="16.5" hidden="1" customHeight="1">
      <c r="A24" s="11" t="s">
        <v>449</v>
      </c>
      <c r="B24" s="12">
        <v>0.0</v>
      </c>
      <c r="C24" s="13" t="str">
        <f>IFERROR(B24/B446, "NA")</f>
        <v>NA</v>
      </c>
      <c r="D24" s="14"/>
      <c r="E24" s="12">
        <v>0.0</v>
      </c>
      <c r="F24" s="13" t="str">
        <f>IFERROR(E24/E446, "NA")</f>
        <v>NA</v>
      </c>
      <c r="G24" s="14"/>
      <c r="H24" s="12">
        <v>0.0</v>
      </c>
      <c r="I24" s="13" t="str">
        <f>IFERROR(H24/H446, "NA")</f>
        <v>NA</v>
      </c>
      <c r="J24" s="14"/>
      <c r="K24" s="12">
        <v>0.0</v>
      </c>
      <c r="L24" s="13" t="str">
        <f>IFERROR(K24/K446, "NA")</f>
        <v>NA</v>
      </c>
      <c r="M24" s="14"/>
      <c r="N24" s="12">
        <v>0.0</v>
      </c>
      <c r="O24" s="13" t="str">
        <f>IFERROR(N24/N446, "NA")</f>
        <v>NA</v>
      </c>
      <c r="P24" s="14"/>
      <c r="Q24" s="12">
        <v>0.0</v>
      </c>
      <c r="R24" s="13" t="str">
        <f>IFERROR(Q24/Q446, "NA")</f>
        <v>NA</v>
      </c>
      <c r="S24" s="14"/>
      <c r="T24" s="12">
        <v>0.0</v>
      </c>
      <c r="U24" s="13" t="str">
        <f>IFERROR(T24/T446, "NA")</f>
        <v>NA</v>
      </c>
      <c r="V24" s="14"/>
      <c r="W24" s="12">
        <v>0.0</v>
      </c>
      <c r="X24" s="13" t="str">
        <f>IFERROR(W24/W446, "NA")</f>
        <v>NA</v>
      </c>
      <c r="Y24" s="14"/>
      <c r="Z24" s="12">
        <v>0.0</v>
      </c>
      <c r="AA24" s="13" t="str">
        <f>IFERROR(Z24/Z446, "NA")</f>
        <v>NA</v>
      </c>
      <c r="AB24" s="14"/>
      <c r="AC24" s="12">
        <v>0.0</v>
      </c>
      <c r="AD24" s="13" t="str">
        <f>IFERROR(AC24/AC446, "NA")</f>
        <v>NA</v>
      </c>
      <c r="AE24" s="14"/>
      <c r="AF24" s="12">
        <v>0.0</v>
      </c>
      <c r="AG24" s="13" t="str">
        <f>IFERROR(AF24/AF446, "NA")</f>
        <v>NA</v>
      </c>
      <c r="AH24" s="14"/>
      <c r="AI24" s="12">
        <v>0.0</v>
      </c>
      <c r="AJ24" s="13" t="str">
        <f>IFERROR(AI24/AI446, "NA")</f>
        <v>NA</v>
      </c>
      <c r="AK24" s="12"/>
      <c r="AL24" s="15">
        <f t="shared" si="3"/>
        <v>0</v>
      </c>
      <c r="AM24" s="13" t="str">
        <f>IFERROR(AL24/AL446, "NA")</f>
        <v>NA</v>
      </c>
      <c r="AN24" s="12"/>
      <c r="AO24" s="12">
        <v>0.0</v>
      </c>
      <c r="AP24" s="13" t="str">
        <f>IFERROR(AO24/AO446, "NA")</f>
        <v>NA</v>
      </c>
      <c r="AQ24" s="12"/>
      <c r="AR24" s="15">
        <f t="shared" si="4"/>
        <v>0</v>
      </c>
    </row>
    <row r="25" ht="16.5" hidden="1" customHeight="1">
      <c r="A25" s="11" t="s">
        <v>450</v>
      </c>
      <c r="B25" s="12">
        <v>0.0</v>
      </c>
      <c r="C25" s="13" t="str">
        <f>IFERROR(B25/B446, "NA")</f>
        <v>NA</v>
      </c>
      <c r="D25" s="14"/>
      <c r="E25" s="12">
        <v>0.0</v>
      </c>
      <c r="F25" s="13" t="str">
        <f>IFERROR(E25/E446, "NA")</f>
        <v>NA</v>
      </c>
      <c r="G25" s="14"/>
      <c r="H25" s="12">
        <v>0.0</v>
      </c>
      <c r="I25" s="13" t="str">
        <f>IFERROR(H25/H446, "NA")</f>
        <v>NA</v>
      </c>
      <c r="J25" s="14"/>
      <c r="K25" s="12">
        <v>0.0</v>
      </c>
      <c r="L25" s="13" t="str">
        <f>IFERROR(K25/K446, "NA")</f>
        <v>NA</v>
      </c>
      <c r="M25" s="14"/>
      <c r="N25" s="12">
        <v>0.0</v>
      </c>
      <c r="O25" s="13" t="str">
        <f>IFERROR(N25/N446, "NA")</f>
        <v>NA</v>
      </c>
      <c r="P25" s="14"/>
      <c r="Q25" s="12">
        <v>0.0</v>
      </c>
      <c r="R25" s="13" t="str">
        <f>IFERROR(Q25/Q446, "NA")</f>
        <v>NA</v>
      </c>
      <c r="S25" s="14"/>
      <c r="T25" s="12">
        <v>0.0</v>
      </c>
      <c r="U25" s="13" t="str">
        <f>IFERROR(T25/T446, "NA")</f>
        <v>NA</v>
      </c>
      <c r="V25" s="14"/>
      <c r="W25" s="12">
        <v>0.0</v>
      </c>
      <c r="X25" s="13" t="str">
        <f>IFERROR(W25/W446, "NA")</f>
        <v>NA</v>
      </c>
      <c r="Y25" s="14"/>
      <c r="Z25" s="12">
        <v>0.0</v>
      </c>
      <c r="AA25" s="13" t="str">
        <f>IFERROR(Z25/Z446, "NA")</f>
        <v>NA</v>
      </c>
      <c r="AB25" s="14"/>
      <c r="AC25" s="12">
        <v>0.0</v>
      </c>
      <c r="AD25" s="13" t="str">
        <f>IFERROR(AC25/AC446, "NA")</f>
        <v>NA</v>
      </c>
      <c r="AE25" s="14"/>
      <c r="AF25" s="12">
        <v>0.0</v>
      </c>
      <c r="AG25" s="13" t="str">
        <f>IFERROR(AF25/AF446, "NA")</f>
        <v>NA</v>
      </c>
      <c r="AH25" s="14"/>
      <c r="AI25" s="12">
        <v>0.0</v>
      </c>
      <c r="AJ25" s="13" t="str">
        <f>IFERROR(AI25/AI446, "NA")</f>
        <v>NA</v>
      </c>
      <c r="AK25" s="12"/>
      <c r="AL25" s="15">
        <f t="shared" si="3"/>
        <v>0</v>
      </c>
      <c r="AM25" s="13" t="str">
        <f>IFERROR(AL25/AL446, "NA")</f>
        <v>NA</v>
      </c>
      <c r="AN25" s="12"/>
      <c r="AO25" s="12">
        <v>0.0</v>
      </c>
      <c r="AP25" s="13" t="str">
        <f>IFERROR(AO25/AO446, "NA")</f>
        <v>NA</v>
      </c>
      <c r="AQ25" s="12"/>
      <c r="AR25" s="15">
        <f t="shared" si="4"/>
        <v>0</v>
      </c>
    </row>
    <row r="26" ht="16.5" hidden="1" customHeight="1">
      <c r="A26" s="11" t="s">
        <v>451</v>
      </c>
      <c r="B26" s="12">
        <v>0.0</v>
      </c>
      <c r="C26" s="13" t="str">
        <f>IFERROR(B26/B446, "NA")</f>
        <v>NA</v>
      </c>
      <c r="D26" s="14"/>
      <c r="E26" s="12">
        <v>0.0</v>
      </c>
      <c r="F26" s="13" t="str">
        <f>IFERROR(E26/E446, "NA")</f>
        <v>NA</v>
      </c>
      <c r="G26" s="14"/>
      <c r="H26" s="12">
        <v>0.0</v>
      </c>
      <c r="I26" s="13" t="str">
        <f>IFERROR(H26/H446, "NA")</f>
        <v>NA</v>
      </c>
      <c r="J26" s="14"/>
      <c r="K26" s="12">
        <v>0.0</v>
      </c>
      <c r="L26" s="13" t="str">
        <f>IFERROR(K26/K446, "NA")</f>
        <v>NA</v>
      </c>
      <c r="M26" s="14"/>
      <c r="N26" s="12">
        <v>0.0</v>
      </c>
      <c r="O26" s="13" t="str">
        <f>IFERROR(N26/N446, "NA")</f>
        <v>NA</v>
      </c>
      <c r="P26" s="14"/>
      <c r="Q26" s="12">
        <v>0.0</v>
      </c>
      <c r="R26" s="13" t="str">
        <f>IFERROR(Q26/Q446, "NA")</f>
        <v>NA</v>
      </c>
      <c r="S26" s="14"/>
      <c r="T26" s="12">
        <v>0.0</v>
      </c>
      <c r="U26" s="13" t="str">
        <f>IFERROR(T26/T446, "NA")</f>
        <v>NA</v>
      </c>
      <c r="V26" s="14"/>
      <c r="W26" s="12">
        <v>0.0</v>
      </c>
      <c r="X26" s="13" t="str">
        <f>IFERROR(W26/W446, "NA")</f>
        <v>NA</v>
      </c>
      <c r="Y26" s="14"/>
      <c r="Z26" s="12">
        <v>0.0</v>
      </c>
      <c r="AA26" s="13" t="str">
        <f>IFERROR(Z26/Z446, "NA")</f>
        <v>NA</v>
      </c>
      <c r="AB26" s="14"/>
      <c r="AC26" s="12">
        <v>0.0</v>
      </c>
      <c r="AD26" s="13" t="str">
        <f>IFERROR(AC26/AC446, "NA")</f>
        <v>NA</v>
      </c>
      <c r="AE26" s="14"/>
      <c r="AF26" s="12">
        <v>0.0</v>
      </c>
      <c r="AG26" s="13" t="str">
        <f>IFERROR(AF26/AF446, "NA")</f>
        <v>NA</v>
      </c>
      <c r="AH26" s="14"/>
      <c r="AI26" s="12">
        <v>0.0</v>
      </c>
      <c r="AJ26" s="13" t="str">
        <f>IFERROR(AI26/AI446, "NA")</f>
        <v>NA</v>
      </c>
      <c r="AK26" s="12"/>
      <c r="AL26" s="15">
        <f t="shared" si="3"/>
        <v>0</v>
      </c>
      <c r="AM26" s="13" t="str">
        <f>IFERROR(AL26/AL446, "NA")</f>
        <v>NA</v>
      </c>
      <c r="AN26" s="12"/>
      <c r="AO26" s="12">
        <v>0.0</v>
      </c>
      <c r="AP26" s="13" t="str">
        <f>IFERROR(AO26/AO446, "NA")</f>
        <v>NA</v>
      </c>
      <c r="AQ26" s="12"/>
      <c r="AR26" s="15">
        <f t="shared" si="4"/>
        <v>0</v>
      </c>
    </row>
    <row r="27" ht="16.5" hidden="1" customHeight="1">
      <c r="A27" s="11" t="s">
        <v>452</v>
      </c>
      <c r="B27" s="12">
        <v>0.0</v>
      </c>
      <c r="C27" s="13" t="str">
        <f>IFERROR(B27/B446, "NA")</f>
        <v>NA</v>
      </c>
      <c r="D27" s="14"/>
      <c r="E27" s="12">
        <v>0.0</v>
      </c>
      <c r="F27" s="13" t="str">
        <f>IFERROR(E27/E446, "NA")</f>
        <v>NA</v>
      </c>
      <c r="G27" s="14"/>
      <c r="H27" s="12">
        <v>0.0</v>
      </c>
      <c r="I27" s="13" t="str">
        <f>IFERROR(H27/H446, "NA")</f>
        <v>NA</v>
      </c>
      <c r="J27" s="14"/>
      <c r="K27" s="12">
        <v>0.0</v>
      </c>
      <c r="L27" s="13" t="str">
        <f>IFERROR(K27/K446, "NA")</f>
        <v>NA</v>
      </c>
      <c r="M27" s="14"/>
      <c r="N27" s="12">
        <v>0.0</v>
      </c>
      <c r="O27" s="13" t="str">
        <f>IFERROR(N27/N446, "NA")</f>
        <v>NA</v>
      </c>
      <c r="P27" s="14"/>
      <c r="Q27" s="12">
        <v>0.0</v>
      </c>
      <c r="R27" s="13" t="str">
        <f>IFERROR(Q27/Q446, "NA")</f>
        <v>NA</v>
      </c>
      <c r="S27" s="14"/>
      <c r="T27" s="12">
        <v>0.0</v>
      </c>
      <c r="U27" s="13" t="str">
        <f>IFERROR(T27/T446, "NA")</f>
        <v>NA</v>
      </c>
      <c r="V27" s="14"/>
      <c r="W27" s="12">
        <v>0.0</v>
      </c>
      <c r="X27" s="13" t="str">
        <f>IFERROR(W27/W446, "NA")</f>
        <v>NA</v>
      </c>
      <c r="Y27" s="14"/>
      <c r="Z27" s="12">
        <v>0.0</v>
      </c>
      <c r="AA27" s="13" t="str">
        <f>IFERROR(Z27/Z446, "NA")</f>
        <v>NA</v>
      </c>
      <c r="AB27" s="14"/>
      <c r="AC27" s="12">
        <v>0.0</v>
      </c>
      <c r="AD27" s="13" t="str">
        <f>IFERROR(AC27/AC446, "NA")</f>
        <v>NA</v>
      </c>
      <c r="AE27" s="14"/>
      <c r="AF27" s="12">
        <v>0.0</v>
      </c>
      <c r="AG27" s="13" t="str">
        <f>IFERROR(AF27/AF446, "NA")</f>
        <v>NA</v>
      </c>
      <c r="AH27" s="14"/>
      <c r="AI27" s="12">
        <v>0.0</v>
      </c>
      <c r="AJ27" s="13" t="str">
        <f>IFERROR(AI27/AI446, "NA")</f>
        <v>NA</v>
      </c>
      <c r="AK27" s="12"/>
      <c r="AL27" s="15">
        <f t="shared" si="3"/>
        <v>0</v>
      </c>
      <c r="AM27" s="13" t="str">
        <f>IFERROR(AL27/AL446, "NA")</f>
        <v>NA</v>
      </c>
      <c r="AN27" s="12"/>
      <c r="AO27" s="12">
        <v>0.0</v>
      </c>
      <c r="AP27" s="13" t="str">
        <f>IFERROR(AO27/AO446, "NA")</f>
        <v>NA</v>
      </c>
      <c r="AQ27" s="12"/>
      <c r="AR27" s="15">
        <f t="shared" si="4"/>
        <v>0</v>
      </c>
    </row>
    <row r="28" ht="16.5" hidden="1" customHeight="1">
      <c r="A28" s="11" t="s">
        <v>453</v>
      </c>
      <c r="B28" s="12">
        <v>0.0</v>
      </c>
      <c r="C28" s="13" t="str">
        <f>IFERROR(B28/B446, "NA")</f>
        <v>NA</v>
      </c>
      <c r="D28" s="14"/>
      <c r="E28" s="12">
        <v>0.0</v>
      </c>
      <c r="F28" s="13" t="str">
        <f>IFERROR(E28/E446, "NA")</f>
        <v>NA</v>
      </c>
      <c r="G28" s="14"/>
      <c r="H28" s="12">
        <v>0.0</v>
      </c>
      <c r="I28" s="13" t="str">
        <f>IFERROR(H28/H446, "NA")</f>
        <v>NA</v>
      </c>
      <c r="J28" s="14"/>
      <c r="K28" s="12">
        <v>0.0</v>
      </c>
      <c r="L28" s="13" t="str">
        <f>IFERROR(K28/K446, "NA")</f>
        <v>NA</v>
      </c>
      <c r="M28" s="14"/>
      <c r="N28" s="12">
        <v>0.0</v>
      </c>
      <c r="O28" s="13" t="str">
        <f>IFERROR(N28/N446, "NA")</f>
        <v>NA</v>
      </c>
      <c r="P28" s="14"/>
      <c r="Q28" s="12">
        <v>0.0</v>
      </c>
      <c r="R28" s="13" t="str">
        <f>IFERROR(Q28/Q446, "NA")</f>
        <v>NA</v>
      </c>
      <c r="S28" s="14"/>
      <c r="T28" s="12">
        <v>0.0</v>
      </c>
      <c r="U28" s="13" t="str">
        <f>IFERROR(T28/T446, "NA")</f>
        <v>NA</v>
      </c>
      <c r="V28" s="14"/>
      <c r="W28" s="12">
        <v>0.0</v>
      </c>
      <c r="X28" s="13" t="str">
        <f>IFERROR(W28/W446, "NA")</f>
        <v>NA</v>
      </c>
      <c r="Y28" s="14"/>
      <c r="Z28" s="12">
        <v>0.0</v>
      </c>
      <c r="AA28" s="13" t="str">
        <f>IFERROR(Z28/Z446, "NA")</f>
        <v>NA</v>
      </c>
      <c r="AB28" s="14"/>
      <c r="AC28" s="12">
        <v>0.0</v>
      </c>
      <c r="AD28" s="13" t="str">
        <f>IFERROR(AC28/AC446, "NA")</f>
        <v>NA</v>
      </c>
      <c r="AE28" s="14"/>
      <c r="AF28" s="12">
        <v>0.0</v>
      </c>
      <c r="AG28" s="13" t="str">
        <f>IFERROR(AF28/AF446, "NA")</f>
        <v>NA</v>
      </c>
      <c r="AH28" s="14"/>
      <c r="AI28" s="12">
        <v>0.0</v>
      </c>
      <c r="AJ28" s="13" t="str">
        <f>IFERROR(AI28/AI446, "NA")</f>
        <v>NA</v>
      </c>
      <c r="AK28" s="12"/>
      <c r="AL28" s="15">
        <f t="shared" si="3"/>
        <v>0</v>
      </c>
      <c r="AM28" s="13" t="str">
        <f>IFERROR(AL28/AL446, "NA")</f>
        <v>NA</v>
      </c>
      <c r="AN28" s="12"/>
      <c r="AO28" s="12">
        <v>0.0</v>
      </c>
      <c r="AP28" s="13" t="str">
        <f>IFERROR(AO28/AO446, "NA")</f>
        <v>NA</v>
      </c>
      <c r="AQ28" s="12"/>
      <c r="AR28" s="15">
        <f t="shared" si="4"/>
        <v>0</v>
      </c>
    </row>
    <row r="29" ht="16.5" customHeight="1">
      <c r="A29" s="16" t="s">
        <v>33</v>
      </c>
      <c r="B29" s="17">
        <f>IFERROR(B21+B22+B23+B24+B25+B26+B27+B28, "NA")</f>
        <v>0</v>
      </c>
      <c r="C29" s="18" t="str">
        <f>IFERROR(B29/B446, "NA")</f>
        <v>NA</v>
      </c>
      <c r="D29" s="8"/>
      <c r="E29" s="17">
        <f>IFERROR(E21+E22+E23+E24+E25+E26+E27+E28, "NA")</f>
        <v>0</v>
      </c>
      <c r="F29" s="18" t="str">
        <f>IFERROR(E29/E446, "NA")</f>
        <v>NA</v>
      </c>
      <c r="G29" s="8"/>
      <c r="H29" s="17">
        <f>IFERROR(H21+H22+H23+H24+H25+H26+H27+H28, "NA")</f>
        <v>0</v>
      </c>
      <c r="I29" s="18" t="str">
        <f>IFERROR(H29/H446, "NA")</f>
        <v>NA</v>
      </c>
      <c r="J29" s="8"/>
      <c r="K29" s="17">
        <f>IFERROR(K21+K22+K23+K24+K25+K26+K27+K28, "NA")</f>
        <v>0</v>
      </c>
      <c r="L29" s="18" t="str">
        <f>IFERROR(K29/K446, "NA")</f>
        <v>NA</v>
      </c>
      <c r="M29" s="8"/>
      <c r="N29" s="17">
        <f>IFERROR(N21+N22+N23+N24+N25+N26+N27+N28, "NA")</f>
        <v>0</v>
      </c>
      <c r="O29" s="18" t="str">
        <f>IFERROR(N29/N446, "NA")</f>
        <v>NA</v>
      </c>
      <c r="P29" s="8"/>
      <c r="Q29" s="17">
        <f>IFERROR(Q21+Q22+Q23+Q24+Q25+Q26+Q27+Q28, "NA")</f>
        <v>0</v>
      </c>
      <c r="R29" s="18" t="str">
        <f>IFERROR(Q29/Q446, "NA")</f>
        <v>NA</v>
      </c>
      <c r="S29" s="8"/>
      <c r="T29" s="17">
        <f>IFERROR(T21+T22+T23+T24+T25+T26+T27+T28, "NA")</f>
        <v>0</v>
      </c>
      <c r="U29" s="18" t="str">
        <f>IFERROR(T29/T446, "NA")</f>
        <v>NA</v>
      </c>
      <c r="V29" s="8"/>
      <c r="W29" s="17">
        <f>IFERROR(W21+W22+W23+W24+W25+W26+W27+W28, "NA")</f>
        <v>0</v>
      </c>
      <c r="X29" s="18" t="str">
        <f>IFERROR(W29/W446, "NA")</f>
        <v>NA</v>
      </c>
      <c r="Y29" s="8"/>
      <c r="Z29" s="17">
        <f>IFERROR(Z21+Z22+Z23+Z24+Z25+Z26+Z27+Z28, "NA")</f>
        <v>0</v>
      </c>
      <c r="AA29" s="18" t="str">
        <f>IFERROR(Z29/Z446, "NA")</f>
        <v>NA</v>
      </c>
      <c r="AB29" s="8"/>
      <c r="AC29" s="17">
        <f>IFERROR(AC21+AC22+AC23+AC24+AC25+AC26+AC27+AC28, "NA")</f>
        <v>0</v>
      </c>
      <c r="AD29" s="18" t="str">
        <f>IFERROR(AC29/AC446, "NA")</f>
        <v>NA</v>
      </c>
      <c r="AE29" s="8"/>
      <c r="AF29" s="17">
        <f>IFERROR(AF21+AF22+AF23+AF24+AF25+AF26+AF27+AF28, "NA")</f>
        <v>0</v>
      </c>
      <c r="AG29" s="18" t="str">
        <f>IFERROR(AF29/AF446, "NA")</f>
        <v>NA</v>
      </c>
      <c r="AH29" s="8"/>
      <c r="AI29" s="17">
        <f>IFERROR(AI21+AI22+AI23+AI24+AI25+AI26+AI27+AI28, "NA")</f>
        <v>0</v>
      </c>
      <c r="AJ29" s="18" t="str">
        <f>IFERROR(AI29/AI446, "NA")</f>
        <v>NA</v>
      </c>
      <c r="AK29" s="8"/>
      <c r="AL29" s="17">
        <f t="shared" si="3"/>
        <v>0</v>
      </c>
      <c r="AM29" s="18" t="str">
        <f>IFERROR(AL29/AL446, "NA")</f>
        <v>NA</v>
      </c>
      <c r="AN29" s="8"/>
      <c r="AO29" s="17">
        <f>IFERROR(AO21+AO22+AO23+AO24+AO25+AO26+AO27+AO28, "NA")</f>
        <v>0</v>
      </c>
      <c r="AP29" s="18" t="str">
        <f>IFERROR(AO29/AO446, "NA")</f>
        <v>NA</v>
      </c>
      <c r="AQ29" s="8"/>
      <c r="AR29" s="17">
        <f t="shared" si="4"/>
        <v>0</v>
      </c>
    </row>
    <row r="30" ht="16.5" customHeight="1">
      <c r="A30" s="7" t="s">
        <v>34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  <c r="AE30" s="10"/>
      <c r="AF30" s="8"/>
      <c r="AG30" s="9"/>
      <c r="AH30" s="10"/>
      <c r="AI30" s="8"/>
      <c r="AJ30" s="9"/>
      <c r="AK30" s="8"/>
      <c r="AL30" s="8"/>
      <c r="AM30" s="9"/>
      <c r="AN30" s="8"/>
      <c r="AO30" s="8"/>
      <c r="AP30" s="9"/>
      <c r="AQ30" s="8"/>
      <c r="AR30" s="8"/>
    </row>
    <row r="31" ht="16.5" hidden="1" customHeight="1">
      <c r="A31" s="11" t="s">
        <v>454</v>
      </c>
      <c r="B31" s="12">
        <v>0.0</v>
      </c>
      <c r="C31" s="13" t="str">
        <f>IFERROR(B31/B446, "NA")</f>
        <v>NA</v>
      </c>
      <c r="D31" s="14"/>
      <c r="E31" s="12">
        <v>0.0</v>
      </c>
      <c r="F31" s="13" t="str">
        <f>IFERROR(E31/E446, "NA")</f>
        <v>NA</v>
      </c>
      <c r="G31" s="14"/>
      <c r="H31" s="12">
        <v>0.0</v>
      </c>
      <c r="I31" s="13" t="str">
        <f>IFERROR(H31/H446, "NA")</f>
        <v>NA</v>
      </c>
      <c r="J31" s="14"/>
      <c r="K31" s="12">
        <v>0.0</v>
      </c>
      <c r="L31" s="13" t="str">
        <f>IFERROR(K31/K446, "NA")</f>
        <v>NA</v>
      </c>
      <c r="M31" s="14"/>
      <c r="N31" s="12">
        <v>0.0</v>
      </c>
      <c r="O31" s="13" t="str">
        <f>IFERROR(N31/N446, "NA")</f>
        <v>NA</v>
      </c>
      <c r="P31" s="14"/>
      <c r="Q31" s="12">
        <v>0.0</v>
      </c>
      <c r="R31" s="13" t="str">
        <f>IFERROR(Q31/Q446, "NA")</f>
        <v>NA</v>
      </c>
      <c r="S31" s="14"/>
      <c r="T31" s="12">
        <v>0.0</v>
      </c>
      <c r="U31" s="13" t="str">
        <f>IFERROR(T31/T446, "NA")</f>
        <v>NA</v>
      </c>
      <c r="V31" s="14"/>
      <c r="W31" s="12">
        <v>0.0</v>
      </c>
      <c r="X31" s="13" t="str">
        <f>IFERROR(W31/W446, "NA")</f>
        <v>NA</v>
      </c>
      <c r="Y31" s="14"/>
      <c r="Z31" s="12">
        <v>0.0</v>
      </c>
      <c r="AA31" s="13" t="str">
        <f>IFERROR(Z31/Z446, "NA")</f>
        <v>NA</v>
      </c>
      <c r="AB31" s="14"/>
      <c r="AC31" s="12">
        <v>0.0</v>
      </c>
      <c r="AD31" s="13" t="str">
        <f>IFERROR(AC31/AC446, "NA")</f>
        <v>NA</v>
      </c>
      <c r="AE31" s="14"/>
      <c r="AF31" s="12">
        <v>0.0</v>
      </c>
      <c r="AG31" s="13" t="str">
        <f>IFERROR(AF31/AF446, "NA")</f>
        <v>NA</v>
      </c>
      <c r="AH31" s="14"/>
      <c r="AI31" s="12">
        <v>0.0</v>
      </c>
      <c r="AJ31" s="13" t="str">
        <f>IFERROR(AI31/AI446, "NA")</f>
        <v>NA</v>
      </c>
      <c r="AK31" s="12"/>
      <c r="AL31" s="15">
        <f t="shared" ref="AL31:AL40" si="5">IFERROR(B31+E31+H31+K31+N31+Q31+T31+W31+Z31+AC31+AF31+AI31, "NA")</f>
        <v>0</v>
      </c>
      <c r="AM31" s="13" t="str">
        <f>IFERROR(AL31/AL446, "NA")</f>
        <v>NA</v>
      </c>
      <c r="AN31" s="12"/>
      <c r="AO31" s="12">
        <v>0.0</v>
      </c>
      <c r="AP31" s="13" t="str">
        <f>IFERROR(AO31/AO446, "NA")</f>
        <v>NA</v>
      </c>
      <c r="AQ31" s="12"/>
      <c r="AR31" s="15">
        <f t="shared" ref="AR31:AR40" si="6">IFERROR(AL31-AO31, "NA")</f>
        <v>0</v>
      </c>
    </row>
    <row r="32" ht="30.75" hidden="1" customHeight="1">
      <c r="A32" s="11" t="s">
        <v>455</v>
      </c>
      <c r="B32" s="12">
        <v>0.0</v>
      </c>
      <c r="C32" s="13" t="str">
        <f>IFERROR(B32/B446, "NA")</f>
        <v>NA</v>
      </c>
      <c r="D32" s="14"/>
      <c r="E32" s="12">
        <v>0.0</v>
      </c>
      <c r="F32" s="13" t="str">
        <f>IFERROR(E32/E446, "NA")</f>
        <v>NA</v>
      </c>
      <c r="G32" s="14"/>
      <c r="H32" s="12">
        <v>0.0</v>
      </c>
      <c r="I32" s="13" t="str">
        <f>IFERROR(H32/H446, "NA")</f>
        <v>NA</v>
      </c>
      <c r="J32" s="14"/>
      <c r="K32" s="12">
        <v>0.0</v>
      </c>
      <c r="L32" s="13" t="str">
        <f>IFERROR(K32/K446, "NA")</f>
        <v>NA</v>
      </c>
      <c r="M32" s="14"/>
      <c r="N32" s="12">
        <v>0.0</v>
      </c>
      <c r="O32" s="13" t="str">
        <f>IFERROR(N32/N446, "NA")</f>
        <v>NA</v>
      </c>
      <c r="P32" s="14"/>
      <c r="Q32" s="12">
        <v>0.0</v>
      </c>
      <c r="R32" s="13" t="str">
        <f>IFERROR(Q32/Q446, "NA")</f>
        <v>NA</v>
      </c>
      <c r="S32" s="14"/>
      <c r="T32" s="12">
        <v>0.0</v>
      </c>
      <c r="U32" s="13" t="str">
        <f>IFERROR(T32/T446, "NA")</f>
        <v>NA</v>
      </c>
      <c r="V32" s="14"/>
      <c r="W32" s="12">
        <v>0.0</v>
      </c>
      <c r="X32" s="13" t="str">
        <f>IFERROR(W32/W446, "NA")</f>
        <v>NA</v>
      </c>
      <c r="Y32" s="14"/>
      <c r="Z32" s="12">
        <v>0.0</v>
      </c>
      <c r="AA32" s="13" t="str">
        <f>IFERROR(Z32/Z446, "NA")</f>
        <v>NA</v>
      </c>
      <c r="AB32" s="14"/>
      <c r="AC32" s="12">
        <v>0.0</v>
      </c>
      <c r="AD32" s="13" t="str">
        <f>IFERROR(AC32/AC446, "NA")</f>
        <v>NA</v>
      </c>
      <c r="AE32" s="14"/>
      <c r="AF32" s="12">
        <v>0.0</v>
      </c>
      <c r="AG32" s="13" t="str">
        <f>IFERROR(AF32/AF446, "NA")</f>
        <v>NA</v>
      </c>
      <c r="AH32" s="14"/>
      <c r="AI32" s="12">
        <v>0.0</v>
      </c>
      <c r="AJ32" s="13" t="str">
        <f>IFERROR(AI32/AI446, "NA")</f>
        <v>NA</v>
      </c>
      <c r="AK32" s="12"/>
      <c r="AL32" s="15">
        <f t="shared" si="5"/>
        <v>0</v>
      </c>
      <c r="AM32" s="13" t="str">
        <f>IFERROR(AL32/AL446, "NA")</f>
        <v>NA</v>
      </c>
      <c r="AN32" s="12"/>
      <c r="AO32" s="12">
        <v>0.0</v>
      </c>
      <c r="AP32" s="13" t="str">
        <f>IFERROR(AO32/AO446, "NA")</f>
        <v>NA</v>
      </c>
      <c r="AQ32" s="12"/>
      <c r="AR32" s="15">
        <f t="shared" si="6"/>
        <v>0</v>
      </c>
    </row>
    <row r="33" ht="16.5" hidden="1" customHeight="1">
      <c r="A33" s="11" t="s">
        <v>456</v>
      </c>
      <c r="B33" s="12">
        <v>0.0</v>
      </c>
      <c r="C33" s="13" t="str">
        <f>IFERROR(B33/B446, "NA")</f>
        <v>NA</v>
      </c>
      <c r="D33" s="14"/>
      <c r="E33" s="12">
        <v>0.0</v>
      </c>
      <c r="F33" s="13" t="str">
        <f>IFERROR(E33/E446, "NA")</f>
        <v>NA</v>
      </c>
      <c r="G33" s="14"/>
      <c r="H33" s="12">
        <v>0.0</v>
      </c>
      <c r="I33" s="13" t="str">
        <f>IFERROR(H33/H446, "NA")</f>
        <v>NA</v>
      </c>
      <c r="J33" s="14"/>
      <c r="K33" s="12">
        <v>0.0</v>
      </c>
      <c r="L33" s="13" t="str">
        <f>IFERROR(K33/K446, "NA")</f>
        <v>NA</v>
      </c>
      <c r="M33" s="14"/>
      <c r="N33" s="12">
        <v>0.0</v>
      </c>
      <c r="O33" s="13" t="str">
        <f>IFERROR(N33/N446, "NA")</f>
        <v>NA</v>
      </c>
      <c r="P33" s="14"/>
      <c r="Q33" s="12">
        <v>0.0</v>
      </c>
      <c r="R33" s="13" t="str">
        <f>IFERROR(Q33/Q446, "NA")</f>
        <v>NA</v>
      </c>
      <c r="S33" s="14"/>
      <c r="T33" s="12">
        <v>0.0</v>
      </c>
      <c r="U33" s="13" t="str">
        <f>IFERROR(T33/T446, "NA")</f>
        <v>NA</v>
      </c>
      <c r="V33" s="14"/>
      <c r="W33" s="12">
        <v>0.0</v>
      </c>
      <c r="X33" s="13" t="str">
        <f>IFERROR(W33/W446, "NA")</f>
        <v>NA</v>
      </c>
      <c r="Y33" s="14"/>
      <c r="Z33" s="12">
        <v>0.0</v>
      </c>
      <c r="AA33" s="13" t="str">
        <f>IFERROR(Z33/Z446, "NA")</f>
        <v>NA</v>
      </c>
      <c r="AB33" s="14"/>
      <c r="AC33" s="12">
        <v>0.0</v>
      </c>
      <c r="AD33" s="13" t="str">
        <f>IFERROR(AC33/AC446, "NA")</f>
        <v>NA</v>
      </c>
      <c r="AE33" s="14"/>
      <c r="AF33" s="12">
        <v>0.0</v>
      </c>
      <c r="AG33" s="13" t="str">
        <f>IFERROR(AF33/AF446, "NA")</f>
        <v>NA</v>
      </c>
      <c r="AH33" s="14"/>
      <c r="AI33" s="12">
        <v>0.0</v>
      </c>
      <c r="AJ33" s="13" t="str">
        <f>IFERROR(AI33/AI446, "NA")</f>
        <v>NA</v>
      </c>
      <c r="AK33" s="12"/>
      <c r="AL33" s="15">
        <f t="shared" si="5"/>
        <v>0</v>
      </c>
      <c r="AM33" s="13" t="str">
        <f>IFERROR(AL33/AL446, "NA")</f>
        <v>NA</v>
      </c>
      <c r="AN33" s="12"/>
      <c r="AO33" s="12">
        <v>0.0</v>
      </c>
      <c r="AP33" s="13" t="str">
        <f>IFERROR(AO33/AO446, "NA")</f>
        <v>NA</v>
      </c>
      <c r="AQ33" s="12"/>
      <c r="AR33" s="15">
        <f t="shared" si="6"/>
        <v>0</v>
      </c>
    </row>
    <row r="34" ht="16.5" hidden="1" customHeight="1">
      <c r="A34" s="11" t="s">
        <v>457</v>
      </c>
      <c r="B34" s="12">
        <v>0.0</v>
      </c>
      <c r="C34" s="13" t="str">
        <f>IFERROR(B34/B446, "NA")</f>
        <v>NA</v>
      </c>
      <c r="D34" s="14"/>
      <c r="E34" s="12">
        <v>0.0</v>
      </c>
      <c r="F34" s="13" t="str">
        <f>IFERROR(E34/E446, "NA")</f>
        <v>NA</v>
      </c>
      <c r="G34" s="14"/>
      <c r="H34" s="12">
        <v>0.0</v>
      </c>
      <c r="I34" s="13" t="str">
        <f>IFERROR(H34/H446, "NA")</f>
        <v>NA</v>
      </c>
      <c r="J34" s="14"/>
      <c r="K34" s="12">
        <v>0.0</v>
      </c>
      <c r="L34" s="13" t="str">
        <f>IFERROR(K34/K446, "NA")</f>
        <v>NA</v>
      </c>
      <c r="M34" s="14"/>
      <c r="N34" s="12">
        <v>0.0</v>
      </c>
      <c r="O34" s="13" t="str">
        <f>IFERROR(N34/N446, "NA")</f>
        <v>NA</v>
      </c>
      <c r="P34" s="14"/>
      <c r="Q34" s="12">
        <v>0.0</v>
      </c>
      <c r="R34" s="13" t="str">
        <f>IFERROR(Q34/Q446, "NA")</f>
        <v>NA</v>
      </c>
      <c r="S34" s="14"/>
      <c r="T34" s="12">
        <v>0.0</v>
      </c>
      <c r="U34" s="13" t="str">
        <f>IFERROR(T34/T446, "NA")</f>
        <v>NA</v>
      </c>
      <c r="V34" s="14"/>
      <c r="W34" s="12">
        <v>0.0</v>
      </c>
      <c r="X34" s="13" t="str">
        <f>IFERROR(W34/W446, "NA")</f>
        <v>NA</v>
      </c>
      <c r="Y34" s="14"/>
      <c r="Z34" s="12">
        <v>0.0</v>
      </c>
      <c r="AA34" s="13" t="str">
        <f>IFERROR(Z34/Z446, "NA")</f>
        <v>NA</v>
      </c>
      <c r="AB34" s="14"/>
      <c r="AC34" s="12">
        <v>0.0</v>
      </c>
      <c r="AD34" s="13" t="str">
        <f>IFERROR(AC34/AC446, "NA")</f>
        <v>NA</v>
      </c>
      <c r="AE34" s="14"/>
      <c r="AF34" s="12">
        <v>0.0</v>
      </c>
      <c r="AG34" s="13" t="str">
        <f>IFERROR(AF34/AF446, "NA")</f>
        <v>NA</v>
      </c>
      <c r="AH34" s="14"/>
      <c r="AI34" s="12">
        <v>0.0</v>
      </c>
      <c r="AJ34" s="13" t="str">
        <f>IFERROR(AI34/AI446, "NA")</f>
        <v>NA</v>
      </c>
      <c r="AK34" s="12"/>
      <c r="AL34" s="15">
        <f t="shared" si="5"/>
        <v>0</v>
      </c>
      <c r="AM34" s="13" t="str">
        <f>IFERROR(AL34/AL446, "NA")</f>
        <v>NA</v>
      </c>
      <c r="AN34" s="12"/>
      <c r="AO34" s="12">
        <v>0.0</v>
      </c>
      <c r="AP34" s="13" t="str">
        <f>IFERROR(AO34/AO446, "NA")</f>
        <v>NA</v>
      </c>
      <c r="AQ34" s="12"/>
      <c r="AR34" s="15">
        <f t="shared" si="6"/>
        <v>0</v>
      </c>
    </row>
    <row r="35" ht="16.5" hidden="1" customHeight="1">
      <c r="A35" s="11" t="s">
        <v>458</v>
      </c>
      <c r="B35" s="12">
        <v>0.0</v>
      </c>
      <c r="C35" s="13" t="str">
        <f>IFERROR(B35/B446, "NA")</f>
        <v>NA</v>
      </c>
      <c r="D35" s="14"/>
      <c r="E35" s="12">
        <v>0.0</v>
      </c>
      <c r="F35" s="13" t="str">
        <f>IFERROR(E35/E446, "NA")</f>
        <v>NA</v>
      </c>
      <c r="G35" s="14"/>
      <c r="H35" s="12">
        <v>0.0</v>
      </c>
      <c r="I35" s="13" t="str">
        <f>IFERROR(H35/H446, "NA")</f>
        <v>NA</v>
      </c>
      <c r="J35" s="14"/>
      <c r="K35" s="12">
        <v>0.0</v>
      </c>
      <c r="L35" s="13" t="str">
        <f>IFERROR(K35/K446, "NA")</f>
        <v>NA</v>
      </c>
      <c r="M35" s="14"/>
      <c r="N35" s="12">
        <v>0.0</v>
      </c>
      <c r="O35" s="13" t="str">
        <f>IFERROR(N35/N446, "NA")</f>
        <v>NA</v>
      </c>
      <c r="P35" s="14"/>
      <c r="Q35" s="12">
        <v>0.0</v>
      </c>
      <c r="R35" s="13" t="str">
        <f>IFERROR(Q35/Q446, "NA")</f>
        <v>NA</v>
      </c>
      <c r="S35" s="14"/>
      <c r="T35" s="12">
        <v>0.0</v>
      </c>
      <c r="U35" s="13" t="str">
        <f>IFERROR(T35/T446, "NA")</f>
        <v>NA</v>
      </c>
      <c r="V35" s="14"/>
      <c r="W35" s="12">
        <v>0.0</v>
      </c>
      <c r="X35" s="13" t="str">
        <f>IFERROR(W35/W446, "NA")</f>
        <v>NA</v>
      </c>
      <c r="Y35" s="14"/>
      <c r="Z35" s="12">
        <v>0.0</v>
      </c>
      <c r="AA35" s="13" t="str">
        <f>IFERROR(Z35/Z446, "NA")</f>
        <v>NA</v>
      </c>
      <c r="AB35" s="14"/>
      <c r="AC35" s="12">
        <v>0.0</v>
      </c>
      <c r="AD35" s="13" t="str">
        <f>IFERROR(AC35/AC446, "NA")</f>
        <v>NA</v>
      </c>
      <c r="AE35" s="14"/>
      <c r="AF35" s="12">
        <v>0.0</v>
      </c>
      <c r="AG35" s="13" t="str">
        <f>IFERROR(AF35/AF446, "NA")</f>
        <v>NA</v>
      </c>
      <c r="AH35" s="14"/>
      <c r="AI35" s="12">
        <v>0.0</v>
      </c>
      <c r="AJ35" s="13" t="str">
        <f>IFERROR(AI35/AI446, "NA")</f>
        <v>NA</v>
      </c>
      <c r="AK35" s="12"/>
      <c r="AL35" s="15">
        <f t="shared" si="5"/>
        <v>0</v>
      </c>
      <c r="AM35" s="13" t="str">
        <f>IFERROR(AL35/AL446, "NA")</f>
        <v>NA</v>
      </c>
      <c r="AN35" s="12"/>
      <c r="AO35" s="12">
        <v>0.0</v>
      </c>
      <c r="AP35" s="13" t="str">
        <f>IFERROR(AO35/AO446, "NA")</f>
        <v>NA</v>
      </c>
      <c r="AQ35" s="12"/>
      <c r="AR35" s="15">
        <f t="shared" si="6"/>
        <v>0</v>
      </c>
    </row>
    <row r="36" ht="16.5" hidden="1" customHeight="1">
      <c r="A36" s="11" t="s">
        <v>459</v>
      </c>
      <c r="B36" s="12">
        <v>0.0</v>
      </c>
      <c r="C36" s="13" t="str">
        <f>IFERROR(B36/B446, "NA")</f>
        <v>NA</v>
      </c>
      <c r="D36" s="14"/>
      <c r="E36" s="12">
        <v>0.0</v>
      </c>
      <c r="F36" s="13" t="str">
        <f>IFERROR(E36/E446, "NA")</f>
        <v>NA</v>
      </c>
      <c r="G36" s="14"/>
      <c r="H36" s="12">
        <v>0.0</v>
      </c>
      <c r="I36" s="13" t="str">
        <f>IFERROR(H36/H446, "NA")</f>
        <v>NA</v>
      </c>
      <c r="J36" s="14"/>
      <c r="K36" s="12">
        <v>0.0</v>
      </c>
      <c r="L36" s="13" t="str">
        <f>IFERROR(K36/K446, "NA")</f>
        <v>NA</v>
      </c>
      <c r="M36" s="14"/>
      <c r="N36" s="12">
        <v>0.0</v>
      </c>
      <c r="O36" s="13" t="str">
        <f>IFERROR(N36/N446, "NA")</f>
        <v>NA</v>
      </c>
      <c r="P36" s="14"/>
      <c r="Q36" s="12">
        <v>0.0</v>
      </c>
      <c r="R36" s="13" t="str">
        <f>IFERROR(Q36/Q446, "NA")</f>
        <v>NA</v>
      </c>
      <c r="S36" s="14"/>
      <c r="T36" s="12">
        <v>0.0</v>
      </c>
      <c r="U36" s="13" t="str">
        <f>IFERROR(T36/T446, "NA")</f>
        <v>NA</v>
      </c>
      <c r="V36" s="14"/>
      <c r="W36" s="12">
        <v>0.0</v>
      </c>
      <c r="X36" s="13" t="str">
        <f>IFERROR(W36/W446, "NA")</f>
        <v>NA</v>
      </c>
      <c r="Y36" s="14"/>
      <c r="Z36" s="12">
        <v>0.0</v>
      </c>
      <c r="AA36" s="13" t="str">
        <f>IFERROR(Z36/Z446, "NA")</f>
        <v>NA</v>
      </c>
      <c r="AB36" s="14"/>
      <c r="AC36" s="12">
        <v>0.0</v>
      </c>
      <c r="AD36" s="13" t="str">
        <f>IFERROR(AC36/AC446, "NA")</f>
        <v>NA</v>
      </c>
      <c r="AE36" s="14"/>
      <c r="AF36" s="12">
        <v>0.0</v>
      </c>
      <c r="AG36" s="13" t="str">
        <f>IFERROR(AF36/AF446, "NA")</f>
        <v>NA</v>
      </c>
      <c r="AH36" s="14"/>
      <c r="AI36" s="12">
        <v>0.0</v>
      </c>
      <c r="AJ36" s="13" t="str">
        <f>IFERROR(AI36/AI446, "NA")</f>
        <v>NA</v>
      </c>
      <c r="AK36" s="12"/>
      <c r="AL36" s="15">
        <f t="shared" si="5"/>
        <v>0</v>
      </c>
      <c r="AM36" s="13" t="str">
        <f>IFERROR(AL36/AL446, "NA")</f>
        <v>NA</v>
      </c>
      <c r="AN36" s="12"/>
      <c r="AO36" s="12">
        <v>0.0</v>
      </c>
      <c r="AP36" s="13" t="str">
        <f>IFERROR(AO36/AO446, "NA")</f>
        <v>NA</v>
      </c>
      <c r="AQ36" s="12"/>
      <c r="AR36" s="15">
        <f t="shared" si="6"/>
        <v>0</v>
      </c>
    </row>
    <row r="37" ht="16.5" hidden="1" customHeight="1">
      <c r="A37" s="11" t="s">
        <v>460</v>
      </c>
      <c r="B37" s="12">
        <v>0.0</v>
      </c>
      <c r="C37" s="13" t="str">
        <f>IFERROR(B37/B446, "NA")</f>
        <v>NA</v>
      </c>
      <c r="D37" s="14"/>
      <c r="E37" s="12">
        <v>0.0</v>
      </c>
      <c r="F37" s="13" t="str">
        <f>IFERROR(E37/E446, "NA")</f>
        <v>NA</v>
      </c>
      <c r="G37" s="14"/>
      <c r="H37" s="12">
        <v>0.0</v>
      </c>
      <c r="I37" s="13" t="str">
        <f>IFERROR(H37/H446, "NA")</f>
        <v>NA</v>
      </c>
      <c r="J37" s="14"/>
      <c r="K37" s="12">
        <v>0.0</v>
      </c>
      <c r="L37" s="13" t="str">
        <f>IFERROR(K37/K446, "NA")</f>
        <v>NA</v>
      </c>
      <c r="M37" s="14"/>
      <c r="N37" s="12">
        <v>0.0</v>
      </c>
      <c r="O37" s="13" t="str">
        <f>IFERROR(N37/N446, "NA")</f>
        <v>NA</v>
      </c>
      <c r="P37" s="14"/>
      <c r="Q37" s="12">
        <v>0.0</v>
      </c>
      <c r="R37" s="13" t="str">
        <f>IFERROR(Q37/Q446, "NA")</f>
        <v>NA</v>
      </c>
      <c r="S37" s="14"/>
      <c r="T37" s="12">
        <v>0.0</v>
      </c>
      <c r="U37" s="13" t="str">
        <f>IFERROR(T37/T446, "NA")</f>
        <v>NA</v>
      </c>
      <c r="V37" s="14"/>
      <c r="W37" s="12">
        <v>0.0</v>
      </c>
      <c r="X37" s="13" t="str">
        <f>IFERROR(W37/W446, "NA")</f>
        <v>NA</v>
      </c>
      <c r="Y37" s="14"/>
      <c r="Z37" s="12">
        <v>0.0</v>
      </c>
      <c r="AA37" s="13" t="str">
        <f>IFERROR(Z37/Z446, "NA")</f>
        <v>NA</v>
      </c>
      <c r="AB37" s="14"/>
      <c r="AC37" s="12">
        <v>0.0</v>
      </c>
      <c r="AD37" s="13" t="str">
        <f>IFERROR(AC37/AC446, "NA")</f>
        <v>NA</v>
      </c>
      <c r="AE37" s="14"/>
      <c r="AF37" s="12">
        <v>0.0</v>
      </c>
      <c r="AG37" s="13" t="str">
        <f>IFERROR(AF37/AF446, "NA")</f>
        <v>NA</v>
      </c>
      <c r="AH37" s="14"/>
      <c r="AI37" s="12">
        <v>0.0</v>
      </c>
      <c r="AJ37" s="13" t="str">
        <f>IFERROR(AI37/AI446, "NA")</f>
        <v>NA</v>
      </c>
      <c r="AK37" s="12"/>
      <c r="AL37" s="15">
        <f t="shared" si="5"/>
        <v>0</v>
      </c>
      <c r="AM37" s="13" t="str">
        <f>IFERROR(AL37/AL446, "NA")</f>
        <v>NA</v>
      </c>
      <c r="AN37" s="12"/>
      <c r="AO37" s="12">
        <v>0.0</v>
      </c>
      <c r="AP37" s="13" t="str">
        <f>IFERROR(AO37/AO446, "NA")</f>
        <v>NA</v>
      </c>
      <c r="AQ37" s="12"/>
      <c r="AR37" s="15">
        <f t="shared" si="6"/>
        <v>0</v>
      </c>
    </row>
    <row r="38" ht="16.5" hidden="1" customHeight="1">
      <c r="A38" s="11" t="s">
        <v>461</v>
      </c>
      <c r="B38" s="12">
        <v>0.0</v>
      </c>
      <c r="C38" s="13" t="str">
        <f>IFERROR(B38/B446, "NA")</f>
        <v>NA</v>
      </c>
      <c r="D38" s="14"/>
      <c r="E38" s="12">
        <v>0.0</v>
      </c>
      <c r="F38" s="13" t="str">
        <f>IFERROR(E38/E446, "NA")</f>
        <v>NA</v>
      </c>
      <c r="G38" s="14"/>
      <c r="H38" s="12">
        <v>0.0</v>
      </c>
      <c r="I38" s="13" t="str">
        <f>IFERROR(H38/H446, "NA")</f>
        <v>NA</v>
      </c>
      <c r="J38" s="14"/>
      <c r="K38" s="12">
        <v>0.0</v>
      </c>
      <c r="L38" s="13" t="str">
        <f>IFERROR(K38/K446, "NA")</f>
        <v>NA</v>
      </c>
      <c r="M38" s="14"/>
      <c r="N38" s="12">
        <v>0.0</v>
      </c>
      <c r="O38" s="13" t="str">
        <f>IFERROR(N38/N446, "NA")</f>
        <v>NA</v>
      </c>
      <c r="P38" s="14"/>
      <c r="Q38" s="12">
        <v>0.0</v>
      </c>
      <c r="R38" s="13" t="str">
        <f>IFERROR(Q38/Q446, "NA")</f>
        <v>NA</v>
      </c>
      <c r="S38" s="14"/>
      <c r="T38" s="12">
        <v>0.0</v>
      </c>
      <c r="U38" s="13" t="str">
        <f>IFERROR(T38/T446, "NA")</f>
        <v>NA</v>
      </c>
      <c r="V38" s="14"/>
      <c r="W38" s="12">
        <v>0.0</v>
      </c>
      <c r="X38" s="13" t="str">
        <f>IFERROR(W38/W446, "NA")</f>
        <v>NA</v>
      </c>
      <c r="Y38" s="14"/>
      <c r="Z38" s="12">
        <v>0.0</v>
      </c>
      <c r="AA38" s="13" t="str">
        <f>IFERROR(Z38/Z446, "NA")</f>
        <v>NA</v>
      </c>
      <c r="AB38" s="14"/>
      <c r="AC38" s="12">
        <v>0.0</v>
      </c>
      <c r="AD38" s="13" t="str">
        <f>IFERROR(AC38/AC446, "NA")</f>
        <v>NA</v>
      </c>
      <c r="AE38" s="14"/>
      <c r="AF38" s="12">
        <v>0.0</v>
      </c>
      <c r="AG38" s="13" t="str">
        <f>IFERROR(AF38/AF446, "NA")</f>
        <v>NA</v>
      </c>
      <c r="AH38" s="14"/>
      <c r="AI38" s="12">
        <v>0.0</v>
      </c>
      <c r="AJ38" s="13" t="str">
        <f>IFERROR(AI38/AI446, "NA")</f>
        <v>NA</v>
      </c>
      <c r="AK38" s="12"/>
      <c r="AL38" s="15">
        <f t="shared" si="5"/>
        <v>0</v>
      </c>
      <c r="AM38" s="13" t="str">
        <f>IFERROR(AL38/AL446, "NA")</f>
        <v>NA</v>
      </c>
      <c r="AN38" s="12"/>
      <c r="AO38" s="12">
        <v>0.0</v>
      </c>
      <c r="AP38" s="13" t="str">
        <f>IFERROR(AO38/AO446, "NA")</f>
        <v>NA</v>
      </c>
      <c r="AQ38" s="12"/>
      <c r="AR38" s="15">
        <f t="shared" si="6"/>
        <v>0</v>
      </c>
    </row>
    <row r="39" ht="16.5" hidden="1" customHeight="1">
      <c r="A39" s="11" t="s">
        <v>462</v>
      </c>
      <c r="B39" s="12">
        <v>0.0</v>
      </c>
      <c r="C39" s="13" t="str">
        <f>IFERROR(B39/B446, "NA")</f>
        <v>NA</v>
      </c>
      <c r="D39" s="14"/>
      <c r="E39" s="12">
        <v>0.0</v>
      </c>
      <c r="F39" s="13" t="str">
        <f>IFERROR(E39/E446, "NA")</f>
        <v>NA</v>
      </c>
      <c r="G39" s="14"/>
      <c r="H39" s="12">
        <v>0.0</v>
      </c>
      <c r="I39" s="13" t="str">
        <f>IFERROR(H39/H446, "NA")</f>
        <v>NA</v>
      </c>
      <c r="J39" s="14"/>
      <c r="K39" s="12">
        <v>0.0</v>
      </c>
      <c r="L39" s="13" t="str">
        <f>IFERROR(K39/K446, "NA")</f>
        <v>NA</v>
      </c>
      <c r="M39" s="14"/>
      <c r="N39" s="12">
        <v>0.0</v>
      </c>
      <c r="O39" s="13" t="str">
        <f>IFERROR(N39/N446, "NA")</f>
        <v>NA</v>
      </c>
      <c r="P39" s="14"/>
      <c r="Q39" s="12">
        <v>0.0</v>
      </c>
      <c r="R39" s="13" t="str">
        <f>IFERROR(Q39/Q446, "NA")</f>
        <v>NA</v>
      </c>
      <c r="S39" s="14"/>
      <c r="T39" s="12">
        <v>0.0</v>
      </c>
      <c r="U39" s="13" t="str">
        <f>IFERROR(T39/T446, "NA")</f>
        <v>NA</v>
      </c>
      <c r="V39" s="14"/>
      <c r="W39" s="12">
        <v>0.0</v>
      </c>
      <c r="X39" s="13" t="str">
        <f>IFERROR(W39/W446, "NA")</f>
        <v>NA</v>
      </c>
      <c r="Y39" s="14"/>
      <c r="Z39" s="12">
        <v>0.0</v>
      </c>
      <c r="AA39" s="13" t="str">
        <f>IFERROR(Z39/Z446, "NA")</f>
        <v>NA</v>
      </c>
      <c r="AB39" s="14"/>
      <c r="AC39" s="12">
        <v>0.0</v>
      </c>
      <c r="AD39" s="13" t="str">
        <f>IFERROR(AC39/AC446, "NA")</f>
        <v>NA</v>
      </c>
      <c r="AE39" s="14"/>
      <c r="AF39" s="12">
        <v>0.0</v>
      </c>
      <c r="AG39" s="13" t="str">
        <f>IFERROR(AF39/AF446, "NA")</f>
        <v>NA</v>
      </c>
      <c r="AH39" s="14"/>
      <c r="AI39" s="12">
        <v>0.0</v>
      </c>
      <c r="AJ39" s="13" t="str">
        <f>IFERROR(AI39/AI446, "NA")</f>
        <v>NA</v>
      </c>
      <c r="AK39" s="12"/>
      <c r="AL39" s="15">
        <f t="shared" si="5"/>
        <v>0</v>
      </c>
      <c r="AM39" s="13" t="str">
        <f>IFERROR(AL39/AL446, "NA")</f>
        <v>NA</v>
      </c>
      <c r="AN39" s="12"/>
      <c r="AO39" s="12">
        <v>0.0</v>
      </c>
      <c r="AP39" s="13" t="str">
        <f>IFERROR(AO39/AO446, "NA")</f>
        <v>NA</v>
      </c>
      <c r="AQ39" s="12"/>
      <c r="AR39" s="15">
        <f t="shared" si="6"/>
        <v>0</v>
      </c>
    </row>
    <row r="40" ht="16.5" customHeight="1">
      <c r="A40" s="16" t="s">
        <v>43</v>
      </c>
      <c r="B40" s="17">
        <f>IFERROR(B31+B32+B33+B34+B35+B36+B37+B38+B39, "NA")</f>
        <v>0</v>
      </c>
      <c r="C40" s="18" t="str">
        <f>IFERROR(B40/B446, "NA")</f>
        <v>NA</v>
      </c>
      <c r="D40" s="8"/>
      <c r="E40" s="17">
        <f>IFERROR(E31+E32+E33+E34+E35+E36+E37+E38+E39, "NA")</f>
        <v>0</v>
      </c>
      <c r="F40" s="18" t="str">
        <f>IFERROR(E40/E446, "NA")</f>
        <v>NA</v>
      </c>
      <c r="G40" s="8"/>
      <c r="H40" s="17">
        <f>IFERROR(H31+H32+H33+H34+H35+H36+H37+H38+H39, "NA")</f>
        <v>0</v>
      </c>
      <c r="I40" s="18" t="str">
        <f>IFERROR(H40/H446, "NA")</f>
        <v>NA</v>
      </c>
      <c r="J40" s="8"/>
      <c r="K40" s="17">
        <f>IFERROR(K31+K32+K33+K34+K35+K36+K37+K38+K39, "NA")</f>
        <v>0</v>
      </c>
      <c r="L40" s="18" t="str">
        <f>IFERROR(K40/K446, "NA")</f>
        <v>NA</v>
      </c>
      <c r="M40" s="8"/>
      <c r="N40" s="17">
        <f>IFERROR(N31+N32+N33+N34+N35+N36+N37+N38+N39, "NA")</f>
        <v>0</v>
      </c>
      <c r="O40" s="18" t="str">
        <f>IFERROR(N40/N446, "NA")</f>
        <v>NA</v>
      </c>
      <c r="P40" s="8"/>
      <c r="Q40" s="17">
        <f>IFERROR(Q31+Q32+Q33+Q34+Q35+Q36+Q37+Q38+Q39, "NA")</f>
        <v>0</v>
      </c>
      <c r="R40" s="18" t="str">
        <f>IFERROR(Q40/Q446, "NA")</f>
        <v>NA</v>
      </c>
      <c r="S40" s="8"/>
      <c r="T40" s="17">
        <f>IFERROR(T31+T32+T33+T34+T35+T36+T37+T38+T39, "NA")</f>
        <v>0</v>
      </c>
      <c r="U40" s="18" t="str">
        <f>IFERROR(T40/T446, "NA")</f>
        <v>NA</v>
      </c>
      <c r="V40" s="8"/>
      <c r="W40" s="17">
        <f>IFERROR(W31+W32+W33+W34+W35+W36+W37+W38+W39, "NA")</f>
        <v>0</v>
      </c>
      <c r="X40" s="18" t="str">
        <f>IFERROR(W40/W446, "NA")</f>
        <v>NA</v>
      </c>
      <c r="Y40" s="8"/>
      <c r="Z40" s="17">
        <f>IFERROR(Z31+Z32+Z33+Z34+Z35+Z36+Z37+Z38+Z39, "NA")</f>
        <v>0</v>
      </c>
      <c r="AA40" s="18" t="str">
        <f>IFERROR(Z40/Z446, "NA")</f>
        <v>NA</v>
      </c>
      <c r="AB40" s="8"/>
      <c r="AC40" s="17">
        <f>IFERROR(AC31+AC32+AC33+AC34+AC35+AC36+AC37+AC38+AC39, "NA")</f>
        <v>0</v>
      </c>
      <c r="AD40" s="18" t="str">
        <f>IFERROR(AC40/AC446, "NA")</f>
        <v>NA</v>
      </c>
      <c r="AE40" s="8"/>
      <c r="AF40" s="17">
        <f>IFERROR(AF31+AF32+AF33+AF34+AF35+AF36+AF37+AF38+AF39, "NA")</f>
        <v>0</v>
      </c>
      <c r="AG40" s="18" t="str">
        <f>IFERROR(AF40/AF446, "NA")</f>
        <v>NA</v>
      </c>
      <c r="AH40" s="8"/>
      <c r="AI40" s="17">
        <f>IFERROR(AI31+AI32+AI33+AI34+AI35+AI36+AI37+AI38+AI39, "NA")</f>
        <v>0</v>
      </c>
      <c r="AJ40" s="18" t="str">
        <f>IFERROR(AI40/AI446, "NA")</f>
        <v>NA</v>
      </c>
      <c r="AK40" s="8"/>
      <c r="AL40" s="17">
        <f t="shared" si="5"/>
        <v>0</v>
      </c>
      <c r="AM40" s="18" t="str">
        <f>IFERROR(AL40/AL446, "NA")</f>
        <v>NA</v>
      </c>
      <c r="AN40" s="8"/>
      <c r="AO40" s="17">
        <f>IFERROR(AO31+AO32+AO33+AO34+AO35+AO36+AO37+AO38+AO39, "NA")</f>
        <v>0</v>
      </c>
      <c r="AP40" s="18" t="str">
        <f>IFERROR(AO40/AO446, "NA")</f>
        <v>NA</v>
      </c>
      <c r="AQ40" s="8"/>
      <c r="AR40" s="17">
        <f t="shared" si="6"/>
        <v>0</v>
      </c>
    </row>
    <row r="41" ht="16.5" customHeight="1">
      <c r="A41" s="7" t="s">
        <v>44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  <c r="AE41" s="10"/>
      <c r="AF41" s="8"/>
      <c r="AG41" s="9"/>
      <c r="AH41" s="10"/>
      <c r="AI41" s="8"/>
      <c r="AJ41" s="9"/>
      <c r="AK41" s="8"/>
      <c r="AL41" s="8"/>
      <c r="AM41" s="9"/>
      <c r="AN41" s="8"/>
      <c r="AO41" s="8"/>
      <c r="AP41" s="9"/>
      <c r="AQ41" s="8"/>
      <c r="AR41" s="8"/>
    </row>
    <row r="42" ht="16.5" hidden="1" customHeight="1">
      <c r="A42" s="11" t="s">
        <v>463</v>
      </c>
      <c r="B42" s="12">
        <v>0.0</v>
      </c>
      <c r="C42" s="13" t="str">
        <f>IFERROR(B42/B446, "NA")</f>
        <v>NA</v>
      </c>
      <c r="D42" s="14"/>
      <c r="E42" s="12">
        <v>0.0</v>
      </c>
      <c r="F42" s="13" t="str">
        <f>IFERROR(E42/E446, "NA")</f>
        <v>NA</v>
      </c>
      <c r="G42" s="14"/>
      <c r="H42" s="12">
        <v>0.0</v>
      </c>
      <c r="I42" s="13" t="str">
        <f>IFERROR(H42/H446, "NA")</f>
        <v>NA</v>
      </c>
      <c r="J42" s="14"/>
      <c r="K42" s="12">
        <v>0.0</v>
      </c>
      <c r="L42" s="13" t="str">
        <f>IFERROR(K42/K446, "NA")</f>
        <v>NA</v>
      </c>
      <c r="M42" s="14"/>
      <c r="N42" s="12">
        <v>0.0</v>
      </c>
      <c r="O42" s="13" t="str">
        <f>IFERROR(N42/N446, "NA")</f>
        <v>NA</v>
      </c>
      <c r="P42" s="14"/>
      <c r="Q42" s="12">
        <v>0.0</v>
      </c>
      <c r="R42" s="13" t="str">
        <f>IFERROR(Q42/Q446, "NA")</f>
        <v>NA</v>
      </c>
      <c r="S42" s="14"/>
      <c r="T42" s="12">
        <v>0.0</v>
      </c>
      <c r="U42" s="13" t="str">
        <f>IFERROR(T42/T446, "NA")</f>
        <v>NA</v>
      </c>
      <c r="V42" s="14"/>
      <c r="W42" s="12">
        <v>0.0</v>
      </c>
      <c r="X42" s="13" t="str">
        <f>IFERROR(W42/W446, "NA")</f>
        <v>NA</v>
      </c>
      <c r="Y42" s="14"/>
      <c r="Z42" s="12">
        <v>0.0</v>
      </c>
      <c r="AA42" s="13" t="str">
        <f>IFERROR(Z42/Z446, "NA")</f>
        <v>NA</v>
      </c>
      <c r="AB42" s="14"/>
      <c r="AC42" s="12">
        <v>0.0</v>
      </c>
      <c r="AD42" s="13" t="str">
        <f>IFERROR(AC42/AC446, "NA")</f>
        <v>NA</v>
      </c>
      <c r="AE42" s="14"/>
      <c r="AF42" s="12">
        <v>0.0</v>
      </c>
      <c r="AG42" s="13" t="str">
        <f>IFERROR(AF42/AF446, "NA")</f>
        <v>NA</v>
      </c>
      <c r="AH42" s="14"/>
      <c r="AI42" s="12">
        <v>0.0</v>
      </c>
      <c r="AJ42" s="13" t="str">
        <f>IFERROR(AI42/AI446, "NA")</f>
        <v>NA</v>
      </c>
      <c r="AK42" s="12"/>
      <c r="AL42" s="15">
        <f t="shared" ref="AL42:AL44" si="7">IFERROR(B42+E42+H42+K42+N42+Q42+T42+W42+Z42+AC42+AF42+AI42, "NA")</f>
        <v>0</v>
      </c>
      <c r="AM42" s="13" t="str">
        <f>IFERROR(AL42/AL446, "NA")</f>
        <v>NA</v>
      </c>
      <c r="AN42" s="12"/>
      <c r="AO42" s="12">
        <v>0.0</v>
      </c>
      <c r="AP42" s="13" t="str">
        <f>IFERROR(AO42/AO446, "NA")</f>
        <v>NA</v>
      </c>
      <c r="AQ42" s="12"/>
      <c r="AR42" s="15">
        <f t="shared" ref="AR42:AR44" si="8">IFERROR(AL42-AO42, "NA")</f>
        <v>0</v>
      </c>
    </row>
    <row r="43" ht="16.5" hidden="1" customHeight="1">
      <c r="A43" s="11" t="s">
        <v>464</v>
      </c>
      <c r="B43" s="12">
        <v>0.0</v>
      </c>
      <c r="C43" s="13" t="str">
        <f>IFERROR(B43/B446, "NA")</f>
        <v>NA</v>
      </c>
      <c r="D43" s="14"/>
      <c r="E43" s="12">
        <v>0.0</v>
      </c>
      <c r="F43" s="13" t="str">
        <f>IFERROR(E43/E446, "NA")</f>
        <v>NA</v>
      </c>
      <c r="G43" s="14"/>
      <c r="H43" s="12">
        <v>0.0</v>
      </c>
      <c r="I43" s="13" t="str">
        <f>IFERROR(H43/H446, "NA")</f>
        <v>NA</v>
      </c>
      <c r="J43" s="14"/>
      <c r="K43" s="12">
        <v>0.0</v>
      </c>
      <c r="L43" s="13" t="str">
        <f>IFERROR(K43/K446, "NA")</f>
        <v>NA</v>
      </c>
      <c r="M43" s="14"/>
      <c r="N43" s="12">
        <v>0.0</v>
      </c>
      <c r="O43" s="13" t="str">
        <f>IFERROR(N43/N446, "NA")</f>
        <v>NA</v>
      </c>
      <c r="P43" s="14"/>
      <c r="Q43" s="12">
        <v>0.0</v>
      </c>
      <c r="R43" s="13" t="str">
        <f>IFERROR(Q43/Q446, "NA")</f>
        <v>NA</v>
      </c>
      <c r="S43" s="14"/>
      <c r="T43" s="12">
        <v>0.0</v>
      </c>
      <c r="U43" s="13" t="str">
        <f>IFERROR(T43/T446, "NA")</f>
        <v>NA</v>
      </c>
      <c r="V43" s="14"/>
      <c r="W43" s="12">
        <v>0.0</v>
      </c>
      <c r="X43" s="13" t="str">
        <f>IFERROR(W43/W446, "NA")</f>
        <v>NA</v>
      </c>
      <c r="Y43" s="14"/>
      <c r="Z43" s="12">
        <v>0.0</v>
      </c>
      <c r="AA43" s="13" t="str">
        <f>IFERROR(Z43/Z446, "NA")</f>
        <v>NA</v>
      </c>
      <c r="AB43" s="14"/>
      <c r="AC43" s="12">
        <v>0.0</v>
      </c>
      <c r="AD43" s="13" t="str">
        <f>IFERROR(AC43/AC446, "NA")</f>
        <v>NA</v>
      </c>
      <c r="AE43" s="14"/>
      <c r="AF43" s="12">
        <v>0.0</v>
      </c>
      <c r="AG43" s="13" t="str">
        <f>IFERROR(AF43/AF446, "NA")</f>
        <v>NA</v>
      </c>
      <c r="AH43" s="14"/>
      <c r="AI43" s="12">
        <v>0.0</v>
      </c>
      <c r="AJ43" s="13" t="str">
        <f>IFERROR(AI43/AI446, "NA")</f>
        <v>NA</v>
      </c>
      <c r="AK43" s="12"/>
      <c r="AL43" s="15">
        <f t="shared" si="7"/>
        <v>0</v>
      </c>
      <c r="AM43" s="13" t="str">
        <f>IFERROR(AL43/AL446, "NA")</f>
        <v>NA</v>
      </c>
      <c r="AN43" s="12"/>
      <c r="AO43" s="12">
        <v>0.0</v>
      </c>
      <c r="AP43" s="13" t="str">
        <f>IFERROR(AO43/AO446, "NA")</f>
        <v>NA</v>
      </c>
      <c r="AQ43" s="12"/>
      <c r="AR43" s="15">
        <f t="shared" si="8"/>
        <v>0</v>
      </c>
    </row>
    <row r="44" ht="16.5" hidden="1" customHeight="1">
      <c r="A44" s="11" t="s">
        <v>465</v>
      </c>
      <c r="B44" s="12">
        <v>0.0</v>
      </c>
      <c r="C44" s="13" t="str">
        <f>IFERROR(B44/B446, "NA")</f>
        <v>NA</v>
      </c>
      <c r="D44" s="14"/>
      <c r="E44" s="12">
        <v>0.0</v>
      </c>
      <c r="F44" s="13" t="str">
        <f>IFERROR(E44/E446, "NA")</f>
        <v>NA</v>
      </c>
      <c r="G44" s="14"/>
      <c r="H44" s="12">
        <v>0.0</v>
      </c>
      <c r="I44" s="13" t="str">
        <f>IFERROR(H44/H446, "NA")</f>
        <v>NA</v>
      </c>
      <c r="J44" s="14"/>
      <c r="K44" s="12">
        <v>0.0</v>
      </c>
      <c r="L44" s="13" t="str">
        <f>IFERROR(K44/K446, "NA")</f>
        <v>NA</v>
      </c>
      <c r="M44" s="14"/>
      <c r="N44" s="12">
        <v>0.0</v>
      </c>
      <c r="O44" s="13" t="str">
        <f>IFERROR(N44/N446, "NA")</f>
        <v>NA</v>
      </c>
      <c r="P44" s="14"/>
      <c r="Q44" s="12">
        <v>0.0</v>
      </c>
      <c r="R44" s="13" t="str">
        <f>IFERROR(Q44/Q446, "NA")</f>
        <v>NA</v>
      </c>
      <c r="S44" s="14"/>
      <c r="T44" s="12">
        <v>0.0</v>
      </c>
      <c r="U44" s="13" t="str">
        <f>IFERROR(T44/T446, "NA")</f>
        <v>NA</v>
      </c>
      <c r="V44" s="14"/>
      <c r="W44" s="12">
        <v>0.0</v>
      </c>
      <c r="X44" s="13" t="str">
        <f>IFERROR(W44/W446, "NA")</f>
        <v>NA</v>
      </c>
      <c r="Y44" s="14"/>
      <c r="Z44" s="12">
        <v>0.0</v>
      </c>
      <c r="AA44" s="13" t="str">
        <f>IFERROR(Z44/Z446, "NA")</f>
        <v>NA</v>
      </c>
      <c r="AB44" s="14"/>
      <c r="AC44" s="12">
        <v>0.0</v>
      </c>
      <c r="AD44" s="13" t="str">
        <f>IFERROR(AC44/AC446, "NA")</f>
        <v>NA</v>
      </c>
      <c r="AE44" s="14"/>
      <c r="AF44" s="12">
        <v>0.0</v>
      </c>
      <c r="AG44" s="13" t="str">
        <f>IFERROR(AF44/AF446, "NA")</f>
        <v>NA</v>
      </c>
      <c r="AH44" s="14"/>
      <c r="AI44" s="12">
        <v>0.0</v>
      </c>
      <c r="AJ44" s="13" t="str">
        <f>IFERROR(AI44/AI446, "NA")</f>
        <v>NA</v>
      </c>
      <c r="AK44" s="12"/>
      <c r="AL44" s="15">
        <f t="shared" si="7"/>
        <v>0</v>
      </c>
      <c r="AM44" s="13" t="str">
        <f>IFERROR(AL44/AL446, "NA")</f>
        <v>NA</v>
      </c>
      <c r="AN44" s="12"/>
      <c r="AO44" s="12">
        <v>0.0</v>
      </c>
      <c r="AP44" s="13" t="str">
        <f>IFERROR(AO44/AO446, "NA")</f>
        <v>NA</v>
      </c>
      <c r="AQ44" s="12"/>
      <c r="AR44" s="15">
        <f t="shared" si="8"/>
        <v>0</v>
      </c>
    </row>
    <row r="45" ht="16.5" customHeight="1">
      <c r="A45" s="7" t="s">
        <v>47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  <c r="AE45" s="10"/>
      <c r="AF45" s="8"/>
      <c r="AG45" s="9"/>
      <c r="AH45" s="10"/>
      <c r="AI45" s="8"/>
      <c r="AJ45" s="9"/>
      <c r="AK45" s="8"/>
      <c r="AL45" s="8"/>
      <c r="AM45" s="9"/>
      <c r="AN45" s="8"/>
      <c r="AO45" s="8"/>
      <c r="AP45" s="9"/>
      <c r="AQ45" s="8"/>
      <c r="AR45" s="8"/>
    </row>
    <row r="46" ht="16.5" hidden="1" customHeight="1">
      <c r="A46" s="11" t="s">
        <v>466</v>
      </c>
      <c r="B46" s="12">
        <v>0.0</v>
      </c>
      <c r="C46" s="13" t="str">
        <f>IFERROR(B46/B446, "NA")</f>
        <v>NA</v>
      </c>
      <c r="D46" s="14"/>
      <c r="E46" s="12">
        <v>0.0</v>
      </c>
      <c r="F46" s="13" t="str">
        <f>IFERROR(E46/E446, "NA")</f>
        <v>NA</v>
      </c>
      <c r="G46" s="14"/>
      <c r="H46" s="12">
        <v>0.0</v>
      </c>
      <c r="I46" s="13" t="str">
        <f>IFERROR(H46/H446, "NA")</f>
        <v>NA</v>
      </c>
      <c r="J46" s="14"/>
      <c r="K46" s="12">
        <v>0.0</v>
      </c>
      <c r="L46" s="13" t="str">
        <f>IFERROR(K46/K446, "NA")</f>
        <v>NA</v>
      </c>
      <c r="M46" s="14"/>
      <c r="N46" s="12">
        <v>0.0</v>
      </c>
      <c r="O46" s="13" t="str">
        <f>IFERROR(N46/N446, "NA")</f>
        <v>NA</v>
      </c>
      <c r="P46" s="14"/>
      <c r="Q46" s="12">
        <v>0.0</v>
      </c>
      <c r="R46" s="13" t="str">
        <f>IFERROR(Q46/Q446, "NA")</f>
        <v>NA</v>
      </c>
      <c r="S46" s="14"/>
      <c r="T46" s="12">
        <v>0.0</v>
      </c>
      <c r="U46" s="13" t="str">
        <f>IFERROR(T46/T446, "NA")</f>
        <v>NA</v>
      </c>
      <c r="V46" s="14"/>
      <c r="W46" s="12">
        <v>0.0</v>
      </c>
      <c r="X46" s="13" t="str">
        <f>IFERROR(W46/W446, "NA")</f>
        <v>NA</v>
      </c>
      <c r="Y46" s="14"/>
      <c r="Z46" s="12">
        <v>0.0</v>
      </c>
      <c r="AA46" s="13" t="str">
        <f>IFERROR(Z46/Z446, "NA")</f>
        <v>NA</v>
      </c>
      <c r="AB46" s="14"/>
      <c r="AC46" s="12">
        <v>0.0</v>
      </c>
      <c r="AD46" s="13" t="str">
        <f>IFERROR(AC46/AC446, "NA")</f>
        <v>NA</v>
      </c>
      <c r="AE46" s="14"/>
      <c r="AF46" s="12">
        <v>0.0</v>
      </c>
      <c r="AG46" s="13" t="str">
        <f>IFERROR(AF46/AF446, "NA")</f>
        <v>NA</v>
      </c>
      <c r="AH46" s="14"/>
      <c r="AI46" s="12">
        <v>0.0</v>
      </c>
      <c r="AJ46" s="13" t="str">
        <f>IFERROR(AI46/AI446, "NA")</f>
        <v>NA</v>
      </c>
      <c r="AK46" s="12"/>
      <c r="AL46" s="15">
        <f t="shared" ref="AL46:AL62" si="9">IFERROR(B46+E46+H46+K46+N46+Q46+T46+W46+Z46+AC46+AF46+AI46, "NA")</f>
        <v>0</v>
      </c>
      <c r="AM46" s="13" t="str">
        <f>IFERROR(AL46/AL446, "NA")</f>
        <v>NA</v>
      </c>
      <c r="AN46" s="12"/>
      <c r="AO46" s="12">
        <v>0.0</v>
      </c>
      <c r="AP46" s="13" t="str">
        <f>IFERROR(AO46/AO446, "NA")</f>
        <v>NA</v>
      </c>
      <c r="AQ46" s="12"/>
      <c r="AR46" s="15">
        <f t="shared" ref="AR46:AR62" si="10">IFERROR(AL46-AO46, "NA")</f>
        <v>0</v>
      </c>
    </row>
    <row r="47" ht="16.5" hidden="1" customHeight="1">
      <c r="A47" s="11" t="s">
        <v>467</v>
      </c>
      <c r="B47" s="12">
        <v>0.0</v>
      </c>
      <c r="C47" s="13" t="str">
        <f>IFERROR(B47/B446, "NA")</f>
        <v>NA</v>
      </c>
      <c r="D47" s="14"/>
      <c r="E47" s="12">
        <v>0.0</v>
      </c>
      <c r="F47" s="13" t="str">
        <f>IFERROR(E47/E446, "NA")</f>
        <v>NA</v>
      </c>
      <c r="G47" s="14"/>
      <c r="H47" s="12">
        <v>0.0</v>
      </c>
      <c r="I47" s="13" t="str">
        <f>IFERROR(H47/H446, "NA")</f>
        <v>NA</v>
      </c>
      <c r="J47" s="14"/>
      <c r="K47" s="12">
        <v>0.0</v>
      </c>
      <c r="L47" s="13" t="str">
        <f>IFERROR(K47/K446, "NA")</f>
        <v>NA</v>
      </c>
      <c r="M47" s="14"/>
      <c r="N47" s="12">
        <v>0.0</v>
      </c>
      <c r="O47" s="13" t="str">
        <f>IFERROR(N47/N446, "NA")</f>
        <v>NA</v>
      </c>
      <c r="P47" s="14"/>
      <c r="Q47" s="12">
        <v>0.0</v>
      </c>
      <c r="R47" s="13" t="str">
        <f>IFERROR(Q47/Q446, "NA")</f>
        <v>NA</v>
      </c>
      <c r="S47" s="14"/>
      <c r="T47" s="12">
        <v>0.0</v>
      </c>
      <c r="U47" s="13" t="str">
        <f>IFERROR(T47/T446, "NA")</f>
        <v>NA</v>
      </c>
      <c r="V47" s="14"/>
      <c r="W47" s="12">
        <v>0.0</v>
      </c>
      <c r="X47" s="13" t="str">
        <f>IFERROR(W47/W446, "NA")</f>
        <v>NA</v>
      </c>
      <c r="Y47" s="14"/>
      <c r="Z47" s="12">
        <v>0.0</v>
      </c>
      <c r="AA47" s="13" t="str">
        <f>IFERROR(Z47/Z446, "NA")</f>
        <v>NA</v>
      </c>
      <c r="AB47" s="14"/>
      <c r="AC47" s="12">
        <v>0.0</v>
      </c>
      <c r="AD47" s="13" t="str">
        <f>IFERROR(AC47/AC446, "NA")</f>
        <v>NA</v>
      </c>
      <c r="AE47" s="14"/>
      <c r="AF47" s="12">
        <v>0.0</v>
      </c>
      <c r="AG47" s="13" t="str">
        <f>IFERROR(AF47/AF446, "NA")</f>
        <v>NA</v>
      </c>
      <c r="AH47" s="14"/>
      <c r="AI47" s="12">
        <v>0.0</v>
      </c>
      <c r="AJ47" s="13" t="str">
        <f>IFERROR(AI47/AI446, "NA")</f>
        <v>NA</v>
      </c>
      <c r="AK47" s="12"/>
      <c r="AL47" s="15">
        <f t="shared" si="9"/>
        <v>0</v>
      </c>
      <c r="AM47" s="13" t="str">
        <f>IFERROR(AL47/AL446, "NA")</f>
        <v>NA</v>
      </c>
      <c r="AN47" s="12"/>
      <c r="AO47" s="12">
        <v>0.0</v>
      </c>
      <c r="AP47" s="13" t="str">
        <f>IFERROR(AO47/AO446, "NA")</f>
        <v>NA</v>
      </c>
      <c r="AQ47" s="12"/>
      <c r="AR47" s="15">
        <f t="shared" si="10"/>
        <v>0</v>
      </c>
    </row>
    <row r="48" ht="16.5" hidden="1" customHeight="1">
      <c r="A48" s="11" t="s">
        <v>468</v>
      </c>
      <c r="B48" s="12">
        <v>0.0</v>
      </c>
      <c r="C48" s="13" t="str">
        <f>IFERROR(B48/B446, "NA")</f>
        <v>NA</v>
      </c>
      <c r="D48" s="14"/>
      <c r="E48" s="12">
        <v>0.0</v>
      </c>
      <c r="F48" s="13" t="str">
        <f>IFERROR(E48/E446, "NA")</f>
        <v>NA</v>
      </c>
      <c r="G48" s="14"/>
      <c r="H48" s="12">
        <v>0.0</v>
      </c>
      <c r="I48" s="13" t="str">
        <f>IFERROR(H48/H446, "NA")</f>
        <v>NA</v>
      </c>
      <c r="J48" s="14"/>
      <c r="K48" s="12">
        <v>0.0</v>
      </c>
      <c r="L48" s="13" t="str">
        <f>IFERROR(K48/K446, "NA")</f>
        <v>NA</v>
      </c>
      <c r="M48" s="14"/>
      <c r="N48" s="12">
        <v>0.0</v>
      </c>
      <c r="O48" s="13" t="str">
        <f>IFERROR(N48/N446, "NA")</f>
        <v>NA</v>
      </c>
      <c r="P48" s="14"/>
      <c r="Q48" s="12">
        <v>0.0</v>
      </c>
      <c r="R48" s="13" t="str">
        <f>IFERROR(Q48/Q446, "NA")</f>
        <v>NA</v>
      </c>
      <c r="S48" s="14"/>
      <c r="T48" s="12">
        <v>0.0</v>
      </c>
      <c r="U48" s="13" t="str">
        <f>IFERROR(T48/T446, "NA")</f>
        <v>NA</v>
      </c>
      <c r="V48" s="14"/>
      <c r="W48" s="12">
        <v>0.0</v>
      </c>
      <c r="X48" s="13" t="str">
        <f>IFERROR(W48/W446, "NA")</f>
        <v>NA</v>
      </c>
      <c r="Y48" s="14"/>
      <c r="Z48" s="12">
        <v>0.0</v>
      </c>
      <c r="AA48" s="13" t="str">
        <f>IFERROR(Z48/Z446, "NA")</f>
        <v>NA</v>
      </c>
      <c r="AB48" s="14"/>
      <c r="AC48" s="12">
        <v>0.0</v>
      </c>
      <c r="AD48" s="13" t="str">
        <f>IFERROR(AC48/AC446, "NA")</f>
        <v>NA</v>
      </c>
      <c r="AE48" s="14"/>
      <c r="AF48" s="12">
        <v>0.0</v>
      </c>
      <c r="AG48" s="13" t="str">
        <f>IFERROR(AF48/AF446, "NA")</f>
        <v>NA</v>
      </c>
      <c r="AH48" s="14"/>
      <c r="AI48" s="12">
        <v>0.0</v>
      </c>
      <c r="AJ48" s="13" t="str">
        <f>IFERROR(AI48/AI446, "NA")</f>
        <v>NA</v>
      </c>
      <c r="AK48" s="12"/>
      <c r="AL48" s="15">
        <f t="shared" si="9"/>
        <v>0</v>
      </c>
      <c r="AM48" s="13" t="str">
        <f>IFERROR(AL48/AL446, "NA")</f>
        <v>NA</v>
      </c>
      <c r="AN48" s="12"/>
      <c r="AO48" s="12">
        <v>0.0</v>
      </c>
      <c r="AP48" s="13" t="str">
        <f>IFERROR(AO48/AO446, "NA")</f>
        <v>NA</v>
      </c>
      <c r="AQ48" s="12"/>
      <c r="AR48" s="15">
        <f t="shared" si="10"/>
        <v>0</v>
      </c>
    </row>
    <row r="49" ht="16.5" hidden="1" customHeight="1">
      <c r="A49" s="11" t="s">
        <v>469</v>
      </c>
      <c r="B49" s="12">
        <v>0.0</v>
      </c>
      <c r="C49" s="13" t="str">
        <f>IFERROR(B49/B446, "NA")</f>
        <v>NA</v>
      </c>
      <c r="D49" s="14"/>
      <c r="E49" s="12">
        <v>0.0</v>
      </c>
      <c r="F49" s="13" t="str">
        <f>IFERROR(E49/E446, "NA")</f>
        <v>NA</v>
      </c>
      <c r="G49" s="14"/>
      <c r="H49" s="12">
        <v>0.0</v>
      </c>
      <c r="I49" s="13" t="str">
        <f>IFERROR(H49/H446, "NA")</f>
        <v>NA</v>
      </c>
      <c r="J49" s="14"/>
      <c r="K49" s="12">
        <v>0.0</v>
      </c>
      <c r="L49" s="13" t="str">
        <f>IFERROR(K49/K446, "NA")</f>
        <v>NA</v>
      </c>
      <c r="M49" s="14"/>
      <c r="N49" s="12">
        <v>0.0</v>
      </c>
      <c r="O49" s="13" t="str">
        <f>IFERROR(N49/N446, "NA")</f>
        <v>NA</v>
      </c>
      <c r="P49" s="14"/>
      <c r="Q49" s="12">
        <v>0.0</v>
      </c>
      <c r="R49" s="13" t="str">
        <f>IFERROR(Q49/Q446, "NA")</f>
        <v>NA</v>
      </c>
      <c r="S49" s="14"/>
      <c r="T49" s="12">
        <v>0.0</v>
      </c>
      <c r="U49" s="13" t="str">
        <f>IFERROR(T49/T446, "NA")</f>
        <v>NA</v>
      </c>
      <c r="V49" s="14"/>
      <c r="W49" s="12">
        <v>0.0</v>
      </c>
      <c r="X49" s="13" t="str">
        <f>IFERROR(W49/W446, "NA")</f>
        <v>NA</v>
      </c>
      <c r="Y49" s="14"/>
      <c r="Z49" s="12">
        <v>0.0</v>
      </c>
      <c r="AA49" s="13" t="str">
        <f>IFERROR(Z49/Z446, "NA")</f>
        <v>NA</v>
      </c>
      <c r="AB49" s="14"/>
      <c r="AC49" s="12">
        <v>0.0</v>
      </c>
      <c r="AD49" s="13" t="str">
        <f>IFERROR(AC49/AC446, "NA")</f>
        <v>NA</v>
      </c>
      <c r="AE49" s="14"/>
      <c r="AF49" s="12">
        <v>0.0</v>
      </c>
      <c r="AG49" s="13" t="str">
        <f>IFERROR(AF49/AF446, "NA")</f>
        <v>NA</v>
      </c>
      <c r="AH49" s="14"/>
      <c r="AI49" s="12">
        <v>0.0</v>
      </c>
      <c r="AJ49" s="13" t="str">
        <f>IFERROR(AI49/AI446, "NA")</f>
        <v>NA</v>
      </c>
      <c r="AK49" s="12"/>
      <c r="AL49" s="15">
        <f t="shared" si="9"/>
        <v>0</v>
      </c>
      <c r="AM49" s="13" t="str">
        <f>IFERROR(AL49/AL446, "NA")</f>
        <v>NA</v>
      </c>
      <c r="AN49" s="12"/>
      <c r="AO49" s="12">
        <v>0.0</v>
      </c>
      <c r="AP49" s="13" t="str">
        <f>IFERROR(AO49/AO446, "NA")</f>
        <v>NA</v>
      </c>
      <c r="AQ49" s="12"/>
      <c r="AR49" s="15">
        <f t="shared" si="10"/>
        <v>0</v>
      </c>
    </row>
    <row r="50" ht="30.75" hidden="1" customHeight="1">
      <c r="A50" s="11" t="s">
        <v>470</v>
      </c>
      <c r="B50" s="12">
        <v>0.0</v>
      </c>
      <c r="C50" s="13" t="str">
        <f>IFERROR(B50/B446, "NA")</f>
        <v>NA</v>
      </c>
      <c r="D50" s="14"/>
      <c r="E50" s="12">
        <v>0.0</v>
      </c>
      <c r="F50" s="13" t="str">
        <f>IFERROR(E50/E446, "NA")</f>
        <v>NA</v>
      </c>
      <c r="G50" s="14"/>
      <c r="H50" s="12">
        <v>0.0</v>
      </c>
      <c r="I50" s="13" t="str">
        <f>IFERROR(H50/H446, "NA")</f>
        <v>NA</v>
      </c>
      <c r="J50" s="14"/>
      <c r="K50" s="12">
        <v>0.0</v>
      </c>
      <c r="L50" s="13" t="str">
        <f>IFERROR(K50/K446, "NA")</f>
        <v>NA</v>
      </c>
      <c r="M50" s="14"/>
      <c r="N50" s="12">
        <v>0.0</v>
      </c>
      <c r="O50" s="13" t="str">
        <f>IFERROR(N50/N446, "NA")</f>
        <v>NA</v>
      </c>
      <c r="P50" s="14"/>
      <c r="Q50" s="12">
        <v>0.0</v>
      </c>
      <c r="R50" s="13" t="str">
        <f>IFERROR(Q50/Q446, "NA")</f>
        <v>NA</v>
      </c>
      <c r="S50" s="14"/>
      <c r="T50" s="12">
        <v>0.0</v>
      </c>
      <c r="U50" s="13" t="str">
        <f>IFERROR(T50/T446, "NA")</f>
        <v>NA</v>
      </c>
      <c r="V50" s="14"/>
      <c r="W50" s="12">
        <v>0.0</v>
      </c>
      <c r="X50" s="13" t="str">
        <f>IFERROR(W50/W446, "NA")</f>
        <v>NA</v>
      </c>
      <c r="Y50" s="14"/>
      <c r="Z50" s="12">
        <v>0.0</v>
      </c>
      <c r="AA50" s="13" t="str">
        <f>IFERROR(Z50/Z446, "NA")</f>
        <v>NA</v>
      </c>
      <c r="AB50" s="14"/>
      <c r="AC50" s="12">
        <v>0.0</v>
      </c>
      <c r="AD50" s="13" t="str">
        <f>IFERROR(AC50/AC446, "NA")</f>
        <v>NA</v>
      </c>
      <c r="AE50" s="14"/>
      <c r="AF50" s="12">
        <v>0.0</v>
      </c>
      <c r="AG50" s="13" t="str">
        <f>IFERROR(AF50/AF446, "NA")</f>
        <v>NA</v>
      </c>
      <c r="AH50" s="14"/>
      <c r="AI50" s="12">
        <v>0.0</v>
      </c>
      <c r="AJ50" s="13" t="str">
        <f>IFERROR(AI50/AI446, "NA")</f>
        <v>NA</v>
      </c>
      <c r="AK50" s="12"/>
      <c r="AL50" s="15">
        <f t="shared" si="9"/>
        <v>0</v>
      </c>
      <c r="AM50" s="13" t="str">
        <f>IFERROR(AL50/AL446, "NA")</f>
        <v>NA</v>
      </c>
      <c r="AN50" s="12"/>
      <c r="AO50" s="12">
        <v>0.0</v>
      </c>
      <c r="AP50" s="13" t="str">
        <f>IFERROR(AO50/AO446, "NA")</f>
        <v>NA</v>
      </c>
      <c r="AQ50" s="12"/>
      <c r="AR50" s="15">
        <f t="shared" si="10"/>
        <v>0</v>
      </c>
    </row>
    <row r="51" ht="16.5" hidden="1" customHeight="1">
      <c r="A51" s="11" t="s">
        <v>471</v>
      </c>
      <c r="B51" s="12">
        <v>0.0</v>
      </c>
      <c r="C51" s="13" t="str">
        <f>IFERROR(B51/B446, "NA")</f>
        <v>NA</v>
      </c>
      <c r="D51" s="14"/>
      <c r="E51" s="12">
        <v>0.0</v>
      </c>
      <c r="F51" s="13" t="str">
        <f>IFERROR(E51/E446, "NA")</f>
        <v>NA</v>
      </c>
      <c r="G51" s="14"/>
      <c r="H51" s="12">
        <v>0.0</v>
      </c>
      <c r="I51" s="13" t="str">
        <f>IFERROR(H51/H446, "NA")</f>
        <v>NA</v>
      </c>
      <c r="J51" s="14"/>
      <c r="K51" s="12">
        <v>0.0</v>
      </c>
      <c r="L51" s="13" t="str">
        <f>IFERROR(K51/K446, "NA")</f>
        <v>NA</v>
      </c>
      <c r="M51" s="14"/>
      <c r="N51" s="12">
        <v>0.0</v>
      </c>
      <c r="O51" s="13" t="str">
        <f>IFERROR(N51/N446, "NA")</f>
        <v>NA</v>
      </c>
      <c r="P51" s="14"/>
      <c r="Q51" s="12">
        <v>0.0</v>
      </c>
      <c r="R51" s="13" t="str">
        <f>IFERROR(Q51/Q446, "NA")</f>
        <v>NA</v>
      </c>
      <c r="S51" s="14"/>
      <c r="T51" s="12">
        <v>0.0</v>
      </c>
      <c r="U51" s="13" t="str">
        <f>IFERROR(T51/T446, "NA")</f>
        <v>NA</v>
      </c>
      <c r="V51" s="14"/>
      <c r="W51" s="12">
        <v>0.0</v>
      </c>
      <c r="X51" s="13" t="str">
        <f>IFERROR(W51/W446, "NA")</f>
        <v>NA</v>
      </c>
      <c r="Y51" s="14"/>
      <c r="Z51" s="12">
        <v>0.0</v>
      </c>
      <c r="AA51" s="13" t="str">
        <f>IFERROR(Z51/Z446, "NA")</f>
        <v>NA</v>
      </c>
      <c r="AB51" s="14"/>
      <c r="AC51" s="12">
        <v>0.0</v>
      </c>
      <c r="AD51" s="13" t="str">
        <f>IFERROR(AC51/AC446, "NA")</f>
        <v>NA</v>
      </c>
      <c r="AE51" s="14"/>
      <c r="AF51" s="12">
        <v>0.0</v>
      </c>
      <c r="AG51" s="13" t="str">
        <f>IFERROR(AF51/AF446, "NA")</f>
        <v>NA</v>
      </c>
      <c r="AH51" s="14"/>
      <c r="AI51" s="12">
        <v>0.0</v>
      </c>
      <c r="AJ51" s="13" t="str">
        <f>IFERROR(AI51/AI446, "NA")</f>
        <v>NA</v>
      </c>
      <c r="AK51" s="12"/>
      <c r="AL51" s="15">
        <f t="shared" si="9"/>
        <v>0</v>
      </c>
      <c r="AM51" s="13" t="str">
        <f>IFERROR(AL51/AL446, "NA")</f>
        <v>NA</v>
      </c>
      <c r="AN51" s="12"/>
      <c r="AO51" s="12">
        <v>0.0</v>
      </c>
      <c r="AP51" s="13" t="str">
        <f>IFERROR(AO51/AO446, "NA")</f>
        <v>NA</v>
      </c>
      <c r="AQ51" s="12"/>
      <c r="AR51" s="15">
        <f t="shared" si="10"/>
        <v>0</v>
      </c>
    </row>
    <row r="52" ht="16.5" hidden="1" customHeight="1">
      <c r="A52" s="11" t="s">
        <v>472</v>
      </c>
      <c r="B52" s="12">
        <v>0.0</v>
      </c>
      <c r="C52" s="13" t="str">
        <f>IFERROR(B52/B446, "NA")</f>
        <v>NA</v>
      </c>
      <c r="D52" s="14"/>
      <c r="E52" s="12">
        <v>0.0</v>
      </c>
      <c r="F52" s="13" t="str">
        <f>IFERROR(E52/E446, "NA")</f>
        <v>NA</v>
      </c>
      <c r="G52" s="14"/>
      <c r="H52" s="12">
        <v>0.0</v>
      </c>
      <c r="I52" s="13" t="str">
        <f>IFERROR(H52/H446, "NA")</f>
        <v>NA</v>
      </c>
      <c r="J52" s="14"/>
      <c r="K52" s="12">
        <v>0.0</v>
      </c>
      <c r="L52" s="13" t="str">
        <f>IFERROR(K52/K446, "NA")</f>
        <v>NA</v>
      </c>
      <c r="M52" s="14"/>
      <c r="N52" s="12">
        <v>0.0</v>
      </c>
      <c r="O52" s="13" t="str">
        <f>IFERROR(N52/N446, "NA")</f>
        <v>NA</v>
      </c>
      <c r="P52" s="14"/>
      <c r="Q52" s="12">
        <v>0.0</v>
      </c>
      <c r="R52" s="13" t="str">
        <f>IFERROR(Q52/Q446, "NA")</f>
        <v>NA</v>
      </c>
      <c r="S52" s="14"/>
      <c r="T52" s="12">
        <v>0.0</v>
      </c>
      <c r="U52" s="13" t="str">
        <f>IFERROR(T52/T446, "NA")</f>
        <v>NA</v>
      </c>
      <c r="V52" s="14"/>
      <c r="W52" s="12">
        <v>0.0</v>
      </c>
      <c r="X52" s="13" t="str">
        <f>IFERROR(W52/W446, "NA")</f>
        <v>NA</v>
      </c>
      <c r="Y52" s="14"/>
      <c r="Z52" s="12">
        <v>0.0</v>
      </c>
      <c r="AA52" s="13" t="str">
        <f>IFERROR(Z52/Z446, "NA")</f>
        <v>NA</v>
      </c>
      <c r="AB52" s="14"/>
      <c r="AC52" s="12">
        <v>0.0</v>
      </c>
      <c r="AD52" s="13" t="str">
        <f>IFERROR(AC52/AC446, "NA")</f>
        <v>NA</v>
      </c>
      <c r="AE52" s="14"/>
      <c r="AF52" s="12">
        <v>0.0</v>
      </c>
      <c r="AG52" s="13" t="str">
        <f>IFERROR(AF52/AF446, "NA")</f>
        <v>NA</v>
      </c>
      <c r="AH52" s="14"/>
      <c r="AI52" s="12">
        <v>0.0</v>
      </c>
      <c r="AJ52" s="13" t="str">
        <f>IFERROR(AI52/AI446, "NA")</f>
        <v>NA</v>
      </c>
      <c r="AK52" s="12"/>
      <c r="AL52" s="15">
        <f t="shared" si="9"/>
        <v>0</v>
      </c>
      <c r="AM52" s="13" t="str">
        <f>IFERROR(AL52/AL446, "NA")</f>
        <v>NA</v>
      </c>
      <c r="AN52" s="12"/>
      <c r="AO52" s="12">
        <v>0.0</v>
      </c>
      <c r="AP52" s="13" t="str">
        <f>IFERROR(AO52/AO446, "NA")</f>
        <v>NA</v>
      </c>
      <c r="AQ52" s="12"/>
      <c r="AR52" s="15">
        <f t="shared" si="10"/>
        <v>0</v>
      </c>
    </row>
    <row r="53" ht="16.5" hidden="1" customHeight="1">
      <c r="A53" s="11" t="s">
        <v>473</v>
      </c>
      <c r="B53" s="12">
        <v>0.0</v>
      </c>
      <c r="C53" s="13" t="str">
        <f>IFERROR(B53/B446, "NA")</f>
        <v>NA</v>
      </c>
      <c r="D53" s="14"/>
      <c r="E53" s="12">
        <v>0.0</v>
      </c>
      <c r="F53" s="13" t="str">
        <f>IFERROR(E53/E446, "NA")</f>
        <v>NA</v>
      </c>
      <c r="G53" s="14"/>
      <c r="H53" s="12">
        <v>0.0</v>
      </c>
      <c r="I53" s="13" t="str">
        <f>IFERROR(H53/H446, "NA")</f>
        <v>NA</v>
      </c>
      <c r="J53" s="14"/>
      <c r="K53" s="12">
        <v>0.0</v>
      </c>
      <c r="L53" s="13" t="str">
        <f>IFERROR(K53/K446, "NA")</f>
        <v>NA</v>
      </c>
      <c r="M53" s="14"/>
      <c r="N53" s="12">
        <v>0.0</v>
      </c>
      <c r="O53" s="13" t="str">
        <f>IFERROR(N53/N446, "NA")</f>
        <v>NA</v>
      </c>
      <c r="P53" s="14"/>
      <c r="Q53" s="12">
        <v>0.0</v>
      </c>
      <c r="R53" s="13" t="str">
        <f>IFERROR(Q53/Q446, "NA")</f>
        <v>NA</v>
      </c>
      <c r="S53" s="14"/>
      <c r="T53" s="12">
        <v>0.0</v>
      </c>
      <c r="U53" s="13" t="str">
        <f>IFERROR(T53/T446, "NA")</f>
        <v>NA</v>
      </c>
      <c r="V53" s="14"/>
      <c r="W53" s="12">
        <v>0.0</v>
      </c>
      <c r="X53" s="13" t="str">
        <f>IFERROR(W53/W446, "NA")</f>
        <v>NA</v>
      </c>
      <c r="Y53" s="14"/>
      <c r="Z53" s="12">
        <v>0.0</v>
      </c>
      <c r="AA53" s="13" t="str">
        <f>IFERROR(Z53/Z446, "NA")</f>
        <v>NA</v>
      </c>
      <c r="AB53" s="14"/>
      <c r="AC53" s="12">
        <v>0.0</v>
      </c>
      <c r="AD53" s="13" t="str">
        <f>IFERROR(AC53/AC446, "NA")</f>
        <v>NA</v>
      </c>
      <c r="AE53" s="14"/>
      <c r="AF53" s="12">
        <v>0.0</v>
      </c>
      <c r="AG53" s="13" t="str">
        <f>IFERROR(AF53/AF446, "NA")</f>
        <v>NA</v>
      </c>
      <c r="AH53" s="14"/>
      <c r="AI53" s="12">
        <v>0.0</v>
      </c>
      <c r="AJ53" s="13" t="str">
        <f>IFERROR(AI53/AI446, "NA")</f>
        <v>NA</v>
      </c>
      <c r="AK53" s="12"/>
      <c r="AL53" s="15">
        <f t="shared" si="9"/>
        <v>0</v>
      </c>
      <c r="AM53" s="13" t="str">
        <f>IFERROR(AL53/AL446, "NA")</f>
        <v>NA</v>
      </c>
      <c r="AN53" s="12"/>
      <c r="AO53" s="12">
        <v>0.0</v>
      </c>
      <c r="AP53" s="13" t="str">
        <f>IFERROR(AO53/AO446, "NA")</f>
        <v>NA</v>
      </c>
      <c r="AQ53" s="12"/>
      <c r="AR53" s="15">
        <f t="shared" si="10"/>
        <v>0</v>
      </c>
    </row>
    <row r="54" ht="16.5" hidden="1" customHeight="1">
      <c r="A54" s="11" t="s">
        <v>474</v>
      </c>
      <c r="B54" s="12">
        <v>0.0</v>
      </c>
      <c r="C54" s="13" t="str">
        <f>IFERROR(B54/B446, "NA")</f>
        <v>NA</v>
      </c>
      <c r="D54" s="14"/>
      <c r="E54" s="12">
        <v>0.0</v>
      </c>
      <c r="F54" s="13" t="str">
        <f>IFERROR(E54/E446, "NA")</f>
        <v>NA</v>
      </c>
      <c r="G54" s="14"/>
      <c r="H54" s="12">
        <v>0.0</v>
      </c>
      <c r="I54" s="13" t="str">
        <f>IFERROR(H54/H446, "NA")</f>
        <v>NA</v>
      </c>
      <c r="J54" s="14"/>
      <c r="K54" s="12">
        <v>0.0</v>
      </c>
      <c r="L54" s="13" t="str">
        <f>IFERROR(K54/K446, "NA")</f>
        <v>NA</v>
      </c>
      <c r="M54" s="14"/>
      <c r="N54" s="12">
        <v>0.0</v>
      </c>
      <c r="O54" s="13" t="str">
        <f>IFERROR(N54/N446, "NA")</f>
        <v>NA</v>
      </c>
      <c r="P54" s="14"/>
      <c r="Q54" s="12">
        <v>0.0</v>
      </c>
      <c r="R54" s="13" t="str">
        <f>IFERROR(Q54/Q446, "NA")</f>
        <v>NA</v>
      </c>
      <c r="S54" s="14"/>
      <c r="T54" s="12">
        <v>0.0</v>
      </c>
      <c r="U54" s="13" t="str">
        <f>IFERROR(T54/T446, "NA")</f>
        <v>NA</v>
      </c>
      <c r="V54" s="14"/>
      <c r="W54" s="12">
        <v>0.0</v>
      </c>
      <c r="X54" s="13" t="str">
        <f>IFERROR(W54/W446, "NA")</f>
        <v>NA</v>
      </c>
      <c r="Y54" s="14"/>
      <c r="Z54" s="12">
        <v>0.0</v>
      </c>
      <c r="AA54" s="13" t="str">
        <f>IFERROR(Z54/Z446, "NA")</f>
        <v>NA</v>
      </c>
      <c r="AB54" s="14"/>
      <c r="AC54" s="12">
        <v>0.0</v>
      </c>
      <c r="AD54" s="13" t="str">
        <f>IFERROR(AC54/AC446, "NA")</f>
        <v>NA</v>
      </c>
      <c r="AE54" s="14"/>
      <c r="AF54" s="12">
        <v>0.0</v>
      </c>
      <c r="AG54" s="13" t="str">
        <f>IFERROR(AF54/AF446, "NA")</f>
        <v>NA</v>
      </c>
      <c r="AH54" s="14"/>
      <c r="AI54" s="12">
        <v>0.0</v>
      </c>
      <c r="AJ54" s="13" t="str">
        <f>IFERROR(AI54/AI446, "NA")</f>
        <v>NA</v>
      </c>
      <c r="AK54" s="12"/>
      <c r="AL54" s="15">
        <f t="shared" si="9"/>
        <v>0</v>
      </c>
      <c r="AM54" s="13" t="str">
        <f>IFERROR(AL54/AL446, "NA")</f>
        <v>NA</v>
      </c>
      <c r="AN54" s="12"/>
      <c r="AO54" s="12">
        <v>0.0</v>
      </c>
      <c r="AP54" s="13" t="str">
        <f>IFERROR(AO54/AO446, "NA")</f>
        <v>NA</v>
      </c>
      <c r="AQ54" s="12"/>
      <c r="AR54" s="15">
        <f t="shared" si="10"/>
        <v>0</v>
      </c>
    </row>
    <row r="55" ht="16.5" hidden="1" customHeight="1">
      <c r="A55" s="11" t="s">
        <v>475</v>
      </c>
      <c r="B55" s="12">
        <v>0.0</v>
      </c>
      <c r="C55" s="13" t="str">
        <f>IFERROR(B55/B446, "NA")</f>
        <v>NA</v>
      </c>
      <c r="D55" s="14"/>
      <c r="E55" s="12">
        <v>0.0</v>
      </c>
      <c r="F55" s="13" t="str">
        <f>IFERROR(E55/E446, "NA")</f>
        <v>NA</v>
      </c>
      <c r="G55" s="14"/>
      <c r="H55" s="12">
        <v>0.0</v>
      </c>
      <c r="I55" s="13" t="str">
        <f>IFERROR(H55/H446, "NA")</f>
        <v>NA</v>
      </c>
      <c r="J55" s="14"/>
      <c r="K55" s="12">
        <v>0.0</v>
      </c>
      <c r="L55" s="13" t="str">
        <f>IFERROR(K55/K446, "NA")</f>
        <v>NA</v>
      </c>
      <c r="M55" s="14"/>
      <c r="N55" s="12">
        <v>0.0</v>
      </c>
      <c r="O55" s="13" t="str">
        <f>IFERROR(N55/N446, "NA")</f>
        <v>NA</v>
      </c>
      <c r="P55" s="14"/>
      <c r="Q55" s="12">
        <v>0.0</v>
      </c>
      <c r="R55" s="13" t="str">
        <f>IFERROR(Q55/Q446, "NA")</f>
        <v>NA</v>
      </c>
      <c r="S55" s="14"/>
      <c r="T55" s="12">
        <v>0.0</v>
      </c>
      <c r="U55" s="13" t="str">
        <f>IFERROR(T55/T446, "NA")</f>
        <v>NA</v>
      </c>
      <c r="V55" s="14"/>
      <c r="W55" s="12">
        <v>0.0</v>
      </c>
      <c r="X55" s="13" t="str">
        <f>IFERROR(W55/W446, "NA")</f>
        <v>NA</v>
      </c>
      <c r="Y55" s="14"/>
      <c r="Z55" s="12">
        <v>0.0</v>
      </c>
      <c r="AA55" s="13" t="str">
        <f>IFERROR(Z55/Z446, "NA")</f>
        <v>NA</v>
      </c>
      <c r="AB55" s="14"/>
      <c r="AC55" s="12">
        <v>0.0</v>
      </c>
      <c r="AD55" s="13" t="str">
        <f>IFERROR(AC55/AC446, "NA")</f>
        <v>NA</v>
      </c>
      <c r="AE55" s="14"/>
      <c r="AF55" s="12">
        <v>0.0</v>
      </c>
      <c r="AG55" s="13" t="str">
        <f>IFERROR(AF55/AF446, "NA")</f>
        <v>NA</v>
      </c>
      <c r="AH55" s="14"/>
      <c r="AI55" s="12">
        <v>0.0</v>
      </c>
      <c r="AJ55" s="13" t="str">
        <f>IFERROR(AI55/AI446, "NA")</f>
        <v>NA</v>
      </c>
      <c r="AK55" s="12"/>
      <c r="AL55" s="15">
        <f t="shared" si="9"/>
        <v>0</v>
      </c>
      <c r="AM55" s="13" t="str">
        <f>IFERROR(AL55/AL446, "NA")</f>
        <v>NA</v>
      </c>
      <c r="AN55" s="12"/>
      <c r="AO55" s="12">
        <v>0.0</v>
      </c>
      <c r="AP55" s="13" t="str">
        <f>IFERROR(AO55/AO446, "NA")</f>
        <v>NA</v>
      </c>
      <c r="AQ55" s="12"/>
      <c r="AR55" s="15">
        <f t="shared" si="10"/>
        <v>0</v>
      </c>
    </row>
    <row r="56" ht="16.5" hidden="1" customHeight="1">
      <c r="A56" s="11" t="s">
        <v>476</v>
      </c>
      <c r="B56" s="12">
        <v>0.0</v>
      </c>
      <c r="C56" s="13" t="str">
        <f>IFERROR(B56/B446, "NA")</f>
        <v>NA</v>
      </c>
      <c r="D56" s="14"/>
      <c r="E56" s="12">
        <v>0.0</v>
      </c>
      <c r="F56" s="13" t="str">
        <f>IFERROR(E56/E446, "NA")</f>
        <v>NA</v>
      </c>
      <c r="G56" s="14"/>
      <c r="H56" s="12">
        <v>0.0</v>
      </c>
      <c r="I56" s="13" t="str">
        <f>IFERROR(H56/H446, "NA")</f>
        <v>NA</v>
      </c>
      <c r="J56" s="14"/>
      <c r="K56" s="12">
        <v>0.0</v>
      </c>
      <c r="L56" s="13" t="str">
        <f>IFERROR(K56/K446, "NA")</f>
        <v>NA</v>
      </c>
      <c r="M56" s="14"/>
      <c r="N56" s="12">
        <v>0.0</v>
      </c>
      <c r="O56" s="13" t="str">
        <f>IFERROR(N56/N446, "NA")</f>
        <v>NA</v>
      </c>
      <c r="P56" s="14"/>
      <c r="Q56" s="12">
        <v>0.0</v>
      </c>
      <c r="R56" s="13" t="str">
        <f>IFERROR(Q56/Q446, "NA")</f>
        <v>NA</v>
      </c>
      <c r="S56" s="14"/>
      <c r="T56" s="12">
        <v>0.0</v>
      </c>
      <c r="U56" s="13" t="str">
        <f>IFERROR(T56/T446, "NA")</f>
        <v>NA</v>
      </c>
      <c r="V56" s="14"/>
      <c r="W56" s="12">
        <v>0.0</v>
      </c>
      <c r="X56" s="13" t="str">
        <f>IFERROR(W56/W446, "NA")</f>
        <v>NA</v>
      </c>
      <c r="Y56" s="14"/>
      <c r="Z56" s="12">
        <v>0.0</v>
      </c>
      <c r="AA56" s="13" t="str">
        <f>IFERROR(Z56/Z446, "NA")</f>
        <v>NA</v>
      </c>
      <c r="AB56" s="14"/>
      <c r="AC56" s="12">
        <v>0.0</v>
      </c>
      <c r="AD56" s="13" t="str">
        <f>IFERROR(AC56/AC446, "NA")</f>
        <v>NA</v>
      </c>
      <c r="AE56" s="14"/>
      <c r="AF56" s="12">
        <v>0.0</v>
      </c>
      <c r="AG56" s="13" t="str">
        <f>IFERROR(AF56/AF446, "NA")</f>
        <v>NA</v>
      </c>
      <c r="AH56" s="14"/>
      <c r="AI56" s="12">
        <v>0.0</v>
      </c>
      <c r="AJ56" s="13" t="str">
        <f>IFERROR(AI56/AI446, "NA")</f>
        <v>NA</v>
      </c>
      <c r="AK56" s="12"/>
      <c r="AL56" s="15">
        <f t="shared" si="9"/>
        <v>0</v>
      </c>
      <c r="AM56" s="13" t="str">
        <f>IFERROR(AL56/AL446, "NA")</f>
        <v>NA</v>
      </c>
      <c r="AN56" s="12"/>
      <c r="AO56" s="12">
        <v>0.0</v>
      </c>
      <c r="AP56" s="13" t="str">
        <f>IFERROR(AO56/AO446, "NA")</f>
        <v>NA</v>
      </c>
      <c r="AQ56" s="12"/>
      <c r="AR56" s="15">
        <f t="shared" si="10"/>
        <v>0</v>
      </c>
    </row>
    <row r="57" ht="16.5" hidden="1" customHeight="1">
      <c r="A57" s="11" t="s">
        <v>477</v>
      </c>
      <c r="B57" s="12">
        <v>0.0</v>
      </c>
      <c r="C57" s="13" t="str">
        <f>IFERROR(B57/B446, "NA")</f>
        <v>NA</v>
      </c>
      <c r="D57" s="14"/>
      <c r="E57" s="12">
        <v>0.0</v>
      </c>
      <c r="F57" s="13" t="str">
        <f>IFERROR(E57/E446, "NA")</f>
        <v>NA</v>
      </c>
      <c r="G57" s="14"/>
      <c r="H57" s="12">
        <v>0.0</v>
      </c>
      <c r="I57" s="13" t="str">
        <f>IFERROR(H57/H446, "NA")</f>
        <v>NA</v>
      </c>
      <c r="J57" s="14"/>
      <c r="K57" s="12">
        <v>0.0</v>
      </c>
      <c r="L57" s="13" t="str">
        <f>IFERROR(K57/K446, "NA")</f>
        <v>NA</v>
      </c>
      <c r="M57" s="14"/>
      <c r="N57" s="12">
        <v>0.0</v>
      </c>
      <c r="O57" s="13" t="str">
        <f>IFERROR(N57/N446, "NA")</f>
        <v>NA</v>
      </c>
      <c r="P57" s="14"/>
      <c r="Q57" s="12">
        <v>0.0</v>
      </c>
      <c r="R57" s="13" t="str">
        <f>IFERROR(Q57/Q446, "NA")</f>
        <v>NA</v>
      </c>
      <c r="S57" s="14"/>
      <c r="T57" s="12">
        <v>0.0</v>
      </c>
      <c r="U57" s="13" t="str">
        <f>IFERROR(T57/T446, "NA")</f>
        <v>NA</v>
      </c>
      <c r="V57" s="14"/>
      <c r="W57" s="12">
        <v>0.0</v>
      </c>
      <c r="X57" s="13" t="str">
        <f>IFERROR(W57/W446, "NA")</f>
        <v>NA</v>
      </c>
      <c r="Y57" s="14"/>
      <c r="Z57" s="12">
        <v>0.0</v>
      </c>
      <c r="AA57" s="13" t="str">
        <f>IFERROR(Z57/Z446, "NA")</f>
        <v>NA</v>
      </c>
      <c r="AB57" s="14"/>
      <c r="AC57" s="12">
        <v>0.0</v>
      </c>
      <c r="AD57" s="13" t="str">
        <f>IFERROR(AC57/AC446, "NA")</f>
        <v>NA</v>
      </c>
      <c r="AE57" s="14"/>
      <c r="AF57" s="12">
        <v>0.0</v>
      </c>
      <c r="AG57" s="13" t="str">
        <f>IFERROR(AF57/AF446, "NA")</f>
        <v>NA</v>
      </c>
      <c r="AH57" s="14"/>
      <c r="AI57" s="12">
        <v>0.0</v>
      </c>
      <c r="AJ57" s="13" t="str">
        <f>IFERROR(AI57/AI446, "NA")</f>
        <v>NA</v>
      </c>
      <c r="AK57" s="12"/>
      <c r="AL57" s="15">
        <f t="shared" si="9"/>
        <v>0</v>
      </c>
      <c r="AM57" s="13" t="str">
        <f>IFERROR(AL57/AL446, "NA")</f>
        <v>NA</v>
      </c>
      <c r="AN57" s="12"/>
      <c r="AO57" s="12">
        <v>0.0</v>
      </c>
      <c r="AP57" s="13" t="str">
        <f>IFERROR(AO57/AO446, "NA")</f>
        <v>NA</v>
      </c>
      <c r="AQ57" s="12"/>
      <c r="AR57" s="15">
        <f t="shared" si="10"/>
        <v>0</v>
      </c>
    </row>
    <row r="58" ht="16.5" hidden="1" customHeight="1">
      <c r="A58" s="11" t="s">
        <v>478</v>
      </c>
      <c r="B58" s="12">
        <v>0.0</v>
      </c>
      <c r="C58" s="13" t="str">
        <f>IFERROR(B58/B446, "NA")</f>
        <v>NA</v>
      </c>
      <c r="D58" s="14"/>
      <c r="E58" s="12">
        <v>0.0</v>
      </c>
      <c r="F58" s="13" t="str">
        <f>IFERROR(E58/E446, "NA")</f>
        <v>NA</v>
      </c>
      <c r="G58" s="14"/>
      <c r="H58" s="12">
        <v>0.0</v>
      </c>
      <c r="I58" s="13" t="str">
        <f>IFERROR(H58/H446, "NA")</f>
        <v>NA</v>
      </c>
      <c r="J58" s="14"/>
      <c r="K58" s="12">
        <v>0.0</v>
      </c>
      <c r="L58" s="13" t="str">
        <f>IFERROR(K58/K446, "NA")</f>
        <v>NA</v>
      </c>
      <c r="M58" s="14"/>
      <c r="N58" s="12">
        <v>0.0</v>
      </c>
      <c r="O58" s="13" t="str">
        <f>IFERROR(N58/N446, "NA")</f>
        <v>NA</v>
      </c>
      <c r="P58" s="14"/>
      <c r="Q58" s="12">
        <v>0.0</v>
      </c>
      <c r="R58" s="13" t="str">
        <f>IFERROR(Q58/Q446, "NA")</f>
        <v>NA</v>
      </c>
      <c r="S58" s="14"/>
      <c r="T58" s="12">
        <v>0.0</v>
      </c>
      <c r="U58" s="13" t="str">
        <f>IFERROR(T58/T446, "NA")</f>
        <v>NA</v>
      </c>
      <c r="V58" s="14"/>
      <c r="W58" s="12">
        <v>0.0</v>
      </c>
      <c r="X58" s="13" t="str">
        <f>IFERROR(W58/W446, "NA")</f>
        <v>NA</v>
      </c>
      <c r="Y58" s="14"/>
      <c r="Z58" s="12">
        <v>0.0</v>
      </c>
      <c r="AA58" s="13" t="str">
        <f>IFERROR(Z58/Z446, "NA")</f>
        <v>NA</v>
      </c>
      <c r="AB58" s="14"/>
      <c r="AC58" s="12">
        <v>0.0</v>
      </c>
      <c r="AD58" s="13" t="str">
        <f>IFERROR(AC58/AC446, "NA")</f>
        <v>NA</v>
      </c>
      <c r="AE58" s="14"/>
      <c r="AF58" s="12">
        <v>0.0</v>
      </c>
      <c r="AG58" s="13" t="str">
        <f>IFERROR(AF58/AF446, "NA")</f>
        <v>NA</v>
      </c>
      <c r="AH58" s="14"/>
      <c r="AI58" s="12">
        <v>0.0</v>
      </c>
      <c r="AJ58" s="13" t="str">
        <f>IFERROR(AI58/AI446, "NA")</f>
        <v>NA</v>
      </c>
      <c r="AK58" s="12"/>
      <c r="AL58" s="15">
        <f t="shared" si="9"/>
        <v>0</v>
      </c>
      <c r="AM58" s="13" t="str">
        <f>IFERROR(AL58/AL446, "NA")</f>
        <v>NA</v>
      </c>
      <c r="AN58" s="12"/>
      <c r="AO58" s="12">
        <v>0.0</v>
      </c>
      <c r="AP58" s="13" t="str">
        <f>IFERROR(AO58/AO446, "NA")</f>
        <v>NA</v>
      </c>
      <c r="AQ58" s="12"/>
      <c r="AR58" s="15">
        <f t="shared" si="10"/>
        <v>0</v>
      </c>
    </row>
    <row r="59" ht="16.5" hidden="1" customHeight="1">
      <c r="A59" s="11" t="s">
        <v>479</v>
      </c>
      <c r="B59" s="12">
        <v>0.0</v>
      </c>
      <c r="C59" s="13" t="str">
        <f>IFERROR(B59/B446, "NA")</f>
        <v>NA</v>
      </c>
      <c r="D59" s="14"/>
      <c r="E59" s="12">
        <v>0.0</v>
      </c>
      <c r="F59" s="13" t="str">
        <f>IFERROR(E59/E446, "NA")</f>
        <v>NA</v>
      </c>
      <c r="G59" s="14"/>
      <c r="H59" s="12">
        <v>0.0</v>
      </c>
      <c r="I59" s="13" t="str">
        <f>IFERROR(H59/H446, "NA")</f>
        <v>NA</v>
      </c>
      <c r="J59" s="14"/>
      <c r="K59" s="12">
        <v>0.0</v>
      </c>
      <c r="L59" s="13" t="str">
        <f>IFERROR(K59/K446, "NA")</f>
        <v>NA</v>
      </c>
      <c r="M59" s="14"/>
      <c r="N59" s="12">
        <v>0.0</v>
      </c>
      <c r="O59" s="13" t="str">
        <f>IFERROR(N59/N446, "NA")</f>
        <v>NA</v>
      </c>
      <c r="P59" s="14"/>
      <c r="Q59" s="12">
        <v>0.0</v>
      </c>
      <c r="R59" s="13" t="str">
        <f>IFERROR(Q59/Q446, "NA")</f>
        <v>NA</v>
      </c>
      <c r="S59" s="14"/>
      <c r="T59" s="12">
        <v>0.0</v>
      </c>
      <c r="U59" s="13" t="str">
        <f>IFERROR(T59/T446, "NA")</f>
        <v>NA</v>
      </c>
      <c r="V59" s="14"/>
      <c r="W59" s="12">
        <v>0.0</v>
      </c>
      <c r="X59" s="13" t="str">
        <f>IFERROR(W59/W446, "NA")</f>
        <v>NA</v>
      </c>
      <c r="Y59" s="14"/>
      <c r="Z59" s="12">
        <v>0.0</v>
      </c>
      <c r="AA59" s="13" t="str">
        <f>IFERROR(Z59/Z446, "NA")</f>
        <v>NA</v>
      </c>
      <c r="AB59" s="14"/>
      <c r="AC59" s="12">
        <v>0.0</v>
      </c>
      <c r="AD59" s="13" t="str">
        <f>IFERROR(AC59/AC446, "NA")</f>
        <v>NA</v>
      </c>
      <c r="AE59" s="14"/>
      <c r="AF59" s="12">
        <v>0.0</v>
      </c>
      <c r="AG59" s="13" t="str">
        <f>IFERROR(AF59/AF446, "NA")</f>
        <v>NA</v>
      </c>
      <c r="AH59" s="14"/>
      <c r="AI59" s="12">
        <v>0.0</v>
      </c>
      <c r="AJ59" s="13" t="str">
        <f>IFERROR(AI59/AI446, "NA")</f>
        <v>NA</v>
      </c>
      <c r="AK59" s="12"/>
      <c r="AL59" s="15">
        <f t="shared" si="9"/>
        <v>0</v>
      </c>
      <c r="AM59" s="13" t="str">
        <f>IFERROR(AL59/AL446, "NA")</f>
        <v>NA</v>
      </c>
      <c r="AN59" s="12"/>
      <c r="AO59" s="12">
        <v>0.0</v>
      </c>
      <c r="AP59" s="13" t="str">
        <f>IFERROR(AO59/AO446, "NA")</f>
        <v>NA</v>
      </c>
      <c r="AQ59" s="12"/>
      <c r="AR59" s="15">
        <f t="shared" si="10"/>
        <v>0</v>
      </c>
    </row>
    <row r="60" ht="16.5" hidden="1" customHeight="1">
      <c r="A60" s="11" t="s">
        <v>480</v>
      </c>
      <c r="B60" s="12">
        <v>0.0</v>
      </c>
      <c r="C60" s="13" t="str">
        <f>IFERROR(B60/B446, "NA")</f>
        <v>NA</v>
      </c>
      <c r="D60" s="14"/>
      <c r="E60" s="12">
        <v>0.0</v>
      </c>
      <c r="F60" s="13" t="str">
        <f>IFERROR(E60/E446, "NA")</f>
        <v>NA</v>
      </c>
      <c r="G60" s="14"/>
      <c r="H60" s="12">
        <v>0.0</v>
      </c>
      <c r="I60" s="13" t="str">
        <f>IFERROR(H60/H446, "NA")</f>
        <v>NA</v>
      </c>
      <c r="J60" s="14"/>
      <c r="K60" s="12">
        <v>0.0</v>
      </c>
      <c r="L60" s="13" t="str">
        <f>IFERROR(K60/K446, "NA")</f>
        <v>NA</v>
      </c>
      <c r="M60" s="14"/>
      <c r="N60" s="12">
        <v>0.0</v>
      </c>
      <c r="O60" s="13" t="str">
        <f>IFERROR(N60/N446, "NA")</f>
        <v>NA</v>
      </c>
      <c r="P60" s="14"/>
      <c r="Q60" s="12">
        <v>0.0</v>
      </c>
      <c r="R60" s="13" t="str">
        <f>IFERROR(Q60/Q446, "NA")</f>
        <v>NA</v>
      </c>
      <c r="S60" s="14"/>
      <c r="T60" s="12">
        <v>0.0</v>
      </c>
      <c r="U60" s="13" t="str">
        <f>IFERROR(T60/T446, "NA")</f>
        <v>NA</v>
      </c>
      <c r="V60" s="14"/>
      <c r="W60" s="12">
        <v>0.0</v>
      </c>
      <c r="X60" s="13" t="str">
        <f>IFERROR(W60/W446, "NA")</f>
        <v>NA</v>
      </c>
      <c r="Y60" s="14"/>
      <c r="Z60" s="12">
        <v>0.0</v>
      </c>
      <c r="AA60" s="13" t="str">
        <f>IFERROR(Z60/Z446, "NA")</f>
        <v>NA</v>
      </c>
      <c r="AB60" s="14"/>
      <c r="AC60" s="12">
        <v>0.0</v>
      </c>
      <c r="AD60" s="13" t="str">
        <f>IFERROR(AC60/AC446, "NA")</f>
        <v>NA</v>
      </c>
      <c r="AE60" s="14"/>
      <c r="AF60" s="12">
        <v>0.0</v>
      </c>
      <c r="AG60" s="13" t="str">
        <f>IFERROR(AF60/AF446, "NA")</f>
        <v>NA</v>
      </c>
      <c r="AH60" s="14"/>
      <c r="AI60" s="12">
        <v>0.0</v>
      </c>
      <c r="AJ60" s="13" t="str">
        <f>IFERROR(AI60/AI446, "NA")</f>
        <v>NA</v>
      </c>
      <c r="AK60" s="12"/>
      <c r="AL60" s="15">
        <f t="shared" si="9"/>
        <v>0</v>
      </c>
      <c r="AM60" s="13" t="str">
        <f>IFERROR(AL60/AL446, "NA")</f>
        <v>NA</v>
      </c>
      <c r="AN60" s="12"/>
      <c r="AO60" s="12">
        <v>0.0</v>
      </c>
      <c r="AP60" s="13" t="str">
        <f>IFERROR(AO60/AO446, "NA")</f>
        <v>NA</v>
      </c>
      <c r="AQ60" s="12"/>
      <c r="AR60" s="15">
        <f t="shared" si="10"/>
        <v>0</v>
      </c>
    </row>
    <row r="61" ht="16.5" customHeight="1">
      <c r="A61" s="16" t="s">
        <v>62</v>
      </c>
      <c r="B61" s="17">
        <f>IFERROR(B46+B47+B48+B49+B50+B51+B52+B53+B54+B55+B56+B57+B58+B59+B60, "NA")</f>
        <v>0</v>
      </c>
      <c r="C61" s="18" t="str">
        <f>IFERROR(B61/B446, "NA")</f>
        <v>NA</v>
      </c>
      <c r="D61" s="8"/>
      <c r="E61" s="17">
        <f>IFERROR(E46+E47+E48+E49+E50+E51+E52+E53+E54+E55+E56+E57+E58+E59+E60, "NA")</f>
        <v>0</v>
      </c>
      <c r="F61" s="18" t="str">
        <f>IFERROR(E61/E446, "NA")</f>
        <v>NA</v>
      </c>
      <c r="G61" s="8"/>
      <c r="H61" s="17">
        <f>IFERROR(H46+H47+H48+H49+H50+H51+H52+H53+H54+H55+H56+H57+H58+H59+H60, "NA")</f>
        <v>0</v>
      </c>
      <c r="I61" s="18" t="str">
        <f>IFERROR(H61/H446, "NA")</f>
        <v>NA</v>
      </c>
      <c r="J61" s="8"/>
      <c r="K61" s="17">
        <f>IFERROR(K46+K47+K48+K49+K50+K51+K52+K53+K54+K55+K56+K57+K58+K59+K60, "NA")</f>
        <v>0</v>
      </c>
      <c r="L61" s="18" t="str">
        <f>IFERROR(K61/K446, "NA")</f>
        <v>NA</v>
      </c>
      <c r="M61" s="8"/>
      <c r="N61" s="17">
        <f>IFERROR(N46+N47+N48+N49+N50+N51+N52+N53+N54+N55+N56+N57+N58+N59+N60, "NA")</f>
        <v>0</v>
      </c>
      <c r="O61" s="18" t="str">
        <f>IFERROR(N61/N446, "NA")</f>
        <v>NA</v>
      </c>
      <c r="P61" s="8"/>
      <c r="Q61" s="17">
        <f>IFERROR(Q46+Q47+Q48+Q49+Q50+Q51+Q52+Q53+Q54+Q55+Q56+Q57+Q58+Q59+Q60, "NA")</f>
        <v>0</v>
      </c>
      <c r="R61" s="18" t="str">
        <f>IFERROR(Q61/Q446, "NA")</f>
        <v>NA</v>
      </c>
      <c r="S61" s="8"/>
      <c r="T61" s="17">
        <f>IFERROR(T46+T47+T48+T49+T50+T51+T52+T53+T54+T55+T56+T57+T58+T59+T60, "NA")</f>
        <v>0</v>
      </c>
      <c r="U61" s="18" t="str">
        <f>IFERROR(T61/T446, "NA")</f>
        <v>NA</v>
      </c>
      <c r="V61" s="8"/>
      <c r="W61" s="17">
        <f>IFERROR(W46+W47+W48+W49+W50+W51+W52+W53+W54+W55+W56+W57+W58+W59+W60, "NA")</f>
        <v>0</v>
      </c>
      <c r="X61" s="18" t="str">
        <f>IFERROR(W61/W446, "NA")</f>
        <v>NA</v>
      </c>
      <c r="Y61" s="8"/>
      <c r="Z61" s="17">
        <f>IFERROR(Z46+Z47+Z48+Z49+Z50+Z51+Z52+Z53+Z54+Z55+Z56+Z57+Z58+Z59+Z60, "NA")</f>
        <v>0</v>
      </c>
      <c r="AA61" s="18" t="str">
        <f>IFERROR(Z61/Z446, "NA")</f>
        <v>NA</v>
      </c>
      <c r="AB61" s="8"/>
      <c r="AC61" s="17">
        <f>IFERROR(AC46+AC47+AC48+AC49+AC50+AC51+AC52+AC53+AC54+AC55+AC56+AC57+AC58+AC59+AC60, "NA")</f>
        <v>0</v>
      </c>
      <c r="AD61" s="18" t="str">
        <f>IFERROR(AC61/AC446, "NA")</f>
        <v>NA</v>
      </c>
      <c r="AE61" s="8"/>
      <c r="AF61" s="17">
        <f>IFERROR(AF46+AF47+AF48+AF49+AF50+AF51+AF52+AF53+AF54+AF55+AF56+AF57+AF58+AF59+AF60, "NA")</f>
        <v>0</v>
      </c>
      <c r="AG61" s="18" t="str">
        <f>IFERROR(AF61/AF446, "NA")</f>
        <v>NA</v>
      </c>
      <c r="AH61" s="8"/>
      <c r="AI61" s="17">
        <f>IFERROR(AI46+AI47+AI48+AI49+AI50+AI51+AI52+AI53+AI54+AI55+AI56+AI57+AI58+AI59+AI60, "NA")</f>
        <v>0</v>
      </c>
      <c r="AJ61" s="18" t="str">
        <f>IFERROR(AI61/AI446, "NA")</f>
        <v>NA</v>
      </c>
      <c r="AK61" s="8"/>
      <c r="AL61" s="17">
        <f t="shared" si="9"/>
        <v>0</v>
      </c>
      <c r="AM61" s="18" t="str">
        <f>IFERROR(AL61/AL446, "NA")</f>
        <v>NA</v>
      </c>
      <c r="AN61" s="8"/>
      <c r="AO61" s="17">
        <f>IFERROR(AO46+AO47+AO48+AO49+AO50+AO51+AO52+AO53+AO54+AO55+AO56+AO57+AO58+AO59+AO60, "NA")</f>
        <v>0</v>
      </c>
      <c r="AP61" s="18" t="str">
        <f>IFERROR(AO61/AO446, "NA")</f>
        <v>NA</v>
      </c>
      <c r="AQ61" s="8"/>
      <c r="AR61" s="17">
        <f t="shared" si="10"/>
        <v>0</v>
      </c>
    </row>
    <row r="62" ht="16.5" customHeight="1">
      <c r="A62" s="16" t="s">
        <v>63</v>
      </c>
      <c r="B62" s="17">
        <f>IFERROR(B42+B43+B44+B46+B47+B48+B49+B50+B51+B52+B53+B54+B55+B56+B57+B58+B59+B60, "NA")</f>
        <v>0</v>
      </c>
      <c r="C62" s="18" t="str">
        <f>IFERROR(B62/B446, "NA")</f>
        <v>NA</v>
      </c>
      <c r="D62" s="8"/>
      <c r="E62" s="17">
        <f>IFERROR(E42+E43+E44+E46+E47+E48+E49+E50+E51+E52+E53+E54+E55+E56+E57+E58+E59+E60, "NA")</f>
        <v>0</v>
      </c>
      <c r="F62" s="18" t="str">
        <f>IFERROR(E62/E446, "NA")</f>
        <v>NA</v>
      </c>
      <c r="G62" s="8"/>
      <c r="H62" s="17">
        <f>IFERROR(H42+H43+H44+H46+H47+H48+H49+H50+H51+H52+H53+H54+H55+H56+H57+H58+H59+H60, "NA")</f>
        <v>0</v>
      </c>
      <c r="I62" s="18" t="str">
        <f>IFERROR(H62/H446, "NA")</f>
        <v>NA</v>
      </c>
      <c r="J62" s="8"/>
      <c r="K62" s="17">
        <f>IFERROR(K42+K43+K44+K46+K47+K48+K49+K50+K51+K52+K53+K54+K55+K56+K57+K58+K59+K60, "NA")</f>
        <v>0</v>
      </c>
      <c r="L62" s="18" t="str">
        <f>IFERROR(K62/K446, "NA")</f>
        <v>NA</v>
      </c>
      <c r="M62" s="8"/>
      <c r="N62" s="17">
        <f>IFERROR(N42+N43+N44+N46+N47+N48+N49+N50+N51+N52+N53+N54+N55+N56+N57+N58+N59+N60, "NA")</f>
        <v>0</v>
      </c>
      <c r="O62" s="18" t="str">
        <f>IFERROR(N62/N446, "NA")</f>
        <v>NA</v>
      </c>
      <c r="P62" s="8"/>
      <c r="Q62" s="17">
        <f>IFERROR(Q42+Q43+Q44+Q46+Q47+Q48+Q49+Q50+Q51+Q52+Q53+Q54+Q55+Q56+Q57+Q58+Q59+Q60, "NA")</f>
        <v>0</v>
      </c>
      <c r="R62" s="18" t="str">
        <f>IFERROR(Q62/Q446, "NA")</f>
        <v>NA</v>
      </c>
      <c r="S62" s="8"/>
      <c r="T62" s="17">
        <f>IFERROR(T42+T43+T44+T46+T47+T48+T49+T50+T51+T52+T53+T54+T55+T56+T57+T58+T59+T60, "NA")</f>
        <v>0</v>
      </c>
      <c r="U62" s="18" t="str">
        <f>IFERROR(T62/T446, "NA")</f>
        <v>NA</v>
      </c>
      <c r="V62" s="8"/>
      <c r="W62" s="17">
        <f>IFERROR(W42+W43+W44+W46+W47+W48+W49+W50+W51+W52+W53+W54+W55+W56+W57+W58+W59+W60, "NA")</f>
        <v>0</v>
      </c>
      <c r="X62" s="18" t="str">
        <f>IFERROR(W62/W446, "NA")</f>
        <v>NA</v>
      </c>
      <c r="Y62" s="8"/>
      <c r="Z62" s="17">
        <f>IFERROR(Z42+Z43+Z44+Z46+Z47+Z48+Z49+Z50+Z51+Z52+Z53+Z54+Z55+Z56+Z57+Z58+Z59+Z60, "NA")</f>
        <v>0</v>
      </c>
      <c r="AA62" s="18" t="str">
        <f>IFERROR(Z62/Z446, "NA")</f>
        <v>NA</v>
      </c>
      <c r="AB62" s="8"/>
      <c r="AC62" s="17">
        <f>IFERROR(AC42+AC43+AC44+AC46+AC47+AC48+AC49+AC50+AC51+AC52+AC53+AC54+AC55+AC56+AC57+AC58+AC59+AC60, "NA")</f>
        <v>0</v>
      </c>
      <c r="AD62" s="18" t="str">
        <f>IFERROR(AC62/AC446, "NA")</f>
        <v>NA</v>
      </c>
      <c r="AE62" s="8"/>
      <c r="AF62" s="17">
        <f>IFERROR(AF42+AF43+AF44+AF46+AF47+AF48+AF49+AF50+AF51+AF52+AF53+AF54+AF55+AF56+AF57+AF58+AF59+AF60, "NA")</f>
        <v>0</v>
      </c>
      <c r="AG62" s="18" t="str">
        <f>IFERROR(AF62/AF446, "NA")</f>
        <v>NA</v>
      </c>
      <c r="AH62" s="8"/>
      <c r="AI62" s="17">
        <f>IFERROR(AI42+AI43+AI44+AI46+AI47+AI48+AI49+AI50+AI51+AI52+AI53+AI54+AI55+AI56+AI57+AI58+AI59+AI60, "NA")</f>
        <v>0</v>
      </c>
      <c r="AJ62" s="18" t="str">
        <f>IFERROR(AI62/AI446, "NA")</f>
        <v>NA</v>
      </c>
      <c r="AK62" s="8"/>
      <c r="AL62" s="17">
        <f t="shared" si="9"/>
        <v>0</v>
      </c>
      <c r="AM62" s="18" t="str">
        <f>IFERROR(AL62/AL446, "NA")</f>
        <v>NA</v>
      </c>
      <c r="AN62" s="8"/>
      <c r="AO62" s="17">
        <f>IFERROR(AO42+AO43+AO44+AO46+AO47+AO48+AO49+AO50+AO51+AO52+AO53+AO54+AO55+AO56+AO57+AO58+AO59+AO60, "NA")</f>
        <v>0</v>
      </c>
      <c r="AP62" s="18" t="str">
        <f>IFERROR(AO62/AO446, "NA")</f>
        <v>NA</v>
      </c>
      <c r="AQ62" s="8"/>
      <c r="AR62" s="17">
        <f t="shared" si="10"/>
        <v>0</v>
      </c>
    </row>
    <row r="63" ht="16.5" customHeight="1">
      <c r="A63" s="7" t="s">
        <v>64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  <c r="AE63" s="10"/>
      <c r="AF63" s="8"/>
      <c r="AG63" s="9"/>
      <c r="AH63" s="10"/>
      <c r="AI63" s="8"/>
      <c r="AJ63" s="9"/>
      <c r="AK63" s="8"/>
      <c r="AL63" s="8"/>
      <c r="AM63" s="9"/>
      <c r="AN63" s="8"/>
      <c r="AO63" s="8"/>
      <c r="AP63" s="9"/>
      <c r="AQ63" s="8"/>
      <c r="AR63" s="8"/>
    </row>
    <row r="64" ht="16.5" hidden="1" customHeight="1">
      <c r="A64" s="11" t="s">
        <v>481</v>
      </c>
      <c r="B64" s="12">
        <v>0.0</v>
      </c>
      <c r="C64" s="13" t="str">
        <f>IFERROR(B64/B446, "NA")</f>
        <v>NA</v>
      </c>
      <c r="D64" s="14"/>
      <c r="E64" s="12">
        <v>0.0</v>
      </c>
      <c r="F64" s="13" t="str">
        <f>IFERROR(E64/E446, "NA")</f>
        <v>NA</v>
      </c>
      <c r="G64" s="14"/>
      <c r="H64" s="12">
        <v>0.0</v>
      </c>
      <c r="I64" s="13" t="str">
        <f>IFERROR(H64/H446, "NA")</f>
        <v>NA</v>
      </c>
      <c r="J64" s="14"/>
      <c r="K64" s="12">
        <v>0.0</v>
      </c>
      <c r="L64" s="13" t="str">
        <f>IFERROR(K64/K446, "NA")</f>
        <v>NA</v>
      </c>
      <c r="M64" s="14"/>
      <c r="N64" s="12">
        <v>0.0</v>
      </c>
      <c r="O64" s="13" t="str">
        <f>IFERROR(N64/N446, "NA")</f>
        <v>NA</v>
      </c>
      <c r="P64" s="14"/>
      <c r="Q64" s="12">
        <v>0.0</v>
      </c>
      <c r="R64" s="13" t="str">
        <f>IFERROR(Q64/Q446, "NA")</f>
        <v>NA</v>
      </c>
      <c r="S64" s="14"/>
      <c r="T64" s="12">
        <v>0.0</v>
      </c>
      <c r="U64" s="13" t="str">
        <f>IFERROR(T64/T446, "NA")</f>
        <v>NA</v>
      </c>
      <c r="V64" s="14"/>
      <c r="W64" s="12">
        <v>0.0</v>
      </c>
      <c r="X64" s="13" t="str">
        <f>IFERROR(W64/W446, "NA")</f>
        <v>NA</v>
      </c>
      <c r="Y64" s="14"/>
      <c r="Z64" s="12">
        <v>0.0</v>
      </c>
      <c r="AA64" s="13" t="str">
        <f>IFERROR(Z64/Z446, "NA")</f>
        <v>NA</v>
      </c>
      <c r="AB64" s="14"/>
      <c r="AC64" s="12">
        <v>0.0</v>
      </c>
      <c r="AD64" s="13" t="str">
        <f>IFERROR(AC64/AC446, "NA")</f>
        <v>NA</v>
      </c>
      <c r="AE64" s="14"/>
      <c r="AF64" s="12">
        <v>0.0</v>
      </c>
      <c r="AG64" s="13" t="str">
        <f>IFERROR(AF64/AF446, "NA")</f>
        <v>NA</v>
      </c>
      <c r="AH64" s="14"/>
      <c r="AI64" s="12">
        <v>0.0</v>
      </c>
      <c r="AJ64" s="13" t="str">
        <f>IFERROR(AI64/AI446, "NA")</f>
        <v>NA</v>
      </c>
      <c r="AK64" s="12"/>
      <c r="AL64" s="15">
        <f t="shared" ref="AL64:AL73" si="11">IFERROR(B64+E64+H64+K64+N64+Q64+T64+W64+Z64+AC64+AF64+AI64, "NA")</f>
        <v>0</v>
      </c>
      <c r="AM64" s="13" t="str">
        <f>IFERROR(AL64/AL446, "NA")</f>
        <v>NA</v>
      </c>
      <c r="AN64" s="12"/>
      <c r="AO64" s="12">
        <v>0.0</v>
      </c>
      <c r="AP64" s="13" t="str">
        <f>IFERROR(AO64/AO446, "NA")</f>
        <v>NA</v>
      </c>
      <c r="AQ64" s="12"/>
      <c r="AR64" s="15">
        <f t="shared" ref="AR64:AR73" si="12">IFERROR(AL64-AO64, "NA")</f>
        <v>0</v>
      </c>
    </row>
    <row r="65" ht="16.5" hidden="1" customHeight="1">
      <c r="A65" s="11" t="s">
        <v>482</v>
      </c>
      <c r="B65" s="12">
        <v>0.0</v>
      </c>
      <c r="C65" s="13" t="str">
        <f>IFERROR(B65/B446, "NA")</f>
        <v>NA</v>
      </c>
      <c r="D65" s="14"/>
      <c r="E65" s="12">
        <v>0.0</v>
      </c>
      <c r="F65" s="13" t="str">
        <f>IFERROR(E65/E446, "NA")</f>
        <v>NA</v>
      </c>
      <c r="G65" s="14"/>
      <c r="H65" s="12">
        <v>0.0</v>
      </c>
      <c r="I65" s="13" t="str">
        <f>IFERROR(H65/H446, "NA")</f>
        <v>NA</v>
      </c>
      <c r="J65" s="14"/>
      <c r="K65" s="12">
        <v>0.0</v>
      </c>
      <c r="L65" s="13" t="str">
        <f>IFERROR(K65/K446, "NA")</f>
        <v>NA</v>
      </c>
      <c r="M65" s="14"/>
      <c r="N65" s="12">
        <v>0.0</v>
      </c>
      <c r="O65" s="13" t="str">
        <f>IFERROR(N65/N446, "NA")</f>
        <v>NA</v>
      </c>
      <c r="P65" s="14"/>
      <c r="Q65" s="12">
        <v>0.0</v>
      </c>
      <c r="R65" s="13" t="str">
        <f>IFERROR(Q65/Q446, "NA")</f>
        <v>NA</v>
      </c>
      <c r="S65" s="14"/>
      <c r="T65" s="12">
        <v>0.0</v>
      </c>
      <c r="U65" s="13" t="str">
        <f>IFERROR(T65/T446, "NA")</f>
        <v>NA</v>
      </c>
      <c r="V65" s="14"/>
      <c r="W65" s="12">
        <v>0.0</v>
      </c>
      <c r="X65" s="13" t="str">
        <f>IFERROR(W65/W446, "NA")</f>
        <v>NA</v>
      </c>
      <c r="Y65" s="14"/>
      <c r="Z65" s="12">
        <v>0.0</v>
      </c>
      <c r="AA65" s="13" t="str">
        <f>IFERROR(Z65/Z446, "NA")</f>
        <v>NA</v>
      </c>
      <c r="AB65" s="14"/>
      <c r="AC65" s="12">
        <v>0.0</v>
      </c>
      <c r="AD65" s="13" t="str">
        <f>IFERROR(AC65/AC446, "NA")</f>
        <v>NA</v>
      </c>
      <c r="AE65" s="14"/>
      <c r="AF65" s="12">
        <v>0.0</v>
      </c>
      <c r="AG65" s="13" t="str">
        <f>IFERROR(AF65/AF446, "NA")</f>
        <v>NA</v>
      </c>
      <c r="AH65" s="14"/>
      <c r="AI65" s="12">
        <v>0.0</v>
      </c>
      <c r="AJ65" s="13" t="str">
        <f>IFERROR(AI65/AI446, "NA")</f>
        <v>NA</v>
      </c>
      <c r="AK65" s="12"/>
      <c r="AL65" s="15">
        <f t="shared" si="11"/>
        <v>0</v>
      </c>
      <c r="AM65" s="13" t="str">
        <f>IFERROR(AL65/AL446, "NA")</f>
        <v>NA</v>
      </c>
      <c r="AN65" s="12"/>
      <c r="AO65" s="12">
        <v>0.0</v>
      </c>
      <c r="AP65" s="13" t="str">
        <f>IFERROR(AO65/AO446, "NA")</f>
        <v>NA</v>
      </c>
      <c r="AQ65" s="12"/>
      <c r="AR65" s="15">
        <f t="shared" si="12"/>
        <v>0</v>
      </c>
    </row>
    <row r="66" ht="16.5" hidden="1" customHeight="1">
      <c r="A66" s="11" t="s">
        <v>483</v>
      </c>
      <c r="B66" s="12">
        <v>0.0</v>
      </c>
      <c r="C66" s="13" t="str">
        <f>IFERROR(B66/B446, "NA")</f>
        <v>NA</v>
      </c>
      <c r="D66" s="14"/>
      <c r="E66" s="12">
        <v>0.0</v>
      </c>
      <c r="F66" s="13" t="str">
        <f>IFERROR(E66/E446, "NA")</f>
        <v>NA</v>
      </c>
      <c r="G66" s="14"/>
      <c r="H66" s="12">
        <v>0.0</v>
      </c>
      <c r="I66" s="13" t="str">
        <f>IFERROR(H66/H446, "NA")</f>
        <v>NA</v>
      </c>
      <c r="J66" s="14"/>
      <c r="K66" s="12">
        <v>0.0</v>
      </c>
      <c r="L66" s="13" t="str">
        <f>IFERROR(K66/K446, "NA")</f>
        <v>NA</v>
      </c>
      <c r="M66" s="14"/>
      <c r="N66" s="12">
        <v>0.0</v>
      </c>
      <c r="O66" s="13" t="str">
        <f>IFERROR(N66/N446, "NA")</f>
        <v>NA</v>
      </c>
      <c r="P66" s="14"/>
      <c r="Q66" s="12">
        <v>0.0</v>
      </c>
      <c r="R66" s="13" t="str">
        <f>IFERROR(Q66/Q446, "NA")</f>
        <v>NA</v>
      </c>
      <c r="S66" s="14"/>
      <c r="T66" s="12">
        <v>0.0</v>
      </c>
      <c r="U66" s="13" t="str">
        <f>IFERROR(T66/T446, "NA")</f>
        <v>NA</v>
      </c>
      <c r="V66" s="14"/>
      <c r="W66" s="12">
        <v>0.0</v>
      </c>
      <c r="X66" s="13" t="str">
        <f>IFERROR(W66/W446, "NA")</f>
        <v>NA</v>
      </c>
      <c r="Y66" s="14"/>
      <c r="Z66" s="12">
        <v>0.0</v>
      </c>
      <c r="AA66" s="13" t="str">
        <f>IFERROR(Z66/Z446, "NA")</f>
        <v>NA</v>
      </c>
      <c r="AB66" s="14"/>
      <c r="AC66" s="12">
        <v>0.0</v>
      </c>
      <c r="AD66" s="13" t="str">
        <f>IFERROR(AC66/AC446, "NA")</f>
        <v>NA</v>
      </c>
      <c r="AE66" s="14"/>
      <c r="AF66" s="12">
        <v>0.0</v>
      </c>
      <c r="AG66" s="13" t="str">
        <f>IFERROR(AF66/AF446, "NA")</f>
        <v>NA</v>
      </c>
      <c r="AH66" s="14"/>
      <c r="AI66" s="12">
        <v>0.0</v>
      </c>
      <c r="AJ66" s="13" t="str">
        <f>IFERROR(AI66/AI446, "NA")</f>
        <v>NA</v>
      </c>
      <c r="AK66" s="12"/>
      <c r="AL66" s="15">
        <f t="shared" si="11"/>
        <v>0</v>
      </c>
      <c r="AM66" s="13" t="str">
        <f>IFERROR(AL66/AL446, "NA")</f>
        <v>NA</v>
      </c>
      <c r="AN66" s="12"/>
      <c r="AO66" s="12">
        <v>0.0</v>
      </c>
      <c r="AP66" s="13" t="str">
        <f>IFERROR(AO66/AO446, "NA")</f>
        <v>NA</v>
      </c>
      <c r="AQ66" s="12"/>
      <c r="AR66" s="15">
        <f t="shared" si="12"/>
        <v>0</v>
      </c>
    </row>
    <row r="67" ht="16.5" hidden="1" customHeight="1">
      <c r="A67" s="11" t="s">
        <v>484</v>
      </c>
      <c r="B67" s="12">
        <v>0.0</v>
      </c>
      <c r="C67" s="13" t="str">
        <f>IFERROR(B67/B446, "NA")</f>
        <v>NA</v>
      </c>
      <c r="D67" s="14"/>
      <c r="E67" s="12">
        <v>0.0</v>
      </c>
      <c r="F67" s="13" t="str">
        <f>IFERROR(E67/E446, "NA")</f>
        <v>NA</v>
      </c>
      <c r="G67" s="14"/>
      <c r="H67" s="12">
        <v>0.0</v>
      </c>
      <c r="I67" s="13" t="str">
        <f>IFERROR(H67/H446, "NA")</f>
        <v>NA</v>
      </c>
      <c r="J67" s="14"/>
      <c r="K67" s="12">
        <v>0.0</v>
      </c>
      <c r="L67" s="13" t="str">
        <f>IFERROR(K67/K446, "NA")</f>
        <v>NA</v>
      </c>
      <c r="M67" s="14"/>
      <c r="N67" s="12">
        <v>0.0</v>
      </c>
      <c r="O67" s="13" t="str">
        <f>IFERROR(N67/N446, "NA")</f>
        <v>NA</v>
      </c>
      <c r="P67" s="14"/>
      <c r="Q67" s="12">
        <v>0.0</v>
      </c>
      <c r="R67" s="13" t="str">
        <f>IFERROR(Q67/Q446, "NA")</f>
        <v>NA</v>
      </c>
      <c r="S67" s="14"/>
      <c r="T67" s="12">
        <v>0.0</v>
      </c>
      <c r="U67" s="13" t="str">
        <f>IFERROR(T67/T446, "NA")</f>
        <v>NA</v>
      </c>
      <c r="V67" s="14"/>
      <c r="W67" s="12">
        <v>0.0</v>
      </c>
      <c r="X67" s="13" t="str">
        <f>IFERROR(W67/W446, "NA")</f>
        <v>NA</v>
      </c>
      <c r="Y67" s="14"/>
      <c r="Z67" s="12">
        <v>0.0</v>
      </c>
      <c r="AA67" s="13" t="str">
        <f>IFERROR(Z67/Z446, "NA")</f>
        <v>NA</v>
      </c>
      <c r="AB67" s="14"/>
      <c r="AC67" s="12">
        <v>0.0</v>
      </c>
      <c r="AD67" s="13" t="str">
        <f>IFERROR(AC67/AC446, "NA")</f>
        <v>NA</v>
      </c>
      <c r="AE67" s="14"/>
      <c r="AF67" s="12">
        <v>0.0</v>
      </c>
      <c r="AG67" s="13" t="str">
        <f>IFERROR(AF67/AF446, "NA")</f>
        <v>NA</v>
      </c>
      <c r="AH67" s="14"/>
      <c r="AI67" s="12">
        <v>0.0</v>
      </c>
      <c r="AJ67" s="13" t="str">
        <f>IFERROR(AI67/AI446, "NA")</f>
        <v>NA</v>
      </c>
      <c r="AK67" s="12"/>
      <c r="AL67" s="15">
        <f t="shared" si="11"/>
        <v>0</v>
      </c>
      <c r="AM67" s="13" t="str">
        <f>IFERROR(AL67/AL446, "NA")</f>
        <v>NA</v>
      </c>
      <c r="AN67" s="12"/>
      <c r="AO67" s="12">
        <v>0.0</v>
      </c>
      <c r="AP67" s="13" t="str">
        <f>IFERROR(AO67/AO446, "NA")</f>
        <v>NA</v>
      </c>
      <c r="AQ67" s="12"/>
      <c r="AR67" s="15">
        <f t="shared" si="12"/>
        <v>0</v>
      </c>
    </row>
    <row r="68" ht="16.5" hidden="1" customHeight="1">
      <c r="A68" s="11" t="s">
        <v>485</v>
      </c>
      <c r="B68" s="12">
        <v>0.0</v>
      </c>
      <c r="C68" s="13" t="str">
        <f>IFERROR(B68/B446, "NA")</f>
        <v>NA</v>
      </c>
      <c r="D68" s="14"/>
      <c r="E68" s="12">
        <v>0.0</v>
      </c>
      <c r="F68" s="13" t="str">
        <f>IFERROR(E68/E446, "NA")</f>
        <v>NA</v>
      </c>
      <c r="G68" s="14"/>
      <c r="H68" s="12">
        <v>0.0</v>
      </c>
      <c r="I68" s="13" t="str">
        <f>IFERROR(H68/H446, "NA")</f>
        <v>NA</v>
      </c>
      <c r="J68" s="14"/>
      <c r="K68" s="12">
        <v>0.0</v>
      </c>
      <c r="L68" s="13" t="str">
        <f>IFERROR(K68/K446, "NA")</f>
        <v>NA</v>
      </c>
      <c r="M68" s="14"/>
      <c r="N68" s="12">
        <v>0.0</v>
      </c>
      <c r="O68" s="13" t="str">
        <f>IFERROR(N68/N446, "NA")</f>
        <v>NA</v>
      </c>
      <c r="P68" s="14"/>
      <c r="Q68" s="12">
        <v>0.0</v>
      </c>
      <c r="R68" s="13" t="str">
        <f>IFERROR(Q68/Q446, "NA")</f>
        <v>NA</v>
      </c>
      <c r="S68" s="14"/>
      <c r="T68" s="12">
        <v>0.0</v>
      </c>
      <c r="U68" s="13" t="str">
        <f>IFERROR(T68/T446, "NA")</f>
        <v>NA</v>
      </c>
      <c r="V68" s="14"/>
      <c r="W68" s="12">
        <v>0.0</v>
      </c>
      <c r="X68" s="13" t="str">
        <f>IFERROR(W68/W446, "NA")</f>
        <v>NA</v>
      </c>
      <c r="Y68" s="14"/>
      <c r="Z68" s="12">
        <v>0.0</v>
      </c>
      <c r="AA68" s="13" t="str">
        <f>IFERROR(Z68/Z446, "NA")</f>
        <v>NA</v>
      </c>
      <c r="AB68" s="14"/>
      <c r="AC68" s="12">
        <v>0.0</v>
      </c>
      <c r="AD68" s="13" t="str">
        <f>IFERROR(AC68/AC446, "NA")</f>
        <v>NA</v>
      </c>
      <c r="AE68" s="14"/>
      <c r="AF68" s="12">
        <v>0.0</v>
      </c>
      <c r="AG68" s="13" t="str">
        <f>IFERROR(AF68/AF446, "NA")</f>
        <v>NA</v>
      </c>
      <c r="AH68" s="14"/>
      <c r="AI68" s="12">
        <v>0.0</v>
      </c>
      <c r="AJ68" s="13" t="str">
        <f>IFERROR(AI68/AI446, "NA")</f>
        <v>NA</v>
      </c>
      <c r="AK68" s="12"/>
      <c r="AL68" s="15">
        <f t="shared" si="11"/>
        <v>0</v>
      </c>
      <c r="AM68" s="13" t="str">
        <f>IFERROR(AL68/AL446, "NA")</f>
        <v>NA</v>
      </c>
      <c r="AN68" s="12"/>
      <c r="AO68" s="12">
        <v>0.0</v>
      </c>
      <c r="AP68" s="13" t="str">
        <f>IFERROR(AO68/AO446, "NA")</f>
        <v>NA</v>
      </c>
      <c r="AQ68" s="12"/>
      <c r="AR68" s="15">
        <f t="shared" si="12"/>
        <v>0</v>
      </c>
    </row>
    <row r="69" ht="16.5" hidden="1" customHeight="1">
      <c r="A69" s="11" t="s">
        <v>486</v>
      </c>
      <c r="B69" s="12">
        <v>0.0</v>
      </c>
      <c r="C69" s="13" t="str">
        <f>IFERROR(B69/B446, "NA")</f>
        <v>NA</v>
      </c>
      <c r="D69" s="14"/>
      <c r="E69" s="12">
        <v>0.0</v>
      </c>
      <c r="F69" s="13" t="str">
        <f>IFERROR(E69/E446, "NA")</f>
        <v>NA</v>
      </c>
      <c r="G69" s="14"/>
      <c r="H69" s="12">
        <v>0.0</v>
      </c>
      <c r="I69" s="13" t="str">
        <f>IFERROR(H69/H446, "NA")</f>
        <v>NA</v>
      </c>
      <c r="J69" s="14"/>
      <c r="K69" s="12">
        <v>0.0</v>
      </c>
      <c r="L69" s="13" t="str">
        <f>IFERROR(K69/K446, "NA")</f>
        <v>NA</v>
      </c>
      <c r="M69" s="14"/>
      <c r="N69" s="12">
        <v>0.0</v>
      </c>
      <c r="O69" s="13" t="str">
        <f>IFERROR(N69/N446, "NA")</f>
        <v>NA</v>
      </c>
      <c r="P69" s="14"/>
      <c r="Q69" s="12">
        <v>0.0</v>
      </c>
      <c r="R69" s="13" t="str">
        <f>IFERROR(Q69/Q446, "NA")</f>
        <v>NA</v>
      </c>
      <c r="S69" s="14"/>
      <c r="T69" s="12">
        <v>0.0</v>
      </c>
      <c r="U69" s="13" t="str">
        <f>IFERROR(T69/T446, "NA")</f>
        <v>NA</v>
      </c>
      <c r="V69" s="14"/>
      <c r="W69" s="12">
        <v>0.0</v>
      </c>
      <c r="X69" s="13" t="str">
        <f>IFERROR(W69/W446, "NA")</f>
        <v>NA</v>
      </c>
      <c r="Y69" s="14"/>
      <c r="Z69" s="12">
        <v>0.0</v>
      </c>
      <c r="AA69" s="13" t="str">
        <f>IFERROR(Z69/Z446, "NA")</f>
        <v>NA</v>
      </c>
      <c r="AB69" s="14"/>
      <c r="AC69" s="12">
        <v>0.0</v>
      </c>
      <c r="AD69" s="13" t="str">
        <f>IFERROR(AC69/AC446, "NA")</f>
        <v>NA</v>
      </c>
      <c r="AE69" s="14"/>
      <c r="AF69" s="12">
        <v>0.0</v>
      </c>
      <c r="AG69" s="13" t="str">
        <f>IFERROR(AF69/AF446, "NA")</f>
        <v>NA</v>
      </c>
      <c r="AH69" s="14"/>
      <c r="AI69" s="12">
        <v>0.0</v>
      </c>
      <c r="AJ69" s="13" t="str">
        <f>IFERROR(AI69/AI446, "NA")</f>
        <v>NA</v>
      </c>
      <c r="AK69" s="12"/>
      <c r="AL69" s="15">
        <f t="shared" si="11"/>
        <v>0</v>
      </c>
      <c r="AM69" s="13" t="str">
        <f>IFERROR(AL69/AL446, "NA")</f>
        <v>NA</v>
      </c>
      <c r="AN69" s="12"/>
      <c r="AO69" s="12">
        <v>0.0</v>
      </c>
      <c r="AP69" s="13" t="str">
        <f>IFERROR(AO69/AO446, "NA")</f>
        <v>NA</v>
      </c>
      <c r="AQ69" s="12"/>
      <c r="AR69" s="15">
        <f t="shared" si="12"/>
        <v>0</v>
      </c>
    </row>
    <row r="70" ht="16.5" hidden="1" customHeight="1">
      <c r="A70" s="11" t="s">
        <v>487</v>
      </c>
      <c r="B70" s="12">
        <v>0.0</v>
      </c>
      <c r="C70" s="13" t="str">
        <f>IFERROR(B70/B446, "NA")</f>
        <v>NA</v>
      </c>
      <c r="D70" s="14"/>
      <c r="E70" s="12">
        <v>0.0</v>
      </c>
      <c r="F70" s="13" t="str">
        <f>IFERROR(E70/E446, "NA")</f>
        <v>NA</v>
      </c>
      <c r="G70" s="14"/>
      <c r="H70" s="12">
        <v>0.0</v>
      </c>
      <c r="I70" s="13" t="str">
        <f>IFERROR(H70/H446, "NA")</f>
        <v>NA</v>
      </c>
      <c r="J70" s="14"/>
      <c r="K70" s="12">
        <v>0.0</v>
      </c>
      <c r="L70" s="13" t="str">
        <f>IFERROR(K70/K446, "NA")</f>
        <v>NA</v>
      </c>
      <c r="M70" s="14"/>
      <c r="N70" s="12">
        <v>0.0</v>
      </c>
      <c r="O70" s="13" t="str">
        <f>IFERROR(N70/N446, "NA")</f>
        <v>NA</v>
      </c>
      <c r="P70" s="14"/>
      <c r="Q70" s="12">
        <v>0.0</v>
      </c>
      <c r="R70" s="13" t="str">
        <f>IFERROR(Q70/Q446, "NA")</f>
        <v>NA</v>
      </c>
      <c r="S70" s="14"/>
      <c r="T70" s="12">
        <v>0.0</v>
      </c>
      <c r="U70" s="13" t="str">
        <f>IFERROR(T70/T446, "NA")</f>
        <v>NA</v>
      </c>
      <c r="V70" s="14"/>
      <c r="W70" s="12">
        <v>0.0</v>
      </c>
      <c r="X70" s="13" t="str">
        <f>IFERROR(W70/W446, "NA")</f>
        <v>NA</v>
      </c>
      <c r="Y70" s="14"/>
      <c r="Z70" s="12">
        <v>0.0</v>
      </c>
      <c r="AA70" s="13" t="str">
        <f>IFERROR(Z70/Z446, "NA")</f>
        <v>NA</v>
      </c>
      <c r="AB70" s="14"/>
      <c r="AC70" s="12">
        <v>0.0</v>
      </c>
      <c r="AD70" s="13" t="str">
        <f>IFERROR(AC70/AC446, "NA")</f>
        <v>NA</v>
      </c>
      <c r="AE70" s="14"/>
      <c r="AF70" s="12">
        <v>0.0</v>
      </c>
      <c r="AG70" s="13" t="str">
        <f>IFERROR(AF70/AF446, "NA")</f>
        <v>NA</v>
      </c>
      <c r="AH70" s="14"/>
      <c r="AI70" s="12">
        <v>0.0</v>
      </c>
      <c r="AJ70" s="13" t="str">
        <f>IFERROR(AI70/AI446, "NA")</f>
        <v>NA</v>
      </c>
      <c r="AK70" s="12"/>
      <c r="AL70" s="15">
        <f t="shared" si="11"/>
        <v>0</v>
      </c>
      <c r="AM70" s="13" t="str">
        <f>IFERROR(AL70/AL446, "NA")</f>
        <v>NA</v>
      </c>
      <c r="AN70" s="12"/>
      <c r="AO70" s="12">
        <v>0.0</v>
      </c>
      <c r="AP70" s="13" t="str">
        <f>IFERROR(AO70/AO446, "NA")</f>
        <v>NA</v>
      </c>
      <c r="AQ70" s="12"/>
      <c r="AR70" s="15">
        <f t="shared" si="12"/>
        <v>0</v>
      </c>
    </row>
    <row r="71" ht="16.5" hidden="1" customHeight="1">
      <c r="A71" s="11" t="s">
        <v>488</v>
      </c>
      <c r="B71" s="12">
        <v>0.0</v>
      </c>
      <c r="C71" s="13" t="str">
        <f>IFERROR(B71/B446, "NA")</f>
        <v>NA</v>
      </c>
      <c r="D71" s="14"/>
      <c r="E71" s="12">
        <v>0.0</v>
      </c>
      <c r="F71" s="13" t="str">
        <f>IFERROR(E71/E446, "NA")</f>
        <v>NA</v>
      </c>
      <c r="G71" s="14"/>
      <c r="H71" s="12">
        <v>0.0</v>
      </c>
      <c r="I71" s="13" t="str">
        <f>IFERROR(H71/H446, "NA")</f>
        <v>NA</v>
      </c>
      <c r="J71" s="14"/>
      <c r="K71" s="12">
        <v>0.0</v>
      </c>
      <c r="L71" s="13" t="str">
        <f>IFERROR(K71/K446, "NA")</f>
        <v>NA</v>
      </c>
      <c r="M71" s="14"/>
      <c r="N71" s="12">
        <v>0.0</v>
      </c>
      <c r="O71" s="13" t="str">
        <f>IFERROR(N71/N446, "NA")</f>
        <v>NA</v>
      </c>
      <c r="P71" s="14"/>
      <c r="Q71" s="12">
        <v>0.0</v>
      </c>
      <c r="R71" s="13" t="str">
        <f>IFERROR(Q71/Q446, "NA")</f>
        <v>NA</v>
      </c>
      <c r="S71" s="14"/>
      <c r="T71" s="12">
        <v>0.0</v>
      </c>
      <c r="U71" s="13" t="str">
        <f>IFERROR(T71/T446, "NA")</f>
        <v>NA</v>
      </c>
      <c r="V71" s="14"/>
      <c r="W71" s="12">
        <v>0.0</v>
      </c>
      <c r="X71" s="13" t="str">
        <f>IFERROR(W71/W446, "NA")</f>
        <v>NA</v>
      </c>
      <c r="Y71" s="14"/>
      <c r="Z71" s="12">
        <v>0.0</v>
      </c>
      <c r="AA71" s="13" t="str">
        <f>IFERROR(Z71/Z446, "NA")</f>
        <v>NA</v>
      </c>
      <c r="AB71" s="14"/>
      <c r="AC71" s="12">
        <v>0.0</v>
      </c>
      <c r="AD71" s="13" t="str">
        <f>IFERROR(AC71/AC446, "NA")</f>
        <v>NA</v>
      </c>
      <c r="AE71" s="14"/>
      <c r="AF71" s="12">
        <v>0.0</v>
      </c>
      <c r="AG71" s="13" t="str">
        <f>IFERROR(AF71/AF446, "NA")</f>
        <v>NA</v>
      </c>
      <c r="AH71" s="14"/>
      <c r="AI71" s="12">
        <v>0.0</v>
      </c>
      <c r="AJ71" s="13" t="str">
        <f>IFERROR(AI71/AI446, "NA")</f>
        <v>NA</v>
      </c>
      <c r="AK71" s="12"/>
      <c r="AL71" s="15">
        <f t="shared" si="11"/>
        <v>0</v>
      </c>
      <c r="AM71" s="13" t="str">
        <f>IFERROR(AL71/AL446, "NA")</f>
        <v>NA</v>
      </c>
      <c r="AN71" s="12"/>
      <c r="AO71" s="12">
        <v>0.0</v>
      </c>
      <c r="AP71" s="13" t="str">
        <f>IFERROR(AO71/AO446, "NA")</f>
        <v>NA</v>
      </c>
      <c r="AQ71" s="12"/>
      <c r="AR71" s="15">
        <f t="shared" si="12"/>
        <v>0</v>
      </c>
    </row>
    <row r="72" ht="16.5" hidden="1" customHeight="1">
      <c r="A72" s="11" t="s">
        <v>489</v>
      </c>
      <c r="B72" s="12">
        <v>0.0</v>
      </c>
      <c r="C72" s="13" t="str">
        <f>IFERROR(B72/B446, "NA")</f>
        <v>NA</v>
      </c>
      <c r="D72" s="14"/>
      <c r="E72" s="12">
        <v>0.0</v>
      </c>
      <c r="F72" s="13" t="str">
        <f>IFERROR(E72/E446, "NA")</f>
        <v>NA</v>
      </c>
      <c r="G72" s="14"/>
      <c r="H72" s="12">
        <v>0.0</v>
      </c>
      <c r="I72" s="13" t="str">
        <f>IFERROR(H72/H446, "NA")</f>
        <v>NA</v>
      </c>
      <c r="J72" s="14"/>
      <c r="K72" s="12">
        <v>0.0</v>
      </c>
      <c r="L72" s="13" t="str">
        <f>IFERROR(K72/K446, "NA")</f>
        <v>NA</v>
      </c>
      <c r="M72" s="14"/>
      <c r="N72" s="12">
        <v>0.0</v>
      </c>
      <c r="O72" s="13" t="str">
        <f>IFERROR(N72/N446, "NA")</f>
        <v>NA</v>
      </c>
      <c r="P72" s="14"/>
      <c r="Q72" s="12">
        <v>0.0</v>
      </c>
      <c r="R72" s="13" t="str">
        <f>IFERROR(Q72/Q446, "NA")</f>
        <v>NA</v>
      </c>
      <c r="S72" s="14"/>
      <c r="T72" s="12">
        <v>0.0</v>
      </c>
      <c r="U72" s="13" t="str">
        <f>IFERROR(T72/T446, "NA")</f>
        <v>NA</v>
      </c>
      <c r="V72" s="14"/>
      <c r="W72" s="12">
        <v>0.0</v>
      </c>
      <c r="X72" s="13" t="str">
        <f>IFERROR(W72/W446, "NA")</f>
        <v>NA</v>
      </c>
      <c r="Y72" s="14"/>
      <c r="Z72" s="12">
        <v>0.0</v>
      </c>
      <c r="AA72" s="13" t="str">
        <f>IFERROR(Z72/Z446, "NA")</f>
        <v>NA</v>
      </c>
      <c r="AB72" s="14"/>
      <c r="AC72" s="12">
        <v>0.0</v>
      </c>
      <c r="AD72" s="13" t="str">
        <f>IFERROR(AC72/AC446, "NA")</f>
        <v>NA</v>
      </c>
      <c r="AE72" s="14"/>
      <c r="AF72" s="12">
        <v>0.0</v>
      </c>
      <c r="AG72" s="13" t="str">
        <f>IFERROR(AF72/AF446, "NA")</f>
        <v>NA</v>
      </c>
      <c r="AH72" s="14"/>
      <c r="AI72" s="12">
        <v>0.0</v>
      </c>
      <c r="AJ72" s="13" t="str">
        <f>IFERROR(AI72/AI446, "NA")</f>
        <v>NA</v>
      </c>
      <c r="AK72" s="12"/>
      <c r="AL72" s="15">
        <f t="shared" si="11"/>
        <v>0</v>
      </c>
      <c r="AM72" s="13" t="str">
        <f>IFERROR(AL72/AL446, "NA")</f>
        <v>NA</v>
      </c>
      <c r="AN72" s="12"/>
      <c r="AO72" s="12">
        <v>0.0</v>
      </c>
      <c r="AP72" s="13" t="str">
        <f>IFERROR(AO72/AO446, "NA")</f>
        <v>NA</v>
      </c>
      <c r="AQ72" s="12"/>
      <c r="AR72" s="15">
        <f t="shared" si="12"/>
        <v>0</v>
      </c>
    </row>
    <row r="73" ht="16.5" customHeight="1">
      <c r="A73" s="16" t="s">
        <v>73</v>
      </c>
      <c r="B73" s="17">
        <f>IFERROR(B64+B65+B66+B67+B68+B69+B70+B71+B72, "NA")</f>
        <v>0</v>
      </c>
      <c r="C73" s="18" t="str">
        <f>IFERROR(B73/B446, "NA")</f>
        <v>NA</v>
      </c>
      <c r="D73" s="8"/>
      <c r="E73" s="17">
        <f>IFERROR(E64+E65+E66+E67+E68+E69+E70+E71+E72, "NA")</f>
        <v>0</v>
      </c>
      <c r="F73" s="18" t="str">
        <f>IFERROR(E73/E446, "NA")</f>
        <v>NA</v>
      </c>
      <c r="G73" s="8"/>
      <c r="H73" s="17">
        <f>IFERROR(H64+H65+H66+H67+H68+H69+H70+H71+H72, "NA")</f>
        <v>0</v>
      </c>
      <c r="I73" s="18" t="str">
        <f>IFERROR(H73/H446, "NA")</f>
        <v>NA</v>
      </c>
      <c r="J73" s="8"/>
      <c r="K73" s="17">
        <f>IFERROR(K64+K65+K66+K67+K68+K69+K70+K71+K72, "NA")</f>
        <v>0</v>
      </c>
      <c r="L73" s="18" t="str">
        <f>IFERROR(K73/K446, "NA")</f>
        <v>NA</v>
      </c>
      <c r="M73" s="8"/>
      <c r="N73" s="17">
        <f>IFERROR(N64+N65+N66+N67+N68+N69+N70+N71+N72, "NA")</f>
        <v>0</v>
      </c>
      <c r="O73" s="18" t="str">
        <f>IFERROR(N73/N446, "NA")</f>
        <v>NA</v>
      </c>
      <c r="P73" s="8"/>
      <c r="Q73" s="17">
        <f>IFERROR(Q64+Q65+Q66+Q67+Q68+Q69+Q70+Q71+Q72, "NA")</f>
        <v>0</v>
      </c>
      <c r="R73" s="18" t="str">
        <f>IFERROR(Q73/Q446, "NA")</f>
        <v>NA</v>
      </c>
      <c r="S73" s="8"/>
      <c r="T73" s="17">
        <f>IFERROR(T64+T65+T66+T67+T68+T69+T70+T71+T72, "NA")</f>
        <v>0</v>
      </c>
      <c r="U73" s="18" t="str">
        <f>IFERROR(T73/T446, "NA")</f>
        <v>NA</v>
      </c>
      <c r="V73" s="8"/>
      <c r="W73" s="17">
        <f>IFERROR(W64+W65+W66+W67+W68+W69+W70+W71+W72, "NA")</f>
        <v>0</v>
      </c>
      <c r="X73" s="18" t="str">
        <f>IFERROR(W73/W446, "NA")</f>
        <v>NA</v>
      </c>
      <c r="Y73" s="8"/>
      <c r="Z73" s="17">
        <f>IFERROR(Z64+Z65+Z66+Z67+Z68+Z69+Z70+Z71+Z72, "NA")</f>
        <v>0</v>
      </c>
      <c r="AA73" s="18" t="str">
        <f>IFERROR(Z73/Z446, "NA")</f>
        <v>NA</v>
      </c>
      <c r="AB73" s="8"/>
      <c r="AC73" s="17">
        <f>IFERROR(AC64+AC65+AC66+AC67+AC68+AC69+AC70+AC71+AC72, "NA")</f>
        <v>0</v>
      </c>
      <c r="AD73" s="18" t="str">
        <f>IFERROR(AC73/AC446, "NA")</f>
        <v>NA</v>
      </c>
      <c r="AE73" s="8"/>
      <c r="AF73" s="17">
        <f>IFERROR(AF64+AF65+AF66+AF67+AF68+AF69+AF70+AF71+AF72, "NA")</f>
        <v>0</v>
      </c>
      <c r="AG73" s="18" t="str">
        <f>IFERROR(AF73/AF446, "NA")</f>
        <v>NA</v>
      </c>
      <c r="AH73" s="8"/>
      <c r="AI73" s="17">
        <f>IFERROR(AI64+AI65+AI66+AI67+AI68+AI69+AI70+AI71+AI72, "NA")</f>
        <v>0</v>
      </c>
      <c r="AJ73" s="18" t="str">
        <f>IFERROR(AI73/AI446, "NA")</f>
        <v>NA</v>
      </c>
      <c r="AK73" s="8"/>
      <c r="AL73" s="17">
        <f t="shared" si="11"/>
        <v>0</v>
      </c>
      <c r="AM73" s="18" t="str">
        <f>IFERROR(AL73/AL446, "NA")</f>
        <v>NA</v>
      </c>
      <c r="AN73" s="8"/>
      <c r="AO73" s="17">
        <f>IFERROR(AO64+AO65+AO66+AO67+AO68+AO69+AO70+AO71+AO72, "NA")</f>
        <v>0</v>
      </c>
      <c r="AP73" s="18" t="str">
        <f>IFERROR(AO73/AO446, "NA")</f>
        <v>NA</v>
      </c>
      <c r="AQ73" s="8"/>
      <c r="AR73" s="17">
        <f t="shared" si="12"/>
        <v>0</v>
      </c>
    </row>
    <row r="74" ht="16.5" customHeight="1">
      <c r="A74" s="7" t="s">
        <v>74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  <c r="AE74" s="10"/>
      <c r="AF74" s="8"/>
      <c r="AG74" s="9"/>
      <c r="AH74" s="10"/>
      <c r="AI74" s="8"/>
      <c r="AJ74" s="9"/>
      <c r="AK74" s="8"/>
      <c r="AL74" s="8"/>
      <c r="AM74" s="9"/>
      <c r="AN74" s="8"/>
      <c r="AO74" s="8"/>
      <c r="AP74" s="9"/>
      <c r="AQ74" s="8"/>
      <c r="AR74" s="8"/>
    </row>
    <row r="75" ht="16.5" hidden="1" customHeight="1">
      <c r="A75" s="11" t="s">
        <v>490</v>
      </c>
      <c r="B75" s="12">
        <v>0.0</v>
      </c>
      <c r="C75" s="13" t="str">
        <f>IFERROR(B75/B446, "NA")</f>
        <v>NA</v>
      </c>
      <c r="D75" s="14"/>
      <c r="E75" s="12">
        <v>0.0</v>
      </c>
      <c r="F75" s="13" t="str">
        <f>IFERROR(E75/E446, "NA")</f>
        <v>NA</v>
      </c>
      <c r="G75" s="14"/>
      <c r="H75" s="12">
        <v>0.0</v>
      </c>
      <c r="I75" s="13" t="str">
        <f>IFERROR(H75/H446, "NA")</f>
        <v>NA</v>
      </c>
      <c r="J75" s="14"/>
      <c r="K75" s="12">
        <v>0.0</v>
      </c>
      <c r="L75" s="13" t="str">
        <f>IFERROR(K75/K446, "NA")</f>
        <v>NA</v>
      </c>
      <c r="M75" s="14"/>
      <c r="N75" s="12">
        <v>0.0</v>
      </c>
      <c r="O75" s="13" t="str">
        <f>IFERROR(N75/N446, "NA")</f>
        <v>NA</v>
      </c>
      <c r="P75" s="14"/>
      <c r="Q75" s="12">
        <v>0.0</v>
      </c>
      <c r="R75" s="13" t="str">
        <f>IFERROR(Q75/Q446, "NA")</f>
        <v>NA</v>
      </c>
      <c r="S75" s="14"/>
      <c r="T75" s="12">
        <v>0.0</v>
      </c>
      <c r="U75" s="13" t="str">
        <f>IFERROR(T75/T446, "NA")</f>
        <v>NA</v>
      </c>
      <c r="V75" s="14"/>
      <c r="W75" s="12">
        <v>0.0</v>
      </c>
      <c r="X75" s="13" t="str">
        <f>IFERROR(W75/W446, "NA")</f>
        <v>NA</v>
      </c>
      <c r="Y75" s="14"/>
      <c r="Z75" s="12">
        <v>0.0</v>
      </c>
      <c r="AA75" s="13" t="str">
        <f>IFERROR(Z75/Z446, "NA")</f>
        <v>NA</v>
      </c>
      <c r="AB75" s="14"/>
      <c r="AC75" s="12">
        <v>0.0</v>
      </c>
      <c r="AD75" s="13" t="str">
        <f>IFERROR(AC75/AC446, "NA")</f>
        <v>NA</v>
      </c>
      <c r="AE75" s="14"/>
      <c r="AF75" s="12">
        <v>0.0</v>
      </c>
      <c r="AG75" s="13" t="str">
        <f>IFERROR(AF75/AF446, "NA")</f>
        <v>NA</v>
      </c>
      <c r="AH75" s="14"/>
      <c r="AI75" s="12">
        <v>0.0</v>
      </c>
      <c r="AJ75" s="13" t="str">
        <f>IFERROR(AI75/AI446, "NA")</f>
        <v>NA</v>
      </c>
      <c r="AK75" s="12"/>
      <c r="AL75" s="15">
        <f t="shared" ref="AL75:AL92" si="13">IFERROR(B75+E75+H75+K75+N75+Q75+T75+W75+Z75+AC75+AF75+AI75, "NA")</f>
        <v>0</v>
      </c>
      <c r="AM75" s="13" t="str">
        <f>IFERROR(AL75/AL446, "NA")</f>
        <v>NA</v>
      </c>
      <c r="AN75" s="12"/>
      <c r="AO75" s="12">
        <v>0.0</v>
      </c>
      <c r="AP75" s="13" t="str">
        <f>IFERROR(AO75/AO446, "NA")</f>
        <v>NA</v>
      </c>
      <c r="AQ75" s="12"/>
      <c r="AR75" s="15">
        <f t="shared" ref="AR75:AR92" si="14">IFERROR(AL75-AO75, "NA")</f>
        <v>0</v>
      </c>
    </row>
    <row r="76" ht="16.5" hidden="1" customHeight="1">
      <c r="A76" s="11" t="s">
        <v>491</v>
      </c>
      <c r="B76" s="12">
        <v>0.0</v>
      </c>
      <c r="C76" s="13" t="str">
        <f>IFERROR(B76/B446, "NA")</f>
        <v>NA</v>
      </c>
      <c r="D76" s="14"/>
      <c r="E76" s="12">
        <v>0.0</v>
      </c>
      <c r="F76" s="13" t="str">
        <f>IFERROR(E76/E446, "NA")</f>
        <v>NA</v>
      </c>
      <c r="G76" s="14"/>
      <c r="H76" s="12">
        <v>0.0</v>
      </c>
      <c r="I76" s="13" t="str">
        <f>IFERROR(H76/H446, "NA")</f>
        <v>NA</v>
      </c>
      <c r="J76" s="14"/>
      <c r="K76" s="12">
        <v>0.0</v>
      </c>
      <c r="L76" s="13" t="str">
        <f>IFERROR(K76/K446, "NA")</f>
        <v>NA</v>
      </c>
      <c r="M76" s="14"/>
      <c r="N76" s="12">
        <v>0.0</v>
      </c>
      <c r="O76" s="13" t="str">
        <f>IFERROR(N76/N446, "NA")</f>
        <v>NA</v>
      </c>
      <c r="P76" s="14"/>
      <c r="Q76" s="12">
        <v>0.0</v>
      </c>
      <c r="R76" s="13" t="str">
        <f>IFERROR(Q76/Q446, "NA")</f>
        <v>NA</v>
      </c>
      <c r="S76" s="14"/>
      <c r="T76" s="12">
        <v>0.0</v>
      </c>
      <c r="U76" s="13" t="str">
        <f>IFERROR(T76/T446, "NA")</f>
        <v>NA</v>
      </c>
      <c r="V76" s="14"/>
      <c r="W76" s="12">
        <v>0.0</v>
      </c>
      <c r="X76" s="13" t="str">
        <f>IFERROR(W76/W446, "NA")</f>
        <v>NA</v>
      </c>
      <c r="Y76" s="14"/>
      <c r="Z76" s="12">
        <v>0.0</v>
      </c>
      <c r="AA76" s="13" t="str">
        <f>IFERROR(Z76/Z446, "NA")</f>
        <v>NA</v>
      </c>
      <c r="AB76" s="14"/>
      <c r="AC76" s="12">
        <v>0.0</v>
      </c>
      <c r="AD76" s="13" t="str">
        <f>IFERROR(AC76/AC446, "NA")</f>
        <v>NA</v>
      </c>
      <c r="AE76" s="14"/>
      <c r="AF76" s="12">
        <v>0.0</v>
      </c>
      <c r="AG76" s="13" t="str">
        <f>IFERROR(AF76/AF446, "NA")</f>
        <v>NA</v>
      </c>
      <c r="AH76" s="14"/>
      <c r="AI76" s="12">
        <v>0.0</v>
      </c>
      <c r="AJ76" s="13" t="str">
        <f>IFERROR(AI76/AI446, "NA")</f>
        <v>NA</v>
      </c>
      <c r="AK76" s="12"/>
      <c r="AL76" s="15">
        <f t="shared" si="13"/>
        <v>0</v>
      </c>
      <c r="AM76" s="13" t="str">
        <f>IFERROR(AL76/AL446, "NA")</f>
        <v>NA</v>
      </c>
      <c r="AN76" s="12"/>
      <c r="AO76" s="12">
        <v>0.0</v>
      </c>
      <c r="AP76" s="13" t="str">
        <f>IFERROR(AO76/AO446, "NA")</f>
        <v>NA</v>
      </c>
      <c r="AQ76" s="12"/>
      <c r="AR76" s="15">
        <f t="shared" si="14"/>
        <v>0</v>
      </c>
    </row>
    <row r="77" ht="16.5" hidden="1" customHeight="1">
      <c r="A77" s="11" t="s">
        <v>492</v>
      </c>
      <c r="B77" s="12">
        <v>0.0</v>
      </c>
      <c r="C77" s="13" t="str">
        <f>IFERROR(B77/B446, "NA")</f>
        <v>NA</v>
      </c>
      <c r="D77" s="14"/>
      <c r="E77" s="12">
        <v>0.0</v>
      </c>
      <c r="F77" s="13" t="str">
        <f>IFERROR(E77/E446, "NA")</f>
        <v>NA</v>
      </c>
      <c r="G77" s="14"/>
      <c r="H77" s="12">
        <v>0.0</v>
      </c>
      <c r="I77" s="13" t="str">
        <f>IFERROR(H77/H446, "NA")</f>
        <v>NA</v>
      </c>
      <c r="J77" s="14"/>
      <c r="K77" s="12">
        <v>0.0</v>
      </c>
      <c r="L77" s="13" t="str">
        <f>IFERROR(K77/K446, "NA")</f>
        <v>NA</v>
      </c>
      <c r="M77" s="14"/>
      <c r="N77" s="12">
        <v>0.0</v>
      </c>
      <c r="O77" s="13" t="str">
        <f>IFERROR(N77/N446, "NA")</f>
        <v>NA</v>
      </c>
      <c r="P77" s="14"/>
      <c r="Q77" s="12">
        <v>0.0</v>
      </c>
      <c r="R77" s="13" t="str">
        <f>IFERROR(Q77/Q446, "NA")</f>
        <v>NA</v>
      </c>
      <c r="S77" s="14"/>
      <c r="T77" s="12">
        <v>0.0</v>
      </c>
      <c r="U77" s="13" t="str">
        <f>IFERROR(T77/T446, "NA")</f>
        <v>NA</v>
      </c>
      <c r="V77" s="14"/>
      <c r="W77" s="12">
        <v>0.0</v>
      </c>
      <c r="X77" s="13" t="str">
        <f>IFERROR(W77/W446, "NA")</f>
        <v>NA</v>
      </c>
      <c r="Y77" s="14"/>
      <c r="Z77" s="12">
        <v>0.0</v>
      </c>
      <c r="AA77" s="13" t="str">
        <f>IFERROR(Z77/Z446, "NA")</f>
        <v>NA</v>
      </c>
      <c r="AB77" s="14"/>
      <c r="AC77" s="12">
        <v>0.0</v>
      </c>
      <c r="AD77" s="13" t="str">
        <f>IFERROR(AC77/AC446, "NA")</f>
        <v>NA</v>
      </c>
      <c r="AE77" s="14"/>
      <c r="AF77" s="12">
        <v>0.0</v>
      </c>
      <c r="AG77" s="13" t="str">
        <f>IFERROR(AF77/AF446, "NA")</f>
        <v>NA</v>
      </c>
      <c r="AH77" s="14"/>
      <c r="AI77" s="12">
        <v>0.0</v>
      </c>
      <c r="AJ77" s="13" t="str">
        <f>IFERROR(AI77/AI446, "NA")</f>
        <v>NA</v>
      </c>
      <c r="AK77" s="12"/>
      <c r="AL77" s="15">
        <f t="shared" si="13"/>
        <v>0</v>
      </c>
      <c r="AM77" s="13" t="str">
        <f>IFERROR(AL77/AL446, "NA")</f>
        <v>NA</v>
      </c>
      <c r="AN77" s="12"/>
      <c r="AO77" s="12">
        <v>0.0</v>
      </c>
      <c r="AP77" s="13" t="str">
        <f>IFERROR(AO77/AO446, "NA")</f>
        <v>NA</v>
      </c>
      <c r="AQ77" s="12"/>
      <c r="AR77" s="15">
        <f t="shared" si="14"/>
        <v>0</v>
      </c>
    </row>
    <row r="78" ht="16.5" hidden="1" customHeight="1">
      <c r="A78" s="11" t="s">
        <v>493</v>
      </c>
      <c r="B78" s="12">
        <v>0.0</v>
      </c>
      <c r="C78" s="13" t="str">
        <f>IFERROR(B78/B446, "NA")</f>
        <v>NA</v>
      </c>
      <c r="D78" s="14"/>
      <c r="E78" s="12">
        <v>0.0</v>
      </c>
      <c r="F78" s="13" t="str">
        <f>IFERROR(E78/E446, "NA")</f>
        <v>NA</v>
      </c>
      <c r="G78" s="14"/>
      <c r="H78" s="12">
        <v>0.0</v>
      </c>
      <c r="I78" s="13" t="str">
        <f>IFERROR(H78/H446, "NA")</f>
        <v>NA</v>
      </c>
      <c r="J78" s="14"/>
      <c r="K78" s="12">
        <v>0.0</v>
      </c>
      <c r="L78" s="13" t="str">
        <f>IFERROR(K78/K446, "NA")</f>
        <v>NA</v>
      </c>
      <c r="M78" s="14"/>
      <c r="N78" s="12">
        <v>0.0</v>
      </c>
      <c r="O78" s="13" t="str">
        <f>IFERROR(N78/N446, "NA")</f>
        <v>NA</v>
      </c>
      <c r="P78" s="14"/>
      <c r="Q78" s="12">
        <v>0.0</v>
      </c>
      <c r="R78" s="13" t="str">
        <f>IFERROR(Q78/Q446, "NA")</f>
        <v>NA</v>
      </c>
      <c r="S78" s="14"/>
      <c r="T78" s="12">
        <v>0.0</v>
      </c>
      <c r="U78" s="13" t="str">
        <f>IFERROR(T78/T446, "NA")</f>
        <v>NA</v>
      </c>
      <c r="V78" s="14"/>
      <c r="W78" s="12">
        <v>0.0</v>
      </c>
      <c r="X78" s="13" t="str">
        <f>IFERROR(W78/W446, "NA")</f>
        <v>NA</v>
      </c>
      <c r="Y78" s="14"/>
      <c r="Z78" s="12">
        <v>0.0</v>
      </c>
      <c r="AA78" s="13" t="str">
        <f>IFERROR(Z78/Z446, "NA")</f>
        <v>NA</v>
      </c>
      <c r="AB78" s="14"/>
      <c r="AC78" s="12">
        <v>0.0</v>
      </c>
      <c r="AD78" s="13" t="str">
        <f>IFERROR(AC78/AC446, "NA")</f>
        <v>NA</v>
      </c>
      <c r="AE78" s="14"/>
      <c r="AF78" s="12">
        <v>0.0</v>
      </c>
      <c r="AG78" s="13" t="str">
        <f>IFERROR(AF78/AF446, "NA")</f>
        <v>NA</v>
      </c>
      <c r="AH78" s="14"/>
      <c r="AI78" s="12">
        <v>0.0</v>
      </c>
      <c r="AJ78" s="13" t="str">
        <f>IFERROR(AI78/AI446, "NA")</f>
        <v>NA</v>
      </c>
      <c r="AK78" s="12"/>
      <c r="AL78" s="15">
        <f t="shared" si="13"/>
        <v>0</v>
      </c>
      <c r="AM78" s="13" t="str">
        <f>IFERROR(AL78/AL446, "NA")</f>
        <v>NA</v>
      </c>
      <c r="AN78" s="12"/>
      <c r="AO78" s="12">
        <v>0.0</v>
      </c>
      <c r="AP78" s="13" t="str">
        <f>IFERROR(AO78/AO446, "NA")</f>
        <v>NA</v>
      </c>
      <c r="AQ78" s="12"/>
      <c r="AR78" s="15">
        <f t="shared" si="14"/>
        <v>0</v>
      </c>
    </row>
    <row r="79" ht="30.75" hidden="1" customHeight="1">
      <c r="A79" s="11" t="s">
        <v>494</v>
      </c>
      <c r="B79" s="12">
        <v>0.0</v>
      </c>
      <c r="C79" s="13" t="str">
        <f>IFERROR(B79/B446, "NA")</f>
        <v>NA</v>
      </c>
      <c r="D79" s="14"/>
      <c r="E79" s="12">
        <v>0.0</v>
      </c>
      <c r="F79" s="13" t="str">
        <f>IFERROR(E79/E446, "NA")</f>
        <v>NA</v>
      </c>
      <c r="G79" s="14"/>
      <c r="H79" s="12">
        <v>0.0</v>
      </c>
      <c r="I79" s="13" t="str">
        <f>IFERROR(H79/H446, "NA")</f>
        <v>NA</v>
      </c>
      <c r="J79" s="14"/>
      <c r="K79" s="12">
        <v>0.0</v>
      </c>
      <c r="L79" s="13" t="str">
        <f>IFERROR(K79/K446, "NA")</f>
        <v>NA</v>
      </c>
      <c r="M79" s="14"/>
      <c r="N79" s="12">
        <v>0.0</v>
      </c>
      <c r="O79" s="13" t="str">
        <f>IFERROR(N79/N446, "NA")</f>
        <v>NA</v>
      </c>
      <c r="P79" s="14"/>
      <c r="Q79" s="12">
        <v>0.0</v>
      </c>
      <c r="R79" s="13" t="str">
        <f>IFERROR(Q79/Q446, "NA")</f>
        <v>NA</v>
      </c>
      <c r="S79" s="14"/>
      <c r="T79" s="12">
        <v>0.0</v>
      </c>
      <c r="U79" s="13" t="str">
        <f>IFERROR(T79/T446, "NA")</f>
        <v>NA</v>
      </c>
      <c r="V79" s="14"/>
      <c r="W79" s="12">
        <v>0.0</v>
      </c>
      <c r="X79" s="13" t="str">
        <f>IFERROR(W79/W446, "NA")</f>
        <v>NA</v>
      </c>
      <c r="Y79" s="14"/>
      <c r="Z79" s="12">
        <v>0.0</v>
      </c>
      <c r="AA79" s="13" t="str">
        <f>IFERROR(Z79/Z446, "NA")</f>
        <v>NA</v>
      </c>
      <c r="AB79" s="14"/>
      <c r="AC79" s="12">
        <v>0.0</v>
      </c>
      <c r="AD79" s="13" t="str">
        <f>IFERROR(AC79/AC446, "NA")</f>
        <v>NA</v>
      </c>
      <c r="AE79" s="14"/>
      <c r="AF79" s="12">
        <v>0.0</v>
      </c>
      <c r="AG79" s="13" t="str">
        <f>IFERROR(AF79/AF446, "NA")</f>
        <v>NA</v>
      </c>
      <c r="AH79" s="14"/>
      <c r="AI79" s="12">
        <v>0.0</v>
      </c>
      <c r="AJ79" s="13" t="str">
        <f>IFERROR(AI79/AI446, "NA")</f>
        <v>NA</v>
      </c>
      <c r="AK79" s="12"/>
      <c r="AL79" s="15">
        <f t="shared" si="13"/>
        <v>0</v>
      </c>
      <c r="AM79" s="13" t="str">
        <f>IFERROR(AL79/AL446, "NA")</f>
        <v>NA</v>
      </c>
      <c r="AN79" s="12"/>
      <c r="AO79" s="12">
        <v>0.0</v>
      </c>
      <c r="AP79" s="13" t="str">
        <f>IFERROR(AO79/AO446, "NA")</f>
        <v>NA</v>
      </c>
      <c r="AQ79" s="12"/>
      <c r="AR79" s="15">
        <f t="shared" si="14"/>
        <v>0</v>
      </c>
    </row>
    <row r="80" ht="16.5" hidden="1" customHeight="1">
      <c r="A80" s="11" t="s">
        <v>495</v>
      </c>
      <c r="B80" s="12">
        <v>0.0</v>
      </c>
      <c r="C80" s="13" t="str">
        <f>IFERROR(B80/B446, "NA")</f>
        <v>NA</v>
      </c>
      <c r="D80" s="14"/>
      <c r="E80" s="12">
        <v>0.0</v>
      </c>
      <c r="F80" s="13" t="str">
        <f>IFERROR(E80/E446, "NA")</f>
        <v>NA</v>
      </c>
      <c r="G80" s="14"/>
      <c r="H80" s="12">
        <v>0.0</v>
      </c>
      <c r="I80" s="13" t="str">
        <f>IFERROR(H80/H446, "NA")</f>
        <v>NA</v>
      </c>
      <c r="J80" s="14"/>
      <c r="K80" s="12">
        <v>0.0</v>
      </c>
      <c r="L80" s="13" t="str">
        <f>IFERROR(K80/K446, "NA")</f>
        <v>NA</v>
      </c>
      <c r="M80" s="14"/>
      <c r="N80" s="12">
        <v>0.0</v>
      </c>
      <c r="O80" s="13" t="str">
        <f>IFERROR(N80/N446, "NA")</f>
        <v>NA</v>
      </c>
      <c r="P80" s="14"/>
      <c r="Q80" s="12">
        <v>0.0</v>
      </c>
      <c r="R80" s="13" t="str">
        <f>IFERROR(Q80/Q446, "NA")</f>
        <v>NA</v>
      </c>
      <c r="S80" s="14"/>
      <c r="T80" s="12">
        <v>0.0</v>
      </c>
      <c r="U80" s="13" t="str">
        <f>IFERROR(T80/T446, "NA")</f>
        <v>NA</v>
      </c>
      <c r="V80" s="14"/>
      <c r="W80" s="12">
        <v>0.0</v>
      </c>
      <c r="X80" s="13" t="str">
        <f>IFERROR(W80/W446, "NA")</f>
        <v>NA</v>
      </c>
      <c r="Y80" s="14"/>
      <c r="Z80" s="12">
        <v>0.0</v>
      </c>
      <c r="AA80" s="13" t="str">
        <f>IFERROR(Z80/Z446, "NA")</f>
        <v>NA</v>
      </c>
      <c r="AB80" s="14"/>
      <c r="AC80" s="12">
        <v>0.0</v>
      </c>
      <c r="AD80" s="13" t="str">
        <f>IFERROR(AC80/AC446, "NA")</f>
        <v>NA</v>
      </c>
      <c r="AE80" s="14"/>
      <c r="AF80" s="12">
        <v>0.0</v>
      </c>
      <c r="AG80" s="13" t="str">
        <f>IFERROR(AF80/AF446, "NA")</f>
        <v>NA</v>
      </c>
      <c r="AH80" s="14"/>
      <c r="AI80" s="12">
        <v>0.0</v>
      </c>
      <c r="AJ80" s="13" t="str">
        <f>IFERROR(AI80/AI446, "NA")</f>
        <v>NA</v>
      </c>
      <c r="AK80" s="12"/>
      <c r="AL80" s="15">
        <f t="shared" si="13"/>
        <v>0</v>
      </c>
      <c r="AM80" s="13" t="str">
        <f>IFERROR(AL80/AL446, "NA")</f>
        <v>NA</v>
      </c>
      <c r="AN80" s="12"/>
      <c r="AO80" s="12">
        <v>0.0</v>
      </c>
      <c r="AP80" s="13" t="str">
        <f>IFERROR(AO80/AO446, "NA")</f>
        <v>NA</v>
      </c>
      <c r="AQ80" s="12"/>
      <c r="AR80" s="15">
        <f t="shared" si="14"/>
        <v>0</v>
      </c>
    </row>
    <row r="81" ht="16.5" hidden="1" customHeight="1">
      <c r="A81" s="11" t="s">
        <v>496</v>
      </c>
      <c r="B81" s="12">
        <v>0.0</v>
      </c>
      <c r="C81" s="13" t="str">
        <f>IFERROR(B81/B446, "NA")</f>
        <v>NA</v>
      </c>
      <c r="D81" s="14"/>
      <c r="E81" s="12">
        <v>0.0</v>
      </c>
      <c r="F81" s="13" t="str">
        <f>IFERROR(E81/E446, "NA")</f>
        <v>NA</v>
      </c>
      <c r="G81" s="14"/>
      <c r="H81" s="12">
        <v>0.0</v>
      </c>
      <c r="I81" s="13" t="str">
        <f>IFERROR(H81/H446, "NA")</f>
        <v>NA</v>
      </c>
      <c r="J81" s="14"/>
      <c r="K81" s="12">
        <v>0.0</v>
      </c>
      <c r="L81" s="13" t="str">
        <f>IFERROR(K81/K446, "NA")</f>
        <v>NA</v>
      </c>
      <c r="M81" s="14"/>
      <c r="N81" s="12">
        <v>0.0</v>
      </c>
      <c r="O81" s="13" t="str">
        <f>IFERROR(N81/N446, "NA")</f>
        <v>NA</v>
      </c>
      <c r="P81" s="14"/>
      <c r="Q81" s="12">
        <v>0.0</v>
      </c>
      <c r="R81" s="13" t="str">
        <f>IFERROR(Q81/Q446, "NA")</f>
        <v>NA</v>
      </c>
      <c r="S81" s="14"/>
      <c r="T81" s="12">
        <v>0.0</v>
      </c>
      <c r="U81" s="13" t="str">
        <f>IFERROR(T81/T446, "NA")</f>
        <v>NA</v>
      </c>
      <c r="V81" s="14"/>
      <c r="W81" s="12">
        <v>0.0</v>
      </c>
      <c r="X81" s="13" t="str">
        <f>IFERROR(W81/W446, "NA")</f>
        <v>NA</v>
      </c>
      <c r="Y81" s="14"/>
      <c r="Z81" s="12">
        <v>0.0</v>
      </c>
      <c r="AA81" s="13" t="str">
        <f>IFERROR(Z81/Z446, "NA")</f>
        <v>NA</v>
      </c>
      <c r="AB81" s="14"/>
      <c r="AC81" s="12">
        <v>0.0</v>
      </c>
      <c r="AD81" s="13" t="str">
        <f>IFERROR(AC81/AC446, "NA")</f>
        <v>NA</v>
      </c>
      <c r="AE81" s="14"/>
      <c r="AF81" s="12">
        <v>0.0</v>
      </c>
      <c r="AG81" s="13" t="str">
        <f>IFERROR(AF81/AF446, "NA")</f>
        <v>NA</v>
      </c>
      <c r="AH81" s="14"/>
      <c r="AI81" s="12">
        <v>0.0</v>
      </c>
      <c r="AJ81" s="13" t="str">
        <f>IFERROR(AI81/AI446, "NA")</f>
        <v>NA</v>
      </c>
      <c r="AK81" s="12"/>
      <c r="AL81" s="15">
        <f t="shared" si="13"/>
        <v>0</v>
      </c>
      <c r="AM81" s="13" t="str">
        <f>IFERROR(AL81/AL446, "NA")</f>
        <v>NA</v>
      </c>
      <c r="AN81" s="12"/>
      <c r="AO81" s="12">
        <v>0.0</v>
      </c>
      <c r="AP81" s="13" t="str">
        <f>IFERROR(AO81/AO446, "NA")</f>
        <v>NA</v>
      </c>
      <c r="AQ81" s="12"/>
      <c r="AR81" s="15">
        <f t="shared" si="14"/>
        <v>0</v>
      </c>
    </row>
    <row r="82" ht="16.5" hidden="1" customHeight="1">
      <c r="A82" s="11" t="s">
        <v>497</v>
      </c>
      <c r="B82" s="12">
        <v>0.0</v>
      </c>
      <c r="C82" s="13" t="str">
        <f>IFERROR(B82/B446, "NA")</f>
        <v>NA</v>
      </c>
      <c r="D82" s="14"/>
      <c r="E82" s="12">
        <v>0.0</v>
      </c>
      <c r="F82" s="13" t="str">
        <f>IFERROR(E82/E446, "NA")</f>
        <v>NA</v>
      </c>
      <c r="G82" s="14"/>
      <c r="H82" s="12">
        <v>0.0</v>
      </c>
      <c r="I82" s="13" t="str">
        <f>IFERROR(H82/H446, "NA")</f>
        <v>NA</v>
      </c>
      <c r="J82" s="14"/>
      <c r="K82" s="12">
        <v>0.0</v>
      </c>
      <c r="L82" s="13" t="str">
        <f>IFERROR(K82/K446, "NA")</f>
        <v>NA</v>
      </c>
      <c r="M82" s="14"/>
      <c r="N82" s="12">
        <v>0.0</v>
      </c>
      <c r="O82" s="13" t="str">
        <f>IFERROR(N82/N446, "NA")</f>
        <v>NA</v>
      </c>
      <c r="P82" s="14"/>
      <c r="Q82" s="12">
        <v>0.0</v>
      </c>
      <c r="R82" s="13" t="str">
        <f>IFERROR(Q82/Q446, "NA")</f>
        <v>NA</v>
      </c>
      <c r="S82" s="14"/>
      <c r="T82" s="12">
        <v>0.0</v>
      </c>
      <c r="U82" s="13" t="str">
        <f>IFERROR(T82/T446, "NA")</f>
        <v>NA</v>
      </c>
      <c r="V82" s="14"/>
      <c r="W82" s="12">
        <v>0.0</v>
      </c>
      <c r="X82" s="13" t="str">
        <f>IFERROR(W82/W446, "NA")</f>
        <v>NA</v>
      </c>
      <c r="Y82" s="14"/>
      <c r="Z82" s="12">
        <v>0.0</v>
      </c>
      <c r="AA82" s="13" t="str">
        <f>IFERROR(Z82/Z446, "NA")</f>
        <v>NA</v>
      </c>
      <c r="AB82" s="14"/>
      <c r="AC82" s="12">
        <v>0.0</v>
      </c>
      <c r="AD82" s="13" t="str">
        <f>IFERROR(AC82/AC446, "NA")</f>
        <v>NA</v>
      </c>
      <c r="AE82" s="14"/>
      <c r="AF82" s="12">
        <v>0.0</v>
      </c>
      <c r="AG82" s="13" t="str">
        <f>IFERROR(AF82/AF446, "NA")</f>
        <v>NA</v>
      </c>
      <c r="AH82" s="14"/>
      <c r="AI82" s="12">
        <v>0.0</v>
      </c>
      <c r="AJ82" s="13" t="str">
        <f>IFERROR(AI82/AI446, "NA")</f>
        <v>NA</v>
      </c>
      <c r="AK82" s="12"/>
      <c r="AL82" s="15">
        <f t="shared" si="13"/>
        <v>0</v>
      </c>
      <c r="AM82" s="13" t="str">
        <f>IFERROR(AL82/AL446, "NA")</f>
        <v>NA</v>
      </c>
      <c r="AN82" s="12"/>
      <c r="AO82" s="12">
        <v>0.0</v>
      </c>
      <c r="AP82" s="13" t="str">
        <f>IFERROR(AO82/AO446, "NA")</f>
        <v>NA</v>
      </c>
      <c r="AQ82" s="12"/>
      <c r="AR82" s="15">
        <f t="shared" si="14"/>
        <v>0</v>
      </c>
    </row>
    <row r="83" ht="16.5" hidden="1" customHeight="1">
      <c r="A83" s="11" t="s">
        <v>498</v>
      </c>
      <c r="B83" s="12">
        <v>0.0</v>
      </c>
      <c r="C83" s="13" t="str">
        <f>IFERROR(B83/B446, "NA")</f>
        <v>NA</v>
      </c>
      <c r="D83" s="14"/>
      <c r="E83" s="12">
        <v>0.0</v>
      </c>
      <c r="F83" s="13" t="str">
        <f>IFERROR(E83/E446, "NA")</f>
        <v>NA</v>
      </c>
      <c r="G83" s="14"/>
      <c r="H83" s="12">
        <v>0.0</v>
      </c>
      <c r="I83" s="13" t="str">
        <f>IFERROR(H83/H446, "NA")</f>
        <v>NA</v>
      </c>
      <c r="J83" s="14"/>
      <c r="K83" s="12">
        <v>0.0</v>
      </c>
      <c r="L83" s="13" t="str">
        <f>IFERROR(K83/K446, "NA")</f>
        <v>NA</v>
      </c>
      <c r="M83" s="14"/>
      <c r="N83" s="12">
        <v>0.0</v>
      </c>
      <c r="O83" s="13" t="str">
        <f>IFERROR(N83/N446, "NA")</f>
        <v>NA</v>
      </c>
      <c r="P83" s="14"/>
      <c r="Q83" s="12">
        <v>0.0</v>
      </c>
      <c r="R83" s="13" t="str">
        <f>IFERROR(Q83/Q446, "NA")</f>
        <v>NA</v>
      </c>
      <c r="S83" s="14"/>
      <c r="T83" s="12">
        <v>0.0</v>
      </c>
      <c r="U83" s="13" t="str">
        <f>IFERROR(T83/T446, "NA")</f>
        <v>NA</v>
      </c>
      <c r="V83" s="14"/>
      <c r="W83" s="12">
        <v>0.0</v>
      </c>
      <c r="X83" s="13" t="str">
        <f>IFERROR(W83/W446, "NA")</f>
        <v>NA</v>
      </c>
      <c r="Y83" s="14"/>
      <c r="Z83" s="12">
        <v>0.0</v>
      </c>
      <c r="AA83" s="13" t="str">
        <f>IFERROR(Z83/Z446, "NA")</f>
        <v>NA</v>
      </c>
      <c r="AB83" s="14"/>
      <c r="AC83" s="12">
        <v>0.0</v>
      </c>
      <c r="AD83" s="13" t="str">
        <f>IFERROR(AC83/AC446, "NA")</f>
        <v>NA</v>
      </c>
      <c r="AE83" s="14"/>
      <c r="AF83" s="12">
        <v>0.0</v>
      </c>
      <c r="AG83" s="13" t="str">
        <f>IFERROR(AF83/AF446, "NA")</f>
        <v>NA</v>
      </c>
      <c r="AH83" s="14"/>
      <c r="AI83" s="12">
        <v>0.0</v>
      </c>
      <c r="AJ83" s="13" t="str">
        <f>IFERROR(AI83/AI446, "NA")</f>
        <v>NA</v>
      </c>
      <c r="AK83" s="12"/>
      <c r="AL83" s="15">
        <f t="shared" si="13"/>
        <v>0</v>
      </c>
      <c r="AM83" s="13" t="str">
        <f>IFERROR(AL83/AL446, "NA")</f>
        <v>NA</v>
      </c>
      <c r="AN83" s="12"/>
      <c r="AO83" s="12">
        <v>0.0</v>
      </c>
      <c r="AP83" s="13" t="str">
        <f>IFERROR(AO83/AO446, "NA")</f>
        <v>NA</v>
      </c>
      <c r="AQ83" s="12"/>
      <c r="AR83" s="15">
        <f t="shared" si="14"/>
        <v>0</v>
      </c>
    </row>
    <row r="84" ht="16.5" hidden="1" customHeight="1">
      <c r="A84" s="11" t="s">
        <v>499</v>
      </c>
      <c r="B84" s="12">
        <v>0.0</v>
      </c>
      <c r="C84" s="13" t="str">
        <f>IFERROR(B84/B446, "NA")</f>
        <v>NA</v>
      </c>
      <c r="D84" s="14"/>
      <c r="E84" s="12">
        <v>0.0</v>
      </c>
      <c r="F84" s="13" t="str">
        <f>IFERROR(E84/E446, "NA")</f>
        <v>NA</v>
      </c>
      <c r="G84" s="14"/>
      <c r="H84" s="12">
        <v>0.0</v>
      </c>
      <c r="I84" s="13" t="str">
        <f>IFERROR(H84/H446, "NA")</f>
        <v>NA</v>
      </c>
      <c r="J84" s="14"/>
      <c r="K84" s="12">
        <v>0.0</v>
      </c>
      <c r="L84" s="13" t="str">
        <f>IFERROR(K84/K446, "NA")</f>
        <v>NA</v>
      </c>
      <c r="M84" s="14"/>
      <c r="N84" s="12">
        <v>0.0</v>
      </c>
      <c r="O84" s="13" t="str">
        <f>IFERROR(N84/N446, "NA")</f>
        <v>NA</v>
      </c>
      <c r="P84" s="14"/>
      <c r="Q84" s="12">
        <v>0.0</v>
      </c>
      <c r="R84" s="13" t="str">
        <f>IFERROR(Q84/Q446, "NA")</f>
        <v>NA</v>
      </c>
      <c r="S84" s="14"/>
      <c r="T84" s="12">
        <v>0.0</v>
      </c>
      <c r="U84" s="13" t="str">
        <f>IFERROR(T84/T446, "NA")</f>
        <v>NA</v>
      </c>
      <c r="V84" s="14"/>
      <c r="W84" s="12">
        <v>0.0</v>
      </c>
      <c r="X84" s="13" t="str">
        <f>IFERROR(W84/W446, "NA")</f>
        <v>NA</v>
      </c>
      <c r="Y84" s="14"/>
      <c r="Z84" s="12">
        <v>0.0</v>
      </c>
      <c r="AA84" s="13" t="str">
        <f>IFERROR(Z84/Z446, "NA")</f>
        <v>NA</v>
      </c>
      <c r="AB84" s="14"/>
      <c r="AC84" s="12">
        <v>0.0</v>
      </c>
      <c r="AD84" s="13" t="str">
        <f>IFERROR(AC84/AC446, "NA")</f>
        <v>NA</v>
      </c>
      <c r="AE84" s="14"/>
      <c r="AF84" s="12">
        <v>0.0</v>
      </c>
      <c r="AG84" s="13" t="str">
        <f>IFERROR(AF84/AF446, "NA")</f>
        <v>NA</v>
      </c>
      <c r="AH84" s="14"/>
      <c r="AI84" s="12">
        <v>0.0</v>
      </c>
      <c r="AJ84" s="13" t="str">
        <f>IFERROR(AI84/AI446, "NA")</f>
        <v>NA</v>
      </c>
      <c r="AK84" s="12"/>
      <c r="AL84" s="15">
        <f t="shared" si="13"/>
        <v>0</v>
      </c>
      <c r="AM84" s="13" t="str">
        <f>IFERROR(AL84/AL446, "NA")</f>
        <v>NA</v>
      </c>
      <c r="AN84" s="12"/>
      <c r="AO84" s="12">
        <v>0.0</v>
      </c>
      <c r="AP84" s="13" t="str">
        <f>IFERROR(AO84/AO446, "NA")</f>
        <v>NA</v>
      </c>
      <c r="AQ84" s="12"/>
      <c r="AR84" s="15">
        <f t="shared" si="14"/>
        <v>0</v>
      </c>
    </row>
    <row r="85" ht="16.5" hidden="1" customHeight="1">
      <c r="A85" s="11" t="s">
        <v>500</v>
      </c>
      <c r="B85" s="12">
        <v>0.0</v>
      </c>
      <c r="C85" s="13" t="str">
        <f>IFERROR(B85/B446, "NA")</f>
        <v>NA</v>
      </c>
      <c r="D85" s="14"/>
      <c r="E85" s="12">
        <v>0.0</v>
      </c>
      <c r="F85" s="13" t="str">
        <f>IFERROR(E85/E446, "NA")</f>
        <v>NA</v>
      </c>
      <c r="G85" s="14"/>
      <c r="H85" s="12">
        <v>0.0</v>
      </c>
      <c r="I85" s="13" t="str">
        <f>IFERROR(H85/H446, "NA")</f>
        <v>NA</v>
      </c>
      <c r="J85" s="14"/>
      <c r="K85" s="12">
        <v>0.0</v>
      </c>
      <c r="L85" s="13" t="str">
        <f>IFERROR(K85/K446, "NA")</f>
        <v>NA</v>
      </c>
      <c r="M85" s="14"/>
      <c r="N85" s="12">
        <v>0.0</v>
      </c>
      <c r="O85" s="13" t="str">
        <f>IFERROR(N85/N446, "NA")</f>
        <v>NA</v>
      </c>
      <c r="P85" s="14"/>
      <c r="Q85" s="12">
        <v>0.0</v>
      </c>
      <c r="R85" s="13" t="str">
        <f>IFERROR(Q85/Q446, "NA")</f>
        <v>NA</v>
      </c>
      <c r="S85" s="14"/>
      <c r="T85" s="12">
        <v>0.0</v>
      </c>
      <c r="U85" s="13" t="str">
        <f>IFERROR(T85/T446, "NA")</f>
        <v>NA</v>
      </c>
      <c r="V85" s="14"/>
      <c r="W85" s="12">
        <v>0.0</v>
      </c>
      <c r="X85" s="13" t="str">
        <f>IFERROR(W85/W446, "NA")</f>
        <v>NA</v>
      </c>
      <c r="Y85" s="14"/>
      <c r="Z85" s="12">
        <v>0.0</v>
      </c>
      <c r="AA85" s="13" t="str">
        <f>IFERROR(Z85/Z446, "NA")</f>
        <v>NA</v>
      </c>
      <c r="AB85" s="14"/>
      <c r="AC85" s="12">
        <v>0.0</v>
      </c>
      <c r="AD85" s="13" t="str">
        <f>IFERROR(AC85/AC446, "NA")</f>
        <v>NA</v>
      </c>
      <c r="AE85" s="14"/>
      <c r="AF85" s="12">
        <v>0.0</v>
      </c>
      <c r="AG85" s="13" t="str">
        <f>IFERROR(AF85/AF446, "NA")</f>
        <v>NA</v>
      </c>
      <c r="AH85" s="14"/>
      <c r="AI85" s="12">
        <v>0.0</v>
      </c>
      <c r="AJ85" s="13" t="str">
        <f>IFERROR(AI85/AI446, "NA")</f>
        <v>NA</v>
      </c>
      <c r="AK85" s="12"/>
      <c r="AL85" s="15">
        <f t="shared" si="13"/>
        <v>0</v>
      </c>
      <c r="AM85" s="13" t="str">
        <f>IFERROR(AL85/AL446, "NA")</f>
        <v>NA</v>
      </c>
      <c r="AN85" s="12"/>
      <c r="AO85" s="12">
        <v>0.0</v>
      </c>
      <c r="AP85" s="13" t="str">
        <f>IFERROR(AO85/AO446, "NA")</f>
        <v>NA</v>
      </c>
      <c r="AQ85" s="12"/>
      <c r="AR85" s="15">
        <f t="shared" si="14"/>
        <v>0</v>
      </c>
    </row>
    <row r="86" ht="16.5" hidden="1" customHeight="1">
      <c r="A86" s="11" t="s">
        <v>501</v>
      </c>
      <c r="B86" s="12">
        <v>0.0</v>
      </c>
      <c r="C86" s="13" t="str">
        <f>IFERROR(B86/B446, "NA")</f>
        <v>NA</v>
      </c>
      <c r="D86" s="14"/>
      <c r="E86" s="12">
        <v>0.0</v>
      </c>
      <c r="F86" s="13" t="str">
        <f>IFERROR(E86/E446, "NA")</f>
        <v>NA</v>
      </c>
      <c r="G86" s="14"/>
      <c r="H86" s="12">
        <v>0.0</v>
      </c>
      <c r="I86" s="13" t="str">
        <f>IFERROR(H86/H446, "NA")</f>
        <v>NA</v>
      </c>
      <c r="J86" s="14"/>
      <c r="K86" s="12">
        <v>0.0</v>
      </c>
      <c r="L86" s="13" t="str">
        <f>IFERROR(K86/K446, "NA")</f>
        <v>NA</v>
      </c>
      <c r="M86" s="14"/>
      <c r="N86" s="12">
        <v>0.0</v>
      </c>
      <c r="O86" s="13" t="str">
        <f>IFERROR(N86/N446, "NA")</f>
        <v>NA</v>
      </c>
      <c r="P86" s="14"/>
      <c r="Q86" s="12">
        <v>0.0</v>
      </c>
      <c r="R86" s="13" t="str">
        <f>IFERROR(Q86/Q446, "NA")</f>
        <v>NA</v>
      </c>
      <c r="S86" s="14"/>
      <c r="T86" s="12">
        <v>0.0</v>
      </c>
      <c r="U86" s="13" t="str">
        <f>IFERROR(T86/T446, "NA")</f>
        <v>NA</v>
      </c>
      <c r="V86" s="14"/>
      <c r="W86" s="12">
        <v>0.0</v>
      </c>
      <c r="X86" s="13" t="str">
        <f>IFERROR(W86/W446, "NA")</f>
        <v>NA</v>
      </c>
      <c r="Y86" s="14"/>
      <c r="Z86" s="12">
        <v>0.0</v>
      </c>
      <c r="AA86" s="13" t="str">
        <f>IFERROR(Z86/Z446, "NA")</f>
        <v>NA</v>
      </c>
      <c r="AB86" s="14"/>
      <c r="AC86" s="12">
        <v>0.0</v>
      </c>
      <c r="AD86" s="13" t="str">
        <f>IFERROR(AC86/AC446, "NA")</f>
        <v>NA</v>
      </c>
      <c r="AE86" s="14"/>
      <c r="AF86" s="12">
        <v>0.0</v>
      </c>
      <c r="AG86" s="13" t="str">
        <f>IFERROR(AF86/AF446, "NA")</f>
        <v>NA</v>
      </c>
      <c r="AH86" s="14"/>
      <c r="AI86" s="12">
        <v>0.0</v>
      </c>
      <c r="AJ86" s="13" t="str">
        <f>IFERROR(AI86/AI446, "NA")</f>
        <v>NA</v>
      </c>
      <c r="AK86" s="12"/>
      <c r="AL86" s="15">
        <f t="shared" si="13"/>
        <v>0</v>
      </c>
      <c r="AM86" s="13" t="str">
        <f>IFERROR(AL86/AL446, "NA")</f>
        <v>NA</v>
      </c>
      <c r="AN86" s="12"/>
      <c r="AO86" s="12">
        <v>0.0</v>
      </c>
      <c r="AP86" s="13" t="str">
        <f>IFERROR(AO86/AO446, "NA")</f>
        <v>NA</v>
      </c>
      <c r="AQ86" s="12"/>
      <c r="AR86" s="15">
        <f t="shared" si="14"/>
        <v>0</v>
      </c>
    </row>
    <row r="87" ht="16.5" hidden="1" customHeight="1">
      <c r="A87" s="11" t="s">
        <v>502</v>
      </c>
      <c r="B87" s="12">
        <v>0.0</v>
      </c>
      <c r="C87" s="13" t="str">
        <f>IFERROR(B87/B446, "NA")</f>
        <v>NA</v>
      </c>
      <c r="D87" s="14"/>
      <c r="E87" s="12">
        <v>0.0</v>
      </c>
      <c r="F87" s="13" t="str">
        <f>IFERROR(E87/E446, "NA")</f>
        <v>NA</v>
      </c>
      <c r="G87" s="14"/>
      <c r="H87" s="12">
        <v>0.0</v>
      </c>
      <c r="I87" s="13" t="str">
        <f>IFERROR(H87/H446, "NA")</f>
        <v>NA</v>
      </c>
      <c r="J87" s="14"/>
      <c r="K87" s="12">
        <v>0.0</v>
      </c>
      <c r="L87" s="13" t="str">
        <f>IFERROR(K87/K446, "NA")</f>
        <v>NA</v>
      </c>
      <c r="M87" s="14"/>
      <c r="N87" s="12">
        <v>0.0</v>
      </c>
      <c r="O87" s="13" t="str">
        <f>IFERROR(N87/N446, "NA")</f>
        <v>NA</v>
      </c>
      <c r="P87" s="14"/>
      <c r="Q87" s="12">
        <v>0.0</v>
      </c>
      <c r="R87" s="13" t="str">
        <f>IFERROR(Q87/Q446, "NA")</f>
        <v>NA</v>
      </c>
      <c r="S87" s="14"/>
      <c r="T87" s="12">
        <v>0.0</v>
      </c>
      <c r="U87" s="13" t="str">
        <f>IFERROR(T87/T446, "NA")</f>
        <v>NA</v>
      </c>
      <c r="V87" s="14"/>
      <c r="W87" s="12">
        <v>0.0</v>
      </c>
      <c r="X87" s="13" t="str">
        <f>IFERROR(W87/W446, "NA")</f>
        <v>NA</v>
      </c>
      <c r="Y87" s="14"/>
      <c r="Z87" s="12">
        <v>0.0</v>
      </c>
      <c r="AA87" s="13" t="str">
        <f>IFERROR(Z87/Z446, "NA")</f>
        <v>NA</v>
      </c>
      <c r="AB87" s="14"/>
      <c r="AC87" s="12">
        <v>0.0</v>
      </c>
      <c r="AD87" s="13" t="str">
        <f>IFERROR(AC87/AC446, "NA")</f>
        <v>NA</v>
      </c>
      <c r="AE87" s="14"/>
      <c r="AF87" s="12">
        <v>0.0</v>
      </c>
      <c r="AG87" s="13" t="str">
        <f>IFERROR(AF87/AF446, "NA")</f>
        <v>NA</v>
      </c>
      <c r="AH87" s="14"/>
      <c r="AI87" s="12">
        <v>0.0</v>
      </c>
      <c r="AJ87" s="13" t="str">
        <f>IFERROR(AI87/AI446, "NA")</f>
        <v>NA</v>
      </c>
      <c r="AK87" s="12"/>
      <c r="AL87" s="15">
        <f t="shared" si="13"/>
        <v>0</v>
      </c>
      <c r="AM87" s="13" t="str">
        <f>IFERROR(AL87/AL446, "NA")</f>
        <v>NA</v>
      </c>
      <c r="AN87" s="12"/>
      <c r="AO87" s="12">
        <v>0.0</v>
      </c>
      <c r="AP87" s="13" t="str">
        <f>IFERROR(AO87/AO446, "NA")</f>
        <v>NA</v>
      </c>
      <c r="AQ87" s="12"/>
      <c r="AR87" s="15">
        <f t="shared" si="14"/>
        <v>0</v>
      </c>
    </row>
    <row r="88" ht="16.5" customHeight="1">
      <c r="A88" s="16" t="s">
        <v>87</v>
      </c>
      <c r="B88" s="17">
        <f>IFERROR(B75+B76+B77+B78+B79+B80+B81+B82+B83+B84+B85+B86+B87, "NA")</f>
        <v>0</v>
      </c>
      <c r="C88" s="18" t="str">
        <f>IFERROR(B88/B446, "NA")</f>
        <v>NA</v>
      </c>
      <c r="D88" s="8"/>
      <c r="E88" s="17">
        <f>IFERROR(E75+E76+E77+E78+E79+E80+E81+E82+E83+E84+E85+E86+E87, "NA")</f>
        <v>0</v>
      </c>
      <c r="F88" s="18" t="str">
        <f>IFERROR(E88/E446, "NA")</f>
        <v>NA</v>
      </c>
      <c r="G88" s="8"/>
      <c r="H88" s="17">
        <f>IFERROR(H75+H76+H77+H78+H79+H80+H81+H82+H83+H84+H85+H86+H87, "NA")</f>
        <v>0</v>
      </c>
      <c r="I88" s="18" t="str">
        <f>IFERROR(H88/H446, "NA")</f>
        <v>NA</v>
      </c>
      <c r="J88" s="8"/>
      <c r="K88" s="17">
        <f>IFERROR(K75+K76+K77+K78+K79+K80+K81+K82+K83+K84+K85+K86+K87, "NA")</f>
        <v>0</v>
      </c>
      <c r="L88" s="18" t="str">
        <f>IFERROR(K88/K446, "NA")</f>
        <v>NA</v>
      </c>
      <c r="M88" s="8"/>
      <c r="N88" s="17">
        <f>IFERROR(N75+N76+N77+N78+N79+N80+N81+N82+N83+N84+N85+N86+N87, "NA")</f>
        <v>0</v>
      </c>
      <c r="O88" s="18" t="str">
        <f>IFERROR(N88/N446, "NA")</f>
        <v>NA</v>
      </c>
      <c r="P88" s="8"/>
      <c r="Q88" s="17">
        <f>IFERROR(Q75+Q76+Q77+Q78+Q79+Q80+Q81+Q82+Q83+Q84+Q85+Q86+Q87, "NA")</f>
        <v>0</v>
      </c>
      <c r="R88" s="18" t="str">
        <f>IFERROR(Q88/Q446, "NA")</f>
        <v>NA</v>
      </c>
      <c r="S88" s="8"/>
      <c r="T88" s="17">
        <f>IFERROR(T75+T76+T77+T78+T79+T80+T81+T82+T83+T84+T85+T86+T87, "NA")</f>
        <v>0</v>
      </c>
      <c r="U88" s="18" t="str">
        <f>IFERROR(T88/T446, "NA")</f>
        <v>NA</v>
      </c>
      <c r="V88" s="8"/>
      <c r="W88" s="17">
        <f>IFERROR(W75+W76+W77+W78+W79+W80+W81+W82+W83+W84+W85+W86+W87, "NA")</f>
        <v>0</v>
      </c>
      <c r="X88" s="18" t="str">
        <f>IFERROR(W88/W446, "NA")</f>
        <v>NA</v>
      </c>
      <c r="Y88" s="8"/>
      <c r="Z88" s="17">
        <f>IFERROR(Z75+Z76+Z77+Z78+Z79+Z80+Z81+Z82+Z83+Z84+Z85+Z86+Z87, "NA")</f>
        <v>0</v>
      </c>
      <c r="AA88" s="18" t="str">
        <f>IFERROR(Z88/Z446, "NA")</f>
        <v>NA</v>
      </c>
      <c r="AB88" s="8"/>
      <c r="AC88" s="17">
        <f>IFERROR(AC75+AC76+AC77+AC78+AC79+AC80+AC81+AC82+AC83+AC84+AC85+AC86+AC87, "NA")</f>
        <v>0</v>
      </c>
      <c r="AD88" s="18" t="str">
        <f>IFERROR(AC88/AC446, "NA")</f>
        <v>NA</v>
      </c>
      <c r="AE88" s="8"/>
      <c r="AF88" s="17">
        <f>IFERROR(AF75+AF76+AF77+AF78+AF79+AF80+AF81+AF82+AF83+AF84+AF85+AF86+AF87, "NA")</f>
        <v>0</v>
      </c>
      <c r="AG88" s="18" t="str">
        <f>IFERROR(AF88/AF446, "NA")</f>
        <v>NA</v>
      </c>
      <c r="AH88" s="8"/>
      <c r="AI88" s="17">
        <f>IFERROR(AI75+AI76+AI77+AI78+AI79+AI80+AI81+AI82+AI83+AI84+AI85+AI86+AI87, "NA")</f>
        <v>0</v>
      </c>
      <c r="AJ88" s="18" t="str">
        <f>IFERROR(AI88/AI446, "NA")</f>
        <v>NA</v>
      </c>
      <c r="AK88" s="8"/>
      <c r="AL88" s="17">
        <f t="shared" si="13"/>
        <v>0</v>
      </c>
      <c r="AM88" s="18" t="str">
        <f>IFERROR(AL88/AL446, "NA")</f>
        <v>NA</v>
      </c>
      <c r="AN88" s="8"/>
      <c r="AO88" s="17">
        <f>IFERROR(AO75+AO76+AO77+AO78+AO79+AO80+AO81+AO82+AO83+AO84+AO85+AO86+AO87, "NA")</f>
        <v>0</v>
      </c>
      <c r="AP88" s="18" t="str">
        <f>IFERROR(AO88/AO446, "NA")</f>
        <v>NA</v>
      </c>
      <c r="AQ88" s="8"/>
      <c r="AR88" s="17">
        <f t="shared" si="14"/>
        <v>0</v>
      </c>
    </row>
    <row r="89" ht="16.5" hidden="1" customHeight="1">
      <c r="A89" s="11" t="s">
        <v>503</v>
      </c>
      <c r="B89" s="12">
        <v>0.0</v>
      </c>
      <c r="C89" s="13" t="str">
        <f>IFERROR(B89/B446, "NA")</f>
        <v>NA</v>
      </c>
      <c r="D89" s="14"/>
      <c r="E89" s="12">
        <v>0.0</v>
      </c>
      <c r="F89" s="13" t="str">
        <f>IFERROR(E89/E446, "NA")</f>
        <v>NA</v>
      </c>
      <c r="G89" s="14"/>
      <c r="H89" s="12">
        <v>0.0</v>
      </c>
      <c r="I89" s="13" t="str">
        <f>IFERROR(H89/H446, "NA")</f>
        <v>NA</v>
      </c>
      <c r="J89" s="14"/>
      <c r="K89" s="12">
        <v>0.0</v>
      </c>
      <c r="L89" s="13" t="str">
        <f>IFERROR(K89/K446, "NA")</f>
        <v>NA</v>
      </c>
      <c r="M89" s="14"/>
      <c r="N89" s="12">
        <v>0.0</v>
      </c>
      <c r="O89" s="13" t="str">
        <f>IFERROR(N89/N446, "NA")</f>
        <v>NA</v>
      </c>
      <c r="P89" s="14"/>
      <c r="Q89" s="12">
        <v>0.0</v>
      </c>
      <c r="R89" s="13" t="str">
        <f>IFERROR(Q89/Q446, "NA")</f>
        <v>NA</v>
      </c>
      <c r="S89" s="14"/>
      <c r="T89" s="12">
        <v>0.0</v>
      </c>
      <c r="U89" s="13" t="str">
        <f>IFERROR(T89/T446, "NA")</f>
        <v>NA</v>
      </c>
      <c r="V89" s="14"/>
      <c r="W89" s="12">
        <v>0.0</v>
      </c>
      <c r="X89" s="13" t="str">
        <f>IFERROR(W89/W446, "NA")</f>
        <v>NA</v>
      </c>
      <c r="Y89" s="14"/>
      <c r="Z89" s="12">
        <v>0.0</v>
      </c>
      <c r="AA89" s="13" t="str">
        <f>IFERROR(Z89/Z446, "NA")</f>
        <v>NA</v>
      </c>
      <c r="AB89" s="14"/>
      <c r="AC89" s="12">
        <v>0.0</v>
      </c>
      <c r="AD89" s="13" t="str">
        <f>IFERROR(AC89/AC446, "NA")</f>
        <v>NA</v>
      </c>
      <c r="AE89" s="14"/>
      <c r="AF89" s="12">
        <v>0.0</v>
      </c>
      <c r="AG89" s="13" t="str">
        <f>IFERROR(AF89/AF446, "NA")</f>
        <v>NA</v>
      </c>
      <c r="AH89" s="14"/>
      <c r="AI89" s="12">
        <v>0.0</v>
      </c>
      <c r="AJ89" s="13" t="str">
        <f>IFERROR(AI89/AI446, "NA")</f>
        <v>NA</v>
      </c>
      <c r="AK89" s="12"/>
      <c r="AL89" s="15">
        <f t="shared" si="13"/>
        <v>0</v>
      </c>
      <c r="AM89" s="13" t="str">
        <f>IFERROR(AL89/AL446, "NA")</f>
        <v>NA</v>
      </c>
      <c r="AN89" s="12"/>
      <c r="AO89" s="12">
        <v>0.0</v>
      </c>
      <c r="AP89" s="13" t="str">
        <f>IFERROR(AO89/AO446, "NA")</f>
        <v>NA</v>
      </c>
      <c r="AQ89" s="12"/>
      <c r="AR89" s="15">
        <f t="shared" si="14"/>
        <v>0</v>
      </c>
    </row>
    <row r="90" ht="16.5" hidden="1" customHeight="1">
      <c r="A90" s="11" t="s">
        <v>504</v>
      </c>
      <c r="B90" s="12">
        <v>0.0</v>
      </c>
      <c r="C90" s="13" t="str">
        <f>IFERROR(B90/B446, "NA")</f>
        <v>NA</v>
      </c>
      <c r="D90" s="14"/>
      <c r="E90" s="12">
        <v>0.0</v>
      </c>
      <c r="F90" s="13" t="str">
        <f>IFERROR(E90/E446, "NA")</f>
        <v>NA</v>
      </c>
      <c r="G90" s="14"/>
      <c r="H90" s="12">
        <v>0.0</v>
      </c>
      <c r="I90" s="13" t="str">
        <f>IFERROR(H90/H446, "NA")</f>
        <v>NA</v>
      </c>
      <c r="J90" s="14"/>
      <c r="K90" s="12">
        <v>0.0</v>
      </c>
      <c r="L90" s="13" t="str">
        <f>IFERROR(K90/K446, "NA")</f>
        <v>NA</v>
      </c>
      <c r="M90" s="14"/>
      <c r="N90" s="12">
        <v>0.0</v>
      </c>
      <c r="O90" s="13" t="str">
        <f>IFERROR(N90/N446, "NA")</f>
        <v>NA</v>
      </c>
      <c r="P90" s="14"/>
      <c r="Q90" s="12">
        <v>0.0</v>
      </c>
      <c r="R90" s="13" t="str">
        <f>IFERROR(Q90/Q446, "NA")</f>
        <v>NA</v>
      </c>
      <c r="S90" s="14"/>
      <c r="T90" s="12">
        <v>0.0</v>
      </c>
      <c r="U90" s="13" t="str">
        <f>IFERROR(T90/T446, "NA")</f>
        <v>NA</v>
      </c>
      <c r="V90" s="14"/>
      <c r="W90" s="12">
        <v>0.0</v>
      </c>
      <c r="X90" s="13" t="str">
        <f>IFERROR(W90/W446, "NA")</f>
        <v>NA</v>
      </c>
      <c r="Y90" s="14"/>
      <c r="Z90" s="12">
        <v>0.0</v>
      </c>
      <c r="AA90" s="13" t="str">
        <f>IFERROR(Z90/Z446, "NA")</f>
        <v>NA</v>
      </c>
      <c r="AB90" s="14"/>
      <c r="AC90" s="12">
        <v>0.0</v>
      </c>
      <c r="AD90" s="13" t="str">
        <f>IFERROR(AC90/AC446, "NA")</f>
        <v>NA</v>
      </c>
      <c r="AE90" s="14"/>
      <c r="AF90" s="12">
        <v>0.0</v>
      </c>
      <c r="AG90" s="13" t="str">
        <f>IFERROR(AF90/AF446, "NA")</f>
        <v>NA</v>
      </c>
      <c r="AH90" s="14"/>
      <c r="AI90" s="12">
        <v>0.0</v>
      </c>
      <c r="AJ90" s="13" t="str">
        <f>IFERROR(AI90/AI446, "NA")</f>
        <v>NA</v>
      </c>
      <c r="AK90" s="12"/>
      <c r="AL90" s="15">
        <f t="shared" si="13"/>
        <v>0</v>
      </c>
      <c r="AM90" s="13" t="str">
        <f>IFERROR(AL90/AL446, "NA")</f>
        <v>NA</v>
      </c>
      <c r="AN90" s="12"/>
      <c r="AO90" s="12">
        <v>0.0</v>
      </c>
      <c r="AP90" s="13" t="str">
        <f>IFERROR(AO90/AO446, "NA")</f>
        <v>NA</v>
      </c>
      <c r="AQ90" s="12"/>
      <c r="AR90" s="15">
        <f t="shared" si="14"/>
        <v>0</v>
      </c>
    </row>
    <row r="91" ht="16.5" hidden="1" customHeight="1">
      <c r="A91" s="11" t="s">
        <v>505</v>
      </c>
      <c r="B91" s="12">
        <v>0.0</v>
      </c>
      <c r="C91" s="13" t="str">
        <f>IFERROR(B91/B446, "NA")</f>
        <v>NA</v>
      </c>
      <c r="D91" s="14"/>
      <c r="E91" s="12">
        <v>0.0</v>
      </c>
      <c r="F91" s="13" t="str">
        <f>IFERROR(E91/E446, "NA")</f>
        <v>NA</v>
      </c>
      <c r="G91" s="14"/>
      <c r="H91" s="12">
        <v>0.0</v>
      </c>
      <c r="I91" s="13" t="str">
        <f>IFERROR(H91/H446, "NA")</f>
        <v>NA</v>
      </c>
      <c r="J91" s="14"/>
      <c r="K91" s="12">
        <v>0.0</v>
      </c>
      <c r="L91" s="13" t="str">
        <f>IFERROR(K91/K446, "NA")</f>
        <v>NA</v>
      </c>
      <c r="M91" s="14"/>
      <c r="N91" s="12">
        <v>0.0</v>
      </c>
      <c r="O91" s="13" t="str">
        <f>IFERROR(N91/N446, "NA")</f>
        <v>NA</v>
      </c>
      <c r="P91" s="14"/>
      <c r="Q91" s="12">
        <v>0.0</v>
      </c>
      <c r="R91" s="13" t="str">
        <f>IFERROR(Q91/Q446, "NA")</f>
        <v>NA</v>
      </c>
      <c r="S91" s="14"/>
      <c r="T91" s="12">
        <v>0.0</v>
      </c>
      <c r="U91" s="13" t="str">
        <f>IFERROR(T91/T446, "NA")</f>
        <v>NA</v>
      </c>
      <c r="V91" s="14"/>
      <c r="W91" s="12">
        <v>0.0</v>
      </c>
      <c r="X91" s="13" t="str">
        <f>IFERROR(W91/W446, "NA")</f>
        <v>NA</v>
      </c>
      <c r="Y91" s="14"/>
      <c r="Z91" s="12">
        <v>0.0</v>
      </c>
      <c r="AA91" s="13" t="str">
        <f>IFERROR(Z91/Z446, "NA")</f>
        <v>NA</v>
      </c>
      <c r="AB91" s="14"/>
      <c r="AC91" s="12">
        <v>0.0</v>
      </c>
      <c r="AD91" s="13" t="str">
        <f>IFERROR(AC91/AC446, "NA")</f>
        <v>NA</v>
      </c>
      <c r="AE91" s="14"/>
      <c r="AF91" s="12">
        <v>0.0</v>
      </c>
      <c r="AG91" s="13" t="str">
        <f>IFERROR(AF91/AF446, "NA")</f>
        <v>NA</v>
      </c>
      <c r="AH91" s="14"/>
      <c r="AI91" s="12">
        <v>0.0</v>
      </c>
      <c r="AJ91" s="13" t="str">
        <f>IFERROR(AI91/AI446, "NA")</f>
        <v>NA</v>
      </c>
      <c r="AK91" s="12"/>
      <c r="AL91" s="15">
        <f t="shared" si="13"/>
        <v>0</v>
      </c>
      <c r="AM91" s="13" t="str">
        <f>IFERROR(AL91/AL446, "NA")</f>
        <v>NA</v>
      </c>
      <c r="AN91" s="12"/>
      <c r="AO91" s="12">
        <v>0.0</v>
      </c>
      <c r="AP91" s="13" t="str">
        <f>IFERROR(AO91/AO446, "NA")</f>
        <v>NA</v>
      </c>
      <c r="AQ91" s="12"/>
      <c r="AR91" s="15">
        <f t="shared" si="14"/>
        <v>0</v>
      </c>
    </row>
    <row r="92" ht="16.5" hidden="1" customHeight="1">
      <c r="A92" s="11" t="s">
        <v>506</v>
      </c>
      <c r="B92" s="12">
        <v>0.0</v>
      </c>
      <c r="C92" s="13" t="str">
        <f>IFERROR(B92/B446, "NA")</f>
        <v>NA</v>
      </c>
      <c r="D92" s="14"/>
      <c r="E92" s="12">
        <v>0.0</v>
      </c>
      <c r="F92" s="13" t="str">
        <f>IFERROR(E92/E446, "NA")</f>
        <v>NA</v>
      </c>
      <c r="G92" s="14"/>
      <c r="H92" s="12">
        <v>0.0</v>
      </c>
      <c r="I92" s="13" t="str">
        <f>IFERROR(H92/H446, "NA")</f>
        <v>NA</v>
      </c>
      <c r="J92" s="14"/>
      <c r="K92" s="12">
        <v>0.0</v>
      </c>
      <c r="L92" s="13" t="str">
        <f>IFERROR(K92/K446, "NA")</f>
        <v>NA</v>
      </c>
      <c r="M92" s="14"/>
      <c r="N92" s="12">
        <v>0.0</v>
      </c>
      <c r="O92" s="13" t="str">
        <f>IFERROR(N92/N446, "NA")</f>
        <v>NA</v>
      </c>
      <c r="P92" s="14"/>
      <c r="Q92" s="12">
        <v>0.0</v>
      </c>
      <c r="R92" s="13" t="str">
        <f>IFERROR(Q92/Q446, "NA")</f>
        <v>NA</v>
      </c>
      <c r="S92" s="14"/>
      <c r="T92" s="12">
        <v>0.0</v>
      </c>
      <c r="U92" s="13" t="str">
        <f>IFERROR(T92/T446, "NA")</f>
        <v>NA</v>
      </c>
      <c r="V92" s="14"/>
      <c r="W92" s="12">
        <v>0.0</v>
      </c>
      <c r="X92" s="13" t="str">
        <f>IFERROR(W92/W446, "NA")</f>
        <v>NA</v>
      </c>
      <c r="Y92" s="14"/>
      <c r="Z92" s="12">
        <v>0.0</v>
      </c>
      <c r="AA92" s="13" t="str">
        <f>IFERROR(Z92/Z446, "NA")</f>
        <v>NA</v>
      </c>
      <c r="AB92" s="14"/>
      <c r="AC92" s="12">
        <v>0.0</v>
      </c>
      <c r="AD92" s="13" t="str">
        <f>IFERROR(AC92/AC446, "NA")</f>
        <v>NA</v>
      </c>
      <c r="AE92" s="14"/>
      <c r="AF92" s="12">
        <v>0.0</v>
      </c>
      <c r="AG92" s="13" t="str">
        <f>IFERROR(AF92/AF446, "NA")</f>
        <v>NA</v>
      </c>
      <c r="AH92" s="14"/>
      <c r="AI92" s="12">
        <v>0.0</v>
      </c>
      <c r="AJ92" s="13" t="str">
        <f>IFERROR(AI92/AI446, "NA")</f>
        <v>NA</v>
      </c>
      <c r="AK92" s="12"/>
      <c r="AL92" s="15">
        <f t="shared" si="13"/>
        <v>0</v>
      </c>
      <c r="AM92" s="13" t="str">
        <f>IFERROR(AL92/AL446, "NA")</f>
        <v>NA</v>
      </c>
      <c r="AN92" s="12"/>
      <c r="AO92" s="12">
        <v>0.0</v>
      </c>
      <c r="AP92" s="13" t="str">
        <f>IFERROR(AO92/AO446, "NA")</f>
        <v>NA</v>
      </c>
      <c r="AQ92" s="12"/>
      <c r="AR92" s="15">
        <f t="shared" si="14"/>
        <v>0</v>
      </c>
    </row>
    <row r="93" ht="16.5" customHeight="1">
      <c r="A93" s="7" t="s">
        <v>92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  <c r="AE93" s="10"/>
      <c r="AF93" s="8"/>
      <c r="AG93" s="9"/>
      <c r="AH93" s="10"/>
      <c r="AI93" s="8"/>
      <c r="AJ93" s="9"/>
      <c r="AK93" s="8"/>
      <c r="AL93" s="8"/>
      <c r="AM93" s="9"/>
      <c r="AN93" s="8"/>
      <c r="AO93" s="8"/>
      <c r="AP93" s="9"/>
      <c r="AQ93" s="8"/>
      <c r="AR93" s="8"/>
    </row>
    <row r="94" ht="16.5" hidden="1" customHeight="1">
      <c r="A94" s="11" t="s">
        <v>507</v>
      </c>
      <c r="B94" s="12">
        <v>0.0</v>
      </c>
      <c r="C94" s="13" t="str">
        <f>IFERROR(B94/B446, "NA")</f>
        <v>NA</v>
      </c>
      <c r="D94" s="14"/>
      <c r="E94" s="12">
        <v>0.0</v>
      </c>
      <c r="F94" s="13" t="str">
        <f>IFERROR(E94/E446, "NA")</f>
        <v>NA</v>
      </c>
      <c r="G94" s="14"/>
      <c r="H94" s="12">
        <v>0.0</v>
      </c>
      <c r="I94" s="13" t="str">
        <f>IFERROR(H94/H446, "NA")</f>
        <v>NA</v>
      </c>
      <c r="J94" s="14"/>
      <c r="K94" s="12">
        <v>0.0</v>
      </c>
      <c r="L94" s="13" t="str">
        <f>IFERROR(K94/K446, "NA")</f>
        <v>NA</v>
      </c>
      <c r="M94" s="14"/>
      <c r="N94" s="12">
        <v>0.0</v>
      </c>
      <c r="O94" s="13" t="str">
        <f>IFERROR(N94/N446, "NA")</f>
        <v>NA</v>
      </c>
      <c r="P94" s="14"/>
      <c r="Q94" s="12">
        <v>0.0</v>
      </c>
      <c r="R94" s="13" t="str">
        <f>IFERROR(Q94/Q446, "NA")</f>
        <v>NA</v>
      </c>
      <c r="S94" s="14"/>
      <c r="T94" s="12">
        <v>0.0</v>
      </c>
      <c r="U94" s="13" t="str">
        <f>IFERROR(T94/T446, "NA")</f>
        <v>NA</v>
      </c>
      <c r="V94" s="14"/>
      <c r="W94" s="12">
        <v>0.0</v>
      </c>
      <c r="X94" s="13" t="str">
        <f>IFERROR(W94/W446, "NA")</f>
        <v>NA</v>
      </c>
      <c r="Y94" s="14"/>
      <c r="Z94" s="12">
        <v>0.0</v>
      </c>
      <c r="AA94" s="13" t="str">
        <f>IFERROR(Z94/Z446, "NA")</f>
        <v>NA</v>
      </c>
      <c r="AB94" s="14"/>
      <c r="AC94" s="12">
        <v>0.0</v>
      </c>
      <c r="AD94" s="13" t="str">
        <f>IFERROR(AC94/AC446, "NA")</f>
        <v>NA</v>
      </c>
      <c r="AE94" s="14"/>
      <c r="AF94" s="12">
        <v>0.0</v>
      </c>
      <c r="AG94" s="13" t="str">
        <f>IFERROR(AF94/AF446, "NA")</f>
        <v>NA</v>
      </c>
      <c r="AH94" s="14"/>
      <c r="AI94" s="12">
        <v>0.0</v>
      </c>
      <c r="AJ94" s="13" t="str">
        <f>IFERROR(AI94/AI446, "NA")</f>
        <v>NA</v>
      </c>
      <c r="AK94" s="12"/>
      <c r="AL94" s="15">
        <f t="shared" ref="AL94:AL124" si="15">IFERROR(B94+E94+H94+K94+N94+Q94+T94+W94+Z94+AC94+AF94+AI94, "NA")</f>
        <v>0</v>
      </c>
      <c r="AM94" s="13" t="str">
        <f>IFERROR(AL94/AL446, "NA")</f>
        <v>NA</v>
      </c>
      <c r="AN94" s="12"/>
      <c r="AO94" s="12">
        <v>0.0</v>
      </c>
      <c r="AP94" s="13" t="str">
        <f>IFERROR(AO94/AO446, "NA")</f>
        <v>NA</v>
      </c>
      <c r="AQ94" s="12"/>
      <c r="AR94" s="15">
        <f t="shared" ref="AR94:AR124" si="16">IFERROR(AL94-AO94, "NA")</f>
        <v>0</v>
      </c>
    </row>
    <row r="95" ht="16.5" hidden="1" customHeight="1">
      <c r="A95" s="11" t="s">
        <v>508</v>
      </c>
      <c r="B95" s="12">
        <v>0.0</v>
      </c>
      <c r="C95" s="13" t="str">
        <f>IFERROR(B95/B446, "NA")</f>
        <v>NA</v>
      </c>
      <c r="D95" s="14"/>
      <c r="E95" s="12">
        <v>0.0</v>
      </c>
      <c r="F95" s="13" t="str">
        <f>IFERROR(E95/E446, "NA")</f>
        <v>NA</v>
      </c>
      <c r="G95" s="14"/>
      <c r="H95" s="12">
        <v>0.0</v>
      </c>
      <c r="I95" s="13" t="str">
        <f>IFERROR(H95/H446, "NA")</f>
        <v>NA</v>
      </c>
      <c r="J95" s="14"/>
      <c r="K95" s="12">
        <v>0.0</v>
      </c>
      <c r="L95" s="13" t="str">
        <f>IFERROR(K95/K446, "NA")</f>
        <v>NA</v>
      </c>
      <c r="M95" s="14"/>
      <c r="N95" s="12">
        <v>0.0</v>
      </c>
      <c r="O95" s="13" t="str">
        <f>IFERROR(N95/N446, "NA")</f>
        <v>NA</v>
      </c>
      <c r="P95" s="14"/>
      <c r="Q95" s="12">
        <v>0.0</v>
      </c>
      <c r="R95" s="13" t="str">
        <f>IFERROR(Q95/Q446, "NA")</f>
        <v>NA</v>
      </c>
      <c r="S95" s="14"/>
      <c r="T95" s="12">
        <v>0.0</v>
      </c>
      <c r="U95" s="13" t="str">
        <f>IFERROR(T95/T446, "NA")</f>
        <v>NA</v>
      </c>
      <c r="V95" s="14"/>
      <c r="W95" s="12">
        <v>0.0</v>
      </c>
      <c r="X95" s="13" t="str">
        <f>IFERROR(W95/W446, "NA")</f>
        <v>NA</v>
      </c>
      <c r="Y95" s="14"/>
      <c r="Z95" s="12">
        <v>0.0</v>
      </c>
      <c r="AA95" s="13" t="str">
        <f>IFERROR(Z95/Z446, "NA")</f>
        <v>NA</v>
      </c>
      <c r="AB95" s="14"/>
      <c r="AC95" s="12">
        <v>0.0</v>
      </c>
      <c r="AD95" s="13" t="str">
        <f>IFERROR(AC95/AC446, "NA")</f>
        <v>NA</v>
      </c>
      <c r="AE95" s="14"/>
      <c r="AF95" s="12">
        <v>0.0</v>
      </c>
      <c r="AG95" s="13" t="str">
        <f>IFERROR(AF95/AF446, "NA")</f>
        <v>NA</v>
      </c>
      <c r="AH95" s="14"/>
      <c r="AI95" s="12">
        <v>0.0</v>
      </c>
      <c r="AJ95" s="13" t="str">
        <f>IFERROR(AI95/AI446, "NA")</f>
        <v>NA</v>
      </c>
      <c r="AK95" s="12"/>
      <c r="AL95" s="15">
        <f t="shared" si="15"/>
        <v>0</v>
      </c>
      <c r="AM95" s="13" t="str">
        <f>IFERROR(AL95/AL446, "NA")</f>
        <v>NA</v>
      </c>
      <c r="AN95" s="12"/>
      <c r="AO95" s="12">
        <v>0.0</v>
      </c>
      <c r="AP95" s="13" t="str">
        <f>IFERROR(AO95/AO446, "NA")</f>
        <v>NA</v>
      </c>
      <c r="AQ95" s="12"/>
      <c r="AR95" s="15">
        <f t="shared" si="16"/>
        <v>0</v>
      </c>
    </row>
    <row r="96" ht="16.5" hidden="1" customHeight="1">
      <c r="A96" s="11" t="s">
        <v>509</v>
      </c>
      <c r="B96" s="12">
        <v>0.0</v>
      </c>
      <c r="C96" s="13" t="str">
        <f>IFERROR(B96/B446, "NA")</f>
        <v>NA</v>
      </c>
      <c r="D96" s="14"/>
      <c r="E96" s="12">
        <v>0.0</v>
      </c>
      <c r="F96" s="13" t="str">
        <f>IFERROR(E96/E446, "NA")</f>
        <v>NA</v>
      </c>
      <c r="G96" s="14"/>
      <c r="H96" s="12">
        <v>0.0</v>
      </c>
      <c r="I96" s="13" t="str">
        <f>IFERROR(H96/H446, "NA")</f>
        <v>NA</v>
      </c>
      <c r="J96" s="14"/>
      <c r="K96" s="12">
        <v>0.0</v>
      </c>
      <c r="L96" s="13" t="str">
        <f>IFERROR(K96/K446, "NA")</f>
        <v>NA</v>
      </c>
      <c r="M96" s="14"/>
      <c r="N96" s="12">
        <v>0.0</v>
      </c>
      <c r="O96" s="13" t="str">
        <f>IFERROR(N96/N446, "NA")</f>
        <v>NA</v>
      </c>
      <c r="P96" s="14"/>
      <c r="Q96" s="12">
        <v>0.0</v>
      </c>
      <c r="R96" s="13" t="str">
        <f>IFERROR(Q96/Q446, "NA")</f>
        <v>NA</v>
      </c>
      <c r="S96" s="14"/>
      <c r="T96" s="12">
        <v>0.0</v>
      </c>
      <c r="U96" s="13" t="str">
        <f>IFERROR(T96/T446, "NA")</f>
        <v>NA</v>
      </c>
      <c r="V96" s="14"/>
      <c r="W96" s="12">
        <v>0.0</v>
      </c>
      <c r="X96" s="13" t="str">
        <f>IFERROR(W96/W446, "NA")</f>
        <v>NA</v>
      </c>
      <c r="Y96" s="14"/>
      <c r="Z96" s="12">
        <v>0.0</v>
      </c>
      <c r="AA96" s="13" t="str">
        <f>IFERROR(Z96/Z446, "NA")</f>
        <v>NA</v>
      </c>
      <c r="AB96" s="14"/>
      <c r="AC96" s="12">
        <v>0.0</v>
      </c>
      <c r="AD96" s="13" t="str">
        <f>IFERROR(AC96/AC446, "NA")</f>
        <v>NA</v>
      </c>
      <c r="AE96" s="14"/>
      <c r="AF96" s="12">
        <v>0.0</v>
      </c>
      <c r="AG96" s="13" t="str">
        <f>IFERROR(AF96/AF446, "NA")</f>
        <v>NA</v>
      </c>
      <c r="AH96" s="14"/>
      <c r="AI96" s="12">
        <v>0.0</v>
      </c>
      <c r="AJ96" s="13" t="str">
        <f>IFERROR(AI96/AI446, "NA")</f>
        <v>NA</v>
      </c>
      <c r="AK96" s="12"/>
      <c r="AL96" s="15">
        <f t="shared" si="15"/>
        <v>0</v>
      </c>
      <c r="AM96" s="13" t="str">
        <f>IFERROR(AL96/AL446, "NA")</f>
        <v>NA</v>
      </c>
      <c r="AN96" s="12"/>
      <c r="AO96" s="12">
        <v>0.0</v>
      </c>
      <c r="AP96" s="13" t="str">
        <f>IFERROR(AO96/AO446, "NA")</f>
        <v>NA</v>
      </c>
      <c r="AQ96" s="12"/>
      <c r="AR96" s="15">
        <f t="shared" si="16"/>
        <v>0</v>
      </c>
    </row>
    <row r="97" ht="16.5" hidden="1" customHeight="1">
      <c r="A97" s="11" t="s">
        <v>510</v>
      </c>
      <c r="B97" s="12">
        <v>0.0</v>
      </c>
      <c r="C97" s="13" t="str">
        <f>IFERROR(B97/B446, "NA")</f>
        <v>NA</v>
      </c>
      <c r="D97" s="14"/>
      <c r="E97" s="12">
        <v>0.0</v>
      </c>
      <c r="F97" s="13" t="str">
        <f>IFERROR(E97/E446, "NA")</f>
        <v>NA</v>
      </c>
      <c r="G97" s="14"/>
      <c r="H97" s="12">
        <v>0.0</v>
      </c>
      <c r="I97" s="13" t="str">
        <f>IFERROR(H97/H446, "NA")</f>
        <v>NA</v>
      </c>
      <c r="J97" s="14"/>
      <c r="K97" s="12">
        <v>0.0</v>
      </c>
      <c r="L97" s="13" t="str">
        <f>IFERROR(K97/K446, "NA")</f>
        <v>NA</v>
      </c>
      <c r="M97" s="14"/>
      <c r="N97" s="12">
        <v>0.0</v>
      </c>
      <c r="O97" s="13" t="str">
        <f>IFERROR(N97/N446, "NA")</f>
        <v>NA</v>
      </c>
      <c r="P97" s="14"/>
      <c r="Q97" s="12">
        <v>0.0</v>
      </c>
      <c r="R97" s="13" t="str">
        <f>IFERROR(Q97/Q446, "NA")</f>
        <v>NA</v>
      </c>
      <c r="S97" s="14"/>
      <c r="T97" s="12">
        <v>0.0</v>
      </c>
      <c r="U97" s="13" t="str">
        <f>IFERROR(T97/T446, "NA")</f>
        <v>NA</v>
      </c>
      <c r="V97" s="14"/>
      <c r="W97" s="12">
        <v>0.0</v>
      </c>
      <c r="X97" s="13" t="str">
        <f>IFERROR(W97/W446, "NA")</f>
        <v>NA</v>
      </c>
      <c r="Y97" s="14"/>
      <c r="Z97" s="12">
        <v>0.0</v>
      </c>
      <c r="AA97" s="13" t="str">
        <f>IFERROR(Z97/Z446, "NA")</f>
        <v>NA</v>
      </c>
      <c r="AB97" s="14"/>
      <c r="AC97" s="12">
        <v>0.0</v>
      </c>
      <c r="AD97" s="13" t="str">
        <f>IFERROR(AC97/AC446, "NA")</f>
        <v>NA</v>
      </c>
      <c r="AE97" s="14"/>
      <c r="AF97" s="12">
        <v>0.0</v>
      </c>
      <c r="AG97" s="13" t="str">
        <f>IFERROR(AF97/AF446, "NA")</f>
        <v>NA</v>
      </c>
      <c r="AH97" s="14"/>
      <c r="AI97" s="12">
        <v>0.0</v>
      </c>
      <c r="AJ97" s="13" t="str">
        <f>IFERROR(AI97/AI446, "NA")</f>
        <v>NA</v>
      </c>
      <c r="AK97" s="12"/>
      <c r="AL97" s="15">
        <f t="shared" si="15"/>
        <v>0</v>
      </c>
      <c r="AM97" s="13" t="str">
        <f>IFERROR(AL97/AL446, "NA")</f>
        <v>NA</v>
      </c>
      <c r="AN97" s="12"/>
      <c r="AO97" s="12">
        <v>0.0</v>
      </c>
      <c r="AP97" s="13" t="str">
        <f>IFERROR(AO97/AO446, "NA")</f>
        <v>NA</v>
      </c>
      <c r="AQ97" s="12"/>
      <c r="AR97" s="15">
        <f t="shared" si="16"/>
        <v>0</v>
      </c>
    </row>
    <row r="98" ht="16.5" hidden="1" customHeight="1">
      <c r="A98" s="11" t="s">
        <v>511</v>
      </c>
      <c r="B98" s="12">
        <v>0.0</v>
      </c>
      <c r="C98" s="13" t="str">
        <f>IFERROR(B98/B446, "NA")</f>
        <v>NA</v>
      </c>
      <c r="D98" s="14"/>
      <c r="E98" s="12">
        <v>0.0</v>
      </c>
      <c r="F98" s="13" t="str">
        <f>IFERROR(E98/E446, "NA")</f>
        <v>NA</v>
      </c>
      <c r="G98" s="14"/>
      <c r="H98" s="12">
        <v>0.0</v>
      </c>
      <c r="I98" s="13" t="str">
        <f>IFERROR(H98/H446, "NA")</f>
        <v>NA</v>
      </c>
      <c r="J98" s="14"/>
      <c r="K98" s="12">
        <v>0.0</v>
      </c>
      <c r="L98" s="13" t="str">
        <f>IFERROR(K98/K446, "NA")</f>
        <v>NA</v>
      </c>
      <c r="M98" s="14"/>
      <c r="N98" s="12">
        <v>0.0</v>
      </c>
      <c r="O98" s="13" t="str">
        <f>IFERROR(N98/N446, "NA")</f>
        <v>NA</v>
      </c>
      <c r="P98" s="14"/>
      <c r="Q98" s="12">
        <v>0.0</v>
      </c>
      <c r="R98" s="13" t="str">
        <f>IFERROR(Q98/Q446, "NA")</f>
        <v>NA</v>
      </c>
      <c r="S98" s="14"/>
      <c r="T98" s="12">
        <v>0.0</v>
      </c>
      <c r="U98" s="13" t="str">
        <f>IFERROR(T98/T446, "NA")</f>
        <v>NA</v>
      </c>
      <c r="V98" s="14"/>
      <c r="W98" s="12">
        <v>0.0</v>
      </c>
      <c r="X98" s="13" t="str">
        <f>IFERROR(W98/W446, "NA")</f>
        <v>NA</v>
      </c>
      <c r="Y98" s="14"/>
      <c r="Z98" s="12">
        <v>0.0</v>
      </c>
      <c r="AA98" s="13" t="str">
        <f>IFERROR(Z98/Z446, "NA")</f>
        <v>NA</v>
      </c>
      <c r="AB98" s="14"/>
      <c r="AC98" s="12">
        <v>0.0</v>
      </c>
      <c r="AD98" s="13" t="str">
        <f>IFERROR(AC98/AC446, "NA")</f>
        <v>NA</v>
      </c>
      <c r="AE98" s="14"/>
      <c r="AF98" s="12">
        <v>0.0</v>
      </c>
      <c r="AG98" s="13" t="str">
        <f>IFERROR(AF98/AF446, "NA")</f>
        <v>NA</v>
      </c>
      <c r="AH98" s="14"/>
      <c r="AI98" s="12">
        <v>0.0</v>
      </c>
      <c r="AJ98" s="13" t="str">
        <f>IFERROR(AI98/AI446, "NA")</f>
        <v>NA</v>
      </c>
      <c r="AK98" s="12"/>
      <c r="AL98" s="15">
        <f t="shared" si="15"/>
        <v>0</v>
      </c>
      <c r="AM98" s="13" t="str">
        <f>IFERROR(AL98/AL446, "NA")</f>
        <v>NA</v>
      </c>
      <c r="AN98" s="12"/>
      <c r="AO98" s="12">
        <v>0.0</v>
      </c>
      <c r="AP98" s="13" t="str">
        <f>IFERROR(AO98/AO446, "NA")</f>
        <v>NA</v>
      </c>
      <c r="AQ98" s="12"/>
      <c r="AR98" s="15">
        <f t="shared" si="16"/>
        <v>0</v>
      </c>
    </row>
    <row r="99" ht="16.5" hidden="1" customHeight="1">
      <c r="A99" s="11" t="s">
        <v>512</v>
      </c>
      <c r="B99" s="12">
        <v>0.0</v>
      </c>
      <c r="C99" s="13" t="str">
        <f>IFERROR(B99/B446, "NA")</f>
        <v>NA</v>
      </c>
      <c r="D99" s="14"/>
      <c r="E99" s="12">
        <v>0.0</v>
      </c>
      <c r="F99" s="13" t="str">
        <f>IFERROR(E99/E446, "NA")</f>
        <v>NA</v>
      </c>
      <c r="G99" s="14"/>
      <c r="H99" s="12">
        <v>0.0</v>
      </c>
      <c r="I99" s="13" t="str">
        <f>IFERROR(H99/H446, "NA")</f>
        <v>NA</v>
      </c>
      <c r="J99" s="14"/>
      <c r="K99" s="12">
        <v>0.0</v>
      </c>
      <c r="L99" s="13" t="str">
        <f>IFERROR(K99/K446, "NA")</f>
        <v>NA</v>
      </c>
      <c r="M99" s="14"/>
      <c r="N99" s="12">
        <v>0.0</v>
      </c>
      <c r="O99" s="13" t="str">
        <f>IFERROR(N99/N446, "NA")</f>
        <v>NA</v>
      </c>
      <c r="P99" s="14"/>
      <c r="Q99" s="12">
        <v>0.0</v>
      </c>
      <c r="R99" s="13" t="str">
        <f>IFERROR(Q99/Q446, "NA")</f>
        <v>NA</v>
      </c>
      <c r="S99" s="14"/>
      <c r="T99" s="12">
        <v>0.0</v>
      </c>
      <c r="U99" s="13" t="str">
        <f>IFERROR(T99/T446, "NA")</f>
        <v>NA</v>
      </c>
      <c r="V99" s="14"/>
      <c r="W99" s="12">
        <v>0.0</v>
      </c>
      <c r="X99" s="13" t="str">
        <f>IFERROR(W99/W446, "NA")</f>
        <v>NA</v>
      </c>
      <c r="Y99" s="14"/>
      <c r="Z99" s="12">
        <v>0.0</v>
      </c>
      <c r="AA99" s="13" t="str">
        <f>IFERROR(Z99/Z446, "NA")</f>
        <v>NA</v>
      </c>
      <c r="AB99" s="14"/>
      <c r="AC99" s="12">
        <v>0.0</v>
      </c>
      <c r="AD99" s="13" t="str">
        <f>IFERROR(AC99/AC446, "NA")</f>
        <v>NA</v>
      </c>
      <c r="AE99" s="14"/>
      <c r="AF99" s="12">
        <v>0.0</v>
      </c>
      <c r="AG99" s="13" t="str">
        <f>IFERROR(AF99/AF446, "NA")</f>
        <v>NA</v>
      </c>
      <c r="AH99" s="14"/>
      <c r="AI99" s="12">
        <v>0.0</v>
      </c>
      <c r="AJ99" s="13" t="str">
        <f>IFERROR(AI99/AI446, "NA")</f>
        <v>NA</v>
      </c>
      <c r="AK99" s="12"/>
      <c r="AL99" s="15">
        <f t="shared" si="15"/>
        <v>0</v>
      </c>
      <c r="AM99" s="13" t="str">
        <f>IFERROR(AL99/AL446, "NA")</f>
        <v>NA</v>
      </c>
      <c r="AN99" s="12"/>
      <c r="AO99" s="12">
        <v>0.0</v>
      </c>
      <c r="AP99" s="13" t="str">
        <f>IFERROR(AO99/AO446, "NA")</f>
        <v>NA</v>
      </c>
      <c r="AQ99" s="12"/>
      <c r="AR99" s="15">
        <f t="shared" si="16"/>
        <v>0</v>
      </c>
    </row>
    <row r="100" ht="16.5" hidden="1" customHeight="1">
      <c r="A100" s="11" t="s">
        <v>513</v>
      </c>
      <c r="B100" s="12">
        <v>0.0</v>
      </c>
      <c r="C100" s="13" t="str">
        <f>IFERROR(B100/B446, "NA")</f>
        <v>NA</v>
      </c>
      <c r="D100" s="14"/>
      <c r="E100" s="12">
        <v>0.0</v>
      </c>
      <c r="F100" s="13" t="str">
        <f>IFERROR(E100/E446, "NA")</f>
        <v>NA</v>
      </c>
      <c r="G100" s="14"/>
      <c r="H100" s="12">
        <v>0.0</v>
      </c>
      <c r="I100" s="13" t="str">
        <f>IFERROR(H100/H446, "NA")</f>
        <v>NA</v>
      </c>
      <c r="J100" s="14"/>
      <c r="K100" s="12">
        <v>0.0</v>
      </c>
      <c r="L100" s="13" t="str">
        <f>IFERROR(K100/K446, "NA")</f>
        <v>NA</v>
      </c>
      <c r="M100" s="14"/>
      <c r="N100" s="12">
        <v>0.0</v>
      </c>
      <c r="O100" s="13" t="str">
        <f>IFERROR(N100/N446, "NA")</f>
        <v>NA</v>
      </c>
      <c r="P100" s="14"/>
      <c r="Q100" s="12">
        <v>0.0</v>
      </c>
      <c r="R100" s="13" t="str">
        <f>IFERROR(Q100/Q446, "NA")</f>
        <v>NA</v>
      </c>
      <c r="S100" s="14"/>
      <c r="T100" s="12">
        <v>0.0</v>
      </c>
      <c r="U100" s="13" t="str">
        <f>IFERROR(T100/T446, "NA")</f>
        <v>NA</v>
      </c>
      <c r="V100" s="14"/>
      <c r="W100" s="12">
        <v>0.0</v>
      </c>
      <c r="X100" s="13" t="str">
        <f>IFERROR(W100/W446, "NA")</f>
        <v>NA</v>
      </c>
      <c r="Y100" s="14"/>
      <c r="Z100" s="12">
        <v>0.0</v>
      </c>
      <c r="AA100" s="13" t="str">
        <f>IFERROR(Z100/Z446, "NA")</f>
        <v>NA</v>
      </c>
      <c r="AB100" s="14"/>
      <c r="AC100" s="12">
        <v>0.0</v>
      </c>
      <c r="AD100" s="13" t="str">
        <f>IFERROR(AC100/AC446, "NA")</f>
        <v>NA</v>
      </c>
      <c r="AE100" s="14"/>
      <c r="AF100" s="12">
        <v>0.0</v>
      </c>
      <c r="AG100" s="13" t="str">
        <f>IFERROR(AF100/AF446, "NA")</f>
        <v>NA</v>
      </c>
      <c r="AH100" s="14"/>
      <c r="AI100" s="12">
        <v>0.0</v>
      </c>
      <c r="AJ100" s="13" t="str">
        <f>IFERROR(AI100/AI446, "NA")</f>
        <v>NA</v>
      </c>
      <c r="AK100" s="12"/>
      <c r="AL100" s="15">
        <f t="shared" si="15"/>
        <v>0</v>
      </c>
      <c r="AM100" s="13" t="str">
        <f>IFERROR(AL100/AL446, "NA")</f>
        <v>NA</v>
      </c>
      <c r="AN100" s="12"/>
      <c r="AO100" s="12">
        <v>0.0</v>
      </c>
      <c r="AP100" s="13" t="str">
        <f>IFERROR(AO100/AO446, "NA")</f>
        <v>NA</v>
      </c>
      <c r="AQ100" s="12"/>
      <c r="AR100" s="15">
        <f t="shared" si="16"/>
        <v>0</v>
      </c>
    </row>
    <row r="101" ht="16.5" hidden="1" customHeight="1">
      <c r="A101" s="11" t="s">
        <v>514</v>
      </c>
      <c r="B101" s="12">
        <v>0.0</v>
      </c>
      <c r="C101" s="13" t="str">
        <f>IFERROR(B101/B446, "NA")</f>
        <v>NA</v>
      </c>
      <c r="D101" s="14"/>
      <c r="E101" s="12">
        <v>0.0</v>
      </c>
      <c r="F101" s="13" t="str">
        <f>IFERROR(E101/E446, "NA")</f>
        <v>NA</v>
      </c>
      <c r="G101" s="14"/>
      <c r="H101" s="12">
        <v>0.0</v>
      </c>
      <c r="I101" s="13" t="str">
        <f>IFERROR(H101/H446, "NA")</f>
        <v>NA</v>
      </c>
      <c r="J101" s="14"/>
      <c r="K101" s="12">
        <v>0.0</v>
      </c>
      <c r="L101" s="13" t="str">
        <f>IFERROR(K101/K446, "NA")</f>
        <v>NA</v>
      </c>
      <c r="M101" s="14"/>
      <c r="N101" s="12">
        <v>0.0</v>
      </c>
      <c r="O101" s="13" t="str">
        <f>IFERROR(N101/N446, "NA")</f>
        <v>NA</v>
      </c>
      <c r="P101" s="14"/>
      <c r="Q101" s="12">
        <v>0.0</v>
      </c>
      <c r="R101" s="13" t="str">
        <f>IFERROR(Q101/Q446, "NA")</f>
        <v>NA</v>
      </c>
      <c r="S101" s="14"/>
      <c r="T101" s="12">
        <v>0.0</v>
      </c>
      <c r="U101" s="13" t="str">
        <f>IFERROR(T101/T446, "NA")</f>
        <v>NA</v>
      </c>
      <c r="V101" s="14"/>
      <c r="W101" s="12">
        <v>0.0</v>
      </c>
      <c r="X101" s="13" t="str">
        <f>IFERROR(W101/W446, "NA")</f>
        <v>NA</v>
      </c>
      <c r="Y101" s="14"/>
      <c r="Z101" s="12">
        <v>0.0</v>
      </c>
      <c r="AA101" s="13" t="str">
        <f>IFERROR(Z101/Z446, "NA")</f>
        <v>NA</v>
      </c>
      <c r="AB101" s="14"/>
      <c r="AC101" s="12">
        <v>0.0</v>
      </c>
      <c r="AD101" s="13" t="str">
        <f>IFERROR(AC101/AC446, "NA")</f>
        <v>NA</v>
      </c>
      <c r="AE101" s="14"/>
      <c r="AF101" s="12">
        <v>0.0</v>
      </c>
      <c r="AG101" s="13" t="str">
        <f>IFERROR(AF101/AF446, "NA")</f>
        <v>NA</v>
      </c>
      <c r="AH101" s="14"/>
      <c r="AI101" s="12">
        <v>0.0</v>
      </c>
      <c r="AJ101" s="13" t="str">
        <f>IFERROR(AI101/AI446, "NA")</f>
        <v>NA</v>
      </c>
      <c r="AK101" s="12"/>
      <c r="AL101" s="15">
        <f t="shared" si="15"/>
        <v>0</v>
      </c>
      <c r="AM101" s="13" t="str">
        <f>IFERROR(AL101/AL446, "NA")</f>
        <v>NA</v>
      </c>
      <c r="AN101" s="12"/>
      <c r="AO101" s="12">
        <v>0.0</v>
      </c>
      <c r="AP101" s="13" t="str">
        <f>IFERROR(AO101/AO446, "NA")</f>
        <v>NA</v>
      </c>
      <c r="AQ101" s="12"/>
      <c r="AR101" s="15">
        <f t="shared" si="16"/>
        <v>0</v>
      </c>
    </row>
    <row r="102" ht="16.5" hidden="1" customHeight="1">
      <c r="A102" s="11" t="s">
        <v>515</v>
      </c>
      <c r="B102" s="12">
        <v>0.0</v>
      </c>
      <c r="C102" s="13" t="str">
        <f>IFERROR(B102/B446, "NA")</f>
        <v>NA</v>
      </c>
      <c r="D102" s="14"/>
      <c r="E102" s="12">
        <v>0.0</v>
      </c>
      <c r="F102" s="13" t="str">
        <f>IFERROR(E102/E446, "NA")</f>
        <v>NA</v>
      </c>
      <c r="G102" s="14"/>
      <c r="H102" s="12">
        <v>0.0</v>
      </c>
      <c r="I102" s="13" t="str">
        <f>IFERROR(H102/H446, "NA")</f>
        <v>NA</v>
      </c>
      <c r="J102" s="14"/>
      <c r="K102" s="12">
        <v>0.0</v>
      </c>
      <c r="L102" s="13" t="str">
        <f>IFERROR(K102/K446, "NA")</f>
        <v>NA</v>
      </c>
      <c r="M102" s="14"/>
      <c r="N102" s="12">
        <v>0.0</v>
      </c>
      <c r="O102" s="13" t="str">
        <f>IFERROR(N102/N446, "NA")</f>
        <v>NA</v>
      </c>
      <c r="P102" s="14"/>
      <c r="Q102" s="12">
        <v>0.0</v>
      </c>
      <c r="R102" s="13" t="str">
        <f>IFERROR(Q102/Q446, "NA")</f>
        <v>NA</v>
      </c>
      <c r="S102" s="14"/>
      <c r="T102" s="12">
        <v>0.0</v>
      </c>
      <c r="U102" s="13" t="str">
        <f>IFERROR(T102/T446, "NA")</f>
        <v>NA</v>
      </c>
      <c r="V102" s="14"/>
      <c r="W102" s="12">
        <v>0.0</v>
      </c>
      <c r="X102" s="13" t="str">
        <f>IFERROR(W102/W446, "NA")</f>
        <v>NA</v>
      </c>
      <c r="Y102" s="14"/>
      <c r="Z102" s="12">
        <v>0.0</v>
      </c>
      <c r="AA102" s="13" t="str">
        <f>IFERROR(Z102/Z446, "NA")</f>
        <v>NA</v>
      </c>
      <c r="AB102" s="14"/>
      <c r="AC102" s="12">
        <v>0.0</v>
      </c>
      <c r="AD102" s="13" t="str">
        <f>IFERROR(AC102/AC446, "NA")</f>
        <v>NA</v>
      </c>
      <c r="AE102" s="14"/>
      <c r="AF102" s="12">
        <v>0.0</v>
      </c>
      <c r="AG102" s="13" t="str">
        <f>IFERROR(AF102/AF446, "NA")</f>
        <v>NA</v>
      </c>
      <c r="AH102" s="14"/>
      <c r="AI102" s="12">
        <v>0.0</v>
      </c>
      <c r="AJ102" s="13" t="str">
        <f>IFERROR(AI102/AI446, "NA")</f>
        <v>NA</v>
      </c>
      <c r="AK102" s="12"/>
      <c r="AL102" s="15">
        <f t="shared" si="15"/>
        <v>0</v>
      </c>
      <c r="AM102" s="13" t="str">
        <f>IFERROR(AL102/AL446, "NA")</f>
        <v>NA</v>
      </c>
      <c r="AN102" s="12"/>
      <c r="AO102" s="12">
        <v>0.0</v>
      </c>
      <c r="AP102" s="13" t="str">
        <f>IFERROR(AO102/AO446, "NA")</f>
        <v>NA</v>
      </c>
      <c r="AQ102" s="12"/>
      <c r="AR102" s="15">
        <f t="shared" si="16"/>
        <v>0</v>
      </c>
    </row>
    <row r="103" ht="16.5" hidden="1" customHeight="1">
      <c r="A103" s="11" t="s">
        <v>516</v>
      </c>
      <c r="B103" s="12">
        <v>0.0</v>
      </c>
      <c r="C103" s="13" t="str">
        <f>IFERROR(B103/B446, "NA")</f>
        <v>NA</v>
      </c>
      <c r="D103" s="14"/>
      <c r="E103" s="12">
        <v>0.0</v>
      </c>
      <c r="F103" s="13" t="str">
        <f>IFERROR(E103/E446, "NA")</f>
        <v>NA</v>
      </c>
      <c r="G103" s="14"/>
      <c r="H103" s="12">
        <v>0.0</v>
      </c>
      <c r="I103" s="13" t="str">
        <f>IFERROR(H103/H446, "NA")</f>
        <v>NA</v>
      </c>
      <c r="J103" s="14"/>
      <c r="K103" s="12">
        <v>0.0</v>
      </c>
      <c r="L103" s="13" t="str">
        <f>IFERROR(K103/K446, "NA")</f>
        <v>NA</v>
      </c>
      <c r="M103" s="14"/>
      <c r="N103" s="12">
        <v>0.0</v>
      </c>
      <c r="O103" s="13" t="str">
        <f>IFERROR(N103/N446, "NA")</f>
        <v>NA</v>
      </c>
      <c r="P103" s="14"/>
      <c r="Q103" s="12">
        <v>0.0</v>
      </c>
      <c r="R103" s="13" t="str">
        <f>IFERROR(Q103/Q446, "NA")</f>
        <v>NA</v>
      </c>
      <c r="S103" s="14"/>
      <c r="T103" s="12">
        <v>0.0</v>
      </c>
      <c r="U103" s="13" t="str">
        <f>IFERROR(T103/T446, "NA")</f>
        <v>NA</v>
      </c>
      <c r="V103" s="14"/>
      <c r="W103" s="12">
        <v>0.0</v>
      </c>
      <c r="X103" s="13" t="str">
        <f>IFERROR(W103/W446, "NA")</f>
        <v>NA</v>
      </c>
      <c r="Y103" s="14"/>
      <c r="Z103" s="12">
        <v>0.0</v>
      </c>
      <c r="AA103" s="13" t="str">
        <f>IFERROR(Z103/Z446, "NA")</f>
        <v>NA</v>
      </c>
      <c r="AB103" s="14"/>
      <c r="AC103" s="12">
        <v>0.0</v>
      </c>
      <c r="AD103" s="13" t="str">
        <f>IFERROR(AC103/AC446, "NA")</f>
        <v>NA</v>
      </c>
      <c r="AE103" s="14"/>
      <c r="AF103" s="12">
        <v>0.0</v>
      </c>
      <c r="AG103" s="13" t="str">
        <f>IFERROR(AF103/AF446, "NA")</f>
        <v>NA</v>
      </c>
      <c r="AH103" s="14"/>
      <c r="AI103" s="12">
        <v>0.0</v>
      </c>
      <c r="AJ103" s="13" t="str">
        <f>IFERROR(AI103/AI446, "NA")</f>
        <v>NA</v>
      </c>
      <c r="AK103" s="12"/>
      <c r="AL103" s="15">
        <f t="shared" si="15"/>
        <v>0</v>
      </c>
      <c r="AM103" s="13" t="str">
        <f>IFERROR(AL103/AL446, "NA")</f>
        <v>NA</v>
      </c>
      <c r="AN103" s="12"/>
      <c r="AO103" s="12">
        <v>0.0</v>
      </c>
      <c r="AP103" s="13" t="str">
        <f>IFERROR(AO103/AO446, "NA")</f>
        <v>NA</v>
      </c>
      <c r="AQ103" s="12"/>
      <c r="AR103" s="15">
        <f t="shared" si="16"/>
        <v>0</v>
      </c>
    </row>
    <row r="104" ht="16.5" hidden="1" customHeight="1">
      <c r="A104" s="11" t="s">
        <v>517</v>
      </c>
      <c r="B104" s="12">
        <v>0.0</v>
      </c>
      <c r="C104" s="13" t="str">
        <f>IFERROR(B104/B446, "NA")</f>
        <v>NA</v>
      </c>
      <c r="D104" s="14"/>
      <c r="E104" s="12">
        <v>0.0</v>
      </c>
      <c r="F104" s="13" t="str">
        <f>IFERROR(E104/E446, "NA")</f>
        <v>NA</v>
      </c>
      <c r="G104" s="14"/>
      <c r="H104" s="12">
        <v>0.0</v>
      </c>
      <c r="I104" s="13" t="str">
        <f>IFERROR(H104/H446, "NA")</f>
        <v>NA</v>
      </c>
      <c r="J104" s="14"/>
      <c r="K104" s="12">
        <v>0.0</v>
      </c>
      <c r="L104" s="13" t="str">
        <f>IFERROR(K104/K446, "NA")</f>
        <v>NA</v>
      </c>
      <c r="M104" s="14"/>
      <c r="N104" s="12">
        <v>0.0</v>
      </c>
      <c r="O104" s="13" t="str">
        <f>IFERROR(N104/N446, "NA")</f>
        <v>NA</v>
      </c>
      <c r="P104" s="14"/>
      <c r="Q104" s="12">
        <v>0.0</v>
      </c>
      <c r="R104" s="13" t="str">
        <f>IFERROR(Q104/Q446, "NA")</f>
        <v>NA</v>
      </c>
      <c r="S104" s="14"/>
      <c r="T104" s="12">
        <v>0.0</v>
      </c>
      <c r="U104" s="13" t="str">
        <f>IFERROR(T104/T446, "NA")</f>
        <v>NA</v>
      </c>
      <c r="V104" s="14"/>
      <c r="W104" s="12">
        <v>0.0</v>
      </c>
      <c r="X104" s="13" t="str">
        <f>IFERROR(W104/W446, "NA")</f>
        <v>NA</v>
      </c>
      <c r="Y104" s="14"/>
      <c r="Z104" s="12">
        <v>0.0</v>
      </c>
      <c r="AA104" s="13" t="str">
        <f>IFERROR(Z104/Z446, "NA")</f>
        <v>NA</v>
      </c>
      <c r="AB104" s="14"/>
      <c r="AC104" s="12">
        <v>0.0</v>
      </c>
      <c r="AD104" s="13" t="str">
        <f>IFERROR(AC104/AC446, "NA")</f>
        <v>NA</v>
      </c>
      <c r="AE104" s="14"/>
      <c r="AF104" s="12">
        <v>0.0</v>
      </c>
      <c r="AG104" s="13" t="str">
        <f>IFERROR(AF104/AF446, "NA")</f>
        <v>NA</v>
      </c>
      <c r="AH104" s="14"/>
      <c r="AI104" s="12">
        <v>0.0</v>
      </c>
      <c r="AJ104" s="13" t="str">
        <f>IFERROR(AI104/AI446, "NA")</f>
        <v>NA</v>
      </c>
      <c r="AK104" s="12"/>
      <c r="AL104" s="15">
        <f t="shared" si="15"/>
        <v>0</v>
      </c>
      <c r="AM104" s="13" t="str">
        <f>IFERROR(AL104/AL446, "NA")</f>
        <v>NA</v>
      </c>
      <c r="AN104" s="12"/>
      <c r="AO104" s="12">
        <v>0.0</v>
      </c>
      <c r="AP104" s="13" t="str">
        <f>IFERROR(AO104/AO446, "NA")</f>
        <v>NA</v>
      </c>
      <c r="AQ104" s="12"/>
      <c r="AR104" s="15">
        <f t="shared" si="16"/>
        <v>0</v>
      </c>
    </row>
    <row r="105" ht="16.5" hidden="1" customHeight="1">
      <c r="A105" s="11" t="s">
        <v>518</v>
      </c>
      <c r="B105" s="12">
        <v>0.0</v>
      </c>
      <c r="C105" s="13" t="str">
        <f>IFERROR(B105/B446, "NA")</f>
        <v>NA</v>
      </c>
      <c r="D105" s="14"/>
      <c r="E105" s="12">
        <v>0.0</v>
      </c>
      <c r="F105" s="13" t="str">
        <f>IFERROR(E105/E446, "NA")</f>
        <v>NA</v>
      </c>
      <c r="G105" s="14"/>
      <c r="H105" s="12">
        <v>0.0</v>
      </c>
      <c r="I105" s="13" t="str">
        <f>IFERROR(H105/H446, "NA")</f>
        <v>NA</v>
      </c>
      <c r="J105" s="14"/>
      <c r="K105" s="12">
        <v>0.0</v>
      </c>
      <c r="L105" s="13" t="str">
        <f>IFERROR(K105/K446, "NA")</f>
        <v>NA</v>
      </c>
      <c r="M105" s="14"/>
      <c r="N105" s="12">
        <v>0.0</v>
      </c>
      <c r="O105" s="13" t="str">
        <f>IFERROR(N105/N446, "NA")</f>
        <v>NA</v>
      </c>
      <c r="P105" s="14"/>
      <c r="Q105" s="12">
        <v>0.0</v>
      </c>
      <c r="R105" s="13" t="str">
        <f>IFERROR(Q105/Q446, "NA")</f>
        <v>NA</v>
      </c>
      <c r="S105" s="14"/>
      <c r="T105" s="12">
        <v>0.0</v>
      </c>
      <c r="U105" s="13" t="str">
        <f>IFERROR(T105/T446, "NA")</f>
        <v>NA</v>
      </c>
      <c r="V105" s="14"/>
      <c r="W105" s="12">
        <v>0.0</v>
      </c>
      <c r="X105" s="13" t="str">
        <f>IFERROR(W105/W446, "NA")</f>
        <v>NA</v>
      </c>
      <c r="Y105" s="14"/>
      <c r="Z105" s="12">
        <v>0.0</v>
      </c>
      <c r="AA105" s="13" t="str">
        <f>IFERROR(Z105/Z446, "NA")</f>
        <v>NA</v>
      </c>
      <c r="AB105" s="14"/>
      <c r="AC105" s="12">
        <v>0.0</v>
      </c>
      <c r="AD105" s="13" t="str">
        <f>IFERROR(AC105/AC446, "NA")</f>
        <v>NA</v>
      </c>
      <c r="AE105" s="14"/>
      <c r="AF105" s="12">
        <v>0.0</v>
      </c>
      <c r="AG105" s="13" t="str">
        <f>IFERROR(AF105/AF446, "NA")</f>
        <v>NA</v>
      </c>
      <c r="AH105" s="14"/>
      <c r="AI105" s="12">
        <v>0.0</v>
      </c>
      <c r="AJ105" s="13" t="str">
        <f>IFERROR(AI105/AI446, "NA")</f>
        <v>NA</v>
      </c>
      <c r="AK105" s="12"/>
      <c r="AL105" s="15">
        <f t="shared" si="15"/>
        <v>0</v>
      </c>
      <c r="AM105" s="13" t="str">
        <f>IFERROR(AL105/AL446, "NA")</f>
        <v>NA</v>
      </c>
      <c r="AN105" s="12"/>
      <c r="AO105" s="12">
        <v>0.0</v>
      </c>
      <c r="AP105" s="13" t="str">
        <f>IFERROR(AO105/AO446, "NA")</f>
        <v>NA</v>
      </c>
      <c r="AQ105" s="12"/>
      <c r="AR105" s="15">
        <f t="shared" si="16"/>
        <v>0</v>
      </c>
    </row>
    <row r="106" ht="16.5" hidden="1" customHeight="1">
      <c r="A106" s="11" t="s">
        <v>519</v>
      </c>
      <c r="B106" s="12">
        <v>0.0</v>
      </c>
      <c r="C106" s="13" t="str">
        <f>IFERROR(B106/B446, "NA")</f>
        <v>NA</v>
      </c>
      <c r="D106" s="14"/>
      <c r="E106" s="12">
        <v>0.0</v>
      </c>
      <c r="F106" s="13" t="str">
        <f>IFERROR(E106/E446, "NA")</f>
        <v>NA</v>
      </c>
      <c r="G106" s="14"/>
      <c r="H106" s="12">
        <v>0.0</v>
      </c>
      <c r="I106" s="13" t="str">
        <f>IFERROR(H106/H446, "NA")</f>
        <v>NA</v>
      </c>
      <c r="J106" s="14"/>
      <c r="K106" s="12">
        <v>0.0</v>
      </c>
      <c r="L106" s="13" t="str">
        <f>IFERROR(K106/K446, "NA")</f>
        <v>NA</v>
      </c>
      <c r="M106" s="14"/>
      <c r="N106" s="12">
        <v>0.0</v>
      </c>
      <c r="O106" s="13" t="str">
        <f>IFERROR(N106/N446, "NA")</f>
        <v>NA</v>
      </c>
      <c r="P106" s="14"/>
      <c r="Q106" s="12">
        <v>0.0</v>
      </c>
      <c r="R106" s="13" t="str">
        <f>IFERROR(Q106/Q446, "NA")</f>
        <v>NA</v>
      </c>
      <c r="S106" s="14"/>
      <c r="T106" s="12">
        <v>0.0</v>
      </c>
      <c r="U106" s="13" t="str">
        <f>IFERROR(T106/T446, "NA")</f>
        <v>NA</v>
      </c>
      <c r="V106" s="14"/>
      <c r="W106" s="12">
        <v>0.0</v>
      </c>
      <c r="X106" s="13" t="str">
        <f>IFERROR(W106/W446, "NA")</f>
        <v>NA</v>
      </c>
      <c r="Y106" s="14"/>
      <c r="Z106" s="12">
        <v>0.0</v>
      </c>
      <c r="AA106" s="13" t="str">
        <f>IFERROR(Z106/Z446, "NA")</f>
        <v>NA</v>
      </c>
      <c r="AB106" s="14"/>
      <c r="AC106" s="12">
        <v>0.0</v>
      </c>
      <c r="AD106" s="13" t="str">
        <f>IFERROR(AC106/AC446, "NA")</f>
        <v>NA</v>
      </c>
      <c r="AE106" s="14"/>
      <c r="AF106" s="12">
        <v>0.0</v>
      </c>
      <c r="AG106" s="13" t="str">
        <f>IFERROR(AF106/AF446, "NA")</f>
        <v>NA</v>
      </c>
      <c r="AH106" s="14"/>
      <c r="AI106" s="12">
        <v>0.0</v>
      </c>
      <c r="AJ106" s="13" t="str">
        <f>IFERROR(AI106/AI446, "NA")</f>
        <v>NA</v>
      </c>
      <c r="AK106" s="12"/>
      <c r="AL106" s="15">
        <f t="shared" si="15"/>
        <v>0</v>
      </c>
      <c r="AM106" s="13" t="str">
        <f>IFERROR(AL106/AL446, "NA")</f>
        <v>NA</v>
      </c>
      <c r="AN106" s="12"/>
      <c r="AO106" s="12">
        <v>0.0</v>
      </c>
      <c r="AP106" s="13" t="str">
        <f>IFERROR(AO106/AO446, "NA")</f>
        <v>NA</v>
      </c>
      <c r="AQ106" s="12"/>
      <c r="AR106" s="15">
        <f t="shared" si="16"/>
        <v>0</v>
      </c>
    </row>
    <row r="107" ht="16.5" hidden="1" customHeight="1">
      <c r="A107" s="11" t="s">
        <v>520</v>
      </c>
      <c r="B107" s="12">
        <v>0.0</v>
      </c>
      <c r="C107" s="13" t="str">
        <f>IFERROR(B107/B446, "NA")</f>
        <v>NA</v>
      </c>
      <c r="D107" s="14"/>
      <c r="E107" s="12">
        <v>0.0</v>
      </c>
      <c r="F107" s="13" t="str">
        <f>IFERROR(E107/E446, "NA")</f>
        <v>NA</v>
      </c>
      <c r="G107" s="14"/>
      <c r="H107" s="12">
        <v>0.0</v>
      </c>
      <c r="I107" s="13" t="str">
        <f>IFERROR(H107/H446, "NA")</f>
        <v>NA</v>
      </c>
      <c r="J107" s="14"/>
      <c r="K107" s="12">
        <v>0.0</v>
      </c>
      <c r="L107" s="13" t="str">
        <f>IFERROR(K107/K446, "NA")</f>
        <v>NA</v>
      </c>
      <c r="M107" s="14"/>
      <c r="N107" s="12">
        <v>0.0</v>
      </c>
      <c r="O107" s="13" t="str">
        <f>IFERROR(N107/N446, "NA")</f>
        <v>NA</v>
      </c>
      <c r="P107" s="14"/>
      <c r="Q107" s="12">
        <v>0.0</v>
      </c>
      <c r="R107" s="13" t="str">
        <f>IFERROR(Q107/Q446, "NA")</f>
        <v>NA</v>
      </c>
      <c r="S107" s="14"/>
      <c r="T107" s="12">
        <v>0.0</v>
      </c>
      <c r="U107" s="13" t="str">
        <f>IFERROR(T107/T446, "NA")</f>
        <v>NA</v>
      </c>
      <c r="V107" s="14"/>
      <c r="W107" s="12">
        <v>0.0</v>
      </c>
      <c r="X107" s="13" t="str">
        <f>IFERROR(W107/W446, "NA")</f>
        <v>NA</v>
      </c>
      <c r="Y107" s="14"/>
      <c r="Z107" s="12">
        <v>0.0</v>
      </c>
      <c r="AA107" s="13" t="str">
        <f>IFERROR(Z107/Z446, "NA")</f>
        <v>NA</v>
      </c>
      <c r="AB107" s="14"/>
      <c r="AC107" s="12">
        <v>0.0</v>
      </c>
      <c r="AD107" s="13" t="str">
        <f>IFERROR(AC107/AC446, "NA")</f>
        <v>NA</v>
      </c>
      <c r="AE107" s="14"/>
      <c r="AF107" s="12">
        <v>0.0</v>
      </c>
      <c r="AG107" s="13" t="str">
        <f>IFERROR(AF107/AF446, "NA")</f>
        <v>NA</v>
      </c>
      <c r="AH107" s="14"/>
      <c r="AI107" s="12">
        <v>0.0</v>
      </c>
      <c r="AJ107" s="13" t="str">
        <f>IFERROR(AI107/AI446, "NA")</f>
        <v>NA</v>
      </c>
      <c r="AK107" s="12"/>
      <c r="AL107" s="15">
        <f t="shared" si="15"/>
        <v>0</v>
      </c>
      <c r="AM107" s="13" t="str">
        <f>IFERROR(AL107/AL446, "NA")</f>
        <v>NA</v>
      </c>
      <c r="AN107" s="12"/>
      <c r="AO107" s="12">
        <v>0.0</v>
      </c>
      <c r="AP107" s="13" t="str">
        <f>IFERROR(AO107/AO446, "NA")</f>
        <v>NA</v>
      </c>
      <c r="AQ107" s="12"/>
      <c r="AR107" s="15">
        <f t="shared" si="16"/>
        <v>0</v>
      </c>
    </row>
    <row r="108" ht="16.5" hidden="1" customHeight="1">
      <c r="A108" s="11" t="s">
        <v>521</v>
      </c>
      <c r="B108" s="12">
        <v>0.0</v>
      </c>
      <c r="C108" s="13" t="str">
        <f>IFERROR(B108/B446, "NA")</f>
        <v>NA</v>
      </c>
      <c r="D108" s="14"/>
      <c r="E108" s="12">
        <v>0.0</v>
      </c>
      <c r="F108" s="13" t="str">
        <f>IFERROR(E108/E446, "NA")</f>
        <v>NA</v>
      </c>
      <c r="G108" s="14"/>
      <c r="H108" s="12">
        <v>0.0</v>
      </c>
      <c r="I108" s="13" t="str">
        <f>IFERROR(H108/H446, "NA")</f>
        <v>NA</v>
      </c>
      <c r="J108" s="14"/>
      <c r="K108" s="12">
        <v>0.0</v>
      </c>
      <c r="L108" s="13" t="str">
        <f>IFERROR(K108/K446, "NA")</f>
        <v>NA</v>
      </c>
      <c r="M108" s="14"/>
      <c r="N108" s="12">
        <v>0.0</v>
      </c>
      <c r="O108" s="13" t="str">
        <f>IFERROR(N108/N446, "NA")</f>
        <v>NA</v>
      </c>
      <c r="P108" s="14"/>
      <c r="Q108" s="12">
        <v>0.0</v>
      </c>
      <c r="R108" s="13" t="str">
        <f>IFERROR(Q108/Q446, "NA")</f>
        <v>NA</v>
      </c>
      <c r="S108" s="14"/>
      <c r="T108" s="12">
        <v>0.0</v>
      </c>
      <c r="U108" s="13" t="str">
        <f>IFERROR(T108/T446, "NA")</f>
        <v>NA</v>
      </c>
      <c r="V108" s="14"/>
      <c r="W108" s="12">
        <v>0.0</v>
      </c>
      <c r="X108" s="13" t="str">
        <f>IFERROR(W108/W446, "NA")</f>
        <v>NA</v>
      </c>
      <c r="Y108" s="14"/>
      <c r="Z108" s="12">
        <v>0.0</v>
      </c>
      <c r="AA108" s="13" t="str">
        <f>IFERROR(Z108/Z446, "NA")</f>
        <v>NA</v>
      </c>
      <c r="AB108" s="14"/>
      <c r="AC108" s="12">
        <v>0.0</v>
      </c>
      <c r="AD108" s="13" t="str">
        <f>IFERROR(AC108/AC446, "NA")</f>
        <v>NA</v>
      </c>
      <c r="AE108" s="14"/>
      <c r="AF108" s="12">
        <v>0.0</v>
      </c>
      <c r="AG108" s="13" t="str">
        <f>IFERROR(AF108/AF446, "NA")</f>
        <v>NA</v>
      </c>
      <c r="AH108" s="14"/>
      <c r="AI108" s="12">
        <v>0.0</v>
      </c>
      <c r="AJ108" s="13" t="str">
        <f>IFERROR(AI108/AI446, "NA")</f>
        <v>NA</v>
      </c>
      <c r="AK108" s="12"/>
      <c r="AL108" s="15">
        <f t="shared" si="15"/>
        <v>0</v>
      </c>
      <c r="AM108" s="13" t="str">
        <f>IFERROR(AL108/AL446, "NA")</f>
        <v>NA</v>
      </c>
      <c r="AN108" s="12"/>
      <c r="AO108" s="12">
        <v>0.0</v>
      </c>
      <c r="AP108" s="13" t="str">
        <f>IFERROR(AO108/AO446, "NA")</f>
        <v>NA</v>
      </c>
      <c r="AQ108" s="12"/>
      <c r="AR108" s="15">
        <f t="shared" si="16"/>
        <v>0</v>
      </c>
    </row>
    <row r="109" ht="16.5" hidden="1" customHeight="1">
      <c r="A109" s="11" t="s">
        <v>522</v>
      </c>
      <c r="B109" s="12">
        <v>0.0</v>
      </c>
      <c r="C109" s="13" t="str">
        <f>IFERROR(B109/B446, "NA")</f>
        <v>NA</v>
      </c>
      <c r="D109" s="14"/>
      <c r="E109" s="12">
        <v>0.0</v>
      </c>
      <c r="F109" s="13" t="str">
        <f>IFERROR(E109/E446, "NA")</f>
        <v>NA</v>
      </c>
      <c r="G109" s="14"/>
      <c r="H109" s="12">
        <v>0.0</v>
      </c>
      <c r="I109" s="13" t="str">
        <f>IFERROR(H109/H446, "NA")</f>
        <v>NA</v>
      </c>
      <c r="J109" s="14"/>
      <c r="K109" s="12">
        <v>0.0</v>
      </c>
      <c r="L109" s="13" t="str">
        <f>IFERROR(K109/K446, "NA")</f>
        <v>NA</v>
      </c>
      <c r="M109" s="14"/>
      <c r="N109" s="12">
        <v>0.0</v>
      </c>
      <c r="O109" s="13" t="str">
        <f>IFERROR(N109/N446, "NA")</f>
        <v>NA</v>
      </c>
      <c r="P109" s="14"/>
      <c r="Q109" s="12">
        <v>0.0</v>
      </c>
      <c r="R109" s="13" t="str">
        <f>IFERROR(Q109/Q446, "NA")</f>
        <v>NA</v>
      </c>
      <c r="S109" s="14"/>
      <c r="T109" s="12">
        <v>0.0</v>
      </c>
      <c r="U109" s="13" t="str">
        <f>IFERROR(T109/T446, "NA")</f>
        <v>NA</v>
      </c>
      <c r="V109" s="14"/>
      <c r="W109" s="12">
        <v>0.0</v>
      </c>
      <c r="X109" s="13" t="str">
        <f>IFERROR(W109/W446, "NA")</f>
        <v>NA</v>
      </c>
      <c r="Y109" s="14"/>
      <c r="Z109" s="12">
        <v>0.0</v>
      </c>
      <c r="AA109" s="13" t="str">
        <f>IFERROR(Z109/Z446, "NA")</f>
        <v>NA</v>
      </c>
      <c r="AB109" s="14"/>
      <c r="AC109" s="12">
        <v>0.0</v>
      </c>
      <c r="AD109" s="13" t="str">
        <f>IFERROR(AC109/AC446, "NA")</f>
        <v>NA</v>
      </c>
      <c r="AE109" s="14"/>
      <c r="AF109" s="12">
        <v>0.0</v>
      </c>
      <c r="AG109" s="13" t="str">
        <f>IFERROR(AF109/AF446, "NA")</f>
        <v>NA</v>
      </c>
      <c r="AH109" s="14"/>
      <c r="AI109" s="12">
        <v>0.0</v>
      </c>
      <c r="AJ109" s="13" t="str">
        <f>IFERROR(AI109/AI446, "NA")</f>
        <v>NA</v>
      </c>
      <c r="AK109" s="12"/>
      <c r="AL109" s="15">
        <f t="shared" si="15"/>
        <v>0</v>
      </c>
      <c r="AM109" s="13" t="str">
        <f>IFERROR(AL109/AL446, "NA")</f>
        <v>NA</v>
      </c>
      <c r="AN109" s="12"/>
      <c r="AO109" s="12">
        <v>0.0</v>
      </c>
      <c r="AP109" s="13" t="str">
        <f>IFERROR(AO109/AO446, "NA")</f>
        <v>NA</v>
      </c>
      <c r="AQ109" s="12"/>
      <c r="AR109" s="15">
        <f t="shared" si="16"/>
        <v>0</v>
      </c>
    </row>
    <row r="110" ht="16.5" hidden="1" customHeight="1">
      <c r="A110" s="11" t="s">
        <v>523</v>
      </c>
      <c r="B110" s="12">
        <v>0.0</v>
      </c>
      <c r="C110" s="13" t="str">
        <f>IFERROR(B110/B446, "NA")</f>
        <v>NA</v>
      </c>
      <c r="D110" s="14"/>
      <c r="E110" s="12">
        <v>0.0</v>
      </c>
      <c r="F110" s="13" t="str">
        <f>IFERROR(E110/E446, "NA")</f>
        <v>NA</v>
      </c>
      <c r="G110" s="14"/>
      <c r="H110" s="12">
        <v>0.0</v>
      </c>
      <c r="I110" s="13" t="str">
        <f>IFERROR(H110/H446, "NA")</f>
        <v>NA</v>
      </c>
      <c r="J110" s="14"/>
      <c r="K110" s="12">
        <v>0.0</v>
      </c>
      <c r="L110" s="13" t="str">
        <f>IFERROR(K110/K446, "NA")</f>
        <v>NA</v>
      </c>
      <c r="M110" s="14"/>
      <c r="N110" s="12">
        <v>0.0</v>
      </c>
      <c r="O110" s="13" t="str">
        <f>IFERROR(N110/N446, "NA")</f>
        <v>NA</v>
      </c>
      <c r="P110" s="14"/>
      <c r="Q110" s="12">
        <v>0.0</v>
      </c>
      <c r="R110" s="13" t="str">
        <f>IFERROR(Q110/Q446, "NA")</f>
        <v>NA</v>
      </c>
      <c r="S110" s="14"/>
      <c r="T110" s="12">
        <v>0.0</v>
      </c>
      <c r="U110" s="13" t="str">
        <f>IFERROR(T110/T446, "NA")</f>
        <v>NA</v>
      </c>
      <c r="V110" s="14"/>
      <c r="W110" s="12">
        <v>0.0</v>
      </c>
      <c r="X110" s="13" t="str">
        <f>IFERROR(W110/W446, "NA")</f>
        <v>NA</v>
      </c>
      <c r="Y110" s="14"/>
      <c r="Z110" s="12">
        <v>0.0</v>
      </c>
      <c r="AA110" s="13" t="str">
        <f>IFERROR(Z110/Z446, "NA")</f>
        <v>NA</v>
      </c>
      <c r="AB110" s="14"/>
      <c r="AC110" s="12">
        <v>0.0</v>
      </c>
      <c r="AD110" s="13" t="str">
        <f>IFERROR(AC110/AC446, "NA")</f>
        <v>NA</v>
      </c>
      <c r="AE110" s="14"/>
      <c r="AF110" s="12">
        <v>0.0</v>
      </c>
      <c r="AG110" s="13" t="str">
        <f>IFERROR(AF110/AF446, "NA")</f>
        <v>NA</v>
      </c>
      <c r="AH110" s="14"/>
      <c r="AI110" s="12">
        <v>0.0</v>
      </c>
      <c r="AJ110" s="13" t="str">
        <f>IFERROR(AI110/AI446, "NA")</f>
        <v>NA</v>
      </c>
      <c r="AK110" s="12"/>
      <c r="AL110" s="15">
        <f t="shared" si="15"/>
        <v>0</v>
      </c>
      <c r="AM110" s="13" t="str">
        <f>IFERROR(AL110/AL446, "NA")</f>
        <v>NA</v>
      </c>
      <c r="AN110" s="12"/>
      <c r="AO110" s="12">
        <v>0.0</v>
      </c>
      <c r="AP110" s="13" t="str">
        <f>IFERROR(AO110/AO446, "NA")</f>
        <v>NA</v>
      </c>
      <c r="AQ110" s="12"/>
      <c r="AR110" s="15">
        <f t="shared" si="16"/>
        <v>0</v>
      </c>
    </row>
    <row r="111" ht="16.5" hidden="1" customHeight="1">
      <c r="A111" s="11" t="s">
        <v>524</v>
      </c>
      <c r="B111" s="12">
        <v>0.0</v>
      </c>
      <c r="C111" s="13" t="str">
        <f>IFERROR(B111/B446, "NA")</f>
        <v>NA</v>
      </c>
      <c r="D111" s="14"/>
      <c r="E111" s="12">
        <v>0.0</v>
      </c>
      <c r="F111" s="13" t="str">
        <f>IFERROR(E111/E446, "NA")</f>
        <v>NA</v>
      </c>
      <c r="G111" s="14"/>
      <c r="H111" s="12">
        <v>0.0</v>
      </c>
      <c r="I111" s="13" t="str">
        <f>IFERROR(H111/H446, "NA")</f>
        <v>NA</v>
      </c>
      <c r="J111" s="14"/>
      <c r="K111" s="12">
        <v>0.0</v>
      </c>
      <c r="L111" s="13" t="str">
        <f>IFERROR(K111/K446, "NA")</f>
        <v>NA</v>
      </c>
      <c r="M111" s="14"/>
      <c r="N111" s="12">
        <v>0.0</v>
      </c>
      <c r="O111" s="13" t="str">
        <f>IFERROR(N111/N446, "NA")</f>
        <v>NA</v>
      </c>
      <c r="P111" s="14"/>
      <c r="Q111" s="12">
        <v>0.0</v>
      </c>
      <c r="R111" s="13" t="str">
        <f>IFERROR(Q111/Q446, "NA")</f>
        <v>NA</v>
      </c>
      <c r="S111" s="14"/>
      <c r="T111" s="12">
        <v>0.0</v>
      </c>
      <c r="U111" s="13" t="str">
        <f>IFERROR(T111/T446, "NA")</f>
        <v>NA</v>
      </c>
      <c r="V111" s="14"/>
      <c r="W111" s="12">
        <v>0.0</v>
      </c>
      <c r="X111" s="13" t="str">
        <f>IFERROR(W111/W446, "NA")</f>
        <v>NA</v>
      </c>
      <c r="Y111" s="14"/>
      <c r="Z111" s="12">
        <v>0.0</v>
      </c>
      <c r="AA111" s="13" t="str">
        <f>IFERROR(Z111/Z446, "NA")</f>
        <v>NA</v>
      </c>
      <c r="AB111" s="14"/>
      <c r="AC111" s="12">
        <v>0.0</v>
      </c>
      <c r="AD111" s="13" t="str">
        <f>IFERROR(AC111/AC446, "NA")</f>
        <v>NA</v>
      </c>
      <c r="AE111" s="14"/>
      <c r="AF111" s="12">
        <v>0.0</v>
      </c>
      <c r="AG111" s="13" t="str">
        <f>IFERROR(AF111/AF446, "NA")</f>
        <v>NA</v>
      </c>
      <c r="AH111" s="14"/>
      <c r="AI111" s="12">
        <v>0.0</v>
      </c>
      <c r="AJ111" s="13" t="str">
        <f>IFERROR(AI111/AI446, "NA")</f>
        <v>NA</v>
      </c>
      <c r="AK111" s="12"/>
      <c r="AL111" s="15">
        <f t="shared" si="15"/>
        <v>0</v>
      </c>
      <c r="AM111" s="13" t="str">
        <f>IFERROR(AL111/AL446, "NA")</f>
        <v>NA</v>
      </c>
      <c r="AN111" s="12"/>
      <c r="AO111" s="12">
        <v>0.0</v>
      </c>
      <c r="AP111" s="13" t="str">
        <f>IFERROR(AO111/AO446, "NA")</f>
        <v>NA</v>
      </c>
      <c r="AQ111" s="12"/>
      <c r="AR111" s="15">
        <f t="shared" si="16"/>
        <v>0</v>
      </c>
    </row>
    <row r="112" ht="16.5" hidden="1" customHeight="1">
      <c r="A112" s="11" t="s">
        <v>525</v>
      </c>
      <c r="B112" s="12">
        <v>0.0</v>
      </c>
      <c r="C112" s="13" t="str">
        <f>IFERROR(B112/B446, "NA")</f>
        <v>NA</v>
      </c>
      <c r="D112" s="14"/>
      <c r="E112" s="12">
        <v>0.0</v>
      </c>
      <c r="F112" s="13" t="str">
        <f>IFERROR(E112/E446, "NA")</f>
        <v>NA</v>
      </c>
      <c r="G112" s="14"/>
      <c r="H112" s="12">
        <v>0.0</v>
      </c>
      <c r="I112" s="13" t="str">
        <f>IFERROR(H112/H446, "NA")</f>
        <v>NA</v>
      </c>
      <c r="J112" s="14"/>
      <c r="K112" s="12">
        <v>0.0</v>
      </c>
      <c r="L112" s="13" t="str">
        <f>IFERROR(K112/K446, "NA")</f>
        <v>NA</v>
      </c>
      <c r="M112" s="14"/>
      <c r="N112" s="12">
        <v>0.0</v>
      </c>
      <c r="O112" s="13" t="str">
        <f>IFERROR(N112/N446, "NA")</f>
        <v>NA</v>
      </c>
      <c r="P112" s="14"/>
      <c r="Q112" s="12">
        <v>0.0</v>
      </c>
      <c r="R112" s="13" t="str">
        <f>IFERROR(Q112/Q446, "NA")</f>
        <v>NA</v>
      </c>
      <c r="S112" s="14"/>
      <c r="T112" s="12">
        <v>0.0</v>
      </c>
      <c r="U112" s="13" t="str">
        <f>IFERROR(T112/T446, "NA")</f>
        <v>NA</v>
      </c>
      <c r="V112" s="14"/>
      <c r="W112" s="12">
        <v>0.0</v>
      </c>
      <c r="X112" s="13" t="str">
        <f>IFERROR(W112/W446, "NA")</f>
        <v>NA</v>
      </c>
      <c r="Y112" s="14"/>
      <c r="Z112" s="12">
        <v>0.0</v>
      </c>
      <c r="AA112" s="13" t="str">
        <f>IFERROR(Z112/Z446, "NA")</f>
        <v>NA</v>
      </c>
      <c r="AB112" s="14"/>
      <c r="AC112" s="12">
        <v>0.0</v>
      </c>
      <c r="AD112" s="13" t="str">
        <f>IFERROR(AC112/AC446, "NA")</f>
        <v>NA</v>
      </c>
      <c r="AE112" s="14"/>
      <c r="AF112" s="12">
        <v>0.0</v>
      </c>
      <c r="AG112" s="13" t="str">
        <f>IFERROR(AF112/AF446, "NA")</f>
        <v>NA</v>
      </c>
      <c r="AH112" s="14"/>
      <c r="AI112" s="12">
        <v>0.0</v>
      </c>
      <c r="AJ112" s="13" t="str">
        <f>IFERROR(AI112/AI446, "NA")</f>
        <v>NA</v>
      </c>
      <c r="AK112" s="12"/>
      <c r="AL112" s="15">
        <f t="shared" si="15"/>
        <v>0</v>
      </c>
      <c r="AM112" s="13" t="str">
        <f>IFERROR(AL112/AL446, "NA")</f>
        <v>NA</v>
      </c>
      <c r="AN112" s="12"/>
      <c r="AO112" s="12">
        <v>0.0</v>
      </c>
      <c r="AP112" s="13" t="str">
        <f>IFERROR(AO112/AO446, "NA")</f>
        <v>NA</v>
      </c>
      <c r="AQ112" s="12"/>
      <c r="AR112" s="15">
        <f t="shared" si="16"/>
        <v>0</v>
      </c>
    </row>
    <row r="113" ht="16.5" hidden="1" customHeight="1">
      <c r="A113" s="11" t="s">
        <v>526</v>
      </c>
      <c r="B113" s="12">
        <v>0.0</v>
      </c>
      <c r="C113" s="13" t="str">
        <f>IFERROR(B113/B446, "NA")</f>
        <v>NA</v>
      </c>
      <c r="D113" s="14"/>
      <c r="E113" s="12">
        <v>0.0</v>
      </c>
      <c r="F113" s="13" t="str">
        <f>IFERROR(E113/E446, "NA")</f>
        <v>NA</v>
      </c>
      <c r="G113" s="14"/>
      <c r="H113" s="12">
        <v>0.0</v>
      </c>
      <c r="I113" s="13" t="str">
        <f>IFERROR(H113/H446, "NA")</f>
        <v>NA</v>
      </c>
      <c r="J113" s="14"/>
      <c r="K113" s="12">
        <v>0.0</v>
      </c>
      <c r="L113" s="13" t="str">
        <f>IFERROR(K113/K446, "NA")</f>
        <v>NA</v>
      </c>
      <c r="M113" s="14"/>
      <c r="N113" s="12">
        <v>0.0</v>
      </c>
      <c r="O113" s="13" t="str">
        <f>IFERROR(N113/N446, "NA")</f>
        <v>NA</v>
      </c>
      <c r="P113" s="14"/>
      <c r="Q113" s="12">
        <v>0.0</v>
      </c>
      <c r="R113" s="13" t="str">
        <f>IFERROR(Q113/Q446, "NA")</f>
        <v>NA</v>
      </c>
      <c r="S113" s="14"/>
      <c r="T113" s="12">
        <v>0.0</v>
      </c>
      <c r="U113" s="13" t="str">
        <f>IFERROR(T113/T446, "NA")</f>
        <v>NA</v>
      </c>
      <c r="V113" s="14"/>
      <c r="W113" s="12">
        <v>0.0</v>
      </c>
      <c r="X113" s="13" t="str">
        <f>IFERROR(W113/W446, "NA")</f>
        <v>NA</v>
      </c>
      <c r="Y113" s="14"/>
      <c r="Z113" s="12">
        <v>0.0</v>
      </c>
      <c r="AA113" s="13" t="str">
        <f>IFERROR(Z113/Z446, "NA")</f>
        <v>NA</v>
      </c>
      <c r="AB113" s="14"/>
      <c r="AC113" s="12">
        <v>0.0</v>
      </c>
      <c r="AD113" s="13" t="str">
        <f>IFERROR(AC113/AC446, "NA")</f>
        <v>NA</v>
      </c>
      <c r="AE113" s="14"/>
      <c r="AF113" s="12">
        <v>0.0</v>
      </c>
      <c r="AG113" s="13" t="str">
        <f>IFERROR(AF113/AF446, "NA")</f>
        <v>NA</v>
      </c>
      <c r="AH113" s="14"/>
      <c r="AI113" s="12">
        <v>0.0</v>
      </c>
      <c r="AJ113" s="13" t="str">
        <f>IFERROR(AI113/AI446, "NA")</f>
        <v>NA</v>
      </c>
      <c r="AK113" s="12"/>
      <c r="AL113" s="15">
        <f t="shared" si="15"/>
        <v>0</v>
      </c>
      <c r="AM113" s="13" t="str">
        <f>IFERROR(AL113/AL446, "NA")</f>
        <v>NA</v>
      </c>
      <c r="AN113" s="12"/>
      <c r="AO113" s="12">
        <v>0.0</v>
      </c>
      <c r="AP113" s="13" t="str">
        <f>IFERROR(AO113/AO446, "NA")</f>
        <v>NA</v>
      </c>
      <c r="AQ113" s="12"/>
      <c r="AR113" s="15">
        <f t="shared" si="16"/>
        <v>0</v>
      </c>
    </row>
    <row r="114" ht="16.5" hidden="1" customHeight="1">
      <c r="A114" s="11" t="s">
        <v>527</v>
      </c>
      <c r="B114" s="12">
        <v>0.0</v>
      </c>
      <c r="C114" s="13" t="str">
        <f>IFERROR(B114/B446, "NA")</f>
        <v>NA</v>
      </c>
      <c r="D114" s="14"/>
      <c r="E114" s="12">
        <v>0.0</v>
      </c>
      <c r="F114" s="13" t="str">
        <f>IFERROR(E114/E446, "NA")</f>
        <v>NA</v>
      </c>
      <c r="G114" s="14"/>
      <c r="H114" s="12">
        <v>0.0</v>
      </c>
      <c r="I114" s="13" t="str">
        <f>IFERROR(H114/H446, "NA")</f>
        <v>NA</v>
      </c>
      <c r="J114" s="14"/>
      <c r="K114" s="12">
        <v>0.0</v>
      </c>
      <c r="L114" s="13" t="str">
        <f>IFERROR(K114/K446, "NA")</f>
        <v>NA</v>
      </c>
      <c r="M114" s="14"/>
      <c r="N114" s="12">
        <v>0.0</v>
      </c>
      <c r="O114" s="13" t="str">
        <f>IFERROR(N114/N446, "NA")</f>
        <v>NA</v>
      </c>
      <c r="P114" s="14"/>
      <c r="Q114" s="12">
        <v>0.0</v>
      </c>
      <c r="R114" s="13" t="str">
        <f>IFERROR(Q114/Q446, "NA")</f>
        <v>NA</v>
      </c>
      <c r="S114" s="14"/>
      <c r="T114" s="12">
        <v>0.0</v>
      </c>
      <c r="U114" s="13" t="str">
        <f>IFERROR(T114/T446, "NA")</f>
        <v>NA</v>
      </c>
      <c r="V114" s="14"/>
      <c r="W114" s="12">
        <v>0.0</v>
      </c>
      <c r="X114" s="13" t="str">
        <f>IFERROR(W114/W446, "NA")</f>
        <v>NA</v>
      </c>
      <c r="Y114" s="14"/>
      <c r="Z114" s="12">
        <v>0.0</v>
      </c>
      <c r="AA114" s="13" t="str">
        <f>IFERROR(Z114/Z446, "NA")</f>
        <v>NA</v>
      </c>
      <c r="AB114" s="14"/>
      <c r="AC114" s="12">
        <v>0.0</v>
      </c>
      <c r="AD114" s="13" t="str">
        <f>IFERROR(AC114/AC446, "NA")</f>
        <v>NA</v>
      </c>
      <c r="AE114" s="14"/>
      <c r="AF114" s="12">
        <v>0.0</v>
      </c>
      <c r="AG114" s="13" t="str">
        <f>IFERROR(AF114/AF446, "NA")</f>
        <v>NA</v>
      </c>
      <c r="AH114" s="14"/>
      <c r="AI114" s="12">
        <v>0.0</v>
      </c>
      <c r="AJ114" s="13" t="str">
        <f>IFERROR(AI114/AI446, "NA")</f>
        <v>NA</v>
      </c>
      <c r="AK114" s="12"/>
      <c r="AL114" s="15">
        <f t="shared" si="15"/>
        <v>0</v>
      </c>
      <c r="AM114" s="13" t="str">
        <f>IFERROR(AL114/AL446, "NA")</f>
        <v>NA</v>
      </c>
      <c r="AN114" s="12"/>
      <c r="AO114" s="12">
        <v>0.0</v>
      </c>
      <c r="AP114" s="13" t="str">
        <f>IFERROR(AO114/AO446, "NA")</f>
        <v>NA</v>
      </c>
      <c r="AQ114" s="12"/>
      <c r="AR114" s="15">
        <f t="shared" si="16"/>
        <v>0</v>
      </c>
    </row>
    <row r="115" ht="16.5" hidden="1" customHeight="1">
      <c r="A115" s="11" t="s">
        <v>528</v>
      </c>
      <c r="B115" s="12">
        <v>0.0</v>
      </c>
      <c r="C115" s="13" t="str">
        <f>IFERROR(B115/B446, "NA")</f>
        <v>NA</v>
      </c>
      <c r="D115" s="14"/>
      <c r="E115" s="12">
        <v>0.0</v>
      </c>
      <c r="F115" s="13" t="str">
        <f>IFERROR(E115/E446, "NA")</f>
        <v>NA</v>
      </c>
      <c r="G115" s="14"/>
      <c r="H115" s="12">
        <v>0.0</v>
      </c>
      <c r="I115" s="13" t="str">
        <f>IFERROR(H115/H446, "NA")</f>
        <v>NA</v>
      </c>
      <c r="J115" s="14"/>
      <c r="K115" s="12">
        <v>0.0</v>
      </c>
      <c r="L115" s="13" t="str">
        <f>IFERROR(K115/K446, "NA")</f>
        <v>NA</v>
      </c>
      <c r="M115" s="14"/>
      <c r="N115" s="12">
        <v>0.0</v>
      </c>
      <c r="O115" s="13" t="str">
        <f>IFERROR(N115/N446, "NA")</f>
        <v>NA</v>
      </c>
      <c r="P115" s="14"/>
      <c r="Q115" s="12">
        <v>0.0</v>
      </c>
      <c r="R115" s="13" t="str">
        <f>IFERROR(Q115/Q446, "NA")</f>
        <v>NA</v>
      </c>
      <c r="S115" s="14"/>
      <c r="T115" s="12">
        <v>0.0</v>
      </c>
      <c r="U115" s="13" t="str">
        <f>IFERROR(T115/T446, "NA")</f>
        <v>NA</v>
      </c>
      <c r="V115" s="14"/>
      <c r="W115" s="12">
        <v>0.0</v>
      </c>
      <c r="X115" s="13" t="str">
        <f>IFERROR(W115/W446, "NA")</f>
        <v>NA</v>
      </c>
      <c r="Y115" s="14"/>
      <c r="Z115" s="12">
        <v>0.0</v>
      </c>
      <c r="AA115" s="13" t="str">
        <f>IFERROR(Z115/Z446, "NA")</f>
        <v>NA</v>
      </c>
      <c r="AB115" s="14"/>
      <c r="AC115" s="12">
        <v>0.0</v>
      </c>
      <c r="AD115" s="13" t="str">
        <f>IFERROR(AC115/AC446, "NA")</f>
        <v>NA</v>
      </c>
      <c r="AE115" s="14"/>
      <c r="AF115" s="12">
        <v>0.0</v>
      </c>
      <c r="AG115" s="13" t="str">
        <f>IFERROR(AF115/AF446, "NA")</f>
        <v>NA</v>
      </c>
      <c r="AH115" s="14"/>
      <c r="AI115" s="12">
        <v>0.0</v>
      </c>
      <c r="AJ115" s="13" t="str">
        <f>IFERROR(AI115/AI446, "NA")</f>
        <v>NA</v>
      </c>
      <c r="AK115" s="12"/>
      <c r="AL115" s="15">
        <f t="shared" si="15"/>
        <v>0</v>
      </c>
      <c r="AM115" s="13" t="str">
        <f>IFERROR(AL115/AL446, "NA")</f>
        <v>NA</v>
      </c>
      <c r="AN115" s="12"/>
      <c r="AO115" s="12">
        <v>0.0</v>
      </c>
      <c r="AP115" s="13" t="str">
        <f>IFERROR(AO115/AO446, "NA")</f>
        <v>NA</v>
      </c>
      <c r="AQ115" s="12"/>
      <c r="AR115" s="15">
        <f t="shared" si="16"/>
        <v>0</v>
      </c>
    </row>
    <row r="116" ht="16.5" hidden="1" customHeight="1">
      <c r="A116" s="11" t="s">
        <v>529</v>
      </c>
      <c r="B116" s="12">
        <v>0.0</v>
      </c>
      <c r="C116" s="13" t="str">
        <f>IFERROR(B116/B446, "NA")</f>
        <v>NA</v>
      </c>
      <c r="D116" s="14"/>
      <c r="E116" s="12">
        <v>0.0</v>
      </c>
      <c r="F116" s="13" t="str">
        <f>IFERROR(E116/E446, "NA")</f>
        <v>NA</v>
      </c>
      <c r="G116" s="14"/>
      <c r="H116" s="12">
        <v>0.0</v>
      </c>
      <c r="I116" s="13" t="str">
        <f>IFERROR(H116/H446, "NA")</f>
        <v>NA</v>
      </c>
      <c r="J116" s="14"/>
      <c r="K116" s="12">
        <v>0.0</v>
      </c>
      <c r="L116" s="13" t="str">
        <f>IFERROR(K116/K446, "NA")</f>
        <v>NA</v>
      </c>
      <c r="M116" s="14"/>
      <c r="N116" s="12">
        <v>0.0</v>
      </c>
      <c r="O116" s="13" t="str">
        <f>IFERROR(N116/N446, "NA")</f>
        <v>NA</v>
      </c>
      <c r="P116" s="14"/>
      <c r="Q116" s="12">
        <v>0.0</v>
      </c>
      <c r="R116" s="13" t="str">
        <f>IFERROR(Q116/Q446, "NA")</f>
        <v>NA</v>
      </c>
      <c r="S116" s="14"/>
      <c r="T116" s="12">
        <v>0.0</v>
      </c>
      <c r="U116" s="13" t="str">
        <f>IFERROR(T116/T446, "NA")</f>
        <v>NA</v>
      </c>
      <c r="V116" s="14"/>
      <c r="W116" s="12">
        <v>0.0</v>
      </c>
      <c r="X116" s="13" t="str">
        <f>IFERROR(W116/W446, "NA")</f>
        <v>NA</v>
      </c>
      <c r="Y116" s="14"/>
      <c r="Z116" s="12">
        <v>0.0</v>
      </c>
      <c r="AA116" s="13" t="str">
        <f>IFERROR(Z116/Z446, "NA")</f>
        <v>NA</v>
      </c>
      <c r="AB116" s="14"/>
      <c r="AC116" s="12">
        <v>0.0</v>
      </c>
      <c r="AD116" s="13" t="str">
        <f>IFERROR(AC116/AC446, "NA")</f>
        <v>NA</v>
      </c>
      <c r="AE116" s="14"/>
      <c r="AF116" s="12">
        <v>0.0</v>
      </c>
      <c r="AG116" s="13" t="str">
        <f>IFERROR(AF116/AF446, "NA")</f>
        <v>NA</v>
      </c>
      <c r="AH116" s="14"/>
      <c r="AI116" s="12">
        <v>0.0</v>
      </c>
      <c r="AJ116" s="13" t="str">
        <f>IFERROR(AI116/AI446, "NA")</f>
        <v>NA</v>
      </c>
      <c r="AK116" s="12"/>
      <c r="AL116" s="15">
        <f t="shared" si="15"/>
        <v>0</v>
      </c>
      <c r="AM116" s="13" t="str">
        <f>IFERROR(AL116/AL446, "NA")</f>
        <v>NA</v>
      </c>
      <c r="AN116" s="12"/>
      <c r="AO116" s="12">
        <v>0.0</v>
      </c>
      <c r="AP116" s="13" t="str">
        <f>IFERROR(AO116/AO446, "NA")</f>
        <v>NA</v>
      </c>
      <c r="AQ116" s="12"/>
      <c r="AR116" s="15">
        <f t="shared" si="16"/>
        <v>0</v>
      </c>
    </row>
    <row r="117" ht="16.5" hidden="1" customHeight="1">
      <c r="A117" s="11" t="s">
        <v>530</v>
      </c>
      <c r="B117" s="12">
        <v>0.0</v>
      </c>
      <c r="C117" s="13" t="str">
        <f>IFERROR(B117/B446, "NA")</f>
        <v>NA</v>
      </c>
      <c r="D117" s="14"/>
      <c r="E117" s="12">
        <v>0.0</v>
      </c>
      <c r="F117" s="13" t="str">
        <f>IFERROR(E117/E446, "NA")</f>
        <v>NA</v>
      </c>
      <c r="G117" s="14"/>
      <c r="H117" s="12">
        <v>0.0</v>
      </c>
      <c r="I117" s="13" t="str">
        <f>IFERROR(H117/H446, "NA")</f>
        <v>NA</v>
      </c>
      <c r="J117" s="14"/>
      <c r="K117" s="12">
        <v>0.0</v>
      </c>
      <c r="L117" s="13" t="str">
        <f>IFERROR(K117/K446, "NA")</f>
        <v>NA</v>
      </c>
      <c r="M117" s="14"/>
      <c r="N117" s="12">
        <v>0.0</v>
      </c>
      <c r="O117" s="13" t="str">
        <f>IFERROR(N117/N446, "NA")</f>
        <v>NA</v>
      </c>
      <c r="P117" s="14"/>
      <c r="Q117" s="12">
        <v>0.0</v>
      </c>
      <c r="R117" s="13" t="str">
        <f>IFERROR(Q117/Q446, "NA")</f>
        <v>NA</v>
      </c>
      <c r="S117" s="14"/>
      <c r="T117" s="12">
        <v>0.0</v>
      </c>
      <c r="U117" s="13" t="str">
        <f>IFERROR(T117/T446, "NA")</f>
        <v>NA</v>
      </c>
      <c r="V117" s="14"/>
      <c r="W117" s="12">
        <v>0.0</v>
      </c>
      <c r="X117" s="13" t="str">
        <f>IFERROR(W117/W446, "NA")</f>
        <v>NA</v>
      </c>
      <c r="Y117" s="14"/>
      <c r="Z117" s="12">
        <v>0.0</v>
      </c>
      <c r="AA117" s="13" t="str">
        <f>IFERROR(Z117/Z446, "NA")</f>
        <v>NA</v>
      </c>
      <c r="AB117" s="14"/>
      <c r="AC117" s="12">
        <v>0.0</v>
      </c>
      <c r="AD117" s="13" t="str">
        <f>IFERROR(AC117/AC446, "NA")</f>
        <v>NA</v>
      </c>
      <c r="AE117" s="14"/>
      <c r="AF117" s="12">
        <v>0.0</v>
      </c>
      <c r="AG117" s="13" t="str">
        <f>IFERROR(AF117/AF446, "NA")</f>
        <v>NA</v>
      </c>
      <c r="AH117" s="14"/>
      <c r="AI117" s="12">
        <v>0.0</v>
      </c>
      <c r="AJ117" s="13" t="str">
        <f>IFERROR(AI117/AI446, "NA")</f>
        <v>NA</v>
      </c>
      <c r="AK117" s="12"/>
      <c r="AL117" s="15">
        <f t="shared" si="15"/>
        <v>0</v>
      </c>
      <c r="AM117" s="13" t="str">
        <f>IFERROR(AL117/AL446, "NA")</f>
        <v>NA</v>
      </c>
      <c r="AN117" s="12"/>
      <c r="AO117" s="12">
        <v>0.0</v>
      </c>
      <c r="AP117" s="13" t="str">
        <f>IFERROR(AO117/AO446, "NA")</f>
        <v>NA</v>
      </c>
      <c r="AQ117" s="12"/>
      <c r="AR117" s="15">
        <f t="shared" si="16"/>
        <v>0</v>
      </c>
    </row>
    <row r="118" ht="16.5" customHeight="1">
      <c r="A118" s="16" t="s">
        <v>116</v>
      </c>
      <c r="B118" s="17">
        <f>IFERROR(B94+B95+B96+B97+B98+B99+B100+B101+B102+B103+B104+B105+B106+B107+B108+B109+B110+B111+B112+B113+B114+B115+B116+B117, "NA")</f>
        <v>0</v>
      </c>
      <c r="C118" s="18" t="str">
        <f>IFERROR(B118/B446, "NA")</f>
        <v>NA</v>
      </c>
      <c r="D118" s="8"/>
      <c r="E118" s="17">
        <f>IFERROR(E94+E95+E96+E97+E98+E99+E100+E101+E102+E103+E104+E105+E106+E107+E108+E109+E110+E111+E112+E113+E114+E115+E116+E117, "NA")</f>
        <v>0</v>
      </c>
      <c r="F118" s="18" t="str">
        <f>IFERROR(E118/E446, "NA")</f>
        <v>NA</v>
      </c>
      <c r="G118" s="8"/>
      <c r="H118" s="17">
        <f>IFERROR(H94+H95+H96+H97+H98+H99+H100+H101+H102+H103+H104+H105+H106+H107+H108+H109+H110+H111+H112+H113+H114+H115+H116+H117, "NA")</f>
        <v>0</v>
      </c>
      <c r="I118" s="18" t="str">
        <f>IFERROR(H118/H446, "NA")</f>
        <v>NA</v>
      </c>
      <c r="J118" s="8"/>
      <c r="K118" s="17">
        <f>IFERROR(K94+K95+K96+K97+K98+K99+K100+K101+K102+K103+K104+K105+K106+K107+K108+K109+K110+K111+K112+K113+K114+K115+K116+K117, "NA")</f>
        <v>0</v>
      </c>
      <c r="L118" s="18" t="str">
        <f>IFERROR(K118/K446, "NA")</f>
        <v>NA</v>
      </c>
      <c r="M118" s="8"/>
      <c r="N118" s="17">
        <f>IFERROR(N94+N95+N96+N97+N98+N99+N100+N101+N102+N103+N104+N105+N106+N107+N108+N109+N110+N111+N112+N113+N114+N115+N116+N117, "NA")</f>
        <v>0</v>
      </c>
      <c r="O118" s="18" t="str">
        <f>IFERROR(N118/N446, "NA")</f>
        <v>NA</v>
      </c>
      <c r="P118" s="8"/>
      <c r="Q118" s="17">
        <f>IFERROR(Q94+Q95+Q96+Q97+Q98+Q99+Q100+Q101+Q102+Q103+Q104+Q105+Q106+Q107+Q108+Q109+Q110+Q111+Q112+Q113+Q114+Q115+Q116+Q117, "NA")</f>
        <v>0</v>
      </c>
      <c r="R118" s="18" t="str">
        <f>IFERROR(Q118/Q446, "NA")</f>
        <v>NA</v>
      </c>
      <c r="S118" s="8"/>
      <c r="T118" s="17">
        <f>IFERROR(T94+T95+T96+T97+T98+T99+T100+T101+T102+T103+T104+T105+T106+T107+T108+T109+T110+T111+T112+T113+T114+T115+T116+T117, "NA")</f>
        <v>0</v>
      </c>
      <c r="U118" s="18" t="str">
        <f>IFERROR(T118/T446, "NA")</f>
        <v>NA</v>
      </c>
      <c r="V118" s="8"/>
      <c r="W118" s="17">
        <f>IFERROR(W94+W95+W96+W97+W98+W99+W100+W101+W102+W103+W104+W105+W106+W107+W108+W109+W110+W111+W112+W113+W114+W115+W116+W117, "NA")</f>
        <v>0</v>
      </c>
      <c r="X118" s="18" t="str">
        <f>IFERROR(W118/W446, "NA")</f>
        <v>NA</v>
      </c>
      <c r="Y118" s="8"/>
      <c r="Z118" s="17">
        <f>IFERROR(Z94+Z95+Z96+Z97+Z98+Z99+Z100+Z101+Z102+Z103+Z104+Z105+Z106+Z107+Z108+Z109+Z110+Z111+Z112+Z113+Z114+Z115+Z116+Z117, "NA")</f>
        <v>0</v>
      </c>
      <c r="AA118" s="18" t="str">
        <f>IFERROR(Z118/Z446, "NA")</f>
        <v>NA</v>
      </c>
      <c r="AB118" s="8"/>
      <c r="AC118" s="17">
        <f>IFERROR(AC94+AC95+AC96+AC97+AC98+AC99+AC100+AC101+AC102+AC103+AC104+AC105+AC106+AC107+AC108+AC109+AC110+AC111+AC112+AC113+AC114+AC115+AC116+AC117, "NA")</f>
        <v>0</v>
      </c>
      <c r="AD118" s="18" t="str">
        <f>IFERROR(AC118/AC446, "NA")</f>
        <v>NA</v>
      </c>
      <c r="AE118" s="8"/>
      <c r="AF118" s="17">
        <f>IFERROR(AF94+AF95+AF96+AF97+AF98+AF99+AF100+AF101+AF102+AF103+AF104+AF105+AF106+AF107+AF108+AF109+AF110+AF111+AF112+AF113+AF114+AF115+AF116+AF117, "NA")</f>
        <v>0</v>
      </c>
      <c r="AG118" s="18" t="str">
        <f>IFERROR(AF118/AF446, "NA")</f>
        <v>NA</v>
      </c>
      <c r="AH118" s="8"/>
      <c r="AI118" s="17">
        <f>IFERROR(AI94+AI95+AI96+AI97+AI98+AI99+AI100+AI101+AI102+AI103+AI104+AI105+AI106+AI107+AI108+AI109+AI110+AI111+AI112+AI113+AI114+AI115+AI116+AI117, "NA")</f>
        <v>0</v>
      </c>
      <c r="AJ118" s="18" t="str">
        <f>IFERROR(AI118/AI446, "NA")</f>
        <v>NA</v>
      </c>
      <c r="AK118" s="8"/>
      <c r="AL118" s="17">
        <f t="shared" si="15"/>
        <v>0</v>
      </c>
      <c r="AM118" s="18" t="str">
        <f>IFERROR(AL118/AL446, "NA")</f>
        <v>NA</v>
      </c>
      <c r="AN118" s="8"/>
      <c r="AO118" s="17">
        <f>IFERROR(AO94+AO95+AO96+AO97+AO98+AO99+AO100+AO101+AO102+AO103+AO104+AO105+AO106+AO107+AO108+AO109+AO110+AO111+AO112+AO113+AO114+AO115+AO116+AO117, "NA")</f>
        <v>0</v>
      </c>
      <c r="AP118" s="18" t="str">
        <f>IFERROR(AO118/AO446, "NA")</f>
        <v>NA</v>
      </c>
      <c r="AQ118" s="8"/>
      <c r="AR118" s="17">
        <f t="shared" si="16"/>
        <v>0</v>
      </c>
    </row>
    <row r="119" ht="16.5" hidden="1" customHeight="1">
      <c r="A119" s="11" t="s">
        <v>531</v>
      </c>
      <c r="B119" s="12">
        <v>0.0</v>
      </c>
      <c r="C119" s="13" t="str">
        <f>IFERROR(B119/B446, "NA")</f>
        <v>NA</v>
      </c>
      <c r="D119" s="14"/>
      <c r="E119" s="12">
        <v>0.0</v>
      </c>
      <c r="F119" s="13" t="str">
        <f>IFERROR(E119/E446, "NA")</f>
        <v>NA</v>
      </c>
      <c r="G119" s="14"/>
      <c r="H119" s="12">
        <v>0.0</v>
      </c>
      <c r="I119" s="13" t="str">
        <f>IFERROR(H119/H446, "NA")</f>
        <v>NA</v>
      </c>
      <c r="J119" s="14"/>
      <c r="K119" s="12">
        <v>0.0</v>
      </c>
      <c r="L119" s="13" t="str">
        <f>IFERROR(K119/K446, "NA")</f>
        <v>NA</v>
      </c>
      <c r="M119" s="14"/>
      <c r="N119" s="12">
        <v>0.0</v>
      </c>
      <c r="O119" s="13" t="str">
        <f>IFERROR(N119/N446, "NA")</f>
        <v>NA</v>
      </c>
      <c r="P119" s="14"/>
      <c r="Q119" s="12">
        <v>0.0</v>
      </c>
      <c r="R119" s="13" t="str">
        <f>IFERROR(Q119/Q446, "NA")</f>
        <v>NA</v>
      </c>
      <c r="S119" s="14"/>
      <c r="T119" s="12">
        <v>0.0</v>
      </c>
      <c r="U119" s="13" t="str">
        <f>IFERROR(T119/T446, "NA")</f>
        <v>NA</v>
      </c>
      <c r="V119" s="14"/>
      <c r="W119" s="12">
        <v>0.0</v>
      </c>
      <c r="X119" s="13" t="str">
        <f>IFERROR(W119/W446, "NA")</f>
        <v>NA</v>
      </c>
      <c r="Y119" s="14"/>
      <c r="Z119" s="12">
        <v>0.0</v>
      </c>
      <c r="AA119" s="13" t="str">
        <f>IFERROR(Z119/Z446, "NA")</f>
        <v>NA</v>
      </c>
      <c r="AB119" s="14"/>
      <c r="AC119" s="12">
        <v>0.0</v>
      </c>
      <c r="AD119" s="13" t="str">
        <f>IFERROR(AC119/AC446, "NA")</f>
        <v>NA</v>
      </c>
      <c r="AE119" s="14"/>
      <c r="AF119" s="12">
        <v>0.0</v>
      </c>
      <c r="AG119" s="13" t="str">
        <f>IFERROR(AF119/AF446, "NA")</f>
        <v>NA</v>
      </c>
      <c r="AH119" s="14"/>
      <c r="AI119" s="12">
        <v>0.0</v>
      </c>
      <c r="AJ119" s="13" t="str">
        <f>IFERROR(AI119/AI446, "NA")</f>
        <v>NA</v>
      </c>
      <c r="AK119" s="12"/>
      <c r="AL119" s="15">
        <f t="shared" si="15"/>
        <v>0</v>
      </c>
      <c r="AM119" s="13" t="str">
        <f>IFERROR(AL119/AL446, "NA")</f>
        <v>NA</v>
      </c>
      <c r="AN119" s="12"/>
      <c r="AO119" s="12">
        <v>0.0</v>
      </c>
      <c r="AP119" s="13" t="str">
        <f>IFERROR(AO119/AO446, "NA")</f>
        <v>NA</v>
      </c>
      <c r="AQ119" s="12"/>
      <c r="AR119" s="15">
        <f t="shared" si="16"/>
        <v>0</v>
      </c>
    </row>
    <row r="120" ht="16.5" hidden="1" customHeight="1">
      <c r="A120" s="11" t="s">
        <v>532</v>
      </c>
      <c r="B120" s="12">
        <v>0.0</v>
      </c>
      <c r="C120" s="13" t="str">
        <f>IFERROR(B120/B446, "NA")</f>
        <v>NA</v>
      </c>
      <c r="D120" s="14"/>
      <c r="E120" s="12">
        <v>0.0</v>
      </c>
      <c r="F120" s="13" t="str">
        <f>IFERROR(E120/E446, "NA")</f>
        <v>NA</v>
      </c>
      <c r="G120" s="14"/>
      <c r="H120" s="12">
        <v>0.0</v>
      </c>
      <c r="I120" s="13" t="str">
        <f>IFERROR(H120/H446, "NA")</f>
        <v>NA</v>
      </c>
      <c r="J120" s="14"/>
      <c r="K120" s="12">
        <v>0.0</v>
      </c>
      <c r="L120" s="13" t="str">
        <f>IFERROR(K120/K446, "NA")</f>
        <v>NA</v>
      </c>
      <c r="M120" s="14"/>
      <c r="N120" s="12">
        <v>0.0</v>
      </c>
      <c r="O120" s="13" t="str">
        <f>IFERROR(N120/N446, "NA")</f>
        <v>NA</v>
      </c>
      <c r="P120" s="14"/>
      <c r="Q120" s="12">
        <v>0.0</v>
      </c>
      <c r="R120" s="13" t="str">
        <f>IFERROR(Q120/Q446, "NA")</f>
        <v>NA</v>
      </c>
      <c r="S120" s="14"/>
      <c r="T120" s="12">
        <v>0.0</v>
      </c>
      <c r="U120" s="13" t="str">
        <f>IFERROR(T120/T446, "NA")</f>
        <v>NA</v>
      </c>
      <c r="V120" s="14"/>
      <c r="W120" s="12">
        <v>0.0</v>
      </c>
      <c r="X120" s="13" t="str">
        <f>IFERROR(W120/W446, "NA")</f>
        <v>NA</v>
      </c>
      <c r="Y120" s="14"/>
      <c r="Z120" s="12">
        <v>0.0</v>
      </c>
      <c r="AA120" s="13" t="str">
        <f>IFERROR(Z120/Z446, "NA")</f>
        <v>NA</v>
      </c>
      <c r="AB120" s="14"/>
      <c r="AC120" s="12">
        <v>0.0</v>
      </c>
      <c r="AD120" s="13" t="str">
        <f>IFERROR(AC120/AC446, "NA")</f>
        <v>NA</v>
      </c>
      <c r="AE120" s="14"/>
      <c r="AF120" s="12">
        <v>0.0</v>
      </c>
      <c r="AG120" s="13" t="str">
        <f>IFERROR(AF120/AF446, "NA")</f>
        <v>NA</v>
      </c>
      <c r="AH120" s="14"/>
      <c r="AI120" s="12">
        <v>0.0</v>
      </c>
      <c r="AJ120" s="13" t="str">
        <f>IFERROR(AI120/AI446, "NA")</f>
        <v>NA</v>
      </c>
      <c r="AK120" s="12"/>
      <c r="AL120" s="15">
        <f t="shared" si="15"/>
        <v>0</v>
      </c>
      <c r="AM120" s="13" t="str">
        <f>IFERROR(AL120/AL446, "NA")</f>
        <v>NA</v>
      </c>
      <c r="AN120" s="12"/>
      <c r="AO120" s="12">
        <v>0.0</v>
      </c>
      <c r="AP120" s="13" t="str">
        <f>IFERROR(AO120/AO446, "NA")</f>
        <v>NA</v>
      </c>
      <c r="AQ120" s="12"/>
      <c r="AR120" s="15">
        <f t="shared" si="16"/>
        <v>0</v>
      </c>
    </row>
    <row r="121" ht="16.5" hidden="1" customHeight="1">
      <c r="A121" s="11" t="s">
        <v>533</v>
      </c>
      <c r="B121" s="12">
        <v>0.0</v>
      </c>
      <c r="C121" s="13" t="str">
        <f>IFERROR(B121/B446, "NA")</f>
        <v>NA</v>
      </c>
      <c r="D121" s="14"/>
      <c r="E121" s="12">
        <v>0.0</v>
      </c>
      <c r="F121" s="13" t="str">
        <f>IFERROR(E121/E446, "NA")</f>
        <v>NA</v>
      </c>
      <c r="G121" s="14"/>
      <c r="H121" s="12">
        <v>0.0</v>
      </c>
      <c r="I121" s="13" t="str">
        <f>IFERROR(H121/H446, "NA")</f>
        <v>NA</v>
      </c>
      <c r="J121" s="14"/>
      <c r="K121" s="12">
        <v>0.0</v>
      </c>
      <c r="L121" s="13" t="str">
        <f>IFERROR(K121/K446, "NA")</f>
        <v>NA</v>
      </c>
      <c r="M121" s="14"/>
      <c r="N121" s="12">
        <v>0.0</v>
      </c>
      <c r="O121" s="13" t="str">
        <f>IFERROR(N121/N446, "NA")</f>
        <v>NA</v>
      </c>
      <c r="P121" s="14"/>
      <c r="Q121" s="12">
        <v>0.0</v>
      </c>
      <c r="R121" s="13" t="str">
        <f>IFERROR(Q121/Q446, "NA")</f>
        <v>NA</v>
      </c>
      <c r="S121" s="14"/>
      <c r="T121" s="12">
        <v>0.0</v>
      </c>
      <c r="U121" s="13" t="str">
        <f>IFERROR(T121/T446, "NA")</f>
        <v>NA</v>
      </c>
      <c r="V121" s="14"/>
      <c r="W121" s="12">
        <v>0.0</v>
      </c>
      <c r="X121" s="13" t="str">
        <f>IFERROR(W121/W446, "NA")</f>
        <v>NA</v>
      </c>
      <c r="Y121" s="14"/>
      <c r="Z121" s="12">
        <v>0.0</v>
      </c>
      <c r="AA121" s="13" t="str">
        <f>IFERROR(Z121/Z446, "NA")</f>
        <v>NA</v>
      </c>
      <c r="AB121" s="14"/>
      <c r="AC121" s="12">
        <v>0.0</v>
      </c>
      <c r="AD121" s="13" t="str">
        <f>IFERROR(AC121/AC446, "NA")</f>
        <v>NA</v>
      </c>
      <c r="AE121" s="14"/>
      <c r="AF121" s="12">
        <v>0.0</v>
      </c>
      <c r="AG121" s="13" t="str">
        <f>IFERROR(AF121/AF446, "NA")</f>
        <v>NA</v>
      </c>
      <c r="AH121" s="14"/>
      <c r="AI121" s="12">
        <v>0.0</v>
      </c>
      <c r="AJ121" s="13" t="str">
        <f>IFERROR(AI121/AI446, "NA")</f>
        <v>NA</v>
      </c>
      <c r="AK121" s="12"/>
      <c r="AL121" s="15">
        <f t="shared" si="15"/>
        <v>0</v>
      </c>
      <c r="AM121" s="13" t="str">
        <f>IFERROR(AL121/AL446, "NA")</f>
        <v>NA</v>
      </c>
      <c r="AN121" s="12"/>
      <c r="AO121" s="12">
        <v>0.0</v>
      </c>
      <c r="AP121" s="13" t="str">
        <f>IFERROR(AO121/AO446, "NA")</f>
        <v>NA</v>
      </c>
      <c r="AQ121" s="12"/>
      <c r="AR121" s="15">
        <f t="shared" si="16"/>
        <v>0</v>
      </c>
    </row>
    <row r="122" ht="16.5" customHeight="1">
      <c r="A122" s="16" t="s">
        <v>120</v>
      </c>
      <c r="B122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8" t="str">
        <f>IFERROR(B122/B446, "NA")</f>
        <v>NA</v>
      </c>
      <c r="D122" s="8"/>
      <c r="E122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8" t="str">
        <f>IFERROR(E122/E446, "NA")</f>
        <v>NA</v>
      </c>
      <c r="G122" s="8"/>
      <c r="H122" s="17">
        <f>IFERROR(H8+H10+H11+H12+H13+H14+H15+H16+H17+H19+H21+H22+H23+H24+H25+H26+H27+H28+H31+H32+H33+H34+H35+H36+H37+H38+H39+H42+H43+H44+H46+H47+H48+H49+H50+H51+H52+H53+H54+H55+H56+H57+H58+H59+H60+H64+H65+H66+H67+H68+H69+H70+H71+H72+H75+H76+H77+H78+H79+H80+H81+H82+H83+H84+H85+H86+H87+H89+H90+H91+H92+H94+H95+H96+H97+H98+H99+H100+H101+H102+H103+H104+H105+H106+H107+H108+H109+H110+H111+H112+H113+H114+H115+H116+H117+H119+H120+H121, "NA")</f>
        <v>0</v>
      </c>
      <c r="I122" s="18" t="str">
        <f>IFERROR(H122/H446, "NA")</f>
        <v>NA</v>
      </c>
      <c r="J122" s="8"/>
      <c r="K122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8" t="str">
        <f>IFERROR(K122/K446, "NA")</f>
        <v>NA</v>
      </c>
      <c r="M122" s="8"/>
      <c r="N122" s="17">
        <f>IFERROR(N8+N10+N11+N12+N13+N14+N15+N16+N17+N19+N21+N22+N23+N24+N25+N26+N27+N28+N31+N32+N33+N34+N35+N36+N37+N38+N39+N42+N43+N44+N46+N47+N48+N49+N50+N51+N52+N53+N54+N55+N56+N57+N58+N59+N60+N64+N65+N66+N67+N68+N69+N70+N71+N72+N75+N76+N77+N78+N79+N80+N81+N82+N83+N84+N85+N86+N87+N89+N90+N91+N92+N94+N95+N96+N97+N98+N99+N100+N101+N102+N103+N104+N105+N106+N107+N108+N109+N110+N111+N112+N113+N114+N115+N116+N117+N119+N120+N121, "NA")</f>
        <v>0</v>
      </c>
      <c r="O122" s="18" t="str">
        <f>IFERROR(N122/N446, "NA")</f>
        <v>NA</v>
      </c>
      <c r="P122" s="8"/>
      <c r="Q122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8" t="str">
        <f>IFERROR(Q122/Q446, "NA")</f>
        <v>NA</v>
      </c>
      <c r="S122" s="8"/>
      <c r="T122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8" t="str">
        <f>IFERROR(T122/T446, "NA")</f>
        <v>NA</v>
      </c>
      <c r="V122" s="8"/>
      <c r="W122" s="17">
        <f>IFERROR(W8+W10+W11+W12+W13+W14+W15+W16+W17+W19+W21+W22+W23+W24+W25+W26+W27+W28+W31+W32+W33+W34+W35+W36+W37+W38+W39+W42+W43+W44+W46+W47+W48+W49+W50+W51+W52+W53+W54+W55+W56+W57+W58+W59+W60+W64+W65+W66+W67+W68+W69+W70+W71+W72+W75+W76+W77+W78+W79+W80+W81+W82+W83+W84+W85+W86+W87+W89+W90+W91+W92+W94+W95+W96+W97+W98+W99+W100+W101+W102+W103+W104+W105+W106+W107+W108+W109+W110+W111+W112+W113+W114+W115+W116+W117+W119+W120+W121, "NA")</f>
        <v>0</v>
      </c>
      <c r="X122" s="18" t="str">
        <f>IFERROR(W122/W446, "NA")</f>
        <v>NA</v>
      </c>
      <c r="Y122" s="8"/>
      <c r="Z122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8" t="str">
        <f>IFERROR(Z122/Z446, "NA")</f>
        <v>NA</v>
      </c>
      <c r="AB122" s="8"/>
      <c r="AC122" s="17">
        <f>IFERROR(AC8+AC10+AC11+AC12+AC13+AC14+AC15+AC16+AC17+AC19+AC21+AC22+AC23+AC24+AC25+AC26+AC27+AC28+AC31+AC32+AC33+AC34+AC35+AC36+AC37+AC38+AC39+AC42+AC43+AC44+AC46+AC47+AC48+AC49+AC50+AC51+AC52+AC53+AC54+AC55+AC56+AC57+AC58+AC59+AC60+AC64+AC65+AC66+AC67+AC68+AC69+AC70+AC71+AC72+AC75+AC76+AC77+AC78+AC79+AC80+AC81+AC82+AC83+AC84+AC85+AC86+AC87+AC89+AC90+AC91+AC92+AC94+AC95+AC96+AC97+AC98+AC99+AC100+AC101+AC102+AC103+AC104+AC105+AC106+AC107+AC108+AC109+AC110+AC111+AC112+AC113+AC114+AC115+AC116+AC117+AC119+AC120+AC121, "NA")</f>
        <v>0</v>
      </c>
      <c r="AD122" s="18" t="str">
        <f>IFERROR(AC122/AC446, "NA")</f>
        <v>NA</v>
      </c>
      <c r="AE122" s="8"/>
      <c r="AF122" s="17">
        <f>IFERROR(AF8+AF10+AF11+AF12+AF13+AF14+AF15+AF16+AF17+AF19+AF21+AF22+AF23+AF24+AF25+AF26+AF27+AF28+AF31+AF32+AF33+AF34+AF35+AF36+AF37+AF38+AF39+AF42+AF43+AF44+AF46+AF47+AF48+AF49+AF50+AF51+AF52+AF53+AF54+AF55+AF56+AF57+AF58+AF59+AF60+AF64+AF65+AF66+AF67+AF68+AF69+AF70+AF71+AF72+AF75+AF76+AF77+AF78+AF79+AF80+AF81+AF82+AF83+AF84+AF85+AF86+AF87+AF89+AF90+AF91+AF92+AF94+AF95+AF96+AF97+AF98+AF99+AF100+AF101+AF102+AF103+AF104+AF105+AF106+AF107+AF108+AF109+AF110+AF111+AF112+AF113+AF114+AF115+AF116+AF117+AF119+AF120+AF121, "NA")</f>
        <v>0</v>
      </c>
      <c r="AG122" s="18" t="str">
        <f>IFERROR(AF122/AF446, "NA")</f>
        <v>NA</v>
      </c>
      <c r="AH122" s="8"/>
      <c r="AI122" s="17">
        <f>IFERROR(AI8+AI10+AI11+AI12+AI13+AI14+AI15+AI16+AI17+AI19+AI21+AI22+AI23+AI24+AI25+AI26+AI27+AI28+AI31+AI32+AI33+AI34+AI35+AI36+AI37+AI38+AI39+AI42+AI43+AI44+AI46+AI47+AI48+AI49+AI50+AI51+AI52+AI53+AI54+AI55+AI56+AI57+AI58+AI59+AI60+AI64+AI65+AI66+AI67+AI68+AI69+AI70+AI71+AI72+AI75+AI76+AI77+AI78+AI79+AI80+AI81+AI82+AI83+AI84+AI85+AI86+AI87+AI89+AI90+AI91+AI92+AI94+AI95+AI96+AI97+AI98+AI99+AI100+AI101+AI102+AI103+AI104+AI105+AI106+AI107+AI108+AI109+AI110+AI111+AI112+AI113+AI114+AI115+AI116+AI117+AI119+AI120+AI121, "NA")</f>
        <v>0</v>
      </c>
      <c r="AJ122" s="18" t="str">
        <f>IFERROR(AI122/AI446, "NA")</f>
        <v>NA</v>
      </c>
      <c r="AK122" s="8"/>
      <c r="AL122" s="17">
        <f t="shared" si="15"/>
        <v>0</v>
      </c>
      <c r="AM122" s="18" t="str">
        <f>IFERROR(AL122/AL446, "NA")</f>
        <v>NA</v>
      </c>
      <c r="AN122" s="8"/>
      <c r="AO122" s="17">
        <f>IFERROR(AO8+AO10+AO11+AO12+AO13+AO14+AO15+AO16+AO17+AO19+AO21+AO22+AO23+AO24+AO25+AO26+AO27+AO28+AO31+AO32+AO33+AO34+AO35+AO36+AO37+AO38+AO39+AO42+AO43+AO44+AO46+AO47+AO48+AO49+AO50+AO51+AO52+AO53+AO54+AO55+AO56+AO57+AO58+AO59+AO60+AO64+AO65+AO66+AO67+AO68+AO69+AO70+AO71+AO72+AO75+AO76+AO77+AO78+AO79+AO80+AO81+AO82+AO83+AO84+AO85+AO86+AO87+AO89+AO90+AO91+AO92+AO94+AO95+AO96+AO97+AO98+AO99+AO100+AO101+AO102+AO103+AO104+AO105+AO106+AO107+AO108+AO109+AO110+AO111+AO112+AO113+AO114+AO115+AO116+AO117+AO119+AO120+AO121, "NA")</f>
        <v>0</v>
      </c>
      <c r="AP122" s="18" t="str">
        <f>IFERROR(AO122/AO446, "NA")</f>
        <v>NA</v>
      </c>
      <c r="AQ122" s="8"/>
      <c r="AR122" s="17">
        <f t="shared" si="16"/>
        <v>0</v>
      </c>
    </row>
    <row r="123" ht="30.75" hidden="1" customHeight="1">
      <c r="A123" s="11" t="s">
        <v>534</v>
      </c>
      <c r="B123" s="12">
        <v>0.0</v>
      </c>
      <c r="C123" s="13" t="str">
        <f>IFERROR(B123/B446, "NA")</f>
        <v>NA</v>
      </c>
      <c r="D123" s="14"/>
      <c r="E123" s="12">
        <v>0.0</v>
      </c>
      <c r="F123" s="13" t="str">
        <f>IFERROR(E123/E446, "NA")</f>
        <v>NA</v>
      </c>
      <c r="G123" s="14"/>
      <c r="H123" s="12">
        <v>0.0</v>
      </c>
      <c r="I123" s="13" t="str">
        <f>IFERROR(H123/H446, "NA")</f>
        <v>NA</v>
      </c>
      <c r="J123" s="14"/>
      <c r="K123" s="12">
        <v>0.0</v>
      </c>
      <c r="L123" s="13" t="str">
        <f>IFERROR(K123/K446, "NA")</f>
        <v>NA</v>
      </c>
      <c r="M123" s="14"/>
      <c r="N123" s="12">
        <v>0.0</v>
      </c>
      <c r="O123" s="13" t="str">
        <f>IFERROR(N123/N446, "NA")</f>
        <v>NA</v>
      </c>
      <c r="P123" s="14"/>
      <c r="Q123" s="12">
        <v>0.0</v>
      </c>
      <c r="R123" s="13" t="str">
        <f>IFERROR(Q123/Q446, "NA")</f>
        <v>NA</v>
      </c>
      <c r="S123" s="14"/>
      <c r="T123" s="12">
        <v>0.0</v>
      </c>
      <c r="U123" s="13" t="str">
        <f>IFERROR(T123/T446, "NA")</f>
        <v>NA</v>
      </c>
      <c r="V123" s="14"/>
      <c r="W123" s="12">
        <v>0.0</v>
      </c>
      <c r="X123" s="13" t="str">
        <f>IFERROR(W123/W446, "NA")</f>
        <v>NA</v>
      </c>
      <c r="Y123" s="14"/>
      <c r="Z123" s="12">
        <v>0.0</v>
      </c>
      <c r="AA123" s="13" t="str">
        <f>IFERROR(Z123/Z446, "NA")</f>
        <v>NA</v>
      </c>
      <c r="AB123" s="14"/>
      <c r="AC123" s="12">
        <v>0.0</v>
      </c>
      <c r="AD123" s="13" t="str">
        <f>IFERROR(AC123/AC446, "NA")</f>
        <v>NA</v>
      </c>
      <c r="AE123" s="14"/>
      <c r="AF123" s="12">
        <v>0.0</v>
      </c>
      <c r="AG123" s="13" t="str">
        <f>IFERROR(AF123/AF446, "NA")</f>
        <v>NA</v>
      </c>
      <c r="AH123" s="14"/>
      <c r="AI123" s="12">
        <v>0.0</v>
      </c>
      <c r="AJ123" s="13" t="str">
        <f>IFERROR(AI123/AI446, "NA")</f>
        <v>NA</v>
      </c>
      <c r="AK123" s="12"/>
      <c r="AL123" s="15">
        <f t="shared" si="15"/>
        <v>0</v>
      </c>
      <c r="AM123" s="13" t="str">
        <f>IFERROR(AL123/AL446, "NA")</f>
        <v>NA</v>
      </c>
      <c r="AN123" s="12"/>
      <c r="AO123" s="12">
        <v>0.0</v>
      </c>
      <c r="AP123" s="13" t="str">
        <f>IFERROR(AO123/AO446, "NA")</f>
        <v>NA</v>
      </c>
      <c r="AQ123" s="12"/>
      <c r="AR123" s="15">
        <f t="shared" si="16"/>
        <v>0</v>
      </c>
    </row>
    <row r="124" ht="16.5" customHeight="1">
      <c r="A124" s="16" t="s">
        <v>120</v>
      </c>
      <c r="B124" s="17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8" t="str">
        <f>IFERROR(B124/B446, "NA")</f>
        <v>NA</v>
      </c>
      <c r="D124" s="8"/>
      <c r="E124" s="17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8" t="str">
        <f>IFERROR(E124/E446, "NA")</f>
        <v>NA</v>
      </c>
      <c r="G124" s="8"/>
      <c r="H124" s="17">
        <f>IFERROR(H8+H10+H11+H12+H13+H14+H15+H16+H17+H19+H21+H22+H23+H24+H25+H26+H27+H28+H31+H32+H33+H34+H35+H36+H37+H38+H39+H42+H43+H44+H46+H47+H48+H49+H50+H51+H52+H53+H54+H55+H56+H57+H58+H59+H60+H64+H65+H66+H67+H68+H69+H70+H71+H72+H75+H76+H77+H78+H79+H80+H81+H82+H83+H84+H85+H86+H87+H89+H90+H91+H92+H94+H95+H96+H97+H98+H99+H100+H101+H102+H103+H104+H105+H106+H107+H108+H109+H110+H111+H112+H113+H114+H115+H116+H117+H119+H120+H121+H123, "NA")</f>
        <v>0</v>
      </c>
      <c r="I124" s="18" t="str">
        <f>IFERROR(H124/H446, "NA")</f>
        <v>NA</v>
      </c>
      <c r="J124" s="8"/>
      <c r="K124" s="17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8" t="str">
        <f>IFERROR(K124/K446, "NA")</f>
        <v>NA</v>
      </c>
      <c r="M124" s="8"/>
      <c r="N124" s="17">
        <f>IFERROR(N8+N10+N11+N12+N13+N14+N15+N16+N17+N19+N21+N22+N23+N24+N25+N26+N27+N28+N31+N32+N33+N34+N35+N36+N37+N38+N39+N42+N43+N44+N46+N47+N48+N49+N50+N51+N52+N53+N54+N55+N56+N57+N58+N59+N60+N64+N65+N66+N67+N68+N69+N70+N71+N72+N75+N76+N77+N78+N79+N80+N81+N82+N83+N84+N85+N86+N87+N89+N90+N91+N92+N94+N95+N96+N97+N98+N99+N100+N101+N102+N103+N104+N105+N106+N107+N108+N109+N110+N111+N112+N113+N114+N115+N116+N117+N119+N120+N121+N123, "NA")</f>
        <v>0</v>
      </c>
      <c r="O124" s="18" t="str">
        <f>IFERROR(N124/N446, "NA")</f>
        <v>NA</v>
      </c>
      <c r="P124" s="8"/>
      <c r="Q124" s="17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8" t="str">
        <f>IFERROR(Q124/Q446, "NA")</f>
        <v>NA</v>
      </c>
      <c r="S124" s="8"/>
      <c r="T124" s="17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8" t="str">
        <f>IFERROR(T124/T446, "NA")</f>
        <v>NA</v>
      </c>
      <c r="V124" s="8"/>
      <c r="W124" s="17">
        <f>IFERROR(W8+W10+W11+W12+W13+W14+W15+W16+W17+W19+W21+W22+W23+W24+W25+W26+W27+W28+W31+W32+W33+W34+W35+W36+W37+W38+W39+W42+W43+W44+W46+W47+W48+W49+W50+W51+W52+W53+W54+W55+W56+W57+W58+W59+W60+W64+W65+W66+W67+W68+W69+W70+W71+W72+W75+W76+W77+W78+W79+W80+W81+W82+W83+W84+W85+W86+W87+W89+W90+W91+W92+W94+W95+W96+W97+W98+W99+W100+W101+W102+W103+W104+W105+W106+W107+W108+W109+W110+W111+W112+W113+W114+W115+W116+W117+W119+W120+W121+W123, "NA")</f>
        <v>0</v>
      </c>
      <c r="X124" s="18" t="str">
        <f>IFERROR(W124/W446, "NA")</f>
        <v>NA</v>
      </c>
      <c r="Y124" s="8"/>
      <c r="Z124" s="17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8" t="str">
        <f>IFERROR(Z124/Z446, "NA")</f>
        <v>NA</v>
      </c>
      <c r="AB124" s="8"/>
      <c r="AC124" s="17">
        <f>IFERROR(AC8+AC10+AC11+AC12+AC13+AC14+AC15+AC16+AC17+AC19+AC21+AC22+AC23+AC24+AC25+AC26+AC27+AC28+AC31+AC32+AC33+AC34+AC35+AC36+AC37+AC38+AC39+AC42+AC43+AC44+AC46+AC47+AC48+AC49+AC50+AC51+AC52+AC53+AC54+AC55+AC56+AC57+AC58+AC59+AC60+AC64+AC65+AC66+AC67+AC68+AC69+AC70+AC71+AC72+AC75+AC76+AC77+AC78+AC79+AC80+AC81+AC82+AC83+AC84+AC85+AC86+AC87+AC89+AC90+AC91+AC92+AC94+AC95+AC96+AC97+AC98+AC99+AC100+AC101+AC102+AC103+AC104+AC105+AC106+AC107+AC108+AC109+AC110+AC111+AC112+AC113+AC114+AC115+AC116+AC117+AC119+AC120+AC121+AC123, "NA")</f>
        <v>0</v>
      </c>
      <c r="AD124" s="18" t="str">
        <f>IFERROR(AC124/AC446, "NA")</f>
        <v>NA</v>
      </c>
      <c r="AE124" s="8"/>
      <c r="AF124" s="17">
        <f>IFERROR(AF8+AF10+AF11+AF12+AF13+AF14+AF15+AF16+AF17+AF19+AF21+AF22+AF23+AF24+AF25+AF26+AF27+AF28+AF31+AF32+AF33+AF34+AF35+AF36+AF37+AF38+AF39+AF42+AF43+AF44+AF46+AF47+AF48+AF49+AF50+AF51+AF52+AF53+AF54+AF55+AF56+AF57+AF58+AF59+AF60+AF64+AF65+AF66+AF67+AF68+AF69+AF70+AF71+AF72+AF75+AF76+AF77+AF78+AF79+AF80+AF81+AF82+AF83+AF84+AF85+AF86+AF87+AF89+AF90+AF91+AF92+AF94+AF95+AF96+AF97+AF98+AF99+AF100+AF101+AF102+AF103+AF104+AF105+AF106+AF107+AF108+AF109+AF110+AF111+AF112+AF113+AF114+AF115+AF116+AF117+AF119+AF120+AF121+AF123, "NA")</f>
        <v>0</v>
      </c>
      <c r="AG124" s="18" t="str">
        <f>IFERROR(AF124/AF446, "NA")</f>
        <v>NA</v>
      </c>
      <c r="AH124" s="8"/>
      <c r="AI124" s="17">
        <f>IFERROR(AI8+AI10+AI11+AI12+AI13+AI14+AI15+AI16+AI17+AI19+AI21+AI22+AI23+AI24+AI25+AI26+AI27+AI28+AI31+AI32+AI33+AI34+AI35+AI36+AI37+AI38+AI39+AI42+AI43+AI44+AI46+AI47+AI48+AI49+AI50+AI51+AI52+AI53+AI54+AI55+AI56+AI57+AI58+AI59+AI60+AI64+AI65+AI66+AI67+AI68+AI69+AI70+AI71+AI72+AI75+AI76+AI77+AI78+AI79+AI80+AI81+AI82+AI83+AI84+AI85+AI86+AI87+AI89+AI90+AI91+AI92+AI94+AI95+AI96+AI97+AI98+AI99+AI100+AI101+AI102+AI103+AI104+AI105+AI106+AI107+AI108+AI109+AI110+AI111+AI112+AI113+AI114+AI115+AI116+AI117+AI119+AI120+AI121+AI123, "NA")</f>
        <v>0</v>
      </c>
      <c r="AJ124" s="18" t="str">
        <f>IFERROR(AI124/AI446, "NA")</f>
        <v>NA</v>
      </c>
      <c r="AK124" s="8"/>
      <c r="AL124" s="17">
        <f t="shared" si="15"/>
        <v>0</v>
      </c>
      <c r="AM124" s="18" t="str">
        <f>IFERROR(AL124/AL446, "NA")</f>
        <v>NA</v>
      </c>
      <c r="AN124" s="8"/>
      <c r="AO124" s="17">
        <f>IFERROR(AO8+AO10+AO11+AO12+AO13+AO14+AO15+AO16+AO17+AO19+AO21+AO22+AO23+AO24+AO25+AO26+AO27+AO28+AO31+AO32+AO33+AO34+AO35+AO36+AO37+AO38+AO39+AO42+AO43+AO44+AO46+AO47+AO48+AO49+AO50+AO51+AO52+AO53+AO54+AO55+AO56+AO57+AO58+AO59+AO60+AO64+AO65+AO66+AO67+AO68+AO69+AO70+AO71+AO72+AO75+AO76+AO77+AO78+AO79+AO80+AO81+AO82+AO83+AO84+AO85+AO86+AO87+AO89+AO90+AO91+AO92+AO94+AO95+AO96+AO97+AO98+AO99+AO100+AO101+AO102+AO103+AO104+AO105+AO106+AO107+AO108+AO109+AO110+AO111+AO112+AO113+AO114+AO115+AO116+AO117+AO119+AO120+AO121+AO123, "NA")</f>
        <v>0</v>
      </c>
      <c r="AP124" s="18" t="str">
        <f>IFERROR(AO124/AO446, "NA")</f>
        <v>NA</v>
      </c>
      <c r="AQ124" s="8"/>
      <c r="AR124" s="17">
        <f t="shared" si="16"/>
        <v>0</v>
      </c>
    </row>
    <row r="125" ht="16.5" customHeight="1">
      <c r="A125" s="7" t="s">
        <v>122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  <c r="AE125" s="10"/>
      <c r="AF125" s="8"/>
      <c r="AG125" s="9"/>
      <c r="AH125" s="10"/>
      <c r="AI125" s="8"/>
      <c r="AJ125" s="9"/>
      <c r="AK125" s="8"/>
      <c r="AL125" s="8"/>
      <c r="AM125" s="9"/>
      <c r="AN125" s="8"/>
      <c r="AO125" s="8"/>
      <c r="AP125" s="9"/>
      <c r="AQ125" s="8"/>
      <c r="AR125" s="8"/>
    </row>
    <row r="126" ht="16.5" customHeight="1">
      <c r="A126" s="7" t="s">
        <v>123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  <c r="AE126" s="10"/>
      <c r="AF126" s="8"/>
      <c r="AG126" s="9"/>
      <c r="AH126" s="10"/>
      <c r="AI126" s="8"/>
      <c r="AJ126" s="9"/>
      <c r="AK126" s="8"/>
      <c r="AL126" s="8"/>
      <c r="AM126" s="9"/>
      <c r="AN126" s="8"/>
      <c r="AO126" s="8"/>
      <c r="AP126" s="9"/>
      <c r="AQ126" s="8"/>
      <c r="AR126" s="8"/>
    </row>
    <row r="127" ht="16.5" hidden="1" customHeight="1">
      <c r="A127" s="11" t="s">
        <v>535</v>
      </c>
      <c r="B127" s="12">
        <v>0.0</v>
      </c>
      <c r="C127" s="13" t="str">
        <f>IFERROR(B127/B446, "NA")</f>
        <v>NA</v>
      </c>
      <c r="D127" s="14"/>
      <c r="E127" s="12">
        <v>0.0</v>
      </c>
      <c r="F127" s="13" t="str">
        <f>IFERROR(E127/E446, "NA")</f>
        <v>NA</v>
      </c>
      <c r="G127" s="14"/>
      <c r="H127" s="12">
        <v>0.0</v>
      </c>
      <c r="I127" s="13" t="str">
        <f>IFERROR(H127/H446, "NA")</f>
        <v>NA</v>
      </c>
      <c r="J127" s="14"/>
      <c r="K127" s="12">
        <v>0.0</v>
      </c>
      <c r="L127" s="13" t="str">
        <f>IFERROR(K127/K446, "NA")</f>
        <v>NA</v>
      </c>
      <c r="M127" s="14"/>
      <c r="N127" s="12">
        <v>0.0</v>
      </c>
      <c r="O127" s="13" t="str">
        <f>IFERROR(N127/N446, "NA")</f>
        <v>NA</v>
      </c>
      <c r="P127" s="14"/>
      <c r="Q127" s="12">
        <v>0.0</v>
      </c>
      <c r="R127" s="13" t="str">
        <f>IFERROR(Q127/Q446, "NA")</f>
        <v>NA</v>
      </c>
      <c r="S127" s="14"/>
      <c r="T127" s="12">
        <v>0.0</v>
      </c>
      <c r="U127" s="13" t="str">
        <f>IFERROR(T127/T446, "NA")</f>
        <v>NA</v>
      </c>
      <c r="V127" s="14"/>
      <c r="W127" s="12">
        <v>0.0</v>
      </c>
      <c r="X127" s="13" t="str">
        <f>IFERROR(W127/W446, "NA")</f>
        <v>NA</v>
      </c>
      <c r="Y127" s="14"/>
      <c r="Z127" s="12">
        <v>0.0</v>
      </c>
      <c r="AA127" s="13" t="str">
        <f>IFERROR(Z127/Z446, "NA")</f>
        <v>NA</v>
      </c>
      <c r="AB127" s="14"/>
      <c r="AC127" s="12">
        <v>0.0</v>
      </c>
      <c r="AD127" s="13" t="str">
        <f>IFERROR(AC127/AC446, "NA")</f>
        <v>NA</v>
      </c>
      <c r="AE127" s="14"/>
      <c r="AF127" s="12">
        <v>0.0</v>
      </c>
      <c r="AG127" s="13" t="str">
        <f>IFERROR(AF127/AF446, "NA")</f>
        <v>NA</v>
      </c>
      <c r="AH127" s="14"/>
      <c r="AI127" s="12">
        <v>0.0</v>
      </c>
      <c r="AJ127" s="13" t="str">
        <f>IFERROR(AI127/AI446, "NA")</f>
        <v>NA</v>
      </c>
      <c r="AK127" s="12"/>
      <c r="AL127" s="15">
        <f>IFERROR(B127+E127+H127+K127+N127+Q127+T127+W127+Z127+AC127+AF127+AI127, "NA")</f>
        <v>0</v>
      </c>
      <c r="AM127" s="13" t="str">
        <f>IFERROR(AL127/AL446, "NA")</f>
        <v>NA</v>
      </c>
      <c r="AN127" s="12"/>
      <c r="AO127" s="12">
        <v>0.0</v>
      </c>
      <c r="AP127" s="13" t="str">
        <f>IFERROR(AO127/AO446, "NA")</f>
        <v>NA</v>
      </c>
      <c r="AQ127" s="12"/>
      <c r="AR127" s="15">
        <f>IFERROR(AL127-AO127, "NA")</f>
        <v>0</v>
      </c>
    </row>
    <row r="128" ht="16.5" customHeight="1">
      <c r="A128" s="7" t="s">
        <v>124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  <c r="AE128" s="10"/>
      <c r="AF128" s="8"/>
      <c r="AG128" s="9"/>
      <c r="AH128" s="10"/>
      <c r="AI128" s="8"/>
      <c r="AJ128" s="9"/>
      <c r="AK128" s="8"/>
      <c r="AL128" s="8"/>
      <c r="AM128" s="9"/>
      <c r="AN128" s="8"/>
      <c r="AO128" s="8"/>
      <c r="AP128" s="9"/>
      <c r="AQ128" s="8"/>
      <c r="AR128" s="8"/>
    </row>
    <row r="129" ht="16.5" hidden="1" customHeight="1">
      <c r="A129" s="11" t="s">
        <v>536</v>
      </c>
      <c r="B129" s="12">
        <v>0.0</v>
      </c>
      <c r="C129" s="13" t="str">
        <f>IFERROR(B129/B446, "NA")</f>
        <v>NA</v>
      </c>
      <c r="D129" s="14"/>
      <c r="E129" s="12">
        <v>0.0</v>
      </c>
      <c r="F129" s="13" t="str">
        <f>IFERROR(E129/E446, "NA")</f>
        <v>NA</v>
      </c>
      <c r="G129" s="14"/>
      <c r="H129" s="12">
        <v>0.0</v>
      </c>
      <c r="I129" s="13" t="str">
        <f>IFERROR(H129/H446, "NA")</f>
        <v>NA</v>
      </c>
      <c r="J129" s="14"/>
      <c r="K129" s="12">
        <v>0.0</v>
      </c>
      <c r="L129" s="13" t="str">
        <f>IFERROR(K129/K446, "NA")</f>
        <v>NA</v>
      </c>
      <c r="M129" s="14"/>
      <c r="N129" s="12">
        <v>0.0</v>
      </c>
      <c r="O129" s="13" t="str">
        <f>IFERROR(N129/N446, "NA")</f>
        <v>NA</v>
      </c>
      <c r="P129" s="14"/>
      <c r="Q129" s="12">
        <v>0.0</v>
      </c>
      <c r="R129" s="13" t="str">
        <f>IFERROR(Q129/Q446, "NA")</f>
        <v>NA</v>
      </c>
      <c r="S129" s="14"/>
      <c r="T129" s="12">
        <v>0.0</v>
      </c>
      <c r="U129" s="13" t="str">
        <f>IFERROR(T129/T446, "NA")</f>
        <v>NA</v>
      </c>
      <c r="V129" s="14"/>
      <c r="W129" s="12">
        <v>0.0</v>
      </c>
      <c r="X129" s="13" t="str">
        <f>IFERROR(W129/W446, "NA")</f>
        <v>NA</v>
      </c>
      <c r="Y129" s="14"/>
      <c r="Z129" s="12">
        <v>0.0</v>
      </c>
      <c r="AA129" s="13" t="str">
        <f>IFERROR(Z129/Z446, "NA")</f>
        <v>NA</v>
      </c>
      <c r="AB129" s="14"/>
      <c r="AC129" s="12">
        <v>0.0</v>
      </c>
      <c r="AD129" s="13" t="str">
        <f>IFERROR(AC129/AC446, "NA")</f>
        <v>NA</v>
      </c>
      <c r="AE129" s="14"/>
      <c r="AF129" s="12">
        <v>0.0</v>
      </c>
      <c r="AG129" s="13" t="str">
        <f>IFERROR(AF129/AF446, "NA")</f>
        <v>NA</v>
      </c>
      <c r="AH129" s="14"/>
      <c r="AI129" s="12">
        <v>0.0</v>
      </c>
      <c r="AJ129" s="13" t="str">
        <f>IFERROR(AI129/AI446, "NA")</f>
        <v>NA</v>
      </c>
      <c r="AK129" s="12"/>
      <c r="AL129" s="15">
        <f t="shared" ref="AL129:AL141" si="17">IFERROR(B129+E129+H129+K129+N129+Q129+T129+W129+Z129+AC129+AF129+AI129, "NA")</f>
        <v>0</v>
      </c>
      <c r="AM129" s="13" t="str">
        <f>IFERROR(AL129/AL446, "NA")</f>
        <v>NA</v>
      </c>
      <c r="AN129" s="12"/>
      <c r="AO129" s="12">
        <v>0.0</v>
      </c>
      <c r="AP129" s="13" t="str">
        <f>IFERROR(AO129/AO446, "NA")</f>
        <v>NA</v>
      </c>
      <c r="AQ129" s="12"/>
      <c r="AR129" s="15">
        <f t="shared" ref="AR129:AR141" si="18">IFERROR(AL129-AO129, "NA")</f>
        <v>0</v>
      </c>
    </row>
    <row r="130" ht="16.5" hidden="1" customHeight="1">
      <c r="A130" s="11" t="s">
        <v>537</v>
      </c>
      <c r="B130" s="12">
        <v>0.0</v>
      </c>
      <c r="C130" s="13" t="str">
        <f>IFERROR(B130/B446, "NA")</f>
        <v>NA</v>
      </c>
      <c r="D130" s="14"/>
      <c r="E130" s="12">
        <v>0.0</v>
      </c>
      <c r="F130" s="13" t="str">
        <f>IFERROR(E130/E446, "NA")</f>
        <v>NA</v>
      </c>
      <c r="G130" s="14"/>
      <c r="H130" s="12">
        <v>0.0</v>
      </c>
      <c r="I130" s="13" t="str">
        <f>IFERROR(H130/H446, "NA")</f>
        <v>NA</v>
      </c>
      <c r="J130" s="14"/>
      <c r="K130" s="12">
        <v>0.0</v>
      </c>
      <c r="L130" s="13" t="str">
        <f>IFERROR(K130/K446, "NA")</f>
        <v>NA</v>
      </c>
      <c r="M130" s="14"/>
      <c r="N130" s="12">
        <v>0.0</v>
      </c>
      <c r="O130" s="13" t="str">
        <f>IFERROR(N130/N446, "NA")</f>
        <v>NA</v>
      </c>
      <c r="P130" s="14"/>
      <c r="Q130" s="12">
        <v>0.0</v>
      </c>
      <c r="R130" s="13" t="str">
        <f>IFERROR(Q130/Q446, "NA")</f>
        <v>NA</v>
      </c>
      <c r="S130" s="14"/>
      <c r="T130" s="12">
        <v>0.0</v>
      </c>
      <c r="U130" s="13" t="str">
        <f>IFERROR(T130/T446, "NA")</f>
        <v>NA</v>
      </c>
      <c r="V130" s="14"/>
      <c r="W130" s="12">
        <v>0.0</v>
      </c>
      <c r="X130" s="13" t="str">
        <f>IFERROR(W130/W446, "NA")</f>
        <v>NA</v>
      </c>
      <c r="Y130" s="14"/>
      <c r="Z130" s="12">
        <v>0.0</v>
      </c>
      <c r="AA130" s="13" t="str">
        <f>IFERROR(Z130/Z446, "NA")</f>
        <v>NA</v>
      </c>
      <c r="AB130" s="14"/>
      <c r="AC130" s="12">
        <v>0.0</v>
      </c>
      <c r="AD130" s="13" t="str">
        <f>IFERROR(AC130/AC446, "NA")</f>
        <v>NA</v>
      </c>
      <c r="AE130" s="14"/>
      <c r="AF130" s="12">
        <v>0.0</v>
      </c>
      <c r="AG130" s="13" t="str">
        <f>IFERROR(AF130/AF446, "NA")</f>
        <v>NA</v>
      </c>
      <c r="AH130" s="14"/>
      <c r="AI130" s="12">
        <v>0.0</v>
      </c>
      <c r="AJ130" s="13" t="str">
        <f>IFERROR(AI130/AI446, "NA")</f>
        <v>NA</v>
      </c>
      <c r="AK130" s="12"/>
      <c r="AL130" s="15">
        <f t="shared" si="17"/>
        <v>0</v>
      </c>
      <c r="AM130" s="13" t="str">
        <f>IFERROR(AL130/AL446, "NA")</f>
        <v>NA</v>
      </c>
      <c r="AN130" s="12"/>
      <c r="AO130" s="12">
        <v>0.0</v>
      </c>
      <c r="AP130" s="13" t="str">
        <f>IFERROR(AO130/AO446, "NA")</f>
        <v>NA</v>
      </c>
      <c r="AQ130" s="12"/>
      <c r="AR130" s="15">
        <f t="shared" si="18"/>
        <v>0</v>
      </c>
    </row>
    <row r="131" ht="16.5" hidden="1" customHeight="1">
      <c r="A131" s="11" t="s">
        <v>538</v>
      </c>
      <c r="B131" s="12">
        <v>0.0</v>
      </c>
      <c r="C131" s="13" t="str">
        <f>IFERROR(B131/B446, "NA")</f>
        <v>NA</v>
      </c>
      <c r="D131" s="14"/>
      <c r="E131" s="12">
        <v>0.0</v>
      </c>
      <c r="F131" s="13" t="str">
        <f>IFERROR(E131/E446, "NA")</f>
        <v>NA</v>
      </c>
      <c r="G131" s="14"/>
      <c r="H131" s="12">
        <v>0.0</v>
      </c>
      <c r="I131" s="13" t="str">
        <f>IFERROR(H131/H446, "NA")</f>
        <v>NA</v>
      </c>
      <c r="J131" s="14"/>
      <c r="K131" s="12">
        <v>0.0</v>
      </c>
      <c r="L131" s="13" t="str">
        <f>IFERROR(K131/K446, "NA")</f>
        <v>NA</v>
      </c>
      <c r="M131" s="14"/>
      <c r="N131" s="12">
        <v>0.0</v>
      </c>
      <c r="O131" s="13" t="str">
        <f>IFERROR(N131/N446, "NA")</f>
        <v>NA</v>
      </c>
      <c r="P131" s="14"/>
      <c r="Q131" s="12">
        <v>0.0</v>
      </c>
      <c r="R131" s="13" t="str">
        <f>IFERROR(Q131/Q446, "NA")</f>
        <v>NA</v>
      </c>
      <c r="S131" s="14"/>
      <c r="T131" s="12">
        <v>0.0</v>
      </c>
      <c r="U131" s="13" t="str">
        <f>IFERROR(T131/T446, "NA")</f>
        <v>NA</v>
      </c>
      <c r="V131" s="14"/>
      <c r="W131" s="12">
        <v>0.0</v>
      </c>
      <c r="X131" s="13" t="str">
        <f>IFERROR(W131/W446, "NA")</f>
        <v>NA</v>
      </c>
      <c r="Y131" s="14"/>
      <c r="Z131" s="12">
        <v>0.0</v>
      </c>
      <c r="AA131" s="13" t="str">
        <f>IFERROR(Z131/Z446, "NA")</f>
        <v>NA</v>
      </c>
      <c r="AB131" s="14"/>
      <c r="AC131" s="12">
        <v>0.0</v>
      </c>
      <c r="AD131" s="13" t="str">
        <f>IFERROR(AC131/AC446, "NA")</f>
        <v>NA</v>
      </c>
      <c r="AE131" s="14"/>
      <c r="AF131" s="12">
        <v>0.0</v>
      </c>
      <c r="AG131" s="13" t="str">
        <f>IFERROR(AF131/AF446, "NA")</f>
        <v>NA</v>
      </c>
      <c r="AH131" s="14"/>
      <c r="AI131" s="12">
        <v>0.0</v>
      </c>
      <c r="AJ131" s="13" t="str">
        <f>IFERROR(AI131/AI446, "NA")</f>
        <v>NA</v>
      </c>
      <c r="AK131" s="12"/>
      <c r="AL131" s="15">
        <f t="shared" si="17"/>
        <v>0</v>
      </c>
      <c r="AM131" s="13" t="str">
        <f>IFERROR(AL131/AL446, "NA")</f>
        <v>NA</v>
      </c>
      <c r="AN131" s="12"/>
      <c r="AO131" s="12">
        <v>0.0</v>
      </c>
      <c r="AP131" s="13" t="str">
        <f>IFERROR(AO131/AO446, "NA")</f>
        <v>NA</v>
      </c>
      <c r="AQ131" s="12"/>
      <c r="AR131" s="15">
        <f t="shared" si="18"/>
        <v>0</v>
      </c>
    </row>
    <row r="132" ht="16.5" hidden="1" customHeight="1">
      <c r="A132" s="11" t="s">
        <v>539</v>
      </c>
      <c r="B132" s="12">
        <v>0.0</v>
      </c>
      <c r="C132" s="13" t="str">
        <f>IFERROR(B132/B446, "NA")</f>
        <v>NA</v>
      </c>
      <c r="D132" s="14"/>
      <c r="E132" s="12">
        <v>0.0</v>
      </c>
      <c r="F132" s="13" t="str">
        <f>IFERROR(E132/E446, "NA")</f>
        <v>NA</v>
      </c>
      <c r="G132" s="14"/>
      <c r="H132" s="12">
        <v>0.0</v>
      </c>
      <c r="I132" s="13" t="str">
        <f>IFERROR(H132/H446, "NA")</f>
        <v>NA</v>
      </c>
      <c r="J132" s="14"/>
      <c r="K132" s="12">
        <v>0.0</v>
      </c>
      <c r="L132" s="13" t="str">
        <f>IFERROR(K132/K446, "NA")</f>
        <v>NA</v>
      </c>
      <c r="M132" s="14"/>
      <c r="N132" s="12">
        <v>0.0</v>
      </c>
      <c r="O132" s="13" t="str">
        <f>IFERROR(N132/N446, "NA")</f>
        <v>NA</v>
      </c>
      <c r="P132" s="14"/>
      <c r="Q132" s="12">
        <v>0.0</v>
      </c>
      <c r="R132" s="13" t="str">
        <f>IFERROR(Q132/Q446, "NA")</f>
        <v>NA</v>
      </c>
      <c r="S132" s="14"/>
      <c r="T132" s="12">
        <v>0.0</v>
      </c>
      <c r="U132" s="13" t="str">
        <f>IFERROR(T132/T446, "NA")</f>
        <v>NA</v>
      </c>
      <c r="V132" s="14"/>
      <c r="W132" s="12">
        <v>0.0</v>
      </c>
      <c r="X132" s="13" t="str">
        <f>IFERROR(W132/W446, "NA")</f>
        <v>NA</v>
      </c>
      <c r="Y132" s="14"/>
      <c r="Z132" s="12">
        <v>0.0</v>
      </c>
      <c r="AA132" s="13" t="str">
        <f>IFERROR(Z132/Z446, "NA")</f>
        <v>NA</v>
      </c>
      <c r="AB132" s="14"/>
      <c r="AC132" s="12">
        <v>0.0</v>
      </c>
      <c r="AD132" s="13" t="str">
        <f>IFERROR(AC132/AC446, "NA")</f>
        <v>NA</v>
      </c>
      <c r="AE132" s="14"/>
      <c r="AF132" s="12">
        <v>0.0</v>
      </c>
      <c r="AG132" s="13" t="str">
        <f>IFERROR(AF132/AF446, "NA")</f>
        <v>NA</v>
      </c>
      <c r="AH132" s="14"/>
      <c r="AI132" s="12">
        <v>0.0</v>
      </c>
      <c r="AJ132" s="13" t="str">
        <f>IFERROR(AI132/AI446, "NA")</f>
        <v>NA</v>
      </c>
      <c r="AK132" s="12"/>
      <c r="AL132" s="15">
        <f t="shared" si="17"/>
        <v>0</v>
      </c>
      <c r="AM132" s="13" t="str">
        <f>IFERROR(AL132/AL446, "NA")</f>
        <v>NA</v>
      </c>
      <c r="AN132" s="12"/>
      <c r="AO132" s="12">
        <v>0.0</v>
      </c>
      <c r="AP132" s="13" t="str">
        <f>IFERROR(AO132/AO446, "NA")</f>
        <v>NA</v>
      </c>
      <c r="AQ132" s="12"/>
      <c r="AR132" s="15">
        <f t="shared" si="18"/>
        <v>0</v>
      </c>
    </row>
    <row r="133" ht="16.5" hidden="1" customHeight="1">
      <c r="A133" s="11" t="s">
        <v>540</v>
      </c>
      <c r="B133" s="12">
        <v>0.0</v>
      </c>
      <c r="C133" s="13" t="str">
        <f>IFERROR(B133/B446, "NA")</f>
        <v>NA</v>
      </c>
      <c r="D133" s="14"/>
      <c r="E133" s="12">
        <v>0.0</v>
      </c>
      <c r="F133" s="13" t="str">
        <f>IFERROR(E133/E446, "NA")</f>
        <v>NA</v>
      </c>
      <c r="G133" s="14"/>
      <c r="H133" s="12">
        <v>0.0</v>
      </c>
      <c r="I133" s="13" t="str">
        <f>IFERROR(H133/H446, "NA")</f>
        <v>NA</v>
      </c>
      <c r="J133" s="14"/>
      <c r="K133" s="12">
        <v>0.0</v>
      </c>
      <c r="L133" s="13" t="str">
        <f>IFERROR(K133/K446, "NA")</f>
        <v>NA</v>
      </c>
      <c r="M133" s="14"/>
      <c r="N133" s="12">
        <v>0.0</v>
      </c>
      <c r="O133" s="13" t="str">
        <f>IFERROR(N133/N446, "NA")</f>
        <v>NA</v>
      </c>
      <c r="P133" s="14"/>
      <c r="Q133" s="12">
        <v>0.0</v>
      </c>
      <c r="R133" s="13" t="str">
        <f>IFERROR(Q133/Q446, "NA")</f>
        <v>NA</v>
      </c>
      <c r="S133" s="14"/>
      <c r="T133" s="12">
        <v>0.0</v>
      </c>
      <c r="U133" s="13" t="str">
        <f>IFERROR(T133/T446, "NA")</f>
        <v>NA</v>
      </c>
      <c r="V133" s="14"/>
      <c r="W133" s="12">
        <v>0.0</v>
      </c>
      <c r="X133" s="13" t="str">
        <f>IFERROR(W133/W446, "NA")</f>
        <v>NA</v>
      </c>
      <c r="Y133" s="14"/>
      <c r="Z133" s="12">
        <v>0.0</v>
      </c>
      <c r="AA133" s="13" t="str">
        <f>IFERROR(Z133/Z446, "NA")</f>
        <v>NA</v>
      </c>
      <c r="AB133" s="14"/>
      <c r="AC133" s="12">
        <v>0.0</v>
      </c>
      <c r="AD133" s="13" t="str">
        <f>IFERROR(AC133/AC446, "NA")</f>
        <v>NA</v>
      </c>
      <c r="AE133" s="14"/>
      <c r="AF133" s="12">
        <v>0.0</v>
      </c>
      <c r="AG133" s="13" t="str">
        <f>IFERROR(AF133/AF446, "NA")</f>
        <v>NA</v>
      </c>
      <c r="AH133" s="14"/>
      <c r="AI133" s="12">
        <v>0.0</v>
      </c>
      <c r="AJ133" s="13" t="str">
        <f>IFERROR(AI133/AI446, "NA")</f>
        <v>NA</v>
      </c>
      <c r="AK133" s="12"/>
      <c r="AL133" s="15">
        <f t="shared" si="17"/>
        <v>0</v>
      </c>
      <c r="AM133" s="13" t="str">
        <f>IFERROR(AL133/AL446, "NA")</f>
        <v>NA</v>
      </c>
      <c r="AN133" s="12"/>
      <c r="AO133" s="12">
        <v>0.0</v>
      </c>
      <c r="AP133" s="13" t="str">
        <f>IFERROR(AO133/AO446, "NA")</f>
        <v>NA</v>
      </c>
      <c r="AQ133" s="12"/>
      <c r="AR133" s="15">
        <f t="shared" si="18"/>
        <v>0</v>
      </c>
    </row>
    <row r="134" ht="16.5" hidden="1" customHeight="1">
      <c r="A134" s="11" t="s">
        <v>541</v>
      </c>
      <c r="B134" s="12">
        <v>0.0</v>
      </c>
      <c r="C134" s="13" t="str">
        <f>IFERROR(B134/B446, "NA")</f>
        <v>NA</v>
      </c>
      <c r="D134" s="14"/>
      <c r="E134" s="12">
        <v>0.0</v>
      </c>
      <c r="F134" s="13" t="str">
        <f>IFERROR(E134/E446, "NA")</f>
        <v>NA</v>
      </c>
      <c r="G134" s="14"/>
      <c r="H134" s="12">
        <v>0.0</v>
      </c>
      <c r="I134" s="13" t="str">
        <f>IFERROR(H134/H446, "NA")</f>
        <v>NA</v>
      </c>
      <c r="J134" s="14"/>
      <c r="K134" s="12">
        <v>0.0</v>
      </c>
      <c r="L134" s="13" t="str">
        <f>IFERROR(K134/K446, "NA")</f>
        <v>NA</v>
      </c>
      <c r="M134" s="14"/>
      <c r="N134" s="12">
        <v>0.0</v>
      </c>
      <c r="O134" s="13" t="str">
        <f>IFERROR(N134/N446, "NA")</f>
        <v>NA</v>
      </c>
      <c r="P134" s="14"/>
      <c r="Q134" s="12">
        <v>0.0</v>
      </c>
      <c r="R134" s="13" t="str">
        <f>IFERROR(Q134/Q446, "NA")</f>
        <v>NA</v>
      </c>
      <c r="S134" s="14"/>
      <c r="T134" s="12">
        <v>0.0</v>
      </c>
      <c r="U134" s="13" t="str">
        <f>IFERROR(T134/T446, "NA")</f>
        <v>NA</v>
      </c>
      <c r="V134" s="14"/>
      <c r="W134" s="12">
        <v>0.0</v>
      </c>
      <c r="X134" s="13" t="str">
        <f>IFERROR(W134/W446, "NA")</f>
        <v>NA</v>
      </c>
      <c r="Y134" s="14"/>
      <c r="Z134" s="12">
        <v>0.0</v>
      </c>
      <c r="AA134" s="13" t="str">
        <f>IFERROR(Z134/Z446, "NA")</f>
        <v>NA</v>
      </c>
      <c r="AB134" s="14"/>
      <c r="AC134" s="12">
        <v>0.0</v>
      </c>
      <c r="AD134" s="13" t="str">
        <f>IFERROR(AC134/AC446, "NA")</f>
        <v>NA</v>
      </c>
      <c r="AE134" s="14"/>
      <c r="AF134" s="12">
        <v>0.0</v>
      </c>
      <c r="AG134" s="13" t="str">
        <f>IFERROR(AF134/AF446, "NA")</f>
        <v>NA</v>
      </c>
      <c r="AH134" s="14"/>
      <c r="AI134" s="12">
        <v>0.0</v>
      </c>
      <c r="AJ134" s="13" t="str">
        <f>IFERROR(AI134/AI446, "NA")</f>
        <v>NA</v>
      </c>
      <c r="AK134" s="12"/>
      <c r="AL134" s="15">
        <f t="shared" si="17"/>
        <v>0</v>
      </c>
      <c r="AM134" s="13" t="str">
        <f>IFERROR(AL134/AL446, "NA")</f>
        <v>NA</v>
      </c>
      <c r="AN134" s="12"/>
      <c r="AO134" s="12">
        <v>0.0</v>
      </c>
      <c r="AP134" s="13" t="str">
        <f>IFERROR(AO134/AO446, "NA")</f>
        <v>NA</v>
      </c>
      <c r="AQ134" s="12"/>
      <c r="AR134" s="15">
        <f t="shared" si="18"/>
        <v>0</v>
      </c>
    </row>
    <row r="135" ht="16.5" hidden="1" customHeight="1">
      <c r="A135" s="11" t="s">
        <v>542</v>
      </c>
      <c r="B135" s="12">
        <v>0.0</v>
      </c>
      <c r="C135" s="13" t="str">
        <f>IFERROR(B135/B446, "NA")</f>
        <v>NA</v>
      </c>
      <c r="D135" s="14"/>
      <c r="E135" s="12">
        <v>0.0</v>
      </c>
      <c r="F135" s="13" t="str">
        <f>IFERROR(E135/E446, "NA")</f>
        <v>NA</v>
      </c>
      <c r="G135" s="14"/>
      <c r="H135" s="12">
        <v>0.0</v>
      </c>
      <c r="I135" s="13" t="str">
        <f>IFERROR(H135/H446, "NA")</f>
        <v>NA</v>
      </c>
      <c r="J135" s="14"/>
      <c r="K135" s="12">
        <v>0.0</v>
      </c>
      <c r="L135" s="13" t="str">
        <f>IFERROR(K135/K446, "NA")</f>
        <v>NA</v>
      </c>
      <c r="M135" s="14"/>
      <c r="N135" s="12">
        <v>0.0</v>
      </c>
      <c r="O135" s="13" t="str">
        <f>IFERROR(N135/N446, "NA")</f>
        <v>NA</v>
      </c>
      <c r="P135" s="14"/>
      <c r="Q135" s="12">
        <v>0.0</v>
      </c>
      <c r="R135" s="13" t="str">
        <f>IFERROR(Q135/Q446, "NA")</f>
        <v>NA</v>
      </c>
      <c r="S135" s="14"/>
      <c r="T135" s="12">
        <v>0.0</v>
      </c>
      <c r="U135" s="13" t="str">
        <f>IFERROR(T135/T446, "NA")</f>
        <v>NA</v>
      </c>
      <c r="V135" s="14"/>
      <c r="W135" s="12">
        <v>0.0</v>
      </c>
      <c r="X135" s="13" t="str">
        <f>IFERROR(W135/W446, "NA")</f>
        <v>NA</v>
      </c>
      <c r="Y135" s="14"/>
      <c r="Z135" s="12">
        <v>0.0</v>
      </c>
      <c r="AA135" s="13" t="str">
        <f>IFERROR(Z135/Z446, "NA")</f>
        <v>NA</v>
      </c>
      <c r="AB135" s="14"/>
      <c r="AC135" s="12">
        <v>0.0</v>
      </c>
      <c r="AD135" s="13" t="str">
        <f>IFERROR(AC135/AC446, "NA")</f>
        <v>NA</v>
      </c>
      <c r="AE135" s="14"/>
      <c r="AF135" s="12">
        <v>0.0</v>
      </c>
      <c r="AG135" s="13" t="str">
        <f>IFERROR(AF135/AF446, "NA")</f>
        <v>NA</v>
      </c>
      <c r="AH135" s="14"/>
      <c r="AI135" s="12">
        <v>0.0</v>
      </c>
      <c r="AJ135" s="13" t="str">
        <f>IFERROR(AI135/AI446, "NA")</f>
        <v>NA</v>
      </c>
      <c r="AK135" s="12"/>
      <c r="AL135" s="15">
        <f t="shared" si="17"/>
        <v>0</v>
      </c>
      <c r="AM135" s="13" t="str">
        <f>IFERROR(AL135/AL446, "NA")</f>
        <v>NA</v>
      </c>
      <c r="AN135" s="12"/>
      <c r="AO135" s="12">
        <v>0.0</v>
      </c>
      <c r="AP135" s="13" t="str">
        <f>IFERROR(AO135/AO446, "NA")</f>
        <v>NA</v>
      </c>
      <c r="AQ135" s="12"/>
      <c r="AR135" s="15">
        <f t="shared" si="18"/>
        <v>0</v>
      </c>
    </row>
    <row r="136" ht="16.5" hidden="1" customHeight="1">
      <c r="A136" s="11" t="s">
        <v>543</v>
      </c>
      <c r="B136" s="12">
        <v>0.0</v>
      </c>
      <c r="C136" s="13" t="str">
        <f>IFERROR(B136/B446, "NA")</f>
        <v>NA</v>
      </c>
      <c r="D136" s="14"/>
      <c r="E136" s="12">
        <v>0.0</v>
      </c>
      <c r="F136" s="13" t="str">
        <f>IFERROR(E136/E446, "NA")</f>
        <v>NA</v>
      </c>
      <c r="G136" s="14"/>
      <c r="H136" s="12">
        <v>0.0</v>
      </c>
      <c r="I136" s="13" t="str">
        <f>IFERROR(H136/H446, "NA")</f>
        <v>NA</v>
      </c>
      <c r="J136" s="14"/>
      <c r="K136" s="12">
        <v>0.0</v>
      </c>
      <c r="L136" s="13" t="str">
        <f>IFERROR(K136/K446, "NA")</f>
        <v>NA</v>
      </c>
      <c r="M136" s="14"/>
      <c r="N136" s="12">
        <v>0.0</v>
      </c>
      <c r="O136" s="13" t="str">
        <f>IFERROR(N136/N446, "NA")</f>
        <v>NA</v>
      </c>
      <c r="P136" s="14"/>
      <c r="Q136" s="12">
        <v>0.0</v>
      </c>
      <c r="R136" s="13" t="str">
        <f>IFERROR(Q136/Q446, "NA")</f>
        <v>NA</v>
      </c>
      <c r="S136" s="14"/>
      <c r="T136" s="12">
        <v>0.0</v>
      </c>
      <c r="U136" s="13" t="str">
        <f>IFERROR(T136/T446, "NA")</f>
        <v>NA</v>
      </c>
      <c r="V136" s="14"/>
      <c r="W136" s="12">
        <v>0.0</v>
      </c>
      <c r="X136" s="13" t="str">
        <f>IFERROR(W136/W446, "NA")</f>
        <v>NA</v>
      </c>
      <c r="Y136" s="14"/>
      <c r="Z136" s="12">
        <v>0.0</v>
      </c>
      <c r="AA136" s="13" t="str">
        <f>IFERROR(Z136/Z446, "NA")</f>
        <v>NA</v>
      </c>
      <c r="AB136" s="14"/>
      <c r="AC136" s="12">
        <v>0.0</v>
      </c>
      <c r="AD136" s="13" t="str">
        <f>IFERROR(AC136/AC446, "NA")</f>
        <v>NA</v>
      </c>
      <c r="AE136" s="14"/>
      <c r="AF136" s="12">
        <v>0.0</v>
      </c>
      <c r="AG136" s="13" t="str">
        <f>IFERROR(AF136/AF446, "NA")</f>
        <v>NA</v>
      </c>
      <c r="AH136" s="14"/>
      <c r="AI136" s="12">
        <v>0.0</v>
      </c>
      <c r="AJ136" s="13" t="str">
        <f>IFERROR(AI136/AI446, "NA")</f>
        <v>NA</v>
      </c>
      <c r="AK136" s="12"/>
      <c r="AL136" s="15">
        <f t="shared" si="17"/>
        <v>0</v>
      </c>
      <c r="AM136" s="13" t="str">
        <f>IFERROR(AL136/AL446, "NA")</f>
        <v>NA</v>
      </c>
      <c r="AN136" s="12"/>
      <c r="AO136" s="12">
        <v>0.0</v>
      </c>
      <c r="AP136" s="13" t="str">
        <f>IFERROR(AO136/AO446, "NA")</f>
        <v>NA</v>
      </c>
      <c r="AQ136" s="12"/>
      <c r="AR136" s="15">
        <f t="shared" si="18"/>
        <v>0</v>
      </c>
    </row>
    <row r="137" ht="16.5" hidden="1" customHeight="1">
      <c r="A137" s="11" t="s">
        <v>544</v>
      </c>
      <c r="B137" s="12">
        <v>0.0</v>
      </c>
      <c r="C137" s="13" t="str">
        <f>IFERROR(B137/B446, "NA")</f>
        <v>NA</v>
      </c>
      <c r="D137" s="14"/>
      <c r="E137" s="12">
        <v>0.0</v>
      </c>
      <c r="F137" s="13" t="str">
        <f>IFERROR(E137/E446, "NA")</f>
        <v>NA</v>
      </c>
      <c r="G137" s="14"/>
      <c r="H137" s="12">
        <v>0.0</v>
      </c>
      <c r="I137" s="13" t="str">
        <f>IFERROR(H137/H446, "NA")</f>
        <v>NA</v>
      </c>
      <c r="J137" s="14"/>
      <c r="K137" s="12">
        <v>0.0</v>
      </c>
      <c r="L137" s="13" t="str">
        <f>IFERROR(K137/K446, "NA")</f>
        <v>NA</v>
      </c>
      <c r="M137" s="14"/>
      <c r="N137" s="12">
        <v>0.0</v>
      </c>
      <c r="O137" s="13" t="str">
        <f>IFERROR(N137/N446, "NA")</f>
        <v>NA</v>
      </c>
      <c r="P137" s="14"/>
      <c r="Q137" s="12">
        <v>0.0</v>
      </c>
      <c r="R137" s="13" t="str">
        <f>IFERROR(Q137/Q446, "NA")</f>
        <v>NA</v>
      </c>
      <c r="S137" s="14"/>
      <c r="T137" s="12">
        <v>0.0</v>
      </c>
      <c r="U137" s="13" t="str">
        <f>IFERROR(T137/T446, "NA")</f>
        <v>NA</v>
      </c>
      <c r="V137" s="14"/>
      <c r="W137" s="12">
        <v>0.0</v>
      </c>
      <c r="X137" s="13" t="str">
        <f>IFERROR(W137/W446, "NA")</f>
        <v>NA</v>
      </c>
      <c r="Y137" s="14"/>
      <c r="Z137" s="12">
        <v>0.0</v>
      </c>
      <c r="AA137" s="13" t="str">
        <f>IFERROR(Z137/Z446, "NA")</f>
        <v>NA</v>
      </c>
      <c r="AB137" s="14"/>
      <c r="AC137" s="12">
        <v>0.0</v>
      </c>
      <c r="AD137" s="13" t="str">
        <f>IFERROR(AC137/AC446, "NA")</f>
        <v>NA</v>
      </c>
      <c r="AE137" s="14"/>
      <c r="AF137" s="12">
        <v>0.0</v>
      </c>
      <c r="AG137" s="13" t="str">
        <f>IFERROR(AF137/AF446, "NA")</f>
        <v>NA</v>
      </c>
      <c r="AH137" s="14"/>
      <c r="AI137" s="12">
        <v>0.0</v>
      </c>
      <c r="AJ137" s="13" t="str">
        <f>IFERROR(AI137/AI446, "NA")</f>
        <v>NA</v>
      </c>
      <c r="AK137" s="12"/>
      <c r="AL137" s="15">
        <f t="shared" si="17"/>
        <v>0</v>
      </c>
      <c r="AM137" s="13" t="str">
        <f>IFERROR(AL137/AL446, "NA")</f>
        <v>NA</v>
      </c>
      <c r="AN137" s="12"/>
      <c r="AO137" s="12">
        <v>0.0</v>
      </c>
      <c r="AP137" s="13" t="str">
        <f>IFERROR(AO137/AO446, "NA")</f>
        <v>NA</v>
      </c>
      <c r="AQ137" s="12"/>
      <c r="AR137" s="15">
        <f t="shared" si="18"/>
        <v>0</v>
      </c>
    </row>
    <row r="138" ht="16.5" hidden="1" customHeight="1">
      <c r="A138" s="11" t="s">
        <v>545</v>
      </c>
      <c r="B138" s="12">
        <v>0.0</v>
      </c>
      <c r="C138" s="13" t="str">
        <f>IFERROR(B138/B446, "NA")</f>
        <v>NA</v>
      </c>
      <c r="D138" s="14"/>
      <c r="E138" s="12">
        <v>0.0</v>
      </c>
      <c r="F138" s="13" t="str">
        <f>IFERROR(E138/E446, "NA")</f>
        <v>NA</v>
      </c>
      <c r="G138" s="14"/>
      <c r="H138" s="12">
        <v>0.0</v>
      </c>
      <c r="I138" s="13" t="str">
        <f>IFERROR(H138/H446, "NA")</f>
        <v>NA</v>
      </c>
      <c r="J138" s="14"/>
      <c r="K138" s="12">
        <v>0.0</v>
      </c>
      <c r="L138" s="13" t="str">
        <f>IFERROR(K138/K446, "NA")</f>
        <v>NA</v>
      </c>
      <c r="M138" s="14"/>
      <c r="N138" s="12">
        <v>0.0</v>
      </c>
      <c r="O138" s="13" t="str">
        <f>IFERROR(N138/N446, "NA")</f>
        <v>NA</v>
      </c>
      <c r="P138" s="14"/>
      <c r="Q138" s="12">
        <v>0.0</v>
      </c>
      <c r="R138" s="13" t="str">
        <f>IFERROR(Q138/Q446, "NA")</f>
        <v>NA</v>
      </c>
      <c r="S138" s="14"/>
      <c r="T138" s="12">
        <v>0.0</v>
      </c>
      <c r="U138" s="13" t="str">
        <f>IFERROR(T138/T446, "NA")</f>
        <v>NA</v>
      </c>
      <c r="V138" s="14"/>
      <c r="W138" s="12">
        <v>0.0</v>
      </c>
      <c r="X138" s="13" t="str">
        <f>IFERROR(W138/W446, "NA")</f>
        <v>NA</v>
      </c>
      <c r="Y138" s="14"/>
      <c r="Z138" s="12">
        <v>0.0</v>
      </c>
      <c r="AA138" s="13" t="str">
        <f>IFERROR(Z138/Z446, "NA")</f>
        <v>NA</v>
      </c>
      <c r="AB138" s="14"/>
      <c r="AC138" s="12">
        <v>0.0</v>
      </c>
      <c r="AD138" s="13" t="str">
        <f>IFERROR(AC138/AC446, "NA")</f>
        <v>NA</v>
      </c>
      <c r="AE138" s="14"/>
      <c r="AF138" s="12">
        <v>0.0</v>
      </c>
      <c r="AG138" s="13" t="str">
        <f>IFERROR(AF138/AF446, "NA")</f>
        <v>NA</v>
      </c>
      <c r="AH138" s="14"/>
      <c r="AI138" s="12">
        <v>0.0</v>
      </c>
      <c r="AJ138" s="13" t="str">
        <f>IFERROR(AI138/AI446, "NA")</f>
        <v>NA</v>
      </c>
      <c r="AK138" s="12"/>
      <c r="AL138" s="15">
        <f t="shared" si="17"/>
        <v>0</v>
      </c>
      <c r="AM138" s="13" t="str">
        <f>IFERROR(AL138/AL446, "NA")</f>
        <v>NA</v>
      </c>
      <c r="AN138" s="12"/>
      <c r="AO138" s="12">
        <v>0.0</v>
      </c>
      <c r="AP138" s="13" t="str">
        <f>IFERROR(AO138/AO446, "NA")</f>
        <v>NA</v>
      </c>
      <c r="AQ138" s="12"/>
      <c r="AR138" s="15">
        <f t="shared" si="18"/>
        <v>0</v>
      </c>
    </row>
    <row r="139" ht="16.5" hidden="1" customHeight="1">
      <c r="A139" s="11" t="s">
        <v>546</v>
      </c>
      <c r="B139" s="12">
        <v>0.0</v>
      </c>
      <c r="C139" s="13" t="str">
        <f>IFERROR(B139/B446, "NA")</f>
        <v>NA</v>
      </c>
      <c r="D139" s="14"/>
      <c r="E139" s="12">
        <v>0.0</v>
      </c>
      <c r="F139" s="13" t="str">
        <f>IFERROR(E139/E446, "NA")</f>
        <v>NA</v>
      </c>
      <c r="G139" s="14"/>
      <c r="H139" s="12">
        <v>0.0</v>
      </c>
      <c r="I139" s="13" t="str">
        <f>IFERROR(H139/H446, "NA")</f>
        <v>NA</v>
      </c>
      <c r="J139" s="14"/>
      <c r="K139" s="12">
        <v>0.0</v>
      </c>
      <c r="L139" s="13" t="str">
        <f>IFERROR(K139/K446, "NA")</f>
        <v>NA</v>
      </c>
      <c r="M139" s="14"/>
      <c r="N139" s="12">
        <v>0.0</v>
      </c>
      <c r="O139" s="13" t="str">
        <f>IFERROR(N139/N446, "NA")</f>
        <v>NA</v>
      </c>
      <c r="P139" s="14"/>
      <c r="Q139" s="12">
        <v>0.0</v>
      </c>
      <c r="R139" s="13" t="str">
        <f>IFERROR(Q139/Q446, "NA")</f>
        <v>NA</v>
      </c>
      <c r="S139" s="14"/>
      <c r="T139" s="12">
        <v>0.0</v>
      </c>
      <c r="U139" s="13" t="str">
        <f>IFERROR(T139/T446, "NA")</f>
        <v>NA</v>
      </c>
      <c r="V139" s="14"/>
      <c r="W139" s="12">
        <v>0.0</v>
      </c>
      <c r="X139" s="13" t="str">
        <f>IFERROR(W139/W446, "NA")</f>
        <v>NA</v>
      </c>
      <c r="Y139" s="14"/>
      <c r="Z139" s="12">
        <v>0.0</v>
      </c>
      <c r="AA139" s="13" t="str">
        <f>IFERROR(Z139/Z446, "NA")</f>
        <v>NA</v>
      </c>
      <c r="AB139" s="14"/>
      <c r="AC139" s="12">
        <v>0.0</v>
      </c>
      <c r="AD139" s="13" t="str">
        <f>IFERROR(AC139/AC446, "NA")</f>
        <v>NA</v>
      </c>
      <c r="AE139" s="14"/>
      <c r="AF139" s="12">
        <v>0.0</v>
      </c>
      <c r="AG139" s="13" t="str">
        <f>IFERROR(AF139/AF446, "NA")</f>
        <v>NA</v>
      </c>
      <c r="AH139" s="14"/>
      <c r="AI139" s="12">
        <v>0.0</v>
      </c>
      <c r="AJ139" s="13" t="str">
        <f>IFERROR(AI139/AI446, "NA")</f>
        <v>NA</v>
      </c>
      <c r="AK139" s="12"/>
      <c r="AL139" s="15">
        <f t="shared" si="17"/>
        <v>0</v>
      </c>
      <c r="AM139" s="13" t="str">
        <f>IFERROR(AL139/AL446, "NA")</f>
        <v>NA</v>
      </c>
      <c r="AN139" s="12"/>
      <c r="AO139" s="12">
        <v>0.0</v>
      </c>
      <c r="AP139" s="13" t="str">
        <f>IFERROR(AO139/AO446, "NA")</f>
        <v>NA</v>
      </c>
      <c r="AQ139" s="12"/>
      <c r="AR139" s="15">
        <f t="shared" si="18"/>
        <v>0</v>
      </c>
    </row>
    <row r="140" ht="16.5" hidden="1" customHeight="1">
      <c r="A140" s="11" t="s">
        <v>547</v>
      </c>
      <c r="B140" s="12">
        <v>0.0</v>
      </c>
      <c r="C140" s="13" t="str">
        <f>IFERROR(B140/B446, "NA")</f>
        <v>NA</v>
      </c>
      <c r="D140" s="14"/>
      <c r="E140" s="12">
        <v>0.0</v>
      </c>
      <c r="F140" s="13" t="str">
        <f>IFERROR(E140/E446, "NA")</f>
        <v>NA</v>
      </c>
      <c r="G140" s="14"/>
      <c r="H140" s="12">
        <v>0.0</v>
      </c>
      <c r="I140" s="13" t="str">
        <f>IFERROR(H140/H446, "NA")</f>
        <v>NA</v>
      </c>
      <c r="J140" s="14"/>
      <c r="K140" s="12">
        <v>0.0</v>
      </c>
      <c r="L140" s="13" t="str">
        <f>IFERROR(K140/K446, "NA")</f>
        <v>NA</v>
      </c>
      <c r="M140" s="14"/>
      <c r="N140" s="12">
        <v>0.0</v>
      </c>
      <c r="O140" s="13" t="str">
        <f>IFERROR(N140/N446, "NA")</f>
        <v>NA</v>
      </c>
      <c r="P140" s="14"/>
      <c r="Q140" s="12">
        <v>0.0</v>
      </c>
      <c r="R140" s="13" t="str">
        <f>IFERROR(Q140/Q446, "NA")</f>
        <v>NA</v>
      </c>
      <c r="S140" s="14"/>
      <c r="T140" s="12">
        <v>0.0</v>
      </c>
      <c r="U140" s="13" t="str">
        <f>IFERROR(T140/T446, "NA")</f>
        <v>NA</v>
      </c>
      <c r="V140" s="14"/>
      <c r="W140" s="12">
        <v>0.0</v>
      </c>
      <c r="X140" s="13" t="str">
        <f>IFERROR(W140/W446, "NA")</f>
        <v>NA</v>
      </c>
      <c r="Y140" s="14"/>
      <c r="Z140" s="12">
        <v>0.0</v>
      </c>
      <c r="AA140" s="13" t="str">
        <f>IFERROR(Z140/Z446, "NA")</f>
        <v>NA</v>
      </c>
      <c r="AB140" s="14"/>
      <c r="AC140" s="12">
        <v>0.0</v>
      </c>
      <c r="AD140" s="13" t="str">
        <f>IFERROR(AC140/AC446, "NA")</f>
        <v>NA</v>
      </c>
      <c r="AE140" s="14"/>
      <c r="AF140" s="12">
        <v>0.0</v>
      </c>
      <c r="AG140" s="13" t="str">
        <f>IFERROR(AF140/AF446, "NA")</f>
        <v>NA</v>
      </c>
      <c r="AH140" s="14"/>
      <c r="AI140" s="12">
        <v>0.0</v>
      </c>
      <c r="AJ140" s="13" t="str">
        <f>IFERROR(AI140/AI446, "NA")</f>
        <v>NA</v>
      </c>
      <c r="AK140" s="12"/>
      <c r="AL140" s="15">
        <f t="shared" si="17"/>
        <v>0</v>
      </c>
      <c r="AM140" s="13" t="str">
        <f>IFERROR(AL140/AL446, "NA")</f>
        <v>NA</v>
      </c>
      <c r="AN140" s="12"/>
      <c r="AO140" s="12">
        <v>0.0</v>
      </c>
      <c r="AP140" s="13" t="str">
        <f>IFERROR(AO140/AO446, "NA")</f>
        <v>NA</v>
      </c>
      <c r="AQ140" s="12"/>
      <c r="AR140" s="15">
        <f t="shared" si="18"/>
        <v>0</v>
      </c>
    </row>
    <row r="141" ht="16.5" customHeight="1">
      <c r="A141" s="16" t="s">
        <v>136</v>
      </c>
      <c r="B141" s="17">
        <f>IFERROR(B129+B130+B131+B132+B133+B134+B135+B136+B137+B138+B139+B140, "NA")</f>
        <v>0</v>
      </c>
      <c r="C141" s="18" t="str">
        <f>IFERROR(B141/B446, "NA")</f>
        <v>NA</v>
      </c>
      <c r="D141" s="8"/>
      <c r="E141" s="17">
        <f>IFERROR(E129+E130+E131+E132+E133+E134+E135+E136+E137+E138+E139+E140, "NA")</f>
        <v>0</v>
      </c>
      <c r="F141" s="18" t="str">
        <f>IFERROR(E141/E446, "NA")</f>
        <v>NA</v>
      </c>
      <c r="G141" s="8"/>
      <c r="H141" s="17">
        <f>IFERROR(H129+H130+H131+H132+H133+H134+H135+H136+H137+H138+H139+H140, "NA")</f>
        <v>0</v>
      </c>
      <c r="I141" s="18" t="str">
        <f>IFERROR(H141/H446, "NA")</f>
        <v>NA</v>
      </c>
      <c r="J141" s="8"/>
      <c r="K141" s="17">
        <f>IFERROR(K129+K130+K131+K132+K133+K134+K135+K136+K137+K138+K139+K140, "NA")</f>
        <v>0</v>
      </c>
      <c r="L141" s="18" t="str">
        <f>IFERROR(K141/K446, "NA")</f>
        <v>NA</v>
      </c>
      <c r="M141" s="8"/>
      <c r="N141" s="17">
        <f>IFERROR(N129+N130+N131+N132+N133+N134+N135+N136+N137+N138+N139+N140, "NA")</f>
        <v>0</v>
      </c>
      <c r="O141" s="18" t="str">
        <f>IFERROR(N141/N446, "NA")</f>
        <v>NA</v>
      </c>
      <c r="P141" s="8"/>
      <c r="Q141" s="17">
        <f>IFERROR(Q129+Q130+Q131+Q132+Q133+Q134+Q135+Q136+Q137+Q138+Q139+Q140, "NA")</f>
        <v>0</v>
      </c>
      <c r="R141" s="18" t="str">
        <f>IFERROR(Q141/Q446, "NA")</f>
        <v>NA</v>
      </c>
      <c r="S141" s="8"/>
      <c r="T141" s="17">
        <f>IFERROR(T129+T130+T131+T132+T133+T134+T135+T136+T137+T138+T139+T140, "NA")</f>
        <v>0</v>
      </c>
      <c r="U141" s="18" t="str">
        <f>IFERROR(T141/T446, "NA")</f>
        <v>NA</v>
      </c>
      <c r="V141" s="8"/>
      <c r="W141" s="17">
        <f>IFERROR(W129+W130+W131+W132+W133+W134+W135+W136+W137+W138+W139+W140, "NA")</f>
        <v>0</v>
      </c>
      <c r="X141" s="18" t="str">
        <f>IFERROR(W141/W446, "NA")</f>
        <v>NA</v>
      </c>
      <c r="Y141" s="8"/>
      <c r="Z141" s="17">
        <f>IFERROR(Z129+Z130+Z131+Z132+Z133+Z134+Z135+Z136+Z137+Z138+Z139+Z140, "NA")</f>
        <v>0</v>
      </c>
      <c r="AA141" s="18" t="str">
        <f>IFERROR(Z141/Z446, "NA")</f>
        <v>NA</v>
      </c>
      <c r="AB141" s="8"/>
      <c r="AC141" s="17">
        <f>IFERROR(AC129+AC130+AC131+AC132+AC133+AC134+AC135+AC136+AC137+AC138+AC139+AC140, "NA")</f>
        <v>0</v>
      </c>
      <c r="AD141" s="18" t="str">
        <f>IFERROR(AC141/AC446, "NA")</f>
        <v>NA</v>
      </c>
      <c r="AE141" s="8"/>
      <c r="AF141" s="17">
        <f>IFERROR(AF129+AF130+AF131+AF132+AF133+AF134+AF135+AF136+AF137+AF138+AF139+AF140, "NA")</f>
        <v>0</v>
      </c>
      <c r="AG141" s="18" t="str">
        <f>IFERROR(AF141/AF446, "NA")</f>
        <v>NA</v>
      </c>
      <c r="AH141" s="8"/>
      <c r="AI141" s="17">
        <f>IFERROR(AI129+AI130+AI131+AI132+AI133+AI134+AI135+AI136+AI137+AI138+AI139+AI140, "NA")</f>
        <v>0</v>
      </c>
      <c r="AJ141" s="18" t="str">
        <f>IFERROR(AI141/AI446, "NA")</f>
        <v>NA</v>
      </c>
      <c r="AK141" s="8"/>
      <c r="AL141" s="17">
        <f t="shared" si="17"/>
        <v>0</v>
      </c>
      <c r="AM141" s="18" t="str">
        <f>IFERROR(AL141/AL446, "NA")</f>
        <v>NA</v>
      </c>
      <c r="AN141" s="8"/>
      <c r="AO141" s="17">
        <f>IFERROR(AO129+AO130+AO131+AO132+AO133+AO134+AO135+AO136+AO137+AO138+AO139+AO140, "NA")</f>
        <v>0</v>
      </c>
      <c r="AP141" s="18" t="str">
        <f>IFERROR(AO141/AO446, "NA")</f>
        <v>NA</v>
      </c>
      <c r="AQ141" s="8"/>
      <c r="AR141" s="17">
        <f t="shared" si="18"/>
        <v>0</v>
      </c>
    </row>
    <row r="142" ht="16.5" customHeight="1">
      <c r="A142" s="7" t="s">
        <v>137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  <c r="AE142" s="10"/>
      <c r="AF142" s="8"/>
      <c r="AG142" s="9"/>
      <c r="AH142" s="10"/>
      <c r="AI142" s="8"/>
      <c r="AJ142" s="9"/>
      <c r="AK142" s="8"/>
      <c r="AL142" s="8"/>
      <c r="AM142" s="9"/>
      <c r="AN142" s="8"/>
      <c r="AO142" s="8"/>
      <c r="AP142" s="9"/>
      <c r="AQ142" s="8"/>
      <c r="AR142" s="8"/>
    </row>
    <row r="143" ht="16.5" hidden="1" customHeight="1">
      <c r="A143" s="11" t="s">
        <v>548</v>
      </c>
      <c r="B143" s="12">
        <v>0.0</v>
      </c>
      <c r="C143" s="13" t="str">
        <f>IFERROR(B143/B446, "NA")</f>
        <v>NA</v>
      </c>
      <c r="D143" s="14"/>
      <c r="E143" s="12">
        <v>0.0</v>
      </c>
      <c r="F143" s="13" t="str">
        <f>IFERROR(E143/E446, "NA")</f>
        <v>NA</v>
      </c>
      <c r="G143" s="14"/>
      <c r="H143" s="12">
        <v>0.0</v>
      </c>
      <c r="I143" s="13" t="str">
        <f>IFERROR(H143/H446, "NA")</f>
        <v>NA</v>
      </c>
      <c r="J143" s="14"/>
      <c r="K143" s="12">
        <v>0.0</v>
      </c>
      <c r="L143" s="13" t="str">
        <f>IFERROR(K143/K446, "NA")</f>
        <v>NA</v>
      </c>
      <c r="M143" s="14"/>
      <c r="N143" s="12">
        <v>0.0</v>
      </c>
      <c r="O143" s="13" t="str">
        <f>IFERROR(N143/N446, "NA")</f>
        <v>NA</v>
      </c>
      <c r="P143" s="14"/>
      <c r="Q143" s="12">
        <v>0.0</v>
      </c>
      <c r="R143" s="13" t="str">
        <f>IFERROR(Q143/Q446, "NA")</f>
        <v>NA</v>
      </c>
      <c r="S143" s="14"/>
      <c r="T143" s="12">
        <v>0.0</v>
      </c>
      <c r="U143" s="13" t="str">
        <f>IFERROR(T143/T446, "NA")</f>
        <v>NA</v>
      </c>
      <c r="V143" s="14"/>
      <c r="W143" s="12">
        <v>0.0</v>
      </c>
      <c r="X143" s="13" t="str">
        <f>IFERROR(W143/W446, "NA")</f>
        <v>NA</v>
      </c>
      <c r="Y143" s="14"/>
      <c r="Z143" s="12">
        <v>0.0</v>
      </c>
      <c r="AA143" s="13" t="str">
        <f>IFERROR(Z143/Z446, "NA")</f>
        <v>NA</v>
      </c>
      <c r="AB143" s="14"/>
      <c r="AC143" s="12">
        <v>0.0</v>
      </c>
      <c r="AD143" s="13" t="str">
        <f>IFERROR(AC143/AC446, "NA")</f>
        <v>NA</v>
      </c>
      <c r="AE143" s="14"/>
      <c r="AF143" s="12">
        <v>0.0</v>
      </c>
      <c r="AG143" s="13" t="str">
        <f>IFERROR(AF143/AF446, "NA")</f>
        <v>NA</v>
      </c>
      <c r="AH143" s="14"/>
      <c r="AI143" s="12">
        <v>0.0</v>
      </c>
      <c r="AJ143" s="13" t="str">
        <f>IFERROR(AI143/AI446, "NA")</f>
        <v>NA</v>
      </c>
      <c r="AK143" s="12"/>
      <c r="AL143" s="15">
        <f t="shared" ref="AL143:AL149" si="19">IFERROR(B143+E143+H143+K143+N143+Q143+T143+W143+Z143+AC143+AF143+AI143, "NA")</f>
        <v>0</v>
      </c>
      <c r="AM143" s="13" t="str">
        <f>IFERROR(AL143/AL446, "NA")</f>
        <v>NA</v>
      </c>
      <c r="AN143" s="12"/>
      <c r="AO143" s="12">
        <v>0.0</v>
      </c>
      <c r="AP143" s="13" t="str">
        <f>IFERROR(AO143/AO446, "NA")</f>
        <v>NA</v>
      </c>
      <c r="AQ143" s="12"/>
      <c r="AR143" s="15">
        <f t="shared" ref="AR143:AR149" si="20">IFERROR(AL143-AO143, "NA")</f>
        <v>0</v>
      </c>
    </row>
    <row r="144" ht="16.5" hidden="1" customHeight="1">
      <c r="A144" s="11" t="s">
        <v>549</v>
      </c>
      <c r="B144" s="12">
        <v>0.0</v>
      </c>
      <c r="C144" s="13" t="str">
        <f>IFERROR(B144/B446, "NA")</f>
        <v>NA</v>
      </c>
      <c r="D144" s="14"/>
      <c r="E144" s="12">
        <v>0.0</v>
      </c>
      <c r="F144" s="13" t="str">
        <f>IFERROR(E144/E446, "NA")</f>
        <v>NA</v>
      </c>
      <c r="G144" s="14"/>
      <c r="H144" s="12">
        <v>0.0</v>
      </c>
      <c r="I144" s="13" t="str">
        <f>IFERROR(H144/H446, "NA")</f>
        <v>NA</v>
      </c>
      <c r="J144" s="14"/>
      <c r="K144" s="12">
        <v>0.0</v>
      </c>
      <c r="L144" s="13" t="str">
        <f>IFERROR(K144/K446, "NA")</f>
        <v>NA</v>
      </c>
      <c r="M144" s="14"/>
      <c r="N144" s="12">
        <v>0.0</v>
      </c>
      <c r="O144" s="13" t="str">
        <f>IFERROR(N144/N446, "NA")</f>
        <v>NA</v>
      </c>
      <c r="P144" s="14"/>
      <c r="Q144" s="12">
        <v>0.0</v>
      </c>
      <c r="R144" s="13" t="str">
        <f>IFERROR(Q144/Q446, "NA")</f>
        <v>NA</v>
      </c>
      <c r="S144" s="14"/>
      <c r="T144" s="12">
        <v>0.0</v>
      </c>
      <c r="U144" s="13" t="str">
        <f>IFERROR(T144/T446, "NA")</f>
        <v>NA</v>
      </c>
      <c r="V144" s="14"/>
      <c r="W144" s="12">
        <v>0.0</v>
      </c>
      <c r="X144" s="13" t="str">
        <f>IFERROR(W144/W446, "NA")</f>
        <v>NA</v>
      </c>
      <c r="Y144" s="14"/>
      <c r="Z144" s="12">
        <v>0.0</v>
      </c>
      <c r="AA144" s="13" t="str">
        <f>IFERROR(Z144/Z446, "NA")</f>
        <v>NA</v>
      </c>
      <c r="AB144" s="14"/>
      <c r="AC144" s="12">
        <v>0.0</v>
      </c>
      <c r="AD144" s="13" t="str">
        <f>IFERROR(AC144/AC446, "NA")</f>
        <v>NA</v>
      </c>
      <c r="AE144" s="14"/>
      <c r="AF144" s="12">
        <v>0.0</v>
      </c>
      <c r="AG144" s="13" t="str">
        <f>IFERROR(AF144/AF446, "NA")</f>
        <v>NA</v>
      </c>
      <c r="AH144" s="14"/>
      <c r="AI144" s="12">
        <v>0.0</v>
      </c>
      <c r="AJ144" s="13" t="str">
        <f>IFERROR(AI144/AI446, "NA")</f>
        <v>NA</v>
      </c>
      <c r="AK144" s="12"/>
      <c r="AL144" s="15">
        <f t="shared" si="19"/>
        <v>0</v>
      </c>
      <c r="AM144" s="13" t="str">
        <f>IFERROR(AL144/AL446, "NA")</f>
        <v>NA</v>
      </c>
      <c r="AN144" s="12"/>
      <c r="AO144" s="12">
        <v>0.0</v>
      </c>
      <c r="AP144" s="13" t="str">
        <f>IFERROR(AO144/AO446, "NA")</f>
        <v>NA</v>
      </c>
      <c r="AQ144" s="12"/>
      <c r="AR144" s="15">
        <f t="shared" si="20"/>
        <v>0</v>
      </c>
    </row>
    <row r="145" ht="16.5" hidden="1" customHeight="1">
      <c r="A145" s="11" t="s">
        <v>550</v>
      </c>
      <c r="B145" s="12">
        <v>0.0</v>
      </c>
      <c r="C145" s="13" t="str">
        <f>IFERROR(B145/B446, "NA")</f>
        <v>NA</v>
      </c>
      <c r="D145" s="14"/>
      <c r="E145" s="12">
        <v>0.0</v>
      </c>
      <c r="F145" s="13" t="str">
        <f>IFERROR(E145/E446, "NA")</f>
        <v>NA</v>
      </c>
      <c r="G145" s="14"/>
      <c r="H145" s="12">
        <v>0.0</v>
      </c>
      <c r="I145" s="13" t="str">
        <f>IFERROR(H145/H446, "NA")</f>
        <v>NA</v>
      </c>
      <c r="J145" s="14"/>
      <c r="K145" s="12">
        <v>0.0</v>
      </c>
      <c r="L145" s="13" t="str">
        <f>IFERROR(K145/K446, "NA")</f>
        <v>NA</v>
      </c>
      <c r="M145" s="14"/>
      <c r="N145" s="12">
        <v>0.0</v>
      </c>
      <c r="O145" s="13" t="str">
        <f>IFERROR(N145/N446, "NA")</f>
        <v>NA</v>
      </c>
      <c r="P145" s="14"/>
      <c r="Q145" s="12">
        <v>0.0</v>
      </c>
      <c r="R145" s="13" t="str">
        <f>IFERROR(Q145/Q446, "NA")</f>
        <v>NA</v>
      </c>
      <c r="S145" s="14"/>
      <c r="T145" s="12">
        <v>0.0</v>
      </c>
      <c r="U145" s="13" t="str">
        <f>IFERROR(T145/T446, "NA")</f>
        <v>NA</v>
      </c>
      <c r="V145" s="14"/>
      <c r="W145" s="12">
        <v>0.0</v>
      </c>
      <c r="X145" s="13" t="str">
        <f>IFERROR(W145/W446, "NA")</f>
        <v>NA</v>
      </c>
      <c r="Y145" s="14"/>
      <c r="Z145" s="12">
        <v>0.0</v>
      </c>
      <c r="AA145" s="13" t="str">
        <f>IFERROR(Z145/Z446, "NA")</f>
        <v>NA</v>
      </c>
      <c r="AB145" s="14"/>
      <c r="AC145" s="12">
        <v>0.0</v>
      </c>
      <c r="AD145" s="13" t="str">
        <f>IFERROR(AC145/AC446, "NA")</f>
        <v>NA</v>
      </c>
      <c r="AE145" s="14"/>
      <c r="AF145" s="12">
        <v>0.0</v>
      </c>
      <c r="AG145" s="13" t="str">
        <f>IFERROR(AF145/AF446, "NA")</f>
        <v>NA</v>
      </c>
      <c r="AH145" s="14"/>
      <c r="AI145" s="12">
        <v>0.0</v>
      </c>
      <c r="AJ145" s="13" t="str">
        <f>IFERROR(AI145/AI446, "NA")</f>
        <v>NA</v>
      </c>
      <c r="AK145" s="12"/>
      <c r="AL145" s="15">
        <f t="shared" si="19"/>
        <v>0</v>
      </c>
      <c r="AM145" s="13" t="str">
        <f>IFERROR(AL145/AL446, "NA")</f>
        <v>NA</v>
      </c>
      <c r="AN145" s="12"/>
      <c r="AO145" s="12">
        <v>0.0</v>
      </c>
      <c r="AP145" s="13" t="str">
        <f>IFERROR(AO145/AO446, "NA")</f>
        <v>NA</v>
      </c>
      <c r="AQ145" s="12"/>
      <c r="AR145" s="15">
        <f t="shared" si="20"/>
        <v>0</v>
      </c>
    </row>
    <row r="146" ht="16.5" hidden="1" customHeight="1">
      <c r="A146" s="11" t="s">
        <v>551</v>
      </c>
      <c r="B146" s="12">
        <v>0.0</v>
      </c>
      <c r="C146" s="13" t="str">
        <f>IFERROR(B146/B446, "NA")</f>
        <v>NA</v>
      </c>
      <c r="D146" s="14"/>
      <c r="E146" s="12">
        <v>0.0</v>
      </c>
      <c r="F146" s="13" t="str">
        <f>IFERROR(E146/E446, "NA")</f>
        <v>NA</v>
      </c>
      <c r="G146" s="14"/>
      <c r="H146" s="12">
        <v>0.0</v>
      </c>
      <c r="I146" s="13" t="str">
        <f>IFERROR(H146/H446, "NA")</f>
        <v>NA</v>
      </c>
      <c r="J146" s="14"/>
      <c r="K146" s="12">
        <v>0.0</v>
      </c>
      <c r="L146" s="13" t="str">
        <f>IFERROR(K146/K446, "NA")</f>
        <v>NA</v>
      </c>
      <c r="M146" s="14"/>
      <c r="N146" s="12">
        <v>0.0</v>
      </c>
      <c r="O146" s="13" t="str">
        <f>IFERROR(N146/N446, "NA")</f>
        <v>NA</v>
      </c>
      <c r="P146" s="14"/>
      <c r="Q146" s="12">
        <v>0.0</v>
      </c>
      <c r="R146" s="13" t="str">
        <f>IFERROR(Q146/Q446, "NA")</f>
        <v>NA</v>
      </c>
      <c r="S146" s="14"/>
      <c r="T146" s="12">
        <v>0.0</v>
      </c>
      <c r="U146" s="13" t="str">
        <f>IFERROR(T146/T446, "NA")</f>
        <v>NA</v>
      </c>
      <c r="V146" s="14"/>
      <c r="W146" s="12">
        <v>0.0</v>
      </c>
      <c r="X146" s="13" t="str">
        <f>IFERROR(W146/W446, "NA")</f>
        <v>NA</v>
      </c>
      <c r="Y146" s="14"/>
      <c r="Z146" s="12">
        <v>0.0</v>
      </c>
      <c r="AA146" s="13" t="str">
        <f>IFERROR(Z146/Z446, "NA")</f>
        <v>NA</v>
      </c>
      <c r="AB146" s="14"/>
      <c r="AC146" s="12">
        <v>0.0</v>
      </c>
      <c r="AD146" s="13" t="str">
        <f>IFERROR(AC146/AC446, "NA")</f>
        <v>NA</v>
      </c>
      <c r="AE146" s="14"/>
      <c r="AF146" s="12">
        <v>0.0</v>
      </c>
      <c r="AG146" s="13" t="str">
        <f>IFERROR(AF146/AF446, "NA")</f>
        <v>NA</v>
      </c>
      <c r="AH146" s="14"/>
      <c r="AI146" s="12">
        <v>0.0</v>
      </c>
      <c r="AJ146" s="13" t="str">
        <f>IFERROR(AI146/AI446, "NA")</f>
        <v>NA</v>
      </c>
      <c r="AK146" s="12"/>
      <c r="AL146" s="15">
        <f t="shared" si="19"/>
        <v>0</v>
      </c>
      <c r="AM146" s="13" t="str">
        <f>IFERROR(AL146/AL446, "NA")</f>
        <v>NA</v>
      </c>
      <c r="AN146" s="12"/>
      <c r="AO146" s="12">
        <v>0.0</v>
      </c>
      <c r="AP146" s="13" t="str">
        <f>IFERROR(AO146/AO446, "NA")</f>
        <v>NA</v>
      </c>
      <c r="AQ146" s="12"/>
      <c r="AR146" s="15">
        <f t="shared" si="20"/>
        <v>0</v>
      </c>
    </row>
    <row r="147" ht="16.5" hidden="1" customHeight="1">
      <c r="A147" s="11" t="s">
        <v>552</v>
      </c>
      <c r="B147" s="12">
        <v>0.0</v>
      </c>
      <c r="C147" s="13" t="str">
        <f>IFERROR(B147/B446, "NA")</f>
        <v>NA</v>
      </c>
      <c r="D147" s="14"/>
      <c r="E147" s="12">
        <v>0.0</v>
      </c>
      <c r="F147" s="13" t="str">
        <f>IFERROR(E147/E446, "NA")</f>
        <v>NA</v>
      </c>
      <c r="G147" s="14"/>
      <c r="H147" s="12">
        <v>0.0</v>
      </c>
      <c r="I147" s="13" t="str">
        <f>IFERROR(H147/H446, "NA")</f>
        <v>NA</v>
      </c>
      <c r="J147" s="14"/>
      <c r="K147" s="12">
        <v>0.0</v>
      </c>
      <c r="L147" s="13" t="str">
        <f>IFERROR(K147/K446, "NA")</f>
        <v>NA</v>
      </c>
      <c r="M147" s="14"/>
      <c r="N147" s="12">
        <v>0.0</v>
      </c>
      <c r="O147" s="13" t="str">
        <f>IFERROR(N147/N446, "NA")</f>
        <v>NA</v>
      </c>
      <c r="P147" s="14"/>
      <c r="Q147" s="12">
        <v>0.0</v>
      </c>
      <c r="R147" s="13" t="str">
        <f>IFERROR(Q147/Q446, "NA")</f>
        <v>NA</v>
      </c>
      <c r="S147" s="14"/>
      <c r="T147" s="12">
        <v>0.0</v>
      </c>
      <c r="U147" s="13" t="str">
        <f>IFERROR(T147/T446, "NA")</f>
        <v>NA</v>
      </c>
      <c r="V147" s="14"/>
      <c r="W147" s="12">
        <v>0.0</v>
      </c>
      <c r="X147" s="13" t="str">
        <f>IFERROR(W147/W446, "NA")</f>
        <v>NA</v>
      </c>
      <c r="Y147" s="14"/>
      <c r="Z147" s="12">
        <v>0.0</v>
      </c>
      <c r="AA147" s="13" t="str">
        <f>IFERROR(Z147/Z446, "NA")</f>
        <v>NA</v>
      </c>
      <c r="AB147" s="14"/>
      <c r="AC147" s="12">
        <v>0.0</v>
      </c>
      <c r="AD147" s="13" t="str">
        <f>IFERROR(AC147/AC446, "NA")</f>
        <v>NA</v>
      </c>
      <c r="AE147" s="14"/>
      <c r="AF147" s="12">
        <v>0.0</v>
      </c>
      <c r="AG147" s="13" t="str">
        <f>IFERROR(AF147/AF446, "NA")</f>
        <v>NA</v>
      </c>
      <c r="AH147" s="14"/>
      <c r="AI147" s="12">
        <v>0.0</v>
      </c>
      <c r="AJ147" s="13" t="str">
        <f>IFERROR(AI147/AI446, "NA")</f>
        <v>NA</v>
      </c>
      <c r="AK147" s="12"/>
      <c r="AL147" s="15">
        <f t="shared" si="19"/>
        <v>0</v>
      </c>
      <c r="AM147" s="13" t="str">
        <f>IFERROR(AL147/AL446, "NA")</f>
        <v>NA</v>
      </c>
      <c r="AN147" s="12"/>
      <c r="AO147" s="12">
        <v>0.0</v>
      </c>
      <c r="AP147" s="13" t="str">
        <f>IFERROR(AO147/AO446, "NA")</f>
        <v>NA</v>
      </c>
      <c r="AQ147" s="12"/>
      <c r="AR147" s="15">
        <f t="shared" si="20"/>
        <v>0</v>
      </c>
    </row>
    <row r="148" ht="16.5" customHeight="1">
      <c r="A148" s="16" t="s">
        <v>142</v>
      </c>
      <c r="B148" s="17">
        <f>IFERROR(B143+B144+B145+B146+B147, "NA")</f>
        <v>0</v>
      </c>
      <c r="C148" s="18" t="str">
        <f>IFERROR(B148/B446, "NA")</f>
        <v>NA</v>
      </c>
      <c r="D148" s="8"/>
      <c r="E148" s="17">
        <f>IFERROR(E143+E144+E145+E146+E147, "NA")</f>
        <v>0</v>
      </c>
      <c r="F148" s="18" t="str">
        <f>IFERROR(E148/E446, "NA")</f>
        <v>NA</v>
      </c>
      <c r="G148" s="8"/>
      <c r="H148" s="17">
        <f>IFERROR(H143+H144+H145+H146+H147, "NA")</f>
        <v>0</v>
      </c>
      <c r="I148" s="18" t="str">
        <f>IFERROR(H148/H446, "NA")</f>
        <v>NA</v>
      </c>
      <c r="J148" s="8"/>
      <c r="K148" s="17">
        <f>IFERROR(K143+K144+K145+K146+K147, "NA")</f>
        <v>0</v>
      </c>
      <c r="L148" s="18" t="str">
        <f>IFERROR(K148/K446, "NA")</f>
        <v>NA</v>
      </c>
      <c r="M148" s="8"/>
      <c r="N148" s="17">
        <f>IFERROR(N143+N144+N145+N146+N147, "NA")</f>
        <v>0</v>
      </c>
      <c r="O148" s="18" t="str">
        <f>IFERROR(N148/N446, "NA")</f>
        <v>NA</v>
      </c>
      <c r="P148" s="8"/>
      <c r="Q148" s="17">
        <f>IFERROR(Q143+Q144+Q145+Q146+Q147, "NA")</f>
        <v>0</v>
      </c>
      <c r="R148" s="18" t="str">
        <f>IFERROR(Q148/Q446, "NA")</f>
        <v>NA</v>
      </c>
      <c r="S148" s="8"/>
      <c r="T148" s="17">
        <f>IFERROR(T143+T144+T145+T146+T147, "NA")</f>
        <v>0</v>
      </c>
      <c r="U148" s="18" t="str">
        <f>IFERROR(T148/T446, "NA")</f>
        <v>NA</v>
      </c>
      <c r="V148" s="8"/>
      <c r="W148" s="17">
        <f>IFERROR(W143+W144+W145+W146+W147, "NA")</f>
        <v>0</v>
      </c>
      <c r="X148" s="18" t="str">
        <f>IFERROR(W148/W446, "NA")</f>
        <v>NA</v>
      </c>
      <c r="Y148" s="8"/>
      <c r="Z148" s="17">
        <f>IFERROR(Z143+Z144+Z145+Z146+Z147, "NA")</f>
        <v>0</v>
      </c>
      <c r="AA148" s="18" t="str">
        <f>IFERROR(Z148/Z446, "NA")</f>
        <v>NA</v>
      </c>
      <c r="AB148" s="8"/>
      <c r="AC148" s="17">
        <f>IFERROR(AC143+AC144+AC145+AC146+AC147, "NA")</f>
        <v>0</v>
      </c>
      <c r="AD148" s="18" t="str">
        <f>IFERROR(AC148/AC446, "NA")</f>
        <v>NA</v>
      </c>
      <c r="AE148" s="8"/>
      <c r="AF148" s="17">
        <f>IFERROR(AF143+AF144+AF145+AF146+AF147, "NA")</f>
        <v>0</v>
      </c>
      <c r="AG148" s="18" t="str">
        <f>IFERROR(AF148/AF446, "NA")</f>
        <v>NA</v>
      </c>
      <c r="AH148" s="8"/>
      <c r="AI148" s="17">
        <f>IFERROR(AI143+AI144+AI145+AI146+AI147, "NA")</f>
        <v>0</v>
      </c>
      <c r="AJ148" s="18" t="str">
        <f>IFERROR(AI148/AI446, "NA")</f>
        <v>NA</v>
      </c>
      <c r="AK148" s="8"/>
      <c r="AL148" s="17">
        <f t="shared" si="19"/>
        <v>0</v>
      </c>
      <c r="AM148" s="18" t="str">
        <f>IFERROR(AL148/AL446, "NA")</f>
        <v>NA</v>
      </c>
      <c r="AN148" s="8"/>
      <c r="AO148" s="17">
        <f>IFERROR(AO143+AO144+AO145+AO146+AO147, "NA")</f>
        <v>0</v>
      </c>
      <c r="AP148" s="18" t="str">
        <f>IFERROR(AO148/AO446, "NA")</f>
        <v>NA</v>
      </c>
      <c r="AQ148" s="8"/>
      <c r="AR148" s="17">
        <f t="shared" si="20"/>
        <v>0</v>
      </c>
    </row>
    <row r="149" ht="16.5" customHeight="1">
      <c r="A149" s="16" t="s">
        <v>143</v>
      </c>
      <c r="B149" s="17">
        <f>IFERROR(B127+B129+B130+B131+B132+B133+B134+B135+B136+B137+B138+B139+B140+B143+B144+B145+B146+B147, "NA")</f>
        <v>0</v>
      </c>
      <c r="C149" s="18" t="str">
        <f>IFERROR(B149/B446, "NA")</f>
        <v>NA</v>
      </c>
      <c r="D149" s="8"/>
      <c r="E149" s="17">
        <f>IFERROR(E127+E129+E130+E131+E132+E133+E134+E135+E136+E137+E138+E139+E140+E143+E144+E145+E146+E147, "NA")</f>
        <v>0</v>
      </c>
      <c r="F149" s="18" t="str">
        <f>IFERROR(E149/E446, "NA")</f>
        <v>NA</v>
      </c>
      <c r="G149" s="8"/>
      <c r="H149" s="17">
        <f>IFERROR(H127+H129+H130+H131+H132+H133+H134+H135+H136+H137+H138+H139+H140+H143+H144+H145+H146+H147, "NA")</f>
        <v>0</v>
      </c>
      <c r="I149" s="18" t="str">
        <f>IFERROR(H149/H446, "NA")</f>
        <v>NA</v>
      </c>
      <c r="J149" s="8"/>
      <c r="K149" s="17">
        <f>IFERROR(K127+K129+K130+K131+K132+K133+K134+K135+K136+K137+K138+K139+K140+K143+K144+K145+K146+K147, "NA")</f>
        <v>0</v>
      </c>
      <c r="L149" s="18" t="str">
        <f>IFERROR(K149/K446, "NA")</f>
        <v>NA</v>
      </c>
      <c r="M149" s="8"/>
      <c r="N149" s="17">
        <f>IFERROR(N127+N129+N130+N131+N132+N133+N134+N135+N136+N137+N138+N139+N140+N143+N144+N145+N146+N147, "NA")</f>
        <v>0</v>
      </c>
      <c r="O149" s="18" t="str">
        <f>IFERROR(N149/N446, "NA")</f>
        <v>NA</v>
      </c>
      <c r="P149" s="8"/>
      <c r="Q149" s="17">
        <f>IFERROR(Q127+Q129+Q130+Q131+Q132+Q133+Q134+Q135+Q136+Q137+Q138+Q139+Q140+Q143+Q144+Q145+Q146+Q147, "NA")</f>
        <v>0</v>
      </c>
      <c r="R149" s="18" t="str">
        <f>IFERROR(Q149/Q446, "NA")</f>
        <v>NA</v>
      </c>
      <c r="S149" s="8"/>
      <c r="T149" s="17">
        <f>IFERROR(T127+T129+T130+T131+T132+T133+T134+T135+T136+T137+T138+T139+T140+T143+T144+T145+T146+T147, "NA")</f>
        <v>0</v>
      </c>
      <c r="U149" s="18" t="str">
        <f>IFERROR(T149/T446, "NA")</f>
        <v>NA</v>
      </c>
      <c r="V149" s="8"/>
      <c r="W149" s="17">
        <f>IFERROR(W127+W129+W130+W131+W132+W133+W134+W135+W136+W137+W138+W139+W140+W143+W144+W145+W146+W147, "NA")</f>
        <v>0</v>
      </c>
      <c r="X149" s="18" t="str">
        <f>IFERROR(W149/W446, "NA")</f>
        <v>NA</v>
      </c>
      <c r="Y149" s="8"/>
      <c r="Z149" s="17">
        <f>IFERROR(Z127+Z129+Z130+Z131+Z132+Z133+Z134+Z135+Z136+Z137+Z138+Z139+Z140+Z143+Z144+Z145+Z146+Z147, "NA")</f>
        <v>0</v>
      </c>
      <c r="AA149" s="18" t="str">
        <f>IFERROR(Z149/Z446, "NA")</f>
        <v>NA</v>
      </c>
      <c r="AB149" s="8"/>
      <c r="AC149" s="17">
        <f>IFERROR(AC127+AC129+AC130+AC131+AC132+AC133+AC134+AC135+AC136+AC137+AC138+AC139+AC140+AC143+AC144+AC145+AC146+AC147, "NA")</f>
        <v>0</v>
      </c>
      <c r="AD149" s="18" t="str">
        <f>IFERROR(AC149/AC446, "NA")</f>
        <v>NA</v>
      </c>
      <c r="AE149" s="8"/>
      <c r="AF149" s="17">
        <f>IFERROR(AF127+AF129+AF130+AF131+AF132+AF133+AF134+AF135+AF136+AF137+AF138+AF139+AF140+AF143+AF144+AF145+AF146+AF147, "NA")</f>
        <v>0</v>
      </c>
      <c r="AG149" s="18" t="str">
        <f>IFERROR(AF149/AF446, "NA")</f>
        <v>NA</v>
      </c>
      <c r="AH149" s="8"/>
      <c r="AI149" s="17">
        <f>IFERROR(AI127+AI129+AI130+AI131+AI132+AI133+AI134+AI135+AI136+AI137+AI138+AI139+AI140+AI143+AI144+AI145+AI146+AI147, "NA")</f>
        <v>0</v>
      </c>
      <c r="AJ149" s="18" t="str">
        <f>IFERROR(AI149/AI446, "NA")</f>
        <v>NA</v>
      </c>
      <c r="AK149" s="8"/>
      <c r="AL149" s="17">
        <f t="shared" si="19"/>
        <v>0</v>
      </c>
      <c r="AM149" s="18" t="str">
        <f>IFERROR(AL149/AL446, "NA")</f>
        <v>NA</v>
      </c>
      <c r="AN149" s="8"/>
      <c r="AO149" s="17">
        <f>IFERROR(AO127+AO129+AO130+AO131+AO132+AO133+AO134+AO135+AO136+AO137+AO138+AO139+AO140+AO143+AO144+AO145+AO146+AO147, "NA")</f>
        <v>0</v>
      </c>
      <c r="AP149" s="18" t="str">
        <f>IFERROR(AO149/AO446, "NA")</f>
        <v>NA</v>
      </c>
      <c r="AQ149" s="8"/>
      <c r="AR149" s="17">
        <f t="shared" si="20"/>
        <v>0</v>
      </c>
    </row>
    <row r="150" ht="16.5" customHeight="1">
      <c r="A150" s="7" t="s">
        <v>144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  <c r="AE150" s="10"/>
      <c r="AF150" s="8"/>
      <c r="AG150" s="9"/>
      <c r="AH150" s="10"/>
      <c r="AI150" s="8"/>
      <c r="AJ150" s="9"/>
      <c r="AK150" s="8"/>
      <c r="AL150" s="8"/>
      <c r="AM150" s="9"/>
      <c r="AN150" s="8"/>
      <c r="AO150" s="8"/>
      <c r="AP150" s="9"/>
      <c r="AQ150" s="8"/>
      <c r="AR150" s="8"/>
    </row>
    <row r="151" ht="16.5" hidden="1" customHeight="1">
      <c r="A151" s="11" t="s">
        <v>553</v>
      </c>
      <c r="B151" s="12">
        <v>0.0</v>
      </c>
      <c r="C151" s="13" t="str">
        <f>IFERROR(B151/B446, "NA")</f>
        <v>NA</v>
      </c>
      <c r="D151" s="14"/>
      <c r="E151" s="12">
        <v>0.0</v>
      </c>
      <c r="F151" s="13" t="str">
        <f>IFERROR(E151/E446, "NA")</f>
        <v>NA</v>
      </c>
      <c r="G151" s="14"/>
      <c r="H151" s="12">
        <v>0.0</v>
      </c>
      <c r="I151" s="13" t="str">
        <f>IFERROR(H151/H446, "NA")</f>
        <v>NA</v>
      </c>
      <c r="J151" s="14"/>
      <c r="K151" s="12">
        <v>0.0</v>
      </c>
      <c r="L151" s="13" t="str">
        <f>IFERROR(K151/K446, "NA")</f>
        <v>NA</v>
      </c>
      <c r="M151" s="14"/>
      <c r="N151" s="12">
        <v>0.0</v>
      </c>
      <c r="O151" s="13" t="str">
        <f>IFERROR(N151/N446, "NA")</f>
        <v>NA</v>
      </c>
      <c r="P151" s="14"/>
      <c r="Q151" s="12">
        <v>0.0</v>
      </c>
      <c r="R151" s="13" t="str">
        <f>IFERROR(Q151/Q446, "NA")</f>
        <v>NA</v>
      </c>
      <c r="S151" s="14"/>
      <c r="T151" s="12">
        <v>0.0</v>
      </c>
      <c r="U151" s="13" t="str">
        <f>IFERROR(T151/T446, "NA")</f>
        <v>NA</v>
      </c>
      <c r="V151" s="14"/>
      <c r="W151" s="12">
        <v>0.0</v>
      </c>
      <c r="X151" s="13" t="str">
        <f>IFERROR(W151/W446, "NA")</f>
        <v>NA</v>
      </c>
      <c r="Y151" s="14"/>
      <c r="Z151" s="12">
        <v>0.0</v>
      </c>
      <c r="AA151" s="13" t="str">
        <f>IFERROR(Z151/Z446, "NA")</f>
        <v>NA</v>
      </c>
      <c r="AB151" s="14"/>
      <c r="AC151" s="12">
        <v>0.0</v>
      </c>
      <c r="AD151" s="13" t="str">
        <f>IFERROR(AC151/AC446, "NA")</f>
        <v>NA</v>
      </c>
      <c r="AE151" s="14"/>
      <c r="AF151" s="12">
        <v>0.0</v>
      </c>
      <c r="AG151" s="13" t="str">
        <f>IFERROR(AF151/AF446, "NA")</f>
        <v>NA</v>
      </c>
      <c r="AH151" s="14"/>
      <c r="AI151" s="12">
        <v>0.0</v>
      </c>
      <c r="AJ151" s="13" t="str">
        <f>IFERROR(AI151/AI446, "NA")</f>
        <v>NA</v>
      </c>
      <c r="AK151" s="12"/>
      <c r="AL151" s="15">
        <f>IFERROR(B151+E151+H151+K151+N151+Q151+T151+W151+Z151+AC151+AF151+AI151, "NA")</f>
        <v>0</v>
      </c>
      <c r="AM151" s="13" t="str">
        <f>IFERROR(AL151/AL446, "NA")</f>
        <v>NA</v>
      </c>
      <c r="AN151" s="12"/>
      <c r="AO151" s="12">
        <v>0.0</v>
      </c>
      <c r="AP151" s="13" t="str">
        <f>IFERROR(AO151/AO446, "NA")</f>
        <v>NA</v>
      </c>
      <c r="AQ151" s="12"/>
      <c r="AR151" s="15">
        <f>IFERROR(AL151-AO151, "NA")</f>
        <v>0</v>
      </c>
    </row>
    <row r="152" ht="16.5" customHeight="1">
      <c r="A152" s="7" t="s">
        <v>145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  <c r="AE152" s="10"/>
      <c r="AF152" s="8"/>
      <c r="AG152" s="9"/>
      <c r="AH152" s="10"/>
      <c r="AI152" s="8"/>
      <c r="AJ152" s="9"/>
      <c r="AK152" s="8"/>
      <c r="AL152" s="8"/>
      <c r="AM152" s="9"/>
      <c r="AN152" s="8"/>
      <c r="AO152" s="8"/>
      <c r="AP152" s="9"/>
      <c r="AQ152" s="8"/>
      <c r="AR152" s="8"/>
    </row>
    <row r="153" ht="16.5" hidden="1" customHeight="1">
      <c r="A153" s="11" t="s">
        <v>554</v>
      </c>
      <c r="B153" s="12">
        <v>0.0</v>
      </c>
      <c r="C153" s="13" t="str">
        <f>IFERROR(B153/B446, "NA")</f>
        <v>NA</v>
      </c>
      <c r="D153" s="14"/>
      <c r="E153" s="12">
        <v>0.0</v>
      </c>
      <c r="F153" s="13" t="str">
        <f>IFERROR(E153/E446, "NA")</f>
        <v>NA</v>
      </c>
      <c r="G153" s="14"/>
      <c r="H153" s="12">
        <v>0.0</v>
      </c>
      <c r="I153" s="13" t="str">
        <f>IFERROR(H153/H446, "NA")</f>
        <v>NA</v>
      </c>
      <c r="J153" s="14"/>
      <c r="K153" s="12">
        <v>0.0</v>
      </c>
      <c r="L153" s="13" t="str">
        <f>IFERROR(K153/K446, "NA")</f>
        <v>NA</v>
      </c>
      <c r="M153" s="14"/>
      <c r="N153" s="12">
        <v>0.0</v>
      </c>
      <c r="O153" s="13" t="str">
        <f>IFERROR(N153/N446, "NA")</f>
        <v>NA</v>
      </c>
      <c r="P153" s="14"/>
      <c r="Q153" s="12">
        <v>0.0</v>
      </c>
      <c r="R153" s="13" t="str">
        <f>IFERROR(Q153/Q446, "NA")</f>
        <v>NA</v>
      </c>
      <c r="S153" s="14"/>
      <c r="T153" s="12">
        <v>0.0</v>
      </c>
      <c r="U153" s="13" t="str">
        <f>IFERROR(T153/T446, "NA")</f>
        <v>NA</v>
      </c>
      <c r="V153" s="14"/>
      <c r="W153" s="12">
        <v>0.0</v>
      </c>
      <c r="X153" s="13" t="str">
        <f>IFERROR(W153/W446, "NA")</f>
        <v>NA</v>
      </c>
      <c r="Y153" s="14"/>
      <c r="Z153" s="12">
        <v>0.0</v>
      </c>
      <c r="AA153" s="13" t="str">
        <f>IFERROR(Z153/Z446, "NA")</f>
        <v>NA</v>
      </c>
      <c r="AB153" s="14"/>
      <c r="AC153" s="12">
        <v>0.0</v>
      </c>
      <c r="AD153" s="13" t="str">
        <f>IFERROR(AC153/AC446, "NA")</f>
        <v>NA</v>
      </c>
      <c r="AE153" s="14"/>
      <c r="AF153" s="12">
        <v>0.0</v>
      </c>
      <c r="AG153" s="13" t="str">
        <f>IFERROR(AF153/AF446, "NA")</f>
        <v>NA</v>
      </c>
      <c r="AH153" s="14"/>
      <c r="AI153" s="12">
        <v>0.0</v>
      </c>
      <c r="AJ153" s="13" t="str">
        <f>IFERROR(AI153/AI446, "NA")</f>
        <v>NA</v>
      </c>
      <c r="AK153" s="12"/>
      <c r="AL153" s="15">
        <f t="shared" ref="AL153:AL158" si="21">IFERROR(B153+E153+H153+K153+N153+Q153+T153+W153+Z153+AC153+AF153+AI153, "NA")</f>
        <v>0</v>
      </c>
      <c r="AM153" s="13" t="str">
        <f>IFERROR(AL153/AL446, "NA")</f>
        <v>NA</v>
      </c>
      <c r="AN153" s="12"/>
      <c r="AO153" s="12">
        <v>0.0</v>
      </c>
      <c r="AP153" s="13" t="str">
        <f>IFERROR(AO153/AO446, "NA")</f>
        <v>NA</v>
      </c>
      <c r="AQ153" s="12"/>
      <c r="AR153" s="15">
        <f t="shared" ref="AR153:AR158" si="22">IFERROR(AL153-AO153, "NA")</f>
        <v>0</v>
      </c>
    </row>
    <row r="154" ht="16.5" hidden="1" customHeight="1">
      <c r="A154" s="11" t="s">
        <v>555</v>
      </c>
      <c r="B154" s="12">
        <v>0.0</v>
      </c>
      <c r="C154" s="13" t="str">
        <f>IFERROR(B154/B446, "NA")</f>
        <v>NA</v>
      </c>
      <c r="D154" s="14"/>
      <c r="E154" s="12">
        <v>0.0</v>
      </c>
      <c r="F154" s="13" t="str">
        <f>IFERROR(E154/E446, "NA")</f>
        <v>NA</v>
      </c>
      <c r="G154" s="14"/>
      <c r="H154" s="12">
        <v>0.0</v>
      </c>
      <c r="I154" s="13" t="str">
        <f>IFERROR(H154/H446, "NA")</f>
        <v>NA</v>
      </c>
      <c r="J154" s="14"/>
      <c r="K154" s="12">
        <v>0.0</v>
      </c>
      <c r="L154" s="13" t="str">
        <f>IFERROR(K154/K446, "NA")</f>
        <v>NA</v>
      </c>
      <c r="M154" s="14"/>
      <c r="N154" s="12">
        <v>0.0</v>
      </c>
      <c r="O154" s="13" t="str">
        <f>IFERROR(N154/N446, "NA")</f>
        <v>NA</v>
      </c>
      <c r="P154" s="14"/>
      <c r="Q154" s="12">
        <v>0.0</v>
      </c>
      <c r="R154" s="13" t="str">
        <f>IFERROR(Q154/Q446, "NA")</f>
        <v>NA</v>
      </c>
      <c r="S154" s="14"/>
      <c r="T154" s="12">
        <v>0.0</v>
      </c>
      <c r="U154" s="13" t="str">
        <f>IFERROR(T154/T446, "NA")</f>
        <v>NA</v>
      </c>
      <c r="V154" s="14"/>
      <c r="W154" s="12">
        <v>0.0</v>
      </c>
      <c r="X154" s="13" t="str">
        <f>IFERROR(W154/W446, "NA")</f>
        <v>NA</v>
      </c>
      <c r="Y154" s="14"/>
      <c r="Z154" s="12">
        <v>0.0</v>
      </c>
      <c r="AA154" s="13" t="str">
        <f>IFERROR(Z154/Z446, "NA")</f>
        <v>NA</v>
      </c>
      <c r="AB154" s="14"/>
      <c r="AC154" s="12">
        <v>0.0</v>
      </c>
      <c r="AD154" s="13" t="str">
        <f>IFERROR(AC154/AC446, "NA")</f>
        <v>NA</v>
      </c>
      <c r="AE154" s="14"/>
      <c r="AF154" s="12">
        <v>0.0</v>
      </c>
      <c r="AG154" s="13" t="str">
        <f>IFERROR(AF154/AF446, "NA")</f>
        <v>NA</v>
      </c>
      <c r="AH154" s="14"/>
      <c r="AI154" s="12">
        <v>0.0</v>
      </c>
      <c r="AJ154" s="13" t="str">
        <f>IFERROR(AI154/AI446, "NA")</f>
        <v>NA</v>
      </c>
      <c r="AK154" s="12"/>
      <c r="AL154" s="15">
        <f t="shared" si="21"/>
        <v>0</v>
      </c>
      <c r="AM154" s="13" t="str">
        <f>IFERROR(AL154/AL446, "NA")</f>
        <v>NA</v>
      </c>
      <c r="AN154" s="12"/>
      <c r="AO154" s="12">
        <v>0.0</v>
      </c>
      <c r="AP154" s="13" t="str">
        <f>IFERROR(AO154/AO446, "NA")</f>
        <v>NA</v>
      </c>
      <c r="AQ154" s="12"/>
      <c r="AR154" s="15">
        <f t="shared" si="22"/>
        <v>0</v>
      </c>
    </row>
    <row r="155" ht="16.5" hidden="1" customHeight="1">
      <c r="A155" s="11" t="s">
        <v>556</v>
      </c>
      <c r="B155" s="12">
        <v>0.0</v>
      </c>
      <c r="C155" s="13" t="str">
        <f>IFERROR(B155/B446, "NA")</f>
        <v>NA</v>
      </c>
      <c r="D155" s="14"/>
      <c r="E155" s="12">
        <v>0.0</v>
      </c>
      <c r="F155" s="13" t="str">
        <f>IFERROR(E155/E446, "NA")</f>
        <v>NA</v>
      </c>
      <c r="G155" s="14"/>
      <c r="H155" s="12">
        <v>0.0</v>
      </c>
      <c r="I155" s="13" t="str">
        <f>IFERROR(H155/H446, "NA")</f>
        <v>NA</v>
      </c>
      <c r="J155" s="14"/>
      <c r="K155" s="12">
        <v>0.0</v>
      </c>
      <c r="L155" s="13" t="str">
        <f>IFERROR(K155/K446, "NA")</f>
        <v>NA</v>
      </c>
      <c r="M155" s="14"/>
      <c r="N155" s="12">
        <v>0.0</v>
      </c>
      <c r="O155" s="13" t="str">
        <f>IFERROR(N155/N446, "NA")</f>
        <v>NA</v>
      </c>
      <c r="P155" s="14"/>
      <c r="Q155" s="12">
        <v>0.0</v>
      </c>
      <c r="R155" s="13" t="str">
        <f>IFERROR(Q155/Q446, "NA")</f>
        <v>NA</v>
      </c>
      <c r="S155" s="14"/>
      <c r="T155" s="12">
        <v>0.0</v>
      </c>
      <c r="U155" s="13" t="str">
        <f>IFERROR(T155/T446, "NA")</f>
        <v>NA</v>
      </c>
      <c r="V155" s="14"/>
      <c r="W155" s="12">
        <v>0.0</v>
      </c>
      <c r="X155" s="13" t="str">
        <f>IFERROR(W155/W446, "NA")</f>
        <v>NA</v>
      </c>
      <c r="Y155" s="14"/>
      <c r="Z155" s="12">
        <v>0.0</v>
      </c>
      <c r="AA155" s="13" t="str">
        <f>IFERROR(Z155/Z446, "NA")</f>
        <v>NA</v>
      </c>
      <c r="AB155" s="14"/>
      <c r="AC155" s="12">
        <v>0.0</v>
      </c>
      <c r="AD155" s="13" t="str">
        <f>IFERROR(AC155/AC446, "NA")</f>
        <v>NA</v>
      </c>
      <c r="AE155" s="14"/>
      <c r="AF155" s="12">
        <v>0.0</v>
      </c>
      <c r="AG155" s="13" t="str">
        <f>IFERROR(AF155/AF446, "NA")</f>
        <v>NA</v>
      </c>
      <c r="AH155" s="14"/>
      <c r="AI155" s="12">
        <v>0.0</v>
      </c>
      <c r="AJ155" s="13" t="str">
        <f>IFERROR(AI155/AI446, "NA")</f>
        <v>NA</v>
      </c>
      <c r="AK155" s="12"/>
      <c r="AL155" s="15">
        <f t="shared" si="21"/>
        <v>0</v>
      </c>
      <c r="AM155" s="13" t="str">
        <f>IFERROR(AL155/AL446, "NA")</f>
        <v>NA</v>
      </c>
      <c r="AN155" s="12"/>
      <c r="AO155" s="12">
        <v>0.0</v>
      </c>
      <c r="AP155" s="13" t="str">
        <f>IFERROR(AO155/AO446, "NA")</f>
        <v>NA</v>
      </c>
      <c r="AQ155" s="12"/>
      <c r="AR155" s="15">
        <f t="shared" si="22"/>
        <v>0</v>
      </c>
    </row>
    <row r="156" ht="16.5" hidden="1" customHeight="1">
      <c r="A156" s="11" t="s">
        <v>557</v>
      </c>
      <c r="B156" s="12">
        <v>0.0</v>
      </c>
      <c r="C156" s="13" t="str">
        <f>IFERROR(B156/B446, "NA")</f>
        <v>NA</v>
      </c>
      <c r="D156" s="14"/>
      <c r="E156" s="12">
        <v>0.0</v>
      </c>
      <c r="F156" s="13" t="str">
        <f>IFERROR(E156/E446, "NA")</f>
        <v>NA</v>
      </c>
      <c r="G156" s="14"/>
      <c r="H156" s="12">
        <v>0.0</v>
      </c>
      <c r="I156" s="13" t="str">
        <f>IFERROR(H156/H446, "NA")</f>
        <v>NA</v>
      </c>
      <c r="J156" s="14"/>
      <c r="K156" s="12">
        <v>0.0</v>
      </c>
      <c r="L156" s="13" t="str">
        <f>IFERROR(K156/K446, "NA")</f>
        <v>NA</v>
      </c>
      <c r="M156" s="14"/>
      <c r="N156" s="12">
        <v>0.0</v>
      </c>
      <c r="O156" s="13" t="str">
        <f>IFERROR(N156/N446, "NA")</f>
        <v>NA</v>
      </c>
      <c r="P156" s="14"/>
      <c r="Q156" s="12">
        <v>0.0</v>
      </c>
      <c r="R156" s="13" t="str">
        <f>IFERROR(Q156/Q446, "NA")</f>
        <v>NA</v>
      </c>
      <c r="S156" s="14"/>
      <c r="T156" s="12">
        <v>0.0</v>
      </c>
      <c r="U156" s="13" t="str">
        <f>IFERROR(T156/T446, "NA")</f>
        <v>NA</v>
      </c>
      <c r="V156" s="14"/>
      <c r="W156" s="12">
        <v>0.0</v>
      </c>
      <c r="X156" s="13" t="str">
        <f>IFERROR(W156/W446, "NA")</f>
        <v>NA</v>
      </c>
      <c r="Y156" s="14"/>
      <c r="Z156" s="12">
        <v>0.0</v>
      </c>
      <c r="AA156" s="13" t="str">
        <f>IFERROR(Z156/Z446, "NA")</f>
        <v>NA</v>
      </c>
      <c r="AB156" s="14"/>
      <c r="AC156" s="12">
        <v>0.0</v>
      </c>
      <c r="AD156" s="13" t="str">
        <f>IFERROR(AC156/AC446, "NA")</f>
        <v>NA</v>
      </c>
      <c r="AE156" s="14"/>
      <c r="AF156" s="12">
        <v>0.0</v>
      </c>
      <c r="AG156" s="13" t="str">
        <f>IFERROR(AF156/AF446, "NA")</f>
        <v>NA</v>
      </c>
      <c r="AH156" s="14"/>
      <c r="AI156" s="12">
        <v>0.0</v>
      </c>
      <c r="AJ156" s="13" t="str">
        <f>IFERROR(AI156/AI446, "NA")</f>
        <v>NA</v>
      </c>
      <c r="AK156" s="12"/>
      <c r="AL156" s="15">
        <f t="shared" si="21"/>
        <v>0</v>
      </c>
      <c r="AM156" s="13" t="str">
        <f>IFERROR(AL156/AL446, "NA")</f>
        <v>NA</v>
      </c>
      <c r="AN156" s="12"/>
      <c r="AO156" s="12">
        <v>0.0</v>
      </c>
      <c r="AP156" s="13" t="str">
        <f>IFERROR(AO156/AO446, "NA")</f>
        <v>NA</v>
      </c>
      <c r="AQ156" s="12"/>
      <c r="AR156" s="15">
        <f t="shared" si="22"/>
        <v>0</v>
      </c>
    </row>
    <row r="157" ht="16.5" hidden="1" customHeight="1">
      <c r="A157" s="11" t="s">
        <v>558</v>
      </c>
      <c r="B157" s="12">
        <v>0.0</v>
      </c>
      <c r="C157" s="13" t="str">
        <f>IFERROR(B157/B446, "NA")</f>
        <v>NA</v>
      </c>
      <c r="D157" s="14"/>
      <c r="E157" s="12">
        <v>0.0</v>
      </c>
      <c r="F157" s="13" t="str">
        <f>IFERROR(E157/E446, "NA")</f>
        <v>NA</v>
      </c>
      <c r="G157" s="14"/>
      <c r="H157" s="12">
        <v>0.0</v>
      </c>
      <c r="I157" s="13" t="str">
        <f>IFERROR(H157/H446, "NA")</f>
        <v>NA</v>
      </c>
      <c r="J157" s="14"/>
      <c r="K157" s="12">
        <v>0.0</v>
      </c>
      <c r="L157" s="13" t="str">
        <f>IFERROR(K157/K446, "NA")</f>
        <v>NA</v>
      </c>
      <c r="M157" s="14"/>
      <c r="N157" s="12">
        <v>0.0</v>
      </c>
      <c r="O157" s="13" t="str">
        <f>IFERROR(N157/N446, "NA")</f>
        <v>NA</v>
      </c>
      <c r="P157" s="14"/>
      <c r="Q157" s="12">
        <v>0.0</v>
      </c>
      <c r="R157" s="13" t="str">
        <f>IFERROR(Q157/Q446, "NA")</f>
        <v>NA</v>
      </c>
      <c r="S157" s="14"/>
      <c r="T157" s="12">
        <v>0.0</v>
      </c>
      <c r="U157" s="13" t="str">
        <f>IFERROR(T157/T446, "NA")</f>
        <v>NA</v>
      </c>
      <c r="V157" s="14"/>
      <c r="W157" s="12">
        <v>0.0</v>
      </c>
      <c r="X157" s="13" t="str">
        <f>IFERROR(W157/W446, "NA")</f>
        <v>NA</v>
      </c>
      <c r="Y157" s="14"/>
      <c r="Z157" s="12">
        <v>0.0</v>
      </c>
      <c r="AA157" s="13" t="str">
        <f>IFERROR(Z157/Z446, "NA")</f>
        <v>NA</v>
      </c>
      <c r="AB157" s="14"/>
      <c r="AC157" s="12">
        <v>0.0</v>
      </c>
      <c r="AD157" s="13" t="str">
        <f>IFERROR(AC157/AC446, "NA")</f>
        <v>NA</v>
      </c>
      <c r="AE157" s="14"/>
      <c r="AF157" s="12">
        <v>0.0</v>
      </c>
      <c r="AG157" s="13" t="str">
        <f>IFERROR(AF157/AF446, "NA")</f>
        <v>NA</v>
      </c>
      <c r="AH157" s="14"/>
      <c r="AI157" s="12">
        <v>0.0</v>
      </c>
      <c r="AJ157" s="13" t="str">
        <f>IFERROR(AI157/AI446, "NA")</f>
        <v>NA</v>
      </c>
      <c r="AK157" s="12"/>
      <c r="AL157" s="15">
        <f t="shared" si="21"/>
        <v>0</v>
      </c>
      <c r="AM157" s="13" t="str">
        <f>IFERROR(AL157/AL446, "NA")</f>
        <v>NA</v>
      </c>
      <c r="AN157" s="12"/>
      <c r="AO157" s="12">
        <v>0.0</v>
      </c>
      <c r="AP157" s="13" t="str">
        <f>IFERROR(AO157/AO446, "NA")</f>
        <v>NA</v>
      </c>
      <c r="AQ157" s="12"/>
      <c r="AR157" s="15">
        <f t="shared" si="22"/>
        <v>0</v>
      </c>
    </row>
    <row r="158" ht="16.5" customHeight="1">
      <c r="A158" s="16" t="s">
        <v>150</v>
      </c>
      <c r="B158" s="17">
        <f>IFERROR(B153+B154+B155+B156+B157, "NA")</f>
        <v>0</v>
      </c>
      <c r="C158" s="18" t="str">
        <f>IFERROR(B158/B446, "NA")</f>
        <v>NA</v>
      </c>
      <c r="D158" s="8"/>
      <c r="E158" s="17">
        <f>IFERROR(E153+E154+E155+E156+E157, "NA")</f>
        <v>0</v>
      </c>
      <c r="F158" s="18" t="str">
        <f>IFERROR(E158/E446, "NA")</f>
        <v>NA</v>
      </c>
      <c r="G158" s="8"/>
      <c r="H158" s="17">
        <f>IFERROR(H153+H154+H155+H156+H157, "NA")</f>
        <v>0</v>
      </c>
      <c r="I158" s="18" t="str">
        <f>IFERROR(H158/H446, "NA")</f>
        <v>NA</v>
      </c>
      <c r="J158" s="8"/>
      <c r="K158" s="17">
        <f>IFERROR(K153+K154+K155+K156+K157, "NA")</f>
        <v>0</v>
      </c>
      <c r="L158" s="18" t="str">
        <f>IFERROR(K158/K446, "NA")</f>
        <v>NA</v>
      </c>
      <c r="M158" s="8"/>
      <c r="N158" s="17">
        <f>IFERROR(N153+N154+N155+N156+N157, "NA")</f>
        <v>0</v>
      </c>
      <c r="O158" s="18" t="str">
        <f>IFERROR(N158/N446, "NA")</f>
        <v>NA</v>
      </c>
      <c r="P158" s="8"/>
      <c r="Q158" s="17">
        <f>IFERROR(Q153+Q154+Q155+Q156+Q157, "NA")</f>
        <v>0</v>
      </c>
      <c r="R158" s="18" t="str">
        <f>IFERROR(Q158/Q446, "NA")</f>
        <v>NA</v>
      </c>
      <c r="S158" s="8"/>
      <c r="T158" s="17">
        <f>IFERROR(T153+T154+T155+T156+T157, "NA")</f>
        <v>0</v>
      </c>
      <c r="U158" s="18" t="str">
        <f>IFERROR(T158/T446, "NA")</f>
        <v>NA</v>
      </c>
      <c r="V158" s="8"/>
      <c r="W158" s="17">
        <f>IFERROR(W153+W154+W155+W156+W157, "NA")</f>
        <v>0</v>
      </c>
      <c r="X158" s="18" t="str">
        <f>IFERROR(W158/W446, "NA")</f>
        <v>NA</v>
      </c>
      <c r="Y158" s="8"/>
      <c r="Z158" s="17">
        <f>IFERROR(Z153+Z154+Z155+Z156+Z157, "NA")</f>
        <v>0</v>
      </c>
      <c r="AA158" s="18" t="str">
        <f>IFERROR(Z158/Z446, "NA")</f>
        <v>NA</v>
      </c>
      <c r="AB158" s="8"/>
      <c r="AC158" s="17">
        <f>IFERROR(AC153+AC154+AC155+AC156+AC157, "NA")</f>
        <v>0</v>
      </c>
      <c r="AD158" s="18" t="str">
        <f>IFERROR(AC158/AC446, "NA")</f>
        <v>NA</v>
      </c>
      <c r="AE158" s="8"/>
      <c r="AF158" s="17">
        <f>IFERROR(AF153+AF154+AF155+AF156+AF157, "NA")</f>
        <v>0</v>
      </c>
      <c r="AG158" s="18" t="str">
        <f>IFERROR(AF158/AF446, "NA")</f>
        <v>NA</v>
      </c>
      <c r="AH158" s="8"/>
      <c r="AI158" s="17">
        <f>IFERROR(AI153+AI154+AI155+AI156+AI157, "NA")</f>
        <v>0</v>
      </c>
      <c r="AJ158" s="18" t="str">
        <f>IFERROR(AI158/AI446, "NA")</f>
        <v>NA</v>
      </c>
      <c r="AK158" s="8"/>
      <c r="AL158" s="17">
        <f t="shared" si="21"/>
        <v>0</v>
      </c>
      <c r="AM158" s="18" t="str">
        <f>IFERROR(AL158/AL446, "NA")</f>
        <v>NA</v>
      </c>
      <c r="AN158" s="8"/>
      <c r="AO158" s="17">
        <f>IFERROR(AO153+AO154+AO155+AO156+AO157, "NA")</f>
        <v>0</v>
      </c>
      <c r="AP158" s="18" t="str">
        <f>IFERROR(AO158/AO446, "NA")</f>
        <v>NA</v>
      </c>
      <c r="AQ158" s="8"/>
      <c r="AR158" s="17">
        <f t="shared" si="22"/>
        <v>0</v>
      </c>
    </row>
    <row r="159" ht="16.5" customHeight="1">
      <c r="A159" s="7" t="s">
        <v>151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  <c r="AE159" s="10"/>
      <c r="AF159" s="8"/>
      <c r="AG159" s="9"/>
      <c r="AH159" s="10"/>
      <c r="AI159" s="8"/>
      <c r="AJ159" s="9"/>
      <c r="AK159" s="8"/>
      <c r="AL159" s="8"/>
      <c r="AM159" s="9"/>
      <c r="AN159" s="8"/>
      <c r="AO159" s="8"/>
      <c r="AP159" s="9"/>
      <c r="AQ159" s="8"/>
      <c r="AR159" s="8"/>
    </row>
    <row r="160" ht="16.5" hidden="1" customHeight="1">
      <c r="A160" s="11" t="s">
        <v>559</v>
      </c>
      <c r="B160" s="12">
        <v>0.0</v>
      </c>
      <c r="C160" s="13" t="str">
        <f>IFERROR(B160/B446, "NA")</f>
        <v>NA</v>
      </c>
      <c r="D160" s="14"/>
      <c r="E160" s="12">
        <v>0.0</v>
      </c>
      <c r="F160" s="13" t="str">
        <f>IFERROR(E160/E446, "NA")</f>
        <v>NA</v>
      </c>
      <c r="G160" s="14"/>
      <c r="H160" s="12">
        <v>0.0</v>
      </c>
      <c r="I160" s="13" t="str">
        <f>IFERROR(H160/H446, "NA")</f>
        <v>NA</v>
      </c>
      <c r="J160" s="14"/>
      <c r="K160" s="12">
        <v>0.0</v>
      </c>
      <c r="L160" s="13" t="str">
        <f>IFERROR(K160/K446, "NA")</f>
        <v>NA</v>
      </c>
      <c r="M160" s="14"/>
      <c r="N160" s="12">
        <v>0.0</v>
      </c>
      <c r="O160" s="13" t="str">
        <f>IFERROR(N160/N446, "NA")</f>
        <v>NA</v>
      </c>
      <c r="P160" s="14"/>
      <c r="Q160" s="12">
        <v>0.0</v>
      </c>
      <c r="R160" s="13" t="str">
        <f>IFERROR(Q160/Q446, "NA")</f>
        <v>NA</v>
      </c>
      <c r="S160" s="14"/>
      <c r="T160" s="12">
        <v>0.0</v>
      </c>
      <c r="U160" s="13" t="str">
        <f>IFERROR(T160/T446, "NA")</f>
        <v>NA</v>
      </c>
      <c r="V160" s="14"/>
      <c r="W160" s="12">
        <v>0.0</v>
      </c>
      <c r="X160" s="13" t="str">
        <f>IFERROR(W160/W446, "NA")</f>
        <v>NA</v>
      </c>
      <c r="Y160" s="14"/>
      <c r="Z160" s="12">
        <v>0.0</v>
      </c>
      <c r="AA160" s="13" t="str">
        <f>IFERROR(Z160/Z446, "NA")</f>
        <v>NA</v>
      </c>
      <c r="AB160" s="14"/>
      <c r="AC160" s="12">
        <v>0.0</v>
      </c>
      <c r="AD160" s="13" t="str">
        <f>IFERROR(AC160/AC446, "NA")</f>
        <v>NA</v>
      </c>
      <c r="AE160" s="14"/>
      <c r="AF160" s="12">
        <v>0.0</v>
      </c>
      <c r="AG160" s="13" t="str">
        <f>IFERROR(AF160/AF446, "NA")</f>
        <v>NA</v>
      </c>
      <c r="AH160" s="14"/>
      <c r="AI160" s="12">
        <v>0.0</v>
      </c>
      <c r="AJ160" s="13" t="str">
        <f>IFERROR(AI160/AI446, "NA")</f>
        <v>NA</v>
      </c>
      <c r="AK160" s="12"/>
      <c r="AL160" s="15">
        <f t="shared" ref="AL160:AL172" si="23">IFERROR(B160+E160+H160+K160+N160+Q160+T160+W160+Z160+AC160+AF160+AI160, "NA")</f>
        <v>0</v>
      </c>
      <c r="AM160" s="13" t="str">
        <f>IFERROR(AL160/AL446, "NA")</f>
        <v>NA</v>
      </c>
      <c r="AN160" s="12"/>
      <c r="AO160" s="12">
        <v>0.0</v>
      </c>
      <c r="AP160" s="13" t="str">
        <f>IFERROR(AO160/AO446, "NA")</f>
        <v>NA</v>
      </c>
      <c r="AQ160" s="12"/>
      <c r="AR160" s="15">
        <f t="shared" ref="AR160:AR172" si="24">IFERROR(AL160-AO160, "NA")</f>
        <v>0</v>
      </c>
    </row>
    <row r="161" ht="16.5" hidden="1" customHeight="1">
      <c r="A161" s="11" t="s">
        <v>560</v>
      </c>
      <c r="B161" s="12">
        <v>0.0</v>
      </c>
      <c r="C161" s="13" t="str">
        <f>IFERROR(B161/B446, "NA")</f>
        <v>NA</v>
      </c>
      <c r="D161" s="14"/>
      <c r="E161" s="12">
        <v>0.0</v>
      </c>
      <c r="F161" s="13" t="str">
        <f>IFERROR(E161/E446, "NA")</f>
        <v>NA</v>
      </c>
      <c r="G161" s="14"/>
      <c r="H161" s="12">
        <v>0.0</v>
      </c>
      <c r="I161" s="13" t="str">
        <f>IFERROR(H161/H446, "NA")</f>
        <v>NA</v>
      </c>
      <c r="J161" s="14"/>
      <c r="K161" s="12">
        <v>0.0</v>
      </c>
      <c r="L161" s="13" t="str">
        <f>IFERROR(K161/K446, "NA")</f>
        <v>NA</v>
      </c>
      <c r="M161" s="14"/>
      <c r="N161" s="12">
        <v>0.0</v>
      </c>
      <c r="O161" s="13" t="str">
        <f>IFERROR(N161/N446, "NA")</f>
        <v>NA</v>
      </c>
      <c r="P161" s="14"/>
      <c r="Q161" s="12">
        <v>0.0</v>
      </c>
      <c r="R161" s="13" t="str">
        <f>IFERROR(Q161/Q446, "NA")</f>
        <v>NA</v>
      </c>
      <c r="S161" s="14"/>
      <c r="T161" s="12">
        <v>0.0</v>
      </c>
      <c r="U161" s="13" t="str">
        <f>IFERROR(T161/T446, "NA")</f>
        <v>NA</v>
      </c>
      <c r="V161" s="14"/>
      <c r="W161" s="12">
        <v>0.0</v>
      </c>
      <c r="X161" s="13" t="str">
        <f>IFERROR(W161/W446, "NA")</f>
        <v>NA</v>
      </c>
      <c r="Y161" s="14"/>
      <c r="Z161" s="12">
        <v>0.0</v>
      </c>
      <c r="AA161" s="13" t="str">
        <f>IFERROR(Z161/Z446, "NA")</f>
        <v>NA</v>
      </c>
      <c r="AB161" s="14"/>
      <c r="AC161" s="12">
        <v>0.0</v>
      </c>
      <c r="AD161" s="13" t="str">
        <f>IFERROR(AC161/AC446, "NA")</f>
        <v>NA</v>
      </c>
      <c r="AE161" s="14"/>
      <c r="AF161" s="12">
        <v>0.0</v>
      </c>
      <c r="AG161" s="13" t="str">
        <f>IFERROR(AF161/AF446, "NA")</f>
        <v>NA</v>
      </c>
      <c r="AH161" s="14"/>
      <c r="AI161" s="12">
        <v>0.0</v>
      </c>
      <c r="AJ161" s="13" t="str">
        <f>IFERROR(AI161/AI446, "NA")</f>
        <v>NA</v>
      </c>
      <c r="AK161" s="12"/>
      <c r="AL161" s="15">
        <f t="shared" si="23"/>
        <v>0</v>
      </c>
      <c r="AM161" s="13" t="str">
        <f>IFERROR(AL161/AL446, "NA")</f>
        <v>NA</v>
      </c>
      <c r="AN161" s="12"/>
      <c r="AO161" s="12">
        <v>0.0</v>
      </c>
      <c r="AP161" s="13" t="str">
        <f>IFERROR(AO161/AO446, "NA")</f>
        <v>NA</v>
      </c>
      <c r="AQ161" s="12"/>
      <c r="AR161" s="15">
        <f t="shared" si="24"/>
        <v>0</v>
      </c>
    </row>
    <row r="162" ht="16.5" hidden="1" customHeight="1">
      <c r="A162" s="11" t="s">
        <v>561</v>
      </c>
      <c r="B162" s="12">
        <v>0.0</v>
      </c>
      <c r="C162" s="13" t="str">
        <f>IFERROR(B162/B446, "NA")</f>
        <v>NA</v>
      </c>
      <c r="D162" s="14"/>
      <c r="E162" s="12">
        <v>0.0</v>
      </c>
      <c r="F162" s="13" t="str">
        <f>IFERROR(E162/E446, "NA")</f>
        <v>NA</v>
      </c>
      <c r="G162" s="14"/>
      <c r="H162" s="12">
        <v>0.0</v>
      </c>
      <c r="I162" s="13" t="str">
        <f>IFERROR(H162/H446, "NA")</f>
        <v>NA</v>
      </c>
      <c r="J162" s="14"/>
      <c r="K162" s="12">
        <v>0.0</v>
      </c>
      <c r="L162" s="13" t="str">
        <f>IFERROR(K162/K446, "NA")</f>
        <v>NA</v>
      </c>
      <c r="M162" s="14"/>
      <c r="N162" s="12">
        <v>0.0</v>
      </c>
      <c r="O162" s="13" t="str">
        <f>IFERROR(N162/N446, "NA")</f>
        <v>NA</v>
      </c>
      <c r="P162" s="14"/>
      <c r="Q162" s="12">
        <v>0.0</v>
      </c>
      <c r="R162" s="13" t="str">
        <f>IFERROR(Q162/Q446, "NA")</f>
        <v>NA</v>
      </c>
      <c r="S162" s="14"/>
      <c r="T162" s="12">
        <v>0.0</v>
      </c>
      <c r="U162" s="13" t="str">
        <f>IFERROR(T162/T446, "NA")</f>
        <v>NA</v>
      </c>
      <c r="V162" s="14"/>
      <c r="W162" s="12">
        <v>0.0</v>
      </c>
      <c r="X162" s="13" t="str">
        <f>IFERROR(W162/W446, "NA")</f>
        <v>NA</v>
      </c>
      <c r="Y162" s="14"/>
      <c r="Z162" s="12">
        <v>0.0</v>
      </c>
      <c r="AA162" s="13" t="str">
        <f>IFERROR(Z162/Z446, "NA")</f>
        <v>NA</v>
      </c>
      <c r="AB162" s="14"/>
      <c r="AC162" s="12">
        <v>0.0</v>
      </c>
      <c r="AD162" s="13" t="str">
        <f>IFERROR(AC162/AC446, "NA")</f>
        <v>NA</v>
      </c>
      <c r="AE162" s="14"/>
      <c r="AF162" s="12">
        <v>0.0</v>
      </c>
      <c r="AG162" s="13" t="str">
        <f>IFERROR(AF162/AF446, "NA")</f>
        <v>NA</v>
      </c>
      <c r="AH162" s="14"/>
      <c r="AI162" s="12">
        <v>0.0</v>
      </c>
      <c r="AJ162" s="13" t="str">
        <f>IFERROR(AI162/AI446, "NA")</f>
        <v>NA</v>
      </c>
      <c r="AK162" s="12"/>
      <c r="AL162" s="15">
        <f t="shared" si="23"/>
        <v>0</v>
      </c>
      <c r="AM162" s="13" t="str">
        <f>IFERROR(AL162/AL446, "NA")</f>
        <v>NA</v>
      </c>
      <c r="AN162" s="12"/>
      <c r="AO162" s="12">
        <v>0.0</v>
      </c>
      <c r="AP162" s="13" t="str">
        <f>IFERROR(AO162/AO446, "NA")</f>
        <v>NA</v>
      </c>
      <c r="AQ162" s="12"/>
      <c r="AR162" s="15">
        <f t="shared" si="24"/>
        <v>0</v>
      </c>
    </row>
    <row r="163" ht="16.5" hidden="1" customHeight="1">
      <c r="A163" s="11" t="s">
        <v>562</v>
      </c>
      <c r="B163" s="12">
        <v>0.0</v>
      </c>
      <c r="C163" s="13" t="str">
        <f>IFERROR(B163/B446, "NA")</f>
        <v>NA</v>
      </c>
      <c r="D163" s="14"/>
      <c r="E163" s="12">
        <v>0.0</v>
      </c>
      <c r="F163" s="13" t="str">
        <f>IFERROR(E163/E446, "NA")</f>
        <v>NA</v>
      </c>
      <c r="G163" s="14"/>
      <c r="H163" s="12">
        <v>0.0</v>
      </c>
      <c r="I163" s="13" t="str">
        <f>IFERROR(H163/H446, "NA")</f>
        <v>NA</v>
      </c>
      <c r="J163" s="14"/>
      <c r="K163" s="12">
        <v>0.0</v>
      </c>
      <c r="L163" s="13" t="str">
        <f>IFERROR(K163/K446, "NA")</f>
        <v>NA</v>
      </c>
      <c r="M163" s="14"/>
      <c r="N163" s="12">
        <v>0.0</v>
      </c>
      <c r="O163" s="13" t="str">
        <f>IFERROR(N163/N446, "NA")</f>
        <v>NA</v>
      </c>
      <c r="P163" s="14"/>
      <c r="Q163" s="12">
        <v>0.0</v>
      </c>
      <c r="R163" s="13" t="str">
        <f>IFERROR(Q163/Q446, "NA")</f>
        <v>NA</v>
      </c>
      <c r="S163" s="14"/>
      <c r="T163" s="12">
        <v>0.0</v>
      </c>
      <c r="U163" s="13" t="str">
        <f>IFERROR(T163/T446, "NA")</f>
        <v>NA</v>
      </c>
      <c r="V163" s="14"/>
      <c r="W163" s="12">
        <v>0.0</v>
      </c>
      <c r="X163" s="13" t="str">
        <f>IFERROR(W163/W446, "NA")</f>
        <v>NA</v>
      </c>
      <c r="Y163" s="14"/>
      <c r="Z163" s="12">
        <v>0.0</v>
      </c>
      <c r="AA163" s="13" t="str">
        <f>IFERROR(Z163/Z446, "NA")</f>
        <v>NA</v>
      </c>
      <c r="AB163" s="14"/>
      <c r="AC163" s="12">
        <v>0.0</v>
      </c>
      <c r="AD163" s="13" t="str">
        <f>IFERROR(AC163/AC446, "NA")</f>
        <v>NA</v>
      </c>
      <c r="AE163" s="14"/>
      <c r="AF163" s="12">
        <v>0.0</v>
      </c>
      <c r="AG163" s="13" t="str">
        <f>IFERROR(AF163/AF446, "NA")</f>
        <v>NA</v>
      </c>
      <c r="AH163" s="14"/>
      <c r="AI163" s="12">
        <v>0.0</v>
      </c>
      <c r="AJ163" s="13" t="str">
        <f>IFERROR(AI163/AI446, "NA")</f>
        <v>NA</v>
      </c>
      <c r="AK163" s="12"/>
      <c r="AL163" s="15">
        <f t="shared" si="23"/>
        <v>0</v>
      </c>
      <c r="AM163" s="13" t="str">
        <f>IFERROR(AL163/AL446, "NA")</f>
        <v>NA</v>
      </c>
      <c r="AN163" s="12"/>
      <c r="AO163" s="12">
        <v>0.0</v>
      </c>
      <c r="AP163" s="13" t="str">
        <f>IFERROR(AO163/AO446, "NA")</f>
        <v>NA</v>
      </c>
      <c r="AQ163" s="12"/>
      <c r="AR163" s="15">
        <f t="shared" si="24"/>
        <v>0</v>
      </c>
    </row>
    <row r="164" ht="16.5" hidden="1" customHeight="1">
      <c r="A164" s="11" t="s">
        <v>563</v>
      </c>
      <c r="B164" s="12">
        <v>0.0</v>
      </c>
      <c r="C164" s="13" t="str">
        <f>IFERROR(B164/B446, "NA")</f>
        <v>NA</v>
      </c>
      <c r="D164" s="14"/>
      <c r="E164" s="12">
        <v>0.0</v>
      </c>
      <c r="F164" s="13" t="str">
        <f>IFERROR(E164/E446, "NA")</f>
        <v>NA</v>
      </c>
      <c r="G164" s="14"/>
      <c r="H164" s="12">
        <v>0.0</v>
      </c>
      <c r="I164" s="13" t="str">
        <f>IFERROR(H164/H446, "NA")</f>
        <v>NA</v>
      </c>
      <c r="J164" s="14"/>
      <c r="K164" s="12">
        <v>0.0</v>
      </c>
      <c r="L164" s="13" t="str">
        <f>IFERROR(K164/K446, "NA")</f>
        <v>NA</v>
      </c>
      <c r="M164" s="14"/>
      <c r="N164" s="12">
        <v>0.0</v>
      </c>
      <c r="O164" s="13" t="str">
        <f>IFERROR(N164/N446, "NA")</f>
        <v>NA</v>
      </c>
      <c r="P164" s="14"/>
      <c r="Q164" s="12">
        <v>0.0</v>
      </c>
      <c r="R164" s="13" t="str">
        <f>IFERROR(Q164/Q446, "NA")</f>
        <v>NA</v>
      </c>
      <c r="S164" s="14"/>
      <c r="T164" s="12">
        <v>0.0</v>
      </c>
      <c r="U164" s="13" t="str">
        <f>IFERROR(T164/T446, "NA")</f>
        <v>NA</v>
      </c>
      <c r="V164" s="14"/>
      <c r="W164" s="12">
        <v>0.0</v>
      </c>
      <c r="X164" s="13" t="str">
        <f>IFERROR(W164/W446, "NA")</f>
        <v>NA</v>
      </c>
      <c r="Y164" s="14"/>
      <c r="Z164" s="12">
        <v>0.0</v>
      </c>
      <c r="AA164" s="13" t="str">
        <f>IFERROR(Z164/Z446, "NA")</f>
        <v>NA</v>
      </c>
      <c r="AB164" s="14"/>
      <c r="AC164" s="12">
        <v>0.0</v>
      </c>
      <c r="AD164" s="13" t="str">
        <f>IFERROR(AC164/AC446, "NA")</f>
        <v>NA</v>
      </c>
      <c r="AE164" s="14"/>
      <c r="AF164" s="12">
        <v>0.0</v>
      </c>
      <c r="AG164" s="13" t="str">
        <f>IFERROR(AF164/AF446, "NA")</f>
        <v>NA</v>
      </c>
      <c r="AH164" s="14"/>
      <c r="AI164" s="12">
        <v>0.0</v>
      </c>
      <c r="AJ164" s="13" t="str">
        <f>IFERROR(AI164/AI446, "NA")</f>
        <v>NA</v>
      </c>
      <c r="AK164" s="12"/>
      <c r="AL164" s="15">
        <f t="shared" si="23"/>
        <v>0</v>
      </c>
      <c r="AM164" s="13" t="str">
        <f>IFERROR(AL164/AL446, "NA")</f>
        <v>NA</v>
      </c>
      <c r="AN164" s="12"/>
      <c r="AO164" s="12">
        <v>0.0</v>
      </c>
      <c r="AP164" s="13" t="str">
        <f>IFERROR(AO164/AO446, "NA")</f>
        <v>NA</v>
      </c>
      <c r="AQ164" s="12"/>
      <c r="AR164" s="15">
        <f t="shared" si="24"/>
        <v>0</v>
      </c>
    </row>
    <row r="165" ht="16.5" hidden="1" customHeight="1">
      <c r="A165" s="11" t="s">
        <v>564</v>
      </c>
      <c r="B165" s="12">
        <v>0.0</v>
      </c>
      <c r="C165" s="13" t="str">
        <f>IFERROR(B165/B446, "NA")</f>
        <v>NA</v>
      </c>
      <c r="D165" s="14"/>
      <c r="E165" s="12">
        <v>0.0</v>
      </c>
      <c r="F165" s="13" t="str">
        <f>IFERROR(E165/E446, "NA")</f>
        <v>NA</v>
      </c>
      <c r="G165" s="14"/>
      <c r="H165" s="12">
        <v>0.0</v>
      </c>
      <c r="I165" s="13" t="str">
        <f>IFERROR(H165/H446, "NA")</f>
        <v>NA</v>
      </c>
      <c r="J165" s="14"/>
      <c r="K165" s="12">
        <v>0.0</v>
      </c>
      <c r="L165" s="13" t="str">
        <f>IFERROR(K165/K446, "NA")</f>
        <v>NA</v>
      </c>
      <c r="M165" s="14"/>
      <c r="N165" s="12">
        <v>0.0</v>
      </c>
      <c r="O165" s="13" t="str">
        <f>IFERROR(N165/N446, "NA")</f>
        <v>NA</v>
      </c>
      <c r="P165" s="14"/>
      <c r="Q165" s="12">
        <v>0.0</v>
      </c>
      <c r="R165" s="13" t="str">
        <f>IFERROR(Q165/Q446, "NA")</f>
        <v>NA</v>
      </c>
      <c r="S165" s="14"/>
      <c r="T165" s="12">
        <v>0.0</v>
      </c>
      <c r="U165" s="13" t="str">
        <f>IFERROR(T165/T446, "NA")</f>
        <v>NA</v>
      </c>
      <c r="V165" s="14"/>
      <c r="W165" s="12">
        <v>0.0</v>
      </c>
      <c r="X165" s="13" t="str">
        <f>IFERROR(W165/W446, "NA")</f>
        <v>NA</v>
      </c>
      <c r="Y165" s="14"/>
      <c r="Z165" s="12">
        <v>0.0</v>
      </c>
      <c r="AA165" s="13" t="str">
        <f>IFERROR(Z165/Z446, "NA")</f>
        <v>NA</v>
      </c>
      <c r="AB165" s="14"/>
      <c r="AC165" s="12">
        <v>0.0</v>
      </c>
      <c r="AD165" s="13" t="str">
        <f>IFERROR(AC165/AC446, "NA")</f>
        <v>NA</v>
      </c>
      <c r="AE165" s="14"/>
      <c r="AF165" s="12">
        <v>0.0</v>
      </c>
      <c r="AG165" s="13" t="str">
        <f>IFERROR(AF165/AF446, "NA")</f>
        <v>NA</v>
      </c>
      <c r="AH165" s="14"/>
      <c r="AI165" s="12">
        <v>0.0</v>
      </c>
      <c r="AJ165" s="13" t="str">
        <f>IFERROR(AI165/AI446, "NA")</f>
        <v>NA</v>
      </c>
      <c r="AK165" s="12"/>
      <c r="AL165" s="15">
        <f t="shared" si="23"/>
        <v>0</v>
      </c>
      <c r="AM165" s="13" t="str">
        <f>IFERROR(AL165/AL446, "NA")</f>
        <v>NA</v>
      </c>
      <c r="AN165" s="12"/>
      <c r="AO165" s="12">
        <v>0.0</v>
      </c>
      <c r="AP165" s="13" t="str">
        <f>IFERROR(AO165/AO446, "NA")</f>
        <v>NA</v>
      </c>
      <c r="AQ165" s="12"/>
      <c r="AR165" s="15">
        <f t="shared" si="24"/>
        <v>0</v>
      </c>
    </row>
    <row r="166" ht="16.5" customHeight="1">
      <c r="A166" s="16" t="s">
        <v>157</v>
      </c>
      <c r="B166" s="17">
        <f>IFERROR(B160+B161+B162+B163+B164+B165, "NA")</f>
        <v>0</v>
      </c>
      <c r="C166" s="18" t="str">
        <f>IFERROR(B166/B446, "NA")</f>
        <v>NA</v>
      </c>
      <c r="D166" s="8"/>
      <c r="E166" s="17">
        <f>IFERROR(E160+E161+E162+E163+E164+E165, "NA")</f>
        <v>0</v>
      </c>
      <c r="F166" s="18" t="str">
        <f>IFERROR(E166/E446, "NA")</f>
        <v>NA</v>
      </c>
      <c r="G166" s="8"/>
      <c r="H166" s="17">
        <f>IFERROR(H160+H161+H162+H163+H164+H165, "NA")</f>
        <v>0</v>
      </c>
      <c r="I166" s="18" t="str">
        <f>IFERROR(H166/H446, "NA")</f>
        <v>NA</v>
      </c>
      <c r="J166" s="8"/>
      <c r="K166" s="17">
        <f>IFERROR(K160+K161+K162+K163+K164+K165, "NA")</f>
        <v>0</v>
      </c>
      <c r="L166" s="18" t="str">
        <f>IFERROR(K166/K446, "NA")</f>
        <v>NA</v>
      </c>
      <c r="M166" s="8"/>
      <c r="N166" s="17">
        <f>IFERROR(N160+N161+N162+N163+N164+N165, "NA")</f>
        <v>0</v>
      </c>
      <c r="O166" s="18" t="str">
        <f>IFERROR(N166/N446, "NA")</f>
        <v>NA</v>
      </c>
      <c r="P166" s="8"/>
      <c r="Q166" s="17">
        <f>IFERROR(Q160+Q161+Q162+Q163+Q164+Q165, "NA")</f>
        <v>0</v>
      </c>
      <c r="R166" s="18" t="str">
        <f>IFERROR(Q166/Q446, "NA")</f>
        <v>NA</v>
      </c>
      <c r="S166" s="8"/>
      <c r="T166" s="17">
        <f>IFERROR(T160+T161+T162+T163+T164+T165, "NA")</f>
        <v>0</v>
      </c>
      <c r="U166" s="18" t="str">
        <f>IFERROR(T166/T446, "NA")</f>
        <v>NA</v>
      </c>
      <c r="V166" s="8"/>
      <c r="W166" s="17">
        <f>IFERROR(W160+W161+W162+W163+W164+W165, "NA")</f>
        <v>0</v>
      </c>
      <c r="X166" s="18" t="str">
        <f>IFERROR(W166/W446, "NA")</f>
        <v>NA</v>
      </c>
      <c r="Y166" s="8"/>
      <c r="Z166" s="17">
        <f>IFERROR(Z160+Z161+Z162+Z163+Z164+Z165, "NA")</f>
        <v>0</v>
      </c>
      <c r="AA166" s="18" t="str">
        <f>IFERROR(Z166/Z446, "NA")</f>
        <v>NA</v>
      </c>
      <c r="AB166" s="8"/>
      <c r="AC166" s="17">
        <f>IFERROR(AC160+AC161+AC162+AC163+AC164+AC165, "NA")</f>
        <v>0</v>
      </c>
      <c r="AD166" s="18" t="str">
        <f>IFERROR(AC166/AC446, "NA")</f>
        <v>NA</v>
      </c>
      <c r="AE166" s="8"/>
      <c r="AF166" s="17">
        <f>IFERROR(AF160+AF161+AF162+AF163+AF164+AF165, "NA")</f>
        <v>0</v>
      </c>
      <c r="AG166" s="18" t="str">
        <f>IFERROR(AF166/AF446, "NA")</f>
        <v>NA</v>
      </c>
      <c r="AH166" s="8"/>
      <c r="AI166" s="17">
        <f>IFERROR(AI160+AI161+AI162+AI163+AI164+AI165, "NA")</f>
        <v>0</v>
      </c>
      <c r="AJ166" s="18" t="str">
        <f>IFERROR(AI166/AI446, "NA")</f>
        <v>NA</v>
      </c>
      <c r="AK166" s="8"/>
      <c r="AL166" s="17">
        <f t="shared" si="23"/>
        <v>0</v>
      </c>
      <c r="AM166" s="18" t="str">
        <f>IFERROR(AL166/AL446, "NA")</f>
        <v>NA</v>
      </c>
      <c r="AN166" s="8"/>
      <c r="AO166" s="17">
        <f>IFERROR(AO160+AO161+AO162+AO163+AO164+AO165, "NA")</f>
        <v>0</v>
      </c>
      <c r="AP166" s="18" t="str">
        <f>IFERROR(AO166/AO446, "NA")</f>
        <v>NA</v>
      </c>
      <c r="AQ166" s="8"/>
      <c r="AR166" s="17">
        <f t="shared" si="24"/>
        <v>0</v>
      </c>
    </row>
    <row r="167" ht="16.5" hidden="1" customHeight="1">
      <c r="A167" s="11" t="s">
        <v>565</v>
      </c>
      <c r="B167" s="12">
        <v>0.0</v>
      </c>
      <c r="C167" s="13" t="str">
        <f>IFERROR(B167/B446, "NA")</f>
        <v>NA</v>
      </c>
      <c r="D167" s="14"/>
      <c r="E167" s="12">
        <v>0.0</v>
      </c>
      <c r="F167" s="13" t="str">
        <f>IFERROR(E167/E446, "NA")</f>
        <v>NA</v>
      </c>
      <c r="G167" s="14"/>
      <c r="H167" s="12">
        <v>0.0</v>
      </c>
      <c r="I167" s="13" t="str">
        <f>IFERROR(H167/H446, "NA")</f>
        <v>NA</v>
      </c>
      <c r="J167" s="14"/>
      <c r="K167" s="12">
        <v>0.0</v>
      </c>
      <c r="L167" s="13" t="str">
        <f>IFERROR(K167/K446, "NA")</f>
        <v>NA</v>
      </c>
      <c r="M167" s="14"/>
      <c r="N167" s="12">
        <v>0.0</v>
      </c>
      <c r="O167" s="13" t="str">
        <f>IFERROR(N167/N446, "NA")</f>
        <v>NA</v>
      </c>
      <c r="P167" s="14"/>
      <c r="Q167" s="12">
        <v>0.0</v>
      </c>
      <c r="R167" s="13" t="str">
        <f>IFERROR(Q167/Q446, "NA")</f>
        <v>NA</v>
      </c>
      <c r="S167" s="14"/>
      <c r="T167" s="12">
        <v>0.0</v>
      </c>
      <c r="U167" s="13" t="str">
        <f>IFERROR(T167/T446, "NA")</f>
        <v>NA</v>
      </c>
      <c r="V167" s="14"/>
      <c r="W167" s="12">
        <v>0.0</v>
      </c>
      <c r="X167" s="13" t="str">
        <f>IFERROR(W167/W446, "NA")</f>
        <v>NA</v>
      </c>
      <c r="Y167" s="14"/>
      <c r="Z167" s="12">
        <v>0.0</v>
      </c>
      <c r="AA167" s="13" t="str">
        <f>IFERROR(Z167/Z446, "NA")</f>
        <v>NA</v>
      </c>
      <c r="AB167" s="14"/>
      <c r="AC167" s="12">
        <v>0.0</v>
      </c>
      <c r="AD167" s="13" t="str">
        <f>IFERROR(AC167/AC446, "NA")</f>
        <v>NA</v>
      </c>
      <c r="AE167" s="14"/>
      <c r="AF167" s="12">
        <v>0.0</v>
      </c>
      <c r="AG167" s="13" t="str">
        <f>IFERROR(AF167/AF446, "NA")</f>
        <v>NA</v>
      </c>
      <c r="AH167" s="14"/>
      <c r="AI167" s="12">
        <v>0.0</v>
      </c>
      <c r="AJ167" s="13" t="str">
        <f>IFERROR(AI167/AI446, "NA")</f>
        <v>NA</v>
      </c>
      <c r="AK167" s="12"/>
      <c r="AL167" s="15">
        <f t="shared" si="23"/>
        <v>0</v>
      </c>
      <c r="AM167" s="13" t="str">
        <f>IFERROR(AL167/AL446, "NA")</f>
        <v>NA</v>
      </c>
      <c r="AN167" s="12"/>
      <c r="AO167" s="12">
        <v>0.0</v>
      </c>
      <c r="AP167" s="13" t="str">
        <f>IFERROR(AO167/AO446, "NA")</f>
        <v>NA</v>
      </c>
      <c r="AQ167" s="12"/>
      <c r="AR167" s="15">
        <f t="shared" si="24"/>
        <v>0</v>
      </c>
    </row>
    <row r="168" ht="16.5" hidden="1" customHeight="1">
      <c r="A168" s="11" t="s">
        <v>566</v>
      </c>
      <c r="B168" s="12">
        <v>0.0</v>
      </c>
      <c r="C168" s="13" t="str">
        <f>IFERROR(B168/B446, "NA")</f>
        <v>NA</v>
      </c>
      <c r="D168" s="14"/>
      <c r="E168" s="12">
        <v>0.0</v>
      </c>
      <c r="F168" s="13" t="str">
        <f>IFERROR(E168/E446, "NA")</f>
        <v>NA</v>
      </c>
      <c r="G168" s="14"/>
      <c r="H168" s="12">
        <v>0.0</v>
      </c>
      <c r="I168" s="13" t="str">
        <f>IFERROR(H168/H446, "NA")</f>
        <v>NA</v>
      </c>
      <c r="J168" s="14"/>
      <c r="K168" s="12">
        <v>0.0</v>
      </c>
      <c r="L168" s="13" t="str">
        <f>IFERROR(K168/K446, "NA")</f>
        <v>NA</v>
      </c>
      <c r="M168" s="14"/>
      <c r="N168" s="12">
        <v>0.0</v>
      </c>
      <c r="O168" s="13" t="str">
        <f>IFERROR(N168/N446, "NA")</f>
        <v>NA</v>
      </c>
      <c r="P168" s="14"/>
      <c r="Q168" s="12">
        <v>0.0</v>
      </c>
      <c r="R168" s="13" t="str">
        <f>IFERROR(Q168/Q446, "NA")</f>
        <v>NA</v>
      </c>
      <c r="S168" s="14"/>
      <c r="T168" s="12">
        <v>0.0</v>
      </c>
      <c r="U168" s="13" t="str">
        <f>IFERROR(T168/T446, "NA")</f>
        <v>NA</v>
      </c>
      <c r="V168" s="14"/>
      <c r="W168" s="12">
        <v>0.0</v>
      </c>
      <c r="X168" s="13" t="str">
        <f>IFERROR(W168/W446, "NA")</f>
        <v>NA</v>
      </c>
      <c r="Y168" s="14"/>
      <c r="Z168" s="12">
        <v>0.0</v>
      </c>
      <c r="AA168" s="13" t="str">
        <f>IFERROR(Z168/Z446, "NA")</f>
        <v>NA</v>
      </c>
      <c r="AB168" s="14"/>
      <c r="AC168" s="12">
        <v>0.0</v>
      </c>
      <c r="AD168" s="13" t="str">
        <f>IFERROR(AC168/AC446, "NA")</f>
        <v>NA</v>
      </c>
      <c r="AE168" s="14"/>
      <c r="AF168" s="12">
        <v>0.0</v>
      </c>
      <c r="AG168" s="13" t="str">
        <f>IFERROR(AF168/AF446, "NA")</f>
        <v>NA</v>
      </c>
      <c r="AH168" s="14"/>
      <c r="AI168" s="12">
        <v>0.0</v>
      </c>
      <c r="AJ168" s="13" t="str">
        <f>IFERROR(AI168/AI446, "NA")</f>
        <v>NA</v>
      </c>
      <c r="AK168" s="12"/>
      <c r="AL168" s="15">
        <f t="shared" si="23"/>
        <v>0</v>
      </c>
      <c r="AM168" s="13" t="str">
        <f>IFERROR(AL168/AL446, "NA")</f>
        <v>NA</v>
      </c>
      <c r="AN168" s="12"/>
      <c r="AO168" s="12">
        <v>0.0</v>
      </c>
      <c r="AP168" s="13" t="str">
        <f>IFERROR(AO168/AO446, "NA")</f>
        <v>NA</v>
      </c>
      <c r="AQ168" s="12"/>
      <c r="AR168" s="15">
        <f t="shared" si="24"/>
        <v>0</v>
      </c>
    </row>
    <row r="169" ht="16.5" hidden="1" customHeight="1">
      <c r="A169" s="11" t="s">
        <v>567</v>
      </c>
      <c r="B169" s="12">
        <v>0.0</v>
      </c>
      <c r="C169" s="13" t="str">
        <f>IFERROR(B169/B446, "NA")</f>
        <v>NA</v>
      </c>
      <c r="D169" s="14"/>
      <c r="E169" s="12">
        <v>0.0</v>
      </c>
      <c r="F169" s="13" t="str">
        <f>IFERROR(E169/E446, "NA")</f>
        <v>NA</v>
      </c>
      <c r="G169" s="14"/>
      <c r="H169" s="12">
        <v>0.0</v>
      </c>
      <c r="I169" s="13" t="str">
        <f>IFERROR(H169/H446, "NA")</f>
        <v>NA</v>
      </c>
      <c r="J169" s="14"/>
      <c r="K169" s="12">
        <v>0.0</v>
      </c>
      <c r="L169" s="13" t="str">
        <f>IFERROR(K169/K446, "NA")</f>
        <v>NA</v>
      </c>
      <c r="M169" s="14"/>
      <c r="N169" s="12">
        <v>0.0</v>
      </c>
      <c r="O169" s="13" t="str">
        <f>IFERROR(N169/N446, "NA")</f>
        <v>NA</v>
      </c>
      <c r="P169" s="14"/>
      <c r="Q169" s="12">
        <v>0.0</v>
      </c>
      <c r="R169" s="13" t="str">
        <f>IFERROR(Q169/Q446, "NA")</f>
        <v>NA</v>
      </c>
      <c r="S169" s="14"/>
      <c r="T169" s="12">
        <v>0.0</v>
      </c>
      <c r="U169" s="13" t="str">
        <f>IFERROR(T169/T446, "NA")</f>
        <v>NA</v>
      </c>
      <c r="V169" s="14"/>
      <c r="W169" s="12">
        <v>0.0</v>
      </c>
      <c r="X169" s="13" t="str">
        <f>IFERROR(W169/W446, "NA")</f>
        <v>NA</v>
      </c>
      <c r="Y169" s="14"/>
      <c r="Z169" s="12">
        <v>0.0</v>
      </c>
      <c r="AA169" s="13" t="str">
        <f>IFERROR(Z169/Z446, "NA")</f>
        <v>NA</v>
      </c>
      <c r="AB169" s="14"/>
      <c r="AC169" s="12">
        <v>0.0</v>
      </c>
      <c r="AD169" s="13" t="str">
        <f>IFERROR(AC169/AC446, "NA")</f>
        <v>NA</v>
      </c>
      <c r="AE169" s="14"/>
      <c r="AF169" s="12">
        <v>0.0</v>
      </c>
      <c r="AG169" s="13" t="str">
        <f>IFERROR(AF169/AF446, "NA")</f>
        <v>NA</v>
      </c>
      <c r="AH169" s="14"/>
      <c r="AI169" s="12">
        <v>0.0</v>
      </c>
      <c r="AJ169" s="13" t="str">
        <f>IFERROR(AI169/AI446, "NA")</f>
        <v>NA</v>
      </c>
      <c r="AK169" s="12"/>
      <c r="AL169" s="15">
        <f t="shared" si="23"/>
        <v>0</v>
      </c>
      <c r="AM169" s="13" t="str">
        <f>IFERROR(AL169/AL446, "NA")</f>
        <v>NA</v>
      </c>
      <c r="AN169" s="12"/>
      <c r="AO169" s="12">
        <v>0.0</v>
      </c>
      <c r="AP169" s="13" t="str">
        <f>IFERROR(AO169/AO446, "NA")</f>
        <v>NA</v>
      </c>
      <c r="AQ169" s="12"/>
      <c r="AR169" s="15">
        <f t="shared" si="24"/>
        <v>0</v>
      </c>
    </row>
    <row r="170" ht="16.5" customHeight="1">
      <c r="A170" s="16" t="s">
        <v>161</v>
      </c>
      <c r="B170" s="17">
        <f>IFERROR(B151+B153+B154+B155+B156+B157+B160+B161+B162+B163+B164+B165+B167+B168+B169, "NA")</f>
        <v>0</v>
      </c>
      <c r="C170" s="18" t="str">
        <f>IFERROR(B170/B446, "NA")</f>
        <v>NA</v>
      </c>
      <c r="D170" s="8"/>
      <c r="E170" s="17">
        <f>IFERROR(E151+E153+E154+E155+E156+E157+E160+E161+E162+E163+E164+E165+E167+E168+E169, "NA")</f>
        <v>0</v>
      </c>
      <c r="F170" s="18" t="str">
        <f>IFERROR(E170/E446, "NA")</f>
        <v>NA</v>
      </c>
      <c r="G170" s="8"/>
      <c r="H170" s="17">
        <f>IFERROR(H151+H153+H154+H155+H156+H157+H160+H161+H162+H163+H164+H165+H167+H168+H169, "NA")</f>
        <v>0</v>
      </c>
      <c r="I170" s="18" t="str">
        <f>IFERROR(H170/H446, "NA")</f>
        <v>NA</v>
      </c>
      <c r="J170" s="8"/>
      <c r="K170" s="17">
        <f>IFERROR(K151+K153+K154+K155+K156+K157+K160+K161+K162+K163+K164+K165+K167+K168+K169, "NA")</f>
        <v>0</v>
      </c>
      <c r="L170" s="18" t="str">
        <f>IFERROR(K170/K446, "NA")</f>
        <v>NA</v>
      </c>
      <c r="M170" s="8"/>
      <c r="N170" s="17">
        <f>IFERROR(N151+N153+N154+N155+N156+N157+N160+N161+N162+N163+N164+N165+N167+N168+N169, "NA")</f>
        <v>0</v>
      </c>
      <c r="O170" s="18" t="str">
        <f>IFERROR(N170/N446, "NA")</f>
        <v>NA</v>
      </c>
      <c r="P170" s="8"/>
      <c r="Q170" s="17">
        <f>IFERROR(Q151+Q153+Q154+Q155+Q156+Q157+Q160+Q161+Q162+Q163+Q164+Q165+Q167+Q168+Q169, "NA")</f>
        <v>0</v>
      </c>
      <c r="R170" s="18" t="str">
        <f>IFERROR(Q170/Q446, "NA")</f>
        <v>NA</v>
      </c>
      <c r="S170" s="8"/>
      <c r="T170" s="17">
        <f>IFERROR(T151+T153+T154+T155+T156+T157+T160+T161+T162+T163+T164+T165+T167+T168+T169, "NA")</f>
        <v>0</v>
      </c>
      <c r="U170" s="18" t="str">
        <f>IFERROR(T170/T446, "NA")</f>
        <v>NA</v>
      </c>
      <c r="V170" s="8"/>
      <c r="W170" s="17">
        <f>IFERROR(W151+W153+W154+W155+W156+W157+W160+W161+W162+W163+W164+W165+W167+W168+W169, "NA")</f>
        <v>0</v>
      </c>
      <c r="X170" s="18" t="str">
        <f>IFERROR(W170/W446, "NA")</f>
        <v>NA</v>
      </c>
      <c r="Y170" s="8"/>
      <c r="Z170" s="17">
        <f>IFERROR(Z151+Z153+Z154+Z155+Z156+Z157+Z160+Z161+Z162+Z163+Z164+Z165+Z167+Z168+Z169, "NA")</f>
        <v>0</v>
      </c>
      <c r="AA170" s="18" t="str">
        <f>IFERROR(Z170/Z446, "NA")</f>
        <v>NA</v>
      </c>
      <c r="AB170" s="8"/>
      <c r="AC170" s="17">
        <f>IFERROR(AC151+AC153+AC154+AC155+AC156+AC157+AC160+AC161+AC162+AC163+AC164+AC165+AC167+AC168+AC169, "NA")</f>
        <v>0</v>
      </c>
      <c r="AD170" s="18" t="str">
        <f>IFERROR(AC170/AC446, "NA")</f>
        <v>NA</v>
      </c>
      <c r="AE170" s="8"/>
      <c r="AF170" s="17">
        <f>IFERROR(AF151+AF153+AF154+AF155+AF156+AF157+AF160+AF161+AF162+AF163+AF164+AF165+AF167+AF168+AF169, "NA")</f>
        <v>0</v>
      </c>
      <c r="AG170" s="18" t="str">
        <f>IFERROR(AF170/AF446, "NA")</f>
        <v>NA</v>
      </c>
      <c r="AH170" s="8"/>
      <c r="AI170" s="17">
        <f>IFERROR(AI151+AI153+AI154+AI155+AI156+AI157+AI160+AI161+AI162+AI163+AI164+AI165+AI167+AI168+AI169, "NA")</f>
        <v>0</v>
      </c>
      <c r="AJ170" s="18" t="str">
        <f>IFERROR(AI170/AI446, "NA")</f>
        <v>NA</v>
      </c>
      <c r="AK170" s="8"/>
      <c r="AL170" s="17">
        <f t="shared" si="23"/>
        <v>0</v>
      </c>
      <c r="AM170" s="18" t="str">
        <f>IFERROR(AL170/AL446, "NA")</f>
        <v>NA</v>
      </c>
      <c r="AN170" s="8"/>
      <c r="AO170" s="17">
        <f>IFERROR(AO151+AO153+AO154+AO155+AO156+AO157+AO160+AO161+AO162+AO163+AO164+AO165+AO167+AO168+AO169, "NA")</f>
        <v>0</v>
      </c>
      <c r="AP170" s="18" t="str">
        <f>IFERROR(AO170/AO446, "NA")</f>
        <v>NA</v>
      </c>
      <c r="AQ170" s="8"/>
      <c r="AR170" s="17">
        <f t="shared" si="24"/>
        <v>0</v>
      </c>
    </row>
    <row r="171" ht="16.5" customHeight="1">
      <c r="A171" s="16" t="s">
        <v>162</v>
      </c>
      <c r="B171" s="17">
        <f>IFERROR(B127+B129+B130+B131+B132+B133+B134+B135+B136+B137+B138+B139+B140+B143+B144+B145+B146+B147+B151+B153+B154+B155+B156+B157+B160+B161+B162+B163+B164+B165+B167+B168+B169, "NA")</f>
        <v>0</v>
      </c>
      <c r="C171" s="18" t="str">
        <f>IFERROR(B171/B446, "NA")</f>
        <v>NA</v>
      </c>
      <c r="D171" s="8"/>
      <c r="E171" s="17">
        <f>IFERROR(E127+E129+E130+E131+E132+E133+E134+E135+E136+E137+E138+E139+E140+E143+E144+E145+E146+E147+E151+E153+E154+E155+E156+E157+E160+E161+E162+E163+E164+E165+E167+E168+E169, "NA")</f>
        <v>0</v>
      </c>
      <c r="F171" s="18" t="str">
        <f>IFERROR(E171/E446, "NA")</f>
        <v>NA</v>
      </c>
      <c r="G171" s="8"/>
      <c r="H171" s="17">
        <f>IFERROR(H127+H129+H130+H131+H132+H133+H134+H135+H136+H137+H138+H139+H140+H143+H144+H145+H146+H147+H151+H153+H154+H155+H156+H157+H160+H161+H162+H163+H164+H165+H167+H168+H169, "NA")</f>
        <v>0</v>
      </c>
      <c r="I171" s="18" t="str">
        <f>IFERROR(H171/H446, "NA")</f>
        <v>NA</v>
      </c>
      <c r="J171" s="8"/>
      <c r="K171" s="17">
        <f>IFERROR(K127+K129+K130+K131+K132+K133+K134+K135+K136+K137+K138+K139+K140+K143+K144+K145+K146+K147+K151+K153+K154+K155+K156+K157+K160+K161+K162+K163+K164+K165+K167+K168+K169, "NA")</f>
        <v>0</v>
      </c>
      <c r="L171" s="18" t="str">
        <f>IFERROR(K171/K446, "NA")</f>
        <v>NA</v>
      </c>
      <c r="M171" s="8"/>
      <c r="N171" s="17">
        <f>IFERROR(N127+N129+N130+N131+N132+N133+N134+N135+N136+N137+N138+N139+N140+N143+N144+N145+N146+N147+N151+N153+N154+N155+N156+N157+N160+N161+N162+N163+N164+N165+N167+N168+N169, "NA")</f>
        <v>0</v>
      </c>
      <c r="O171" s="18" t="str">
        <f>IFERROR(N171/N446, "NA")</f>
        <v>NA</v>
      </c>
      <c r="P171" s="8"/>
      <c r="Q171" s="17">
        <f>IFERROR(Q127+Q129+Q130+Q131+Q132+Q133+Q134+Q135+Q136+Q137+Q138+Q139+Q140+Q143+Q144+Q145+Q146+Q147+Q151+Q153+Q154+Q155+Q156+Q157+Q160+Q161+Q162+Q163+Q164+Q165+Q167+Q168+Q169, "NA")</f>
        <v>0</v>
      </c>
      <c r="R171" s="18" t="str">
        <f>IFERROR(Q171/Q446, "NA")</f>
        <v>NA</v>
      </c>
      <c r="S171" s="8"/>
      <c r="T171" s="17">
        <f>IFERROR(T127+T129+T130+T131+T132+T133+T134+T135+T136+T137+T138+T139+T140+T143+T144+T145+T146+T147+T151+T153+T154+T155+T156+T157+T160+T161+T162+T163+T164+T165+T167+T168+T169, "NA")</f>
        <v>0</v>
      </c>
      <c r="U171" s="18" t="str">
        <f>IFERROR(T171/T446, "NA")</f>
        <v>NA</v>
      </c>
      <c r="V171" s="8"/>
      <c r="W171" s="17">
        <f>IFERROR(W127+W129+W130+W131+W132+W133+W134+W135+W136+W137+W138+W139+W140+W143+W144+W145+W146+W147+W151+W153+W154+W155+W156+W157+W160+W161+W162+W163+W164+W165+W167+W168+W169, "NA")</f>
        <v>0</v>
      </c>
      <c r="X171" s="18" t="str">
        <f>IFERROR(W171/W446, "NA")</f>
        <v>NA</v>
      </c>
      <c r="Y171" s="8"/>
      <c r="Z171" s="17">
        <f>IFERROR(Z127+Z129+Z130+Z131+Z132+Z133+Z134+Z135+Z136+Z137+Z138+Z139+Z140+Z143+Z144+Z145+Z146+Z147+Z151+Z153+Z154+Z155+Z156+Z157+Z160+Z161+Z162+Z163+Z164+Z165+Z167+Z168+Z169, "NA")</f>
        <v>0</v>
      </c>
      <c r="AA171" s="18" t="str">
        <f>IFERROR(Z171/Z446, "NA")</f>
        <v>NA</v>
      </c>
      <c r="AB171" s="8"/>
      <c r="AC171" s="17">
        <f>IFERROR(AC127+AC129+AC130+AC131+AC132+AC133+AC134+AC135+AC136+AC137+AC138+AC139+AC140+AC143+AC144+AC145+AC146+AC147+AC151+AC153+AC154+AC155+AC156+AC157+AC160+AC161+AC162+AC163+AC164+AC165+AC167+AC168+AC169, "NA")</f>
        <v>0</v>
      </c>
      <c r="AD171" s="18" t="str">
        <f>IFERROR(AC171/AC446, "NA")</f>
        <v>NA</v>
      </c>
      <c r="AE171" s="8"/>
      <c r="AF171" s="17">
        <f>IFERROR(AF127+AF129+AF130+AF131+AF132+AF133+AF134+AF135+AF136+AF137+AF138+AF139+AF140+AF143+AF144+AF145+AF146+AF147+AF151+AF153+AF154+AF155+AF156+AF157+AF160+AF161+AF162+AF163+AF164+AF165+AF167+AF168+AF169, "NA")</f>
        <v>0</v>
      </c>
      <c r="AG171" s="18" t="str">
        <f>IFERROR(AF171/AF446, "NA")</f>
        <v>NA</v>
      </c>
      <c r="AH171" s="8"/>
      <c r="AI171" s="17">
        <f>IFERROR(AI127+AI129+AI130+AI131+AI132+AI133+AI134+AI135+AI136+AI137+AI138+AI139+AI140+AI143+AI144+AI145+AI146+AI147+AI151+AI153+AI154+AI155+AI156+AI157+AI160+AI161+AI162+AI163+AI164+AI165+AI167+AI168+AI169, "NA")</f>
        <v>0</v>
      </c>
      <c r="AJ171" s="18" t="str">
        <f>IFERROR(AI171/AI446, "NA")</f>
        <v>NA</v>
      </c>
      <c r="AK171" s="8"/>
      <c r="AL171" s="17">
        <f t="shared" si="23"/>
        <v>0</v>
      </c>
      <c r="AM171" s="18" t="str">
        <f>IFERROR(AL171/AL446, "NA")</f>
        <v>NA</v>
      </c>
      <c r="AN171" s="8"/>
      <c r="AO171" s="17">
        <f>IFERROR(AO127+AO129+AO130+AO131+AO132+AO133+AO134+AO135+AO136+AO137+AO138+AO139+AO140+AO143+AO144+AO145+AO146+AO147+AO151+AO153+AO154+AO155+AO156+AO157+AO160+AO161+AO162+AO163+AO164+AO165+AO167+AO168+AO169, "NA")</f>
        <v>0</v>
      </c>
      <c r="AP171" s="18" t="str">
        <f>IFERROR(AO171/AO446, "NA")</f>
        <v>NA</v>
      </c>
      <c r="AQ171" s="8"/>
      <c r="AR171" s="17">
        <f t="shared" si="24"/>
        <v>0</v>
      </c>
    </row>
    <row r="172" ht="16.5" customHeight="1">
      <c r="A172" s="19" t="s">
        <v>163</v>
      </c>
      <c r="B172" s="20">
        <f>IFERROR(B124-B171, "NA")</f>
        <v>0</v>
      </c>
      <c r="C172" s="21" t="str">
        <f>IFERROR(B172/B446, "NA")</f>
        <v>NA</v>
      </c>
      <c r="D172" s="22"/>
      <c r="E172" s="20">
        <f>IFERROR(E124-E171, "NA")</f>
        <v>0</v>
      </c>
      <c r="F172" s="21" t="str">
        <f>IFERROR(E172/E446, "NA")</f>
        <v>NA</v>
      </c>
      <c r="G172" s="22"/>
      <c r="H172" s="20">
        <f>IFERROR(H124-H171, "NA")</f>
        <v>0</v>
      </c>
      <c r="I172" s="21" t="str">
        <f>IFERROR(H172/H446, "NA")</f>
        <v>NA</v>
      </c>
      <c r="J172" s="22"/>
      <c r="K172" s="20">
        <f>IFERROR(K124-K171, "NA")</f>
        <v>0</v>
      </c>
      <c r="L172" s="21" t="str">
        <f>IFERROR(K172/K446, "NA")</f>
        <v>NA</v>
      </c>
      <c r="M172" s="22"/>
      <c r="N172" s="20">
        <f>IFERROR(N124-N171, "NA")</f>
        <v>0</v>
      </c>
      <c r="O172" s="21" t="str">
        <f>IFERROR(N172/N446, "NA")</f>
        <v>NA</v>
      </c>
      <c r="P172" s="22"/>
      <c r="Q172" s="20">
        <f>IFERROR(Q124-Q171, "NA")</f>
        <v>0</v>
      </c>
      <c r="R172" s="21" t="str">
        <f>IFERROR(Q172/Q446, "NA")</f>
        <v>NA</v>
      </c>
      <c r="S172" s="22"/>
      <c r="T172" s="20">
        <f>IFERROR(T124-T171, "NA")</f>
        <v>0</v>
      </c>
      <c r="U172" s="21" t="str">
        <f>IFERROR(T172/T446, "NA")</f>
        <v>NA</v>
      </c>
      <c r="V172" s="22"/>
      <c r="W172" s="20">
        <f>IFERROR(W124-W171, "NA")</f>
        <v>0</v>
      </c>
      <c r="X172" s="21" t="str">
        <f>IFERROR(W172/W446, "NA")</f>
        <v>NA</v>
      </c>
      <c r="Y172" s="22"/>
      <c r="Z172" s="20">
        <f>IFERROR(Z124-Z171, "NA")</f>
        <v>0</v>
      </c>
      <c r="AA172" s="21" t="str">
        <f>IFERROR(Z172/Z446, "NA")</f>
        <v>NA</v>
      </c>
      <c r="AB172" s="22"/>
      <c r="AC172" s="20">
        <f>IFERROR(AC124-AC171, "NA")</f>
        <v>0</v>
      </c>
      <c r="AD172" s="21" t="str">
        <f>IFERROR(AC172/AC446, "NA")</f>
        <v>NA</v>
      </c>
      <c r="AE172" s="22"/>
      <c r="AF172" s="20">
        <f>IFERROR(AF124-AF171, "NA")</f>
        <v>0</v>
      </c>
      <c r="AG172" s="21" t="str">
        <f>IFERROR(AF172/AF446, "NA")</f>
        <v>NA</v>
      </c>
      <c r="AH172" s="22"/>
      <c r="AI172" s="20">
        <f>IFERROR(AI124-AI171, "NA")</f>
        <v>0</v>
      </c>
      <c r="AJ172" s="21" t="str">
        <f>IFERROR(AI172/AI446, "NA")</f>
        <v>NA</v>
      </c>
      <c r="AK172" s="22"/>
      <c r="AL172" s="20">
        <f t="shared" si="23"/>
        <v>0</v>
      </c>
      <c r="AM172" s="21" t="str">
        <f>IFERROR(AL172/AL446, "NA")</f>
        <v>NA</v>
      </c>
      <c r="AN172" s="22"/>
      <c r="AO172" s="20">
        <f>IFERROR(AO124-AO171, "NA")</f>
        <v>0</v>
      </c>
      <c r="AP172" s="21" t="str">
        <f>IFERROR(AO172/AO446, "NA")</f>
        <v>NA</v>
      </c>
      <c r="AQ172" s="22"/>
      <c r="AR172" s="20">
        <f t="shared" si="24"/>
        <v>0</v>
      </c>
    </row>
    <row r="173" ht="16.5" customHeight="1">
      <c r="A173" s="7" t="s">
        <v>164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  <c r="AE173" s="10"/>
      <c r="AF173" s="8"/>
      <c r="AG173" s="9"/>
      <c r="AH173" s="10"/>
      <c r="AI173" s="8"/>
      <c r="AJ173" s="9"/>
      <c r="AK173" s="8"/>
      <c r="AL173" s="8"/>
      <c r="AM173" s="9"/>
      <c r="AN173" s="8"/>
      <c r="AO173" s="8"/>
      <c r="AP173" s="9"/>
      <c r="AQ173" s="8"/>
      <c r="AR173" s="8"/>
    </row>
    <row r="174" ht="16.5" customHeight="1">
      <c r="A174" s="7" t="s">
        <v>164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  <c r="AE174" s="10"/>
      <c r="AF174" s="8"/>
      <c r="AG174" s="9"/>
      <c r="AH174" s="10"/>
      <c r="AI174" s="8"/>
      <c r="AJ174" s="9"/>
      <c r="AK174" s="8"/>
      <c r="AL174" s="8"/>
      <c r="AM174" s="9"/>
      <c r="AN174" s="8"/>
      <c r="AO174" s="8"/>
      <c r="AP174" s="9"/>
      <c r="AQ174" s="8"/>
      <c r="AR174" s="8"/>
    </row>
    <row r="175" ht="16.5" hidden="1" customHeight="1">
      <c r="A175" s="11" t="s">
        <v>568</v>
      </c>
      <c r="B175" s="12">
        <v>0.0</v>
      </c>
      <c r="C175" s="13" t="str">
        <f>IFERROR(B175/B446, "NA")</f>
        <v>NA</v>
      </c>
      <c r="D175" s="14"/>
      <c r="E175" s="12">
        <v>0.0</v>
      </c>
      <c r="F175" s="13" t="str">
        <f>IFERROR(E175/E446, "NA")</f>
        <v>NA</v>
      </c>
      <c r="G175" s="14"/>
      <c r="H175" s="12">
        <v>0.0</v>
      </c>
      <c r="I175" s="13" t="str">
        <f>IFERROR(H175/H446, "NA")</f>
        <v>NA</v>
      </c>
      <c r="J175" s="14"/>
      <c r="K175" s="12">
        <v>0.0</v>
      </c>
      <c r="L175" s="13" t="str">
        <f>IFERROR(K175/K446, "NA")</f>
        <v>NA</v>
      </c>
      <c r="M175" s="14"/>
      <c r="N175" s="12">
        <v>0.0</v>
      </c>
      <c r="O175" s="13" t="str">
        <f>IFERROR(N175/N446, "NA")</f>
        <v>NA</v>
      </c>
      <c r="P175" s="14"/>
      <c r="Q175" s="12">
        <v>0.0</v>
      </c>
      <c r="R175" s="13" t="str">
        <f>IFERROR(Q175/Q446, "NA")</f>
        <v>NA</v>
      </c>
      <c r="S175" s="14"/>
      <c r="T175" s="12">
        <v>0.0</v>
      </c>
      <c r="U175" s="13" t="str">
        <f>IFERROR(T175/T446, "NA")</f>
        <v>NA</v>
      </c>
      <c r="V175" s="14"/>
      <c r="W175" s="12">
        <v>0.0</v>
      </c>
      <c r="X175" s="13" t="str">
        <f>IFERROR(W175/W446, "NA")</f>
        <v>NA</v>
      </c>
      <c r="Y175" s="14"/>
      <c r="Z175" s="12">
        <v>0.0</v>
      </c>
      <c r="AA175" s="13" t="str">
        <f>IFERROR(Z175/Z446, "NA")</f>
        <v>NA</v>
      </c>
      <c r="AB175" s="14"/>
      <c r="AC175" s="12">
        <v>0.0</v>
      </c>
      <c r="AD175" s="13" t="str">
        <f>IFERROR(AC175/AC446, "NA")</f>
        <v>NA</v>
      </c>
      <c r="AE175" s="14"/>
      <c r="AF175" s="12">
        <v>0.0</v>
      </c>
      <c r="AG175" s="13" t="str">
        <f>IFERROR(AF175/AF446, "NA")</f>
        <v>NA</v>
      </c>
      <c r="AH175" s="14"/>
      <c r="AI175" s="12">
        <v>0.0</v>
      </c>
      <c r="AJ175" s="13" t="str">
        <f>IFERROR(AI175/AI446, "NA")</f>
        <v>NA</v>
      </c>
      <c r="AK175" s="12"/>
      <c r="AL175" s="15">
        <f>IFERROR(B175+E175+H175+K175+N175+Q175+T175+W175+Z175+AC175+AF175+AI175, "NA")</f>
        <v>0</v>
      </c>
      <c r="AM175" s="13" t="str">
        <f>IFERROR(AL175/AL446, "NA")</f>
        <v>NA</v>
      </c>
      <c r="AN175" s="12"/>
      <c r="AO175" s="12">
        <v>0.0</v>
      </c>
      <c r="AP175" s="13" t="str">
        <f>IFERROR(AO175/AO446, "NA")</f>
        <v>NA</v>
      </c>
      <c r="AQ175" s="12"/>
      <c r="AR175" s="15">
        <f>IFERROR(AL175-AO175, "NA")</f>
        <v>0</v>
      </c>
    </row>
    <row r="176" ht="16.5" customHeight="1">
      <c r="A176" s="7" t="s">
        <v>165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  <c r="AE176" s="10"/>
      <c r="AF176" s="8"/>
      <c r="AG176" s="9"/>
      <c r="AH176" s="10"/>
      <c r="AI176" s="8"/>
      <c r="AJ176" s="9"/>
      <c r="AK176" s="8"/>
      <c r="AL176" s="8"/>
      <c r="AM176" s="9"/>
      <c r="AN176" s="8"/>
      <c r="AO176" s="8"/>
      <c r="AP176" s="9"/>
      <c r="AQ176" s="8"/>
      <c r="AR176" s="8"/>
    </row>
    <row r="177" ht="16.5" hidden="1" customHeight="1">
      <c r="A177" s="11" t="s">
        <v>569</v>
      </c>
      <c r="B177" s="12">
        <v>0.0</v>
      </c>
      <c r="C177" s="13" t="str">
        <f>IFERROR(B177/B446, "NA")</f>
        <v>NA</v>
      </c>
      <c r="D177" s="14"/>
      <c r="E177" s="12">
        <v>0.0</v>
      </c>
      <c r="F177" s="13" t="str">
        <f>IFERROR(E177/E446, "NA")</f>
        <v>NA</v>
      </c>
      <c r="G177" s="14"/>
      <c r="H177" s="12">
        <v>0.0</v>
      </c>
      <c r="I177" s="13" t="str">
        <f>IFERROR(H177/H446, "NA")</f>
        <v>NA</v>
      </c>
      <c r="J177" s="14"/>
      <c r="K177" s="12">
        <v>0.0</v>
      </c>
      <c r="L177" s="13" t="str">
        <f>IFERROR(K177/K446, "NA")</f>
        <v>NA</v>
      </c>
      <c r="M177" s="14"/>
      <c r="N177" s="12">
        <v>0.0</v>
      </c>
      <c r="O177" s="13" t="str">
        <f>IFERROR(N177/N446, "NA")</f>
        <v>NA</v>
      </c>
      <c r="P177" s="14"/>
      <c r="Q177" s="12">
        <v>0.0</v>
      </c>
      <c r="R177" s="13" t="str">
        <f>IFERROR(Q177/Q446, "NA")</f>
        <v>NA</v>
      </c>
      <c r="S177" s="14"/>
      <c r="T177" s="12">
        <v>0.0</v>
      </c>
      <c r="U177" s="13" t="str">
        <f>IFERROR(T177/T446, "NA")</f>
        <v>NA</v>
      </c>
      <c r="V177" s="14"/>
      <c r="W177" s="12">
        <v>0.0</v>
      </c>
      <c r="X177" s="13" t="str">
        <f>IFERROR(W177/W446, "NA")</f>
        <v>NA</v>
      </c>
      <c r="Y177" s="14"/>
      <c r="Z177" s="12">
        <v>0.0</v>
      </c>
      <c r="AA177" s="13" t="str">
        <f>IFERROR(Z177/Z446, "NA")</f>
        <v>NA</v>
      </c>
      <c r="AB177" s="14"/>
      <c r="AC177" s="12">
        <v>0.0</v>
      </c>
      <c r="AD177" s="13" t="str">
        <f>IFERROR(AC177/AC446, "NA")</f>
        <v>NA</v>
      </c>
      <c r="AE177" s="14"/>
      <c r="AF177" s="12">
        <v>0.0</v>
      </c>
      <c r="AG177" s="13" t="str">
        <f>IFERROR(AF177/AF446, "NA")</f>
        <v>NA</v>
      </c>
      <c r="AH177" s="14"/>
      <c r="AI177" s="12">
        <v>0.0</v>
      </c>
      <c r="AJ177" s="13" t="str">
        <f>IFERROR(AI177/AI446, "NA")</f>
        <v>NA</v>
      </c>
      <c r="AK177" s="12"/>
      <c r="AL177" s="15">
        <f t="shared" ref="AL177:AL184" si="25">IFERROR(B177+E177+H177+K177+N177+Q177+T177+W177+Z177+AC177+AF177+AI177, "NA")</f>
        <v>0</v>
      </c>
      <c r="AM177" s="13" t="str">
        <f>IFERROR(AL177/AL446, "NA")</f>
        <v>NA</v>
      </c>
      <c r="AN177" s="12"/>
      <c r="AO177" s="12">
        <v>0.0</v>
      </c>
      <c r="AP177" s="13" t="str">
        <f>IFERROR(AO177/AO446, "NA")</f>
        <v>NA</v>
      </c>
      <c r="AQ177" s="12"/>
      <c r="AR177" s="15">
        <f t="shared" ref="AR177:AR184" si="26">IFERROR(AL177-AO177, "NA")</f>
        <v>0</v>
      </c>
    </row>
    <row r="178" ht="16.5" hidden="1" customHeight="1">
      <c r="A178" s="11" t="s">
        <v>570</v>
      </c>
      <c r="B178" s="12">
        <v>0.0</v>
      </c>
      <c r="C178" s="13" t="str">
        <f>IFERROR(B178/B446, "NA")</f>
        <v>NA</v>
      </c>
      <c r="D178" s="14"/>
      <c r="E178" s="12">
        <v>0.0</v>
      </c>
      <c r="F178" s="13" t="str">
        <f>IFERROR(E178/E446, "NA")</f>
        <v>NA</v>
      </c>
      <c r="G178" s="14"/>
      <c r="H178" s="12">
        <v>0.0</v>
      </c>
      <c r="I178" s="13" t="str">
        <f>IFERROR(H178/H446, "NA")</f>
        <v>NA</v>
      </c>
      <c r="J178" s="14"/>
      <c r="K178" s="12">
        <v>0.0</v>
      </c>
      <c r="L178" s="13" t="str">
        <f>IFERROR(K178/K446, "NA")</f>
        <v>NA</v>
      </c>
      <c r="M178" s="14"/>
      <c r="N178" s="12">
        <v>0.0</v>
      </c>
      <c r="O178" s="13" t="str">
        <f>IFERROR(N178/N446, "NA")</f>
        <v>NA</v>
      </c>
      <c r="P178" s="14"/>
      <c r="Q178" s="12">
        <v>0.0</v>
      </c>
      <c r="R178" s="13" t="str">
        <f>IFERROR(Q178/Q446, "NA")</f>
        <v>NA</v>
      </c>
      <c r="S178" s="14"/>
      <c r="T178" s="12">
        <v>0.0</v>
      </c>
      <c r="U178" s="13" t="str">
        <f>IFERROR(T178/T446, "NA")</f>
        <v>NA</v>
      </c>
      <c r="V178" s="14"/>
      <c r="W178" s="12">
        <v>0.0</v>
      </c>
      <c r="X178" s="13" t="str">
        <f>IFERROR(W178/W446, "NA")</f>
        <v>NA</v>
      </c>
      <c r="Y178" s="14"/>
      <c r="Z178" s="12">
        <v>0.0</v>
      </c>
      <c r="AA178" s="13" t="str">
        <f>IFERROR(Z178/Z446, "NA")</f>
        <v>NA</v>
      </c>
      <c r="AB178" s="14"/>
      <c r="AC178" s="12">
        <v>0.0</v>
      </c>
      <c r="AD178" s="13" t="str">
        <f>IFERROR(AC178/AC446, "NA")</f>
        <v>NA</v>
      </c>
      <c r="AE178" s="14"/>
      <c r="AF178" s="12">
        <v>0.0</v>
      </c>
      <c r="AG178" s="13" t="str">
        <f>IFERROR(AF178/AF446, "NA")</f>
        <v>NA</v>
      </c>
      <c r="AH178" s="14"/>
      <c r="AI178" s="12">
        <v>0.0</v>
      </c>
      <c r="AJ178" s="13" t="str">
        <f>IFERROR(AI178/AI446, "NA")</f>
        <v>NA</v>
      </c>
      <c r="AK178" s="12"/>
      <c r="AL178" s="15">
        <f t="shared" si="25"/>
        <v>0</v>
      </c>
      <c r="AM178" s="13" t="str">
        <f>IFERROR(AL178/AL446, "NA")</f>
        <v>NA</v>
      </c>
      <c r="AN178" s="12"/>
      <c r="AO178" s="12">
        <v>0.0</v>
      </c>
      <c r="AP178" s="13" t="str">
        <f>IFERROR(AO178/AO446, "NA")</f>
        <v>NA</v>
      </c>
      <c r="AQ178" s="12"/>
      <c r="AR178" s="15">
        <f t="shared" si="26"/>
        <v>0</v>
      </c>
    </row>
    <row r="179" ht="16.5" hidden="1" customHeight="1">
      <c r="A179" s="11" t="s">
        <v>571</v>
      </c>
      <c r="B179" s="12">
        <v>0.0</v>
      </c>
      <c r="C179" s="13" t="str">
        <f>IFERROR(B179/B446, "NA")</f>
        <v>NA</v>
      </c>
      <c r="D179" s="14"/>
      <c r="E179" s="12">
        <v>0.0</v>
      </c>
      <c r="F179" s="13" t="str">
        <f>IFERROR(E179/E446, "NA")</f>
        <v>NA</v>
      </c>
      <c r="G179" s="14"/>
      <c r="H179" s="12">
        <v>0.0</v>
      </c>
      <c r="I179" s="13" t="str">
        <f>IFERROR(H179/H446, "NA")</f>
        <v>NA</v>
      </c>
      <c r="J179" s="14"/>
      <c r="K179" s="12">
        <v>0.0</v>
      </c>
      <c r="L179" s="13" t="str">
        <f>IFERROR(K179/K446, "NA")</f>
        <v>NA</v>
      </c>
      <c r="M179" s="14"/>
      <c r="N179" s="12">
        <v>0.0</v>
      </c>
      <c r="O179" s="13" t="str">
        <f>IFERROR(N179/N446, "NA")</f>
        <v>NA</v>
      </c>
      <c r="P179" s="14"/>
      <c r="Q179" s="12">
        <v>0.0</v>
      </c>
      <c r="R179" s="13" t="str">
        <f>IFERROR(Q179/Q446, "NA")</f>
        <v>NA</v>
      </c>
      <c r="S179" s="14"/>
      <c r="T179" s="12">
        <v>0.0</v>
      </c>
      <c r="U179" s="13" t="str">
        <f>IFERROR(T179/T446, "NA")</f>
        <v>NA</v>
      </c>
      <c r="V179" s="14"/>
      <c r="W179" s="12">
        <v>0.0</v>
      </c>
      <c r="X179" s="13" t="str">
        <f>IFERROR(W179/W446, "NA")</f>
        <v>NA</v>
      </c>
      <c r="Y179" s="14"/>
      <c r="Z179" s="12">
        <v>0.0</v>
      </c>
      <c r="AA179" s="13" t="str">
        <f>IFERROR(Z179/Z446, "NA")</f>
        <v>NA</v>
      </c>
      <c r="AB179" s="14"/>
      <c r="AC179" s="12">
        <v>0.0</v>
      </c>
      <c r="AD179" s="13" t="str">
        <f>IFERROR(AC179/AC446, "NA")</f>
        <v>NA</v>
      </c>
      <c r="AE179" s="14"/>
      <c r="AF179" s="12">
        <v>0.0</v>
      </c>
      <c r="AG179" s="13" t="str">
        <f>IFERROR(AF179/AF446, "NA")</f>
        <v>NA</v>
      </c>
      <c r="AH179" s="14"/>
      <c r="AI179" s="12">
        <v>0.0</v>
      </c>
      <c r="AJ179" s="13" t="str">
        <f>IFERROR(AI179/AI446, "NA")</f>
        <v>NA</v>
      </c>
      <c r="AK179" s="12"/>
      <c r="AL179" s="15">
        <f t="shared" si="25"/>
        <v>0</v>
      </c>
      <c r="AM179" s="13" t="str">
        <f>IFERROR(AL179/AL446, "NA")</f>
        <v>NA</v>
      </c>
      <c r="AN179" s="12"/>
      <c r="AO179" s="12">
        <v>0.0</v>
      </c>
      <c r="AP179" s="13" t="str">
        <f>IFERROR(AO179/AO446, "NA")</f>
        <v>NA</v>
      </c>
      <c r="AQ179" s="12"/>
      <c r="AR179" s="15">
        <f t="shared" si="26"/>
        <v>0</v>
      </c>
    </row>
    <row r="180" ht="16.5" hidden="1" customHeight="1">
      <c r="A180" s="11" t="s">
        <v>572</v>
      </c>
      <c r="B180" s="12">
        <v>0.0</v>
      </c>
      <c r="C180" s="13" t="str">
        <f>IFERROR(B180/B446, "NA")</f>
        <v>NA</v>
      </c>
      <c r="D180" s="14"/>
      <c r="E180" s="12">
        <v>0.0</v>
      </c>
      <c r="F180" s="13" t="str">
        <f>IFERROR(E180/E446, "NA")</f>
        <v>NA</v>
      </c>
      <c r="G180" s="14"/>
      <c r="H180" s="12">
        <v>0.0</v>
      </c>
      <c r="I180" s="13" t="str">
        <f>IFERROR(H180/H446, "NA")</f>
        <v>NA</v>
      </c>
      <c r="J180" s="14"/>
      <c r="K180" s="12">
        <v>0.0</v>
      </c>
      <c r="L180" s="13" t="str">
        <f>IFERROR(K180/K446, "NA")</f>
        <v>NA</v>
      </c>
      <c r="M180" s="14"/>
      <c r="N180" s="12">
        <v>0.0</v>
      </c>
      <c r="O180" s="13" t="str">
        <f>IFERROR(N180/N446, "NA")</f>
        <v>NA</v>
      </c>
      <c r="P180" s="14"/>
      <c r="Q180" s="12">
        <v>0.0</v>
      </c>
      <c r="R180" s="13" t="str">
        <f>IFERROR(Q180/Q446, "NA")</f>
        <v>NA</v>
      </c>
      <c r="S180" s="14"/>
      <c r="T180" s="12">
        <v>0.0</v>
      </c>
      <c r="U180" s="13" t="str">
        <f>IFERROR(T180/T446, "NA")</f>
        <v>NA</v>
      </c>
      <c r="V180" s="14"/>
      <c r="W180" s="12">
        <v>0.0</v>
      </c>
      <c r="X180" s="13" t="str">
        <f>IFERROR(W180/W446, "NA")</f>
        <v>NA</v>
      </c>
      <c r="Y180" s="14"/>
      <c r="Z180" s="12">
        <v>0.0</v>
      </c>
      <c r="AA180" s="13" t="str">
        <f>IFERROR(Z180/Z446, "NA")</f>
        <v>NA</v>
      </c>
      <c r="AB180" s="14"/>
      <c r="AC180" s="12">
        <v>0.0</v>
      </c>
      <c r="AD180" s="13" t="str">
        <f>IFERROR(AC180/AC446, "NA")</f>
        <v>NA</v>
      </c>
      <c r="AE180" s="14"/>
      <c r="AF180" s="12">
        <v>0.0</v>
      </c>
      <c r="AG180" s="13" t="str">
        <f>IFERROR(AF180/AF446, "NA")</f>
        <v>NA</v>
      </c>
      <c r="AH180" s="14"/>
      <c r="AI180" s="12">
        <v>0.0</v>
      </c>
      <c r="AJ180" s="13" t="str">
        <f>IFERROR(AI180/AI446, "NA")</f>
        <v>NA</v>
      </c>
      <c r="AK180" s="12"/>
      <c r="AL180" s="15">
        <f t="shared" si="25"/>
        <v>0</v>
      </c>
      <c r="AM180" s="13" t="str">
        <f>IFERROR(AL180/AL446, "NA")</f>
        <v>NA</v>
      </c>
      <c r="AN180" s="12"/>
      <c r="AO180" s="12">
        <v>0.0</v>
      </c>
      <c r="AP180" s="13" t="str">
        <f>IFERROR(AO180/AO446, "NA")</f>
        <v>NA</v>
      </c>
      <c r="AQ180" s="12"/>
      <c r="AR180" s="15">
        <f t="shared" si="26"/>
        <v>0</v>
      </c>
    </row>
    <row r="181" ht="16.5" hidden="1" customHeight="1">
      <c r="A181" s="11" t="s">
        <v>573</v>
      </c>
      <c r="B181" s="12">
        <v>0.0</v>
      </c>
      <c r="C181" s="13" t="str">
        <f>IFERROR(B181/B446, "NA")</f>
        <v>NA</v>
      </c>
      <c r="D181" s="14"/>
      <c r="E181" s="12">
        <v>0.0</v>
      </c>
      <c r="F181" s="13" t="str">
        <f>IFERROR(E181/E446, "NA")</f>
        <v>NA</v>
      </c>
      <c r="G181" s="14"/>
      <c r="H181" s="12">
        <v>0.0</v>
      </c>
      <c r="I181" s="13" t="str">
        <f>IFERROR(H181/H446, "NA")</f>
        <v>NA</v>
      </c>
      <c r="J181" s="14"/>
      <c r="K181" s="12">
        <v>0.0</v>
      </c>
      <c r="L181" s="13" t="str">
        <f>IFERROR(K181/K446, "NA")</f>
        <v>NA</v>
      </c>
      <c r="M181" s="14"/>
      <c r="N181" s="12">
        <v>0.0</v>
      </c>
      <c r="O181" s="13" t="str">
        <f>IFERROR(N181/N446, "NA")</f>
        <v>NA</v>
      </c>
      <c r="P181" s="14"/>
      <c r="Q181" s="12">
        <v>0.0</v>
      </c>
      <c r="R181" s="13" t="str">
        <f>IFERROR(Q181/Q446, "NA")</f>
        <v>NA</v>
      </c>
      <c r="S181" s="14"/>
      <c r="T181" s="12">
        <v>0.0</v>
      </c>
      <c r="U181" s="13" t="str">
        <f>IFERROR(T181/T446, "NA")</f>
        <v>NA</v>
      </c>
      <c r="V181" s="14"/>
      <c r="W181" s="12">
        <v>0.0</v>
      </c>
      <c r="X181" s="13" t="str">
        <f>IFERROR(W181/W446, "NA")</f>
        <v>NA</v>
      </c>
      <c r="Y181" s="14"/>
      <c r="Z181" s="12">
        <v>0.0</v>
      </c>
      <c r="AA181" s="13" t="str">
        <f>IFERROR(Z181/Z446, "NA")</f>
        <v>NA</v>
      </c>
      <c r="AB181" s="14"/>
      <c r="AC181" s="12">
        <v>0.0</v>
      </c>
      <c r="AD181" s="13" t="str">
        <f>IFERROR(AC181/AC446, "NA")</f>
        <v>NA</v>
      </c>
      <c r="AE181" s="14"/>
      <c r="AF181" s="12">
        <v>0.0</v>
      </c>
      <c r="AG181" s="13" t="str">
        <f>IFERROR(AF181/AF446, "NA")</f>
        <v>NA</v>
      </c>
      <c r="AH181" s="14"/>
      <c r="AI181" s="12">
        <v>0.0</v>
      </c>
      <c r="AJ181" s="13" t="str">
        <f>IFERROR(AI181/AI446, "NA")</f>
        <v>NA</v>
      </c>
      <c r="AK181" s="12"/>
      <c r="AL181" s="15">
        <f t="shared" si="25"/>
        <v>0</v>
      </c>
      <c r="AM181" s="13" t="str">
        <f>IFERROR(AL181/AL446, "NA")</f>
        <v>NA</v>
      </c>
      <c r="AN181" s="12"/>
      <c r="AO181" s="12">
        <v>0.0</v>
      </c>
      <c r="AP181" s="13" t="str">
        <f>IFERROR(AO181/AO446, "NA")</f>
        <v>NA</v>
      </c>
      <c r="AQ181" s="12"/>
      <c r="AR181" s="15">
        <f t="shared" si="26"/>
        <v>0</v>
      </c>
    </row>
    <row r="182" ht="16.5" customHeight="1">
      <c r="A182" s="16" t="s">
        <v>170</v>
      </c>
      <c r="B182" s="17">
        <f>IFERROR(B177+B178+B179+B180+B181, "NA")</f>
        <v>0</v>
      </c>
      <c r="C182" s="18" t="str">
        <f>IFERROR(B182/B446, "NA")</f>
        <v>NA</v>
      </c>
      <c r="D182" s="8"/>
      <c r="E182" s="17">
        <f>IFERROR(E177+E178+E179+E180+E181, "NA")</f>
        <v>0</v>
      </c>
      <c r="F182" s="18" t="str">
        <f>IFERROR(E182/E446, "NA")</f>
        <v>NA</v>
      </c>
      <c r="G182" s="8"/>
      <c r="H182" s="17">
        <f>IFERROR(H177+H178+H179+H180+H181, "NA")</f>
        <v>0</v>
      </c>
      <c r="I182" s="18" t="str">
        <f>IFERROR(H182/H446, "NA")</f>
        <v>NA</v>
      </c>
      <c r="J182" s="8"/>
      <c r="K182" s="17">
        <f>IFERROR(K177+K178+K179+K180+K181, "NA")</f>
        <v>0</v>
      </c>
      <c r="L182" s="18" t="str">
        <f>IFERROR(K182/K446, "NA")</f>
        <v>NA</v>
      </c>
      <c r="M182" s="8"/>
      <c r="N182" s="17">
        <f>IFERROR(N177+N178+N179+N180+N181, "NA")</f>
        <v>0</v>
      </c>
      <c r="O182" s="18" t="str">
        <f>IFERROR(N182/N446, "NA")</f>
        <v>NA</v>
      </c>
      <c r="P182" s="8"/>
      <c r="Q182" s="17">
        <f>IFERROR(Q177+Q178+Q179+Q180+Q181, "NA")</f>
        <v>0</v>
      </c>
      <c r="R182" s="18" t="str">
        <f>IFERROR(Q182/Q446, "NA")</f>
        <v>NA</v>
      </c>
      <c r="S182" s="8"/>
      <c r="T182" s="17">
        <f>IFERROR(T177+T178+T179+T180+T181, "NA")</f>
        <v>0</v>
      </c>
      <c r="U182" s="18" t="str">
        <f>IFERROR(T182/T446, "NA")</f>
        <v>NA</v>
      </c>
      <c r="V182" s="8"/>
      <c r="W182" s="17">
        <f>IFERROR(W177+W178+W179+W180+W181, "NA")</f>
        <v>0</v>
      </c>
      <c r="X182" s="18" t="str">
        <f>IFERROR(W182/W446, "NA")</f>
        <v>NA</v>
      </c>
      <c r="Y182" s="8"/>
      <c r="Z182" s="17">
        <f>IFERROR(Z177+Z178+Z179+Z180+Z181, "NA")</f>
        <v>0</v>
      </c>
      <c r="AA182" s="18" t="str">
        <f>IFERROR(Z182/Z446, "NA")</f>
        <v>NA</v>
      </c>
      <c r="AB182" s="8"/>
      <c r="AC182" s="17">
        <f>IFERROR(AC177+AC178+AC179+AC180+AC181, "NA")</f>
        <v>0</v>
      </c>
      <c r="AD182" s="18" t="str">
        <f>IFERROR(AC182/AC446, "NA")</f>
        <v>NA</v>
      </c>
      <c r="AE182" s="8"/>
      <c r="AF182" s="17">
        <f>IFERROR(AF177+AF178+AF179+AF180+AF181, "NA")</f>
        <v>0</v>
      </c>
      <c r="AG182" s="18" t="str">
        <f>IFERROR(AF182/AF446, "NA")</f>
        <v>NA</v>
      </c>
      <c r="AH182" s="8"/>
      <c r="AI182" s="17">
        <f>IFERROR(AI177+AI178+AI179+AI180+AI181, "NA")</f>
        <v>0</v>
      </c>
      <c r="AJ182" s="18" t="str">
        <f>IFERROR(AI182/AI446, "NA")</f>
        <v>NA</v>
      </c>
      <c r="AK182" s="8"/>
      <c r="AL182" s="17">
        <f t="shared" si="25"/>
        <v>0</v>
      </c>
      <c r="AM182" s="18" t="str">
        <f>IFERROR(AL182/AL446, "NA")</f>
        <v>NA</v>
      </c>
      <c r="AN182" s="8"/>
      <c r="AO182" s="17">
        <f>IFERROR(AO177+AO178+AO179+AO180+AO181, "NA")</f>
        <v>0</v>
      </c>
      <c r="AP182" s="18" t="str">
        <f>IFERROR(AO182/AO446, "NA")</f>
        <v>NA</v>
      </c>
      <c r="AQ182" s="8"/>
      <c r="AR182" s="17">
        <f t="shared" si="26"/>
        <v>0</v>
      </c>
    </row>
    <row r="183" ht="16.5" hidden="1" customHeight="1">
      <c r="A183" s="11" t="s">
        <v>574</v>
      </c>
      <c r="B183" s="12">
        <v>0.0</v>
      </c>
      <c r="C183" s="13" t="str">
        <f>IFERROR(B183/B446, "NA")</f>
        <v>NA</v>
      </c>
      <c r="D183" s="14"/>
      <c r="E183" s="12">
        <v>0.0</v>
      </c>
      <c r="F183" s="13" t="str">
        <f>IFERROR(E183/E446, "NA")</f>
        <v>NA</v>
      </c>
      <c r="G183" s="14"/>
      <c r="H183" s="12">
        <v>0.0</v>
      </c>
      <c r="I183" s="13" t="str">
        <f>IFERROR(H183/H446, "NA")</f>
        <v>NA</v>
      </c>
      <c r="J183" s="14"/>
      <c r="K183" s="12">
        <v>0.0</v>
      </c>
      <c r="L183" s="13" t="str">
        <f>IFERROR(K183/K446, "NA")</f>
        <v>NA</v>
      </c>
      <c r="M183" s="14"/>
      <c r="N183" s="12">
        <v>0.0</v>
      </c>
      <c r="O183" s="13" t="str">
        <f>IFERROR(N183/N446, "NA")</f>
        <v>NA</v>
      </c>
      <c r="P183" s="14"/>
      <c r="Q183" s="12">
        <v>0.0</v>
      </c>
      <c r="R183" s="13" t="str">
        <f>IFERROR(Q183/Q446, "NA")</f>
        <v>NA</v>
      </c>
      <c r="S183" s="14"/>
      <c r="T183" s="12">
        <v>0.0</v>
      </c>
      <c r="U183" s="13" t="str">
        <f>IFERROR(T183/T446, "NA")</f>
        <v>NA</v>
      </c>
      <c r="V183" s="14"/>
      <c r="W183" s="12">
        <v>0.0</v>
      </c>
      <c r="X183" s="13" t="str">
        <f>IFERROR(W183/W446, "NA")</f>
        <v>NA</v>
      </c>
      <c r="Y183" s="14"/>
      <c r="Z183" s="12">
        <v>0.0</v>
      </c>
      <c r="AA183" s="13" t="str">
        <f>IFERROR(Z183/Z446, "NA")</f>
        <v>NA</v>
      </c>
      <c r="AB183" s="14"/>
      <c r="AC183" s="12">
        <v>0.0</v>
      </c>
      <c r="AD183" s="13" t="str">
        <f>IFERROR(AC183/AC446, "NA")</f>
        <v>NA</v>
      </c>
      <c r="AE183" s="14"/>
      <c r="AF183" s="12">
        <v>0.0</v>
      </c>
      <c r="AG183" s="13" t="str">
        <f>IFERROR(AF183/AF446, "NA")</f>
        <v>NA</v>
      </c>
      <c r="AH183" s="14"/>
      <c r="AI183" s="12">
        <v>0.0</v>
      </c>
      <c r="AJ183" s="13" t="str">
        <f>IFERROR(AI183/AI446, "NA")</f>
        <v>NA</v>
      </c>
      <c r="AK183" s="12"/>
      <c r="AL183" s="15">
        <f t="shared" si="25"/>
        <v>0</v>
      </c>
      <c r="AM183" s="13" t="str">
        <f>IFERROR(AL183/AL446, "NA")</f>
        <v>NA</v>
      </c>
      <c r="AN183" s="12"/>
      <c r="AO183" s="12">
        <v>0.0</v>
      </c>
      <c r="AP183" s="13" t="str">
        <f>IFERROR(AO183/AO446, "NA")</f>
        <v>NA</v>
      </c>
      <c r="AQ183" s="12"/>
      <c r="AR183" s="15">
        <f t="shared" si="26"/>
        <v>0</v>
      </c>
    </row>
    <row r="184" ht="16.5" hidden="1" customHeight="1">
      <c r="A184" s="11" t="s">
        <v>575</v>
      </c>
      <c r="B184" s="12">
        <v>0.0</v>
      </c>
      <c r="C184" s="13" t="str">
        <f>IFERROR(B184/B446, "NA")</f>
        <v>NA</v>
      </c>
      <c r="D184" s="14"/>
      <c r="E184" s="12">
        <v>0.0</v>
      </c>
      <c r="F184" s="13" t="str">
        <f>IFERROR(E184/E446, "NA")</f>
        <v>NA</v>
      </c>
      <c r="G184" s="14"/>
      <c r="H184" s="12">
        <v>0.0</v>
      </c>
      <c r="I184" s="13" t="str">
        <f>IFERROR(H184/H446, "NA")</f>
        <v>NA</v>
      </c>
      <c r="J184" s="14"/>
      <c r="K184" s="12">
        <v>0.0</v>
      </c>
      <c r="L184" s="13" t="str">
        <f>IFERROR(K184/K446, "NA")</f>
        <v>NA</v>
      </c>
      <c r="M184" s="14"/>
      <c r="N184" s="12">
        <v>0.0</v>
      </c>
      <c r="O184" s="13" t="str">
        <f>IFERROR(N184/N446, "NA")</f>
        <v>NA</v>
      </c>
      <c r="P184" s="14"/>
      <c r="Q184" s="12">
        <v>0.0</v>
      </c>
      <c r="R184" s="13" t="str">
        <f>IFERROR(Q184/Q446, "NA")</f>
        <v>NA</v>
      </c>
      <c r="S184" s="14"/>
      <c r="T184" s="12">
        <v>0.0</v>
      </c>
      <c r="U184" s="13" t="str">
        <f>IFERROR(T184/T446, "NA")</f>
        <v>NA</v>
      </c>
      <c r="V184" s="14"/>
      <c r="W184" s="12">
        <v>0.0</v>
      </c>
      <c r="X184" s="13" t="str">
        <f>IFERROR(W184/W446, "NA")</f>
        <v>NA</v>
      </c>
      <c r="Y184" s="14"/>
      <c r="Z184" s="12">
        <v>0.0</v>
      </c>
      <c r="AA184" s="13" t="str">
        <f>IFERROR(Z184/Z446, "NA")</f>
        <v>NA</v>
      </c>
      <c r="AB184" s="14"/>
      <c r="AC184" s="12">
        <v>0.0</v>
      </c>
      <c r="AD184" s="13" t="str">
        <f>IFERROR(AC184/AC446, "NA")</f>
        <v>NA</v>
      </c>
      <c r="AE184" s="14"/>
      <c r="AF184" s="12">
        <v>0.0</v>
      </c>
      <c r="AG184" s="13" t="str">
        <f>IFERROR(AF184/AF446, "NA")</f>
        <v>NA</v>
      </c>
      <c r="AH184" s="14"/>
      <c r="AI184" s="12">
        <v>0.0</v>
      </c>
      <c r="AJ184" s="13" t="str">
        <f>IFERROR(AI184/AI446, "NA")</f>
        <v>NA</v>
      </c>
      <c r="AK184" s="12"/>
      <c r="AL184" s="15">
        <f t="shared" si="25"/>
        <v>0</v>
      </c>
      <c r="AM184" s="13" t="str">
        <f>IFERROR(AL184/AL446, "NA")</f>
        <v>NA</v>
      </c>
      <c r="AN184" s="12"/>
      <c r="AO184" s="12">
        <v>0.0</v>
      </c>
      <c r="AP184" s="13" t="str">
        <f>IFERROR(AO184/AO446, "NA")</f>
        <v>NA</v>
      </c>
      <c r="AQ184" s="12"/>
      <c r="AR184" s="15">
        <f t="shared" si="26"/>
        <v>0</v>
      </c>
    </row>
    <row r="185" ht="16.5" customHeight="1">
      <c r="A185" s="7" t="s">
        <v>173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  <c r="AE185" s="10"/>
      <c r="AF185" s="8"/>
      <c r="AG185" s="9"/>
      <c r="AH185" s="10"/>
      <c r="AI185" s="8"/>
      <c r="AJ185" s="9"/>
      <c r="AK185" s="8"/>
      <c r="AL185" s="8"/>
      <c r="AM185" s="9"/>
      <c r="AN185" s="8"/>
      <c r="AO185" s="8"/>
      <c r="AP185" s="9"/>
      <c r="AQ185" s="8"/>
      <c r="AR185" s="8"/>
    </row>
    <row r="186" ht="16.5" hidden="1" customHeight="1">
      <c r="A186" s="11" t="s">
        <v>576</v>
      </c>
      <c r="B186" s="12">
        <v>0.0</v>
      </c>
      <c r="C186" s="13" t="str">
        <f>IFERROR(B186/B446, "NA")</f>
        <v>NA</v>
      </c>
      <c r="D186" s="14"/>
      <c r="E186" s="12">
        <v>0.0</v>
      </c>
      <c r="F186" s="13" t="str">
        <f>IFERROR(E186/E446, "NA")</f>
        <v>NA</v>
      </c>
      <c r="G186" s="14"/>
      <c r="H186" s="12">
        <v>0.0</v>
      </c>
      <c r="I186" s="13" t="str">
        <f>IFERROR(H186/H446, "NA")</f>
        <v>NA</v>
      </c>
      <c r="J186" s="14"/>
      <c r="K186" s="12">
        <v>0.0</v>
      </c>
      <c r="L186" s="13" t="str">
        <f>IFERROR(K186/K446, "NA")</f>
        <v>NA</v>
      </c>
      <c r="M186" s="14"/>
      <c r="N186" s="12">
        <v>0.0</v>
      </c>
      <c r="O186" s="13" t="str">
        <f>IFERROR(N186/N446, "NA")</f>
        <v>NA</v>
      </c>
      <c r="P186" s="14"/>
      <c r="Q186" s="12">
        <v>0.0</v>
      </c>
      <c r="R186" s="13" t="str">
        <f>IFERROR(Q186/Q446, "NA")</f>
        <v>NA</v>
      </c>
      <c r="S186" s="14"/>
      <c r="T186" s="12">
        <v>0.0</v>
      </c>
      <c r="U186" s="13" t="str">
        <f>IFERROR(T186/T446, "NA")</f>
        <v>NA</v>
      </c>
      <c r="V186" s="14"/>
      <c r="W186" s="12">
        <v>0.0</v>
      </c>
      <c r="X186" s="13" t="str">
        <f>IFERROR(W186/W446, "NA")</f>
        <v>NA</v>
      </c>
      <c r="Y186" s="14"/>
      <c r="Z186" s="12">
        <v>0.0</v>
      </c>
      <c r="AA186" s="13" t="str">
        <f>IFERROR(Z186/Z446, "NA")</f>
        <v>NA</v>
      </c>
      <c r="AB186" s="14"/>
      <c r="AC186" s="12">
        <v>0.0</v>
      </c>
      <c r="AD186" s="13" t="str">
        <f>IFERROR(AC186/AC446, "NA")</f>
        <v>NA</v>
      </c>
      <c r="AE186" s="14"/>
      <c r="AF186" s="12">
        <v>0.0</v>
      </c>
      <c r="AG186" s="13" t="str">
        <f>IFERROR(AF186/AF446, "NA")</f>
        <v>NA</v>
      </c>
      <c r="AH186" s="14"/>
      <c r="AI186" s="12">
        <v>0.0</v>
      </c>
      <c r="AJ186" s="13" t="str">
        <f>IFERROR(AI186/AI446, "NA")</f>
        <v>NA</v>
      </c>
      <c r="AK186" s="12"/>
      <c r="AL186" s="15">
        <f t="shared" ref="AL186:AL198" si="27">IFERROR(B186+E186+H186+K186+N186+Q186+T186+W186+Z186+AC186+AF186+AI186, "NA")</f>
        <v>0</v>
      </c>
      <c r="AM186" s="13" t="str">
        <f>IFERROR(AL186/AL446, "NA")</f>
        <v>NA</v>
      </c>
      <c r="AN186" s="12"/>
      <c r="AO186" s="12">
        <v>0.0</v>
      </c>
      <c r="AP186" s="13" t="str">
        <f>IFERROR(AO186/AO446, "NA")</f>
        <v>NA</v>
      </c>
      <c r="AQ186" s="12"/>
      <c r="AR186" s="15">
        <f t="shared" ref="AR186:AR198" si="28">IFERROR(AL186-AO186, "NA")</f>
        <v>0</v>
      </c>
    </row>
    <row r="187" ht="16.5" hidden="1" customHeight="1">
      <c r="A187" s="11" t="s">
        <v>577</v>
      </c>
      <c r="B187" s="12">
        <v>0.0</v>
      </c>
      <c r="C187" s="13" t="str">
        <f>IFERROR(B187/B446, "NA")</f>
        <v>NA</v>
      </c>
      <c r="D187" s="14"/>
      <c r="E187" s="12">
        <v>0.0</v>
      </c>
      <c r="F187" s="13" t="str">
        <f>IFERROR(E187/E446, "NA")</f>
        <v>NA</v>
      </c>
      <c r="G187" s="14"/>
      <c r="H187" s="12">
        <v>0.0</v>
      </c>
      <c r="I187" s="13" t="str">
        <f>IFERROR(H187/H446, "NA")</f>
        <v>NA</v>
      </c>
      <c r="J187" s="14"/>
      <c r="K187" s="12">
        <v>0.0</v>
      </c>
      <c r="L187" s="13" t="str">
        <f>IFERROR(K187/K446, "NA")</f>
        <v>NA</v>
      </c>
      <c r="M187" s="14"/>
      <c r="N187" s="12">
        <v>0.0</v>
      </c>
      <c r="O187" s="13" t="str">
        <f>IFERROR(N187/N446, "NA")</f>
        <v>NA</v>
      </c>
      <c r="P187" s="14"/>
      <c r="Q187" s="12">
        <v>0.0</v>
      </c>
      <c r="R187" s="13" t="str">
        <f>IFERROR(Q187/Q446, "NA")</f>
        <v>NA</v>
      </c>
      <c r="S187" s="14"/>
      <c r="T187" s="12">
        <v>0.0</v>
      </c>
      <c r="U187" s="13" t="str">
        <f>IFERROR(T187/T446, "NA")</f>
        <v>NA</v>
      </c>
      <c r="V187" s="14"/>
      <c r="W187" s="12">
        <v>0.0</v>
      </c>
      <c r="X187" s="13" t="str">
        <f>IFERROR(W187/W446, "NA")</f>
        <v>NA</v>
      </c>
      <c r="Y187" s="14"/>
      <c r="Z187" s="12">
        <v>0.0</v>
      </c>
      <c r="AA187" s="13" t="str">
        <f>IFERROR(Z187/Z446, "NA")</f>
        <v>NA</v>
      </c>
      <c r="AB187" s="14"/>
      <c r="AC187" s="12">
        <v>0.0</v>
      </c>
      <c r="AD187" s="13" t="str">
        <f>IFERROR(AC187/AC446, "NA")</f>
        <v>NA</v>
      </c>
      <c r="AE187" s="14"/>
      <c r="AF187" s="12">
        <v>0.0</v>
      </c>
      <c r="AG187" s="13" t="str">
        <f>IFERROR(AF187/AF446, "NA")</f>
        <v>NA</v>
      </c>
      <c r="AH187" s="14"/>
      <c r="AI187" s="12">
        <v>0.0</v>
      </c>
      <c r="AJ187" s="13" t="str">
        <f>IFERROR(AI187/AI446, "NA")</f>
        <v>NA</v>
      </c>
      <c r="AK187" s="12"/>
      <c r="AL187" s="15">
        <f t="shared" si="27"/>
        <v>0</v>
      </c>
      <c r="AM187" s="13" t="str">
        <f>IFERROR(AL187/AL446, "NA")</f>
        <v>NA</v>
      </c>
      <c r="AN187" s="12"/>
      <c r="AO187" s="12">
        <v>0.0</v>
      </c>
      <c r="AP187" s="13" t="str">
        <f>IFERROR(AO187/AO446, "NA")</f>
        <v>NA</v>
      </c>
      <c r="AQ187" s="12"/>
      <c r="AR187" s="15">
        <f t="shared" si="28"/>
        <v>0</v>
      </c>
    </row>
    <row r="188" ht="16.5" hidden="1" customHeight="1">
      <c r="A188" s="11" t="s">
        <v>578</v>
      </c>
      <c r="B188" s="12">
        <v>0.0</v>
      </c>
      <c r="C188" s="13" t="str">
        <f>IFERROR(B188/B446, "NA")</f>
        <v>NA</v>
      </c>
      <c r="D188" s="14"/>
      <c r="E188" s="12">
        <v>0.0</v>
      </c>
      <c r="F188" s="13" t="str">
        <f>IFERROR(E188/E446, "NA")</f>
        <v>NA</v>
      </c>
      <c r="G188" s="14"/>
      <c r="H188" s="12">
        <v>0.0</v>
      </c>
      <c r="I188" s="13" t="str">
        <f>IFERROR(H188/H446, "NA")</f>
        <v>NA</v>
      </c>
      <c r="J188" s="14"/>
      <c r="K188" s="12">
        <v>0.0</v>
      </c>
      <c r="L188" s="13" t="str">
        <f>IFERROR(K188/K446, "NA")</f>
        <v>NA</v>
      </c>
      <c r="M188" s="14"/>
      <c r="N188" s="12">
        <v>0.0</v>
      </c>
      <c r="O188" s="13" t="str">
        <f>IFERROR(N188/N446, "NA")</f>
        <v>NA</v>
      </c>
      <c r="P188" s="14"/>
      <c r="Q188" s="12">
        <v>0.0</v>
      </c>
      <c r="R188" s="13" t="str">
        <f>IFERROR(Q188/Q446, "NA")</f>
        <v>NA</v>
      </c>
      <c r="S188" s="14"/>
      <c r="T188" s="12">
        <v>0.0</v>
      </c>
      <c r="U188" s="13" t="str">
        <f>IFERROR(T188/T446, "NA")</f>
        <v>NA</v>
      </c>
      <c r="V188" s="14"/>
      <c r="W188" s="12">
        <v>0.0</v>
      </c>
      <c r="X188" s="13" t="str">
        <f>IFERROR(W188/W446, "NA")</f>
        <v>NA</v>
      </c>
      <c r="Y188" s="14"/>
      <c r="Z188" s="12">
        <v>0.0</v>
      </c>
      <c r="AA188" s="13" t="str">
        <f>IFERROR(Z188/Z446, "NA")</f>
        <v>NA</v>
      </c>
      <c r="AB188" s="14"/>
      <c r="AC188" s="12">
        <v>0.0</v>
      </c>
      <c r="AD188" s="13" t="str">
        <f>IFERROR(AC188/AC446, "NA")</f>
        <v>NA</v>
      </c>
      <c r="AE188" s="14"/>
      <c r="AF188" s="12">
        <v>0.0</v>
      </c>
      <c r="AG188" s="13" t="str">
        <f>IFERROR(AF188/AF446, "NA")</f>
        <v>NA</v>
      </c>
      <c r="AH188" s="14"/>
      <c r="AI188" s="12">
        <v>0.0</v>
      </c>
      <c r="AJ188" s="13" t="str">
        <f>IFERROR(AI188/AI446, "NA")</f>
        <v>NA</v>
      </c>
      <c r="AK188" s="12"/>
      <c r="AL188" s="15">
        <f t="shared" si="27"/>
        <v>0</v>
      </c>
      <c r="AM188" s="13" t="str">
        <f>IFERROR(AL188/AL446, "NA")</f>
        <v>NA</v>
      </c>
      <c r="AN188" s="12"/>
      <c r="AO188" s="12">
        <v>0.0</v>
      </c>
      <c r="AP188" s="13" t="str">
        <f>IFERROR(AO188/AO446, "NA")</f>
        <v>NA</v>
      </c>
      <c r="AQ188" s="12"/>
      <c r="AR188" s="15">
        <f t="shared" si="28"/>
        <v>0</v>
      </c>
    </row>
    <row r="189" ht="16.5" hidden="1" customHeight="1">
      <c r="A189" s="11" t="s">
        <v>579</v>
      </c>
      <c r="B189" s="12">
        <v>0.0</v>
      </c>
      <c r="C189" s="13" t="str">
        <f>IFERROR(B189/B446, "NA")</f>
        <v>NA</v>
      </c>
      <c r="D189" s="14"/>
      <c r="E189" s="12">
        <v>0.0</v>
      </c>
      <c r="F189" s="13" t="str">
        <f>IFERROR(E189/E446, "NA")</f>
        <v>NA</v>
      </c>
      <c r="G189" s="14"/>
      <c r="H189" s="12">
        <v>0.0</v>
      </c>
      <c r="I189" s="13" t="str">
        <f>IFERROR(H189/H446, "NA")</f>
        <v>NA</v>
      </c>
      <c r="J189" s="14"/>
      <c r="K189" s="12">
        <v>0.0</v>
      </c>
      <c r="L189" s="13" t="str">
        <f>IFERROR(K189/K446, "NA")</f>
        <v>NA</v>
      </c>
      <c r="M189" s="14"/>
      <c r="N189" s="12">
        <v>0.0</v>
      </c>
      <c r="O189" s="13" t="str">
        <f>IFERROR(N189/N446, "NA")</f>
        <v>NA</v>
      </c>
      <c r="P189" s="14"/>
      <c r="Q189" s="12">
        <v>0.0</v>
      </c>
      <c r="R189" s="13" t="str">
        <f>IFERROR(Q189/Q446, "NA")</f>
        <v>NA</v>
      </c>
      <c r="S189" s="14"/>
      <c r="T189" s="12">
        <v>0.0</v>
      </c>
      <c r="U189" s="13" t="str">
        <f>IFERROR(T189/T446, "NA")</f>
        <v>NA</v>
      </c>
      <c r="V189" s="14"/>
      <c r="W189" s="12">
        <v>0.0</v>
      </c>
      <c r="X189" s="13" t="str">
        <f>IFERROR(W189/W446, "NA")</f>
        <v>NA</v>
      </c>
      <c r="Y189" s="14"/>
      <c r="Z189" s="12">
        <v>0.0</v>
      </c>
      <c r="AA189" s="13" t="str">
        <f>IFERROR(Z189/Z446, "NA")</f>
        <v>NA</v>
      </c>
      <c r="AB189" s="14"/>
      <c r="AC189" s="12">
        <v>0.0</v>
      </c>
      <c r="AD189" s="13" t="str">
        <f>IFERROR(AC189/AC446, "NA")</f>
        <v>NA</v>
      </c>
      <c r="AE189" s="14"/>
      <c r="AF189" s="12">
        <v>0.0</v>
      </c>
      <c r="AG189" s="13" t="str">
        <f>IFERROR(AF189/AF446, "NA")</f>
        <v>NA</v>
      </c>
      <c r="AH189" s="14"/>
      <c r="AI189" s="12">
        <v>0.0</v>
      </c>
      <c r="AJ189" s="13" t="str">
        <f>IFERROR(AI189/AI446, "NA")</f>
        <v>NA</v>
      </c>
      <c r="AK189" s="12"/>
      <c r="AL189" s="15">
        <f t="shared" si="27"/>
        <v>0</v>
      </c>
      <c r="AM189" s="13" t="str">
        <f>IFERROR(AL189/AL446, "NA")</f>
        <v>NA</v>
      </c>
      <c r="AN189" s="12"/>
      <c r="AO189" s="12">
        <v>0.0</v>
      </c>
      <c r="AP189" s="13" t="str">
        <f>IFERROR(AO189/AO446, "NA")</f>
        <v>NA</v>
      </c>
      <c r="AQ189" s="12"/>
      <c r="AR189" s="15">
        <f t="shared" si="28"/>
        <v>0</v>
      </c>
    </row>
    <row r="190" ht="16.5" hidden="1" customHeight="1">
      <c r="A190" s="11" t="s">
        <v>580</v>
      </c>
      <c r="B190" s="12">
        <v>0.0</v>
      </c>
      <c r="C190" s="13" t="str">
        <f>IFERROR(B190/B446, "NA")</f>
        <v>NA</v>
      </c>
      <c r="D190" s="14"/>
      <c r="E190" s="12">
        <v>0.0</v>
      </c>
      <c r="F190" s="13" t="str">
        <f>IFERROR(E190/E446, "NA")</f>
        <v>NA</v>
      </c>
      <c r="G190" s="14"/>
      <c r="H190" s="12">
        <v>0.0</v>
      </c>
      <c r="I190" s="13" t="str">
        <f>IFERROR(H190/H446, "NA")</f>
        <v>NA</v>
      </c>
      <c r="J190" s="14"/>
      <c r="K190" s="12">
        <v>0.0</v>
      </c>
      <c r="L190" s="13" t="str">
        <f>IFERROR(K190/K446, "NA")</f>
        <v>NA</v>
      </c>
      <c r="M190" s="14"/>
      <c r="N190" s="12">
        <v>0.0</v>
      </c>
      <c r="O190" s="13" t="str">
        <f>IFERROR(N190/N446, "NA")</f>
        <v>NA</v>
      </c>
      <c r="P190" s="14"/>
      <c r="Q190" s="12">
        <v>0.0</v>
      </c>
      <c r="R190" s="13" t="str">
        <f>IFERROR(Q190/Q446, "NA")</f>
        <v>NA</v>
      </c>
      <c r="S190" s="14"/>
      <c r="T190" s="12">
        <v>0.0</v>
      </c>
      <c r="U190" s="13" t="str">
        <f>IFERROR(T190/T446, "NA")</f>
        <v>NA</v>
      </c>
      <c r="V190" s="14"/>
      <c r="W190" s="12">
        <v>0.0</v>
      </c>
      <c r="X190" s="13" t="str">
        <f>IFERROR(W190/W446, "NA")</f>
        <v>NA</v>
      </c>
      <c r="Y190" s="14"/>
      <c r="Z190" s="12">
        <v>0.0</v>
      </c>
      <c r="AA190" s="13" t="str">
        <f>IFERROR(Z190/Z446, "NA")</f>
        <v>NA</v>
      </c>
      <c r="AB190" s="14"/>
      <c r="AC190" s="12">
        <v>0.0</v>
      </c>
      <c r="AD190" s="13" t="str">
        <f>IFERROR(AC190/AC446, "NA")</f>
        <v>NA</v>
      </c>
      <c r="AE190" s="14"/>
      <c r="AF190" s="12">
        <v>0.0</v>
      </c>
      <c r="AG190" s="13" t="str">
        <f>IFERROR(AF190/AF446, "NA")</f>
        <v>NA</v>
      </c>
      <c r="AH190" s="14"/>
      <c r="AI190" s="12">
        <v>0.0</v>
      </c>
      <c r="AJ190" s="13" t="str">
        <f>IFERROR(AI190/AI446, "NA")</f>
        <v>NA</v>
      </c>
      <c r="AK190" s="12"/>
      <c r="AL190" s="15">
        <f t="shared" si="27"/>
        <v>0</v>
      </c>
      <c r="AM190" s="13" t="str">
        <f>IFERROR(AL190/AL446, "NA")</f>
        <v>NA</v>
      </c>
      <c r="AN190" s="12"/>
      <c r="AO190" s="12">
        <v>0.0</v>
      </c>
      <c r="AP190" s="13" t="str">
        <f>IFERROR(AO190/AO446, "NA")</f>
        <v>NA</v>
      </c>
      <c r="AQ190" s="12"/>
      <c r="AR190" s="15">
        <f t="shared" si="28"/>
        <v>0</v>
      </c>
    </row>
    <row r="191" ht="16.5" hidden="1" customHeight="1">
      <c r="A191" s="11" t="s">
        <v>581</v>
      </c>
      <c r="B191" s="12">
        <v>0.0</v>
      </c>
      <c r="C191" s="13" t="str">
        <f>IFERROR(B191/B446, "NA")</f>
        <v>NA</v>
      </c>
      <c r="D191" s="14"/>
      <c r="E191" s="12">
        <v>0.0</v>
      </c>
      <c r="F191" s="13" t="str">
        <f>IFERROR(E191/E446, "NA")</f>
        <v>NA</v>
      </c>
      <c r="G191" s="14"/>
      <c r="H191" s="12">
        <v>0.0</v>
      </c>
      <c r="I191" s="13" t="str">
        <f>IFERROR(H191/H446, "NA")</f>
        <v>NA</v>
      </c>
      <c r="J191" s="14"/>
      <c r="K191" s="12">
        <v>0.0</v>
      </c>
      <c r="L191" s="13" t="str">
        <f>IFERROR(K191/K446, "NA")</f>
        <v>NA</v>
      </c>
      <c r="M191" s="14"/>
      <c r="N191" s="12">
        <v>0.0</v>
      </c>
      <c r="O191" s="13" t="str">
        <f>IFERROR(N191/N446, "NA")</f>
        <v>NA</v>
      </c>
      <c r="P191" s="14"/>
      <c r="Q191" s="12">
        <v>0.0</v>
      </c>
      <c r="R191" s="13" t="str">
        <f>IFERROR(Q191/Q446, "NA")</f>
        <v>NA</v>
      </c>
      <c r="S191" s="14"/>
      <c r="T191" s="12">
        <v>0.0</v>
      </c>
      <c r="U191" s="13" t="str">
        <f>IFERROR(T191/T446, "NA")</f>
        <v>NA</v>
      </c>
      <c r="V191" s="14"/>
      <c r="W191" s="12">
        <v>0.0</v>
      </c>
      <c r="X191" s="13" t="str">
        <f>IFERROR(W191/W446, "NA")</f>
        <v>NA</v>
      </c>
      <c r="Y191" s="14"/>
      <c r="Z191" s="12">
        <v>0.0</v>
      </c>
      <c r="AA191" s="13" t="str">
        <f>IFERROR(Z191/Z446, "NA")</f>
        <v>NA</v>
      </c>
      <c r="AB191" s="14"/>
      <c r="AC191" s="12">
        <v>0.0</v>
      </c>
      <c r="AD191" s="13" t="str">
        <f>IFERROR(AC191/AC446, "NA")</f>
        <v>NA</v>
      </c>
      <c r="AE191" s="14"/>
      <c r="AF191" s="12">
        <v>0.0</v>
      </c>
      <c r="AG191" s="13" t="str">
        <f>IFERROR(AF191/AF446, "NA")</f>
        <v>NA</v>
      </c>
      <c r="AH191" s="14"/>
      <c r="AI191" s="12">
        <v>0.0</v>
      </c>
      <c r="AJ191" s="13" t="str">
        <f>IFERROR(AI191/AI446, "NA")</f>
        <v>NA</v>
      </c>
      <c r="AK191" s="12"/>
      <c r="AL191" s="15">
        <f t="shared" si="27"/>
        <v>0</v>
      </c>
      <c r="AM191" s="13" t="str">
        <f>IFERROR(AL191/AL446, "NA")</f>
        <v>NA</v>
      </c>
      <c r="AN191" s="12"/>
      <c r="AO191" s="12">
        <v>0.0</v>
      </c>
      <c r="AP191" s="13" t="str">
        <f>IFERROR(AO191/AO446, "NA")</f>
        <v>NA</v>
      </c>
      <c r="AQ191" s="12"/>
      <c r="AR191" s="15">
        <f t="shared" si="28"/>
        <v>0</v>
      </c>
    </row>
    <row r="192" ht="16.5" hidden="1" customHeight="1">
      <c r="A192" s="11" t="s">
        <v>582</v>
      </c>
      <c r="B192" s="12">
        <v>0.0</v>
      </c>
      <c r="C192" s="13" t="str">
        <f>IFERROR(B192/B446, "NA")</f>
        <v>NA</v>
      </c>
      <c r="D192" s="14"/>
      <c r="E192" s="12">
        <v>0.0</v>
      </c>
      <c r="F192" s="13" t="str">
        <f>IFERROR(E192/E446, "NA")</f>
        <v>NA</v>
      </c>
      <c r="G192" s="14"/>
      <c r="H192" s="12">
        <v>0.0</v>
      </c>
      <c r="I192" s="13" t="str">
        <f>IFERROR(H192/H446, "NA")</f>
        <v>NA</v>
      </c>
      <c r="J192" s="14"/>
      <c r="K192" s="12">
        <v>0.0</v>
      </c>
      <c r="L192" s="13" t="str">
        <f>IFERROR(K192/K446, "NA")</f>
        <v>NA</v>
      </c>
      <c r="M192" s="14"/>
      <c r="N192" s="12">
        <v>0.0</v>
      </c>
      <c r="O192" s="13" t="str">
        <f>IFERROR(N192/N446, "NA")</f>
        <v>NA</v>
      </c>
      <c r="P192" s="14"/>
      <c r="Q192" s="12">
        <v>0.0</v>
      </c>
      <c r="R192" s="13" t="str">
        <f>IFERROR(Q192/Q446, "NA")</f>
        <v>NA</v>
      </c>
      <c r="S192" s="14"/>
      <c r="T192" s="12">
        <v>0.0</v>
      </c>
      <c r="U192" s="13" t="str">
        <f>IFERROR(T192/T446, "NA")</f>
        <v>NA</v>
      </c>
      <c r="V192" s="14"/>
      <c r="W192" s="12">
        <v>0.0</v>
      </c>
      <c r="X192" s="13" t="str">
        <f>IFERROR(W192/W446, "NA")</f>
        <v>NA</v>
      </c>
      <c r="Y192" s="14"/>
      <c r="Z192" s="12">
        <v>0.0</v>
      </c>
      <c r="AA192" s="13" t="str">
        <f>IFERROR(Z192/Z446, "NA")</f>
        <v>NA</v>
      </c>
      <c r="AB192" s="14"/>
      <c r="AC192" s="12">
        <v>0.0</v>
      </c>
      <c r="AD192" s="13" t="str">
        <f>IFERROR(AC192/AC446, "NA")</f>
        <v>NA</v>
      </c>
      <c r="AE192" s="14"/>
      <c r="AF192" s="12">
        <v>0.0</v>
      </c>
      <c r="AG192" s="13" t="str">
        <f>IFERROR(AF192/AF446, "NA")</f>
        <v>NA</v>
      </c>
      <c r="AH192" s="14"/>
      <c r="AI192" s="12">
        <v>0.0</v>
      </c>
      <c r="AJ192" s="13" t="str">
        <f>IFERROR(AI192/AI446, "NA")</f>
        <v>NA</v>
      </c>
      <c r="AK192" s="12"/>
      <c r="AL192" s="15">
        <f t="shared" si="27"/>
        <v>0</v>
      </c>
      <c r="AM192" s="13" t="str">
        <f>IFERROR(AL192/AL446, "NA")</f>
        <v>NA</v>
      </c>
      <c r="AN192" s="12"/>
      <c r="AO192" s="12">
        <v>0.0</v>
      </c>
      <c r="AP192" s="13" t="str">
        <f>IFERROR(AO192/AO446, "NA")</f>
        <v>NA</v>
      </c>
      <c r="AQ192" s="12"/>
      <c r="AR192" s="15">
        <f t="shared" si="28"/>
        <v>0</v>
      </c>
    </row>
    <row r="193" ht="16.5" customHeight="1">
      <c r="A193" s="16" t="s">
        <v>180</v>
      </c>
      <c r="B193" s="17">
        <f>IFERROR(B186+B187+B188+B189+B190+B191+B192, "NA")</f>
        <v>0</v>
      </c>
      <c r="C193" s="18" t="str">
        <f>IFERROR(B193/B446, "NA")</f>
        <v>NA</v>
      </c>
      <c r="D193" s="8"/>
      <c r="E193" s="17">
        <f>IFERROR(E186+E187+E188+E189+E190+E191+E192, "NA")</f>
        <v>0</v>
      </c>
      <c r="F193" s="18" t="str">
        <f>IFERROR(E193/E446, "NA")</f>
        <v>NA</v>
      </c>
      <c r="G193" s="8"/>
      <c r="H193" s="17">
        <f>IFERROR(H186+H187+H188+H189+H190+H191+H192, "NA")</f>
        <v>0</v>
      </c>
      <c r="I193" s="18" t="str">
        <f>IFERROR(H193/H446, "NA")</f>
        <v>NA</v>
      </c>
      <c r="J193" s="8"/>
      <c r="K193" s="17">
        <f>IFERROR(K186+K187+K188+K189+K190+K191+K192, "NA")</f>
        <v>0</v>
      </c>
      <c r="L193" s="18" t="str">
        <f>IFERROR(K193/K446, "NA")</f>
        <v>NA</v>
      </c>
      <c r="M193" s="8"/>
      <c r="N193" s="17">
        <f>IFERROR(N186+N187+N188+N189+N190+N191+N192, "NA")</f>
        <v>0</v>
      </c>
      <c r="O193" s="18" t="str">
        <f>IFERROR(N193/N446, "NA")</f>
        <v>NA</v>
      </c>
      <c r="P193" s="8"/>
      <c r="Q193" s="17">
        <f>IFERROR(Q186+Q187+Q188+Q189+Q190+Q191+Q192, "NA")</f>
        <v>0</v>
      </c>
      <c r="R193" s="18" t="str">
        <f>IFERROR(Q193/Q446, "NA")</f>
        <v>NA</v>
      </c>
      <c r="S193" s="8"/>
      <c r="T193" s="17">
        <f>IFERROR(T186+T187+T188+T189+T190+T191+T192, "NA")</f>
        <v>0</v>
      </c>
      <c r="U193" s="18" t="str">
        <f>IFERROR(T193/T446, "NA")</f>
        <v>NA</v>
      </c>
      <c r="V193" s="8"/>
      <c r="W193" s="17">
        <f>IFERROR(W186+W187+W188+W189+W190+W191+W192, "NA")</f>
        <v>0</v>
      </c>
      <c r="X193" s="18" t="str">
        <f>IFERROR(W193/W446, "NA")</f>
        <v>NA</v>
      </c>
      <c r="Y193" s="8"/>
      <c r="Z193" s="17">
        <f>IFERROR(Z186+Z187+Z188+Z189+Z190+Z191+Z192, "NA")</f>
        <v>0</v>
      </c>
      <c r="AA193" s="18" t="str">
        <f>IFERROR(Z193/Z446, "NA")</f>
        <v>NA</v>
      </c>
      <c r="AB193" s="8"/>
      <c r="AC193" s="17">
        <f>IFERROR(AC186+AC187+AC188+AC189+AC190+AC191+AC192, "NA")</f>
        <v>0</v>
      </c>
      <c r="AD193" s="18" t="str">
        <f>IFERROR(AC193/AC446, "NA")</f>
        <v>NA</v>
      </c>
      <c r="AE193" s="8"/>
      <c r="AF193" s="17">
        <f>IFERROR(AF186+AF187+AF188+AF189+AF190+AF191+AF192, "NA")</f>
        <v>0</v>
      </c>
      <c r="AG193" s="18" t="str">
        <f>IFERROR(AF193/AF446, "NA")</f>
        <v>NA</v>
      </c>
      <c r="AH193" s="8"/>
      <c r="AI193" s="17">
        <f>IFERROR(AI186+AI187+AI188+AI189+AI190+AI191+AI192, "NA")</f>
        <v>0</v>
      </c>
      <c r="AJ193" s="18" t="str">
        <f>IFERROR(AI193/AI446, "NA")</f>
        <v>NA</v>
      </c>
      <c r="AK193" s="8"/>
      <c r="AL193" s="17">
        <f t="shared" si="27"/>
        <v>0</v>
      </c>
      <c r="AM193" s="18" t="str">
        <f>IFERROR(AL193/AL446, "NA")</f>
        <v>NA</v>
      </c>
      <c r="AN193" s="8"/>
      <c r="AO193" s="17">
        <f>IFERROR(AO186+AO187+AO188+AO189+AO190+AO191+AO192, "NA")</f>
        <v>0</v>
      </c>
      <c r="AP193" s="18" t="str">
        <f>IFERROR(AO193/AO446, "NA")</f>
        <v>NA</v>
      </c>
      <c r="AQ193" s="8"/>
      <c r="AR193" s="17">
        <f t="shared" si="28"/>
        <v>0</v>
      </c>
    </row>
    <row r="194" ht="16.5" hidden="1" customHeight="1">
      <c r="A194" s="11" t="s">
        <v>583</v>
      </c>
      <c r="B194" s="12">
        <v>0.0</v>
      </c>
      <c r="C194" s="13" t="str">
        <f>IFERROR(B194/B446, "NA")</f>
        <v>NA</v>
      </c>
      <c r="D194" s="14"/>
      <c r="E194" s="12">
        <v>0.0</v>
      </c>
      <c r="F194" s="13" t="str">
        <f>IFERROR(E194/E446, "NA")</f>
        <v>NA</v>
      </c>
      <c r="G194" s="14"/>
      <c r="H194" s="12">
        <v>0.0</v>
      </c>
      <c r="I194" s="13" t="str">
        <f>IFERROR(H194/H446, "NA")</f>
        <v>NA</v>
      </c>
      <c r="J194" s="14"/>
      <c r="K194" s="12">
        <v>0.0</v>
      </c>
      <c r="L194" s="13" t="str">
        <f>IFERROR(K194/K446, "NA")</f>
        <v>NA</v>
      </c>
      <c r="M194" s="14"/>
      <c r="N194" s="12">
        <v>0.0</v>
      </c>
      <c r="O194" s="13" t="str">
        <f>IFERROR(N194/N446, "NA")</f>
        <v>NA</v>
      </c>
      <c r="P194" s="14"/>
      <c r="Q194" s="12">
        <v>0.0</v>
      </c>
      <c r="R194" s="13" t="str">
        <f>IFERROR(Q194/Q446, "NA")</f>
        <v>NA</v>
      </c>
      <c r="S194" s="14"/>
      <c r="T194" s="12">
        <v>0.0</v>
      </c>
      <c r="U194" s="13" t="str">
        <f>IFERROR(T194/T446, "NA")</f>
        <v>NA</v>
      </c>
      <c r="V194" s="14"/>
      <c r="W194" s="12">
        <v>0.0</v>
      </c>
      <c r="X194" s="13" t="str">
        <f>IFERROR(W194/W446, "NA")</f>
        <v>NA</v>
      </c>
      <c r="Y194" s="14"/>
      <c r="Z194" s="12">
        <v>0.0</v>
      </c>
      <c r="AA194" s="13" t="str">
        <f>IFERROR(Z194/Z446, "NA")</f>
        <v>NA</v>
      </c>
      <c r="AB194" s="14"/>
      <c r="AC194" s="12">
        <v>0.0</v>
      </c>
      <c r="AD194" s="13" t="str">
        <f>IFERROR(AC194/AC446, "NA")</f>
        <v>NA</v>
      </c>
      <c r="AE194" s="14"/>
      <c r="AF194" s="12">
        <v>0.0</v>
      </c>
      <c r="AG194" s="13" t="str">
        <f>IFERROR(AF194/AF446, "NA")</f>
        <v>NA</v>
      </c>
      <c r="AH194" s="14"/>
      <c r="AI194" s="12">
        <v>0.0</v>
      </c>
      <c r="AJ194" s="13" t="str">
        <f>IFERROR(AI194/AI446, "NA")</f>
        <v>NA</v>
      </c>
      <c r="AK194" s="12"/>
      <c r="AL194" s="15">
        <f t="shared" si="27"/>
        <v>0</v>
      </c>
      <c r="AM194" s="13" t="str">
        <f>IFERROR(AL194/AL446, "NA")</f>
        <v>NA</v>
      </c>
      <c r="AN194" s="12"/>
      <c r="AO194" s="12">
        <v>0.0</v>
      </c>
      <c r="AP194" s="13" t="str">
        <f>IFERROR(AO194/AO446, "NA")</f>
        <v>NA</v>
      </c>
      <c r="AQ194" s="12"/>
      <c r="AR194" s="15">
        <f t="shared" si="28"/>
        <v>0</v>
      </c>
    </row>
    <row r="195" ht="16.5" hidden="1" customHeight="1">
      <c r="A195" s="11" t="s">
        <v>584</v>
      </c>
      <c r="B195" s="12">
        <v>0.0</v>
      </c>
      <c r="C195" s="13" t="str">
        <f>IFERROR(B195/B446, "NA")</f>
        <v>NA</v>
      </c>
      <c r="D195" s="14"/>
      <c r="E195" s="12">
        <v>0.0</v>
      </c>
      <c r="F195" s="13" t="str">
        <f>IFERROR(E195/E446, "NA")</f>
        <v>NA</v>
      </c>
      <c r="G195" s="14"/>
      <c r="H195" s="12">
        <v>0.0</v>
      </c>
      <c r="I195" s="13" t="str">
        <f>IFERROR(H195/H446, "NA")</f>
        <v>NA</v>
      </c>
      <c r="J195" s="14"/>
      <c r="K195" s="12">
        <v>0.0</v>
      </c>
      <c r="L195" s="13" t="str">
        <f>IFERROR(K195/K446, "NA")</f>
        <v>NA</v>
      </c>
      <c r="M195" s="14"/>
      <c r="N195" s="12">
        <v>0.0</v>
      </c>
      <c r="O195" s="13" t="str">
        <f>IFERROR(N195/N446, "NA")</f>
        <v>NA</v>
      </c>
      <c r="P195" s="14"/>
      <c r="Q195" s="12">
        <v>0.0</v>
      </c>
      <c r="R195" s="13" t="str">
        <f>IFERROR(Q195/Q446, "NA")</f>
        <v>NA</v>
      </c>
      <c r="S195" s="14"/>
      <c r="T195" s="12">
        <v>0.0</v>
      </c>
      <c r="U195" s="13" t="str">
        <f>IFERROR(T195/T446, "NA")</f>
        <v>NA</v>
      </c>
      <c r="V195" s="14"/>
      <c r="W195" s="12">
        <v>0.0</v>
      </c>
      <c r="X195" s="13" t="str">
        <f>IFERROR(W195/W446, "NA")</f>
        <v>NA</v>
      </c>
      <c r="Y195" s="14"/>
      <c r="Z195" s="12">
        <v>0.0</v>
      </c>
      <c r="AA195" s="13" t="str">
        <f>IFERROR(Z195/Z446, "NA")</f>
        <v>NA</v>
      </c>
      <c r="AB195" s="14"/>
      <c r="AC195" s="12">
        <v>0.0</v>
      </c>
      <c r="AD195" s="13" t="str">
        <f>IFERROR(AC195/AC446, "NA")</f>
        <v>NA</v>
      </c>
      <c r="AE195" s="14"/>
      <c r="AF195" s="12">
        <v>0.0</v>
      </c>
      <c r="AG195" s="13" t="str">
        <f>IFERROR(AF195/AF446, "NA")</f>
        <v>NA</v>
      </c>
      <c r="AH195" s="14"/>
      <c r="AI195" s="12">
        <v>0.0</v>
      </c>
      <c r="AJ195" s="13" t="str">
        <f>IFERROR(AI195/AI446, "NA")</f>
        <v>NA</v>
      </c>
      <c r="AK195" s="12"/>
      <c r="AL195" s="15">
        <f t="shared" si="27"/>
        <v>0</v>
      </c>
      <c r="AM195" s="13" t="str">
        <f>IFERROR(AL195/AL446, "NA")</f>
        <v>NA</v>
      </c>
      <c r="AN195" s="12"/>
      <c r="AO195" s="12">
        <v>0.0</v>
      </c>
      <c r="AP195" s="13" t="str">
        <f>IFERROR(AO195/AO446, "NA")</f>
        <v>NA</v>
      </c>
      <c r="AQ195" s="12"/>
      <c r="AR195" s="15">
        <f t="shared" si="28"/>
        <v>0</v>
      </c>
    </row>
    <row r="196" ht="16.5" customHeight="1">
      <c r="A196" s="16" t="s">
        <v>183</v>
      </c>
      <c r="B196" s="17">
        <f>IFERROR(B175+B177+B178+B179+B180+B181+B183+B184+B186+B187+B188+B189+B190+B191+B192+B194+B195, "NA")</f>
        <v>0</v>
      </c>
      <c r="C196" s="18" t="str">
        <f>IFERROR(B196/B446, "NA")</f>
        <v>NA</v>
      </c>
      <c r="D196" s="8"/>
      <c r="E196" s="17">
        <f>IFERROR(E175+E177+E178+E179+E180+E181+E183+E184+E186+E187+E188+E189+E190+E191+E192+E194+E195, "NA")</f>
        <v>0</v>
      </c>
      <c r="F196" s="18" t="str">
        <f>IFERROR(E196/E446, "NA")</f>
        <v>NA</v>
      </c>
      <c r="G196" s="8"/>
      <c r="H196" s="17">
        <f>IFERROR(H175+H177+H178+H179+H180+H181+H183+H184+H186+H187+H188+H189+H190+H191+H192+H194+H195, "NA")</f>
        <v>0</v>
      </c>
      <c r="I196" s="18" t="str">
        <f>IFERROR(H196/H446, "NA")</f>
        <v>NA</v>
      </c>
      <c r="J196" s="8"/>
      <c r="K196" s="17">
        <f>IFERROR(K175+K177+K178+K179+K180+K181+K183+K184+K186+K187+K188+K189+K190+K191+K192+K194+K195, "NA")</f>
        <v>0</v>
      </c>
      <c r="L196" s="18" t="str">
        <f>IFERROR(K196/K446, "NA")</f>
        <v>NA</v>
      </c>
      <c r="M196" s="8"/>
      <c r="N196" s="17">
        <f>IFERROR(N175+N177+N178+N179+N180+N181+N183+N184+N186+N187+N188+N189+N190+N191+N192+N194+N195, "NA")</f>
        <v>0</v>
      </c>
      <c r="O196" s="18" t="str">
        <f>IFERROR(N196/N446, "NA")</f>
        <v>NA</v>
      </c>
      <c r="P196" s="8"/>
      <c r="Q196" s="17">
        <f>IFERROR(Q175+Q177+Q178+Q179+Q180+Q181+Q183+Q184+Q186+Q187+Q188+Q189+Q190+Q191+Q192+Q194+Q195, "NA")</f>
        <v>0</v>
      </c>
      <c r="R196" s="18" t="str">
        <f>IFERROR(Q196/Q446, "NA")</f>
        <v>NA</v>
      </c>
      <c r="S196" s="8"/>
      <c r="T196" s="17">
        <f>IFERROR(T175+T177+T178+T179+T180+T181+T183+T184+T186+T187+T188+T189+T190+T191+T192+T194+T195, "NA")</f>
        <v>0</v>
      </c>
      <c r="U196" s="18" t="str">
        <f>IFERROR(T196/T446, "NA")</f>
        <v>NA</v>
      </c>
      <c r="V196" s="8"/>
      <c r="W196" s="17">
        <f>IFERROR(W175+W177+W178+W179+W180+W181+W183+W184+W186+W187+W188+W189+W190+W191+W192+W194+W195, "NA")</f>
        <v>0</v>
      </c>
      <c r="X196" s="18" t="str">
        <f>IFERROR(W196/W446, "NA")</f>
        <v>NA</v>
      </c>
      <c r="Y196" s="8"/>
      <c r="Z196" s="17">
        <f>IFERROR(Z175+Z177+Z178+Z179+Z180+Z181+Z183+Z184+Z186+Z187+Z188+Z189+Z190+Z191+Z192+Z194+Z195, "NA")</f>
        <v>0</v>
      </c>
      <c r="AA196" s="18" t="str">
        <f>IFERROR(Z196/Z446, "NA")</f>
        <v>NA</v>
      </c>
      <c r="AB196" s="8"/>
      <c r="AC196" s="17">
        <f>IFERROR(AC175+AC177+AC178+AC179+AC180+AC181+AC183+AC184+AC186+AC187+AC188+AC189+AC190+AC191+AC192+AC194+AC195, "NA")</f>
        <v>0</v>
      </c>
      <c r="AD196" s="18" t="str">
        <f>IFERROR(AC196/AC446, "NA")</f>
        <v>NA</v>
      </c>
      <c r="AE196" s="8"/>
      <c r="AF196" s="17">
        <f>IFERROR(AF175+AF177+AF178+AF179+AF180+AF181+AF183+AF184+AF186+AF187+AF188+AF189+AF190+AF191+AF192+AF194+AF195, "NA")</f>
        <v>0</v>
      </c>
      <c r="AG196" s="18" t="str">
        <f>IFERROR(AF196/AF446, "NA")</f>
        <v>NA</v>
      </c>
      <c r="AH196" s="8"/>
      <c r="AI196" s="17">
        <f>IFERROR(AI175+AI177+AI178+AI179+AI180+AI181+AI183+AI184+AI186+AI187+AI188+AI189+AI190+AI191+AI192+AI194+AI195, "NA")</f>
        <v>0</v>
      </c>
      <c r="AJ196" s="18" t="str">
        <f>IFERROR(AI196/AI446, "NA")</f>
        <v>NA</v>
      </c>
      <c r="AK196" s="8"/>
      <c r="AL196" s="17">
        <f t="shared" si="27"/>
        <v>0</v>
      </c>
      <c r="AM196" s="18" t="str">
        <f>IFERROR(AL196/AL446, "NA")</f>
        <v>NA</v>
      </c>
      <c r="AN196" s="8"/>
      <c r="AO196" s="17">
        <f>IFERROR(AO175+AO177+AO178+AO179+AO180+AO181+AO183+AO184+AO186+AO187+AO188+AO189+AO190+AO191+AO192+AO194+AO195, "NA")</f>
        <v>0</v>
      </c>
      <c r="AP196" s="18" t="str">
        <f>IFERROR(AO196/AO446, "NA")</f>
        <v>NA</v>
      </c>
      <c r="AQ196" s="8"/>
      <c r="AR196" s="17">
        <f t="shared" si="28"/>
        <v>0</v>
      </c>
    </row>
    <row r="197" ht="16.5" customHeight="1">
      <c r="A197" s="16" t="s">
        <v>183</v>
      </c>
      <c r="B197" s="17">
        <f>IFERROR(B175+B177+B178+B179+B180+B181+B183+B184+B186+B187+B188+B189+B190+B191+B192+B194+B195, "NA")</f>
        <v>0</v>
      </c>
      <c r="C197" s="18" t="str">
        <f>IFERROR(B197/B446, "NA")</f>
        <v>NA</v>
      </c>
      <c r="D197" s="8"/>
      <c r="E197" s="17">
        <f>IFERROR(E175+E177+E178+E179+E180+E181+E183+E184+E186+E187+E188+E189+E190+E191+E192+E194+E195, "NA")</f>
        <v>0</v>
      </c>
      <c r="F197" s="18" t="str">
        <f>IFERROR(E197/E446, "NA")</f>
        <v>NA</v>
      </c>
      <c r="G197" s="8"/>
      <c r="H197" s="17">
        <f>IFERROR(H175+H177+H178+H179+H180+H181+H183+H184+H186+H187+H188+H189+H190+H191+H192+H194+H195, "NA")</f>
        <v>0</v>
      </c>
      <c r="I197" s="18" t="str">
        <f>IFERROR(H197/H446, "NA")</f>
        <v>NA</v>
      </c>
      <c r="J197" s="8"/>
      <c r="K197" s="17">
        <f>IFERROR(K175+K177+K178+K179+K180+K181+K183+K184+K186+K187+K188+K189+K190+K191+K192+K194+K195, "NA")</f>
        <v>0</v>
      </c>
      <c r="L197" s="18" t="str">
        <f>IFERROR(K197/K446, "NA")</f>
        <v>NA</v>
      </c>
      <c r="M197" s="8"/>
      <c r="N197" s="17">
        <f>IFERROR(N175+N177+N178+N179+N180+N181+N183+N184+N186+N187+N188+N189+N190+N191+N192+N194+N195, "NA")</f>
        <v>0</v>
      </c>
      <c r="O197" s="18" t="str">
        <f>IFERROR(N197/N446, "NA")</f>
        <v>NA</v>
      </c>
      <c r="P197" s="8"/>
      <c r="Q197" s="17">
        <f>IFERROR(Q175+Q177+Q178+Q179+Q180+Q181+Q183+Q184+Q186+Q187+Q188+Q189+Q190+Q191+Q192+Q194+Q195, "NA")</f>
        <v>0</v>
      </c>
      <c r="R197" s="18" t="str">
        <f>IFERROR(Q197/Q446, "NA")</f>
        <v>NA</v>
      </c>
      <c r="S197" s="8"/>
      <c r="T197" s="17">
        <f>IFERROR(T175+T177+T178+T179+T180+T181+T183+T184+T186+T187+T188+T189+T190+T191+T192+T194+T195, "NA")</f>
        <v>0</v>
      </c>
      <c r="U197" s="18" t="str">
        <f>IFERROR(T197/T446, "NA")</f>
        <v>NA</v>
      </c>
      <c r="V197" s="8"/>
      <c r="W197" s="17">
        <f>IFERROR(W175+W177+W178+W179+W180+W181+W183+W184+W186+W187+W188+W189+W190+W191+W192+W194+W195, "NA")</f>
        <v>0</v>
      </c>
      <c r="X197" s="18" t="str">
        <f>IFERROR(W197/W446, "NA")</f>
        <v>NA</v>
      </c>
      <c r="Y197" s="8"/>
      <c r="Z197" s="17">
        <f>IFERROR(Z175+Z177+Z178+Z179+Z180+Z181+Z183+Z184+Z186+Z187+Z188+Z189+Z190+Z191+Z192+Z194+Z195, "NA")</f>
        <v>0</v>
      </c>
      <c r="AA197" s="18" t="str">
        <f>IFERROR(Z197/Z446, "NA")</f>
        <v>NA</v>
      </c>
      <c r="AB197" s="8"/>
      <c r="AC197" s="17">
        <f>IFERROR(AC175+AC177+AC178+AC179+AC180+AC181+AC183+AC184+AC186+AC187+AC188+AC189+AC190+AC191+AC192+AC194+AC195, "NA")</f>
        <v>0</v>
      </c>
      <c r="AD197" s="18" t="str">
        <f>IFERROR(AC197/AC446, "NA")</f>
        <v>NA</v>
      </c>
      <c r="AE197" s="8"/>
      <c r="AF197" s="17">
        <f>IFERROR(AF175+AF177+AF178+AF179+AF180+AF181+AF183+AF184+AF186+AF187+AF188+AF189+AF190+AF191+AF192+AF194+AF195, "NA")</f>
        <v>0</v>
      </c>
      <c r="AG197" s="18" t="str">
        <f>IFERROR(AF197/AF446, "NA")</f>
        <v>NA</v>
      </c>
      <c r="AH197" s="8"/>
      <c r="AI197" s="17">
        <f>IFERROR(AI175+AI177+AI178+AI179+AI180+AI181+AI183+AI184+AI186+AI187+AI188+AI189+AI190+AI191+AI192+AI194+AI195, "NA")</f>
        <v>0</v>
      </c>
      <c r="AJ197" s="18" t="str">
        <f>IFERROR(AI197/AI446, "NA")</f>
        <v>NA</v>
      </c>
      <c r="AK197" s="8"/>
      <c r="AL197" s="17">
        <f t="shared" si="27"/>
        <v>0</v>
      </c>
      <c r="AM197" s="18" t="str">
        <f>IFERROR(AL197/AL446, "NA")</f>
        <v>NA</v>
      </c>
      <c r="AN197" s="8"/>
      <c r="AO197" s="17">
        <f>IFERROR(AO175+AO177+AO178+AO179+AO180+AO181+AO183+AO184+AO186+AO187+AO188+AO189+AO190+AO191+AO192+AO194+AO195, "NA")</f>
        <v>0</v>
      </c>
      <c r="AP197" s="18" t="str">
        <f>IFERROR(AO197/AO446, "NA")</f>
        <v>NA</v>
      </c>
      <c r="AQ197" s="8"/>
      <c r="AR197" s="17">
        <f t="shared" si="28"/>
        <v>0</v>
      </c>
    </row>
    <row r="198" ht="16.5" customHeight="1">
      <c r="A198" s="19" t="s">
        <v>184</v>
      </c>
      <c r="B198" s="20">
        <f>IFERROR(B172-B197, "NA")</f>
        <v>0</v>
      </c>
      <c r="C198" s="21" t="str">
        <f>IFERROR(B198/B446, "NA")</f>
        <v>NA</v>
      </c>
      <c r="D198" s="22"/>
      <c r="E198" s="20">
        <f>IFERROR(E172-E197, "NA")</f>
        <v>0</v>
      </c>
      <c r="F198" s="21" t="str">
        <f>IFERROR(E198/E446, "NA")</f>
        <v>NA</v>
      </c>
      <c r="G198" s="22"/>
      <c r="H198" s="20">
        <f>IFERROR(H172-H197, "NA")</f>
        <v>0</v>
      </c>
      <c r="I198" s="21" t="str">
        <f>IFERROR(H198/H446, "NA")</f>
        <v>NA</v>
      </c>
      <c r="J198" s="22"/>
      <c r="K198" s="20">
        <f>IFERROR(K172-K197, "NA")</f>
        <v>0</v>
      </c>
      <c r="L198" s="21" t="str">
        <f>IFERROR(K198/K446, "NA")</f>
        <v>NA</v>
      </c>
      <c r="M198" s="22"/>
      <c r="N198" s="20">
        <f>IFERROR(N172-N197, "NA")</f>
        <v>0</v>
      </c>
      <c r="O198" s="21" t="str">
        <f>IFERROR(N198/N446, "NA")</f>
        <v>NA</v>
      </c>
      <c r="P198" s="22"/>
      <c r="Q198" s="20">
        <f>IFERROR(Q172-Q197, "NA")</f>
        <v>0</v>
      </c>
      <c r="R198" s="21" t="str">
        <f>IFERROR(Q198/Q446, "NA")</f>
        <v>NA</v>
      </c>
      <c r="S198" s="22"/>
      <c r="T198" s="20">
        <f>IFERROR(T172-T197, "NA")</f>
        <v>0</v>
      </c>
      <c r="U198" s="21" t="str">
        <f>IFERROR(T198/T446, "NA")</f>
        <v>NA</v>
      </c>
      <c r="V198" s="22"/>
      <c r="W198" s="20">
        <f>IFERROR(W172-W197, "NA")</f>
        <v>0</v>
      </c>
      <c r="X198" s="21" t="str">
        <f>IFERROR(W198/W446, "NA")</f>
        <v>NA</v>
      </c>
      <c r="Y198" s="22"/>
      <c r="Z198" s="20">
        <f>IFERROR(Z172-Z197, "NA")</f>
        <v>0</v>
      </c>
      <c r="AA198" s="21" t="str">
        <f>IFERROR(Z198/Z446, "NA")</f>
        <v>NA</v>
      </c>
      <c r="AB198" s="22"/>
      <c r="AC198" s="20">
        <f>IFERROR(AC172-AC197, "NA")</f>
        <v>0</v>
      </c>
      <c r="AD198" s="21" t="str">
        <f>IFERROR(AC198/AC446, "NA")</f>
        <v>NA</v>
      </c>
      <c r="AE198" s="22"/>
      <c r="AF198" s="20">
        <f>IFERROR(AF172-AF197, "NA")</f>
        <v>0</v>
      </c>
      <c r="AG198" s="21" t="str">
        <f>IFERROR(AF198/AF446, "NA")</f>
        <v>NA</v>
      </c>
      <c r="AH198" s="22"/>
      <c r="AI198" s="20">
        <f>IFERROR(AI172-AI197, "NA")</f>
        <v>0</v>
      </c>
      <c r="AJ198" s="21" t="str">
        <f>IFERROR(AI198/AI446, "NA")</f>
        <v>NA</v>
      </c>
      <c r="AK198" s="22"/>
      <c r="AL198" s="20">
        <f t="shared" si="27"/>
        <v>0</v>
      </c>
      <c r="AM198" s="21" t="str">
        <f>IFERROR(AL198/AL446, "NA")</f>
        <v>NA</v>
      </c>
      <c r="AN198" s="22"/>
      <c r="AO198" s="20">
        <f>IFERROR(AO172-AO197, "NA")</f>
        <v>0</v>
      </c>
      <c r="AP198" s="21" t="str">
        <f>IFERROR(AO198/AO446, "NA")</f>
        <v>NA</v>
      </c>
      <c r="AQ198" s="22"/>
      <c r="AR198" s="20">
        <f t="shared" si="28"/>
        <v>0</v>
      </c>
    </row>
    <row r="199" ht="16.5" customHeight="1">
      <c r="A199" s="7" t="s">
        <v>185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  <c r="AE199" s="10"/>
      <c r="AF199" s="8"/>
      <c r="AG199" s="9"/>
      <c r="AH199" s="10"/>
      <c r="AI199" s="8"/>
      <c r="AJ199" s="9"/>
      <c r="AK199" s="8"/>
      <c r="AL199" s="8"/>
      <c r="AM199" s="9"/>
      <c r="AN199" s="8"/>
      <c r="AO199" s="8"/>
      <c r="AP199" s="9"/>
      <c r="AQ199" s="8"/>
      <c r="AR199" s="8"/>
    </row>
    <row r="200" ht="16.5" customHeight="1">
      <c r="A200" s="7" t="s">
        <v>186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  <c r="AE200" s="10"/>
      <c r="AF200" s="8"/>
      <c r="AG200" s="9"/>
      <c r="AH200" s="10"/>
      <c r="AI200" s="8"/>
      <c r="AJ200" s="9"/>
      <c r="AK200" s="8"/>
      <c r="AL200" s="8"/>
      <c r="AM200" s="9"/>
      <c r="AN200" s="8"/>
      <c r="AO200" s="8"/>
      <c r="AP200" s="9"/>
      <c r="AQ200" s="8"/>
      <c r="AR200" s="8"/>
    </row>
    <row r="201" ht="16.5" hidden="1" customHeight="1">
      <c r="A201" s="11" t="s">
        <v>585</v>
      </c>
      <c r="B201" s="12">
        <v>0.0</v>
      </c>
      <c r="C201" s="13" t="str">
        <f>IFERROR(B201/B446, "NA")</f>
        <v>NA</v>
      </c>
      <c r="D201" s="14"/>
      <c r="E201" s="12">
        <v>0.0</v>
      </c>
      <c r="F201" s="13" t="str">
        <f>IFERROR(E201/E446, "NA")</f>
        <v>NA</v>
      </c>
      <c r="G201" s="14"/>
      <c r="H201" s="12">
        <v>0.0</v>
      </c>
      <c r="I201" s="13" t="str">
        <f>IFERROR(H201/H446, "NA")</f>
        <v>NA</v>
      </c>
      <c r="J201" s="14"/>
      <c r="K201" s="12">
        <v>0.0</v>
      </c>
      <c r="L201" s="13" t="str">
        <f>IFERROR(K201/K446, "NA")</f>
        <v>NA</v>
      </c>
      <c r="M201" s="14"/>
      <c r="N201" s="12">
        <v>0.0</v>
      </c>
      <c r="O201" s="13" t="str">
        <f>IFERROR(N201/N446, "NA")</f>
        <v>NA</v>
      </c>
      <c r="P201" s="14"/>
      <c r="Q201" s="12">
        <v>0.0</v>
      </c>
      <c r="R201" s="13" t="str">
        <f>IFERROR(Q201/Q446, "NA")</f>
        <v>NA</v>
      </c>
      <c r="S201" s="14"/>
      <c r="T201" s="12">
        <v>0.0</v>
      </c>
      <c r="U201" s="13" t="str">
        <f>IFERROR(T201/T446, "NA")</f>
        <v>NA</v>
      </c>
      <c r="V201" s="14"/>
      <c r="W201" s="12">
        <v>0.0</v>
      </c>
      <c r="X201" s="13" t="str">
        <f>IFERROR(W201/W446, "NA")</f>
        <v>NA</v>
      </c>
      <c r="Y201" s="14"/>
      <c r="Z201" s="12">
        <v>0.0</v>
      </c>
      <c r="AA201" s="13" t="str">
        <f>IFERROR(Z201/Z446, "NA")</f>
        <v>NA</v>
      </c>
      <c r="AB201" s="14"/>
      <c r="AC201" s="12">
        <v>0.0</v>
      </c>
      <c r="AD201" s="13" t="str">
        <f>IFERROR(AC201/AC446, "NA")</f>
        <v>NA</v>
      </c>
      <c r="AE201" s="14"/>
      <c r="AF201" s="12">
        <v>0.0</v>
      </c>
      <c r="AG201" s="13" t="str">
        <f>IFERROR(AF201/AF446, "NA")</f>
        <v>NA</v>
      </c>
      <c r="AH201" s="14"/>
      <c r="AI201" s="12">
        <v>0.0</v>
      </c>
      <c r="AJ201" s="13" t="str">
        <f>IFERROR(AI201/AI446, "NA")</f>
        <v>NA</v>
      </c>
      <c r="AK201" s="12"/>
      <c r="AL201" s="15">
        <f t="shared" ref="AL201:AL209" si="29">IFERROR(B201+E201+H201+K201+N201+Q201+T201+W201+Z201+AC201+AF201+AI201, "NA")</f>
        <v>0</v>
      </c>
      <c r="AM201" s="13" t="str">
        <f>IFERROR(AL201/AL446, "NA")</f>
        <v>NA</v>
      </c>
      <c r="AN201" s="12"/>
      <c r="AO201" s="12">
        <v>0.0</v>
      </c>
      <c r="AP201" s="13" t="str">
        <f>IFERROR(AO201/AO446, "NA")</f>
        <v>NA</v>
      </c>
      <c r="AQ201" s="12"/>
      <c r="AR201" s="15">
        <f t="shared" ref="AR201:AR209" si="30">IFERROR(AL201-AO201, "NA")</f>
        <v>0</v>
      </c>
    </row>
    <row r="202" ht="16.5" hidden="1" customHeight="1">
      <c r="A202" s="11" t="s">
        <v>586</v>
      </c>
      <c r="B202" s="12">
        <v>0.0</v>
      </c>
      <c r="C202" s="13" t="str">
        <f>IFERROR(B202/B446, "NA")</f>
        <v>NA</v>
      </c>
      <c r="D202" s="14"/>
      <c r="E202" s="12">
        <v>0.0</v>
      </c>
      <c r="F202" s="13" t="str">
        <f>IFERROR(E202/E446, "NA")</f>
        <v>NA</v>
      </c>
      <c r="G202" s="14"/>
      <c r="H202" s="12">
        <v>0.0</v>
      </c>
      <c r="I202" s="13" t="str">
        <f>IFERROR(H202/H446, "NA")</f>
        <v>NA</v>
      </c>
      <c r="J202" s="14"/>
      <c r="K202" s="12">
        <v>0.0</v>
      </c>
      <c r="L202" s="13" t="str">
        <f>IFERROR(K202/K446, "NA")</f>
        <v>NA</v>
      </c>
      <c r="M202" s="14"/>
      <c r="N202" s="12">
        <v>0.0</v>
      </c>
      <c r="O202" s="13" t="str">
        <f>IFERROR(N202/N446, "NA")</f>
        <v>NA</v>
      </c>
      <c r="P202" s="14"/>
      <c r="Q202" s="12">
        <v>0.0</v>
      </c>
      <c r="R202" s="13" t="str">
        <f>IFERROR(Q202/Q446, "NA")</f>
        <v>NA</v>
      </c>
      <c r="S202" s="14"/>
      <c r="T202" s="12">
        <v>0.0</v>
      </c>
      <c r="U202" s="13" t="str">
        <f>IFERROR(T202/T446, "NA")</f>
        <v>NA</v>
      </c>
      <c r="V202" s="14"/>
      <c r="W202" s="12">
        <v>0.0</v>
      </c>
      <c r="X202" s="13" t="str">
        <f>IFERROR(W202/W446, "NA")</f>
        <v>NA</v>
      </c>
      <c r="Y202" s="14"/>
      <c r="Z202" s="12">
        <v>0.0</v>
      </c>
      <c r="AA202" s="13" t="str">
        <f>IFERROR(Z202/Z446, "NA")</f>
        <v>NA</v>
      </c>
      <c r="AB202" s="14"/>
      <c r="AC202" s="12">
        <v>0.0</v>
      </c>
      <c r="AD202" s="13" t="str">
        <f>IFERROR(AC202/AC446, "NA")</f>
        <v>NA</v>
      </c>
      <c r="AE202" s="14"/>
      <c r="AF202" s="12">
        <v>0.0</v>
      </c>
      <c r="AG202" s="13" t="str">
        <f>IFERROR(AF202/AF446, "NA")</f>
        <v>NA</v>
      </c>
      <c r="AH202" s="14"/>
      <c r="AI202" s="12">
        <v>0.0</v>
      </c>
      <c r="AJ202" s="13" t="str">
        <f>IFERROR(AI202/AI446, "NA")</f>
        <v>NA</v>
      </c>
      <c r="AK202" s="12"/>
      <c r="AL202" s="15">
        <f t="shared" si="29"/>
        <v>0</v>
      </c>
      <c r="AM202" s="13" t="str">
        <f>IFERROR(AL202/AL446, "NA")</f>
        <v>NA</v>
      </c>
      <c r="AN202" s="12"/>
      <c r="AO202" s="12">
        <v>0.0</v>
      </c>
      <c r="AP202" s="13" t="str">
        <f>IFERROR(AO202/AO446, "NA")</f>
        <v>NA</v>
      </c>
      <c r="AQ202" s="12"/>
      <c r="AR202" s="15">
        <f t="shared" si="30"/>
        <v>0</v>
      </c>
    </row>
    <row r="203" ht="16.5" hidden="1" customHeight="1">
      <c r="A203" s="11" t="s">
        <v>587</v>
      </c>
      <c r="B203" s="12">
        <v>0.0</v>
      </c>
      <c r="C203" s="13" t="str">
        <f>IFERROR(B203/B446, "NA")</f>
        <v>NA</v>
      </c>
      <c r="D203" s="14"/>
      <c r="E203" s="12">
        <v>0.0</v>
      </c>
      <c r="F203" s="13" t="str">
        <f>IFERROR(E203/E446, "NA")</f>
        <v>NA</v>
      </c>
      <c r="G203" s="14"/>
      <c r="H203" s="12">
        <v>0.0</v>
      </c>
      <c r="I203" s="13" t="str">
        <f>IFERROR(H203/H446, "NA")</f>
        <v>NA</v>
      </c>
      <c r="J203" s="14"/>
      <c r="K203" s="12">
        <v>0.0</v>
      </c>
      <c r="L203" s="13" t="str">
        <f>IFERROR(K203/K446, "NA")</f>
        <v>NA</v>
      </c>
      <c r="M203" s="14"/>
      <c r="N203" s="12">
        <v>0.0</v>
      </c>
      <c r="O203" s="13" t="str">
        <f>IFERROR(N203/N446, "NA")</f>
        <v>NA</v>
      </c>
      <c r="P203" s="14"/>
      <c r="Q203" s="12">
        <v>0.0</v>
      </c>
      <c r="R203" s="13" t="str">
        <f>IFERROR(Q203/Q446, "NA")</f>
        <v>NA</v>
      </c>
      <c r="S203" s="14"/>
      <c r="T203" s="12">
        <v>0.0</v>
      </c>
      <c r="U203" s="13" t="str">
        <f>IFERROR(T203/T446, "NA")</f>
        <v>NA</v>
      </c>
      <c r="V203" s="14"/>
      <c r="W203" s="12">
        <v>0.0</v>
      </c>
      <c r="X203" s="13" t="str">
        <f>IFERROR(W203/W446, "NA")</f>
        <v>NA</v>
      </c>
      <c r="Y203" s="14"/>
      <c r="Z203" s="12">
        <v>0.0</v>
      </c>
      <c r="AA203" s="13" t="str">
        <f>IFERROR(Z203/Z446, "NA")</f>
        <v>NA</v>
      </c>
      <c r="AB203" s="14"/>
      <c r="AC203" s="12">
        <v>0.0</v>
      </c>
      <c r="AD203" s="13" t="str">
        <f>IFERROR(AC203/AC446, "NA")</f>
        <v>NA</v>
      </c>
      <c r="AE203" s="14"/>
      <c r="AF203" s="12">
        <v>0.0</v>
      </c>
      <c r="AG203" s="13" t="str">
        <f>IFERROR(AF203/AF446, "NA")</f>
        <v>NA</v>
      </c>
      <c r="AH203" s="14"/>
      <c r="AI203" s="12">
        <v>0.0</v>
      </c>
      <c r="AJ203" s="13" t="str">
        <f>IFERROR(AI203/AI446, "NA")</f>
        <v>NA</v>
      </c>
      <c r="AK203" s="12"/>
      <c r="AL203" s="15">
        <f t="shared" si="29"/>
        <v>0</v>
      </c>
      <c r="AM203" s="13" t="str">
        <f>IFERROR(AL203/AL446, "NA")</f>
        <v>NA</v>
      </c>
      <c r="AN203" s="12"/>
      <c r="AO203" s="12">
        <v>0.0</v>
      </c>
      <c r="AP203" s="13" t="str">
        <f>IFERROR(AO203/AO446, "NA")</f>
        <v>NA</v>
      </c>
      <c r="AQ203" s="12"/>
      <c r="AR203" s="15">
        <f t="shared" si="30"/>
        <v>0</v>
      </c>
    </row>
    <row r="204" ht="16.5" hidden="1" customHeight="1">
      <c r="A204" s="11" t="s">
        <v>588</v>
      </c>
      <c r="B204" s="12">
        <v>0.0</v>
      </c>
      <c r="C204" s="13" t="str">
        <f>IFERROR(B204/B446, "NA")</f>
        <v>NA</v>
      </c>
      <c r="D204" s="14"/>
      <c r="E204" s="12">
        <v>0.0</v>
      </c>
      <c r="F204" s="13" t="str">
        <f>IFERROR(E204/E446, "NA")</f>
        <v>NA</v>
      </c>
      <c r="G204" s="14"/>
      <c r="H204" s="12">
        <v>0.0</v>
      </c>
      <c r="I204" s="13" t="str">
        <f>IFERROR(H204/H446, "NA")</f>
        <v>NA</v>
      </c>
      <c r="J204" s="14"/>
      <c r="K204" s="12">
        <v>0.0</v>
      </c>
      <c r="L204" s="13" t="str">
        <f>IFERROR(K204/K446, "NA")</f>
        <v>NA</v>
      </c>
      <c r="M204" s="14"/>
      <c r="N204" s="12">
        <v>0.0</v>
      </c>
      <c r="O204" s="13" t="str">
        <f>IFERROR(N204/N446, "NA")</f>
        <v>NA</v>
      </c>
      <c r="P204" s="14"/>
      <c r="Q204" s="12">
        <v>0.0</v>
      </c>
      <c r="R204" s="13" t="str">
        <f>IFERROR(Q204/Q446, "NA")</f>
        <v>NA</v>
      </c>
      <c r="S204" s="14"/>
      <c r="T204" s="12">
        <v>0.0</v>
      </c>
      <c r="U204" s="13" t="str">
        <f>IFERROR(T204/T446, "NA")</f>
        <v>NA</v>
      </c>
      <c r="V204" s="14"/>
      <c r="W204" s="12">
        <v>0.0</v>
      </c>
      <c r="X204" s="13" t="str">
        <f>IFERROR(W204/W446, "NA")</f>
        <v>NA</v>
      </c>
      <c r="Y204" s="14"/>
      <c r="Z204" s="12">
        <v>0.0</v>
      </c>
      <c r="AA204" s="13" t="str">
        <f>IFERROR(Z204/Z446, "NA")</f>
        <v>NA</v>
      </c>
      <c r="AB204" s="14"/>
      <c r="AC204" s="12">
        <v>0.0</v>
      </c>
      <c r="AD204" s="13" t="str">
        <f>IFERROR(AC204/AC446, "NA")</f>
        <v>NA</v>
      </c>
      <c r="AE204" s="14"/>
      <c r="AF204" s="12">
        <v>0.0</v>
      </c>
      <c r="AG204" s="13" t="str">
        <f>IFERROR(AF204/AF446, "NA")</f>
        <v>NA</v>
      </c>
      <c r="AH204" s="14"/>
      <c r="AI204" s="12">
        <v>0.0</v>
      </c>
      <c r="AJ204" s="13" t="str">
        <f>IFERROR(AI204/AI446, "NA")</f>
        <v>NA</v>
      </c>
      <c r="AK204" s="12"/>
      <c r="AL204" s="15">
        <f t="shared" si="29"/>
        <v>0</v>
      </c>
      <c r="AM204" s="13" t="str">
        <f>IFERROR(AL204/AL446, "NA")</f>
        <v>NA</v>
      </c>
      <c r="AN204" s="12"/>
      <c r="AO204" s="12">
        <v>0.0</v>
      </c>
      <c r="AP204" s="13" t="str">
        <f>IFERROR(AO204/AO446, "NA")</f>
        <v>NA</v>
      </c>
      <c r="AQ204" s="12"/>
      <c r="AR204" s="15">
        <f t="shared" si="30"/>
        <v>0</v>
      </c>
    </row>
    <row r="205" ht="16.5" hidden="1" customHeight="1">
      <c r="A205" s="11" t="s">
        <v>589</v>
      </c>
      <c r="B205" s="12">
        <v>0.0</v>
      </c>
      <c r="C205" s="13" t="str">
        <f>IFERROR(B205/B446, "NA")</f>
        <v>NA</v>
      </c>
      <c r="D205" s="14"/>
      <c r="E205" s="12">
        <v>0.0</v>
      </c>
      <c r="F205" s="13" t="str">
        <f>IFERROR(E205/E446, "NA")</f>
        <v>NA</v>
      </c>
      <c r="G205" s="14"/>
      <c r="H205" s="12">
        <v>0.0</v>
      </c>
      <c r="I205" s="13" t="str">
        <f>IFERROR(H205/H446, "NA")</f>
        <v>NA</v>
      </c>
      <c r="J205" s="14"/>
      <c r="K205" s="12">
        <v>0.0</v>
      </c>
      <c r="L205" s="13" t="str">
        <f>IFERROR(K205/K446, "NA")</f>
        <v>NA</v>
      </c>
      <c r="M205" s="14"/>
      <c r="N205" s="12">
        <v>0.0</v>
      </c>
      <c r="O205" s="13" t="str">
        <f>IFERROR(N205/N446, "NA")</f>
        <v>NA</v>
      </c>
      <c r="P205" s="14"/>
      <c r="Q205" s="12">
        <v>0.0</v>
      </c>
      <c r="R205" s="13" t="str">
        <f>IFERROR(Q205/Q446, "NA")</f>
        <v>NA</v>
      </c>
      <c r="S205" s="14"/>
      <c r="T205" s="12">
        <v>0.0</v>
      </c>
      <c r="U205" s="13" t="str">
        <f>IFERROR(T205/T446, "NA")</f>
        <v>NA</v>
      </c>
      <c r="V205" s="14"/>
      <c r="W205" s="12">
        <v>0.0</v>
      </c>
      <c r="X205" s="13" t="str">
        <f>IFERROR(W205/W446, "NA")</f>
        <v>NA</v>
      </c>
      <c r="Y205" s="14"/>
      <c r="Z205" s="12">
        <v>0.0</v>
      </c>
      <c r="AA205" s="13" t="str">
        <f>IFERROR(Z205/Z446, "NA")</f>
        <v>NA</v>
      </c>
      <c r="AB205" s="14"/>
      <c r="AC205" s="12">
        <v>0.0</v>
      </c>
      <c r="AD205" s="13" t="str">
        <f>IFERROR(AC205/AC446, "NA")</f>
        <v>NA</v>
      </c>
      <c r="AE205" s="14"/>
      <c r="AF205" s="12">
        <v>0.0</v>
      </c>
      <c r="AG205" s="13" t="str">
        <f>IFERROR(AF205/AF446, "NA")</f>
        <v>NA</v>
      </c>
      <c r="AH205" s="14"/>
      <c r="AI205" s="12">
        <v>0.0</v>
      </c>
      <c r="AJ205" s="13" t="str">
        <f>IFERROR(AI205/AI446, "NA")</f>
        <v>NA</v>
      </c>
      <c r="AK205" s="12"/>
      <c r="AL205" s="15">
        <f t="shared" si="29"/>
        <v>0</v>
      </c>
      <c r="AM205" s="13" t="str">
        <f>IFERROR(AL205/AL446, "NA")</f>
        <v>NA</v>
      </c>
      <c r="AN205" s="12"/>
      <c r="AO205" s="12">
        <v>0.0</v>
      </c>
      <c r="AP205" s="13" t="str">
        <f>IFERROR(AO205/AO446, "NA")</f>
        <v>NA</v>
      </c>
      <c r="AQ205" s="12"/>
      <c r="AR205" s="15">
        <f t="shared" si="30"/>
        <v>0</v>
      </c>
    </row>
    <row r="206" ht="16.5" hidden="1" customHeight="1">
      <c r="A206" s="11" t="s">
        <v>590</v>
      </c>
      <c r="B206" s="12">
        <v>0.0</v>
      </c>
      <c r="C206" s="13" t="str">
        <f>IFERROR(B206/B446, "NA")</f>
        <v>NA</v>
      </c>
      <c r="D206" s="14"/>
      <c r="E206" s="12">
        <v>0.0</v>
      </c>
      <c r="F206" s="13" t="str">
        <f>IFERROR(E206/E446, "NA")</f>
        <v>NA</v>
      </c>
      <c r="G206" s="14"/>
      <c r="H206" s="12">
        <v>0.0</v>
      </c>
      <c r="I206" s="13" t="str">
        <f>IFERROR(H206/H446, "NA")</f>
        <v>NA</v>
      </c>
      <c r="J206" s="14"/>
      <c r="K206" s="12">
        <v>0.0</v>
      </c>
      <c r="L206" s="13" t="str">
        <f>IFERROR(K206/K446, "NA")</f>
        <v>NA</v>
      </c>
      <c r="M206" s="14"/>
      <c r="N206" s="12">
        <v>0.0</v>
      </c>
      <c r="O206" s="13" t="str">
        <f>IFERROR(N206/N446, "NA")</f>
        <v>NA</v>
      </c>
      <c r="P206" s="14"/>
      <c r="Q206" s="12">
        <v>0.0</v>
      </c>
      <c r="R206" s="13" t="str">
        <f>IFERROR(Q206/Q446, "NA")</f>
        <v>NA</v>
      </c>
      <c r="S206" s="14"/>
      <c r="T206" s="12">
        <v>0.0</v>
      </c>
      <c r="U206" s="13" t="str">
        <f>IFERROR(T206/T446, "NA")</f>
        <v>NA</v>
      </c>
      <c r="V206" s="14"/>
      <c r="W206" s="12">
        <v>0.0</v>
      </c>
      <c r="X206" s="13" t="str">
        <f>IFERROR(W206/W446, "NA")</f>
        <v>NA</v>
      </c>
      <c r="Y206" s="14"/>
      <c r="Z206" s="12">
        <v>0.0</v>
      </c>
      <c r="AA206" s="13" t="str">
        <f>IFERROR(Z206/Z446, "NA")</f>
        <v>NA</v>
      </c>
      <c r="AB206" s="14"/>
      <c r="AC206" s="12">
        <v>0.0</v>
      </c>
      <c r="AD206" s="13" t="str">
        <f>IFERROR(AC206/AC446, "NA")</f>
        <v>NA</v>
      </c>
      <c r="AE206" s="14"/>
      <c r="AF206" s="12">
        <v>0.0</v>
      </c>
      <c r="AG206" s="13" t="str">
        <f>IFERROR(AF206/AF446, "NA")</f>
        <v>NA</v>
      </c>
      <c r="AH206" s="14"/>
      <c r="AI206" s="12">
        <v>0.0</v>
      </c>
      <c r="AJ206" s="13" t="str">
        <f>IFERROR(AI206/AI446, "NA")</f>
        <v>NA</v>
      </c>
      <c r="AK206" s="12"/>
      <c r="AL206" s="15">
        <f t="shared" si="29"/>
        <v>0</v>
      </c>
      <c r="AM206" s="13" t="str">
        <f>IFERROR(AL206/AL446, "NA")</f>
        <v>NA</v>
      </c>
      <c r="AN206" s="12"/>
      <c r="AO206" s="12">
        <v>0.0</v>
      </c>
      <c r="AP206" s="13" t="str">
        <f>IFERROR(AO206/AO446, "NA")</f>
        <v>NA</v>
      </c>
      <c r="AQ206" s="12"/>
      <c r="AR206" s="15">
        <f t="shared" si="30"/>
        <v>0</v>
      </c>
    </row>
    <row r="207" ht="16.5" hidden="1" customHeight="1">
      <c r="A207" s="11" t="s">
        <v>591</v>
      </c>
      <c r="B207" s="12">
        <v>0.0</v>
      </c>
      <c r="C207" s="13" t="str">
        <f>IFERROR(B207/B446, "NA")</f>
        <v>NA</v>
      </c>
      <c r="D207" s="14"/>
      <c r="E207" s="12">
        <v>0.0</v>
      </c>
      <c r="F207" s="13" t="str">
        <f>IFERROR(E207/E446, "NA")</f>
        <v>NA</v>
      </c>
      <c r="G207" s="14"/>
      <c r="H207" s="12">
        <v>0.0</v>
      </c>
      <c r="I207" s="13" t="str">
        <f>IFERROR(H207/H446, "NA")</f>
        <v>NA</v>
      </c>
      <c r="J207" s="14"/>
      <c r="K207" s="12">
        <v>0.0</v>
      </c>
      <c r="L207" s="13" t="str">
        <f>IFERROR(K207/K446, "NA")</f>
        <v>NA</v>
      </c>
      <c r="M207" s="14"/>
      <c r="N207" s="12">
        <v>0.0</v>
      </c>
      <c r="O207" s="13" t="str">
        <f>IFERROR(N207/N446, "NA")</f>
        <v>NA</v>
      </c>
      <c r="P207" s="14"/>
      <c r="Q207" s="12">
        <v>0.0</v>
      </c>
      <c r="R207" s="13" t="str">
        <f>IFERROR(Q207/Q446, "NA")</f>
        <v>NA</v>
      </c>
      <c r="S207" s="14"/>
      <c r="T207" s="12">
        <v>0.0</v>
      </c>
      <c r="U207" s="13" t="str">
        <f>IFERROR(T207/T446, "NA")</f>
        <v>NA</v>
      </c>
      <c r="V207" s="14"/>
      <c r="W207" s="12">
        <v>0.0</v>
      </c>
      <c r="X207" s="13" t="str">
        <f>IFERROR(W207/W446, "NA")</f>
        <v>NA</v>
      </c>
      <c r="Y207" s="14"/>
      <c r="Z207" s="12">
        <v>0.0</v>
      </c>
      <c r="AA207" s="13" t="str">
        <f>IFERROR(Z207/Z446, "NA")</f>
        <v>NA</v>
      </c>
      <c r="AB207" s="14"/>
      <c r="AC207" s="12">
        <v>0.0</v>
      </c>
      <c r="AD207" s="13" t="str">
        <f>IFERROR(AC207/AC446, "NA")</f>
        <v>NA</v>
      </c>
      <c r="AE207" s="14"/>
      <c r="AF207" s="12">
        <v>0.0</v>
      </c>
      <c r="AG207" s="13" t="str">
        <f>IFERROR(AF207/AF446, "NA")</f>
        <v>NA</v>
      </c>
      <c r="AH207" s="14"/>
      <c r="AI207" s="12">
        <v>0.0</v>
      </c>
      <c r="AJ207" s="13" t="str">
        <f>IFERROR(AI207/AI446, "NA")</f>
        <v>NA</v>
      </c>
      <c r="AK207" s="12"/>
      <c r="AL207" s="15">
        <f t="shared" si="29"/>
        <v>0</v>
      </c>
      <c r="AM207" s="13" t="str">
        <f>IFERROR(AL207/AL446, "NA")</f>
        <v>NA</v>
      </c>
      <c r="AN207" s="12"/>
      <c r="AO207" s="12">
        <v>0.0</v>
      </c>
      <c r="AP207" s="13" t="str">
        <f>IFERROR(AO207/AO446, "NA")</f>
        <v>NA</v>
      </c>
      <c r="AQ207" s="12"/>
      <c r="AR207" s="15">
        <f t="shared" si="30"/>
        <v>0</v>
      </c>
    </row>
    <row r="208" ht="16.5" hidden="1" customHeight="1">
      <c r="A208" s="11" t="s">
        <v>592</v>
      </c>
      <c r="B208" s="12">
        <v>0.0</v>
      </c>
      <c r="C208" s="13" t="str">
        <f>IFERROR(B208/B446, "NA")</f>
        <v>NA</v>
      </c>
      <c r="D208" s="14"/>
      <c r="E208" s="12">
        <v>0.0</v>
      </c>
      <c r="F208" s="13" t="str">
        <f>IFERROR(E208/E446, "NA")</f>
        <v>NA</v>
      </c>
      <c r="G208" s="14"/>
      <c r="H208" s="12">
        <v>0.0</v>
      </c>
      <c r="I208" s="13" t="str">
        <f>IFERROR(H208/H446, "NA")</f>
        <v>NA</v>
      </c>
      <c r="J208" s="14"/>
      <c r="K208" s="12">
        <v>0.0</v>
      </c>
      <c r="L208" s="13" t="str">
        <f>IFERROR(K208/K446, "NA")</f>
        <v>NA</v>
      </c>
      <c r="M208" s="14"/>
      <c r="N208" s="12">
        <v>0.0</v>
      </c>
      <c r="O208" s="13" t="str">
        <f>IFERROR(N208/N446, "NA")</f>
        <v>NA</v>
      </c>
      <c r="P208" s="14"/>
      <c r="Q208" s="12">
        <v>0.0</v>
      </c>
      <c r="R208" s="13" t="str">
        <f>IFERROR(Q208/Q446, "NA")</f>
        <v>NA</v>
      </c>
      <c r="S208" s="14"/>
      <c r="T208" s="12">
        <v>0.0</v>
      </c>
      <c r="U208" s="13" t="str">
        <f>IFERROR(T208/T446, "NA")</f>
        <v>NA</v>
      </c>
      <c r="V208" s="14"/>
      <c r="W208" s="12">
        <v>0.0</v>
      </c>
      <c r="X208" s="13" t="str">
        <f>IFERROR(W208/W446, "NA")</f>
        <v>NA</v>
      </c>
      <c r="Y208" s="14"/>
      <c r="Z208" s="12">
        <v>0.0</v>
      </c>
      <c r="AA208" s="13" t="str">
        <f>IFERROR(Z208/Z446, "NA")</f>
        <v>NA</v>
      </c>
      <c r="AB208" s="14"/>
      <c r="AC208" s="12">
        <v>0.0</v>
      </c>
      <c r="AD208" s="13" t="str">
        <f>IFERROR(AC208/AC446, "NA")</f>
        <v>NA</v>
      </c>
      <c r="AE208" s="14"/>
      <c r="AF208" s="12">
        <v>0.0</v>
      </c>
      <c r="AG208" s="13" t="str">
        <f>IFERROR(AF208/AF446, "NA")</f>
        <v>NA</v>
      </c>
      <c r="AH208" s="14"/>
      <c r="AI208" s="12">
        <v>0.0</v>
      </c>
      <c r="AJ208" s="13" t="str">
        <f>IFERROR(AI208/AI446, "NA")</f>
        <v>NA</v>
      </c>
      <c r="AK208" s="12"/>
      <c r="AL208" s="15">
        <f t="shared" si="29"/>
        <v>0</v>
      </c>
      <c r="AM208" s="13" t="str">
        <f>IFERROR(AL208/AL446, "NA")</f>
        <v>NA</v>
      </c>
      <c r="AN208" s="12"/>
      <c r="AO208" s="12">
        <v>0.0</v>
      </c>
      <c r="AP208" s="13" t="str">
        <f>IFERROR(AO208/AO446, "NA")</f>
        <v>NA</v>
      </c>
      <c r="AQ208" s="12"/>
      <c r="AR208" s="15">
        <f t="shared" si="30"/>
        <v>0</v>
      </c>
    </row>
    <row r="209" ht="16.5" customHeight="1">
      <c r="A209" s="16" t="s">
        <v>194</v>
      </c>
      <c r="B209" s="17">
        <f>IFERROR(B201+B202+B203+B204+B205+B206+B207+B208, "NA")</f>
        <v>0</v>
      </c>
      <c r="C209" s="18" t="str">
        <f>IFERROR(B209/B446, "NA")</f>
        <v>NA</v>
      </c>
      <c r="D209" s="8"/>
      <c r="E209" s="17">
        <f>IFERROR(E201+E202+E203+E204+E205+E206+E207+E208, "NA")</f>
        <v>0</v>
      </c>
      <c r="F209" s="18" t="str">
        <f>IFERROR(E209/E446, "NA")</f>
        <v>NA</v>
      </c>
      <c r="G209" s="8"/>
      <c r="H209" s="17">
        <f>IFERROR(H201+H202+H203+H204+H205+H206+H207+H208, "NA")</f>
        <v>0</v>
      </c>
      <c r="I209" s="18" t="str">
        <f>IFERROR(H209/H446, "NA")</f>
        <v>NA</v>
      </c>
      <c r="J209" s="8"/>
      <c r="K209" s="17">
        <f>IFERROR(K201+K202+K203+K204+K205+K206+K207+K208, "NA")</f>
        <v>0</v>
      </c>
      <c r="L209" s="18" t="str">
        <f>IFERROR(K209/K446, "NA")</f>
        <v>NA</v>
      </c>
      <c r="M209" s="8"/>
      <c r="N209" s="17">
        <f>IFERROR(N201+N202+N203+N204+N205+N206+N207+N208, "NA")</f>
        <v>0</v>
      </c>
      <c r="O209" s="18" t="str">
        <f>IFERROR(N209/N446, "NA")</f>
        <v>NA</v>
      </c>
      <c r="P209" s="8"/>
      <c r="Q209" s="17">
        <f>IFERROR(Q201+Q202+Q203+Q204+Q205+Q206+Q207+Q208, "NA")</f>
        <v>0</v>
      </c>
      <c r="R209" s="18" t="str">
        <f>IFERROR(Q209/Q446, "NA")</f>
        <v>NA</v>
      </c>
      <c r="S209" s="8"/>
      <c r="T209" s="17">
        <f>IFERROR(T201+T202+T203+T204+T205+T206+T207+T208, "NA")</f>
        <v>0</v>
      </c>
      <c r="U209" s="18" t="str">
        <f>IFERROR(T209/T446, "NA")</f>
        <v>NA</v>
      </c>
      <c r="V209" s="8"/>
      <c r="W209" s="17">
        <f>IFERROR(W201+W202+W203+W204+W205+W206+W207+W208, "NA")</f>
        <v>0</v>
      </c>
      <c r="X209" s="18" t="str">
        <f>IFERROR(W209/W446, "NA")</f>
        <v>NA</v>
      </c>
      <c r="Y209" s="8"/>
      <c r="Z209" s="17">
        <f>IFERROR(Z201+Z202+Z203+Z204+Z205+Z206+Z207+Z208, "NA")</f>
        <v>0</v>
      </c>
      <c r="AA209" s="18" t="str">
        <f>IFERROR(Z209/Z446, "NA")</f>
        <v>NA</v>
      </c>
      <c r="AB209" s="8"/>
      <c r="AC209" s="17">
        <f>IFERROR(AC201+AC202+AC203+AC204+AC205+AC206+AC207+AC208, "NA")</f>
        <v>0</v>
      </c>
      <c r="AD209" s="18" t="str">
        <f>IFERROR(AC209/AC446, "NA")</f>
        <v>NA</v>
      </c>
      <c r="AE209" s="8"/>
      <c r="AF209" s="17">
        <f>IFERROR(AF201+AF202+AF203+AF204+AF205+AF206+AF207+AF208, "NA")</f>
        <v>0</v>
      </c>
      <c r="AG209" s="18" t="str">
        <f>IFERROR(AF209/AF446, "NA")</f>
        <v>NA</v>
      </c>
      <c r="AH209" s="8"/>
      <c r="AI209" s="17">
        <f>IFERROR(AI201+AI202+AI203+AI204+AI205+AI206+AI207+AI208, "NA")</f>
        <v>0</v>
      </c>
      <c r="AJ209" s="18" t="str">
        <f>IFERROR(AI209/AI446, "NA")</f>
        <v>NA</v>
      </c>
      <c r="AK209" s="8"/>
      <c r="AL209" s="17">
        <f t="shared" si="29"/>
        <v>0</v>
      </c>
      <c r="AM209" s="18" t="str">
        <f>IFERROR(AL209/AL446, "NA")</f>
        <v>NA</v>
      </c>
      <c r="AN209" s="8"/>
      <c r="AO209" s="17">
        <f>IFERROR(AO201+AO202+AO203+AO204+AO205+AO206+AO207+AO208, "NA")</f>
        <v>0</v>
      </c>
      <c r="AP209" s="18" t="str">
        <f>IFERROR(AO209/AO446, "NA")</f>
        <v>NA</v>
      </c>
      <c r="AQ209" s="8"/>
      <c r="AR209" s="17">
        <f t="shared" si="30"/>
        <v>0</v>
      </c>
    </row>
    <row r="210" ht="16.5" customHeight="1">
      <c r="A210" s="7" t="s">
        <v>195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  <c r="AE210" s="10"/>
      <c r="AF210" s="8"/>
      <c r="AG210" s="9"/>
      <c r="AH210" s="10"/>
      <c r="AI210" s="8"/>
      <c r="AJ210" s="9"/>
      <c r="AK210" s="8"/>
      <c r="AL210" s="8"/>
      <c r="AM210" s="9"/>
      <c r="AN210" s="8"/>
      <c r="AO210" s="8"/>
      <c r="AP210" s="9"/>
      <c r="AQ210" s="8"/>
      <c r="AR210" s="8"/>
    </row>
    <row r="211" ht="16.5" hidden="1" customHeight="1">
      <c r="A211" s="11" t="s">
        <v>593</v>
      </c>
      <c r="B211" s="12">
        <v>0.0</v>
      </c>
      <c r="C211" s="13" t="str">
        <f>IFERROR(B211/B446, "NA")</f>
        <v>NA</v>
      </c>
      <c r="D211" s="14"/>
      <c r="E211" s="12">
        <v>0.0</v>
      </c>
      <c r="F211" s="13" t="str">
        <f>IFERROR(E211/E446, "NA")</f>
        <v>NA</v>
      </c>
      <c r="G211" s="14"/>
      <c r="H211" s="12">
        <v>0.0</v>
      </c>
      <c r="I211" s="13" t="str">
        <f>IFERROR(H211/H446, "NA")</f>
        <v>NA</v>
      </c>
      <c r="J211" s="14"/>
      <c r="K211" s="12">
        <v>0.0</v>
      </c>
      <c r="L211" s="13" t="str">
        <f>IFERROR(K211/K446, "NA")</f>
        <v>NA</v>
      </c>
      <c r="M211" s="14"/>
      <c r="N211" s="12">
        <v>0.0</v>
      </c>
      <c r="O211" s="13" t="str">
        <f>IFERROR(N211/N446, "NA")</f>
        <v>NA</v>
      </c>
      <c r="P211" s="14"/>
      <c r="Q211" s="12">
        <v>0.0</v>
      </c>
      <c r="R211" s="13" t="str">
        <f>IFERROR(Q211/Q446, "NA")</f>
        <v>NA</v>
      </c>
      <c r="S211" s="14"/>
      <c r="T211" s="12">
        <v>0.0</v>
      </c>
      <c r="U211" s="13" t="str">
        <f>IFERROR(T211/T446, "NA")</f>
        <v>NA</v>
      </c>
      <c r="V211" s="14"/>
      <c r="W211" s="12">
        <v>0.0</v>
      </c>
      <c r="X211" s="13" t="str">
        <f>IFERROR(W211/W446, "NA")</f>
        <v>NA</v>
      </c>
      <c r="Y211" s="14"/>
      <c r="Z211" s="12">
        <v>0.0</v>
      </c>
      <c r="AA211" s="13" t="str">
        <f>IFERROR(Z211/Z446, "NA")</f>
        <v>NA</v>
      </c>
      <c r="AB211" s="14"/>
      <c r="AC211" s="12">
        <v>0.0</v>
      </c>
      <c r="AD211" s="13" t="str">
        <f>IFERROR(AC211/AC446, "NA")</f>
        <v>NA</v>
      </c>
      <c r="AE211" s="14"/>
      <c r="AF211" s="12">
        <v>0.0</v>
      </c>
      <c r="AG211" s="13" t="str">
        <f>IFERROR(AF211/AF446, "NA")</f>
        <v>NA</v>
      </c>
      <c r="AH211" s="14"/>
      <c r="AI211" s="12">
        <v>0.0</v>
      </c>
      <c r="AJ211" s="13" t="str">
        <f>IFERROR(AI211/AI446, "NA")</f>
        <v>NA</v>
      </c>
      <c r="AK211" s="12"/>
      <c r="AL211" s="15">
        <f>IFERROR(B211+E211+H211+K211+N211+Q211+T211+W211+Z211+AC211+AF211+AI211, "NA")</f>
        <v>0</v>
      </c>
      <c r="AM211" s="13" t="str">
        <f>IFERROR(AL211/AL446, "NA")</f>
        <v>NA</v>
      </c>
      <c r="AN211" s="12"/>
      <c r="AO211" s="12">
        <v>0.0</v>
      </c>
      <c r="AP211" s="13" t="str">
        <f>IFERROR(AO211/AO446, "NA")</f>
        <v>NA</v>
      </c>
      <c r="AQ211" s="12"/>
      <c r="AR211" s="15">
        <f>IFERROR(AL211-AO211, "NA")</f>
        <v>0</v>
      </c>
    </row>
    <row r="212" ht="16.5" customHeight="1">
      <c r="A212" s="7" t="s">
        <v>196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  <c r="AE212" s="10"/>
      <c r="AF212" s="8"/>
      <c r="AG212" s="9"/>
      <c r="AH212" s="10"/>
      <c r="AI212" s="8"/>
      <c r="AJ212" s="9"/>
      <c r="AK212" s="8"/>
      <c r="AL212" s="8"/>
      <c r="AM212" s="9"/>
      <c r="AN212" s="8"/>
      <c r="AO212" s="8"/>
      <c r="AP212" s="9"/>
      <c r="AQ212" s="8"/>
      <c r="AR212" s="8"/>
    </row>
    <row r="213" ht="16.5" hidden="1" customHeight="1">
      <c r="A213" s="11" t="s">
        <v>594</v>
      </c>
      <c r="B213" s="12">
        <v>0.0</v>
      </c>
      <c r="C213" s="13" t="str">
        <f>IFERROR(B213/B446, "NA")</f>
        <v>NA</v>
      </c>
      <c r="D213" s="14"/>
      <c r="E213" s="12">
        <v>0.0</v>
      </c>
      <c r="F213" s="13" t="str">
        <f>IFERROR(E213/E446, "NA")</f>
        <v>NA</v>
      </c>
      <c r="G213" s="14"/>
      <c r="H213" s="12">
        <v>0.0</v>
      </c>
      <c r="I213" s="13" t="str">
        <f>IFERROR(H213/H446, "NA")</f>
        <v>NA</v>
      </c>
      <c r="J213" s="14"/>
      <c r="K213" s="12">
        <v>0.0</v>
      </c>
      <c r="L213" s="13" t="str">
        <f>IFERROR(K213/K446, "NA")</f>
        <v>NA</v>
      </c>
      <c r="M213" s="14"/>
      <c r="N213" s="12">
        <v>0.0</v>
      </c>
      <c r="O213" s="13" t="str">
        <f>IFERROR(N213/N446, "NA")</f>
        <v>NA</v>
      </c>
      <c r="P213" s="14"/>
      <c r="Q213" s="12">
        <v>0.0</v>
      </c>
      <c r="R213" s="13" t="str">
        <f>IFERROR(Q213/Q446, "NA")</f>
        <v>NA</v>
      </c>
      <c r="S213" s="14"/>
      <c r="T213" s="12">
        <v>0.0</v>
      </c>
      <c r="U213" s="13" t="str">
        <f>IFERROR(T213/T446, "NA")</f>
        <v>NA</v>
      </c>
      <c r="V213" s="14"/>
      <c r="W213" s="12">
        <v>0.0</v>
      </c>
      <c r="X213" s="13" t="str">
        <f>IFERROR(W213/W446, "NA")</f>
        <v>NA</v>
      </c>
      <c r="Y213" s="14"/>
      <c r="Z213" s="12">
        <v>0.0</v>
      </c>
      <c r="AA213" s="13" t="str">
        <f>IFERROR(Z213/Z446, "NA")</f>
        <v>NA</v>
      </c>
      <c r="AB213" s="14"/>
      <c r="AC213" s="12">
        <v>0.0</v>
      </c>
      <c r="AD213" s="13" t="str">
        <f>IFERROR(AC213/AC446, "NA")</f>
        <v>NA</v>
      </c>
      <c r="AE213" s="14"/>
      <c r="AF213" s="12">
        <v>0.0</v>
      </c>
      <c r="AG213" s="13" t="str">
        <f>IFERROR(AF213/AF446, "NA")</f>
        <v>NA</v>
      </c>
      <c r="AH213" s="14"/>
      <c r="AI213" s="12">
        <v>0.0</v>
      </c>
      <c r="AJ213" s="13" t="str">
        <f>IFERROR(AI213/AI446, "NA")</f>
        <v>NA</v>
      </c>
      <c r="AK213" s="12"/>
      <c r="AL213" s="15">
        <f t="shared" ref="AL213:AL227" si="31">IFERROR(B213+E213+H213+K213+N213+Q213+T213+W213+Z213+AC213+AF213+AI213, "NA")</f>
        <v>0</v>
      </c>
      <c r="AM213" s="13" t="str">
        <f>IFERROR(AL213/AL446, "NA")</f>
        <v>NA</v>
      </c>
      <c r="AN213" s="12"/>
      <c r="AO213" s="12">
        <v>0.0</v>
      </c>
      <c r="AP213" s="13" t="str">
        <f>IFERROR(AO213/AO446, "NA")</f>
        <v>NA</v>
      </c>
      <c r="AQ213" s="12"/>
      <c r="AR213" s="15">
        <f t="shared" ref="AR213:AR227" si="32">IFERROR(AL213-AO213, "NA")</f>
        <v>0</v>
      </c>
    </row>
    <row r="214" ht="16.5" hidden="1" customHeight="1">
      <c r="A214" s="11" t="s">
        <v>595</v>
      </c>
      <c r="B214" s="12">
        <v>0.0</v>
      </c>
      <c r="C214" s="13" t="str">
        <f>IFERROR(B214/B446, "NA")</f>
        <v>NA</v>
      </c>
      <c r="D214" s="14"/>
      <c r="E214" s="12">
        <v>0.0</v>
      </c>
      <c r="F214" s="13" t="str">
        <f>IFERROR(E214/E446, "NA")</f>
        <v>NA</v>
      </c>
      <c r="G214" s="14"/>
      <c r="H214" s="12">
        <v>0.0</v>
      </c>
      <c r="I214" s="13" t="str">
        <f>IFERROR(H214/H446, "NA")</f>
        <v>NA</v>
      </c>
      <c r="J214" s="14"/>
      <c r="K214" s="12">
        <v>0.0</v>
      </c>
      <c r="L214" s="13" t="str">
        <f>IFERROR(K214/K446, "NA")</f>
        <v>NA</v>
      </c>
      <c r="M214" s="14"/>
      <c r="N214" s="12">
        <v>0.0</v>
      </c>
      <c r="O214" s="13" t="str">
        <f>IFERROR(N214/N446, "NA")</f>
        <v>NA</v>
      </c>
      <c r="P214" s="14"/>
      <c r="Q214" s="12">
        <v>0.0</v>
      </c>
      <c r="R214" s="13" t="str">
        <f>IFERROR(Q214/Q446, "NA")</f>
        <v>NA</v>
      </c>
      <c r="S214" s="14"/>
      <c r="T214" s="12">
        <v>0.0</v>
      </c>
      <c r="U214" s="13" t="str">
        <f>IFERROR(T214/T446, "NA")</f>
        <v>NA</v>
      </c>
      <c r="V214" s="14"/>
      <c r="W214" s="12">
        <v>0.0</v>
      </c>
      <c r="X214" s="13" t="str">
        <f>IFERROR(W214/W446, "NA")</f>
        <v>NA</v>
      </c>
      <c r="Y214" s="14"/>
      <c r="Z214" s="12">
        <v>0.0</v>
      </c>
      <c r="AA214" s="13" t="str">
        <f>IFERROR(Z214/Z446, "NA")</f>
        <v>NA</v>
      </c>
      <c r="AB214" s="14"/>
      <c r="AC214" s="12">
        <v>0.0</v>
      </c>
      <c r="AD214" s="13" t="str">
        <f>IFERROR(AC214/AC446, "NA")</f>
        <v>NA</v>
      </c>
      <c r="AE214" s="14"/>
      <c r="AF214" s="12">
        <v>0.0</v>
      </c>
      <c r="AG214" s="13" t="str">
        <f>IFERROR(AF214/AF446, "NA")</f>
        <v>NA</v>
      </c>
      <c r="AH214" s="14"/>
      <c r="AI214" s="12">
        <v>0.0</v>
      </c>
      <c r="AJ214" s="13" t="str">
        <f>IFERROR(AI214/AI446, "NA")</f>
        <v>NA</v>
      </c>
      <c r="AK214" s="12"/>
      <c r="AL214" s="15">
        <f t="shared" si="31"/>
        <v>0</v>
      </c>
      <c r="AM214" s="13" t="str">
        <f>IFERROR(AL214/AL446, "NA")</f>
        <v>NA</v>
      </c>
      <c r="AN214" s="12"/>
      <c r="AO214" s="12">
        <v>0.0</v>
      </c>
      <c r="AP214" s="13" t="str">
        <f>IFERROR(AO214/AO446, "NA")</f>
        <v>NA</v>
      </c>
      <c r="AQ214" s="12"/>
      <c r="AR214" s="15">
        <f t="shared" si="32"/>
        <v>0</v>
      </c>
    </row>
    <row r="215" ht="16.5" hidden="1" customHeight="1">
      <c r="A215" s="11" t="s">
        <v>596</v>
      </c>
      <c r="B215" s="12">
        <v>0.0</v>
      </c>
      <c r="C215" s="13" t="str">
        <f>IFERROR(B215/B446, "NA")</f>
        <v>NA</v>
      </c>
      <c r="D215" s="14"/>
      <c r="E215" s="12">
        <v>0.0</v>
      </c>
      <c r="F215" s="13" t="str">
        <f>IFERROR(E215/E446, "NA")</f>
        <v>NA</v>
      </c>
      <c r="G215" s="14"/>
      <c r="H215" s="12">
        <v>0.0</v>
      </c>
      <c r="I215" s="13" t="str">
        <f>IFERROR(H215/H446, "NA")</f>
        <v>NA</v>
      </c>
      <c r="J215" s="14"/>
      <c r="K215" s="12">
        <v>0.0</v>
      </c>
      <c r="L215" s="13" t="str">
        <f>IFERROR(K215/K446, "NA")</f>
        <v>NA</v>
      </c>
      <c r="M215" s="14"/>
      <c r="N215" s="12">
        <v>0.0</v>
      </c>
      <c r="O215" s="13" t="str">
        <f>IFERROR(N215/N446, "NA")</f>
        <v>NA</v>
      </c>
      <c r="P215" s="14"/>
      <c r="Q215" s="12">
        <v>0.0</v>
      </c>
      <c r="R215" s="13" t="str">
        <f>IFERROR(Q215/Q446, "NA")</f>
        <v>NA</v>
      </c>
      <c r="S215" s="14"/>
      <c r="T215" s="12">
        <v>0.0</v>
      </c>
      <c r="U215" s="13" t="str">
        <f>IFERROR(T215/T446, "NA")</f>
        <v>NA</v>
      </c>
      <c r="V215" s="14"/>
      <c r="W215" s="12">
        <v>0.0</v>
      </c>
      <c r="X215" s="13" t="str">
        <f>IFERROR(W215/W446, "NA")</f>
        <v>NA</v>
      </c>
      <c r="Y215" s="14"/>
      <c r="Z215" s="12">
        <v>0.0</v>
      </c>
      <c r="AA215" s="13" t="str">
        <f>IFERROR(Z215/Z446, "NA")</f>
        <v>NA</v>
      </c>
      <c r="AB215" s="14"/>
      <c r="AC215" s="12">
        <v>0.0</v>
      </c>
      <c r="AD215" s="13" t="str">
        <f>IFERROR(AC215/AC446, "NA")</f>
        <v>NA</v>
      </c>
      <c r="AE215" s="14"/>
      <c r="AF215" s="12">
        <v>0.0</v>
      </c>
      <c r="AG215" s="13" t="str">
        <f>IFERROR(AF215/AF446, "NA")</f>
        <v>NA</v>
      </c>
      <c r="AH215" s="14"/>
      <c r="AI215" s="12">
        <v>0.0</v>
      </c>
      <c r="AJ215" s="13" t="str">
        <f>IFERROR(AI215/AI446, "NA")</f>
        <v>NA</v>
      </c>
      <c r="AK215" s="12"/>
      <c r="AL215" s="15">
        <f t="shared" si="31"/>
        <v>0</v>
      </c>
      <c r="AM215" s="13" t="str">
        <f>IFERROR(AL215/AL446, "NA")</f>
        <v>NA</v>
      </c>
      <c r="AN215" s="12"/>
      <c r="AO215" s="12">
        <v>0.0</v>
      </c>
      <c r="AP215" s="13" t="str">
        <f>IFERROR(AO215/AO446, "NA")</f>
        <v>NA</v>
      </c>
      <c r="AQ215" s="12"/>
      <c r="AR215" s="15">
        <f t="shared" si="32"/>
        <v>0</v>
      </c>
    </row>
    <row r="216" ht="16.5" hidden="1" customHeight="1">
      <c r="A216" s="11" t="s">
        <v>597</v>
      </c>
      <c r="B216" s="12">
        <v>0.0</v>
      </c>
      <c r="C216" s="13" t="str">
        <f>IFERROR(B216/B446, "NA")</f>
        <v>NA</v>
      </c>
      <c r="D216" s="14"/>
      <c r="E216" s="12">
        <v>0.0</v>
      </c>
      <c r="F216" s="13" t="str">
        <f>IFERROR(E216/E446, "NA")</f>
        <v>NA</v>
      </c>
      <c r="G216" s="14"/>
      <c r="H216" s="12">
        <v>0.0</v>
      </c>
      <c r="I216" s="13" t="str">
        <f>IFERROR(H216/H446, "NA")</f>
        <v>NA</v>
      </c>
      <c r="J216" s="14"/>
      <c r="K216" s="12">
        <v>0.0</v>
      </c>
      <c r="L216" s="13" t="str">
        <f>IFERROR(K216/K446, "NA")</f>
        <v>NA</v>
      </c>
      <c r="M216" s="14"/>
      <c r="N216" s="12">
        <v>0.0</v>
      </c>
      <c r="O216" s="13" t="str">
        <f>IFERROR(N216/N446, "NA")</f>
        <v>NA</v>
      </c>
      <c r="P216" s="14"/>
      <c r="Q216" s="12">
        <v>0.0</v>
      </c>
      <c r="R216" s="13" t="str">
        <f>IFERROR(Q216/Q446, "NA")</f>
        <v>NA</v>
      </c>
      <c r="S216" s="14"/>
      <c r="T216" s="12">
        <v>0.0</v>
      </c>
      <c r="U216" s="13" t="str">
        <f>IFERROR(T216/T446, "NA")</f>
        <v>NA</v>
      </c>
      <c r="V216" s="14"/>
      <c r="W216" s="12">
        <v>0.0</v>
      </c>
      <c r="X216" s="13" t="str">
        <f>IFERROR(W216/W446, "NA")</f>
        <v>NA</v>
      </c>
      <c r="Y216" s="14"/>
      <c r="Z216" s="12">
        <v>0.0</v>
      </c>
      <c r="AA216" s="13" t="str">
        <f>IFERROR(Z216/Z446, "NA")</f>
        <v>NA</v>
      </c>
      <c r="AB216" s="14"/>
      <c r="AC216" s="12">
        <v>0.0</v>
      </c>
      <c r="AD216" s="13" t="str">
        <f>IFERROR(AC216/AC446, "NA")</f>
        <v>NA</v>
      </c>
      <c r="AE216" s="14"/>
      <c r="AF216" s="12">
        <v>0.0</v>
      </c>
      <c r="AG216" s="13" t="str">
        <f>IFERROR(AF216/AF446, "NA")</f>
        <v>NA</v>
      </c>
      <c r="AH216" s="14"/>
      <c r="AI216" s="12">
        <v>0.0</v>
      </c>
      <c r="AJ216" s="13" t="str">
        <f>IFERROR(AI216/AI446, "NA")</f>
        <v>NA</v>
      </c>
      <c r="AK216" s="12"/>
      <c r="AL216" s="15">
        <f t="shared" si="31"/>
        <v>0</v>
      </c>
      <c r="AM216" s="13" t="str">
        <f>IFERROR(AL216/AL446, "NA")</f>
        <v>NA</v>
      </c>
      <c r="AN216" s="12"/>
      <c r="AO216" s="12">
        <v>0.0</v>
      </c>
      <c r="AP216" s="13" t="str">
        <f>IFERROR(AO216/AO446, "NA")</f>
        <v>NA</v>
      </c>
      <c r="AQ216" s="12"/>
      <c r="AR216" s="15">
        <f t="shared" si="32"/>
        <v>0</v>
      </c>
    </row>
    <row r="217" ht="16.5" hidden="1" customHeight="1">
      <c r="A217" s="11" t="s">
        <v>598</v>
      </c>
      <c r="B217" s="12">
        <v>0.0</v>
      </c>
      <c r="C217" s="13" t="str">
        <f>IFERROR(B217/B446, "NA")</f>
        <v>NA</v>
      </c>
      <c r="D217" s="14"/>
      <c r="E217" s="12">
        <v>0.0</v>
      </c>
      <c r="F217" s="13" t="str">
        <f>IFERROR(E217/E446, "NA")</f>
        <v>NA</v>
      </c>
      <c r="G217" s="14"/>
      <c r="H217" s="12">
        <v>0.0</v>
      </c>
      <c r="I217" s="13" t="str">
        <f>IFERROR(H217/H446, "NA")</f>
        <v>NA</v>
      </c>
      <c r="J217" s="14"/>
      <c r="K217" s="12">
        <v>0.0</v>
      </c>
      <c r="L217" s="13" t="str">
        <f>IFERROR(K217/K446, "NA")</f>
        <v>NA</v>
      </c>
      <c r="M217" s="14"/>
      <c r="N217" s="12">
        <v>0.0</v>
      </c>
      <c r="O217" s="13" t="str">
        <f>IFERROR(N217/N446, "NA")</f>
        <v>NA</v>
      </c>
      <c r="P217" s="14"/>
      <c r="Q217" s="12">
        <v>0.0</v>
      </c>
      <c r="R217" s="13" t="str">
        <f>IFERROR(Q217/Q446, "NA")</f>
        <v>NA</v>
      </c>
      <c r="S217" s="14"/>
      <c r="T217" s="12">
        <v>0.0</v>
      </c>
      <c r="U217" s="13" t="str">
        <f>IFERROR(T217/T446, "NA")</f>
        <v>NA</v>
      </c>
      <c r="V217" s="14"/>
      <c r="W217" s="12">
        <v>0.0</v>
      </c>
      <c r="X217" s="13" t="str">
        <f>IFERROR(W217/W446, "NA")</f>
        <v>NA</v>
      </c>
      <c r="Y217" s="14"/>
      <c r="Z217" s="12">
        <v>0.0</v>
      </c>
      <c r="AA217" s="13" t="str">
        <f>IFERROR(Z217/Z446, "NA")</f>
        <v>NA</v>
      </c>
      <c r="AB217" s="14"/>
      <c r="AC217" s="12">
        <v>0.0</v>
      </c>
      <c r="AD217" s="13" t="str">
        <f>IFERROR(AC217/AC446, "NA")</f>
        <v>NA</v>
      </c>
      <c r="AE217" s="14"/>
      <c r="AF217" s="12">
        <v>0.0</v>
      </c>
      <c r="AG217" s="13" t="str">
        <f>IFERROR(AF217/AF446, "NA")</f>
        <v>NA</v>
      </c>
      <c r="AH217" s="14"/>
      <c r="AI217" s="12">
        <v>0.0</v>
      </c>
      <c r="AJ217" s="13" t="str">
        <f>IFERROR(AI217/AI446, "NA")</f>
        <v>NA</v>
      </c>
      <c r="AK217" s="12"/>
      <c r="AL217" s="15">
        <f t="shared" si="31"/>
        <v>0</v>
      </c>
      <c r="AM217" s="13" t="str">
        <f>IFERROR(AL217/AL446, "NA")</f>
        <v>NA</v>
      </c>
      <c r="AN217" s="12"/>
      <c r="AO217" s="12">
        <v>0.0</v>
      </c>
      <c r="AP217" s="13" t="str">
        <f>IFERROR(AO217/AO446, "NA")</f>
        <v>NA</v>
      </c>
      <c r="AQ217" s="12"/>
      <c r="AR217" s="15">
        <f t="shared" si="32"/>
        <v>0</v>
      </c>
    </row>
    <row r="218" ht="16.5" customHeight="1">
      <c r="A218" s="16" t="s">
        <v>201</v>
      </c>
      <c r="B218" s="17">
        <f>IFERROR(B213+B214+B215+B216+B217, "NA")</f>
        <v>0</v>
      </c>
      <c r="C218" s="18" t="str">
        <f>IFERROR(B218/B446, "NA")</f>
        <v>NA</v>
      </c>
      <c r="D218" s="8"/>
      <c r="E218" s="17">
        <f>IFERROR(E213+E214+E215+E216+E217, "NA")</f>
        <v>0</v>
      </c>
      <c r="F218" s="18" t="str">
        <f>IFERROR(E218/E446, "NA")</f>
        <v>NA</v>
      </c>
      <c r="G218" s="8"/>
      <c r="H218" s="17">
        <f>IFERROR(H213+H214+H215+H216+H217, "NA")</f>
        <v>0</v>
      </c>
      <c r="I218" s="18" t="str">
        <f>IFERROR(H218/H446, "NA")</f>
        <v>NA</v>
      </c>
      <c r="J218" s="8"/>
      <c r="K218" s="17">
        <f>IFERROR(K213+K214+K215+K216+K217, "NA")</f>
        <v>0</v>
      </c>
      <c r="L218" s="18" t="str">
        <f>IFERROR(K218/K446, "NA")</f>
        <v>NA</v>
      </c>
      <c r="M218" s="8"/>
      <c r="N218" s="17">
        <f>IFERROR(N213+N214+N215+N216+N217, "NA")</f>
        <v>0</v>
      </c>
      <c r="O218" s="18" t="str">
        <f>IFERROR(N218/N446, "NA")</f>
        <v>NA</v>
      </c>
      <c r="P218" s="8"/>
      <c r="Q218" s="17">
        <f>IFERROR(Q213+Q214+Q215+Q216+Q217, "NA")</f>
        <v>0</v>
      </c>
      <c r="R218" s="18" t="str">
        <f>IFERROR(Q218/Q446, "NA")</f>
        <v>NA</v>
      </c>
      <c r="S218" s="8"/>
      <c r="T218" s="17">
        <f>IFERROR(T213+T214+T215+T216+T217, "NA")</f>
        <v>0</v>
      </c>
      <c r="U218" s="18" t="str">
        <f>IFERROR(T218/T446, "NA")</f>
        <v>NA</v>
      </c>
      <c r="V218" s="8"/>
      <c r="W218" s="17">
        <f>IFERROR(W213+W214+W215+W216+W217, "NA")</f>
        <v>0</v>
      </c>
      <c r="X218" s="18" t="str">
        <f>IFERROR(W218/W446, "NA")</f>
        <v>NA</v>
      </c>
      <c r="Y218" s="8"/>
      <c r="Z218" s="17">
        <f>IFERROR(Z213+Z214+Z215+Z216+Z217, "NA")</f>
        <v>0</v>
      </c>
      <c r="AA218" s="18" t="str">
        <f>IFERROR(Z218/Z446, "NA")</f>
        <v>NA</v>
      </c>
      <c r="AB218" s="8"/>
      <c r="AC218" s="17">
        <f>IFERROR(AC213+AC214+AC215+AC216+AC217, "NA")</f>
        <v>0</v>
      </c>
      <c r="AD218" s="18" t="str">
        <f>IFERROR(AC218/AC446, "NA")</f>
        <v>NA</v>
      </c>
      <c r="AE218" s="8"/>
      <c r="AF218" s="17">
        <f>IFERROR(AF213+AF214+AF215+AF216+AF217, "NA")</f>
        <v>0</v>
      </c>
      <c r="AG218" s="18" t="str">
        <f>IFERROR(AF218/AF446, "NA")</f>
        <v>NA</v>
      </c>
      <c r="AH218" s="8"/>
      <c r="AI218" s="17">
        <f>IFERROR(AI213+AI214+AI215+AI216+AI217, "NA")</f>
        <v>0</v>
      </c>
      <c r="AJ218" s="18" t="str">
        <f>IFERROR(AI218/AI446, "NA")</f>
        <v>NA</v>
      </c>
      <c r="AK218" s="8"/>
      <c r="AL218" s="17">
        <f t="shared" si="31"/>
        <v>0</v>
      </c>
      <c r="AM218" s="18" t="str">
        <f>IFERROR(AL218/AL446, "NA")</f>
        <v>NA</v>
      </c>
      <c r="AN218" s="8"/>
      <c r="AO218" s="17">
        <f>IFERROR(AO213+AO214+AO215+AO216+AO217, "NA")</f>
        <v>0</v>
      </c>
      <c r="AP218" s="18" t="str">
        <f>IFERROR(AO218/AO446, "NA")</f>
        <v>NA</v>
      </c>
      <c r="AQ218" s="8"/>
      <c r="AR218" s="17">
        <f t="shared" si="32"/>
        <v>0</v>
      </c>
    </row>
    <row r="219" ht="16.5" hidden="1" customHeight="1">
      <c r="A219" s="11" t="s">
        <v>599</v>
      </c>
      <c r="B219" s="12">
        <v>0.0</v>
      </c>
      <c r="C219" s="13" t="str">
        <f>IFERROR(B219/B446, "NA")</f>
        <v>NA</v>
      </c>
      <c r="D219" s="14"/>
      <c r="E219" s="12">
        <v>0.0</v>
      </c>
      <c r="F219" s="13" t="str">
        <f>IFERROR(E219/E446, "NA")</f>
        <v>NA</v>
      </c>
      <c r="G219" s="14"/>
      <c r="H219" s="12">
        <v>0.0</v>
      </c>
      <c r="I219" s="13" t="str">
        <f>IFERROR(H219/H446, "NA")</f>
        <v>NA</v>
      </c>
      <c r="J219" s="14"/>
      <c r="K219" s="12">
        <v>0.0</v>
      </c>
      <c r="L219" s="13" t="str">
        <f>IFERROR(K219/K446, "NA")</f>
        <v>NA</v>
      </c>
      <c r="M219" s="14"/>
      <c r="N219" s="12">
        <v>0.0</v>
      </c>
      <c r="O219" s="13" t="str">
        <f>IFERROR(N219/N446, "NA")</f>
        <v>NA</v>
      </c>
      <c r="P219" s="14"/>
      <c r="Q219" s="12">
        <v>0.0</v>
      </c>
      <c r="R219" s="13" t="str">
        <f>IFERROR(Q219/Q446, "NA")</f>
        <v>NA</v>
      </c>
      <c r="S219" s="14"/>
      <c r="T219" s="12">
        <v>0.0</v>
      </c>
      <c r="U219" s="13" t="str">
        <f>IFERROR(T219/T446, "NA")</f>
        <v>NA</v>
      </c>
      <c r="V219" s="14"/>
      <c r="W219" s="12">
        <v>0.0</v>
      </c>
      <c r="X219" s="13" t="str">
        <f>IFERROR(W219/W446, "NA")</f>
        <v>NA</v>
      </c>
      <c r="Y219" s="14"/>
      <c r="Z219" s="12">
        <v>0.0</v>
      </c>
      <c r="AA219" s="13" t="str">
        <f>IFERROR(Z219/Z446, "NA")</f>
        <v>NA</v>
      </c>
      <c r="AB219" s="14"/>
      <c r="AC219" s="12">
        <v>0.0</v>
      </c>
      <c r="AD219" s="13" t="str">
        <f>IFERROR(AC219/AC446, "NA")</f>
        <v>NA</v>
      </c>
      <c r="AE219" s="14"/>
      <c r="AF219" s="12">
        <v>0.0</v>
      </c>
      <c r="AG219" s="13" t="str">
        <f>IFERROR(AF219/AF446, "NA")</f>
        <v>NA</v>
      </c>
      <c r="AH219" s="14"/>
      <c r="AI219" s="12">
        <v>0.0</v>
      </c>
      <c r="AJ219" s="13" t="str">
        <f>IFERROR(AI219/AI446, "NA")</f>
        <v>NA</v>
      </c>
      <c r="AK219" s="12"/>
      <c r="AL219" s="15">
        <f t="shared" si="31"/>
        <v>0</v>
      </c>
      <c r="AM219" s="13" t="str">
        <f>IFERROR(AL219/AL446, "NA")</f>
        <v>NA</v>
      </c>
      <c r="AN219" s="12"/>
      <c r="AO219" s="12">
        <v>0.0</v>
      </c>
      <c r="AP219" s="13" t="str">
        <f>IFERROR(AO219/AO446, "NA")</f>
        <v>NA</v>
      </c>
      <c r="AQ219" s="12"/>
      <c r="AR219" s="15">
        <f t="shared" si="32"/>
        <v>0</v>
      </c>
    </row>
    <row r="220" ht="16.5" hidden="1" customHeight="1">
      <c r="A220" s="11" t="s">
        <v>600</v>
      </c>
      <c r="B220" s="12">
        <v>0.0</v>
      </c>
      <c r="C220" s="13" t="str">
        <f>IFERROR(B220/B446, "NA")</f>
        <v>NA</v>
      </c>
      <c r="D220" s="14"/>
      <c r="E220" s="12">
        <v>0.0</v>
      </c>
      <c r="F220" s="13" t="str">
        <f>IFERROR(E220/E446, "NA")</f>
        <v>NA</v>
      </c>
      <c r="G220" s="14"/>
      <c r="H220" s="12">
        <v>0.0</v>
      </c>
      <c r="I220" s="13" t="str">
        <f>IFERROR(H220/H446, "NA")</f>
        <v>NA</v>
      </c>
      <c r="J220" s="14"/>
      <c r="K220" s="12">
        <v>0.0</v>
      </c>
      <c r="L220" s="13" t="str">
        <f>IFERROR(K220/K446, "NA")</f>
        <v>NA</v>
      </c>
      <c r="M220" s="14"/>
      <c r="N220" s="12">
        <v>0.0</v>
      </c>
      <c r="O220" s="13" t="str">
        <f>IFERROR(N220/N446, "NA")</f>
        <v>NA</v>
      </c>
      <c r="P220" s="14"/>
      <c r="Q220" s="12">
        <v>0.0</v>
      </c>
      <c r="R220" s="13" t="str">
        <f>IFERROR(Q220/Q446, "NA")</f>
        <v>NA</v>
      </c>
      <c r="S220" s="14"/>
      <c r="T220" s="12">
        <v>0.0</v>
      </c>
      <c r="U220" s="13" t="str">
        <f>IFERROR(T220/T446, "NA")</f>
        <v>NA</v>
      </c>
      <c r="V220" s="14"/>
      <c r="W220" s="12">
        <v>0.0</v>
      </c>
      <c r="X220" s="13" t="str">
        <f>IFERROR(W220/W446, "NA")</f>
        <v>NA</v>
      </c>
      <c r="Y220" s="14"/>
      <c r="Z220" s="12">
        <v>0.0</v>
      </c>
      <c r="AA220" s="13" t="str">
        <f>IFERROR(Z220/Z446, "NA")</f>
        <v>NA</v>
      </c>
      <c r="AB220" s="14"/>
      <c r="AC220" s="12">
        <v>0.0</v>
      </c>
      <c r="AD220" s="13" t="str">
        <f>IFERROR(AC220/AC446, "NA")</f>
        <v>NA</v>
      </c>
      <c r="AE220" s="14"/>
      <c r="AF220" s="12">
        <v>0.0</v>
      </c>
      <c r="AG220" s="13" t="str">
        <f>IFERROR(AF220/AF446, "NA")</f>
        <v>NA</v>
      </c>
      <c r="AH220" s="14"/>
      <c r="AI220" s="12">
        <v>0.0</v>
      </c>
      <c r="AJ220" s="13" t="str">
        <f>IFERROR(AI220/AI446, "NA")</f>
        <v>NA</v>
      </c>
      <c r="AK220" s="12"/>
      <c r="AL220" s="15">
        <f t="shared" si="31"/>
        <v>0</v>
      </c>
      <c r="AM220" s="13" t="str">
        <f>IFERROR(AL220/AL446, "NA")</f>
        <v>NA</v>
      </c>
      <c r="AN220" s="12"/>
      <c r="AO220" s="12">
        <v>0.0</v>
      </c>
      <c r="AP220" s="13" t="str">
        <f>IFERROR(AO220/AO446, "NA")</f>
        <v>NA</v>
      </c>
      <c r="AQ220" s="12"/>
      <c r="AR220" s="15">
        <f t="shared" si="32"/>
        <v>0</v>
      </c>
    </row>
    <row r="221" ht="16.5" hidden="1" customHeight="1">
      <c r="A221" s="11" t="s">
        <v>601</v>
      </c>
      <c r="B221" s="12">
        <v>0.0</v>
      </c>
      <c r="C221" s="13" t="str">
        <f>IFERROR(B221/B446, "NA")</f>
        <v>NA</v>
      </c>
      <c r="D221" s="14"/>
      <c r="E221" s="12">
        <v>0.0</v>
      </c>
      <c r="F221" s="13" t="str">
        <f>IFERROR(E221/E446, "NA")</f>
        <v>NA</v>
      </c>
      <c r="G221" s="14"/>
      <c r="H221" s="12">
        <v>0.0</v>
      </c>
      <c r="I221" s="13" t="str">
        <f>IFERROR(H221/H446, "NA")</f>
        <v>NA</v>
      </c>
      <c r="J221" s="14"/>
      <c r="K221" s="12">
        <v>0.0</v>
      </c>
      <c r="L221" s="13" t="str">
        <f>IFERROR(K221/K446, "NA")</f>
        <v>NA</v>
      </c>
      <c r="M221" s="14"/>
      <c r="N221" s="12">
        <v>0.0</v>
      </c>
      <c r="O221" s="13" t="str">
        <f>IFERROR(N221/N446, "NA")</f>
        <v>NA</v>
      </c>
      <c r="P221" s="14"/>
      <c r="Q221" s="12">
        <v>0.0</v>
      </c>
      <c r="R221" s="13" t="str">
        <f>IFERROR(Q221/Q446, "NA")</f>
        <v>NA</v>
      </c>
      <c r="S221" s="14"/>
      <c r="T221" s="12">
        <v>0.0</v>
      </c>
      <c r="U221" s="13" t="str">
        <f>IFERROR(T221/T446, "NA")</f>
        <v>NA</v>
      </c>
      <c r="V221" s="14"/>
      <c r="W221" s="12">
        <v>0.0</v>
      </c>
      <c r="X221" s="13" t="str">
        <f>IFERROR(W221/W446, "NA")</f>
        <v>NA</v>
      </c>
      <c r="Y221" s="14"/>
      <c r="Z221" s="12">
        <v>0.0</v>
      </c>
      <c r="AA221" s="13" t="str">
        <f>IFERROR(Z221/Z446, "NA")</f>
        <v>NA</v>
      </c>
      <c r="AB221" s="14"/>
      <c r="AC221" s="12">
        <v>0.0</v>
      </c>
      <c r="AD221" s="13" t="str">
        <f>IFERROR(AC221/AC446, "NA")</f>
        <v>NA</v>
      </c>
      <c r="AE221" s="14"/>
      <c r="AF221" s="12">
        <v>0.0</v>
      </c>
      <c r="AG221" s="13" t="str">
        <f>IFERROR(AF221/AF446, "NA")</f>
        <v>NA</v>
      </c>
      <c r="AH221" s="14"/>
      <c r="AI221" s="12">
        <v>0.0</v>
      </c>
      <c r="AJ221" s="13" t="str">
        <f>IFERROR(AI221/AI446, "NA")</f>
        <v>NA</v>
      </c>
      <c r="AK221" s="12"/>
      <c r="AL221" s="15">
        <f t="shared" si="31"/>
        <v>0</v>
      </c>
      <c r="AM221" s="13" t="str">
        <f>IFERROR(AL221/AL446, "NA")</f>
        <v>NA</v>
      </c>
      <c r="AN221" s="12"/>
      <c r="AO221" s="12">
        <v>0.0</v>
      </c>
      <c r="AP221" s="13" t="str">
        <f>IFERROR(AO221/AO446, "NA")</f>
        <v>NA</v>
      </c>
      <c r="AQ221" s="12"/>
      <c r="AR221" s="15">
        <f t="shared" si="32"/>
        <v>0</v>
      </c>
    </row>
    <row r="222" ht="16.5" hidden="1" customHeight="1">
      <c r="A222" s="11" t="s">
        <v>602</v>
      </c>
      <c r="B222" s="12">
        <v>0.0</v>
      </c>
      <c r="C222" s="13" t="str">
        <f>IFERROR(B222/B446, "NA")</f>
        <v>NA</v>
      </c>
      <c r="D222" s="14"/>
      <c r="E222" s="12">
        <v>0.0</v>
      </c>
      <c r="F222" s="13" t="str">
        <f>IFERROR(E222/E446, "NA")</f>
        <v>NA</v>
      </c>
      <c r="G222" s="14"/>
      <c r="H222" s="12">
        <v>0.0</v>
      </c>
      <c r="I222" s="13" t="str">
        <f>IFERROR(H222/H446, "NA")</f>
        <v>NA</v>
      </c>
      <c r="J222" s="14"/>
      <c r="K222" s="12">
        <v>0.0</v>
      </c>
      <c r="L222" s="13" t="str">
        <f>IFERROR(K222/K446, "NA")</f>
        <v>NA</v>
      </c>
      <c r="M222" s="14"/>
      <c r="N222" s="12">
        <v>0.0</v>
      </c>
      <c r="O222" s="13" t="str">
        <f>IFERROR(N222/N446, "NA")</f>
        <v>NA</v>
      </c>
      <c r="P222" s="14"/>
      <c r="Q222" s="12">
        <v>0.0</v>
      </c>
      <c r="R222" s="13" t="str">
        <f>IFERROR(Q222/Q446, "NA")</f>
        <v>NA</v>
      </c>
      <c r="S222" s="14"/>
      <c r="T222" s="12">
        <v>0.0</v>
      </c>
      <c r="U222" s="13" t="str">
        <f>IFERROR(T222/T446, "NA")</f>
        <v>NA</v>
      </c>
      <c r="V222" s="14"/>
      <c r="W222" s="12">
        <v>0.0</v>
      </c>
      <c r="X222" s="13" t="str">
        <f>IFERROR(W222/W446, "NA")</f>
        <v>NA</v>
      </c>
      <c r="Y222" s="14"/>
      <c r="Z222" s="12">
        <v>0.0</v>
      </c>
      <c r="AA222" s="13" t="str">
        <f>IFERROR(Z222/Z446, "NA")</f>
        <v>NA</v>
      </c>
      <c r="AB222" s="14"/>
      <c r="AC222" s="12">
        <v>0.0</v>
      </c>
      <c r="AD222" s="13" t="str">
        <f>IFERROR(AC222/AC446, "NA")</f>
        <v>NA</v>
      </c>
      <c r="AE222" s="14"/>
      <c r="AF222" s="12">
        <v>0.0</v>
      </c>
      <c r="AG222" s="13" t="str">
        <f>IFERROR(AF222/AF446, "NA")</f>
        <v>NA</v>
      </c>
      <c r="AH222" s="14"/>
      <c r="AI222" s="12">
        <v>0.0</v>
      </c>
      <c r="AJ222" s="13" t="str">
        <f>IFERROR(AI222/AI446, "NA")</f>
        <v>NA</v>
      </c>
      <c r="AK222" s="12"/>
      <c r="AL222" s="15">
        <f t="shared" si="31"/>
        <v>0</v>
      </c>
      <c r="AM222" s="13" t="str">
        <f>IFERROR(AL222/AL446, "NA")</f>
        <v>NA</v>
      </c>
      <c r="AN222" s="12"/>
      <c r="AO222" s="12">
        <v>0.0</v>
      </c>
      <c r="AP222" s="13" t="str">
        <f>IFERROR(AO222/AO446, "NA")</f>
        <v>NA</v>
      </c>
      <c r="AQ222" s="12"/>
      <c r="AR222" s="15">
        <f t="shared" si="32"/>
        <v>0</v>
      </c>
    </row>
    <row r="223" ht="16.5" hidden="1" customHeight="1">
      <c r="A223" s="11" t="s">
        <v>603</v>
      </c>
      <c r="B223" s="12">
        <v>0.0</v>
      </c>
      <c r="C223" s="13" t="str">
        <f>IFERROR(B223/B446, "NA")</f>
        <v>NA</v>
      </c>
      <c r="D223" s="14"/>
      <c r="E223" s="12">
        <v>0.0</v>
      </c>
      <c r="F223" s="13" t="str">
        <f>IFERROR(E223/E446, "NA")</f>
        <v>NA</v>
      </c>
      <c r="G223" s="14"/>
      <c r="H223" s="12">
        <v>0.0</v>
      </c>
      <c r="I223" s="13" t="str">
        <f>IFERROR(H223/H446, "NA")</f>
        <v>NA</v>
      </c>
      <c r="J223" s="14"/>
      <c r="K223" s="12">
        <v>0.0</v>
      </c>
      <c r="L223" s="13" t="str">
        <f>IFERROR(K223/K446, "NA")</f>
        <v>NA</v>
      </c>
      <c r="M223" s="14"/>
      <c r="N223" s="12">
        <v>0.0</v>
      </c>
      <c r="O223" s="13" t="str">
        <f>IFERROR(N223/N446, "NA")</f>
        <v>NA</v>
      </c>
      <c r="P223" s="14"/>
      <c r="Q223" s="12">
        <v>0.0</v>
      </c>
      <c r="R223" s="13" t="str">
        <f>IFERROR(Q223/Q446, "NA")</f>
        <v>NA</v>
      </c>
      <c r="S223" s="14"/>
      <c r="T223" s="12">
        <v>0.0</v>
      </c>
      <c r="U223" s="13" t="str">
        <f>IFERROR(T223/T446, "NA")</f>
        <v>NA</v>
      </c>
      <c r="V223" s="14"/>
      <c r="W223" s="12">
        <v>0.0</v>
      </c>
      <c r="X223" s="13" t="str">
        <f>IFERROR(W223/W446, "NA")</f>
        <v>NA</v>
      </c>
      <c r="Y223" s="14"/>
      <c r="Z223" s="12">
        <v>0.0</v>
      </c>
      <c r="AA223" s="13" t="str">
        <f>IFERROR(Z223/Z446, "NA")</f>
        <v>NA</v>
      </c>
      <c r="AB223" s="14"/>
      <c r="AC223" s="12">
        <v>0.0</v>
      </c>
      <c r="AD223" s="13" t="str">
        <f>IFERROR(AC223/AC446, "NA")</f>
        <v>NA</v>
      </c>
      <c r="AE223" s="14"/>
      <c r="AF223" s="12">
        <v>0.0</v>
      </c>
      <c r="AG223" s="13" t="str">
        <f>IFERROR(AF223/AF446, "NA")</f>
        <v>NA</v>
      </c>
      <c r="AH223" s="14"/>
      <c r="AI223" s="12">
        <v>0.0</v>
      </c>
      <c r="AJ223" s="13" t="str">
        <f>IFERROR(AI223/AI446, "NA")</f>
        <v>NA</v>
      </c>
      <c r="AK223" s="12"/>
      <c r="AL223" s="15">
        <f t="shared" si="31"/>
        <v>0</v>
      </c>
      <c r="AM223" s="13" t="str">
        <f>IFERROR(AL223/AL446, "NA")</f>
        <v>NA</v>
      </c>
      <c r="AN223" s="12"/>
      <c r="AO223" s="12">
        <v>0.0</v>
      </c>
      <c r="AP223" s="13" t="str">
        <f>IFERROR(AO223/AO446, "NA")</f>
        <v>NA</v>
      </c>
      <c r="AQ223" s="12"/>
      <c r="AR223" s="15">
        <f t="shared" si="32"/>
        <v>0</v>
      </c>
    </row>
    <row r="224" ht="16.5" hidden="1" customHeight="1">
      <c r="A224" s="11" t="s">
        <v>604</v>
      </c>
      <c r="B224" s="12">
        <v>0.0</v>
      </c>
      <c r="C224" s="13" t="str">
        <f>IFERROR(B224/B446, "NA")</f>
        <v>NA</v>
      </c>
      <c r="D224" s="14"/>
      <c r="E224" s="12">
        <v>0.0</v>
      </c>
      <c r="F224" s="13" t="str">
        <f>IFERROR(E224/E446, "NA")</f>
        <v>NA</v>
      </c>
      <c r="G224" s="14"/>
      <c r="H224" s="12">
        <v>0.0</v>
      </c>
      <c r="I224" s="13" t="str">
        <f>IFERROR(H224/H446, "NA")</f>
        <v>NA</v>
      </c>
      <c r="J224" s="14"/>
      <c r="K224" s="12">
        <v>0.0</v>
      </c>
      <c r="L224" s="13" t="str">
        <f>IFERROR(K224/K446, "NA")</f>
        <v>NA</v>
      </c>
      <c r="M224" s="14"/>
      <c r="N224" s="12">
        <v>0.0</v>
      </c>
      <c r="O224" s="13" t="str">
        <f>IFERROR(N224/N446, "NA")</f>
        <v>NA</v>
      </c>
      <c r="P224" s="14"/>
      <c r="Q224" s="12">
        <v>0.0</v>
      </c>
      <c r="R224" s="13" t="str">
        <f>IFERROR(Q224/Q446, "NA")</f>
        <v>NA</v>
      </c>
      <c r="S224" s="14"/>
      <c r="T224" s="12">
        <v>0.0</v>
      </c>
      <c r="U224" s="13" t="str">
        <f>IFERROR(T224/T446, "NA")</f>
        <v>NA</v>
      </c>
      <c r="V224" s="14"/>
      <c r="W224" s="12">
        <v>0.0</v>
      </c>
      <c r="X224" s="13" t="str">
        <f>IFERROR(W224/W446, "NA")</f>
        <v>NA</v>
      </c>
      <c r="Y224" s="14"/>
      <c r="Z224" s="12">
        <v>0.0</v>
      </c>
      <c r="AA224" s="13" t="str">
        <f>IFERROR(Z224/Z446, "NA")</f>
        <v>NA</v>
      </c>
      <c r="AB224" s="14"/>
      <c r="AC224" s="12">
        <v>0.0</v>
      </c>
      <c r="AD224" s="13" t="str">
        <f>IFERROR(AC224/AC446, "NA")</f>
        <v>NA</v>
      </c>
      <c r="AE224" s="14"/>
      <c r="AF224" s="12">
        <v>0.0</v>
      </c>
      <c r="AG224" s="13" t="str">
        <f>IFERROR(AF224/AF446, "NA")</f>
        <v>NA</v>
      </c>
      <c r="AH224" s="14"/>
      <c r="AI224" s="12">
        <v>0.0</v>
      </c>
      <c r="AJ224" s="13" t="str">
        <f>IFERROR(AI224/AI446, "NA")</f>
        <v>NA</v>
      </c>
      <c r="AK224" s="12"/>
      <c r="AL224" s="15">
        <f t="shared" si="31"/>
        <v>0</v>
      </c>
      <c r="AM224" s="13" t="str">
        <f>IFERROR(AL224/AL446, "NA")</f>
        <v>NA</v>
      </c>
      <c r="AN224" s="12"/>
      <c r="AO224" s="12">
        <v>0.0</v>
      </c>
      <c r="AP224" s="13" t="str">
        <f>IFERROR(AO224/AO446, "NA")</f>
        <v>NA</v>
      </c>
      <c r="AQ224" s="12"/>
      <c r="AR224" s="15">
        <f t="shared" si="32"/>
        <v>0</v>
      </c>
    </row>
    <row r="225" ht="16.5" hidden="1" customHeight="1">
      <c r="A225" s="11" t="s">
        <v>605</v>
      </c>
      <c r="B225" s="12">
        <v>0.0</v>
      </c>
      <c r="C225" s="13" t="str">
        <f>IFERROR(B225/B446, "NA")</f>
        <v>NA</v>
      </c>
      <c r="D225" s="14"/>
      <c r="E225" s="12">
        <v>0.0</v>
      </c>
      <c r="F225" s="13" t="str">
        <f>IFERROR(E225/E446, "NA")</f>
        <v>NA</v>
      </c>
      <c r="G225" s="14"/>
      <c r="H225" s="12">
        <v>0.0</v>
      </c>
      <c r="I225" s="13" t="str">
        <f>IFERROR(H225/H446, "NA")</f>
        <v>NA</v>
      </c>
      <c r="J225" s="14"/>
      <c r="K225" s="12">
        <v>0.0</v>
      </c>
      <c r="L225" s="13" t="str">
        <f>IFERROR(K225/K446, "NA")</f>
        <v>NA</v>
      </c>
      <c r="M225" s="14"/>
      <c r="N225" s="12">
        <v>0.0</v>
      </c>
      <c r="O225" s="13" t="str">
        <f>IFERROR(N225/N446, "NA")</f>
        <v>NA</v>
      </c>
      <c r="P225" s="14"/>
      <c r="Q225" s="12">
        <v>0.0</v>
      </c>
      <c r="R225" s="13" t="str">
        <f>IFERROR(Q225/Q446, "NA")</f>
        <v>NA</v>
      </c>
      <c r="S225" s="14"/>
      <c r="T225" s="12">
        <v>0.0</v>
      </c>
      <c r="U225" s="13" t="str">
        <f>IFERROR(T225/T446, "NA")</f>
        <v>NA</v>
      </c>
      <c r="V225" s="14"/>
      <c r="W225" s="12">
        <v>0.0</v>
      </c>
      <c r="X225" s="13" t="str">
        <f>IFERROR(W225/W446, "NA")</f>
        <v>NA</v>
      </c>
      <c r="Y225" s="14"/>
      <c r="Z225" s="12">
        <v>0.0</v>
      </c>
      <c r="AA225" s="13" t="str">
        <f>IFERROR(Z225/Z446, "NA")</f>
        <v>NA</v>
      </c>
      <c r="AB225" s="14"/>
      <c r="AC225" s="12">
        <v>0.0</v>
      </c>
      <c r="AD225" s="13" t="str">
        <f>IFERROR(AC225/AC446, "NA")</f>
        <v>NA</v>
      </c>
      <c r="AE225" s="14"/>
      <c r="AF225" s="12">
        <v>0.0</v>
      </c>
      <c r="AG225" s="13" t="str">
        <f>IFERROR(AF225/AF446, "NA")</f>
        <v>NA</v>
      </c>
      <c r="AH225" s="14"/>
      <c r="AI225" s="12">
        <v>0.0</v>
      </c>
      <c r="AJ225" s="13" t="str">
        <f>IFERROR(AI225/AI446, "NA")</f>
        <v>NA</v>
      </c>
      <c r="AK225" s="12"/>
      <c r="AL225" s="15">
        <f t="shared" si="31"/>
        <v>0</v>
      </c>
      <c r="AM225" s="13" t="str">
        <f>IFERROR(AL225/AL446, "NA")</f>
        <v>NA</v>
      </c>
      <c r="AN225" s="12"/>
      <c r="AO225" s="12">
        <v>0.0</v>
      </c>
      <c r="AP225" s="13" t="str">
        <f>IFERROR(AO225/AO446, "NA")</f>
        <v>NA</v>
      </c>
      <c r="AQ225" s="12"/>
      <c r="AR225" s="15">
        <f t="shared" si="32"/>
        <v>0</v>
      </c>
    </row>
    <row r="226" ht="16.5" hidden="1" customHeight="1">
      <c r="A226" s="11" t="s">
        <v>606</v>
      </c>
      <c r="B226" s="12">
        <v>0.0</v>
      </c>
      <c r="C226" s="13" t="str">
        <f>IFERROR(B226/B446, "NA")</f>
        <v>NA</v>
      </c>
      <c r="D226" s="14"/>
      <c r="E226" s="12">
        <v>0.0</v>
      </c>
      <c r="F226" s="13" t="str">
        <f>IFERROR(E226/E446, "NA")</f>
        <v>NA</v>
      </c>
      <c r="G226" s="14"/>
      <c r="H226" s="12">
        <v>0.0</v>
      </c>
      <c r="I226" s="13" t="str">
        <f>IFERROR(H226/H446, "NA")</f>
        <v>NA</v>
      </c>
      <c r="J226" s="14"/>
      <c r="K226" s="12">
        <v>0.0</v>
      </c>
      <c r="L226" s="13" t="str">
        <f>IFERROR(K226/K446, "NA")</f>
        <v>NA</v>
      </c>
      <c r="M226" s="14"/>
      <c r="N226" s="12">
        <v>0.0</v>
      </c>
      <c r="O226" s="13" t="str">
        <f>IFERROR(N226/N446, "NA")</f>
        <v>NA</v>
      </c>
      <c r="P226" s="14"/>
      <c r="Q226" s="12">
        <v>0.0</v>
      </c>
      <c r="R226" s="13" t="str">
        <f>IFERROR(Q226/Q446, "NA")</f>
        <v>NA</v>
      </c>
      <c r="S226" s="14"/>
      <c r="T226" s="12">
        <v>0.0</v>
      </c>
      <c r="U226" s="13" t="str">
        <f>IFERROR(T226/T446, "NA")</f>
        <v>NA</v>
      </c>
      <c r="V226" s="14"/>
      <c r="W226" s="12">
        <v>0.0</v>
      </c>
      <c r="X226" s="13" t="str">
        <f>IFERROR(W226/W446, "NA")</f>
        <v>NA</v>
      </c>
      <c r="Y226" s="14"/>
      <c r="Z226" s="12">
        <v>0.0</v>
      </c>
      <c r="AA226" s="13" t="str">
        <f>IFERROR(Z226/Z446, "NA")</f>
        <v>NA</v>
      </c>
      <c r="AB226" s="14"/>
      <c r="AC226" s="12">
        <v>0.0</v>
      </c>
      <c r="AD226" s="13" t="str">
        <f>IFERROR(AC226/AC446, "NA")</f>
        <v>NA</v>
      </c>
      <c r="AE226" s="14"/>
      <c r="AF226" s="12">
        <v>0.0</v>
      </c>
      <c r="AG226" s="13" t="str">
        <f>IFERROR(AF226/AF446, "NA")</f>
        <v>NA</v>
      </c>
      <c r="AH226" s="14"/>
      <c r="AI226" s="12">
        <v>0.0</v>
      </c>
      <c r="AJ226" s="13" t="str">
        <f>IFERROR(AI226/AI446, "NA")</f>
        <v>NA</v>
      </c>
      <c r="AK226" s="12"/>
      <c r="AL226" s="15">
        <f t="shared" si="31"/>
        <v>0</v>
      </c>
      <c r="AM226" s="13" t="str">
        <f>IFERROR(AL226/AL446, "NA")</f>
        <v>NA</v>
      </c>
      <c r="AN226" s="12"/>
      <c r="AO226" s="12">
        <v>0.0</v>
      </c>
      <c r="AP226" s="13" t="str">
        <f>IFERROR(AO226/AO446, "NA")</f>
        <v>NA</v>
      </c>
      <c r="AQ226" s="12"/>
      <c r="AR226" s="15">
        <f t="shared" si="32"/>
        <v>0</v>
      </c>
    </row>
    <row r="227" ht="16.5" customHeight="1">
      <c r="A227" s="16" t="s">
        <v>210</v>
      </c>
      <c r="B227" s="17">
        <f>IFERROR(B211+B213+B214+B215+B216+B217+B219+B220+B221+B222+B223+B224+B225+B226, "NA")</f>
        <v>0</v>
      </c>
      <c r="C227" s="18" t="str">
        <f>IFERROR(B227/B446, "NA")</f>
        <v>NA</v>
      </c>
      <c r="D227" s="8"/>
      <c r="E227" s="17">
        <f>IFERROR(E211+E213+E214+E215+E216+E217+E219+E220+E221+E222+E223+E224+E225+E226, "NA")</f>
        <v>0</v>
      </c>
      <c r="F227" s="18" t="str">
        <f>IFERROR(E227/E446, "NA")</f>
        <v>NA</v>
      </c>
      <c r="G227" s="8"/>
      <c r="H227" s="17">
        <f>IFERROR(H211+H213+H214+H215+H216+H217+H219+H220+H221+H222+H223+H224+H225+H226, "NA")</f>
        <v>0</v>
      </c>
      <c r="I227" s="18" t="str">
        <f>IFERROR(H227/H446, "NA")</f>
        <v>NA</v>
      </c>
      <c r="J227" s="8"/>
      <c r="K227" s="17">
        <f>IFERROR(K211+K213+K214+K215+K216+K217+K219+K220+K221+K222+K223+K224+K225+K226, "NA")</f>
        <v>0</v>
      </c>
      <c r="L227" s="18" t="str">
        <f>IFERROR(K227/K446, "NA")</f>
        <v>NA</v>
      </c>
      <c r="M227" s="8"/>
      <c r="N227" s="17">
        <f>IFERROR(N211+N213+N214+N215+N216+N217+N219+N220+N221+N222+N223+N224+N225+N226, "NA")</f>
        <v>0</v>
      </c>
      <c r="O227" s="18" t="str">
        <f>IFERROR(N227/N446, "NA")</f>
        <v>NA</v>
      </c>
      <c r="P227" s="8"/>
      <c r="Q227" s="17">
        <f>IFERROR(Q211+Q213+Q214+Q215+Q216+Q217+Q219+Q220+Q221+Q222+Q223+Q224+Q225+Q226, "NA")</f>
        <v>0</v>
      </c>
      <c r="R227" s="18" t="str">
        <f>IFERROR(Q227/Q446, "NA")</f>
        <v>NA</v>
      </c>
      <c r="S227" s="8"/>
      <c r="T227" s="17">
        <f>IFERROR(T211+T213+T214+T215+T216+T217+T219+T220+T221+T222+T223+T224+T225+T226, "NA")</f>
        <v>0</v>
      </c>
      <c r="U227" s="18" t="str">
        <f>IFERROR(T227/T446, "NA")</f>
        <v>NA</v>
      </c>
      <c r="V227" s="8"/>
      <c r="W227" s="17">
        <f>IFERROR(W211+W213+W214+W215+W216+W217+W219+W220+W221+W222+W223+W224+W225+W226, "NA")</f>
        <v>0</v>
      </c>
      <c r="X227" s="18" t="str">
        <f>IFERROR(W227/W446, "NA")</f>
        <v>NA</v>
      </c>
      <c r="Y227" s="8"/>
      <c r="Z227" s="17">
        <f>IFERROR(Z211+Z213+Z214+Z215+Z216+Z217+Z219+Z220+Z221+Z222+Z223+Z224+Z225+Z226, "NA")</f>
        <v>0</v>
      </c>
      <c r="AA227" s="18" t="str">
        <f>IFERROR(Z227/Z446, "NA")</f>
        <v>NA</v>
      </c>
      <c r="AB227" s="8"/>
      <c r="AC227" s="17">
        <f>IFERROR(AC211+AC213+AC214+AC215+AC216+AC217+AC219+AC220+AC221+AC222+AC223+AC224+AC225+AC226, "NA")</f>
        <v>0</v>
      </c>
      <c r="AD227" s="18" t="str">
        <f>IFERROR(AC227/AC446, "NA")</f>
        <v>NA</v>
      </c>
      <c r="AE227" s="8"/>
      <c r="AF227" s="17">
        <f>IFERROR(AF211+AF213+AF214+AF215+AF216+AF217+AF219+AF220+AF221+AF222+AF223+AF224+AF225+AF226, "NA")</f>
        <v>0</v>
      </c>
      <c r="AG227" s="18" t="str">
        <f>IFERROR(AF227/AF446, "NA")</f>
        <v>NA</v>
      </c>
      <c r="AH227" s="8"/>
      <c r="AI227" s="17">
        <f>IFERROR(AI211+AI213+AI214+AI215+AI216+AI217+AI219+AI220+AI221+AI222+AI223+AI224+AI225+AI226, "NA")</f>
        <v>0</v>
      </c>
      <c r="AJ227" s="18" t="str">
        <f>IFERROR(AI227/AI446, "NA")</f>
        <v>NA</v>
      </c>
      <c r="AK227" s="8"/>
      <c r="AL227" s="17">
        <f t="shared" si="31"/>
        <v>0</v>
      </c>
      <c r="AM227" s="18" t="str">
        <f>IFERROR(AL227/AL446, "NA")</f>
        <v>NA</v>
      </c>
      <c r="AN227" s="8"/>
      <c r="AO227" s="17">
        <f>IFERROR(AO211+AO213+AO214+AO215+AO216+AO217+AO219+AO220+AO221+AO222+AO223+AO224+AO225+AO226, "NA")</f>
        <v>0</v>
      </c>
      <c r="AP227" s="18" t="str">
        <f>IFERROR(AO227/AO446, "NA")</f>
        <v>NA</v>
      </c>
      <c r="AQ227" s="8"/>
      <c r="AR227" s="17">
        <f t="shared" si="32"/>
        <v>0</v>
      </c>
    </row>
    <row r="228" ht="16.5" customHeight="1">
      <c r="A228" s="7" t="s">
        <v>211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  <c r="AE228" s="10"/>
      <c r="AF228" s="8"/>
      <c r="AG228" s="9"/>
      <c r="AH228" s="10"/>
      <c r="AI228" s="8"/>
      <c r="AJ228" s="9"/>
      <c r="AK228" s="8"/>
      <c r="AL228" s="8"/>
      <c r="AM228" s="9"/>
      <c r="AN228" s="8"/>
      <c r="AO228" s="8"/>
      <c r="AP228" s="9"/>
      <c r="AQ228" s="8"/>
      <c r="AR228" s="8"/>
    </row>
    <row r="229" ht="16.5" hidden="1" customHeight="1">
      <c r="A229" s="11" t="s">
        <v>607</v>
      </c>
      <c r="B229" s="12">
        <v>0.0</v>
      </c>
      <c r="C229" s="13" t="str">
        <f>IFERROR(B229/B446, "NA")</f>
        <v>NA</v>
      </c>
      <c r="D229" s="14"/>
      <c r="E229" s="12">
        <v>0.0</v>
      </c>
      <c r="F229" s="13" t="str">
        <f>IFERROR(E229/E446, "NA")</f>
        <v>NA</v>
      </c>
      <c r="G229" s="14"/>
      <c r="H229" s="12">
        <v>0.0</v>
      </c>
      <c r="I229" s="13" t="str">
        <f>IFERROR(H229/H446, "NA")</f>
        <v>NA</v>
      </c>
      <c r="J229" s="14"/>
      <c r="K229" s="12">
        <v>0.0</v>
      </c>
      <c r="L229" s="13" t="str">
        <f>IFERROR(K229/K446, "NA")</f>
        <v>NA</v>
      </c>
      <c r="M229" s="14"/>
      <c r="N229" s="12">
        <v>0.0</v>
      </c>
      <c r="O229" s="13" t="str">
        <f>IFERROR(N229/N446, "NA")</f>
        <v>NA</v>
      </c>
      <c r="P229" s="14"/>
      <c r="Q229" s="12">
        <v>0.0</v>
      </c>
      <c r="R229" s="13" t="str">
        <f>IFERROR(Q229/Q446, "NA")</f>
        <v>NA</v>
      </c>
      <c r="S229" s="14"/>
      <c r="T229" s="12">
        <v>0.0</v>
      </c>
      <c r="U229" s="13" t="str">
        <f>IFERROR(T229/T446, "NA")</f>
        <v>NA</v>
      </c>
      <c r="V229" s="14"/>
      <c r="W229" s="12">
        <v>0.0</v>
      </c>
      <c r="X229" s="13" t="str">
        <f>IFERROR(W229/W446, "NA")</f>
        <v>NA</v>
      </c>
      <c r="Y229" s="14"/>
      <c r="Z229" s="12">
        <v>0.0</v>
      </c>
      <c r="AA229" s="13" t="str">
        <f>IFERROR(Z229/Z446, "NA")</f>
        <v>NA</v>
      </c>
      <c r="AB229" s="14"/>
      <c r="AC229" s="12">
        <v>0.0</v>
      </c>
      <c r="AD229" s="13" t="str">
        <f>IFERROR(AC229/AC446, "NA")</f>
        <v>NA</v>
      </c>
      <c r="AE229" s="14"/>
      <c r="AF229" s="12">
        <v>0.0</v>
      </c>
      <c r="AG229" s="13" t="str">
        <f>IFERROR(AF229/AF446, "NA")</f>
        <v>NA</v>
      </c>
      <c r="AH229" s="14"/>
      <c r="AI229" s="12">
        <v>0.0</v>
      </c>
      <c r="AJ229" s="13" t="str">
        <f>IFERROR(AI229/AI446, "NA")</f>
        <v>NA</v>
      </c>
      <c r="AK229" s="12"/>
      <c r="AL229" s="15">
        <f t="shared" ref="AL229:AL236" si="33">IFERROR(B229+E229+H229+K229+N229+Q229+T229+W229+Z229+AC229+AF229+AI229, "NA")</f>
        <v>0</v>
      </c>
      <c r="AM229" s="13" t="str">
        <f>IFERROR(AL229/AL446, "NA")</f>
        <v>NA</v>
      </c>
      <c r="AN229" s="12"/>
      <c r="AO229" s="12">
        <v>0.0</v>
      </c>
      <c r="AP229" s="13" t="str">
        <f>IFERROR(AO229/AO446, "NA")</f>
        <v>NA</v>
      </c>
      <c r="AQ229" s="12"/>
      <c r="AR229" s="15">
        <f t="shared" ref="AR229:AR236" si="34">IFERROR(AL229-AO229, "NA")</f>
        <v>0</v>
      </c>
    </row>
    <row r="230" ht="16.5" hidden="1" customHeight="1">
      <c r="A230" s="11" t="s">
        <v>608</v>
      </c>
      <c r="B230" s="12">
        <v>0.0</v>
      </c>
      <c r="C230" s="13" t="str">
        <f>IFERROR(B230/B446, "NA")</f>
        <v>NA</v>
      </c>
      <c r="D230" s="14"/>
      <c r="E230" s="12">
        <v>0.0</v>
      </c>
      <c r="F230" s="13" t="str">
        <f>IFERROR(E230/E446, "NA")</f>
        <v>NA</v>
      </c>
      <c r="G230" s="14"/>
      <c r="H230" s="12">
        <v>0.0</v>
      </c>
      <c r="I230" s="13" t="str">
        <f>IFERROR(H230/H446, "NA")</f>
        <v>NA</v>
      </c>
      <c r="J230" s="14"/>
      <c r="K230" s="12">
        <v>0.0</v>
      </c>
      <c r="L230" s="13" t="str">
        <f>IFERROR(K230/K446, "NA")</f>
        <v>NA</v>
      </c>
      <c r="M230" s="14"/>
      <c r="N230" s="12">
        <v>0.0</v>
      </c>
      <c r="O230" s="13" t="str">
        <f>IFERROR(N230/N446, "NA")</f>
        <v>NA</v>
      </c>
      <c r="P230" s="14"/>
      <c r="Q230" s="12">
        <v>0.0</v>
      </c>
      <c r="R230" s="13" t="str">
        <f>IFERROR(Q230/Q446, "NA")</f>
        <v>NA</v>
      </c>
      <c r="S230" s="14"/>
      <c r="T230" s="12">
        <v>0.0</v>
      </c>
      <c r="U230" s="13" t="str">
        <f>IFERROR(T230/T446, "NA")</f>
        <v>NA</v>
      </c>
      <c r="V230" s="14"/>
      <c r="W230" s="12">
        <v>0.0</v>
      </c>
      <c r="X230" s="13" t="str">
        <f>IFERROR(W230/W446, "NA")</f>
        <v>NA</v>
      </c>
      <c r="Y230" s="14"/>
      <c r="Z230" s="12">
        <v>0.0</v>
      </c>
      <c r="AA230" s="13" t="str">
        <f>IFERROR(Z230/Z446, "NA")</f>
        <v>NA</v>
      </c>
      <c r="AB230" s="14"/>
      <c r="AC230" s="12">
        <v>0.0</v>
      </c>
      <c r="AD230" s="13" t="str">
        <f>IFERROR(AC230/AC446, "NA")</f>
        <v>NA</v>
      </c>
      <c r="AE230" s="14"/>
      <c r="AF230" s="12">
        <v>0.0</v>
      </c>
      <c r="AG230" s="13" t="str">
        <f>IFERROR(AF230/AF446, "NA")</f>
        <v>NA</v>
      </c>
      <c r="AH230" s="14"/>
      <c r="AI230" s="12">
        <v>0.0</v>
      </c>
      <c r="AJ230" s="13" t="str">
        <f>IFERROR(AI230/AI446, "NA")</f>
        <v>NA</v>
      </c>
      <c r="AK230" s="12"/>
      <c r="AL230" s="15">
        <f t="shared" si="33"/>
        <v>0</v>
      </c>
      <c r="AM230" s="13" t="str">
        <f>IFERROR(AL230/AL446, "NA")</f>
        <v>NA</v>
      </c>
      <c r="AN230" s="12"/>
      <c r="AO230" s="12">
        <v>0.0</v>
      </c>
      <c r="AP230" s="13" t="str">
        <f>IFERROR(AO230/AO446, "NA")</f>
        <v>NA</v>
      </c>
      <c r="AQ230" s="12"/>
      <c r="AR230" s="15">
        <f t="shared" si="34"/>
        <v>0</v>
      </c>
    </row>
    <row r="231" ht="16.5" hidden="1" customHeight="1">
      <c r="A231" s="11" t="s">
        <v>609</v>
      </c>
      <c r="B231" s="12">
        <v>0.0</v>
      </c>
      <c r="C231" s="13" t="str">
        <f>IFERROR(B231/B446, "NA")</f>
        <v>NA</v>
      </c>
      <c r="D231" s="14"/>
      <c r="E231" s="12">
        <v>0.0</v>
      </c>
      <c r="F231" s="13" t="str">
        <f>IFERROR(E231/E446, "NA")</f>
        <v>NA</v>
      </c>
      <c r="G231" s="14"/>
      <c r="H231" s="12">
        <v>0.0</v>
      </c>
      <c r="I231" s="13" t="str">
        <f>IFERROR(H231/H446, "NA")</f>
        <v>NA</v>
      </c>
      <c r="J231" s="14"/>
      <c r="K231" s="12">
        <v>0.0</v>
      </c>
      <c r="L231" s="13" t="str">
        <f>IFERROR(K231/K446, "NA")</f>
        <v>NA</v>
      </c>
      <c r="M231" s="14"/>
      <c r="N231" s="12">
        <v>0.0</v>
      </c>
      <c r="O231" s="13" t="str">
        <f>IFERROR(N231/N446, "NA")</f>
        <v>NA</v>
      </c>
      <c r="P231" s="14"/>
      <c r="Q231" s="12">
        <v>0.0</v>
      </c>
      <c r="R231" s="13" t="str">
        <f>IFERROR(Q231/Q446, "NA")</f>
        <v>NA</v>
      </c>
      <c r="S231" s="14"/>
      <c r="T231" s="12">
        <v>0.0</v>
      </c>
      <c r="U231" s="13" t="str">
        <f>IFERROR(T231/T446, "NA")</f>
        <v>NA</v>
      </c>
      <c r="V231" s="14"/>
      <c r="W231" s="12">
        <v>0.0</v>
      </c>
      <c r="X231" s="13" t="str">
        <f>IFERROR(W231/W446, "NA")</f>
        <v>NA</v>
      </c>
      <c r="Y231" s="14"/>
      <c r="Z231" s="12">
        <v>0.0</v>
      </c>
      <c r="AA231" s="13" t="str">
        <f>IFERROR(Z231/Z446, "NA")</f>
        <v>NA</v>
      </c>
      <c r="AB231" s="14"/>
      <c r="AC231" s="12">
        <v>0.0</v>
      </c>
      <c r="AD231" s="13" t="str">
        <f>IFERROR(AC231/AC446, "NA")</f>
        <v>NA</v>
      </c>
      <c r="AE231" s="14"/>
      <c r="AF231" s="12">
        <v>0.0</v>
      </c>
      <c r="AG231" s="13" t="str">
        <f>IFERROR(AF231/AF446, "NA")</f>
        <v>NA</v>
      </c>
      <c r="AH231" s="14"/>
      <c r="AI231" s="12">
        <v>0.0</v>
      </c>
      <c r="AJ231" s="13" t="str">
        <f>IFERROR(AI231/AI446, "NA")</f>
        <v>NA</v>
      </c>
      <c r="AK231" s="12"/>
      <c r="AL231" s="15">
        <f t="shared" si="33"/>
        <v>0</v>
      </c>
      <c r="AM231" s="13" t="str">
        <f>IFERROR(AL231/AL446, "NA")</f>
        <v>NA</v>
      </c>
      <c r="AN231" s="12"/>
      <c r="AO231" s="12">
        <v>0.0</v>
      </c>
      <c r="AP231" s="13" t="str">
        <f>IFERROR(AO231/AO446, "NA")</f>
        <v>NA</v>
      </c>
      <c r="AQ231" s="12"/>
      <c r="AR231" s="15">
        <f t="shared" si="34"/>
        <v>0</v>
      </c>
    </row>
    <row r="232" ht="16.5" hidden="1" customHeight="1">
      <c r="A232" s="11" t="s">
        <v>610</v>
      </c>
      <c r="B232" s="12">
        <v>0.0</v>
      </c>
      <c r="C232" s="13" t="str">
        <f>IFERROR(B232/B446, "NA")</f>
        <v>NA</v>
      </c>
      <c r="D232" s="14"/>
      <c r="E232" s="12">
        <v>0.0</v>
      </c>
      <c r="F232" s="13" t="str">
        <f>IFERROR(E232/E446, "NA")</f>
        <v>NA</v>
      </c>
      <c r="G232" s="14"/>
      <c r="H232" s="12">
        <v>0.0</v>
      </c>
      <c r="I232" s="13" t="str">
        <f>IFERROR(H232/H446, "NA")</f>
        <v>NA</v>
      </c>
      <c r="J232" s="14"/>
      <c r="K232" s="12">
        <v>0.0</v>
      </c>
      <c r="L232" s="13" t="str">
        <f>IFERROR(K232/K446, "NA")</f>
        <v>NA</v>
      </c>
      <c r="M232" s="14"/>
      <c r="N232" s="12">
        <v>0.0</v>
      </c>
      <c r="O232" s="13" t="str">
        <f>IFERROR(N232/N446, "NA")</f>
        <v>NA</v>
      </c>
      <c r="P232" s="14"/>
      <c r="Q232" s="12">
        <v>0.0</v>
      </c>
      <c r="R232" s="13" t="str">
        <f>IFERROR(Q232/Q446, "NA")</f>
        <v>NA</v>
      </c>
      <c r="S232" s="14"/>
      <c r="T232" s="12">
        <v>0.0</v>
      </c>
      <c r="U232" s="13" t="str">
        <f>IFERROR(T232/T446, "NA")</f>
        <v>NA</v>
      </c>
      <c r="V232" s="14"/>
      <c r="W232" s="12">
        <v>0.0</v>
      </c>
      <c r="X232" s="13" t="str">
        <f>IFERROR(W232/W446, "NA")</f>
        <v>NA</v>
      </c>
      <c r="Y232" s="14"/>
      <c r="Z232" s="12">
        <v>0.0</v>
      </c>
      <c r="AA232" s="13" t="str">
        <f>IFERROR(Z232/Z446, "NA")</f>
        <v>NA</v>
      </c>
      <c r="AB232" s="14"/>
      <c r="AC232" s="12">
        <v>0.0</v>
      </c>
      <c r="AD232" s="13" t="str">
        <f>IFERROR(AC232/AC446, "NA")</f>
        <v>NA</v>
      </c>
      <c r="AE232" s="14"/>
      <c r="AF232" s="12">
        <v>0.0</v>
      </c>
      <c r="AG232" s="13" t="str">
        <f>IFERROR(AF232/AF446, "NA")</f>
        <v>NA</v>
      </c>
      <c r="AH232" s="14"/>
      <c r="AI232" s="12">
        <v>0.0</v>
      </c>
      <c r="AJ232" s="13" t="str">
        <f>IFERROR(AI232/AI446, "NA")</f>
        <v>NA</v>
      </c>
      <c r="AK232" s="12"/>
      <c r="AL232" s="15">
        <f t="shared" si="33"/>
        <v>0</v>
      </c>
      <c r="AM232" s="13" t="str">
        <f>IFERROR(AL232/AL446, "NA")</f>
        <v>NA</v>
      </c>
      <c r="AN232" s="12"/>
      <c r="AO232" s="12">
        <v>0.0</v>
      </c>
      <c r="AP232" s="13" t="str">
        <f>IFERROR(AO232/AO446, "NA")</f>
        <v>NA</v>
      </c>
      <c r="AQ232" s="12"/>
      <c r="AR232" s="15">
        <f t="shared" si="34"/>
        <v>0</v>
      </c>
    </row>
    <row r="233" ht="16.5" hidden="1" customHeight="1">
      <c r="A233" s="11" t="s">
        <v>611</v>
      </c>
      <c r="B233" s="12">
        <v>0.0</v>
      </c>
      <c r="C233" s="13" t="str">
        <f>IFERROR(B233/B446, "NA")</f>
        <v>NA</v>
      </c>
      <c r="D233" s="14"/>
      <c r="E233" s="12">
        <v>0.0</v>
      </c>
      <c r="F233" s="13" t="str">
        <f>IFERROR(E233/E446, "NA")</f>
        <v>NA</v>
      </c>
      <c r="G233" s="14"/>
      <c r="H233" s="12">
        <v>0.0</v>
      </c>
      <c r="I233" s="13" t="str">
        <f>IFERROR(H233/H446, "NA")</f>
        <v>NA</v>
      </c>
      <c r="J233" s="14"/>
      <c r="K233" s="12">
        <v>0.0</v>
      </c>
      <c r="L233" s="13" t="str">
        <f>IFERROR(K233/K446, "NA")</f>
        <v>NA</v>
      </c>
      <c r="M233" s="14"/>
      <c r="N233" s="12">
        <v>0.0</v>
      </c>
      <c r="O233" s="13" t="str">
        <f>IFERROR(N233/N446, "NA")</f>
        <v>NA</v>
      </c>
      <c r="P233" s="14"/>
      <c r="Q233" s="12">
        <v>0.0</v>
      </c>
      <c r="R233" s="13" t="str">
        <f>IFERROR(Q233/Q446, "NA")</f>
        <v>NA</v>
      </c>
      <c r="S233" s="14"/>
      <c r="T233" s="12">
        <v>0.0</v>
      </c>
      <c r="U233" s="13" t="str">
        <f>IFERROR(T233/T446, "NA")</f>
        <v>NA</v>
      </c>
      <c r="V233" s="14"/>
      <c r="W233" s="12">
        <v>0.0</v>
      </c>
      <c r="X233" s="13" t="str">
        <f>IFERROR(W233/W446, "NA")</f>
        <v>NA</v>
      </c>
      <c r="Y233" s="14"/>
      <c r="Z233" s="12">
        <v>0.0</v>
      </c>
      <c r="AA233" s="13" t="str">
        <f>IFERROR(Z233/Z446, "NA")</f>
        <v>NA</v>
      </c>
      <c r="AB233" s="14"/>
      <c r="AC233" s="12">
        <v>0.0</v>
      </c>
      <c r="AD233" s="13" t="str">
        <f>IFERROR(AC233/AC446, "NA")</f>
        <v>NA</v>
      </c>
      <c r="AE233" s="14"/>
      <c r="AF233" s="12">
        <v>0.0</v>
      </c>
      <c r="AG233" s="13" t="str">
        <f>IFERROR(AF233/AF446, "NA")</f>
        <v>NA</v>
      </c>
      <c r="AH233" s="14"/>
      <c r="AI233" s="12">
        <v>0.0</v>
      </c>
      <c r="AJ233" s="13" t="str">
        <f>IFERROR(AI233/AI446, "NA")</f>
        <v>NA</v>
      </c>
      <c r="AK233" s="12"/>
      <c r="AL233" s="15">
        <f t="shared" si="33"/>
        <v>0</v>
      </c>
      <c r="AM233" s="13" t="str">
        <f>IFERROR(AL233/AL446, "NA")</f>
        <v>NA</v>
      </c>
      <c r="AN233" s="12"/>
      <c r="AO233" s="12">
        <v>0.0</v>
      </c>
      <c r="AP233" s="13" t="str">
        <f>IFERROR(AO233/AO446, "NA")</f>
        <v>NA</v>
      </c>
      <c r="AQ233" s="12"/>
      <c r="AR233" s="15">
        <f t="shared" si="34"/>
        <v>0</v>
      </c>
    </row>
    <row r="234" ht="16.5" hidden="1" customHeight="1">
      <c r="A234" s="11" t="s">
        <v>612</v>
      </c>
      <c r="B234" s="12">
        <v>0.0</v>
      </c>
      <c r="C234" s="13" t="str">
        <f>IFERROR(B234/B446, "NA")</f>
        <v>NA</v>
      </c>
      <c r="D234" s="14"/>
      <c r="E234" s="12">
        <v>0.0</v>
      </c>
      <c r="F234" s="13" t="str">
        <f>IFERROR(E234/E446, "NA")</f>
        <v>NA</v>
      </c>
      <c r="G234" s="14"/>
      <c r="H234" s="12">
        <v>0.0</v>
      </c>
      <c r="I234" s="13" t="str">
        <f>IFERROR(H234/H446, "NA")</f>
        <v>NA</v>
      </c>
      <c r="J234" s="14"/>
      <c r="K234" s="12">
        <v>0.0</v>
      </c>
      <c r="L234" s="13" t="str">
        <f>IFERROR(K234/K446, "NA")</f>
        <v>NA</v>
      </c>
      <c r="M234" s="14"/>
      <c r="N234" s="12">
        <v>0.0</v>
      </c>
      <c r="O234" s="13" t="str">
        <f>IFERROR(N234/N446, "NA")</f>
        <v>NA</v>
      </c>
      <c r="P234" s="14"/>
      <c r="Q234" s="12">
        <v>0.0</v>
      </c>
      <c r="R234" s="13" t="str">
        <f>IFERROR(Q234/Q446, "NA")</f>
        <v>NA</v>
      </c>
      <c r="S234" s="14"/>
      <c r="T234" s="12">
        <v>0.0</v>
      </c>
      <c r="U234" s="13" t="str">
        <f>IFERROR(T234/T446, "NA")</f>
        <v>NA</v>
      </c>
      <c r="V234" s="14"/>
      <c r="W234" s="12">
        <v>0.0</v>
      </c>
      <c r="X234" s="13" t="str">
        <f>IFERROR(W234/W446, "NA")</f>
        <v>NA</v>
      </c>
      <c r="Y234" s="14"/>
      <c r="Z234" s="12">
        <v>0.0</v>
      </c>
      <c r="AA234" s="13" t="str">
        <f>IFERROR(Z234/Z446, "NA")</f>
        <v>NA</v>
      </c>
      <c r="AB234" s="14"/>
      <c r="AC234" s="12">
        <v>0.0</v>
      </c>
      <c r="AD234" s="13" t="str">
        <f>IFERROR(AC234/AC446, "NA")</f>
        <v>NA</v>
      </c>
      <c r="AE234" s="14"/>
      <c r="AF234" s="12">
        <v>0.0</v>
      </c>
      <c r="AG234" s="13" t="str">
        <f>IFERROR(AF234/AF446, "NA")</f>
        <v>NA</v>
      </c>
      <c r="AH234" s="14"/>
      <c r="AI234" s="12">
        <v>0.0</v>
      </c>
      <c r="AJ234" s="13" t="str">
        <f>IFERROR(AI234/AI446, "NA")</f>
        <v>NA</v>
      </c>
      <c r="AK234" s="12"/>
      <c r="AL234" s="15">
        <f t="shared" si="33"/>
        <v>0</v>
      </c>
      <c r="AM234" s="13" t="str">
        <f>IFERROR(AL234/AL446, "NA")</f>
        <v>NA</v>
      </c>
      <c r="AN234" s="12"/>
      <c r="AO234" s="12">
        <v>0.0</v>
      </c>
      <c r="AP234" s="13" t="str">
        <f>IFERROR(AO234/AO446, "NA")</f>
        <v>NA</v>
      </c>
      <c r="AQ234" s="12"/>
      <c r="AR234" s="15">
        <f t="shared" si="34"/>
        <v>0</v>
      </c>
    </row>
    <row r="235" ht="16.5" hidden="1" customHeight="1">
      <c r="A235" s="11" t="s">
        <v>613</v>
      </c>
      <c r="B235" s="12">
        <v>0.0</v>
      </c>
      <c r="C235" s="13" t="str">
        <f>IFERROR(B235/B446, "NA")</f>
        <v>NA</v>
      </c>
      <c r="D235" s="14"/>
      <c r="E235" s="12">
        <v>0.0</v>
      </c>
      <c r="F235" s="13" t="str">
        <f>IFERROR(E235/E446, "NA")</f>
        <v>NA</v>
      </c>
      <c r="G235" s="14"/>
      <c r="H235" s="12">
        <v>0.0</v>
      </c>
      <c r="I235" s="13" t="str">
        <f>IFERROR(H235/H446, "NA")</f>
        <v>NA</v>
      </c>
      <c r="J235" s="14"/>
      <c r="K235" s="12">
        <v>0.0</v>
      </c>
      <c r="L235" s="13" t="str">
        <f>IFERROR(K235/K446, "NA")</f>
        <v>NA</v>
      </c>
      <c r="M235" s="14"/>
      <c r="N235" s="12">
        <v>0.0</v>
      </c>
      <c r="O235" s="13" t="str">
        <f>IFERROR(N235/N446, "NA")</f>
        <v>NA</v>
      </c>
      <c r="P235" s="14"/>
      <c r="Q235" s="12">
        <v>0.0</v>
      </c>
      <c r="R235" s="13" t="str">
        <f>IFERROR(Q235/Q446, "NA")</f>
        <v>NA</v>
      </c>
      <c r="S235" s="14"/>
      <c r="T235" s="12">
        <v>0.0</v>
      </c>
      <c r="U235" s="13" t="str">
        <f>IFERROR(T235/T446, "NA")</f>
        <v>NA</v>
      </c>
      <c r="V235" s="14"/>
      <c r="W235" s="12">
        <v>0.0</v>
      </c>
      <c r="X235" s="13" t="str">
        <f>IFERROR(W235/W446, "NA")</f>
        <v>NA</v>
      </c>
      <c r="Y235" s="14"/>
      <c r="Z235" s="12">
        <v>0.0</v>
      </c>
      <c r="AA235" s="13" t="str">
        <f>IFERROR(Z235/Z446, "NA")</f>
        <v>NA</v>
      </c>
      <c r="AB235" s="14"/>
      <c r="AC235" s="12">
        <v>0.0</v>
      </c>
      <c r="AD235" s="13" t="str">
        <f>IFERROR(AC235/AC446, "NA")</f>
        <v>NA</v>
      </c>
      <c r="AE235" s="14"/>
      <c r="AF235" s="12">
        <v>0.0</v>
      </c>
      <c r="AG235" s="13" t="str">
        <f>IFERROR(AF235/AF446, "NA")</f>
        <v>NA</v>
      </c>
      <c r="AH235" s="14"/>
      <c r="AI235" s="12">
        <v>0.0</v>
      </c>
      <c r="AJ235" s="13" t="str">
        <f>IFERROR(AI235/AI446, "NA")</f>
        <v>NA</v>
      </c>
      <c r="AK235" s="12"/>
      <c r="AL235" s="15">
        <f t="shared" si="33"/>
        <v>0</v>
      </c>
      <c r="AM235" s="13" t="str">
        <f>IFERROR(AL235/AL446, "NA")</f>
        <v>NA</v>
      </c>
      <c r="AN235" s="12"/>
      <c r="AO235" s="12">
        <v>0.0</v>
      </c>
      <c r="AP235" s="13" t="str">
        <f>IFERROR(AO235/AO446, "NA")</f>
        <v>NA</v>
      </c>
      <c r="AQ235" s="12"/>
      <c r="AR235" s="15">
        <f t="shared" si="34"/>
        <v>0</v>
      </c>
    </row>
    <row r="236" ht="16.5" customHeight="1">
      <c r="A236" s="16" t="s">
        <v>218</v>
      </c>
      <c r="B236" s="17">
        <f>IFERROR(B229+B230+B231+B232+B233+B234+B235, "NA")</f>
        <v>0</v>
      </c>
      <c r="C236" s="18" t="str">
        <f>IFERROR(B236/B446, "NA")</f>
        <v>NA</v>
      </c>
      <c r="D236" s="8"/>
      <c r="E236" s="17">
        <f>IFERROR(E229+E230+E231+E232+E233+E234+E235, "NA")</f>
        <v>0</v>
      </c>
      <c r="F236" s="18" t="str">
        <f>IFERROR(E236/E446, "NA")</f>
        <v>NA</v>
      </c>
      <c r="G236" s="8"/>
      <c r="H236" s="17">
        <f>IFERROR(H229+H230+H231+H232+H233+H234+H235, "NA")</f>
        <v>0</v>
      </c>
      <c r="I236" s="18" t="str">
        <f>IFERROR(H236/H446, "NA")</f>
        <v>NA</v>
      </c>
      <c r="J236" s="8"/>
      <c r="K236" s="17">
        <f>IFERROR(K229+K230+K231+K232+K233+K234+K235, "NA")</f>
        <v>0</v>
      </c>
      <c r="L236" s="18" t="str">
        <f>IFERROR(K236/K446, "NA")</f>
        <v>NA</v>
      </c>
      <c r="M236" s="8"/>
      <c r="N236" s="17">
        <f>IFERROR(N229+N230+N231+N232+N233+N234+N235, "NA")</f>
        <v>0</v>
      </c>
      <c r="O236" s="18" t="str">
        <f>IFERROR(N236/N446, "NA")</f>
        <v>NA</v>
      </c>
      <c r="P236" s="8"/>
      <c r="Q236" s="17">
        <f>IFERROR(Q229+Q230+Q231+Q232+Q233+Q234+Q235, "NA")</f>
        <v>0</v>
      </c>
      <c r="R236" s="18" t="str">
        <f>IFERROR(Q236/Q446, "NA")</f>
        <v>NA</v>
      </c>
      <c r="S236" s="8"/>
      <c r="T236" s="17">
        <f>IFERROR(T229+T230+T231+T232+T233+T234+T235, "NA")</f>
        <v>0</v>
      </c>
      <c r="U236" s="18" t="str">
        <f>IFERROR(T236/T446, "NA")</f>
        <v>NA</v>
      </c>
      <c r="V236" s="8"/>
      <c r="W236" s="17">
        <f>IFERROR(W229+W230+W231+W232+W233+W234+W235, "NA")</f>
        <v>0</v>
      </c>
      <c r="X236" s="18" t="str">
        <f>IFERROR(W236/W446, "NA")</f>
        <v>NA</v>
      </c>
      <c r="Y236" s="8"/>
      <c r="Z236" s="17">
        <f>IFERROR(Z229+Z230+Z231+Z232+Z233+Z234+Z235, "NA")</f>
        <v>0</v>
      </c>
      <c r="AA236" s="18" t="str">
        <f>IFERROR(Z236/Z446, "NA")</f>
        <v>NA</v>
      </c>
      <c r="AB236" s="8"/>
      <c r="AC236" s="17">
        <f>IFERROR(AC229+AC230+AC231+AC232+AC233+AC234+AC235, "NA")</f>
        <v>0</v>
      </c>
      <c r="AD236" s="18" t="str">
        <f>IFERROR(AC236/AC446, "NA")</f>
        <v>NA</v>
      </c>
      <c r="AE236" s="8"/>
      <c r="AF236" s="17">
        <f>IFERROR(AF229+AF230+AF231+AF232+AF233+AF234+AF235, "NA")</f>
        <v>0</v>
      </c>
      <c r="AG236" s="18" t="str">
        <f>IFERROR(AF236/AF446, "NA")</f>
        <v>NA</v>
      </c>
      <c r="AH236" s="8"/>
      <c r="AI236" s="17">
        <f>IFERROR(AI229+AI230+AI231+AI232+AI233+AI234+AI235, "NA")</f>
        <v>0</v>
      </c>
      <c r="AJ236" s="18" t="str">
        <f>IFERROR(AI236/AI446, "NA")</f>
        <v>NA</v>
      </c>
      <c r="AK236" s="8"/>
      <c r="AL236" s="17">
        <f t="shared" si="33"/>
        <v>0</v>
      </c>
      <c r="AM236" s="18" t="str">
        <f>IFERROR(AL236/AL446, "NA")</f>
        <v>NA</v>
      </c>
      <c r="AN236" s="8"/>
      <c r="AO236" s="17">
        <f>IFERROR(AO229+AO230+AO231+AO232+AO233+AO234+AO235, "NA")</f>
        <v>0</v>
      </c>
      <c r="AP236" s="18" t="str">
        <f>IFERROR(AO236/AO446, "NA")</f>
        <v>NA</v>
      </c>
      <c r="AQ236" s="8"/>
      <c r="AR236" s="17">
        <f t="shared" si="34"/>
        <v>0</v>
      </c>
    </row>
    <row r="237" ht="16.5" customHeight="1">
      <c r="A237" s="7" t="s">
        <v>219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  <c r="AE237" s="10"/>
      <c r="AF237" s="8"/>
      <c r="AG237" s="9"/>
      <c r="AH237" s="10"/>
      <c r="AI237" s="8"/>
      <c r="AJ237" s="9"/>
      <c r="AK237" s="8"/>
      <c r="AL237" s="8"/>
      <c r="AM237" s="9"/>
      <c r="AN237" s="8"/>
      <c r="AO237" s="8"/>
      <c r="AP237" s="9"/>
      <c r="AQ237" s="8"/>
      <c r="AR237" s="8"/>
    </row>
    <row r="238" ht="16.5" hidden="1" customHeight="1">
      <c r="A238" s="11" t="s">
        <v>614</v>
      </c>
      <c r="B238" s="12">
        <v>0.0</v>
      </c>
      <c r="C238" s="13" t="str">
        <f>IFERROR(B238/B446, "NA")</f>
        <v>NA</v>
      </c>
      <c r="D238" s="14"/>
      <c r="E238" s="12">
        <v>0.0</v>
      </c>
      <c r="F238" s="13" t="str">
        <f>IFERROR(E238/E446, "NA")</f>
        <v>NA</v>
      </c>
      <c r="G238" s="14"/>
      <c r="H238" s="12">
        <v>0.0</v>
      </c>
      <c r="I238" s="13" t="str">
        <f>IFERROR(H238/H446, "NA")</f>
        <v>NA</v>
      </c>
      <c r="J238" s="14"/>
      <c r="K238" s="12">
        <v>0.0</v>
      </c>
      <c r="L238" s="13" t="str">
        <f>IFERROR(K238/K446, "NA")</f>
        <v>NA</v>
      </c>
      <c r="M238" s="14"/>
      <c r="N238" s="12">
        <v>0.0</v>
      </c>
      <c r="O238" s="13" t="str">
        <f>IFERROR(N238/N446, "NA")</f>
        <v>NA</v>
      </c>
      <c r="P238" s="14"/>
      <c r="Q238" s="12">
        <v>0.0</v>
      </c>
      <c r="R238" s="13" t="str">
        <f>IFERROR(Q238/Q446, "NA")</f>
        <v>NA</v>
      </c>
      <c r="S238" s="14"/>
      <c r="T238" s="12">
        <v>0.0</v>
      </c>
      <c r="U238" s="13" t="str">
        <f>IFERROR(T238/T446, "NA")</f>
        <v>NA</v>
      </c>
      <c r="V238" s="14"/>
      <c r="W238" s="12">
        <v>0.0</v>
      </c>
      <c r="X238" s="13" t="str">
        <f>IFERROR(W238/W446, "NA")</f>
        <v>NA</v>
      </c>
      <c r="Y238" s="14"/>
      <c r="Z238" s="12">
        <v>0.0</v>
      </c>
      <c r="AA238" s="13" t="str">
        <f>IFERROR(Z238/Z446, "NA")</f>
        <v>NA</v>
      </c>
      <c r="AB238" s="14"/>
      <c r="AC238" s="12">
        <v>0.0</v>
      </c>
      <c r="AD238" s="13" t="str">
        <f>IFERROR(AC238/AC446, "NA")</f>
        <v>NA</v>
      </c>
      <c r="AE238" s="14"/>
      <c r="AF238" s="12">
        <v>0.0</v>
      </c>
      <c r="AG238" s="13" t="str">
        <f>IFERROR(AF238/AF446, "NA")</f>
        <v>NA</v>
      </c>
      <c r="AH238" s="14"/>
      <c r="AI238" s="12">
        <v>0.0</v>
      </c>
      <c r="AJ238" s="13" t="str">
        <f>IFERROR(AI238/AI446, "NA")</f>
        <v>NA</v>
      </c>
      <c r="AK238" s="12"/>
      <c r="AL238" s="15">
        <f>IFERROR(B238+E238+H238+K238+N238+Q238+T238+W238+Z238+AC238+AF238+AI238, "NA")</f>
        <v>0</v>
      </c>
      <c r="AM238" s="13" t="str">
        <f>IFERROR(AL238/AL446, "NA")</f>
        <v>NA</v>
      </c>
      <c r="AN238" s="12"/>
      <c r="AO238" s="12">
        <v>0.0</v>
      </c>
      <c r="AP238" s="13" t="str">
        <f>IFERROR(AO238/AO446, "NA")</f>
        <v>NA</v>
      </c>
      <c r="AQ238" s="12"/>
      <c r="AR238" s="15">
        <f>IFERROR(AL238-AO238, "NA")</f>
        <v>0</v>
      </c>
    </row>
    <row r="239" ht="16.5" customHeight="1">
      <c r="A239" s="7" t="s">
        <v>220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  <c r="AE239" s="10"/>
      <c r="AF239" s="8"/>
      <c r="AG239" s="9"/>
      <c r="AH239" s="10"/>
      <c r="AI239" s="8"/>
      <c r="AJ239" s="9"/>
      <c r="AK239" s="8"/>
      <c r="AL239" s="8"/>
      <c r="AM239" s="9"/>
      <c r="AN239" s="8"/>
      <c r="AO239" s="8"/>
      <c r="AP239" s="9"/>
      <c r="AQ239" s="8"/>
      <c r="AR239" s="8"/>
    </row>
    <row r="240" ht="16.5" hidden="1" customHeight="1">
      <c r="A240" s="11" t="s">
        <v>615</v>
      </c>
      <c r="B240" s="12">
        <v>0.0</v>
      </c>
      <c r="C240" s="13" t="str">
        <f>IFERROR(B240/B446, "NA")</f>
        <v>NA</v>
      </c>
      <c r="D240" s="14"/>
      <c r="E240" s="12">
        <v>0.0</v>
      </c>
      <c r="F240" s="13" t="str">
        <f>IFERROR(E240/E446, "NA")</f>
        <v>NA</v>
      </c>
      <c r="G240" s="14"/>
      <c r="H240" s="12">
        <v>0.0</v>
      </c>
      <c r="I240" s="13" t="str">
        <f>IFERROR(H240/H446, "NA")</f>
        <v>NA</v>
      </c>
      <c r="J240" s="14"/>
      <c r="K240" s="12">
        <v>0.0</v>
      </c>
      <c r="L240" s="13" t="str">
        <f>IFERROR(K240/K446, "NA")</f>
        <v>NA</v>
      </c>
      <c r="M240" s="14"/>
      <c r="N240" s="12">
        <v>0.0</v>
      </c>
      <c r="O240" s="13" t="str">
        <f>IFERROR(N240/N446, "NA")</f>
        <v>NA</v>
      </c>
      <c r="P240" s="14"/>
      <c r="Q240" s="12">
        <v>0.0</v>
      </c>
      <c r="R240" s="13" t="str">
        <f>IFERROR(Q240/Q446, "NA")</f>
        <v>NA</v>
      </c>
      <c r="S240" s="14"/>
      <c r="T240" s="12">
        <v>0.0</v>
      </c>
      <c r="U240" s="13" t="str">
        <f>IFERROR(T240/T446, "NA")</f>
        <v>NA</v>
      </c>
      <c r="V240" s="14"/>
      <c r="W240" s="12">
        <v>0.0</v>
      </c>
      <c r="X240" s="13" t="str">
        <f>IFERROR(W240/W446, "NA")</f>
        <v>NA</v>
      </c>
      <c r="Y240" s="14"/>
      <c r="Z240" s="12">
        <v>0.0</v>
      </c>
      <c r="AA240" s="13" t="str">
        <f>IFERROR(Z240/Z446, "NA")</f>
        <v>NA</v>
      </c>
      <c r="AB240" s="14"/>
      <c r="AC240" s="12">
        <v>0.0</v>
      </c>
      <c r="AD240" s="13" t="str">
        <f>IFERROR(AC240/AC446, "NA")</f>
        <v>NA</v>
      </c>
      <c r="AE240" s="14"/>
      <c r="AF240" s="12">
        <v>0.0</v>
      </c>
      <c r="AG240" s="13" t="str">
        <f>IFERROR(AF240/AF446, "NA")</f>
        <v>NA</v>
      </c>
      <c r="AH240" s="14"/>
      <c r="AI240" s="12">
        <v>0.0</v>
      </c>
      <c r="AJ240" s="13" t="str">
        <f>IFERROR(AI240/AI446, "NA")</f>
        <v>NA</v>
      </c>
      <c r="AK240" s="12"/>
      <c r="AL240" s="15">
        <f t="shared" ref="AL240:AL264" si="35">IFERROR(B240+E240+H240+K240+N240+Q240+T240+W240+Z240+AC240+AF240+AI240, "NA")</f>
        <v>0</v>
      </c>
      <c r="AM240" s="13" t="str">
        <f>IFERROR(AL240/AL446, "NA")</f>
        <v>NA</v>
      </c>
      <c r="AN240" s="12"/>
      <c r="AO240" s="12">
        <v>0.0</v>
      </c>
      <c r="AP240" s="13" t="str">
        <f>IFERROR(AO240/AO446, "NA")</f>
        <v>NA</v>
      </c>
      <c r="AQ240" s="12"/>
      <c r="AR240" s="15">
        <f t="shared" ref="AR240:AR264" si="36">IFERROR(AL240-AO240, "NA")</f>
        <v>0</v>
      </c>
    </row>
    <row r="241" ht="16.5" hidden="1" customHeight="1">
      <c r="A241" s="11" t="s">
        <v>616</v>
      </c>
      <c r="B241" s="12">
        <v>0.0</v>
      </c>
      <c r="C241" s="13" t="str">
        <f>IFERROR(B241/B446, "NA")</f>
        <v>NA</v>
      </c>
      <c r="D241" s="14"/>
      <c r="E241" s="12">
        <v>0.0</v>
      </c>
      <c r="F241" s="13" t="str">
        <f>IFERROR(E241/E446, "NA")</f>
        <v>NA</v>
      </c>
      <c r="G241" s="14"/>
      <c r="H241" s="12">
        <v>0.0</v>
      </c>
      <c r="I241" s="13" t="str">
        <f>IFERROR(H241/H446, "NA")</f>
        <v>NA</v>
      </c>
      <c r="J241" s="14"/>
      <c r="K241" s="12">
        <v>0.0</v>
      </c>
      <c r="L241" s="13" t="str">
        <f>IFERROR(K241/K446, "NA")</f>
        <v>NA</v>
      </c>
      <c r="M241" s="14"/>
      <c r="N241" s="12">
        <v>0.0</v>
      </c>
      <c r="O241" s="13" t="str">
        <f>IFERROR(N241/N446, "NA")</f>
        <v>NA</v>
      </c>
      <c r="P241" s="14"/>
      <c r="Q241" s="12">
        <v>0.0</v>
      </c>
      <c r="R241" s="13" t="str">
        <f>IFERROR(Q241/Q446, "NA")</f>
        <v>NA</v>
      </c>
      <c r="S241" s="14"/>
      <c r="T241" s="12">
        <v>0.0</v>
      </c>
      <c r="U241" s="13" t="str">
        <f>IFERROR(T241/T446, "NA")</f>
        <v>NA</v>
      </c>
      <c r="V241" s="14"/>
      <c r="W241" s="12">
        <v>0.0</v>
      </c>
      <c r="X241" s="13" t="str">
        <f>IFERROR(W241/W446, "NA")</f>
        <v>NA</v>
      </c>
      <c r="Y241" s="14"/>
      <c r="Z241" s="12">
        <v>0.0</v>
      </c>
      <c r="AA241" s="13" t="str">
        <f>IFERROR(Z241/Z446, "NA")</f>
        <v>NA</v>
      </c>
      <c r="AB241" s="14"/>
      <c r="AC241" s="12">
        <v>0.0</v>
      </c>
      <c r="AD241" s="13" t="str">
        <f>IFERROR(AC241/AC446, "NA")</f>
        <v>NA</v>
      </c>
      <c r="AE241" s="14"/>
      <c r="AF241" s="12">
        <v>0.0</v>
      </c>
      <c r="AG241" s="13" t="str">
        <f>IFERROR(AF241/AF446, "NA")</f>
        <v>NA</v>
      </c>
      <c r="AH241" s="14"/>
      <c r="AI241" s="12">
        <v>0.0</v>
      </c>
      <c r="AJ241" s="13" t="str">
        <f>IFERROR(AI241/AI446, "NA")</f>
        <v>NA</v>
      </c>
      <c r="AK241" s="12"/>
      <c r="AL241" s="15">
        <f t="shared" si="35"/>
        <v>0</v>
      </c>
      <c r="AM241" s="13" t="str">
        <f>IFERROR(AL241/AL446, "NA")</f>
        <v>NA</v>
      </c>
      <c r="AN241" s="12"/>
      <c r="AO241" s="12">
        <v>0.0</v>
      </c>
      <c r="AP241" s="13" t="str">
        <f>IFERROR(AO241/AO446, "NA")</f>
        <v>NA</v>
      </c>
      <c r="AQ241" s="12"/>
      <c r="AR241" s="15">
        <f t="shared" si="36"/>
        <v>0</v>
      </c>
    </row>
    <row r="242" ht="16.5" hidden="1" customHeight="1">
      <c r="A242" s="11" t="s">
        <v>617</v>
      </c>
      <c r="B242" s="12">
        <v>0.0</v>
      </c>
      <c r="C242" s="13" t="str">
        <f>IFERROR(B242/B446, "NA")</f>
        <v>NA</v>
      </c>
      <c r="D242" s="14"/>
      <c r="E242" s="12">
        <v>0.0</v>
      </c>
      <c r="F242" s="13" t="str">
        <f>IFERROR(E242/E446, "NA")</f>
        <v>NA</v>
      </c>
      <c r="G242" s="14"/>
      <c r="H242" s="12">
        <v>0.0</v>
      </c>
      <c r="I242" s="13" t="str">
        <f>IFERROR(H242/H446, "NA")</f>
        <v>NA</v>
      </c>
      <c r="J242" s="14"/>
      <c r="K242" s="12">
        <v>0.0</v>
      </c>
      <c r="L242" s="13" t="str">
        <f>IFERROR(K242/K446, "NA")</f>
        <v>NA</v>
      </c>
      <c r="M242" s="14"/>
      <c r="N242" s="12">
        <v>0.0</v>
      </c>
      <c r="O242" s="13" t="str">
        <f>IFERROR(N242/N446, "NA")</f>
        <v>NA</v>
      </c>
      <c r="P242" s="14"/>
      <c r="Q242" s="12">
        <v>0.0</v>
      </c>
      <c r="R242" s="13" t="str">
        <f>IFERROR(Q242/Q446, "NA")</f>
        <v>NA</v>
      </c>
      <c r="S242" s="14"/>
      <c r="T242" s="12">
        <v>0.0</v>
      </c>
      <c r="U242" s="13" t="str">
        <f>IFERROR(T242/T446, "NA")</f>
        <v>NA</v>
      </c>
      <c r="V242" s="14"/>
      <c r="W242" s="12">
        <v>0.0</v>
      </c>
      <c r="X242" s="13" t="str">
        <f>IFERROR(W242/W446, "NA")</f>
        <v>NA</v>
      </c>
      <c r="Y242" s="14"/>
      <c r="Z242" s="12">
        <v>0.0</v>
      </c>
      <c r="AA242" s="13" t="str">
        <f>IFERROR(Z242/Z446, "NA")</f>
        <v>NA</v>
      </c>
      <c r="AB242" s="14"/>
      <c r="AC242" s="12">
        <v>0.0</v>
      </c>
      <c r="AD242" s="13" t="str">
        <f>IFERROR(AC242/AC446, "NA")</f>
        <v>NA</v>
      </c>
      <c r="AE242" s="14"/>
      <c r="AF242" s="12">
        <v>0.0</v>
      </c>
      <c r="AG242" s="13" t="str">
        <f>IFERROR(AF242/AF446, "NA")</f>
        <v>NA</v>
      </c>
      <c r="AH242" s="14"/>
      <c r="AI242" s="12">
        <v>0.0</v>
      </c>
      <c r="AJ242" s="13" t="str">
        <f>IFERROR(AI242/AI446, "NA")</f>
        <v>NA</v>
      </c>
      <c r="AK242" s="12"/>
      <c r="AL242" s="15">
        <f t="shared" si="35"/>
        <v>0</v>
      </c>
      <c r="AM242" s="13" t="str">
        <f>IFERROR(AL242/AL446, "NA")</f>
        <v>NA</v>
      </c>
      <c r="AN242" s="12"/>
      <c r="AO242" s="12">
        <v>0.0</v>
      </c>
      <c r="AP242" s="13" t="str">
        <f>IFERROR(AO242/AO446, "NA")</f>
        <v>NA</v>
      </c>
      <c r="AQ242" s="12"/>
      <c r="AR242" s="15">
        <f t="shared" si="36"/>
        <v>0</v>
      </c>
    </row>
    <row r="243" ht="16.5" hidden="1" customHeight="1">
      <c r="A243" s="11" t="s">
        <v>618</v>
      </c>
      <c r="B243" s="12">
        <v>0.0</v>
      </c>
      <c r="C243" s="13" t="str">
        <f>IFERROR(B243/B446, "NA")</f>
        <v>NA</v>
      </c>
      <c r="D243" s="14"/>
      <c r="E243" s="12">
        <v>0.0</v>
      </c>
      <c r="F243" s="13" t="str">
        <f>IFERROR(E243/E446, "NA")</f>
        <v>NA</v>
      </c>
      <c r="G243" s="14"/>
      <c r="H243" s="12">
        <v>0.0</v>
      </c>
      <c r="I243" s="13" t="str">
        <f>IFERROR(H243/H446, "NA")</f>
        <v>NA</v>
      </c>
      <c r="J243" s="14"/>
      <c r="K243" s="12">
        <v>0.0</v>
      </c>
      <c r="L243" s="13" t="str">
        <f>IFERROR(K243/K446, "NA")</f>
        <v>NA</v>
      </c>
      <c r="M243" s="14"/>
      <c r="N243" s="12">
        <v>0.0</v>
      </c>
      <c r="O243" s="13" t="str">
        <f>IFERROR(N243/N446, "NA")</f>
        <v>NA</v>
      </c>
      <c r="P243" s="14"/>
      <c r="Q243" s="12">
        <v>0.0</v>
      </c>
      <c r="R243" s="13" t="str">
        <f>IFERROR(Q243/Q446, "NA")</f>
        <v>NA</v>
      </c>
      <c r="S243" s="14"/>
      <c r="T243" s="12">
        <v>0.0</v>
      </c>
      <c r="U243" s="13" t="str">
        <f>IFERROR(T243/T446, "NA")</f>
        <v>NA</v>
      </c>
      <c r="V243" s="14"/>
      <c r="W243" s="12">
        <v>0.0</v>
      </c>
      <c r="X243" s="13" t="str">
        <f>IFERROR(W243/W446, "NA")</f>
        <v>NA</v>
      </c>
      <c r="Y243" s="14"/>
      <c r="Z243" s="12">
        <v>0.0</v>
      </c>
      <c r="AA243" s="13" t="str">
        <f>IFERROR(Z243/Z446, "NA")</f>
        <v>NA</v>
      </c>
      <c r="AB243" s="14"/>
      <c r="AC243" s="12">
        <v>0.0</v>
      </c>
      <c r="AD243" s="13" t="str">
        <f>IFERROR(AC243/AC446, "NA")</f>
        <v>NA</v>
      </c>
      <c r="AE243" s="14"/>
      <c r="AF243" s="12">
        <v>0.0</v>
      </c>
      <c r="AG243" s="13" t="str">
        <f>IFERROR(AF243/AF446, "NA")</f>
        <v>NA</v>
      </c>
      <c r="AH243" s="14"/>
      <c r="AI243" s="12">
        <v>0.0</v>
      </c>
      <c r="AJ243" s="13" t="str">
        <f>IFERROR(AI243/AI446, "NA")</f>
        <v>NA</v>
      </c>
      <c r="AK243" s="12"/>
      <c r="AL243" s="15">
        <f t="shared" si="35"/>
        <v>0</v>
      </c>
      <c r="AM243" s="13" t="str">
        <f>IFERROR(AL243/AL446, "NA")</f>
        <v>NA</v>
      </c>
      <c r="AN243" s="12"/>
      <c r="AO243" s="12">
        <v>0.0</v>
      </c>
      <c r="AP243" s="13" t="str">
        <f>IFERROR(AO243/AO446, "NA")</f>
        <v>NA</v>
      </c>
      <c r="AQ243" s="12"/>
      <c r="AR243" s="15">
        <f t="shared" si="36"/>
        <v>0</v>
      </c>
    </row>
    <row r="244" ht="16.5" hidden="1" customHeight="1">
      <c r="A244" s="11" t="s">
        <v>619</v>
      </c>
      <c r="B244" s="12">
        <v>0.0</v>
      </c>
      <c r="C244" s="13" t="str">
        <f>IFERROR(B244/B446, "NA")</f>
        <v>NA</v>
      </c>
      <c r="D244" s="14"/>
      <c r="E244" s="12">
        <v>0.0</v>
      </c>
      <c r="F244" s="13" t="str">
        <f>IFERROR(E244/E446, "NA")</f>
        <v>NA</v>
      </c>
      <c r="G244" s="14"/>
      <c r="H244" s="12">
        <v>0.0</v>
      </c>
      <c r="I244" s="13" t="str">
        <f>IFERROR(H244/H446, "NA")</f>
        <v>NA</v>
      </c>
      <c r="J244" s="14"/>
      <c r="K244" s="12">
        <v>0.0</v>
      </c>
      <c r="L244" s="13" t="str">
        <f>IFERROR(K244/K446, "NA")</f>
        <v>NA</v>
      </c>
      <c r="M244" s="14"/>
      <c r="N244" s="12">
        <v>0.0</v>
      </c>
      <c r="O244" s="13" t="str">
        <f>IFERROR(N244/N446, "NA")</f>
        <v>NA</v>
      </c>
      <c r="P244" s="14"/>
      <c r="Q244" s="12">
        <v>0.0</v>
      </c>
      <c r="R244" s="13" t="str">
        <f>IFERROR(Q244/Q446, "NA")</f>
        <v>NA</v>
      </c>
      <c r="S244" s="14"/>
      <c r="T244" s="12">
        <v>0.0</v>
      </c>
      <c r="U244" s="13" t="str">
        <f>IFERROR(T244/T446, "NA")</f>
        <v>NA</v>
      </c>
      <c r="V244" s="14"/>
      <c r="W244" s="12">
        <v>0.0</v>
      </c>
      <c r="X244" s="13" t="str">
        <f>IFERROR(W244/W446, "NA")</f>
        <v>NA</v>
      </c>
      <c r="Y244" s="14"/>
      <c r="Z244" s="12">
        <v>0.0</v>
      </c>
      <c r="AA244" s="13" t="str">
        <f>IFERROR(Z244/Z446, "NA")</f>
        <v>NA</v>
      </c>
      <c r="AB244" s="14"/>
      <c r="AC244" s="12">
        <v>0.0</v>
      </c>
      <c r="AD244" s="13" t="str">
        <f>IFERROR(AC244/AC446, "NA")</f>
        <v>NA</v>
      </c>
      <c r="AE244" s="14"/>
      <c r="AF244" s="12">
        <v>0.0</v>
      </c>
      <c r="AG244" s="13" t="str">
        <f>IFERROR(AF244/AF446, "NA")</f>
        <v>NA</v>
      </c>
      <c r="AH244" s="14"/>
      <c r="AI244" s="12">
        <v>0.0</v>
      </c>
      <c r="AJ244" s="13" t="str">
        <f>IFERROR(AI244/AI446, "NA")</f>
        <v>NA</v>
      </c>
      <c r="AK244" s="12"/>
      <c r="AL244" s="15">
        <f t="shared" si="35"/>
        <v>0</v>
      </c>
      <c r="AM244" s="13" t="str">
        <f>IFERROR(AL244/AL446, "NA")</f>
        <v>NA</v>
      </c>
      <c r="AN244" s="12"/>
      <c r="AO244" s="12">
        <v>0.0</v>
      </c>
      <c r="AP244" s="13" t="str">
        <f>IFERROR(AO244/AO446, "NA")</f>
        <v>NA</v>
      </c>
      <c r="AQ244" s="12"/>
      <c r="AR244" s="15">
        <f t="shared" si="36"/>
        <v>0</v>
      </c>
    </row>
    <row r="245" ht="16.5" hidden="1" customHeight="1">
      <c r="A245" s="11" t="s">
        <v>620</v>
      </c>
      <c r="B245" s="12">
        <v>0.0</v>
      </c>
      <c r="C245" s="13" t="str">
        <f>IFERROR(B245/B446, "NA")</f>
        <v>NA</v>
      </c>
      <c r="D245" s="14"/>
      <c r="E245" s="12">
        <v>0.0</v>
      </c>
      <c r="F245" s="13" t="str">
        <f>IFERROR(E245/E446, "NA")</f>
        <v>NA</v>
      </c>
      <c r="G245" s="14"/>
      <c r="H245" s="12">
        <v>0.0</v>
      </c>
      <c r="I245" s="13" t="str">
        <f>IFERROR(H245/H446, "NA")</f>
        <v>NA</v>
      </c>
      <c r="J245" s="14"/>
      <c r="K245" s="12">
        <v>0.0</v>
      </c>
      <c r="L245" s="13" t="str">
        <f>IFERROR(K245/K446, "NA")</f>
        <v>NA</v>
      </c>
      <c r="M245" s="14"/>
      <c r="N245" s="12">
        <v>0.0</v>
      </c>
      <c r="O245" s="13" t="str">
        <f>IFERROR(N245/N446, "NA")</f>
        <v>NA</v>
      </c>
      <c r="P245" s="14"/>
      <c r="Q245" s="12">
        <v>0.0</v>
      </c>
      <c r="R245" s="13" t="str">
        <f>IFERROR(Q245/Q446, "NA")</f>
        <v>NA</v>
      </c>
      <c r="S245" s="14"/>
      <c r="T245" s="12">
        <v>0.0</v>
      </c>
      <c r="U245" s="13" t="str">
        <f>IFERROR(T245/T446, "NA")</f>
        <v>NA</v>
      </c>
      <c r="V245" s="14"/>
      <c r="W245" s="12">
        <v>0.0</v>
      </c>
      <c r="X245" s="13" t="str">
        <f>IFERROR(W245/W446, "NA")</f>
        <v>NA</v>
      </c>
      <c r="Y245" s="14"/>
      <c r="Z245" s="12">
        <v>0.0</v>
      </c>
      <c r="AA245" s="13" t="str">
        <f>IFERROR(Z245/Z446, "NA")</f>
        <v>NA</v>
      </c>
      <c r="AB245" s="14"/>
      <c r="AC245" s="12">
        <v>0.0</v>
      </c>
      <c r="AD245" s="13" t="str">
        <f>IFERROR(AC245/AC446, "NA")</f>
        <v>NA</v>
      </c>
      <c r="AE245" s="14"/>
      <c r="AF245" s="12">
        <v>0.0</v>
      </c>
      <c r="AG245" s="13" t="str">
        <f>IFERROR(AF245/AF446, "NA")</f>
        <v>NA</v>
      </c>
      <c r="AH245" s="14"/>
      <c r="AI245" s="12">
        <v>0.0</v>
      </c>
      <c r="AJ245" s="13" t="str">
        <f>IFERROR(AI245/AI446, "NA")</f>
        <v>NA</v>
      </c>
      <c r="AK245" s="12"/>
      <c r="AL245" s="15">
        <f t="shared" si="35"/>
        <v>0</v>
      </c>
      <c r="AM245" s="13" t="str">
        <f>IFERROR(AL245/AL446, "NA")</f>
        <v>NA</v>
      </c>
      <c r="AN245" s="12"/>
      <c r="AO245" s="12">
        <v>0.0</v>
      </c>
      <c r="AP245" s="13" t="str">
        <f>IFERROR(AO245/AO446, "NA")</f>
        <v>NA</v>
      </c>
      <c r="AQ245" s="12"/>
      <c r="AR245" s="15">
        <f t="shared" si="36"/>
        <v>0</v>
      </c>
    </row>
    <row r="246" ht="16.5" hidden="1" customHeight="1">
      <c r="A246" s="11" t="s">
        <v>621</v>
      </c>
      <c r="B246" s="12">
        <v>0.0</v>
      </c>
      <c r="C246" s="13" t="str">
        <f>IFERROR(B246/B446, "NA")</f>
        <v>NA</v>
      </c>
      <c r="D246" s="14"/>
      <c r="E246" s="12">
        <v>0.0</v>
      </c>
      <c r="F246" s="13" t="str">
        <f>IFERROR(E246/E446, "NA")</f>
        <v>NA</v>
      </c>
      <c r="G246" s="14"/>
      <c r="H246" s="12">
        <v>0.0</v>
      </c>
      <c r="I246" s="13" t="str">
        <f>IFERROR(H246/H446, "NA")</f>
        <v>NA</v>
      </c>
      <c r="J246" s="14"/>
      <c r="K246" s="12">
        <v>0.0</v>
      </c>
      <c r="L246" s="13" t="str">
        <f>IFERROR(K246/K446, "NA")</f>
        <v>NA</v>
      </c>
      <c r="M246" s="14"/>
      <c r="N246" s="12">
        <v>0.0</v>
      </c>
      <c r="O246" s="13" t="str">
        <f>IFERROR(N246/N446, "NA")</f>
        <v>NA</v>
      </c>
      <c r="P246" s="14"/>
      <c r="Q246" s="12">
        <v>0.0</v>
      </c>
      <c r="R246" s="13" t="str">
        <f>IFERROR(Q246/Q446, "NA")</f>
        <v>NA</v>
      </c>
      <c r="S246" s="14"/>
      <c r="T246" s="12">
        <v>0.0</v>
      </c>
      <c r="U246" s="13" t="str">
        <f>IFERROR(T246/T446, "NA")</f>
        <v>NA</v>
      </c>
      <c r="V246" s="14"/>
      <c r="W246" s="12">
        <v>0.0</v>
      </c>
      <c r="X246" s="13" t="str">
        <f>IFERROR(W246/W446, "NA")</f>
        <v>NA</v>
      </c>
      <c r="Y246" s="14"/>
      <c r="Z246" s="12">
        <v>0.0</v>
      </c>
      <c r="AA246" s="13" t="str">
        <f>IFERROR(Z246/Z446, "NA")</f>
        <v>NA</v>
      </c>
      <c r="AB246" s="14"/>
      <c r="AC246" s="12">
        <v>0.0</v>
      </c>
      <c r="AD246" s="13" t="str">
        <f>IFERROR(AC246/AC446, "NA")</f>
        <v>NA</v>
      </c>
      <c r="AE246" s="14"/>
      <c r="AF246" s="12">
        <v>0.0</v>
      </c>
      <c r="AG246" s="13" t="str">
        <f>IFERROR(AF246/AF446, "NA")</f>
        <v>NA</v>
      </c>
      <c r="AH246" s="14"/>
      <c r="AI246" s="12">
        <v>0.0</v>
      </c>
      <c r="AJ246" s="13" t="str">
        <f>IFERROR(AI246/AI446, "NA")</f>
        <v>NA</v>
      </c>
      <c r="AK246" s="12"/>
      <c r="AL246" s="15">
        <f t="shared" si="35"/>
        <v>0</v>
      </c>
      <c r="AM246" s="13" t="str">
        <f>IFERROR(AL246/AL446, "NA")</f>
        <v>NA</v>
      </c>
      <c r="AN246" s="12"/>
      <c r="AO246" s="12">
        <v>0.0</v>
      </c>
      <c r="AP246" s="13" t="str">
        <f>IFERROR(AO246/AO446, "NA")</f>
        <v>NA</v>
      </c>
      <c r="AQ246" s="12"/>
      <c r="AR246" s="15">
        <f t="shared" si="36"/>
        <v>0</v>
      </c>
    </row>
    <row r="247" ht="16.5" hidden="1" customHeight="1">
      <c r="A247" s="11" t="s">
        <v>622</v>
      </c>
      <c r="B247" s="12">
        <v>0.0</v>
      </c>
      <c r="C247" s="13" t="str">
        <f>IFERROR(B247/B446, "NA")</f>
        <v>NA</v>
      </c>
      <c r="D247" s="14"/>
      <c r="E247" s="12">
        <v>0.0</v>
      </c>
      <c r="F247" s="13" t="str">
        <f>IFERROR(E247/E446, "NA")</f>
        <v>NA</v>
      </c>
      <c r="G247" s="14"/>
      <c r="H247" s="12">
        <v>0.0</v>
      </c>
      <c r="I247" s="13" t="str">
        <f>IFERROR(H247/H446, "NA")</f>
        <v>NA</v>
      </c>
      <c r="J247" s="14"/>
      <c r="K247" s="12">
        <v>0.0</v>
      </c>
      <c r="L247" s="13" t="str">
        <f>IFERROR(K247/K446, "NA")</f>
        <v>NA</v>
      </c>
      <c r="M247" s="14"/>
      <c r="N247" s="12">
        <v>0.0</v>
      </c>
      <c r="O247" s="13" t="str">
        <f>IFERROR(N247/N446, "NA")</f>
        <v>NA</v>
      </c>
      <c r="P247" s="14"/>
      <c r="Q247" s="12">
        <v>0.0</v>
      </c>
      <c r="R247" s="13" t="str">
        <f>IFERROR(Q247/Q446, "NA")</f>
        <v>NA</v>
      </c>
      <c r="S247" s="14"/>
      <c r="T247" s="12">
        <v>0.0</v>
      </c>
      <c r="U247" s="13" t="str">
        <f>IFERROR(T247/T446, "NA")</f>
        <v>NA</v>
      </c>
      <c r="V247" s="14"/>
      <c r="W247" s="12">
        <v>0.0</v>
      </c>
      <c r="X247" s="13" t="str">
        <f>IFERROR(W247/W446, "NA")</f>
        <v>NA</v>
      </c>
      <c r="Y247" s="14"/>
      <c r="Z247" s="12">
        <v>0.0</v>
      </c>
      <c r="AA247" s="13" t="str">
        <f>IFERROR(Z247/Z446, "NA")</f>
        <v>NA</v>
      </c>
      <c r="AB247" s="14"/>
      <c r="AC247" s="12">
        <v>0.0</v>
      </c>
      <c r="AD247" s="13" t="str">
        <f>IFERROR(AC247/AC446, "NA")</f>
        <v>NA</v>
      </c>
      <c r="AE247" s="14"/>
      <c r="AF247" s="12">
        <v>0.0</v>
      </c>
      <c r="AG247" s="13" t="str">
        <f>IFERROR(AF247/AF446, "NA")</f>
        <v>NA</v>
      </c>
      <c r="AH247" s="14"/>
      <c r="AI247" s="12">
        <v>0.0</v>
      </c>
      <c r="AJ247" s="13" t="str">
        <f>IFERROR(AI247/AI446, "NA")</f>
        <v>NA</v>
      </c>
      <c r="AK247" s="12"/>
      <c r="AL247" s="15">
        <f t="shared" si="35"/>
        <v>0</v>
      </c>
      <c r="AM247" s="13" t="str">
        <f>IFERROR(AL247/AL446, "NA")</f>
        <v>NA</v>
      </c>
      <c r="AN247" s="12"/>
      <c r="AO247" s="12">
        <v>0.0</v>
      </c>
      <c r="AP247" s="13" t="str">
        <f>IFERROR(AO247/AO446, "NA")</f>
        <v>NA</v>
      </c>
      <c r="AQ247" s="12"/>
      <c r="AR247" s="15">
        <f t="shared" si="36"/>
        <v>0</v>
      </c>
    </row>
    <row r="248" ht="16.5" hidden="1" customHeight="1">
      <c r="A248" s="11" t="s">
        <v>623</v>
      </c>
      <c r="B248" s="12">
        <v>0.0</v>
      </c>
      <c r="C248" s="13" t="str">
        <f>IFERROR(B248/B446, "NA")</f>
        <v>NA</v>
      </c>
      <c r="D248" s="14"/>
      <c r="E248" s="12">
        <v>0.0</v>
      </c>
      <c r="F248" s="13" t="str">
        <f>IFERROR(E248/E446, "NA")</f>
        <v>NA</v>
      </c>
      <c r="G248" s="14"/>
      <c r="H248" s="12">
        <v>0.0</v>
      </c>
      <c r="I248" s="13" t="str">
        <f>IFERROR(H248/H446, "NA")</f>
        <v>NA</v>
      </c>
      <c r="J248" s="14"/>
      <c r="K248" s="12">
        <v>0.0</v>
      </c>
      <c r="L248" s="13" t="str">
        <f>IFERROR(K248/K446, "NA")</f>
        <v>NA</v>
      </c>
      <c r="M248" s="14"/>
      <c r="N248" s="12">
        <v>0.0</v>
      </c>
      <c r="O248" s="13" t="str">
        <f>IFERROR(N248/N446, "NA")</f>
        <v>NA</v>
      </c>
      <c r="P248" s="14"/>
      <c r="Q248" s="12">
        <v>0.0</v>
      </c>
      <c r="R248" s="13" t="str">
        <f>IFERROR(Q248/Q446, "NA")</f>
        <v>NA</v>
      </c>
      <c r="S248" s="14"/>
      <c r="T248" s="12">
        <v>0.0</v>
      </c>
      <c r="U248" s="13" t="str">
        <f>IFERROR(T248/T446, "NA")</f>
        <v>NA</v>
      </c>
      <c r="V248" s="14"/>
      <c r="W248" s="12">
        <v>0.0</v>
      </c>
      <c r="X248" s="13" t="str">
        <f>IFERROR(W248/W446, "NA")</f>
        <v>NA</v>
      </c>
      <c r="Y248" s="14"/>
      <c r="Z248" s="12">
        <v>0.0</v>
      </c>
      <c r="AA248" s="13" t="str">
        <f>IFERROR(Z248/Z446, "NA")</f>
        <v>NA</v>
      </c>
      <c r="AB248" s="14"/>
      <c r="AC248" s="12">
        <v>0.0</v>
      </c>
      <c r="AD248" s="13" t="str">
        <f>IFERROR(AC248/AC446, "NA")</f>
        <v>NA</v>
      </c>
      <c r="AE248" s="14"/>
      <c r="AF248" s="12">
        <v>0.0</v>
      </c>
      <c r="AG248" s="13" t="str">
        <f>IFERROR(AF248/AF446, "NA")</f>
        <v>NA</v>
      </c>
      <c r="AH248" s="14"/>
      <c r="AI248" s="12">
        <v>0.0</v>
      </c>
      <c r="AJ248" s="13" t="str">
        <f>IFERROR(AI248/AI446, "NA")</f>
        <v>NA</v>
      </c>
      <c r="AK248" s="12"/>
      <c r="AL248" s="15">
        <f t="shared" si="35"/>
        <v>0</v>
      </c>
      <c r="AM248" s="13" t="str">
        <f>IFERROR(AL248/AL446, "NA")</f>
        <v>NA</v>
      </c>
      <c r="AN248" s="12"/>
      <c r="AO248" s="12">
        <v>0.0</v>
      </c>
      <c r="AP248" s="13" t="str">
        <f>IFERROR(AO248/AO446, "NA")</f>
        <v>NA</v>
      </c>
      <c r="AQ248" s="12"/>
      <c r="AR248" s="15">
        <f t="shared" si="36"/>
        <v>0</v>
      </c>
    </row>
    <row r="249" ht="16.5" hidden="1" customHeight="1">
      <c r="A249" s="11" t="s">
        <v>624</v>
      </c>
      <c r="B249" s="12">
        <v>0.0</v>
      </c>
      <c r="C249" s="13" t="str">
        <f>IFERROR(B249/B446, "NA")</f>
        <v>NA</v>
      </c>
      <c r="D249" s="14"/>
      <c r="E249" s="12">
        <v>0.0</v>
      </c>
      <c r="F249" s="13" t="str">
        <f>IFERROR(E249/E446, "NA")</f>
        <v>NA</v>
      </c>
      <c r="G249" s="14"/>
      <c r="H249" s="12">
        <v>0.0</v>
      </c>
      <c r="I249" s="13" t="str">
        <f>IFERROR(H249/H446, "NA")</f>
        <v>NA</v>
      </c>
      <c r="J249" s="14"/>
      <c r="K249" s="12">
        <v>0.0</v>
      </c>
      <c r="L249" s="13" t="str">
        <f>IFERROR(K249/K446, "NA")</f>
        <v>NA</v>
      </c>
      <c r="M249" s="14"/>
      <c r="N249" s="12">
        <v>0.0</v>
      </c>
      <c r="O249" s="13" t="str">
        <f>IFERROR(N249/N446, "NA")</f>
        <v>NA</v>
      </c>
      <c r="P249" s="14"/>
      <c r="Q249" s="12">
        <v>0.0</v>
      </c>
      <c r="R249" s="13" t="str">
        <f>IFERROR(Q249/Q446, "NA")</f>
        <v>NA</v>
      </c>
      <c r="S249" s="14"/>
      <c r="T249" s="12">
        <v>0.0</v>
      </c>
      <c r="U249" s="13" t="str">
        <f>IFERROR(T249/T446, "NA")</f>
        <v>NA</v>
      </c>
      <c r="V249" s="14"/>
      <c r="W249" s="12">
        <v>0.0</v>
      </c>
      <c r="X249" s="13" t="str">
        <f>IFERROR(W249/W446, "NA")</f>
        <v>NA</v>
      </c>
      <c r="Y249" s="14"/>
      <c r="Z249" s="12">
        <v>0.0</v>
      </c>
      <c r="AA249" s="13" t="str">
        <f>IFERROR(Z249/Z446, "NA")</f>
        <v>NA</v>
      </c>
      <c r="AB249" s="14"/>
      <c r="AC249" s="12">
        <v>0.0</v>
      </c>
      <c r="AD249" s="13" t="str">
        <f>IFERROR(AC249/AC446, "NA")</f>
        <v>NA</v>
      </c>
      <c r="AE249" s="14"/>
      <c r="AF249" s="12">
        <v>0.0</v>
      </c>
      <c r="AG249" s="13" t="str">
        <f>IFERROR(AF249/AF446, "NA")</f>
        <v>NA</v>
      </c>
      <c r="AH249" s="14"/>
      <c r="AI249" s="12">
        <v>0.0</v>
      </c>
      <c r="AJ249" s="13" t="str">
        <f>IFERROR(AI249/AI446, "NA")</f>
        <v>NA</v>
      </c>
      <c r="AK249" s="12"/>
      <c r="AL249" s="15">
        <f t="shared" si="35"/>
        <v>0</v>
      </c>
      <c r="AM249" s="13" t="str">
        <f>IFERROR(AL249/AL446, "NA")</f>
        <v>NA</v>
      </c>
      <c r="AN249" s="12"/>
      <c r="AO249" s="12">
        <v>0.0</v>
      </c>
      <c r="AP249" s="13" t="str">
        <f>IFERROR(AO249/AO446, "NA")</f>
        <v>NA</v>
      </c>
      <c r="AQ249" s="12"/>
      <c r="AR249" s="15">
        <f t="shared" si="36"/>
        <v>0</v>
      </c>
    </row>
    <row r="250" ht="16.5" hidden="1" customHeight="1">
      <c r="A250" s="11" t="s">
        <v>625</v>
      </c>
      <c r="B250" s="12">
        <v>0.0</v>
      </c>
      <c r="C250" s="13" t="str">
        <f>IFERROR(B250/B446, "NA")</f>
        <v>NA</v>
      </c>
      <c r="D250" s="14"/>
      <c r="E250" s="12">
        <v>0.0</v>
      </c>
      <c r="F250" s="13" t="str">
        <f>IFERROR(E250/E446, "NA")</f>
        <v>NA</v>
      </c>
      <c r="G250" s="14"/>
      <c r="H250" s="12">
        <v>0.0</v>
      </c>
      <c r="I250" s="13" t="str">
        <f>IFERROR(H250/H446, "NA")</f>
        <v>NA</v>
      </c>
      <c r="J250" s="14"/>
      <c r="K250" s="12">
        <v>0.0</v>
      </c>
      <c r="L250" s="13" t="str">
        <f>IFERROR(K250/K446, "NA")</f>
        <v>NA</v>
      </c>
      <c r="M250" s="14"/>
      <c r="N250" s="12">
        <v>0.0</v>
      </c>
      <c r="O250" s="13" t="str">
        <f>IFERROR(N250/N446, "NA")</f>
        <v>NA</v>
      </c>
      <c r="P250" s="14"/>
      <c r="Q250" s="12">
        <v>0.0</v>
      </c>
      <c r="R250" s="13" t="str">
        <f>IFERROR(Q250/Q446, "NA")</f>
        <v>NA</v>
      </c>
      <c r="S250" s="14"/>
      <c r="T250" s="12">
        <v>0.0</v>
      </c>
      <c r="U250" s="13" t="str">
        <f>IFERROR(T250/T446, "NA")</f>
        <v>NA</v>
      </c>
      <c r="V250" s="14"/>
      <c r="W250" s="12">
        <v>0.0</v>
      </c>
      <c r="X250" s="13" t="str">
        <f>IFERROR(W250/W446, "NA")</f>
        <v>NA</v>
      </c>
      <c r="Y250" s="14"/>
      <c r="Z250" s="12">
        <v>0.0</v>
      </c>
      <c r="AA250" s="13" t="str">
        <f>IFERROR(Z250/Z446, "NA")</f>
        <v>NA</v>
      </c>
      <c r="AB250" s="14"/>
      <c r="AC250" s="12">
        <v>0.0</v>
      </c>
      <c r="AD250" s="13" t="str">
        <f>IFERROR(AC250/AC446, "NA")</f>
        <v>NA</v>
      </c>
      <c r="AE250" s="14"/>
      <c r="AF250" s="12">
        <v>0.0</v>
      </c>
      <c r="AG250" s="13" t="str">
        <f>IFERROR(AF250/AF446, "NA")</f>
        <v>NA</v>
      </c>
      <c r="AH250" s="14"/>
      <c r="AI250" s="12">
        <v>0.0</v>
      </c>
      <c r="AJ250" s="13" t="str">
        <f>IFERROR(AI250/AI446, "NA")</f>
        <v>NA</v>
      </c>
      <c r="AK250" s="12"/>
      <c r="AL250" s="15">
        <f t="shared" si="35"/>
        <v>0</v>
      </c>
      <c r="AM250" s="13" t="str">
        <f>IFERROR(AL250/AL446, "NA")</f>
        <v>NA</v>
      </c>
      <c r="AN250" s="12"/>
      <c r="AO250" s="12">
        <v>0.0</v>
      </c>
      <c r="AP250" s="13" t="str">
        <f>IFERROR(AO250/AO446, "NA")</f>
        <v>NA</v>
      </c>
      <c r="AQ250" s="12"/>
      <c r="AR250" s="15">
        <f t="shared" si="36"/>
        <v>0</v>
      </c>
    </row>
    <row r="251" ht="16.5" hidden="1" customHeight="1">
      <c r="A251" s="11" t="s">
        <v>626</v>
      </c>
      <c r="B251" s="12">
        <v>0.0</v>
      </c>
      <c r="C251" s="13" t="str">
        <f>IFERROR(B251/B446, "NA")</f>
        <v>NA</v>
      </c>
      <c r="D251" s="14"/>
      <c r="E251" s="12">
        <v>0.0</v>
      </c>
      <c r="F251" s="13" t="str">
        <f>IFERROR(E251/E446, "NA")</f>
        <v>NA</v>
      </c>
      <c r="G251" s="14"/>
      <c r="H251" s="12">
        <v>0.0</v>
      </c>
      <c r="I251" s="13" t="str">
        <f>IFERROR(H251/H446, "NA")</f>
        <v>NA</v>
      </c>
      <c r="J251" s="14"/>
      <c r="K251" s="12">
        <v>0.0</v>
      </c>
      <c r="L251" s="13" t="str">
        <f>IFERROR(K251/K446, "NA")</f>
        <v>NA</v>
      </c>
      <c r="M251" s="14"/>
      <c r="N251" s="12">
        <v>0.0</v>
      </c>
      <c r="O251" s="13" t="str">
        <f>IFERROR(N251/N446, "NA")</f>
        <v>NA</v>
      </c>
      <c r="P251" s="14"/>
      <c r="Q251" s="12">
        <v>0.0</v>
      </c>
      <c r="R251" s="13" t="str">
        <f>IFERROR(Q251/Q446, "NA")</f>
        <v>NA</v>
      </c>
      <c r="S251" s="14"/>
      <c r="T251" s="12">
        <v>0.0</v>
      </c>
      <c r="U251" s="13" t="str">
        <f>IFERROR(T251/T446, "NA")</f>
        <v>NA</v>
      </c>
      <c r="V251" s="14"/>
      <c r="W251" s="12">
        <v>0.0</v>
      </c>
      <c r="X251" s="13" t="str">
        <f>IFERROR(W251/W446, "NA")</f>
        <v>NA</v>
      </c>
      <c r="Y251" s="14"/>
      <c r="Z251" s="12">
        <v>0.0</v>
      </c>
      <c r="AA251" s="13" t="str">
        <f>IFERROR(Z251/Z446, "NA")</f>
        <v>NA</v>
      </c>
      <c r="AB251" s="14"/>
      <c r="AC251" s="12">
        <v>0.0</v>
      </c>
      <c r="AD251" s="13" t="str">
        <f>IFERROR(AC251/AC446, "NA")</f>
        <v>NA</v>
      </c>
      <c r="AE251" s="14"/>
      <c r="AF251" s="12">
        <v>0.0</v>
      </c>
      <c r="AG251" s="13" t="str">
        <f>IFERROR(AF251/AF446, "NA")</f>
        <v>NA</v>
      </c>
      <c r="AH251" s="14"/>
      <c r="AI251" s="12">
        <v>0.0</v>
      </c>
      <c r="AJ251" s="13" t="str">
        <f>IFERROR(AI251/AI446, "NA")</f>
        <v>NA</v>
      </c>
      <c r="AK251" s="12"/>
      <c r="AL251" s="15">
        <f t="shared" si="35"/>
        <v>0</v>
      </c>
      <c r="AM251" s="13" t="str">
        <f>IFERROR(AL251/AL446, "NA")</f>
        <v>NA</v>
      </c>
      <c r="AN251" s="12"/>
      <c r="AO251" s="12">
        <v>0.0</v>
      </c>
      <c r="AP251" s="13" t="str">
        <f>IFERROR(AO251/AO446, "NA")</f>
        <v>NA</v>
      </c>
      <c r="AQ251" s="12"/>
      <c r="AR251" s="15">
        <f t="shared" si="36"/>
        <v>0</v>
      </c>
    </row>
    <row r="252" ht="16.5" hidden="1" customHeight="1">
      <c r="A252" s="11" t="s">
        <v>627</v>
      </c>
      <c r="B252" s="12">
        <v>0.0</v>
      </c>
      <c r="C252" s="13" t="str">
        <f>IFERROR(B252/B446, "NA")</f>
        <v>NA</v>
      </c>
      <c r="D252" s="14"/>
      <c r="E252" s="12">
        <v>0.0</v>
      </c>
      <c r="F252" s="13" t="str">
        <f>IFERROR(E252/E446, "NA")</f>
        <v>NA</v>
      </c>
      <c r="G252" s="14"/>
      <c r="H252" s="12">
        <v>0.0</v>
      </c>
      <c r="I252" s="13" t="str">
        <f>IFERROR(H252/H446, "NA")</f>
        <v>NA</v>
      </c>
      <c r="J252" s="14"/>
      <c r="K252" s="12">
        <v>0.0</v>
      </c>
      <c r="L252" s="13" t="str">
        <f>IFERROR(K252/K446, "NA")</f>
        <v>NA</v>
      </c>
      <c r="M252" s="14"/>
      <c r="N252" s="12">
        <v>0.0</v>
      </c>
      <c r="O252" s="13" t="str">
        <f>IFERROR(N252/N446, "NA")</f>
        <v>NA</v>
      </c>
      <c r="P252" s="14"/>
      <c r="Q252" s="12">
        <v>0.0</v>
      </c>
      <c r="R252" s="13" t="str">
        <f>IFERROR(Q252/Q446, "NA")</f>
        <v>NA</v>
      </c>
      <c r="S252" s="14"/>
      <c r="T252" s="12">
        <v>0.0</v>
      </c>
      <c r="U252" s="13" t="str">
        <f>IFERROR(T252/T446, "NA")</f>
        <v>NA</v>
      </c>
      <c r="V252" s="14"/>
      <c r="W252" s="12">
        <v>0.0</v>
      </c>
      <c r="X252" s="13" t="str">
        <f>IFERROR(W252/W446, "NA")</f>
        <v>NA</v>
      </c>
      <c r="Y252" s="14"/>
      <c r="Z252" s="12">
        <v>0.0</v>
      </c>
      <c r="AA252" s="13" t="str">
        <f>IFERROR(Z252/Z446, "NA")</f>
        <v>NA</v>
      </c>
      <c r="AB252" s="14"/>
      <c r="AC252" s="12">
        <v>0.0</v>
      </c>
      <c r="AD252" s="13" t="str">
        <f>IFERROR(AC252/AC446, "NA")</f>
        <v>NA</v>
      </c>
      <c r="AE252" s="14"/>
      <c r="AF252" s="12">
        <v>0.0</v>
      </c>
      <c r="AG252" s="13" t="str">
        <f>IFERROR(AF252/AF446, "NA")</f>
        <v>NA</v>
      </c>
      <c r="AH252" s="14"/>
      <c r="AI252" s="12">
        <v>0.0</v>
      </c>
      <c r="AJ252" s="13" t="str">
        <f>IFERROR(AI252/AI446, "NA")</f>
        <v>NA</v>
      </c>
      <c r="AK252" s="12"/>
      <c r="AL252" s="15">
        <f t="shared" si="35"/>
        <v>0</v>
      </c>
      <c r="AM252" s="13" t="str">
        <f>IFERROR(AL252/AL446, "NA")</f>
        <v>NA</v>
      </c>
      <c r="AN252" s="12"/>
      <c r="AO252" s="12">
        <v>0.0</v>
      </c>
      <c r="AP252" s="13" t="str">
        <f>IFERROR(AO252/AO446, "NA")</f>
        <v>NA</v>
      </c>
      <c r="AQ252" s="12"/>
      <c r="AR252" s="15">
        <f t="shared" si="36"/>
        <v>0</v>
      </c>
    </row>
    <row r="253" ht="16.5" hidden="1" customHeight="1">
      <c r="A253" s="11" t="s">
        <v>628</v>
      </c>
      <c r="B253" s="12">
        <v>0.0</v>
      </c>
      <c r="C253" s="13" t="str">
        <f>IFERROR(B253/B446, "NA")</f>
        <v>NA</v>
      </c>
      <c r="D253" s="14"/>
      <c r="E253" s="12">
        <v>0.0</v>
      </c>
      <c r="F253" s="13" t="str">
        <f>IFERROR(E253/E446, "NA")</f>
        <v>NA</v>
      </c>
      <c r="G253" s="14"/>
      <c r="H253" s="12">
        <v>0.0</v>
      </c>
      <c r="I253" s="13" t="str">
        <f>IFERROR(H253/H446, "NA")</f>
        <v>NA</v>
      </c>
      <c r="J253" s="14"/>
      <c r="K253" s="12">
        <v>0.0</v>
      </c>
      <c r="L253" s="13" t="str">
        <f>IFERROR(K253/K446, "NA")</f>
        <v>NA</v>
      </c>
      <c r="M253" s="14"/>
      <c r="N253" s="12">
        <v>0.0</v>
      </c>
      <c r="O253" s="13" t="str">
        <f>IFERROR(N253/N446, "NA")</f>
        <v>NA</v>
      </c>
      <c r="P253" s="14"/>
      <c r="Q253" s="12">
        <v>0.0</v>
      </c>
      <c r="R253" s="13" t="str">
        <f>IFERROR(Q253/Q446, "NA")</f>
        <v>NA</v>
      </c>
      <c r="S253" s="14"/>
      <c r="T253" s="12">
        <v>0.0</v>
      </c>
      <c r="U253" s="13" t="str">
        <f>IFERROR(T253/T446, "NA")</f>
        <v>NA</v>
      </c>
      <c r="V253" s="14"/>
      <c r="W253" s="12">
        <v>0.0</v>
      </c>
      <c r="X253" s="13" t="str">
        <f>IFERROR(W253/W446, "NA")</f>
        <v>NA</v>
      </c>
      <c r="Y253" s="14"/>
      <c r="Z253" s="12">
        <v>0.0</v>
      </c>
      <c r="AA253" s="13" t="str">
        <f>IFERROR(Z253/Z446, "NA")</f>
        <v>NA</v>
      </c>
      <c r="AB253" s="14"/>
      <c r="AC253" s="12">
        <v>0.0</v>
      </c>
      <c r="AD253" s="13" t="str">
        <f>IFERROR(AC253/AC446, "NA")</f>
        <v>NA</v>
      </c>
      <c r="AE253" s="14"/>
      <c r="AF253" s="12">
        <v>0.0</v>
      </c>
      <c r="AG253" s="13" t="str">
        <f>IFERROR(AF253/AF446, "NA")</f>
        <v>NA</v>
      </c>
      <c r="AH253" s="14"/>
      <c r="AI253" s="12">
        <v>0.0</v>
      </c>
      <c r="AJ253" s="13" t="str">
        <f>IFERROR(AI253/AI446, "NA")</f>
        <v>NA</v>
      </c>
      <c r="AK253" s="12"/>
      <c r="AL253" s="15">
        <f t="shared" si="35"/>
        <v>0</v>
      </c>
      <c r="AM253" s="13" t="str">
        <f>IFERROR(AL253/AL446, "NA")</f>
        <v>NA</v>
      </c>
      <c r="AN253" s="12"/>
      <c r="AO253" s="12">
        <v>0.0</v>
      </c>
      <c r="AP253" s="13" t="str">
        <f>IFERROR(AO253/AO446, "NA")</f>
        <v>NA</v>
      </c>
      <c r="AQ253" s="12"/>
      <c r="AR253" s="15">
        <f t="shared" si="36"/>
        <v>0</v>
      </c>
    </row>
    <row r="254" ht="16.5" hidden="1" customHeight="1">
      <c r="A254" s="11" t="s">
        <v>629</v>
      </c>
      <c r="B254" s="12">
        <v>0.0</v>
      </c>
      <c r="C254" s="13" t="str">
        <f>IFERROR(B254/B446, "NA")</f>
        <v>NA</v>
      </c>
      <c r="D254" s="14"/>
      <c r="E254" s="12">
        <v>0.0</v>
      </c>
      <c r="F254" s="13" t="str">
        <f>IFERROR(E254/E446, "NA")</f>
        <v>NA</v>
      </c>
      <c r="G254" s="14"/>
      <c r="H254" s="12">
        <v>0.0</v>
      </c>
      <c r="I254" s="13" t="str">
        <f>IFERROR(H254/H446, "NA")</f>
        <v>NA</v>
      </c>
      <c r="J254" s="14"/>
      <c r="K254" s="12">
        <v>0.0</v>
      </c>
      <c r="L254" s="13" t="str">
        <f>IFERROR(K254/K446, "NA")</f>
        <v>NA</v>
      </c>
      <c r="M254" s="14"/>
      <c r="N254" s="12">
        <v>0.0</v>
      </c>
      <c r="O254" s="13" t="str">
        <f>IFERROR(N254/N446, "NA")</f>
        <v>NA</v>
      </c>
      <c r="P254" s="14"/>
      <c r="Q254" s="12">
        <v>0.0</v>
      </c>
      <c r="R254" s="13" t="str">
        <f>IFERROR(Q254/Q446, "NA")</f>
        <v>NA</v>
      </c>
      <c r="S254" s="14"/>
      <c r="T254" s="12">
        <v>0.0</v>
      </c>
      <c r="U254" s="13" t="str">
        <f>IFERROR(T254/T446, "NA")</f>
        <v>NA</v>
      </c>
      <c r="V254" s="14"/>
      <c r="W254" s="12">
        <v>0.0</v>
      </c>
      <c r="X254" s="13" t="str">
        <f>IFERROR(W254/W446, "NA")</f>
        <v>NA</v>
      </c>
      <c r="Y254" s="14"/>
      <c r="Z254" s="12">
        <v>0.0</v>
      </c>
      <c r="AA254" s="13" t="str">
        <f>IFERROR(Z254/Z446, "NA")</f>
        <v>NA</v>
      </c>
      <c r="AB254" s="14"/>
      <c r="AC254" s="12">
        <v>0.0</v>
      </c>
      <c r="AD254" s="13" t="str">
        <f>IFERROR(AC254/AC446, "NA")</f>
        <v>NA</v>
      </c>
      <c r="AE254" s="14"/>
      <c r="AF254" s="12">
        <v>0.0</v>
      </c>
      <c r="AG254" s="13" t="str">
        <f>IFERROR(AF254/AF446, "NA")</f>
        <v>NA</v>
      </c>
      <c r="AH254" s="14"/>
      <c r="AI254" s="12">
        <v>0.0</v>
      </c>
      <c r="AJ254" s="13" t="str">
        <f>IFERROR(AI254/AI446, "NA")</f>
        <v>NA</v>
      </c>
      <c r="AK254" s="12"/>
      <c r="AL254" s="15">
        <f t="shared" si="35"/>
        <v>0</v>
      </c>
      <c r="AM254" s="13" t="str">
        <f>IFERROR(AL254/AL446, "NA")</f>
        <v>NA</v>
      </c>
      <c r="AN254" s="12"/>
      <c r="AO254" s="12">
        <v>0.0</v>
      </c>
      <c r="AP254" s="13" t="str">
        <f>IFERROR(AO254/AO446, "NA")</f>
        <v>NA</v>
      </c>
      <c r="AQ254" s="12"/>
      <c r="AR254" s="15">
        <f t="shared" si="36"/>
        <v>0</v>
      </c>
    </row>
    <row r="255" ht="16.5" hidden="1" customHeight="1">
      <c r="A255" s="11" t="s">
        <v>630</v>
      </c>
      <c r="B255" s="12">
        <v>0.0</v>
      </c>
      <c r="C255" s="13" t="str">
        <f>IFERROR(B255/B446, "NA")</f>
        <v>NA</v>
      </c>
      <c r="D255" s="14"/>
      <c r="E255" s="12">
        <v>0.0</v>
      </c>
      <c r="F255" s="13" t="str">
        <f>IFERROR(E255/E446, "NA")</f>
        <v>NA</v>
      </c>
      <c r="G255" s="14"/>
      <c r="H255" s="12">
        <v>0.0</v>
      </c>
      <c r="I255" s="13" t="str">
        <f>IFERROR(H255/H446, "NA")</f>
        <v>NA</v>
      </c>
      <c r="J255" s="14"/>
      <c r="K255" s="12">
        <v>0.0</v>
      </c>
      <c r="L255" s="13" t="str">
        <f>IFERROR(K255/K446, "NA")</f>
        <v>NA</v>
      </c>
      <c r="M255" s="14"/>
      <c r="N255" s="12">
        <v>0.0</v>
      </c>
      <c r="O255" s="13" t="str">
        <f>IFERROR(N255/N446, "NA")</f>
        <v>NA</v>
      </c>
      <c r="P255" s="14"/>
      <c r="Q255" s="12">
        <v>0.0</v>
      </c>
      <c r="R255" s="13" t="str">
        <f>IFERROR(Q255/Q446, "NA")</f>
        <v>NA</v>
      </c>
      <c r="S255" s="14"/>
      <c r="T255" s="12">
        <v>0.0</v>
      </c>
      <c r="U255" s="13" t="str">
        <f>IFERROR(T255/T446, "NA")</f>
        <v>NA</v>
      </c>
      <c r="V255" s="14"/>
      <c r="W255" s="12">
        <v>0.0</v>
      </c>
      <c r="X255" s="13" t="str">
        <f>IFERROR(W255/W446, "NA")</f>
        <v>NA</v>
      </c>
      <c r="Y255" s="14"/>
      <c r="Z255" s="12">
        <v>0.0</v>
      </c>
      <c r="AA255" s="13" t="str">
        <f>IFERROR(Z255/Z446, "NA")</f>
        <v>NA</v>
      </c>
      <c r="AB255" s="14"/>
      <c r="AC255" s="12">
        <v>0.0</v>
      </c>
      <c r="AD255" s="13" t="str">
        <f>IFERROR(AC255/AC446, "NA")</f>
        <v>NA</v>
      </c>
      <c r="AE255" s="14"/>
      <c r="AF255" s="12">
        <v>0.0</v>
      </c>
      <c r="AG255" s="13" t="str">
        <f>IFERROR(AF255/AF446, "NA")</f>
        <v>NA</v>
      </c>
      <c r="AH255" s="14"/>
      <c r="AI255" s="12">
        <v>0.0</v>
      </c>
      <c r="AJ255" s="13" t="str">
        <f>IFERROR(AI255/AI446, "NA")</f>
        <v>NA</v>
      </c>
      <c r="AK255" s="12"/>
      <c r="AL255" s="15">
        <f t="shared" si="35"/>
        <v>0</v>
      </c>
      <c r="AM255" s="13" t="str">
        <f>IFERROR(AL255/AL446, "NA")</f>
        <v>NA</v>
      </c>
      <c r="AN255" s="12"/>
      <c r="AO255" s="12">
        <v>0.0</v>
      </c>
      <c r="AP255" s="13" t="str">
        <f>IFERROR(AO255/AO446, "NA")</f>
        <v>NA</v>
      </c>
      <c r="AQ255" s="12"/>
      <c r="AR255" s="15">
        <f t="shared" si="36"/>
        <v>0</v>
      </c>
    </row>
    <row r="256" ht="16.5" hidden="1" customHeight="1">
      <c r="A256" s="11" t="s">
        <v>631</v>
      </c>
      <c r="B256" s="12">
        <v>0.0</v>
      </c>
      <c r="C256" s="13" t="str">
        <f>IFERROR(B256/B446, "NA")</f>
        <v>NA</v>
      </c>
      <c r="D256" s="14"/>
      <c r="E256" s="12">
        <v>0.0</v>
      </c>
      <c r="F256" s="13" t="str">
        <f>IFERROR(E256/E446, "NA")</f>
        <v>NA</v>
      </c>
      <c r="G256" s="14"/>
      <c r="H256" s="12">
        <v>0.0</v>
      </c>
      <c r="I256" s="13" t="str">
        <f>IFERROR(H256/H446, "NA")</f>
        <v>NA</v>
      </c>
      <c r="J256" s="14"/>
      <c r="K256" s="12">
        <v>0.0</v>
      </c>
      <c r="L256" s="13" t="str">
        <f>IFERROR(K256/K446, "NA")</f>
        <v>NA</v>
      </c>
      <c r="M256" s="14"/>
      <c r="N256" s="12">
        <v>0.0</v>
      </c>
      <c r="O256" s="13" t="str">
        <f>IFERROR(N256/N446, "NA")</f>
        <v>NA</v>
      </c>
      <c r="P256" s="14"/>
      <c r="Q256" s="12">
        <v>0.0</v>
      </c>
      <c r="R256" s="13" t="str">
        <f>IFERROR(Q256/Q446, "NA")</f>
        <v>NA</v>
      </c>
      <c r="S256" s="14"/>
      <c r="T256" s="12">
        <v>0.0</v>
      </c>
      <c r="U256" s="13" t="str">
        <f>IFERROR(T256/T446, "NA")</f>
        <v>NA</v>
      </c>
      <c r="V256" s="14"/>
      <c r="W256" s="12">
        <v>0.0</v>
      </c>
      <c r="X256" s="13" t="str">
        <f>IFERROR(W256/W446, "NA")</f>
        <v>NA</v>
      </c>
      <c r="Y256" s="14"/>
      <c r="Z256" s="12">
        <v>0.0</v>
      </c>
      <c r="AA256" s="13" t="str">
        <f>IFERROR(Z256/Z446, "NA")</f>
        <v>NA</v>
      </c>
      <c r="AB256" s="14"/>
      <c r="AC256" s="12">
        <v>0.0</v>
      </c>
      <c r="AD256" s="13" t="str">
        <f>IFERROR(AC256/AC446, "NA")</f>
        <v>NA</v>
      </c>
      <c r="AE256" s="14"/>
      <c r="AF256" s="12">
        <v>0.0</v>
      </c>
      <c r="AG256" s="13" t="str">
        <f>IFERROR(AF256/AF446, "NA")</f>
        <v>NA</v>
      </c>
      <c r="AH256" s="14"/>
      <c r="AI256" s="12">
        <v>0.0</v>
      </c>
      <c r="AJ256" s="13" t="str">
        <f>IFERROR(AI256/AI446, "NA")</f>
        <v>NA</v>
      </c>
      <c r="AK256" s="12"/>
      <c r="AL256" s="15">
        <f t="shared" si="35"/>
        <v>0</v>
      </c>
      <c r="AM256" s="13" t="str">
        <f>IFERROR(AL256/AL446, "NA")</f>
        <v>NA</v>
      </c>
      <c r="AN256" s="12"/>
      <c r="AO256" s="12">
        <v>0.0</v>
      </c>
      <c r="AP256" s="13" t="str">
        <f>IFERROR(AO256/AO446, "NA")</f>
        <v>NA</v>
      </c>
      <c r="AQ256" s="12"/>
      <c r="AR256" s="15">
        <f t="shared" si="36"/>
        <v>0</v>
      </c>
    </row>
    <row r="257" ht="16.5" hidden="1" customHeight="1">
      <c r="A257" s="11" t="s">
        <v>632</v>
      </c>
      <c r="B257" s="12">
        <v>0.0</v>
      </c>
      <c r="C257" s="13" t="str">
        <f>IFERROR(B257/B446, "NA")</f>
        <v>NA</v>
      </c>
      <c r="D257" s="14"/>
      <c r="E257" s="12">
        <v>0.0</v>
      </c>
      <c r="F257" s="13" t="str">
        <f>IFERROR(E257/E446, "NA")</f>
        <v>NA</v>
      </c>
      <c r="G257" s="14"/>
      <c r="H257" s="12">
        <v>0.0</v>
      </c>
      <c r="I257" s="13" t="str">
        <f>IFERROR(H257/H446, "NA")</f>
        <v>NA</v>
      </c>
      <c r="J257" s="14"/>
      <c r="K257" s="12">
        <v>0.0</v>
      </c>
      <c r="L257" s="13" t="str">
        <f>IFERROR(K257/K446, "NA")</f>
        <v>NA</v>
      </c>
      <c r="M257" s="14"/>
      <c r="N257" s="12">
        <v>0.0</v>
      </c>
      <c r="O257" s="13" t="str">
        <f>IFERROR(N257/N446, "NA")</f>
        <v>NA</v>
      </c>
      <c r="P257" s="14"/>
      <c r="Q257" s="12">
        <v>0.0</v>
      </c>
      <c r="R257" s="13" t="str">
        <f>IFERROR(Q257/Q446, "NA")</f>
        <v>NA</v>
      </c>
      <c r="S257" s="14"/>
      <c r="T257" s="12">
        <v>0.0</v>
      </c>
      <c r="U257" s="13" t="str">
        <f>IFERROR(T257/T446, "NA")</f>
        <v>NA</v>
      </c>
      <c r="V257" s="14"/>
      <c r="W257" s="12">
        <v>0.0</v>
      </c>
      <c r="X257" s="13" t="str">
        <f>IFERROR(W257/W446, "NA")</f>
        <v>NA</v>
      </c>
      <c r="Y257" s="14"/>
      <c r="Z257" s="12">
        <v>0.0</v>
      </c>
      <c r="AA257" s="13" t="str">
        <f>IFERROR(Z257/Z446, "NA")</f>
        <v>NA</v>
      </c>
      <c r="AB257" s="14"/>
      <c r="AC257" s="12">
        <v>0.0</v>
      </c>
      <c r="AD257" s="13" t="str">
        <f>IFERROR(AC257/AC446, "NA")</f>
        <v>NA</v>
      </c>
      <c r="AE257" s="14"/>
      <c r="AF257" s="12">
        <v>0.0</v>
      </c>
      <c r="AG257" s="13" t="str">
        <f>IFERROR(AF257/AF446, "NA")</f>
        <v>NA</v>
      </c>
      <c r="AH257" s="14"/>
      <c r="AI257" s="12">
        <v>0.0</v>
      </c>
      <c r="AJ257" s="13" t="str">
        <f>IFERROR(AI257/AI446, "NA")</f>
        <v>NA</v>
      </c>
      <c r="AK257" s="12"/>
      <c r="AL257" s="15">
        <f t="shared" si="35"/>
        <v>0</v>
      </c>
      <c r="AM257" s="13" t="str">
        <f>IFERROR(AL257/AL446, "NA")</f>
        <v>NA</v>
      </c>
      <c r="AN257" s="12"/>
      <c r="AO257" s="12">
        <v>0.0</v>
      </c>
      <c r="AP257" s="13" t="str">
        <f>IFERROR(AO257/AO446, "NA")</f>
        <v>NA</v>
      </c>
      <c r="AQ257" s="12"/>
      <c r="AR257" s="15">
        <f t="shared" si="36"/>
        <v>0</v>
      </c>
    </row>
    <row r="258" ht="16.5" hidden="1" customHeight="1">
      <c r="A258" s="11" t="s">
        <v>633</v>
      </c>
      <c r="B258" s="12">
        <v>0.0</v>
      </c>
      <c r="C258" s="13" t="str">
        <f>IFERROR(B258/B446, "NA")</f>
        <v>NA</v>
      </c>
      <c r="D258" s="14"/>
      <c r="E258" s="12">
        <v>0.0</v>
      </c>
      <c r="F258" s="13" t="str">
        <f>IFERROR(E258/E446, "NA")</f>
        <v>NA</v>
      </c>
      <c r="G258" s="14"/>
      <c r="H258" s="12">
        <v>0.0</v>
      </c>
      <c r="I258" s="13" t="str">
        <f>IFERROR(H258/H446, "NA")</f>
        <v>NA</v>
      </c>
      <c r="J258" s="14"/>
      <c r="K258" s="12">
        <v>0.0</v>
      </c>
      <c r="L258" s="13" t="str">
        <f>IFERROR(K258/K446, "NA")</f>
        <v>NA</v>
      </c>
      <c r="M258" s="14"/>
      <c r="N258" s="12">
        <v>0.0</v>
      </c>
      <c r="O258" s="13" t="str">
        <f>IFERROR(N258/N446, "NA")</f>
        <v>NA</v>
      </c>
      <c r="P258" s="14"/>
      <c r="Q258" s="12">
        <v>0.0</v>
      </c>
      <c r="R258" s="13" t="str">
        <f>IFERROR(Q258/Q446, "NA")</f>
        <v>NA</v>
      </c>
      <c r="S258" s="14"/>
      <c r="T258" s="12">
        <v>0.0</v>
      </c>
      <c r="U258" s="13" t="str">
        <f>IFERROR(T258/T446, "NA")</f>
        <v>NA</v>
      </c>
      <c r="V258" s="14"/>
      <c r="W258" s="12">
        <v>0.0</v>
      </c>
      <c r="X258" s="13" t="str">
        <f>IFERROR(W258/W446, "NA")</f>
        <v>NA</v>
      </c>
      <c r="Y258" s="14"/>
      <c r="Z258" s="12">
        <v>0.0</v>
      </c>
      <c r="AA258" s="13" t="str">
        <f>IFERROR(Z258/Z446, "NA")</f>
        <v>NA</v>
      </c>
      <c r="AB258" s="14"/>
      <c r="AC258" s="12">
        <v>0.0</v>
      </c>
      <c r="AD258" s="13" t="str">
        <f>IFERROR(AC258/AC446, "NA")</f>
        <v>NA</v>
      </c>
      <c r="AE258" s="14"/>
      <c r="AF258" s="12">
        <v>0.0</v>
      </c>
      <c r="AG258" s="13" t="str">
        <f>IFERROR(AF258/AF446, "NA")</f>
        <v>NA</v>
      </c>
      <c r="AH258" s="14"/>
      <c r="AI258" s="12">
        <v>0.0</v>
      </c>
      <c r="AJ258" s="13" t="str">
        <f>IFERROR(AI258/AI446, "NA")</f>
        <v>NA</v>
      </c>
      <c r="AK258" s="12"/>
      <c r="AL258" s="15">
        <f t="shared" si="35"/>
        <v>0</v>
      </c>
      <c r="AM258" s="13" t="str">
        <f>IFERROR(AL258/AL446, "NA")</f>
        <v>NA</v>
      </c>
      <c r="AN258" s="12"/>
      <c r="AO258" s="12">
        <v>0.0</v>
      </c>
      <c r="AP258" s="13" t="str">
        <f>IFERROR(AO258/AO446, "NA")</f>
        <v>NA</v>
      </c>
      <c r="AQ258" s="12"/>
      <c r="AR258" s="15">
        <f t="shared" si="36"/>
        <v>0</v>
      </c>
    </row>
    <row r="259" ht="16.5" hidden="1" customHeight="1">
      <c r="A259" s="11" t="s">
        <v>634</v>
      </c>
      <c r="B259" s="12">
        <v>0.0</v>
      </c>
      <c r="C259" s="13" t="str">
        <f>IFERROR(B259/B446, "NA")</f>
        <v>NA</v>
      </c>
      <c r="D259" s="14"/>
      <c r="E259" s="12">
        <v>0.0</v>
      </c>
      <c r="F259" s="13" t="str">
        <f>IFERROR(E259/E446, "NA")</f>
        <v>NA</v>
      </c>
      <c r="G259" s="14"/>
      <c r="H259" s="12">
        <v>0.0</v>
      </c>
      <c r="I259" s="13" t="str">
        <f>IFERROR(H259/H446, "NA")</f>
        <v>NA</v>
      </c>
      <c r="J259" s="14"/>
      <c r="K259" s="12">
        <v>0.0</v>
      </c>
      <c r="L259" s="13" t="str">
        <f>IFERROR(K259/K446, "NA")</f>
        <v>NA</v>
      </c>
      <c r="M259" s="14"/>
      <c r="N259" s="12">
        <v>0.0</v>
      </c>
      <c r="O259" s="13" t="str">
        <f>IFERROR(N259/N446, "NA")</f>
        <v>NA</v>
      </c>
      <c r="P259" s="14"/>
      <c r="Q259" s="12">
        <v>0.0</v>
      </c>
      <c r="R259" s="13" t="str">
        <f>IFERROR(Q259/Q446, "NA")</f>
        <v>NA</v>
      </c>
      <c r="S259" s="14"/>
      <c r="T259" s="12">
        <v>0.0</v>
      </c>
      <c r="U259" s="13" t="str">
        <f>IFERROR(T259/T446, "NA")</f>
        <v>NA</v>
      </c>
      <c r="V259" s="14"/>
      <c r="W259" s="12">
        <v>0.0</v>
      </c>
      <c r="X259" s="13" t="str">
        <f>IFERROR(W259/W446, "NA")</f>
        <v>NA</v>
      </c>
      <c r="Y259" s="14"/>
      <c r="Z259" s="12">
        <v>0.0</v>
      </c>
      <c r="AA259" s="13" t="str">
        <f>IFERROR(Z259/Z446, "NA")</f>
        <v>NA</v>
      </c>
      <c r="AB259" s="14"/>
      <c r="AC259" s="12">
        <v>0.0</v>
      </c>
      <c r="AD259" s="13" t="str">
        <f>IFERROR(AC259/AC446, "NA")</f>
        <v>NA</v>
      </c>
      <c r="AE259" s="14"/>
      <c r="AF259" s="12">
        <v>0.0</v>
      </c>
      <c r="AG259" s="13" t="str">
        <f>IFERROR(AF259/AF446, "NA")</f>
        <v>NA</v>
      </c>
      <c r="AH259" s="14"/>
      <c r="AI259" s="12">
        <v>0.0</v>
      </c>
      <c r="AJ259" s="13" t="str">
        <f>IFERROR(AI259/AI446, "NA")</f>
        <v>NA</v>
      </c>
      <c r="AK259" s="12"/>
      <c r="AL259" s="15">
        <f t="shared" si="35"/>
        <v>0</v>
      </c>
      <c r="AM259" s="13" t="str">
        <f>IFERROR(AL259/AL446, "NA")</f>
        <v>NA</v>
      </c>
      <c r="AN259" s="12"/>
      <c r="AO259" s="12">
        <v>0.0</v>
      </c>
      <c r="AP259" s="13" t="str">
        <f>IFERROR(AO259/AO446, "NA")</f>
        <v>NA</v>
      </c>
      <c r="AQ259" s="12"/>
      <c r="AR259" s="15">
        <f t="shared" si="36"/>
        <v>0</v>
      </c>
    </row>
    <row r="260" ht="16.5" hidden="1" customHeight="1">
      <c r="A260" s="11" t="s">
        <v>635</v>
      </c>
      <c r="B260" s="12">
        <v>0.0</v>
      </c>
      <c r="C260" s="13" t="str">
        <f>IFERROR(B260/B446, "NA")</f>
        <v>NA</v>
      </c>
      <c r="D260" s="14"/>
      <c r="E260" s="12">
        <v>0.0</v>
      </c>
      <c r="F260" s="13" t="str">
        <f>IFERROR(E260/E446, "NA")</f>
        <v>NA</v>
      </c>
      <c r="G260" s="14"/>
      <c r="H260" s="12">
        <v>0.0</v>
      </c>
      <c r="I260" s="13" t="str">
        <f>IFERROR(H260/H446, "NA")</f>
        <v>NA</v>
      </c>
      <c r="J260" s="14"/>
      <c r="K260" s="12">
        <v>0.0</v>
      </c>
      <c r="L260" s="13" t="str">
        <f>IFERROR(K260/K446, "NA")</f>
        <v>NA</v>
      </c>
      <c r="M260" s="14"/>
      <c r="N260" s="12">
        <v>0.0</v>
      </c>
      <c r="O260" s="13" t="str">
        <f>IFERROR(N260/N446, "NA")</f>
        <v>NA</v>
      </c>
      <c r="P260" s="14"/>
      <c r="Q260" s="12">
        <v>0.0</v>
      </c>
      <c r="R260" s="13" t="str">
        <f>IFERROR(Q260/Q446, "NA")</f>
        <v>NA</v>
      </c>
      <c r="S260" s="14"/>
      <c r="T260" s="12">
        <v>0.0</v>
      </c>
      <c r="U260" s="13" t="str">
        <f>IFERROR(T260/T446, "NA")</f>
        <v>NA</v>
      </c>
      <c r="V260" s="14"/>
      <c r="W260" s="12">
        <v>0.0</v>
      </c>
      <c r="X260" s="13" t="str">
        <f>IFERROR(W260/W446, "NA")</f>
        <v>NA</v>
      </c>
      <c r="Y260" s="14"/>
      <c r="Z260" s="12">
        <v>0.0</v>
      </c>
      <c r="AA260" s="13" t="str">
        <f>IFERROR(Z260/Z446, "NA")</f>
        <v>NA</v>
      </c>
      <c r="AB260" s="14"/>
      <c r="AC260" s="12">
        <v>0.0</v>
      </c>
      <c r="AD260" s="13" t="str">
        <f>IFERROR(AC260/AC446, "NA")</f>
        <v>NA</v>
      </c>
      <c r="AE260" s="14"/>
      <c r="AF260" s="12">
        <v>0.0</v>
      </c>
      <c r="AG260" s="13" t="str">
        <f>IFERROR(AF260/AF446, "NA")</f>
        <v>NA</v>
      </c>
      <c r="AH260" s="14"/>
      <c r="AI260" s="12">
        <v>0.0</v>
      </c>
      <c r="AJ260" s="13" t="str">
        <f>IFERROR(AI260/AI446, "NA")</f>
        <v>NA</v>
      </c>
      <c r="AK260" s="12"/>
      <c r="AL260" s="15">
        <f t="shared" si="35"/>
        <v>0</v>
      </c>
      <c r="AM260" s="13" t="str">
        <f>IFERROR(AL260/AL446, "NA")</f>
        <v>NA</v>
      </c>
      <c r="AN260" s="12"/>
      <c r="AO260" s="12">
        <v>0.0</v>
      </c>
      <c r="AP260" s="13" t="str">
        <f>IFERROR(AO260/AO446, "NA")</f>
        <v>NA</v>
      </c>
      <c r="AQ260" s="12"/>
      <c r="AR260" s="15">
        <f t="shared" si="36"/>
        <v>0</v>
      </c>
    </row>
    <row r="261" ht="16.5" hidden="1" customHeight="1">
      <c r="A261" s="11" t="s">
        <v>636</v>
      </c>
      <c r="B261" s="12">
        <v>0.0</v>
      </c>
      <c r="C261" s="13" t="str">
        <f>IFERROR(B261/B446, "NA")</f>
        <v>NA</v>
      </c>
      <c r="D261" s="14"/>
      <c r="E261" s="12">
        <v>0.0</v>
      </c>
      <c r="F261" s="13" t="str">
        <f>IFERROR(E261/E446, "NA")</f>
        <v>NA</v>
      </c>
      <c r="G261" s="14"/>
      <c r="H261" s="12">
        <v>0.0</v>
      </c>
      <c r="I261" s="13" t="str">
        <f>IFERROR(H261/H446, "NA")</f>
        <v>NA</v>
      </c>
      <c r="J261" s="14"/>
      <c r="K261" s="12">
        <v>0.0</v>
      </c>
      <c r="L261" s="13" t="str">
        <f>IFERROR(K261/K446, "NA")</f>
        <v>NA</v>
      </c>
      <c r="M261" s="14"/>
      <c r="N261" s="12">
        <v>0.0</v>
      </c>
      <c r="O261" s="13" t="str">
        <f>IFERROR(N261/N446, "NA")</f>
        <v>NA</v>
      </c>
      <c r="P261" s="14"/>
      <c r="Q261" s="12">
        <v>0.0</v>
      </c>
      <c r="R261" s="13" t="str">
        <f>IFERROR(Q261/Q446, "NA")</f>
        <v>NA</v>
      </c>
      <c r="S261" s="14"/>
      <c r="T261" s="12">
        <v>0.0</v>
      </c>
      <c r="U261" s="13" t="str">
        <f>IFERROR(T261/T446, "NA")</f>
        <v>NA</v>
      </c>
      <c r="V261" s="14"/>
      <c r="W261" s="12">
        <v>0.0</v>
      </c>
      <c r="X261" s="13" t="str">
        <f>IFERROR(W261/W446, "NA")</f>
        <v>NA</v>
      </c>
      <c r="Y261" s="14"/>
      <c r="Z261" s="12">
        <v>0.0</v>
      </c>
      <c r="AA261" s="13" t="str">
        <f>IFERROR(Z261/Z446, "NA")</f>
        <v>NA</v>
      </c>
      <c r="AB261" s="14"/>
      <c r="AC261" s="12">
        <v>0.0</v>
      </c>
      <c r="AD261" s="13" t="str">
        <f>IFERROR(AC261/AC446, "NA")</f>
        <v>NA</v>
      </c>
      <c r="AE261" s="14"/>
      <c r="AF261" s="12">
        <v>0.0</v>
      </c>
      <c r="AG261" s="13" t="str">
        <f>IFERROR(AF261/AF446, "NA")</f>
        <v>NA</v>
      </c>
      <c r="AH261" s="14"/>
      <c r="AI261" s="12">
        <v>0.0</v>
      </c>
      <c r="AJ261" s="13" t="str">
        <f>IFERROR(AI261/AI446, "NA")</f>
        <v>NA</v>
      </c>
      <c r="AK261" s="12"/>
      <c r="AL261" s="15">
        <f t="shared" si="35"/>
        <v>0</v>
      </c>
      <c r="AM261" s="13" t="str">
        <f>IFERROR(AL261/AL446, "NA")</f>
        <v>NA</v>
      </c>
      <c r="AN261" s="12"/>
      <c r="AO261" s="12">
        <v>0.0</v>
      </c>
      <c r="AP261" s="13" t="str">
        <f>IFERROR(AO261/AO446, "NA")</f>
        <v>NA</v>
      </c>
      <c r="AQ261" s="12"/>
      <c r="AR261" s="15">
        <f t="shared" si="36"/>
        <v>0</v>
      </c>
    </row>
    <row r="262" ht="16.5" hidden="1" customHeight="1">
      <c r="A262" s="11" t="s">
        <v>637</v>
      </c>
      <c r="B262" s="12">
        <v>0.0</v>
      </c>
      <c r="C262" s="13" t="str">
        <f>IFERROR(B262/B446, "NA")</f>
        <v>NA</v>
      </c>
      <c r="D262" s="14"/>
      <c r="E262" s="12">
        <v>0.0</v>
      </c>
      <c r="F262" s="13" t="str">
        <f>IFERROR(E262/E446, "NA")</f>
        <v>NA</v>
      </c>
      <c r="G262" s="14"/>
      <c r="H262" s="12">
        <v>0.0</v>
      </c>
      <c r="I262" s="13" t="str">
        <f>IFERROR(H262/H446, "NA")</f>
        <v>NA</v>
      </c>
      <c r="J262" s="14"/>
      <c r="K262" s="12">
        <v>0.0</v>
      </c>
      <c r="L262" s="13" t="str">
        <f>IFERROR(K262/K446, "NA")</f>
        <v>NA</v>
      </c>
      <c r="M262" s="14"/>
      <c r="N262" s="12">
        <v>0.0</v>
      </c>
      <c r="O262" s="13" t="str">
        <f>IFERROR(N262/N446, "NA")</f>
        <v>NA</v>
      </c>
      <c r="P262" s="14"/>
      <c r="Q262" s="12">
        <v>0.0</v>
      </c>
      <c r="R262" s="13" t="str">
        <f>IFERROR(Q262/Q446, "NA")</f>
        <v>NA</v>
      </c>
      <c r="S262" s="14"/>
      <c r="T262" s="12">
        <v>0.0</v>
      </c>
      <c r="U262" s="13" t="str">
        <f>IFERROR(T262/T446, "NA")</f>
        <v>NA</v>
      </c>
      <c r="V262" s="14"/>
      <c r="W262" s="12">
        <v>0.0</v>
      </c>
      <c r="X262" s="13" t="str">
        <f>IFERROR(W262/W446, "NA")</f>
        <v>NA</v>
      </c>
      <c r="Y262" s="14"/>
      <c r="Z262" s="12">
        <v>0.0</v>
      </c>
      <c r="AA262" s="13" t="str">
        <f>IFERROR(Z262/Z446, "NA")</f>
        <v>NA</v>
      </c>
      <c r="AB262" s="14"/>
      <c r="AC262" s="12">
        <v>0.0</v>
      </c>
      <c r="AD262" s="13" t="str">
        <f>IFERROR(AC262/AC446, "NA")</f>
        <v>NA</v>
      </c>
      <c r="AE262" s="14"/>
      <c r="AF262" s="12">
        <v>0.0</v>
      </c>
      <c r="AG262" s="13" t="str">
        <f>IFERROR(AF262/AF446, "NA")</f>
        <v>NA</v>
      </c>
      <c r="AH262" s="14"/>
      <c r="AI262" s="12">
        <v>0.0</v>
      </c>
      <c r="AJ262" s="13" t="str">
        <f>IFERROR(AI262/AI446, "NA")</f>
        <v>NA</v>
      </c>
      <c r="AK262" s="12"/>
      <c r="AL262" s="15">
        <f t="shared" si="35"/>
        <v>0</v>
      </c>
      <c r="AM262" s="13" t="str">
        <f>IFERROR(AL262/AL446, "NA")</f>
        <v>NA</v>
      </c>
      <c r="AN262" s="12"/>
      <c r="AO262" s="12">
        <v>0.0</v>
      </c>
      <c r="AP262" s="13" t="str">
        <f>IFERROR(AO262/AO446, "NA")</f>
        <v>NA</v>
      </c>
      <c r="AQ262" s="12"/>
      <c r="AR262" s="15">
        <f t="shared" si="36"/>
        <v>0</v>
      </c>
    </row>
    <row r="263" ht="16.5" customHeight="1">
      <c r="A263" s="16" t="s">
        <v>243</v>
      </c>
      <c r="B263" s="17">
        <f>IFERROR(B240+B241+B242+B243+B244+B245+B246+B247+B248+B249+B250+B251+B252+B253+B254+B255+B256+B257+B258+B259+B260+B261+B262, "NA")</f>
        <v>0</v>
      </c>
      <c r="C263" s="18" t="str">
        <f>IFERROR(B263/B446, "NA")</f>
        <v>NA</v>
      </c>
      <c r="D263" s="8"/>
      <c r="E263" s="17">
        <f>IFERROR(E240+E241+E242+E243+E244+E245+E246+E247+E248+E249+E250+E251+E252+E253+E254+E255+E256+E257+E258+E259+E260+E261+E262, "NA")</f>
        <v>0</v>
      </c>
      <c r="F263" s="18" t="str">
        <f>IFERROR(E263/E446, "NA")</f>
        <v>NA</v>
      </c>
      <c r="G263" s="8"/>
      <c r="H263" s="17">
        <f>IFERROR(H240+H241+H242+H243+H244+H245+H246+H247+H248+H249+H250+H251+H252+H253+H254+H255+H256+H257+H258+H259+H260+H261+H262, "NA")</f>
        <v>0</v>
      </c>
      <c r="I263" s="18" t="str">
        <f>IFERROR(H263/H446, "NA")</f>
        <v>NA</v>
      </c>
      <c r="J263" s="8"/>
      <c r="K263" s="17">
        <f>IFERROR(K240+K241+K242+K243+K244+K245+K246+K247+K248+K249+K250+K251+K252+K253+K254+K255+K256+K257+K258+K259+K260+K261+K262, "NA")</f>
        <v>0</v>
      </c>
      <c r="L263" s="18" t="str">
        <f>IFERROR(K263/K446, "NA")</f>
        <v>NA</v>
      </c>
      <c r="M263" s="8"/>
      <c r="N263" s="17">
        <f>IFERROR(N240+N241+N242+N243+N244+N245+N246+N247+N248+N249+N250+N251+N252+N253+N254+N255+N256+N257+N258+N259+N260+N261+N262, "NA")</f>
        <v>0</v>
      </c>
      <c r="O263" s="18" t="str">
        <f>IFERROR(N263/N446, "NA")</f>
        <v>NA</v>
      </c>
      <c r="P263" s="8"/>
      <c r="Q263" s="17">
        <f>IFERROR(Q240+Q241+Q242+Q243+Q244+Q245+Q246+Q247+Q248+Q249+Q250+Q251+Q252+Q253+Q254+Q255+Q256+Q257+Q258+Q259+Q260+Q261+Q262, "NA")</f>
        <v>0</v>
      </c>
      <c r="R263" s="18" t="str">
        <f>IFERROR(Q263/Q446, "NA")</f>
        <v>NA</v>
      </c>
      <c r="S263" s="8"/>
      <c r="T263" s="17">
        <f>IFERROR(T240+T241+T242+T243+T244+T245+T246+T247+T248+T249+T250+T251+T252+T253+T254+T255+T256+T257+T258+T259+T260+T261+T262, "NA")</f>
        <v>0</v>
      </c>
      <c r="U263" s="18" t="str">
        <f>IFERROR(T263/T446, "NA")</f>
        <v>NA</v>
      </c>
      <c r="V263" s="8"/>
      <c r="W263" s="17">
        <f>IFERROR(W240+W241+W242+W243+W244+W245+W246+W247+W248+W249+W250+W251+W252+W253+W254+W255+W256+W257+W258+W259+W260+W261+W262, "NA")</f>
        <v>0</v>
      </c>
      <c r="X263" s="18" t="str">
        <f>IFERROR(W263/W446, "NA")</f>
        <v>NA</v>
      </c>
      <c r="Y263" s="8"/>
      <c r="Z263" s="17">
        <f>IFERROR(Z240+Z241+Z242+Z243+Z244+Z245+Z246+Z247+Z248+Z249+Z250+Z251+Z252+Z253+Z254+Z255+Z256+Z257+Z258+Z259+Z260+Z261+Z262, "NA")</f>
        <v>0</v>
      </c>
      <c r="AA263" s="18" t="str">
        <f>IFERROR(Z263/Z446, "NA")</f>
        <v>NA</v>
      </c>
      <c r="AB263" s="8"/>
      <c r="AC263" s="17">
        <f>IFERROR(AC240+AC241+AC242+AC243+AC244+AC245+AC246+AC247+AC248+AC249+AC250+AC251+AC252+AC253+AC254+AC255+AC256+AC257+AC258+AC259+AC260+AC261+AC262, "NA")</f>
        <v>0</v>
      </c>
      <c r="AD263" s="18" t="str">
        <f>IFERROR(AC263/AC446, "NA")</f>
        <v>NA</v>
      </c>
      <c r="AE263" s="8"/>
      <c r="AF263" s="17">
        <f>IFERROR(AF240+AF241+AF242+AF243+AF244+AF245+AF246+AF247+AF248+AF249+AF250+AF251+AF252+AF253+AF254+AF255+AF256+AF257+AF258+AF259+AF260+AF261+AF262, "NA")</f>
        <v>0</v>
      </c>
      <c r="AG263" s="18" t="str">
        <f>IFERROR(AF263/AF446, "NA")</f>
        <v>NA</v>
      </c>
      <c r="AH263" s="8"/>
      <c r="AI263" s="17">
        <f>IFERROR(AI240+AI241+AI242+AI243+AI244+AI245+AI246+AI247+AI248+AI249+AI250+AI251+AI252+AI253+AI254+AI255+AI256+AI257+AI258+AI259+AI260+AI261+AI262, "NA")</f>
        <v>0</v>
      </c>
      <c r="AJ263" s="18" t="str">
        <f>IFERROR(AI263/AI446, "NA")</f>
        <v>NA</v>
      </c>
      <c r="AK263" s="8"/>
      <c r="AL263" s="17">
        <f t="shared" si="35"/>
        <v>0</v>
      </c>
      <c r="AM263" s="18" t="str">
        <f>IFERROR(AL263/AL446, "NA")</f>
        <v>NA</v>
      </c>
      <c r="AN263" s="8"/>
      <c r="AO263" s="17">
        <f>IFERROR(AO240+AO241+AO242+AO243+AO244+AO245+AO246+AO247+AO248+AO249+AO250+AO251+AO252+AO253+AO254+AO255+AO256+AO257+AO258+AO259+AO260+AO261+AO262, "NA")</f>
        <v>0</v>
      </c>
      <c r="AP263" s="18" t="str">
        <f>IFERROR(AO263/AO446, "NA")</f>
        <v>NA</v>
      </c>
      <c r="AQ263" s="8"/>
      <c r="AR263" s="17">
        <f t="shared" si="36"/>
        <v>0</v>
      </c>
    </row>
    <row r="264" ht="16.5" customHeight="1">
      <c r="A264" s="16" t="s">
        <v>244</v>
      </c>
      <c r="B264" s="17">
        <f>IFERROR(B238+B240+B241+B242+B243+B244+B245+B246+B247+B248+B249+B250+B251+B252+B253+B254+B255+B256+B257+B258+B259+B260+B261+B262, "NA")</f>
        <v>0</v>
      </c>
      <c r="C264" s="18" t="str">
        <f>IFERROR(B264/B446, "NA")</f>
        <v>NA</v>
      </c>
      <c r="D264" s="8"/>
      <c r="E264" s="17">
        <f>IFERROR(E238+E240+E241+E242+E243+E244+E245+E246+E247+E248+E249+E250+E251+E252+E253+E254+E255+E256+E257+E258+E259+E260+E261+E262, "NA")</f>
        <v>0</v>
      </c>
      <c r="F264" s="18" t="str">
        <f>IFERROR(E264/E446, "NA")</f>
        <v>NA</v>
      </c>
      <c r="G264" s="8"/>
      <c r="H264" s="17">
        <f>IFERROR(H238+H240+H241+H242+H243+H244+H245+H246+H247+H248+H249+H250+H251+H252+H253+H254+H255+H256+H257+H258+H259+H260+H261+H262, "NA")</f>
        <v>0</v>
      </c>
      <c r="I264" s="18" t="str">
        <f>IFERROR(H264/H446, "NA")</f>
        <v>NA</v>
      </c>
      <c r="J264" s="8"/>
      <c r="K264" s="17">
        <f>IFERROR(K238+K240+K241+K242+K243+K244+K245+K246+K247+K248+K249+K250+K251+K252+K253+K254+K255+K256+K257+K258+K259+K260+K261+K262, "NA")</f>
        <v>0</v>
      </c>
      <c r="L264" s="18" t="str">
        <f>IFERROR(K264/K446, "NA")</f>
        <v>NA</v>
      </c>
      <c r="M264" s="8"/>
      <c r="N264" s="17">
        <f>IFERROR(N238+N240+N241+N242+N243+N244+N245+N246+N247+N248+N249+N250+N251+N252+N253+N254+N255+N256+N257+N258+N259+N260+N261+N262, "NA")</f>
        <v>0</v>
      </c>
      <c r="O264" s="18" t="str">
        <f>IFERROR(N264/N446, "NA")</f>
        <v>NA</v>
      </c>
      <c r="P264" s="8"/>
      <c r="Q264" s="17">
        <f>IFERROR(Q238+Q240+Q241+Q242+Q243+Q244+Q245+Q246+Q247+Q248+Q249+Q250+Q251+Q252+Q253+Q254+Q255+Q256+Q257+Q258+Q259+Q260+Q261+Q262, "NA")</f>
        <v>0</v>
      </c>
      <c r="R264" s="18" t="str">
        <f>IFERROR(Q264/Q446, "NA")</f>
        <v>NA</v>
      </c>
      <c r="S264" s="8"/>
      <c r="T264" s="17">
        <f>IFERROR(T238+T240+T241+T242+T243+T244+T245+T246+T247+T248+T249+T250+T251+T252+T253+T254+T255+T256+T257+T258+T259+T260+T261+T262, "NA")</f>
        <v>0</v>
      </c>
      <c r="U264" s="18" t="str">
        <f>IFERROR(T264/T446, "NA")</f>
        <v>NA</v>
      </c>
      <c r="V264" s="8"/>
      <c r="W264" s="17">
        <f>IFERROR(W238+W240+W241+W242+W243+W244+W245+W246+W247+W248+W249+W250+W251+W252+W253+W254+W255+W256+W257+W258+W259+W260+W261+W262, "NA")</f>
        <v>0</v>
      </c>
      <c r="X264" s="18" t="str">
        <f>IFERROR(W264/W446, "NA")</f>
        <v>NA</v>
      </c>
      <c r="Y264" s="8"/>
      <c r="Z264" s="17">
        <f>IFERROR(Z238+Z240+Z241+Z242+Z243+Z244+Z245+Z246+Z247+Z248+Z249+Z250+Z251+Z252+Z253+Z254+Z255+Z256+Z257+Z258+Z259+Z260+Z261+Z262, "NA")</f>
        <v>0</v>
      </c>
      <c r="AA264" s="18" t="str">
        <f>IFERROR(Z264/Z446, "NA")</f>
        <v>NA</v>
      </c>
      <c r="AB264" s="8"/>
      <c r="AC264" s="17">
        <f>IFERROR(AC238+AC240+AC241+AC242+AC243+AC244+AC245+AC246+AC247+AC248+AC249+AC250+AC251+AC252+AC253+AC254+AC255+AC256+AC257+AC258+AC259+AC260+AC261+AC262, "NA")</f>
        <v>0</v>
      </c>
      <c r="AD264" s="18" t="str">
        <f>IFERROR(AC264/AC446, "NA")</f>
        <v>NA</v>
      </c>
      <c r="AE264" s="8"/>
      <c r="AF264" s="17">
        <f>IFERROR(AF238+AF240+AF241+AF242+AF243+AF244+AF245+AF246+AF247+AF248+AF249+AF250+AF251+AF252+AF253+AF254+AF255+AF256+AF257+AF258+AF259+AF260+AF261+AF262, "NA")</f>
        <v>0</v>
      </c>
      <c r="AG264" s="18" t="str">
        <f>IFERROR(AF264/AF446, "NA")</f>
        <v>NA</v>
      </c>
      <c r="AH264" s="8"/>
      <c r="AI264" s="17">
        <f>IFERROR(AI238+AI240+AI241+AI242+AI243+AI244+AI245+AI246+AI247+AI248+AI249+AI250+AI251+AI252+AI253+AI254+AI255+AI256+AI257+AI258+AI259+AI260+AI261+AI262, "NA")</f>
        <v>0</v>
      </c>
      <c r="AJ264" s="18" t="str">
        <f>IFERROR(AI264/AI446, "NA")</f>
        <v>NA</v>
      </c>
      <c r="AK264" s="8"/>
      <c r="AL264" s="17">
        <f t="shared" si="35"/>
        <v>0</v>
      </c>
      <c r="AM264" s="18" t="str">
        <f>IFERROR(AL264/AL446, "NA")</f>
        <v>NA</v>
      </c>
      <c r="AN264" s="8"/>
      <c r="AO264" s="17">
        <f>IFERROR(AO238+AO240+AO241+AO242+AO243+AO244+AO245+AO246+AO247+AO248+AO249+AO250+AO251+AO252+AO253+AO254+AO255+AO256+AO257+AO258+AO259+AO260+AO261+AO262, "NA")</f>
        <v>0</v>
      </c>
      <c r="AP264" s="18" t="str">
        <f>IFERROR(AO264/AO446, "NA")</f>
        <v>NA</v>
      </c>
      <c r="AQ264" s="8"/>
      <c r="AR264" s="17">
        <f t="shared" si="36"/>
        <v>0</v>
      </c>
    </row>
    <row r="265" ht="16.5" customHeight="1">
      <c r="A265" s="7" t="s">
        <v>245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  <c r="AE265" s="10"/>
      <c r="AF265" s="8"/>
      <c r="AG265" s="9"/>
      <c r="AH265" s="10"/>
      <c r="AI265" s="8"/>
      <c r="AJ265" s="9"/>
      <c r="AK265" s="8"/>
      <c r="AL265" s="8"/>
      <c r="AM265" s="9"/>
      <c r="AN265" s="8"/>
      <c r="AO265" s="8"/>
      <c r="AP265" s="9"/>
      <c r="AQ265" s="8"/>
      <c r="AR265" s="8"/>
    </row>
    <row r="266" ht="16.5" hidden="1" customHeight="1">
      <c r="A266" s="11" t="s">
        <v>638</v>
      </c>
      <c r="B266" s="12">
        <v>0.0</v>
      </c>
      <c r="C266" s="13" t="str">
        <f>IFERROR(B266/B446, "NA")</f>
        <v>NA</v>
      </c>
      <c r="D266" s="14"/>
      <c r="E266" s="12">
        <v>0.0</v>
      </c>
      <c r="F266" s="13" t="str">
        <f>IFERROR(E266/E446, "NA")</f>
        <v>NA</v>
      </c>
      <c r="G266" s="14"/>
      <c r="H266" s="12">
        <v>0.0</v>
      </c>
      <c r="I266" s="13" t="str">
        <f>IFERROR(H266/H446, "NA")</f>
        <v>NA</v>
      </c>
      <c r="J266" s="14"/>
      <c r="K266" s="12">
        <v>0.0</v>
      </c>
      <c r="L266" s="13" t="str">
        <f>IFERROR(K266/K446, "NA")</f>
        <v>NA</v>
      </c>
      <c r="M266" s="14"/>
      <c r="N266" s="12">
        <v>0.0</v>
      </c>
      <c r="O266" s="13" t="str">
        <f>IFERROR(N266/N446, "NA")</f>
        <v>NA</v>
      </c>
      <c r="P266" s="14"/>
      <c r="Q266" s="12">
        <v>0.0</v>
      </c>
      <c r="R266" s="13" t="str">
        <f>IFERROR(Q266/Q446, "NA")</f>
        <v>NA</v>
      </c>
      <c r="S266" s="14"/>
      <c r="T266" s="12">
        <v>0.0</v>
      </c>
      <c r="U266" s="13" t="str">
        <f>IFERROR(T266/T446, "NA")</f>
        <v>NA</v>
      </c>
      <c r="V266" s="14"/>
      <c r="W266" s="12">
        <v>0.0</v>
      </c>
      <c r="X266" s="13" t="str">
        <f>IFERROR(W266/W446, "NA")</f>
        <v>NA</v>
      </c>
      <c r="Y266" s="14"/>
      <c r="Z266" s="12">
        <v>0.0</v>
      </c>
      <c r="AA266" s="13" t="str">
        <f>IFERROR(Z266/Z446, "NA")</f>
        <v>NA</v>
      </c>
      <c r="AB266" s="14"/>
      <c r="AC266" s="12">
        <v>0.0</v>
      </c>
      <c r="AD266" s="13" t="str">
        <f>IFERROR(AC266/AC446, "NA")</f>
        <v>NA</v>
      </c>
      <c r="AE266" s="14"/>
      <c r="AF266" s="12">
        <v>0.0</v>
      </c>
      <c r="AG266" s="13" t="str">
        <f>IFERROR(AF266/AF446, "NA")</f>
        <v>NA</v>
      </c>
      <c r="AH266" s="14"/>
      <c r="AI266" s="12">
        <v>0.0</v>
      </c>
      <c r="AJ266" s="13" t="str">
        <f>IFERROR(AI266/AI446, "NA")</f>
        <v>NA</v>
      </c>
      <c r="AK266" s="12"/>
      <c r="AL266" s="15">
        <f t="shared" ref="AL266:AL268" si="37">IFERROR(B266+E266+H266+K266+N266+Q266+T266+W266+Z266+AC266+AF266+AI266, "NA")</f>
        <v>0</v>
      </c>
      <c r="AM266" s="13" t="str">
        <f>IFERROR(AL266/AL446, "NA")</f>
        <v>NA</v>
      </c>
      <c r="AN266" s="12"/>
      <c r="AO266" s="12">
        <v>0.0</v>
      </c>
      <c r="AP266" s="13" t="str">
        <f>IFERROR(AO266/AO446, "NA")</f>
        <v>NA</v>
      </c>
      <c r="AQ266" s="12"/>
      <c r="AR266" s="15">
        <f t="shared" ref="AR266:AR268" si="38">IFERROR(AL266-AO266, "NA")</f>
        <v>0</v>
      </c>
    </row>
    <row r="267" ht="16.5" hidden="1" customHeight="1">
      <c r="A267" s="11" t="s">
        <v>639</v>
      </c>
      <c r="B267" s="12">
        <v>0.0</v>
      </c>
      <c r="C267" s="13" t="str">
        <f>IFERROR(B267/B446, "NA")</f>
        <v>NA</v>
      </c>
      <c r="D267" s="14"/>
      <c r="E267" s="12">
        <v>0.0</v>
      </c>
      <c r="F267" s="13" t="str">
        <f>IFERROR(E267/E446, "NA")</f>
        <v>NA</v>
      </c>
      <c r="G267" s="14"/>
      <c r="H267" s="12">
        <v>0.0</v>
      </c>
      <c r="I267" s="13" t="str">
        <f>IFERROR(H267/H446, "NA")</f>
        <v>NA</v>
      </c>
      <c r="J267" s="14"/>
      <c r="K267" s="12">
        <v>0.0</v>
      </c>
      <c r="L267" s="13" t="str">
        <f>IFERROR(K267/K446, "NA")</f>
        <v>NA</v>
      </c>
      <c r="M267" s="14"/>
      <c r="N267" s="12">
        <v>0.0</v>
      </c>
      <c r="O267" s="13" t="str">
        <f>IFERROR(N267/N446, "NA")</f>
        <v>NA</v>
      </c>
      <c r="P267" s="14"/>
      <c r="Q267" s="12">
        <v>0.0</v>
      </c>
      <c r="R267" s="13" t="str">
        <f>IFERROR(Q267/Q446, "NA")</f>
        <v>NA</v>
      </c>
      <c r="S267" s="14"/>
      <c r="T267" s="12">
        <v>0.0</v>
      </c>
      <c r="U267" s="13" t="str">
        <f>IFERROR(T267/T446, "NA")</f>
        <v>NA</v>
      </c>
      <c r="V267" s="14"/>
      <c r="W267" s="12">
        <v>0.0</v>
      </c>
      <c r="X267" s="13" t="str">
        <f>IFERROR(W267/W446, "NA")</f>
        <v>NA</v>
      </c>
      <c r="Y267" s="14"/>
      <c r="Z267" s="12">
        <v>0.0</v>
      </c>
      <c r="AA267" s="13" t="str">
        <f>IFERROR(Z267/Z446, "NA")</f>
        <v>NA</v>
      </c>
      <c r="AB267" s="14"/>
      <c r="AC267" s="12">
        <v>0.0</v>
      </c>
      <c r="AD267" s="13" t="str">
        <f>IFERROR(AC267/AC446, "NA")</f>
        <v>NA</v>
      </c>
      <c r="AE267" s="14"/>
      <c r="AF267" s="12">
        <v>0.0</v>
      </c>
      <c r="AG267" s="13" t="str">
        <f>IFERROR(AF267/AF446, "NA")</f>
        <v>NA</v>
      </c>
      <c r="AH267" s="14"/>
      <c r="AI267" s="12">
        <v>0.0</v>
      </c>
      <c r="AJ267" s="13" t="str">
        <f>IFERROR(AI267/AI446, "NA")</f>
        <v>NA</v>
      </c>
      <c r="AK267" s="12"/>
      <c r="AL267" s="15">
        <f t="shared" si="37"/>
        <v>0</v>
      </c>
      <c r="AM267" s="13" t="str">
        <f>IFERROR(AL267/AL446, "NA")</f>
        <v>NA</v>
      </c>
      <c r="AN267" s="12"/>
      <c r="AO267" s="12">
        <v>0.0</v>
      </c>
      <c r="AP267" s="13" t="str">
        <f>IFERROR(AO267/AO446, "NA")</f>
        <v>NA</v>
      </c>
      <c r="AQ267" s="12"/>
      <c r="AR267" s="15">
        <f t="shared" si="38"/>
        <v>0</v>
      </c>
    </row>
    <row r="268" ht="16.5" customHeight="1">
      <c r="A268" s="16" t="s">
        <v>247</v>
      </c>
      <c r="B268" s="17">
        <f>IFERROR(B266+B267, "NA")</f>
        <v>0</v>
      </c>
      <c r="C268" s="18" t="str">
        <f>IFERROR(B268/B446, "NA")</f>
        <v>NA</v>
      </c>
      <c r="D268" s="8"/>
      <c r="E268" s="17">
        <f>IFERROR(E266+E267, "NA")</f>
        <v>0</v>
      </c>
      <c r="F268" s="18" t="str">
        <f>IFERROR(E268/E446, "NA")</f>
        <v>NA</v>
      </c>
      <c r="G268" s="8"/>
      <c r="H268" s="17">
        <f>IFERROR(H266+H267, "NA")</f>
        <v>0</v>
      </c>
      <c r="I268" s="18" t="str">
        <f>IFERROR(H268/H446, "NA")</f>
        <v>NA</v>
      </c>
      <c r="J268" s="8"/>
      <c r="K268" s="17">
        <f>IFERROR(K266+K267, "NA")</f>
        <v>0</v>
      </c>
      <c r="L268" s="18" t="str">
        <f>IFERROR(K268/K446, "NA")</f>
        <v>NA</v>
      </c>
      <c r="M268" s="8"/>
      <c r="N268" s="17">
        <f>IFERROR(N266+N267, "NA")</f>
        <v>0</v>
      </c>
      <c r="O268" s="18" t="str">
        <f>IFERROR(N268/N446, "NA")</f>
        <v>NA</v>
      </c>
      <c r="P268" s="8"/>
      <c r="Q268" s="17">
        <f>IFERROR(Q266+Q267, "NA")</f>
        <v>0</v>
      </c>
      <c r="R268" s="18" t="str">
        <f>IFERROR(Q268/Q446, "NA")</f>
        <v>NA</v>
      </c>
      <c r="S268" s="8"/>
      <c r="T268" s="17">
        <f>IFERROR(T266+T267, "NA")</f>
        <v>0</v>
      </c>
      <c r="U268" s="18" t="str">
        <f>IFERROR(T268/T446, "NA")</f>
        <v>NA</v>
      </c>
      <c r="V268" s="8"/>
      <c r="W268" s="17">
        <f>IFERROR(W266+W267, "NA")</f>
        <v>0</v>
      </c>
      <c r="X268" s="18" t="str">
        <f>IFERROR(W268/W446, "NA")</f>
        <v>NA</v>
      </c>
      <c r="Y268" s="8"/>
      <c r="Z268" s="17">
        <f>IFERROR(Z266+Z267, "NA")</f>
        <v>0</v>
      </c>
      <c r="AA268" s="18" t="str">
        <f>IFERROR(Z268/Z446, "NA")</f>
        <v>NA</v>
      </c>
      <c r="AB268" s="8"/>
      <c r="AC268" s="17">
        <f>IFERROR(AC266+AC267, "NA")</f>
        <v>0</v>
      </c>
      <c r="AD268" s="18" t="str">
        <f>IFERROR(AC268/AC446, "NA")</f>
        <v>NA</v>
      </c>
      <c r="AE268" s="8"/>
      <c r="AF268" s="17">
        <f>IFERROR(AF266+AF267, "NA")</f>
        <v>0</v>
      </c>
      <c r="AG268" s="18" t="str">
        <f>IFERROR(AF268/AF446, "NA")</f>
        <v>NA</v>
      </c>
      <c r="AH268" s="8"/>
      <c r="AI268" s="17">
        <f>IFERROR(AI266+AI267, "NA")</f>
        <v>0</v>
      </c>
      <c r="AJ268" s="18" t="str">
        <f>IFERROR(AI268/AI446, "NA")</f>
        <v>NA</v>
      </c>
      <c r="AK268" s="8"/>
      <c r="AL268" s="17">
        <f t="shared" si="37"/>
        <v>0</v>
      </c>
      <c r="AM268" s="18" t="str">
        <f>IFERROR(AL268/AL446, "NA")</f>
        <v>NA</v>
      </c>
      <c r="AN268" s="8"/>
      <c r="AO268" s="17">
        <f>IFERROR(AO266+AO267, "NA")</f>
        <v>0</v>
      </c>
      <c r="AP268" s="18" t="str">
        <f>IFERROR(AO268/AO446, "NA")</f>
        <v>NA</v>
      </c>
      <c r="AQ268" s="8"/>
      <c r="AR268" s="17">
        <f t="shared" si="38"/>
        <v>0</v>
      </c>
    </row>
    <row r="269" ht="16.5" customHeight="1">
      <c r="A269" s="7" t="s">
        <v>248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  <c r="AE269" s="10"/>
      <c r="AF269" s="8"/>
      <c r="AG269" s="9"/>
      <c r="AH269" s="10"/>
      <c r="AI269" s="8"/>
      <c r="AJ269" s="9"/>
      <c r="AK269" s="8"/>
      <c r="AL269" s="8"/>
      <c r="AM269" s="9"/>
      <c r="AN269" s="8"/>
      <c r="AO269" s="8"/>
      <c r="AP269" s="9"/>
      <c r="AQ269" s="8"/>
      <c r="AR269" s="8"/>
    </row>
    <row r="270" ht="16.5" hidden="1" customHeight="1">
      <c r="A270" s="11" t="s">
        <v>640</v>
      </c>
      <c r="B270" s="12">
        <v>0.0</v>
      </c>
      <c r="C270" s="13" t="str">
        <f>IFERROR(B270/B446, "NA")</f>
        <v>NA</v>
      </c>
      <c r="D270" s="14"/>
      <c r="E270" s="12">
        <v>0.0</v>
      </c>
      <c r="F270" s="13" t="str">
        <f>IFERROR(E270/E446, "NA")</f>
        <v>NA</v>
      </c>
      <c r="G270" s="14"/>
      <c r="H270" s="12">
        <v>0.0</v>
      </c>
      <c r="I270" s="13" t="str">
        <f>IFERROR(H270/H446, "NA")</f>
        <v>NA</v>
      </c>
      <c r="J270" s="14"/>
      <c r="K270" s="12">
        <v>0.0</v>
      </c>
      <c r="L270" s="13" t="str">
        <f>IFERROR(K270/K446, "NA")</f>
        <v>NA</v>
      </c>
      <c r="M270" s="14"/>
      <c r="N270" s="12">
        <v>0.0</v>
      </c>
      <c r="O270" s="13" t="str">
        <f>IFERROR(N270/N446, "NA")</f>
        <v>NA</v>
      </c>
      <c r="P270" s="14"/>
      <c r="Q270" s="12">
        <v>0.0</v>
      </c>
      <c r="R270" s="13" t="str">
        <f>IFERROR(Q270/Q446, "NA")</f>
        <v>NA</v>
      </c>
      <c r="S270" s="14"/>
      <c r="T270" s="12">
        <v>0.0</v>
      </c>
      <c r="U270" s="13" t="str">
        <f>IFERROR(T270/T446, "NA")</f>
        <v>NA</v>
      </c>
      <c r="V270" s="14"/>
      <c r="W270" s="12">
        <v>0.0</v>
      </c>
      <c r="X270" s="13" t="str">
        <f>IFERROR(W270/W446, "NA")</f>
        <v>NA</v>
      </c>
      <c r="Y270" s="14"/>
      <c r="Z270" s="12">
        <v>0.0</v>
      </c>
      <c r="AA270" s="13" t="str">
        <f>IFERROR(Z270/Z446, "NA")</f>
        <v>NA</v>
      </c>
      <c r="AB270" s="14"/>
      <c r="AC270" s="12">
        <v>0.0</v>
      </c>
      <c r="AD270" s="13" t="str">
        <f>IFERROR(AC270/AC446, "NA")</f>
        <v>NA</v>
      </c>
      <c r="AE270" s="14"/>
      <c r="AF270" s="12">
        <v>0.0</v>
      </c>
      <c r="AG270" s="13" t="str">
        <f>IFERROR(AF270/AF446, "NA")</f>
        <v>NA</v>
      </c>
      <c r="AH270" s="14"/>
      <c r="AI270" s="12">
        <v>0.0</v>
      </c>
      <c r="AJ270" s="13" t="str">
        <f>IFERROR(AI270/AI446, "NA")</f>
        <v>NA</v>
      </c>
      <c r="AK270" s="12"/>
      <c r="AL270" s="15">
        <f t="shared" ref="AL270:AL274" si="39">IFERROR(B270+E270+H270+K270+N270+Q270+T270+W270+Z270+AC270+AF270+AI270, "NA")</f>
        <v>0</v>
      </c>
      <c r="AM270" s="13" t="str">
        <f>IFERROR(AL270/AL446, "NA")</f>
        <v>NA</v>
      </c>
      <c r="AN270" s="12"/>
      <c r="AO270" s="12">
        <v>0.0</v>
      </c>
      <c r="AP270" s="13" t="str">
        <f>IFERROR(AO270/AO446, "NA")</f>
        <v>NA</v>
      </c>
      <c r="AQ270" s="12"/>
      <c r="AR270" s="15">
        <f t="shared" ref="AR270:AR274" si="40">IFERROR(AL270-AO270, "NA")</f>
        <v>0</v>
      </c>
    </row>
    <row r="271" ht="16.5" hidden="1" customHeight="1">
      <c r="A271" s="11" t="s">
        <v>641</v>
      </c>
      <c r="B271" s="12">
        <v>0.0</v>
      </c>
      <c r="C271" s="13" t="str">
        <f>IFERROR(B271/B446, "NA")</f>
        <v>NA</v>
      </c>
      <c r="D271" s="14"/>
      <c r="E271" s="12">
        <v>0.0</v>
      </c>
      <c r="F271" s="13" t="str">
        <f>IFERROR(E271/E446, "NA")</f>
        <v>NA</v>
      </c>
      <c r="G271" s="14"/>
      <c r="H271" s="12">
        <v>0.0</v>
      </c>
      <c r="I271" s="13" t="str">
        <f>IFERROR(H271/H446, "NA")</f>
        <v>NA</v>
      </c>
      <c r="J271" s="14"/>
      <c r="K271" s="12">
        <v>0.0</v>
      </c>
      <c r="L271" s="13" t="str">
        <f>IFERROR(K271/K446, "NA")</f>
        <v>NA</v>
      </c>
      <c r="M271" s="14"/>
      <c r="N271" s="12">
        <v>0.0</v>
      </c>
      <c r="O271" s="13" t="str">
        <f>IFERROR(N271/N446, "NA")</f>
        <v>NA</v>
      </c>
      <c r="P271" s="14"/>
      <c r="Q271" s="12">
        <v>0.0</v>
      </c>
      <c r="R271" s="13" t="str">
        <f>IFERROR(Q271/Q446, "NA")</f>
        <v>NA</v>
      </c>
      <c r="S271" s="14"/>
      <c r="T271" s="12">
        <v>0.0</v>
      </c>
      <c r="U271" s="13" t="str">
        <f>IFERROR(T271/T446, "NA")</f>
        <v>NA</v>
      </c>
      <c r="V271" s="14"/>
      <c r="W271" s="12">
        <v>0.0</v>
      </c>
      <c r="X271" s="13" t="str">
        <f>IFERROR(W271/W446, "NA")</f>
        <v>NA</v>
      </c>
      <c r="Y271" s="14"/>
      <c r="Z271" s="12">
        <v>0.0</v>
      </c>
      <c r="AA271" s="13" t="str">
        <f>IFERROR(Z271/Z446, "NA")</f>
        <v>NA</v>
      </c>
      <c r="AB271" s="14"/>
      <c r="AC271" s="12">
        <v>0.0</v>
      </c>
      <c r="AD271" s="13" t="str">
        <f>IFERROR(AC271/AC446, "NA")</f>
        <v>NA</v>
      </c>
      <c r="AE271" s="14"/>
      <c r="AF271" s="12">
        <v>0.0</v>
      </c>
      <c r="AG271" s="13" t="str">
        <f>IFERROR(AF271/AF446, "NA")</f>
        <v>NA</v>
      </c>
      <c r="AH271" s="14"/>
      <c r="AI271" s="12">
        <v>0.0</v>
      </c>
      <c r="AJ271" s="13" t="str">
        <f>IFERROR(AI271/AI446, "NA")</f>
        <v>NA</v>
      </c>
      <c r="AK271" s="12"/>
      <c r="AL271" s="15">
        <f t="shared" si="39"/>
        <v>0</v>
      </c>
      <c r="AM271" s="13" t="str">
        <f>IFERROR(AL271/AL446, "NA")</f>
        <v>NA</v>
      </c>
      <c r="AN271" s="12"/>
      <c r="AO271" s="12">
        <v>0.0</v>
      </c>
      <c r="AP271" s="13" t="str">
        <f>IFERROR(AO271/AO446, "NA")</f>
        <v>NA</v>
      </c>
      <c r="AQ271" s="12"/>
      <c r="AR271" s="15">
        <f t="shared" si="40"/>
        <v>0</v>
      </c>
    </row>
    <row r="272" ht="16.5" hidden="1" customHeight="1">
      <c r="A272" s="11" t="s">
        <v>642</v>
      </c>
      <c r="B272" s="12">
        <v>0.0</v>
      </c>
      <c r="C272" s="13" t="str">
        <f>IFERROR(B272/B446, "NA")</f>
        <v>NA</v>
      </c>
      <c r="D272" s="14"/>
      <c r="E272" s="12">
        <v>0.0</v>
      </c>
      <c r="F272" s="13" t="str">
        <f>IFERROR(E272/E446, "NA")</f>
        <v>NA</v>
      </c>
      <c r="G272" s="14"/>
      <c r="H272" s="12">
        <v>0.0</v>
      </c>
      <c r="I272" s="13" t="str">
        <f>IFERROR(H272/H446, "NA")</f>
        <v>NA</v>
      </c>
      <c r="J272" s="14"/>
      <c r="K272" s="12">
        <v>0.0</v>
      </c>
      <c r="L272" s="13" t="str">
        <f>IFERROR(K272/K446, "NA")</f>
        <v>NA</v>
      </c>
      <c r="M272" s="14"/>
      <c r="N272" s="12">
        <v>0.0</v>
      </c>
      <c r="O272" s="13" t="str">
        <f>IFERROR(N272/N446, "NA")</f>
        <v>NA</v>
      </c>
      <c r="P272" s="14"/>
      <c r="Q272" s="12">
        <v>0.0</v>
      </c>
      <c r="R272" s="13" t="str">
        <f>IFERROR(Q272/Q446, "NA")</f>
        <v>NA</v>
      </c>
      <c r="S272" s="14"/>
      <c r="T272" s="12">
        <v>0.0</v>
      </c>
      <c r="U272" s="13" t="str">
        <f>IFERROR(T272/T446, "NA")</f>
        <v>NA</v>
      </c>
      <c r="V272" s="14"/>
      <c r="W272" s="12">
        <v>0.0</v>
      </c>
      <c r="X272" s="13" t="str">
        <f>IFERROR(W272/W446, "NA")</f>
        <v>NA</v>
      </c>
      <c r="Y272" s="14"/>
      <c r="Z272" s="12">
        <v>0.0</v>
      </c>
      <c r="AA272" s="13" t="str">
        <f>IFERROR(Z272/Z446, "NA")</f>
        <v>NA</v>
      </c>
      <c r="AB272" s="14"/>
      <c r="AC272" s="12">
        <v>0.0</v>
      </c>
      <c r="AD272" s="13" t="str">
        <f>IFERROR(AC272/AC446, "NA")</f>
        <v>NA</v>
      </c>
      <c r="AE272" s="14"/>
      <c r="AF272" s="12">
        <v>0.0</v>
      </c>
      <c r="AG272" s="13" t="str">
        <f>IFERROR(AF272/AF446, "NA")</f>
        <v>NA</v>
      </c>
      <c r="AH272" s="14"/>
      <c r="AI272" s="12">
        <v>0.0</v>
      </c>
      <c r="AJ272" s="13" t="str">
        <f>IFERROR(AI272/AI446, "NA")</f>
        <v>NA</v>
      </c>
      <c r="AK272" s="12"/>
      <c r="AL272" s="15">
        <f t="shared" si="39"/>
        <v>0</v>
      </c>
      <c r="AM272" s="13" t="str">
        <f>IFERROR(AL272/AL446, "NA")</f>
        <v>NA</v>
      </c>
      <c r="AN272" s="12"/>
      <c r="AO272" s="12">
        <v>0.0</v>
      </c>
      <c r="AP272" s="13" t="str">
        <f>IFERROR(AO272/AO446, "NA")</f>
        <v>NA</v>
      </c>
      <c r="AQ272" s="12"/>
      <c r="AR272" s="15">
        <f t="shared" si="40"/>
        <v>0</v>
      </c>
    </row>
    <row r="273" ht="16.5" hidden="1" customHeight="1">
      <c r="A273" s="11" t="s">
        <v>643</v>
      </c>
      <c r="B273" s="12">
        <v>0.0</v>
      </c>
      <c r="C273" s="13" t="str">
        <f>IFERROR(B273/B446, "NA")</f>
        <v>NA</v>
      </c>
      <c r="D273" s="14"/>
      <c r="E273" s="12">
        <v>0.0</v>
      </c>
      <c r="F273" s="13" t="str">
        <f>IFERROR(E273/E446, "NA")</f>
        <v>NA</v>
      </c>
      <c r="G273" s="14"/>
      <c r="H273" s="12">
        <v>0.0</v>
      </c>
      <c r="I273" s="13" t="str">
        <f>IFERROR(H273/H446, "NA")</f>
        <v>NA</v>
      </c>
      <c r="J273" s="14"/>
      <c r="K273" s="12">
        <v>0.0</v>
      </c>
      <c r="L273" s="13" t="str">
        <f>IFERROR(K273/K446, "NA")</f>
        <v>NA</v>
      </c>
      <c r="M273" s="14"/>
      <c r="N273" s="12">
        <v>0.0</v>
      </c>
      <c r="O273" s="13" t="str">
        <f>IFERROR(N273/N446, "NA")</f>
        <v>NA</v>
      </c>
      <c r="P273" s="14"/>
      <c r="Q273" s="12">
        <v>0.0</v>
      </c>
      <c r="R273" s="13" t="str">
        <f>IFERROR(Q273/Q446, "NA")</f>
        <v>NA</v>
      </c>
      <c r="S273" s="14"/>
      <c r="T273" s="12">
        <v>0.0</v>
      </c>
      <c r="U273" s="13" t="str">
        <f>IFERROR(T273/T446, "NA")</f>
        <v>NA</v>
      </c>
      <c r="V273" s="14"/>
      <c r="W273" s="12">
        <v>0.0</v>
      </c>
      <c r="X273" s="13" t="str">
        <f>IFERROR(W273/W446, "NA")</f>
        <v>NA</v>
      </c>
      <c r="Y273" s="14"/>
      <c r="Z273" s="12">
        <v>0.0</v>
      </c>
      <c r="AA273" s="13" t="str">
        <f>IFERROR(Z273/Z446, "NA")</f>
        <v>NA</v>
      </c>
      <c r="AB273" s="14"/>
      <c r="AC273" s="12">
        <v>0.0</v>
      </c>
      <c r="AD273" s="13" t="str">
        <f>IFERROR(AC273/AC446, "NA")</f>
        <v>NA</v>
      </c>
      <c r="AE273" s="14"/>
      <c r="AF273" s="12">
        <v>0.0</v>
      </c>
      <c r="AG273" s="13" t="str">
        <f>IFERROR(AF273/AF446, "NA")</f>
        <v>NA</v>
      </c>
      <c r="AH273" s="14"/>
      <c r="AI273" s="12">
        <v>0.0</v>
      </c>
      <c r="AJ273" s="13" t="str">
        <f>IFERROR(AI273/AI446, "NA")</f>
        <v>NA</v>
      </c>
      <c r="AK273" s="12"/>
      <c r="AL273" s="15">
        <f t="shared" si="39"/>
        <v>0</v>
      </c>
      <c r="AM273" s="13" t="str">
        <f>IFERROR(AL273/AL446, "NA")</f>
        <v>NA</v>
      </c>
      <c r="AN273" s="12"/>
      <c r="AO273" s="12">
        <v>0.0</v>
      </c>
      <c r="AP273" s="13" t="str">
        <f>IFERROR(AO273/AO446, "NA")</f>
        <v>NA</v>
      </c>
      <c r="AQ273" s="12"/>
      <c r="AR273" s="15">
        <f t="shared" si="40"/>
        <v>0</v>
      </c>
    </row>
    <row r="274" ht="16.5" customHeight="1">
      <c r="A274" s="16" t="s">
        <v>252</v>
      </c>
      <c r="B274" s="17">
        <f>IFERROR(B270+B271+B272+B273, "NA")</f>
        <v>0</v>
      </c>
      <c r="C274" s="18" t="str">
        <f>IFERROR(B274/B446, "NA")</f>
        <v>NA</v>
      </c>
      <c r="D274" s="8"/>
      <c r="E274" s="17">
        <f>IFERROR(E270+E271+E272+E273, "NA")</f>
        <v>0</v>
      </c>
      <c r="F274" s="18" t="str">
        <f>IFERROR(E274/E446, "NA")</f>
        <v>NA</v>
      </c>
      <c r="G274" s="8"/>
      <c r="H274" s="17">
        <f>IFERROR(H270+H271+H272+H273, "NA")</f>
        <v>0</v>
      </c>
      <c r="I274" s="18" t="str">
        <f>IFERROR(H274/H446, "NA")</f>
        <v>NA</v>
      </c>
      <c r="J274" s="8"/>
      <c r="K274" s="17">
        <f>IFERROR(K270+K271+K272+K273, "NA")</f>
        <v>0</v>
      </c>
      <c r="L274" s="18" t="str">
        <f>IFERROR(K274/K446, "NA")</f>
        <v>NA</v>
      </c>
      <c r="M274" s="8"/>
      <c r="N274" s="17">
        <f>IFERROR(N270+N271+N272+N273, "NA")</f>
        <v>0</v>
      </c>
      <c r="O274" s="18" t="str">
        <f>IFERROR(N274/N446, "NA")</f>
        <v>NA</v>
      </c>
      <c r="P274" s="8"/>
      <c r="Q274" s="17">
        <f>IFERROR(Q270+Q271+Q272+Q273, "NA")</f>
        <v>0</v>
      </c>
      <c r="R274" s="18" t="str">
        <f>IFERROR(Q274/Q446, "NA")</f>
        <v>NA</v>
      </c>
      <c r="S274" s="8"/>
      <c r="T274" s="17">
        <f>IFERROR(T270+T271+T272+T273, "NA")</f>
        <v>0</v>
      </c>
      <c r="U274" s="18" t="str">
        <f>IFERROR(T274/T446, "NA")</f>
        <v>NA</v>
      </c>
      <c r="V274" s="8"/>
      <c r="W274" s="17">
        <f>IFERROR(W270+W271+W272+W273, "NA")</f>
        <v>0</v>
      </c>
      <c r="X274" s="18" t="str">
        <f>IFERROR(W274/W446, "NA")</f>
        <v>NA</v>
      </c>
      <c r="Y274" s="8"/>
      <c r="Z274" s="17">
        <f>IFERROR(Z270+Z271+Z272+Z273, "NA")</f>
        <v>0</v>
      </c>
      <c r="AA274" s="18" t="str">
        <f>IFERROR(Z274/Z446, "NA")</f>
        <v>NA</v>
      </c>
      <c r="AB274" s="8"/>
      <c r="AC274" s="17">
        <f>IFERROR(AC270+AC271+AC272+AC273, "NA")</f>
        <v>0</v>
      </c>
      <c r="AD274" s="18" t="str">
        <f>IFERROR(AC274/AC446, "NA")</f>
        <v>NA</v>
      </c>
      <c r="AE274" s="8"/>
      <c r="AF274" s="17">
        <f>IFERROR(AF270+AF271+AF272+AF273, "NA")</f>
        <v>0</v>
      </c>
      <c r="AG274" s="18" t="str">
        <f>IFERROR(AF274/AF446, "NA")</f>
        <v>NA</v>
      </c>
      <c r="AH274" s="8"/>
      <c r="AI274" s="17">
        <f>IFERROR(AI270+AI271+AI272+AI273, "NA")</f>
        <v>0</v>
      </c>
      <c r="AJ274" s="18" t="str">
        <f>IFERROR(AI274/AI446, "NA")</f>
        <v>NA</v>
      </c>
      <c r="AK274" s="8"/>
      <c r="AL274" s="17">
        <f t="shared" si="39"/>
        <v>0</v>
      </c>
      <c r="AM274" s="18" t="str">
        <f>IFERROR(AL274/AL446, "NA")</f>
        <v>NA</v>
      </c>
      <c r="AN274" s="8"/>
      <c r="AO274" s="17">
        <f>IFERROR(AO270+AO271+AO272+AO273, "NA")</f>
        <v>0</v>
      </c>
      <c r="AP274" s="18" t="str">
        <f>IFERROR(AO274/AO446, "NA")</f>
        <v>NA</v>
      </c>
      <c r="AQ274" s="8"/>
      <c r="AR274" s="17">
        <f t="shared" si="40"/>
        <v>0</v>
      </c>
    </row>
    <row r="275" ht="16.5" customHeight="1">
      <c r="A275" s="7" t="s">
        <v>253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  <c r="AE275" s="10"/>
      <c r="AF275" s="8"/>
      <c r="AG275" s="9"/>
      <c r="AH275" s="10"/>
      <c r="AI275" s="8"/>
      <c r="AJ275" s="9"/>
      <c r="AK275" s="8"/>
      <c r="AL275" s="8"/>
      <c r="AM275" s="9"/>
      <c r="AN275" s="8"/>
      <c r="AO275" s="8"/>
      <c r="AP275" s="9"/>
      <c r="AQ275" s="8"/>
      <c r="AR275" s="8"/>
    </row>
    <row r="276" ht="16.5" hidden="1" customHeight="1">
      <c r="A276" s="11" t="s">
        <v>644</v>
      </c>
      <c r="B276" s="12">
        <v>0.0</v>
      </c>
      <c r="C276" s="13" t="str">
        <f>IFERROR(B276/B446, "NA")</f>
        <v>NA</v>
      </c>
      <c r="D276" s="14"/>
      <c r="E276" s="12">
        <v>0.0</v>
      </c>
      <c r="F276" s="13" t="str">
        <f>IFERROR(E276/E446, "NA")</f>
        <v>NA</v>
      </c>
      <c r="G276" s="14"/>
      <c r="H276" s="12">
        <v>0.0</v>
      </c>
      <c r="I276" s="13" t="str">
        <f>IFERROR(H276/H446, "NA")</f>
        <v>NA</v>
      </c>
      <c r="J276" s="14"/>
      <c r="K276" s="12">
        <v>0.0</v>
      </c>
      <c r="L276" s="13" t="str">
        <f>IFERROR(K276/K446, "NA")</f>
        <v>NA</v>
      </c>
      <c r="M276" s="14"/>
      <c r="N276" s="12">
        <v>0.0</v>
      </c>
      <c r="O276" s="13" t="str">
        <f>IFERROR(N276/N446, "NA")</f>
        <v>NA</v>
      </c>
      <c r="P276" s="14"/>
      <c r="Q276" s="12">
        <v>0.0</v>
      </c>
      <c r="R276" s="13" t="str">
        <f>IFERROR(Q276/Q446, "NA")</f>
        <v>NA</v>
      </c>
      <c r="S276" s="14"/>
      <c r="T276" s="12">
        <v>0.0</v>
      </c>
      <c r="U276" s="13" t="str">
        <f>IFERROR(T276/T446, "NA")</f>
        <v>NA</v>
      </c>
      <c r="V276" s="14"/>
      <c r="W276" s="12">
        <v>0.0</v>
      </c>
      <c r="X276" s="13" t="str">
        <f>IFERROR(W276/W446, "NA")</f>
        <v>NA</v>
      </c>
      <c r="Y276" s="14"/>
      <c r="Z276" s="12">
        <v>0.0</v>
      </c>
      <c r="AA276" s="13" t="str">
        <f>IFERROR(Z276/Z446, "NA")</f>
        <v>NA</v>
      </c>
      <c r="AB276" s="14"/>
      <c r="AC276" s="12">
        <v>0.0</v>
      </c>
      <c r="AD276" s="13" t="str">
        <f>IFERROR(AC276/AC446, "NA")</f>
        <v>NA</v>
      </c>
      <c r="AE276" s="14"/>
      <c r="AF276" s="12">
        <v>0.0</v>
      </c>
      <c r="AG276" s="13" t="str">
        <f>IFERROR(AF276/AF446, "NA")</f>
        <v>NA</v>
      </c>
      <c r="AH276" s="14"/>
      <c r="AI276" s="12">
        <v>0.0</v>
      </c>
      <c r="AJ276" s="13" t="str">
        <f>IFERROR(AI276/AI446, "NA")</f>
        <v>NA</v>
      </c>
      <c r="AK276" s="12"/>
      <c r="AL276" s="15">
        <f t="shared" ref="AL276:AL285" si="41">IFERROR(B276+E276+H276+K276+N276+Q276+T276+W276+Z276+AC276+AF276+AI276, "NA")</f>
        <v>0</v>
      </c>
      <c r="AM276" s="13" t="str">
        <f>IFERROR(AL276/AL446, "NA")</f>
        <v>NA</v>
      </c>
      <c r="AN276" s="12"/>
      <c r="AO276" s="12">
        <v>0.0</v>
      </c>
      <c r="AP276" s="13" t="str">
        <f>IFERROR(AO276/AO446, "NA")</f>
        <v>NA</v>
      </c>
      <c r="AQ276" s="12"/>
      <c r="AR276" s="15">
        <f t="shared" ref="AR276:AR285" si="42">IFERROR(AL276-AO276, "NA")</f>
        <v>0</v>
      </c>
    </row>
    <row r="277" ht="16.5" hidden="1" customHeight="1">
      <c r="A277" s="11" t="s">
        <v>645</v>
      </c>
      <c r="B277" s="12">
        <v>0.0</v>
      </c>
      <c r="C277" s="13" t="str">
        <f>IFERROR(B277/B446, "NA")</f>
        <v>NA</v>
      </c>
      <c r="D277" s="14"/>
      <c r="E277" s="12">
        <v>0.0</v>
      </c>
      <c r="F277" s="13" t="str">
        <f>IFERROR(E277/E446, "NA")</f>
        <v>NA</v>
      </c>
      <c r="G277" s="14"/>
      <c r="H277" s="12">
        <v>0.0</v>
      </c>
      <c r="I277" s="13" t="str">
        <f>IFERROR(H277/H446, "NA")</f>
        <v>NA</v>
      </c>
      <c r="J277" s="14"/>
      <c r="K277" s="12">
        <v>0.0</v>
      </c>
      <c r="L277" s="13" t="str">
        <f>IFERROR(K277/K446, "NA")</f>
        <v>NA</v>
      </c>
      <c r="M277" s="14"/>
      <c r="N277" s="12">
        <v>0.0</v>
      </c>
      <c r="O277" s="13" t="str">
        <f>IFERROR(N277/N446, "NA")</f>
        <v>NA</v>
      </c>
      <c r="P277" s="14"/>
      <c r="Q277" s="12">
        <v>0.0</v>
      </c>
      <c r="R277" s="13" t="str">
        <f>IFERROR(Q277/Q446, "NA")</f>
        <v>NA</v>
      </c>
      <c r="S277" s="14"/>
      <c r="T277" s="12">
        <v>0.0</v>
      </c>
      <c r="U277" s="13" t="str">
        <f>IFERROR(T277/T446, "NA")</f>
        <v>NA</v>
      </c>
      <c r="V277" s="14"/>
      <c r="W277" s="12">
        <v>0.0</v>
      </c>
      <c r="X277" s="13" t="str">
        <f>IFERROR(W277/W446, "NA")</f>
        <v>NA</v>
      </c>
      <c r="Y277" s="14"/>
      <c r="Z277" s="12">
        <v>0.0</v>
      </c>
      <c r="AA277" s="13" t="str">
        <f>IFERROR(Z277/Z446, "NA")</f>
        <v>NA</v>
      </c>
      <c r="AB277" s="14"/>
      <c r="AC277" s="12">
        <v>0.0</v>
      </c>
      <c r="AD277" s="13" t="str">
        <f>IFERROR(AC277/AC446, "NA")</f>
        <v>NA</v>
      </c>
      <c r="AE277" s="14"/>
      <c r="AF277" s="12">
        <v>0.0</v>
      </c>
      <c r="AG277" s="13" t="str">
        <f>IFERROR(AF277/AF446, "NA")</f>
        <v>NA</v>
      </c>
      <c r="AH277" s="14"/>
      <c r="AI277" s="12">
        <v>0.0</v>
      </c>
      <c r="AJ277" s="13" t="str">
        <f>IFERROR(AI277/AI446, "NA")</f>
        <v>NA</v>
      </c>
      <c r="AK277" s="12"/>
      <c r="AL277" s="15">
        <f t="shared" si="41"/>
        <v>0</v>
      </c>
      <c r="AM277" s="13" t="str">
        <f>IFERROR(AL277/AL446, "NA")</f>
        <v>NA</v>
      </c>
      <c r="AN277" s="12"/>
      <c r="AO277" s="12">
        <v>0.0</v>
      </c>
      <c r="AP277" s="13" t="str">
        <f>IFERROR(AO277/AO446, "NA")</f>
        <v>NA</v>
      </c>
      <c r="AQ277" s="12"/>
      <c r="AR277" s="15">
        <f t="shared" si="42"/>
        <v>0</v>
      </c>
    </row>
    <row r="278" ht="16.5" hidden="1" customHeight="1">
      <c r="A278" s="11" t="s">
        <v>646</v>
      </c>
      <c r="B278" s="12">
        <v>0.0</v>
      </c>
      <c r="C278" s="13" t="str">
        <f>IFERROR(B278/B446, "NA")</f>
        <v>NA</v>
      </c>
      <c r="D278" s="14"/>
      <c r="E278" s="12">
        <v>0.0</v>
      </c>
      <c r="F278" s="13" t="str">
        <f>IFERROR(E278/E446, "NA")</f>
        <v>NA</v>
      </c>
      <c r="G278" s="14"/>
      <c r="H278" s="12">
        <v>0.0</v>
      </c>
      <c r="I278" s="13" t="str">
        <f>IFERROR(H278/H446, "NA")</f>
        <v>NA</v>
      </c>
      <c r="J278" s="14"/>
      <c r="K278" s="12">
        <v>0.0</v>
      </c>
      <c r="L278" s="13" t="str">
        <f>IFERROR(K278/K446, "NA")</f>
        <v>NA</v>
      </c>
      <c r="M278" s="14"/>
      <c r="N278" s="12">
        <v>0.0</v>
      </c>
      <c r="O278" s="13" t="str">
        <f>IFERROR(N278/N446, "NA")</f>
        <v>NA</v>
      </c>
      <c r="P278" s="14"/>
      <c r="Q278" s="12">
        <v>0.0</v>
      </c>
      <c r="R278" s="13" t="str">
        <f>IFERROR(Q278/Q446, "NA")</f>
        <v>NA</v>
      </c>
      <c r="S278" s="14"/>
      <c r="T278" s="12">
        <v>0.0</v>
      </c>
      <c r="U278" s="13" t="str">
        <f>IFERROR(T278/T446, "NA")</f>
        <v>NA</v>
      </c>
      <c r="V278" s="14"/>
      <c r="W278" s="12">
        <v>0.0</v>
      </c>
      <c r="X278" s="13" t="str">
        <f>IFERROR(W278/W446, "NA")</f>
        <v>NA</v>
      </c>
      <c r="Y278" s="14"/>
      <c r="Z278" s="12">
        <v>0.0</v>
      </c>
      <c r="AA278" s="13" t="str">
        <f>IFERROR(Z278/Z446, "NA")</f>
        <v>NA</v>
      </c>
      <c r="AB278" s="14"/>
      <c r="AC278" s="12">
        <v>0.0</v>
      </c>
      <c r="AD278" s="13" t="str">
        <f>IFERROR(AC278/AC446, "NA")</f>
        <v>NA</v>
      </c>
      <c r="AE278" s="14"/>
      <c r="AF278" s="12">
        <v>0.0</v>
      </c>
      <c r="AG278" s="13" t="str">
        <f>IFERROR(AF278/AF446, "NA")</f>
        <v>NA</v>
      </c>
      <c r="AH278" s="14"/>
      <c r="AI278" s="12">
        <v>0.0</v>
      </c>
      <c r="AJ278" s="13" t="str">
        <f>IFERROR(AI278/AI446, "NA")</f>
        <v>NA</v>
      </c>
      <c r="AK278" s="12"/>
      <c r="AL278" s="15">
        <f t="shared" si="41"/>
        <v>0</v>
      </c>
      <c r="AM278" s="13" t="str">
        <f>IFERROR(AL278/AL446, "NA")</f>
        <v>NA</v>
      </c>
      <c r="AN278" s="12"/>
      <c r="AO278" s="12">
        <v>0.0</v>
      </c>
      <c r="AP278" s="13" t="str">
        <f>IFERROR(AO278/AO446, "NA")</f>
        <v>NA</v>
      </c>
      <c r="AQ278" s="12"/>
      <c r="AR278" s="15">
        <f t="shared" si="42"/>
        <v>0</v>
      </c>
    </row>
    <row r="279" ht="16.5" hidden="1" customHeight="1">
      <c r="A279" s="11" t="s">
        <v>647</v>
      </c>
      <c r="B279" s="12">
        <v>0.0</v>
      </c>
      <c r="C279" s="13" t="str">
        <f>IFERROR(B279/B446, "NA")</f>
        <v>NA</v>
      </c>
      <c r="D279" s="14"/>
      <c r="E279" s="12">
        <v>0.0</v>
      </c>
      <c r="F279" s="13" t="str">
        <f>IFERROR(E279/E446, "NA")</f>
        <v>NA</v>
      </c>
      <c r="G279" s="14"/>
      <c r="H279" s="12">
        <v>0.0</v>
      </c>
      <c r="I279" s="13" t="str">
        <f>IFERROR(H279/H446, "NA")</f>
        <v>NA</v>
      </c>
      <c r="J279" s="14"/>
      <c r="K279" s="12">
        <v>0.0</v>
      </c>
      <c r="L279" s="13" t="str">
        <f>IFERROR(K279/K446, "NA")</f>
        <v>NA</v>
      </c>
      <c r="M279" s="14"/>
      <c r="N279" s="12">
        <v>0.0</v>
      </c>
      <c r="O279" s="13" t="str">
        <f>IFERROR(N279/N446, "NA")</f>
        <v>NA</v>
      </c>
      <c r="P279" s="14"/>
      <c r="Q279" s="12">
        <v>0.0</v>
      </c>
      <c r="R279" s="13" t="str">
        <f>IFERROR(Q279/Q446, "NA")</f>
        <v>NA</v>
      </c>
      <c r="S279" s="14"/>
      <c r="T279" s="12">
        <v>0.0</v>
      </c>
      <c r="U279" s="13" t="str">
        <f>IFERROR(T279/T446, "NA")</f>
        <v>NA</v>
      </c>
      <c r="V279" s="14"/>
      <c r="W279" s="12">
        <v>0.0</v>
      </c>
      <c r="X279" s="13" t="str">
        <f>IFERROR(W279/W446, "NA")</f>
        <v>NA</v>
      </c>
      <c r="Y279" s="14"/>
      <c r="Z279" s="12">
        <v>0.0</v>
      </c>
      <c r="AA279" s="13" t="str">
        <f>IFERROR(Z279/Z446, "NA")</f>
        <v>NA</v>
      </c>
      <c r="AB279" s="14"/>
      <c r="AC279" s="12">
        <v>0.0</v>
      </c>
      <c r="AD279" s="13" t="str">
        <f>IFERROR(AC279/AC446, "NA")</f>
        <v>NA</v>
      </c>
      <c r="AE279" s="14"/>
      <c r="AF279" s="12">
        <v>0.0</v>
      </c>
      <c r="AG279" s="13" t="str">
        <f>IFERROR(AF279/AF446, "NA")</f>
        <v>NA</v>
      </c>
      <c r="AH279" s="14"/>
      <c r="AI279" s="12">
        <v>0.0</v>
      </c>
      <c r="AJ279" s="13" t="str">
        <f>IFERROR(AI279/AI446, "NA")</f>
        <v>NA</v>
      </c>
      <c r="AK279" s="12"/>
      <c r="AL279" s="15">
        <f t="shared" si="41"/>
        <v>0</v>
      </c>
      <c r="AM279" s="13" t="str">
        <f>IFERROR(AL279/AL446, "NA")</f>
        <v>NA</v>
      </c>
      <c r="AN279" s="12"/>
      <c r="AO279" s="12">
        <v>0.0</v>
      </c>
      <c r="AP279" s="13" t="str">
        <f>IFERROR(AO279/AO446, "NA")</f>
        <v>NA</v>
      </c>
      <c r="AQ279" s="12"/>
      <c r="AR279" s="15">
        <f t="shared" si="42"/>
        <v>0</v>
      </c>
    </row>
    <row r="280" ht="16.5" hidden="1" customHeight="1">
      <c r="A280" s="11" t="s">
        <v>648</v>
      </c>
      <c r="B280" s="12">
        <v>0.0</v>
      </c>
      <c r="C280" s="13" t="str">
        <f>IFERROR(B280/B446, "NA")</f>
        <v>NA</v>
      </c>
      <c r="D280" s="14"/>
      <c r="E280" s="12">
        <v>0.0</v>
      </c>
      <c r="F280" s="13" t="str">
        <f>IFERROR(E280/E446, "NA")</f>
        <v>NA</v>
      </c>
      <c r="G280" s="14"/>
      <c r="H280" s="12">
        <v>0.0</v>
      </c>
      <c r="I280" s="13" t="str">
        <f>IFERROR(H280/H446, "NA")</f>
        <v>NA</v>
      </c>
      <c r="J280" s="14"/>
      <c r="K280" s="12">
        <v>0.0</v>
      </c>
      <c r="L280" s="13" t="str">
        <f>IFERROR(K280/K446, "NA")</f>
        <v>NA</v>
      </c>
      <c r="M280" s="14"/>
      <c r="N280" s="12">
        <v>0.0</v>
      </c>
      <c r="O280" s="13" t="str">
        <f>IFERROR(N280/N446, "NA")</f>
        <v>NA</v>
      </c>
      <c r="P280" s="14"/>
      <c r="Q280" s="12">
        <v>0.0</v>
      </c>
      <c r="R280" s="13" t="str">
        <f>IFERROR(Q280/Q446, "NA")</f>
        <v>NA</v>
      </c>
      <c r="S280" s="14"/>
      <c r="T280" s="12">
        <v>0.0</v>
      </c>
      <c r="U280" s="13" t="str">
        <f>IFERROR(T280/T446, "NA")</f>
        <v>NA</v>
      </c>
      <c r="V280" s="14"/>
      <c r="W280" s="12">
        <v>0.0</v>
      </c>
      <c r="X280" s="13" t="str">
        <f>IFERROR(W280/W446, "NA")</f>
        <v>NA</v>
      </c>
      <c r="Y280" s="14"/>
      <c r="Z280" s="12">
        <v>0.0</v>
      </c>
      <c r="AA280" s="13" t="str">
        <f>IFERROR(Z280/Z446, "NA")</f>
        <v>NA</v>
      </c>
      <c r="AB280" s="14"/>
      <c r="AC280" s="12">
        <v>0.0</v>
      </c>
      <c r="AD280" s="13" t="str">
        <f>IFERROR(AC280/AC446, "NA")</f>
        <v>NA</v>
      </c>
      <c r="AE280" s="14"/>
      <c r="AF280" s="12">
        <v>0.0</v>
      </c>
      <c r="AG280" s="13" t="str">
        <f>IFERROR(AF280/AF446, "NA")</f>
        <v>NA</v>
      </c>
      <c r="AH280" s="14"/>
      <c r="AI280" s="12">
        <v>0.0</v>
      </c>
      <c r="AJ280" s="13" t="str">
        <f>IFERROR(AI280/AI446, "NA")</f>
        <v>NA</v>
      </c>
      <c r="AK280" s="12"/>
      <c r="AL280" s="15">
        <f t="shared" si="41"/>
        <v>0</v>
      </c>
      <c r="AM280" s="13" t="str">
        <f>IFERROR(AL280/AL446, "NA")</f>
        <v>NA</v>
      </c>
      <c r="AN280" s="12"/>
      <c r="AO280" s="12">
        <v>0.0</v>
      </c>
      <c r="AP280" s="13" t="str">
        <f>IFERROR(AO280/AO446, "NA")</f>
        <v>NA</v>
      </c>
      <c r="AQ280" s="12"/>
      <c r="AR280" s="15">
        <f t="shared" si="42"/>
        <v>0</v>
      </c>
    </row>
    <row r="281" ht="16.5" hidden="1" customHeight="1">
      <c r="A281" s="11" t="s">
        <v>649</v>
      </c>
      <c r="B281" s="12">
        <v>0.0</v>
      </c>
      <c r="C281" s="13" t="str">
        <f>IFERROR(B281/B446, "NA")</f>
        <v>NA</v>
      </c>
      <c r="D281" s="14"/>
      <c r="E281" s="12">
        <v>0.0</v>
      </c>
      <c r="F281" s="13" t="str">
        <f>IFERROR(E281/E446, "NA")</f>
        <v>NA</v>
      </c>
      <c r="G281" s="14"/>
      <c r="H281" s="12">
        <v>0.0</v>
      </c>
      <c r="I281" s="13" t="str">
        <f>IFERROR(H281/H446, "NA")</f>
        <v>NA</v>
      </c>
      <c r="J281" s="14"/>
      <c r="K281" s="12">
        <v>0.0</v>
      </c>
      <c r="L281" s="13" t="str">
        <f>IFERROR(K281/K446, "NA")</f>
        <v>NA</v>
      </c>
      <c r="M281" s="14"/>
      <c r="N281" s="12">
        <v>0.0</v>
      </c>
      <c r="O281" s="13" t="str">
        <f>IFERROR(N281/N446, "NA")</f>
        <v>NA</v>
      </c>
      <c r="P281" s="14"/>
      <c r="Q281" s="12">
        <v>0.0</v>
      </c>
      <c r="R281" s="13" t="str">
        <f>IFERROR(Q281/Q446, "NA")</f>
        <v>NA</v>
      </c>
      <c r="S281" s="14"/>
      <c r="T281" s="12">
        <v>0.0</v>
      </c>
      <c r="U281" s="13" t="str">
        <f>IFERROR(T281/T446, "NA")</f>
        <v>NA</v>
      </c>
      <c r="V281" s="14"/>
      <c r="W281" s="12">
        <v>0.0</v>
      </c>
      <c r="X281" s="13" t="str">
        <f>IFERROR(W281/W446, "NA")</f>
        <v>NA</v>
      </c>
      <c r="Y281" s="14"/>
      <c r="Z281" s="12">
        <v>0.0</v>
      </c>
      <c r="AA281" s="13" t="str">
        <f>IFERROR(Z281/Z446, "NA")</f>
        <v>NA</v>
      </c>
      <c r="AB281" s="14"/>
      <c r="AC281" s="12">
        <v>0.0</v>
      </c>
      <c r="AD281" s="13" t="str">
        <f>IFERROR(AC281/AC446, "NA")</f>
        <v>NA</v>
      </c>
      <c r="AE281" s="14"/>
      <c r="AF281" s="12">
        <v>0.0</v>
      </c>
      <c r="AG281" s="13" t="str">
        <f>IFERROR(AF281/AF446, "NA")</f>
        <v>NA</v>
      </c>
      <c r="AH281" s="14"/>
      <c r="AI281" s="12">
        <v>0.0</v>
      </c>
      <c r="AJ281" s="13" t="str">
        <f>IFERROR(AI281/AI446, "NA")</f>
        <v>NA</v>
      </c>
      <c r="AK281" s="12"/>
      <c r="AL281" s="15">
        <f t="shared" si="41"/>
        <v>0</v>
      </c>
      <c r="AM281" s="13" t="str">
        <f>IFERROR(AL281/AL446, "NA")</f>
        <v>NA</v>
      </c>
      <c r="AN281" s="12"/>
      <c r="AO281" s="12">
        <v>0.0</v>
      </c>
      <c r="AP281" s="13" t="str">
        <f>IFERROR(AO281/AO446, "NA")</f>
        <v>NA</v>
      </c>
      <c r="AQ281" s="12"/>
      <c r="AR281" s="15">
        <f t="shared" si="42"/>
        <v>0</v>
      </c>
    </row>
    <row r="282" ht="16.5" hidden="1" customHeight="1">
      <c r="A282" s="11" t="s">
        <v>650</v>
      </c>
      <c r="B282" s="12">
        <v>0.0</v>
      </c>
      <c r="C282" s="13" t="str">
        <f>IFERROR(B282/B446, "NA")</f>
        <v>NA</v>
      </c>
      <c r="D282" s="14"/>
      <c r="E282" s="12">
        <v>0.0</v>
      </c>
      <c r="F282" s="13" t="str">
        <f>IFERROR(E282/E446, "NA")</f>
        <v>NA</v>
      </c>
      <c r="G282" s="14"/>
      <c r="H282" s="12">
        <v>0.0</v>
      </c>
      <c r="I282" s="13" t="str">
        <f>IFERROR(H282/H446, "NA")</f>
        <v>NA</v>
      </c>
      <c r="J282" s="14"/>
      <c r="K282" s="12">
        <v>0.0</v>
      </c>
      <c r="L282" s="13" t="str">
        <f>IFERROR(K282/K446, "NA")</f>
        <v>NA</v>
      </c>
      <c r="M282" s="14"/>
      <c r="N282" s="12">
        <v>0.0</v>
      </c>
      <c r="O282" s="13" t="str">
        <f>IFERROR(N282/N446, "NA")</f>
        <v>NA</v>
      </c>
      <c r="P282" s="14"/>
      <c r="Q282" s="12">
        <v>0.0</v>
      </c>
      <c r="R282" s="13" t="str">
        <f>IFERROR(Q282/Q446, "NA")</f>
        <v>NA</v>
      </c>
      <c r="S282" s="14"/>
      <c r="T282" s="12">
        <v>0.0</v>
      </c>
      <c r="U282" s="13" t="str">
        <f>IFERROR(T282/T446, "NA")</f>
        <v>NA</v>
      </c>
      <c r="V282" s="14"/>
      <c r="W282" s="12">
        <v>0.0</v>
      </c>
      <c r="X282" s="13" t="str">
        <f>IFERROR(W282/W446, "NA")</f>
        <v>NA</v>
      </c>
      <c r="Y282" s="14"/>
      <c r="Z282" s="12">
        <v>0.0</v>
      </c>
      <c r="AA282" s="13" t="str">
        <f>IFERROR(Z282/Z446, "NA")</f>
        <v>NA</v>
      </c>
      <c r="AB282" s="14"/>
      <c r="AC282" s="12">
        <v>0.0</v>
      </c>
      <c r="AD282" s="13" t="str">
        <f>IFERROR(AC282/AC446, "NA")</f>
        <v>NA</v>
      </c>
      <c r="AE282" s="14"/>
      <c r="AF282" s="12">
        <v>0.0</v>
      </c>
      <c r="AG282" s="13" t="str">
        <f>IFERROR(AF282/AF446, "NA")</f>
        <v>NA</v>
      </c>
      <c r="AH282" s="14"/>
      <c r="AI282" s="12">
        <v>0.0</v>
      </c>
      <c r="AJ282" s="13" t="str">
        <f>IFERROR(AI282/AI446, "NA")</f>
        <v>NA</v>
      </c>
      <c r="AK282" s="12"/>
      <c r="AL282" s="15">
        <f t="shared" si="41"/>
        <v>0</v>
      </c>
      <c r="AM282" s="13" t="str">
        <f>IFERROR(AL282/AL446, "NA")</f>
        <v>NA</v>
      </c>
      <c r="AN282" s="12"/>
      <c r="AO282" s="12">
        <v>0.0</v>
      </c>
      <c r="AP282" s="13" t="str">
        <f>IFERROR(AO282/AO446, "NA")</f>
        <v>NA</v>
      </c>
      <c r="AQ282" s="12"/>
      <c r="AR282" s="15">
        <f t="shared" si="42"/>
        <v>0</v>
      </c>
    </row>
    <row r="283" ht="16.5" hidden="1" customHeight="1">
      <c r="A283" s="11" t="s">
        <v>651</v>
      </c>
      <c r="B283" s="12">
        <v>0.0</v>
      </c>
      <c r="C283" s="13" t="str">
        <f>IFERROR(B283/B446, "NA")</f>
        <v>NA</v>
      </c>
      <c r="D283" s="14"/>
      <c r="E283" s="12">
        <v>0.0</v>
      </c>
      <c r="F283" s="13" t="str">
        <f>IFERROR(E283/E446, "NA")</f>
        <v>NA</v>
      </c>
      <c r="G283" s="14"/>
      <c r="H283" s="12">
        <v>0.0</v>
      </c>
      <c r="I283" s="13" t="str">
        <f>IFERROR(H283/H446, "NA")</f>
        <v>NA</v>
      </c>
      <c r="J283" s="14"/>
      <c r="K283" s="12">
        <v>0.0</v>
      </c>
      <c r="L283" s="13" t="str">
        <f>IFERROR(K283/K446, "NA")</f>
        <v>NA</v>
      </c>
      <c r="M283" s="14"/>
      <c r="N283" s="12">
        <v>0.0</v>
      </c>
      <c r="O283" s="13" t="str">
        <f>IFERROR(N283/N446, "NA")</f>
        <v>NA</v>
      </c>
      <c r="P283" s="14"/>
      <c r="Q283" s="12">
        <v>0.0</v>
      </c>
      <c r="R283" s="13" t="str">
        <f>IFERROR(Q283/Q446, "NA")</f>
        <v>NA</v>
      </c>
      <c r="S283" s="14"/>
      <c r="T283" s="12">
        <v>0.0</v>
      </c>
      <c r="U283" s="13" t="str">
        <f>IFERROR(T283/T446, "NA")</f>
        <v>NA</v>
      </c>
      <c r="V283" s="14"/>
      <c r="W283" s="12">
        <v>0.0</v>
      </c>
      <c r="X283" s="13" t="str">
        <f>IFERROR(W283/W446, "NA")</f>
        <v>NA</v>
      </c>
      <c r="Y283" s="14"/>
      <c r="Z283" s="12">
        <v>0.0</v>
      </c>
      <c r="AA283" s="13" t="str">
        <f>IFERROR(Z283/Z446, "NA")</f>
        <v>NA</v>
      </c>
      <c r="AB283" s="14"/>
      <c r="AC283" s="12">
        <v>0.0</v>
      </c>
      <c r="AD283" s="13" t="str">
        <f>IFERROR(AC283/AC446, "NA")</f>
        <v>NA</v>
      </c>
      <c r="AE283" s="14"/>
      <c r="AF283" s="12">
        <v>0.0</v>
      </c>
      <c r="AG283" s="13" t="str">
        <f>IFERROR(AF283/AF446, "NA")</f>
        <v>NA</v>
      </c>
      <c r="AH283" s="14"/>
      <c r="AI283" s="12">
        <v>0.0</v>
      </c>
      <c r="AJ283" s="13" t="str">
        <f>IFERROR(AI283/AI446, "NA")</f>
        <v>NA</v>
      </c>
      <c r="AK283" s="12"/>
      <c r="AL283" s="15">
        <f t="shared" si="41"/>
        <v>0</v>
      </c>
      <c r="AM283" s="13" t="str">
        <f>IFERROR(AL283/AL446, "NA")</f>
        <v>NA</v>
      </c>
      <c r="AN283" s="12"/>
      <c r="AO283" s="12">
        <v>0.0</v>
      </c>
      <c r="AP283" s="13" t="str">
        <f>IFERROR(AO283/AO446, "NA")</f>
        <v>NA</v>
      </c>
      <c r="AQ283" s="12"/>
      <c r="AR283" s="15">
        <f t="shared" si="42"/>
        <v>0</v>
      </c>
    </row>
    <row r="284" ht="16.5" hidden="1" customHeight="1">
      <c r="A284" s="11" t="s">
        <v>652</v>
      </c>
      <c r="B284" s="12">
        <v>0.0</v>
      </c>
      <c r="C284" s="13" t="str">
        <f>IFERROR(B284/B446, "NA")</f>
        <v>NA</v>
      </c>
      <c r="D284" s="14"/>
      <c r="E284" s="12">
        <v>0.0</v>
      </c>
      <c r="F284" s="13" t="str">
        <f>IFERROR(E284/E446, "NA")</f>
        <v>NA</v>
      </c>
      <c r="G284" s="14"/>
      <c r="H284" s="12">
        <v>0.0</v>
      </c>
      <c r="I284" s="13" t="str">
        <f>IFERROR(H284/H446, "NA")</f>
        <v>NA</v>
      </c>
      <c r="J284" s="14"/>
      <c r="K284" s="12">
        <v>0.0</v>
      </c>
      <c r="L284" s="13" t="str">
        <f>IFERROR(K284/K446, "NA")</f>
        <v>NA</v>
      </c>
      <c r="M284" s="14"/>
      <c r="N284" s="12">
        <v>0.0</v>
      </c>
      <c r="O284" s="13" t="str">
        <f>IFERROR(N284/N446, "NA")</f>
        <v>NA</v>
      </c>
      <c r="P284" s="14"/>
      <c r="Q284" s="12">
        <v>0.0</v>
      </c>
      <c r="R284" s="13" t="str">
        <f>IFERROR(Q284/Q446, "NA")</f>
        <v>NA</v>
      </c>
      <c r="S284" s="14"/>
      <c r="T284" s="12">
        <v>0.0</v>
      </c>
      <c r="U284" s="13" t="str">
        <f>IFERROR(T284/T446, "NA")</f>
        <v>NA</v>
      </c>
      <c r="V284" s="14"/>
      <c r="W284" s="12">
        <v>0.0</v>
      </c>
      <c r="X284" s="13" t="str">
        <f>IFERROR(W284/W446, "NA")</f>
        <v>NA</v>
      </c>
      <c r="Y284" s="14"/>
      <c r="Z284" s="12">
        <v>0.0</v>
      </c>
      <c r="AA284" s="13" t="str">
        <f>IFERROR(Z284/Z446, "NA")</f>
        <v>NA</v>
      </c>
      <c r="AB284" s="14"/>
      <c r="AC284" s="12">
        <v>0.0</v>
      </c>
      <c r="AD284" s="13" t="str">
        <f>IFERROR(AC284/AC446, "NA")</f>
        <v>NA</v>
      </c>
      <c r="AE284" s="14"/>
      <c r="AF284" s="12">
        <v>0.0</v>
      </c>
      <c r="AG284" s="13" t="str">
        <f>IFERROR(AF284/AF446, "NA")</f>
        <v>NA</v>
      </c>
      <c r="AH284" s="14"/>
      <c r="AI284" s="12">
        <v>0.0</v>
      </c>
      <c r="AJ284" s="13" t="str">
        <f>IFERROR(AI284/AI446, "NA")</f>
        <v>NA</v>
      </c>
      <c r="AK284" s="12"/>
      <c r="AL284" s="15">
        <f t="shared" si="41"/>
        <v>0</v>
      </c>
      <c r="AM284" s="13" t="str">
        <f>IFERROR(AL284/AL446, "NA")</f>
        <v>NA</v>
      </c>
      <c r="AN284" s="12"/>
      <c r="AO284" s="12">
        <v>0.0</v>
      </c>
      <c r="AP284" s="13" t="str">
        <f>IFERROR(AO284/AO446, "NA")</f>
        <v>NA</v>
      </c>
      <c r="AQ284" s="12"/>
      <c r="AR284" s="15">
        <f t="shared" si="42"/>
        <v>0</v>
      </c>
    </row>
    <row r="285" ht="16.5" customHeight="1">
      <c r="A285" s="16" t="s">
        <v>262</v>
      </c>
      <c r="B285" s="17">
        <f>IFERROR(B276+B277+B278+B279+B280+B281+B282+B283+B284, "NA")</f>
        <v>0</v>
      </c>
      <c r="C285" s="18" t="str">
        <f>IFERROR(B285/B446, "NA")</f>
        <v>NA</v>
      </c>
      <c r="D285" s="8"/>
      <c r="E285" s="17">
        <f>IFERROR(E276+E277+E278+E279+E280+E281+E282+E283+E284, "NA")</f>
        <v>0</v>
      </c>
      <c r="F285" s="18" t="str">
        <f>IFERROR(E285/E446, "NA")</f>
        <v>NA</v>
      </c>
      <c r="G285" s="8"/>
      <c r="H285" s="17">
        <f>IFERROR(H276+H277+H278+H279+H280+H281+H282+H283+H284, "NA")</f>
        <v>0</v>
      </c>
      <c r="I285" s="18" t="str">
        <f>IFERROR(H285/H446, "NA")</f>
        <v>NA</v>
      </c>
      <c r="J285" s="8"/>
      <c r="K285" s="17">
        <f>IFERROR(K276+K277+K278+K279+K280+K281+K282+K283+K284, "NA")</f>
        <v>0</v>
      </c>
      <c r="L285" s="18" t="str">
        <f>IFERROR(K285/K446, "NA")</f>
        <v>NA</v>
      </c>
      <c r="M285" s="8"/>
      <c r="N285" s="17">
        <f>IFERROR(N276+N277+N278+N279+N280+N281+N282+N283+N284, "NA")</f>
        <v>0</v>
      </c>
      <c r="O285" s="18" t="str">
        <f>IFERROR(N285/N446, "NA")</f>
        <v>NA</v>
      </c>
      <c r="P285" s="8"/>
      <c r="Q285" s="17">
        <f>IFERROR(Q276+Q277+Q278+Q279+Q280+Q281+Q282+Q283+Q284, "NA")</f>
        <v>0</v>
      </c>
      <c r="R285" s="18" t="str">
        <f>IFERROR(Q285/Q446, "NA")</f>
        <v>NA</v>
      </c>
      <c r="S285" s="8"/>
      <c r="T285" s="17">
        <f>IFERROR(T276+T277+T278+T279+T280+T281+T282+T283+T284, "NA")</f>
        <v>0</v>
      </c>
      <c r="U285" s="18" t="str">
        <f>IFERROR(T285/T446, "NA")</f>
        <v>NA</v>
      </c>
      <c r="V285" s="8"/>
      <c r="W285" s="17">
        <f>IFERROR(W276+W277+W278+W279+W280+W281+W282+W283+W284, "NA")</f>
        <v>0</v>
      </c>
      <c r="X285" s="18" t="str">
        <f>IFERROR(W285/W446, "NA")</f>
        <v>NA</v>
      </c>
      <c r="Y285" s="8"/>
      <c r="Z285" s="17">
        <f>IFERROR(Z276+Z277+Z278+Z279+Z280+Z281+Z282+Z283+Z284, "NA")</f>
        <v>0</v>
      </c>
      <c r="AA285" s="18" t="str">
        <f>IFERROR(Z285/Z446, "NA")</f>
        <v>NA</v>
      </c>
      <c r="AB285" s="8"/>
      <c r="AC285" s="17">
        <f>IFERROR(AC276+AC277+AC278+AC279+AC280+AC281+AC282+AC283+AC284, "NA")</f>
        <v>0</v>
      </c>
      <c r="AD285" s="18" t="str">
        <f>IFERROR(AC285/AC446, "NA")</f>
        <v>NA</v>
      </c>
      <c r="AE285" s="8"/>
      <c r="AF285" s="17">
        <f>IFERROR(AF276+AF277+AF278+AF279+AF280+AF281+AF282+AF283+AF284, "NA")</f>
        <v>0</v>
      </c>
      <c r="AG285" s="18" t="str">
        <f>IFERROR(AF285/AF446, "NA")</f>
        <v>NA</v>
      </c>
      <c r="AH285" s="8"/>
      <c r="AI285" s="17">
        <f>IFERROR(AI276+AI277+AI278+AI279+AI280+AI281+AI282+AI283+AI284, "NA")</f>
        <v>0</v>
      </c>
      <c r="AJ285" s="18" t="str">
        <f>IFERROR(AI285/AI446, "NA")</f>
        <v>NA</v>
      </c>
      <c r="AK285" s="8"/>
      <c r="AL285" s="17">
        <f t="shared" si="41"/>
        <v>0</v>
      </c>
      <c r="AM285" s="18" t="str">
        <f>IFERROR(AL285/AL446, "NA")</f>
        <v>NA</v>
      </c>
      <c r="AN285" s="8"/>
      <c r="AO285" s="17">
        <f>IFERROR(AO276+AO277+AO278+AO279+AO280+AO281+AO282+AO283+AO284, "NA")</f>
        <v>0</v>
      </c>
      <c r="AP285" s="18" t="str">
        <f>IFERROR(AO285/AO446, "NA")</f>
        <v>NA</v>
      </c>
      <c r="AQ285" s="8"/>
      <c r="AR285" s="17">
        <f t="shared" si="42"/>
        <v>0</v>
      </c>
    </row>
    <row r="286" ht="16.5" customHeight="1">
      <c r="A286" s="7" t="s">
        <v>263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  <c r="AE286" s="10"/>
      <c r="AF286" s="8"/>
      <c r="AG286" s="9"/>
      <c r="AH286" s="10"/>
      <c r="AI286" s="8"/>
      <c r="AJ286" s="9"/>
      <c r="AK286" s="8"/>
      <c r="AL286" s="8"/>
      <c r="AM286" s="9"/>
      <c r="AN286" s="8"/>
      <c r="AO286" s="8"/>
      <c r="AP286" s="9"/>
      <c r="AQ286" s="8"/>
      <c r="AR286" s="8"/>
    </row>
    <row r="287" ht="16.5" hidden="1" customHeight="1">
      <c r="A287" s="11" t="s">
        <v>653</v>
      </c>
      <c r="B287" s="12">
        <v>0.0</v>
      </c>
      <c r="C287" s="13" t="str">
        <f>IFERROR(B287/B446, "NA")</f>
        <v>NA</v>
      </c>
      <c r="D287" s="14"/>
      <c r="E287" s="12">
        <v>0.0</v>
      </c>
      <c r="F287" s="13" t="str">
        <f>IFERROR(E287/E446, "NA")</f>
        <v>NA</v>
      </c>
      <c r="G287" s="14"/>
      <c r="H287" s="12">
        <v>0.0</v>
      </c>
      <c r="I287" s="13" t="str">
        <f>IFERROR(H287/H446, "NA")</f>
        <v>NA</v>
      </c>
      <c r="J287" s="14"/>
      <c r="K287" s="12">
        <v>0.0</v>
      </c>
      <c r="L287" s="13" t="str">
        <f>IFERROR(K287/K446, "NA")</f>
        <v>NA</v>
      </c>
      <c r="M287" s="14"/>
      <c r="N287" s="12">
        <v>0.0</v>
      </c>
      <c r="O287" s="13" t="str">
        <f>IFERROR(N287/N446, "NA")</f>
        <v>NA</v>
      </c>
      <c r="P287" s="14"/>
      <c r="Q287" s="12">
        <v>0.0</v>
      </c>
      <c r="R287" s="13" t="str">
        <f>IFERROR(Q287/Q446, "NA")</f>
        <v>NA</v>
      </c>
      <c r="S287" s="14"/>
      <c r="T287" s="12">
        <v>0.0</v>
      </c>
      <c r="U287" s="13" t="str">
        <f>IFERROR(T287/T446, "NA")</f>
        <v>NA</v>
      </c>
      <c r="V287" s="14"/>
      <c r="W287" s="12">
        <v>0.0</v>
      </c>
      <c r="X287" s="13" t="str">
        <f>IFERROR(W287/W446, "NA")</f>
        <v>NA</v>
      </c>
      <c r="Y287" s="14"/>
      <c r="Z287" s="12">
        <v>0.0</v>
      </c>
      <c r="AA287" s="13" t="str">
        <f>IFERROR(Z287/Z446, "NA")</f>
        <v>NA</v>
      </c>
      <c r="AB287" s="14"/>
      <c r="AC287" s="12">
        <v>0.0</v>
      </c>
      <c r="AD287" s="13" t="str">
        <f>IFERROR(AC287/AC446, "NA")</f>
        <v>NA</v>
      </c>
      <c r="AE287" s="14"/>
      <c r="AF287" s="12">
        <v>0.0</v>
      </c>
      <c r="AG287" s="13" t="str">
        <f>IFERROR(AF287/AF446, "NA")</f>
        <v>NA</v>
      </c>
      <c r="AH287" s="14"/>
      <c r="AI287" s="12">
        <v>0.0</v>
      </c>
      <c r="AJ287" s="13" t="str">
        <f>IFERROR(AI287/AI446, "NA")</f>
        <v>NA</v>
      </c>
      <c r="AK287" s="12"/>
      <c r="AL287" s="15">
        <f t="shared" ref="AL287:AL296" si="43">IFERROR(B287+E287+H287+K287+N287+Q287+T287+W287+Z287+AC287+AF287+AI287, "NA")</f>
        <v>0</v>
      </c>
      <c r="AM287" s="13" t="str">
        <f>IFERROR(AL287/AL446, "NA")</f>
        <v>NA</v>
      </c>
      <c r="AN287" s="12"/>
      <c r="AO287" s="12">
        <v>0.0</v>
      </c>
      <c r="AP287" s="13" t="str">
        <f>IFERROR(AO287/AO446, "NA")</f>
        <v>NA</v>
      </c>
      <c r="AQ287" s="12"/>
      <c r="AR287" s="15">
        <f t="shared" ref="AR287:AR296" si="44">IFERROR(AL287-AO287, "NA")</f>
        <v>0</v>
      </c>
    </row>
    <row r="288" ht="16.5" hidden="1" customHeight="1">
      <c r="A288" s="11" t="s">
        <v>654</v>
      </c>
      <c r="B288" s="12">
        <v>0.0</v>
      </c>
      <c r="C288" s="13" t="str">
        <f>IFERROR(B288/B446, "NA")</f>
        <v>NA</v>
      </c>
      <c r="D288" s="14"/>
      <c r="E288" s="12">
        <v>0.0</v>
      </c>
      <c r="F288" s="13" t="str">
        <f>IFERROR(E288/E446, "NA")</f>
        <v>NA</v>
      </c>
      <c r="G288" s="14"/>
      <c r="H288" s="12">
        <v>0.0</v>
      </c>
      <c r="I288" s="13" t="str">
        <f>IFERROR(H288/H446, "NA")</f>
        <v>NA</v>
      </c>
      <c r="J288" s="14"/>
      <c r="K288" s="12">
        <v>0.0</v>
      </c>
      <c r="L288" s="13" t="str">
        <f>IFERROR(K288/K446, "NA")</f>
        <v>NA</v>
      </c>
      <c r="M288" s="14"/>
      <c r="N288" s="12">
        <v>0.0</v>
      </c>
      <c r="O288" s="13" t="str">
        <f>IFERROR(N288/N446, "NA")</f>
        <v>NA</v>
      </c>
      <c r="P288" s="14"/>
      <c r="Q288" s="12">
        <v>0.0</v>
      </c>
      <c r="R288" s="13" t="str">
        <f>IFERROR(Q288/Q446, "NA")</f>
        <v>NA</v>
      </c>
      <c r="S288" s="14"/>
      <c r="T288" s="12">
        <v>0.0</v>
      </c>
      <c r="U288" s="13" t="str">
        <f>IFERROR(T288/T446, "NA")</f>
        <v>NA</v>
      </c>
      <c r="V288" s="14"/>
      <c r="W288" s="12">
        <v>0.0</v>
      </c>
      <c r="X288" s="13" t="str">
        <f>IFERROR(W288/W446, "NA")</f>
        <v>NA</v>
      </c>
      <c r="Y288" s="14"/>
      <c r="Z288" s="12">
        <v>0.0</v>
      </c>
      <c r="AA288" s="13" t="str">
        <f>IFERROR(Z288/Z446, "NA")</f>
        <v>NA</v>
      </c>
      <c r="AB288" s="14"/>
      <c r="AC288" s="12">
        <v>0.0</v>
      </c>
      <c r="AD288" s="13" t="str">
        <f>IFERROR(AC288/AC446, "NA")</f>
        <v>NA</v>
      </c>
      <c r="AE288" s="14"/>
      <c r="AF288" s="12">
        <v>0.0</v>
      </c>
      <c r="AG288" s="13" t="str">
        <f>IFERROR(AF288/AF446, "NA")</f>
        <v>NA</v>
      </c>
      <c r="AH288" s="14"/>
      <c r="AI288" s="12">
        <v>0.0</v>
      </c>
      <c r="AJ288" s="13" t="str">
        <f>IFERROR(AI288/AI446, "NA")</f>
        <v>NA</v>
      </c>
      <c r="AK288" s="12"/>
      <c r="AL288" s="15">
        <f t="shared" si="43"/>
        <v>0</v>
      </c>
      <c r="AM288" s="13" t="str">
        <f>IFERROR(AL288/AL446, "NA")</f>
        <v>NA</v>
      </c>
      <c r="AN288" s="12"/>
      <c r="AO288" s="12">
        <v>0.0</v>
      </c>
      <c r="AP288" s="13" t="str">
        <f>IFERROR(AO288/AO446, "NA")</f>
        <v>NA</v>
      </c>
      <c r="AQ288" s="12"/>
      <c r="AR288" s="15">
        <f t="shared" si="44"/>
        <v>0</v>
      </c>
    </row>
    <row r="289" ht="16.5" hidden="1" customHeight="1">
      <c r="A289" s="11" t="s">
        <v>655</v>
      </c>
      <c r="B289" s="12">
        <v>0.0</v>
      </c>
      <c r="C289" s="13" t="str">
        <f>IFERROR(B289/B446, "NA")</f>
        <v>NA</v>
      </c>
      <c r="D289" s="14"/>
      <c r="E289" s="12">
        <v>0.0</v>
      </c>
      <c r="F289" s="13" t="str">
        <f>IFERROR(E289/E446, "NA")</f>
        <v>NA</v>
      </c>
      <c r="G289" s="14"/>
      <c r="H289" s="12">
        <v>0.0</v>
      </c>
      <c r="I289" s="13" t="str">
        <f>IFERROR(H289/H446, "NA")</f>
        <v>NA</v>
      </c>
      <c r="J289" s="14"/>
      <c r="K289" s="12">
        <v>0.0</v>
      </c>
      <c r="L289" s="13" t="str">
        <f>IFERROR(K289/K446, "NA")</f>
        <v>NA</v>
      </c>
      <c r="M289" s="14"/>
      <c r="N289" s="12">
        <v>0.0</v>
      </c>
      <c r="O289" s="13" t="str">
        <f>IFERROR(N289/N446, "NA")</f>
        <v>NA</v>
      </c>
      <c r="P289" s="14"/>
      <c r="Q289" s="12">
        <v>0.0</v>
      </c>
      <c r="R289" s="13" t="str">
        <f>IFERROR(Q289/Q446, "NA")</f>
        <v>NA</v>
      </c>
      <c r="S289" s="14"/>
      <c r="T289" s="12">
        <v>0.0</v>
      </c>
      <c r="U289" s="13" t="str">
        <f>IFERROR(T289/T446, "NA")</f>
        <v>NA</v>
      </c>
      <c r="V289" s="14"/>
      <c r="W289" s="12">
        <v>0.0</v>
      </c>
      <c r="X289" s="13" t="str">
        <f>IFERROR(W289/W446, "NA")</f>
        <v>NA</v>
      </c>
      <c r="Y289" s="14"/>
      <c r="Z289" s="12">
        <v>0.0</v>
      </c>
      <c r="AA289" s="13" t="str">
        <f>IFERROR(Z289/Z446, "NA")</f>
        <v>NA</v>
      </c>
      <c r="AB289" s="14"/>
      <c r="AC289" s="12">
        <v>0.0</v>
      </c>
      <c r="AD289" s="13" t="str">
        <f>IFERROR(AC289/AC446, "NA")</f>
        <v>NA</v>
      </c>
      <c r="AE289" s="14"/>
      <c r="AF289" s="12">
        <v>0.0</v>
      </c>
      <c r="AG289" s="13" t="str">
        <f>IFERROR(AF289/AF446, "NA")</f>
        <v>NA</v>
      </c>
      <c r="AH289" s="14"/>
      <c r="AI289" s="12">
        <v>0.0</v>
      </c>
      <c r="AJ289" s="13" t="str">
        <f>IFERROR(AI289/AI446, "NA")</f>
        <v>NA</v>
      </c>
      <c r="AK289" s="12"/>
      <c r="AL289" s="15">
        <f t="shared" si="43"/>
        <v>0</v>
      </c>
      <c r="AM289" s="13" t="str">
        <f>IFERROR(AL289/AL446, "NA")</f>
        <v>NA</v>
      </c>
      <c r="AN289" s="12"/>
      <c r="AO289" s="12">
        <v>0.0</v>
      </c>
      <c r="AP289" s="13" t="str">
        <f>IFERROR(AO289/AO446, "NA")</f>
        <v>NA</v>
      </c>
      <c r="AQ289" s="12"/>
      <c r="AR289" s="15">
        <f t="shared" si="44"/>
        <v>0</v>
      </c>
    </row>
    <row r="290" ht="16.5" hidden="1" customHeight="1">
      <c r="A290" s="11" t="s">
        <v>656</v>
      </c>
      <c r="B290" s="12">
        <v>0.0</v>
      </c>
      <c r="C290" s="13" t="str">
        <f>IFERROR(B290/B446, "NA")</f>
        <v>NA</v>
      </c>
      <c r="D290" s="14"/>
      <c r="E290" s="12">
        <v>0.0</v>
      </c>
      <c r="F290" s="13" t="str">
        <f>IFERROR(E290/E446, "NA")</f>
        <v>NA</v>
      </c>
      <c r="G290" s="14"/>
      <c r="H290" s="12">
        <v>0.0</v>
      </c>
      <c r="I290" s="13" t="str">
        <f>IFERROR(H290/H446, "NA")</f>
        <v>NA</v>
      </c>
      <c r="J290" s="14"/>
      <c r="K290" s="12">
        <v>0.0</v>
      </c>
      <c r="L290" s="13" t="str">
        <f>IFERROR(K290/K446, "NA")</f>
        <v>NA</v>
      </c>
      <c r="M290" s="14"/>
      <c r="N290" s="12">
        <v>0.0</v>
      </c>
      <c r="O290" s="13" t="str">
        <f>IFERROR(N290/N446, "NA")</f>
        <v>NA</v>
      </c>
      <c r="P290" s="14"/>
      <c r="Q290" s="12">
        <v>0.0</v>
      </c>
      <c r="R290" s="13" t="str">
        <f>IFERROR(Q290/Q446, "NA")</f>
        <v>NA</v>
      </c>
      <c r="S290" s="14"/>
      <c r="T290" s="12">
        <v>0.0</v>
      </c>
      <c r="U290" s="13" t="str">
        <f>IFERROR(T290/T446, "NA")</f>
        <v>NA</v>
      </c>
      <c r="V290" s="14"/>
      <c r="W290" s="12">
        <v>0.0</v>
      </c>
      <c r="X290" s="13" t="str">
        <f>IFERROR(W290/W446, "NA")</f>
        <v>NA</v>
      </c>
      <c r="Y290" s="14"/>
      <c r="Z290" s="12">
        <v>0.0</v>
      </c>
      <c r="AA290" s="13" t="str">
        <f>IFERROR(Z290/Z446, "NA")</f>
        <v>NA</v>
      </c>
      <c r="AB290" s="14"/>
      <c r="AC290" s="12">
        <v>0.0</v>
      </c>
      <c r="AD290" s="13" t="str">
        <f>IFERROR(AC290/AC446, "NA")</f>
        <v>NA</v>
      </c>
      <c r="AE290" s="14"/>
      <c r="AF290" s="12">
        <v>0.0</v>
      </c>
      <c r="AG290" s="13" t="str">
        <f>IFERROR(AF290/AF446, "NA")</f>
        <v>NA</v>
      </c>
      <c r="AH290" s="14"/>
      <c r="AI290" s="12">
        <v>0.0</v>
      </c>
      <c r="AJ290" s="13" t="str">
        <f>IFERROR(AI290/AI446, "NA")</f>
        <v>NA</v>
      </c>
      <c r="AK290" s="12"/>
      <c r="AL290" s="15">
        <f t="shared" si="43"/>
        <v>0</v>
      </c>
      <c r="AM290" s="13" t="str">
        <f>IFERROR(AL290/AL446, "NA")</f>
        <v>NA</v>
      </c>
      <c r="AN290" s="12"/>
      <c r="AO290" s="12">
        <v>0.0</v>
      </c>
      <c r="AP290" s="13" t="str">
        <f>IFERROR(AO290/AO446, "NA")</f>
        <v>NA</v>
      </c>
      <c r="AQ290" s="12"/>
      <c r="AR290" s="15">
        <f t="shared" si="44"/>
        <v>0</v>
      </c>
    </row>
    <row r="291" ht="16.5" hidden="1" customHeight="1">
      <c r="A291" s="11" t="s">
        <v>657</v>
      </c>
      <c r="B291" s="12">
        <v>0.0</v>
      </c>
      <c r="C291" s="13" t="str">
        <f>IFERROR(B291/B446, "NA")</f>
        <v>NA</v>
      </c>
      <c r="D291" s="14"/>
      <c r="E291" s="12">
        <v>0.0</v>
      </c>
      <c r="F291" s="13" t="str">
        <f>IFERROR(E291/E446, "NA")</f>
        <v>NA</v>
      </c>
      <c r="G291" s="14"/>
      <c r="H291" s="12">
        <v>0.0</v>
      </c>
      <c r="I291" s="13" t="str">
        <f>IFERROR(H291/H446, "NA")</f>
        <v>NA</v>
      </c>
      <c r="J291" s="14"/>
      <c r="K291" s="12">
        <v>0.0</v>
      </c>
      <c r="L291" s="13" t="str">
        <f>IFERROR(K291/K446, "NA")</f>
        <v>NA</v>
      </c>
      <c r="M291" s="14"/>
      <c r="N291" s="12">
        <v>0.0</v>
      </c>
      <c r="O291" s="13" t="str">
        <f>IFERROR(N291/N446, "NA")</f>
        <v>NA</v>
      </c>
      <c r="P291" s="14"/>
      <c r="Q291" s="12">
        <v>0.0</v>
      </c>
      <c r="R291" s="13" t="str">
        <f>IFERROR(Q291/Q446, "NA")</f>
        <v>NA</v>
      </c>
      <c r="S291" s="14"/>
      <c r="T291" s="12">
        <v>0.0</v>
      </c>
      <c r="U291" s="13" t="str">
        <f>IFERROR(T291/T446, "NA")</f>
        <v>NA</v>
      </c>
      <c r="V291" s="14"/>
      <c r="W291" s="12">
        <v>0.0</v>
      </c>
      <c r="X291" s="13" t="str">
        <f>IFERROR(W291/W446, "NA")</f>
        <v>NA</v>
      </c>
      <c r="Y291" s="14"/>
      <c r="Z291" s="12">
        <v>0.0</v>
      </c>
      <c r="AA291" s="13" t="str">
        <f>IFERROR(Z291/Z446, "NA")</f>
        <v>NA</v>
      </c>
      <c r="AB291" s="14"/>
      <c r="AC291" s="12">
        <v>0.0</v>
      </c>
      <c r="AD291" s="13" t="str">
        <f>IFERROR(AC291/AC446, "NA")</f>
        <v>NA</v>
      </c>
      <c r="AE291" s="14"/>
      <c r="AF291" s="12">
        <v>0.0</v>
      </c>
      <c r="AG291" s="13" t="str">
        <f>IFERROR(AF291/AF446, "NA")</f>
        <v>NA</v>
      </c>
      <c r="AH291" s="14"/>
      <c r="AI291" s="12">
        <v>0.0</v>
      </c>
      <c r="AJ291" s="13" t="str">
        <f>IFERROR(AI291/AI446, "NA")</f>
        <v>NA</v>
      </c>
      <c r="AK291" s="12"/>
      <c r="AL291" s="15">
        <f t="shared" si="43"/>
        <v>0</v>
      </c>
      <c r="AM291" s="13" t="str">
        <f>IFERROR(AL291/AL446, "NA")</f>
        <v>NA</v>
      </c>
      <c r="AN291" s="12"/>
      <c r="AO291" s="12">
        <v>0.0</v>
      </c>
      <c r="AP291" s="13" t="str">
        <f>IFERROR(AO291/AO446, "NA")</f>
        <v>NA</v>
      </c>
      <c r="AQ291" s="12"/>
      <c r="AR291" s="15">
        <f t="shared" si="44"/>
        <v>0</v>
      </c>
    </row>
    <row r="292" ht="16.5" hidden="1" customHeight="1">
      <c r="A292" s="11" t="s">
        <v>658</v>
      </c>
      <c r="B292" s="12">
        <v>0.0</v>
      </c>
      <c r="C292" s="13" t="str">
        <f>IFERROR(B292/B446, "NA")</f>
        <v>NA</v>
      </c>
      <c r="D292" s="14"/>
      <c r="E292" s="12">
        <v>0.0</v>
      </c>
      <c r="F292" s="13" t="str">
        <f>IFERROR(E292/E446, "NA")</f>
        <v>NA</v>
      </c>
      <c r="G292" s="14"/>
      <c r="H292" s="12">
        <v>0.0</v>
      </c>
      <c r="I292" s="13" t="str">
        <f>IFERROR(H292/H446, "NA")</f>
        <v>NA</v>
      </c>
      <c r="J292" s="14"/>
      <c r="K292" s="12">
        <v>0.0</v>
      </c>
      <c r="L292" s="13" t="str">
        <f>IFERROR(K292/K446, "NA")</f>
        <v>NA</v>
      </c>
      <c r="M292" s="14"/>
      <c r="N292" s="12">
        <v>0.0</v>
      </c>
      <c r="O292" s="13" t="str">
        <f>IFERROR(N292/N446, "NA")</f>
        <v>NA</v>
      </c>
      <c r="P292" s="14"/>
      <c r="Q292" s="12">
        <v>0.0</v>
      </c>
      <c r="R292" s="13" t="str">
        <f>IFERROR(Q292/Q446, "NA")</f>
        <v>NA</v>
      </c>
      <c r="S292" s="14"/>
      <c r="T292" s="12">
        <v>0.0</v>
      </c>
      <c r="U292" s="13" t="str">
        <f>IFERROR(T292/T446, "NA")</f>
        <v>NA</v>
      </c>
      <c r="V292" s="14"/>
      <c r="W292" s="12">
        <v>0.0</v>
      </c>
      <c r="X292" s="13" t="str">
        <f>IFERROR(W292/W446, "NA")</f>
        <v>NA</v>
      </c>
      <c r="Y292" s="14"/>
      <c r="Z292" s="12">
        <v>0.0</v>
      </c>
      <c r="AA292" s="13" t="str">
        <f>IFERROR(Z292/Z446, "NA")</f>
        <v>NA</v>
      </c>
      <c r="AB292" s="14"/>
      <c r="AC292" s="12">
        <v>0.0</v>
      </c>
      <c r="AD292" s="13" t="str">
        <f>IFERROR(AC292/AC446, "NA")</f>
        <v>NA</v>
      </c>
      <c r="AE292" s="14"/>
      <c r="AF292" s="12">
        <v>0.0</v>
      </c>
      <c r="AG292" s="13" t="str">
        <f>IFERROR(AF292/AF446, "NA")</f>
        <v>NA</v>
      </c>
      <c r="AH292" s="14"/>
      <c r="AI292" s="12">
        <v>0.0</v>
      </c>
      <c r="AJ292" s="13" t="str">
        <f>IFERROR(AI292/AI446, "NA")</f>
        <v>NA</v>
      </c>
      <c r="AK292" s="12"/>
      <c r="AL292" s="15">
        <f t="shared" si="43"/>
        <v>0</v>
      </c>
      <c r="AM292" s="13" t="str">
        <f>IFERROR(AL292/AL446, "NA")</f>
        <v>NA</v>
      </c>
      <c r="AN292" s="12"/>
      <c r="AO292" s="12">
        <v>0.0</v>
      </c>
      <c r="AP292" s="13" t="str">
        <f>IFERROR(AO292/AO446, "NA")</f>
        <v>NA</v>
      </c>
      <c r="AQ292" s="12"/>
      <c r="AR292" s="15">
        <f t="shared" si="44"/>
        <v>0</v>
      </c>
    </row>
    <row r="293" ht="16.5" hidden="1" customHeight="1">
      <c r="A293" s="11" t="s">
        <v>659</v>
      </c>
      <c r="B293" s="12">
        <v>0.0</v>
      </c>
      <c r="C293" s="13" t="str">
        <f>IFERROR(B293/B446, "NA")</f>
        <v>NA</v>
      </c>
      <c r="D293" s="14"/>
      <c r="E293" s="12">
        <v>0.0</v>
      </c>
      <c r="F293" s="13" t="str">
        <f>IFERROR(E293/E446, "NA")</f>
        <v>NA</v>
      </c>
      <c r="G293" s="14"/>
      <c r="H293" s="12">
        <v>0.0</v>
      </c>
      <c r="I293" s="13" t="str">
        <f>IFERROR(H293/H446, "NA")</f>
        <v>NA</v>
      </c>
      <c r="J293" s="14"/>
      <c r="K293" s="12">
        <v>0.0</v>
      </c>
      <c r="L293" s="13" t="str">
        <f>IFERROR(K293/K446, "NA")</f>
        <v>NA</v>
      </c>
      <c r="M293" s="14"/>
      <c r="N293" s="12">
        <v>0.0</v>
      </c>
      <c r="O293" s="13" t="str">
        <f>IFERROR(N293/N446, "NA")</f>
        <v>NA</v>
      </c>
      <c r="P293" s="14"/>
      <c r="Q293" s="12">
        <v>0.0</v>
      </c>
      <c r="R293" s="13" t="str">
        <f>IFERROR(Q293/Q446, "NA")</f>
        <v>NA</v>
      </c>
      <c r="S293" s="14"/>
      <c r="T293" s="12">
        <v>0.0</v>
      </c>
      <c r="U293" s="13" t="str">
        <f>IFERROR(T293/T446, "NA")</f>
        <v>NA</v>
      </c>
      <c r="V293" s="14"/>
      <c r="W293" s="12">
        <v>0.0</v>
      </c>
      <c r="X293" s="13" t="str">
        <f>IFERROR(W293/W446, "NA")</f>
        <v>NA</v>
      </c>
      <c r="Y293" s="14"/>
      <c r="Z293" s="12">
        <v>0.0</v>
      </c>
      <c r="AA293" s="13" t="str">
        <f>IFERROR(Z293/Z446, "NA")</f>
        <v>NA</v>
      </c>
      <c r="AB293" s="14"/>
      <c r="AC293" s="12">
        <v>0.0</v>
      </c>
      <c r="AD293" s="13" t="str">
        <f>IFERROR(AC293/AC446, "NA")</f>
        <v>NA</v>
      </c>
      <c r="AE293" s="14"/>
      <c r="AF293" s="12">
        <v>0.0</v>
      </c>
      <c r="AG293" s="13" t="str">
        <f>IFERROR(AF293/AF446, "NA")</f>
        <v>NA</v>
      </c>
      <c r="AH293" s="14"/>
      <c r="AI293" s="12">
        <v>0.0</v>
      </c>
      <c r="AJ293" s="13" t="str">
        <f>IFERROR(AI293/AI446, "NA")</f>
        <v>NA</v>
      </c>
      <c r="AK293" s="12"/>
      <c r="AL293" s="15">
        <f t="shared" si="43"/>
        <v>0</v>
      </c>
      <c r="AM293" s="13" t="str">
        <f>IFERROR(AL293/AL446, "NA")</f>
        <v>NA</v>
      </c>
      <c r="AN293" s="12"/>
      <c r="AO293" s="12">
        <v>0.0</v>
      </c>
      <c r="AP293" s="13" t="str">
        <f>IFERROR(AO293/AO446, "NA")</f>
        <v>NA</v>
      </c>
      <c r="AQ293" s="12"/>
      <c r="AR293" s="15">
        <f t="shared" si="44"/>
        <v>0</v>
      </c>
    </row>
    <row r="294" ht="16.5" hidden="1" customHeight="1">
      <c r="A294" s="11" t="s">
        <v>660</v>
      </c>
      <c r="B294" s="12">
        <v>0.0</v>
      </c>
      <c r="C294" s="13" t="str">
        <f>IFERROR(B294/B446, "NA")</f>
        <v>NA</v>
      </c>
      <c r="D294" s="14"/>
      <c r="E294" s="12">
        <v>0.0</v>
      </c>
      <c r="F294" s="13" t="str">
        <f>IFERROR(E294/E446, "NA")</f>
        <v>NA</v>
      </c>
      <c r="G294" s="14"/>
      <c r="H294" s="12">
        <v>0.0</v>
      </c>
      <c r="I294" s="13" t="str">
        <f>IFERROR(H294/H446, "NA")</f>
        <v>NA</v>
      </c>
      <c r="J294" s="14"/>
      <c r="K294" s="12">
        <v>0.0</v>
      </c>
      <c r="L294" s="13" t="str">
        <f>IFERROR(K294/K446, "NA")</f>
        <v>NA</v>
      </c>
      <c r="M294" s="14"/>
      <c r="N294" s="12">
        <v>0.0</v>
      </c>
      <c r="O294" s="13" t="str">
        <f>IFERROR(N294/N446, "NA")</f>
        <v>NA</v>
      </c>
      <c r="P294" s="14"/>
      <c r="Q294" s="12">
        <v>0.0</v>
      </c>
      <c r="R294" s="13" t="str">
        <f>IFERROR(Q294/Q446, "NA")</f>
        <v>NA</v>
      </c>
      <c r="S294" s="14"/>
      <c r="T294" s="12">
        <v>0.0</v>
      </c>
      <c r="U294" s="13" t="str">
        <f>IFERROR(T294/T446, "NA")</f>
        <v>NA</v>
      </c>
      <c r="V294" s="14"/>
      <c r="W294" s="12">
        <v>0.0</v>
      </c>
      <c r="X294" s="13" t="str">
        <f>IFERROR(W294/W446, "NA")</f>
        <v>NA</v>
      </c>
      <c r="Y294" s="14"/>
      <c r="Z294" s="12">
        <v>0.0</v>
      </c>
      <c r="AA294" s="13" t="str">
        <f>IFERROR(Z294/Z446, "NA")</f>
        <v>NA</v>
      </c>
      <c r="AB294" s="14"/>
      <c r="AC294" s="12">
        <v>0.0</v>
      </c>
      <c r="AD294" s="13" t="str">
        <f>IFERROR(AC294/AC446, "NA")</f>
        <v>NA</v>
      </c>
      <c r="AE294" s="14"/>
      <c r="AF294" s="12">
        <v>0.0</v>
      </c>
      <c r="AG294" s="13" t="str">
        <f>IFERROR(AF294/AF446, "NA")</f>
        <v>NA</v>
      </c>
      <c r="AH294" s="14"/>
      <c r="AI294" s="12">
        <v>0.0</v>
      </c>
      <c r="AJ294" s="13" t="str">
        <f>IFERROR(AI294/AI446, "NA")</f>
        <v>NA</v>
      </c>
      <c r="AK294" s="12"/>
      <c r="AL294" s="15">
        <f t="shared" si="43"/>
        <v>0</v>
      </c>
      <c r="AM294" s="13" t="str">
        <f>IFERROR(AL294/AL446, "NA")</f>
        <v>NA</v>
      </c>
      <c r="AN294" s="12"/>
      <c r="AO294" s="12">
        <v>0.0</v>
      </c>
      <c r="AP294" s="13" t="str">
        <f>IFERROR(AO294/AO446, "NA")</f>
        <v>NA</v>
      </c>
      <c r="AQ294" s="12"/>
      <c r="AR294" s="15">
        <f t="shared" si="44"/>
        <v>0</v>
      </c>
    </row>
    <row r="295" ht="16.5" hidden="1" customHeight="1">
      <c r="A295" s="11" t="s">
        <v>661</v>
      </c>
      <c r="B295" s="12">
        <v>0.0</v>
      </c>
      <c r="C295" s="13" t="str">
        <f>IFERROR(B295/B446, "NA")</f>
        <v>NA</v>
      </c>
      <c r="D295" s="14"/>
      <c r="E295" s="12">
        <v>0.0</v>
      </c>
      <c r="F295" s="13" t="str">
        <f>IFERROR(E295/E446, "NA")</f>
        <v>NA</v>
      </c>
      <c r="G295" s="14"/>
      <c r="H295" s="12">
        <v>0.0</v>
      </c>
      <c r="I295" s="13" t="str">
        <f>IFERROR(H295/H446, "NA")</f>
        <v>NA</v>
      </c>
      <c r="J295" s="14"/>
      <c r="K295" s="12">
        <v>0.0</v>
      </c>
      <c r="L295" s="13" t="str">
        <f>IFERROR(K295/K446, "NA")</f>
        <v>NA</v>
      </c>
      <c r="M295" s="14"/>
      <c r="N295" s="12">
        <v>0.0</v>
      </c>
      <c r="O295" s="13" t="str">
        <f>IFERROR(N295/N446, "NA")</f>
        <v>NA</v>
      </c>
      <c r="P295" s="14"/>
      <c r="Q295" s="12">
        <v>0.0</v>
      </c>
      <c r="R295" s="13" t="str">
        <f>IFERROR(Q295/Q446, "NA")</f>
        <v>NA</v>
      </c>
      <c r="S295" s="14"/>
      <c r="T295" s="12">
        <v>0.0</v>
      </c>
      <c r="U295" s="13" t="str">
        <f>IFERROR(T295/T446, "NA")</f>
        <v>NA</v>
      </c>
      <c r="V295" s="14"/>
      <c r="W295" s="12">
        <v>0.0</v>
      </c>
      <c r="X295" s="13" t="str">
        <f>IFERROR(W295/W446, "NA")</f>
        <v>NA</v>
      </c>
      <c r="Y295" s="14"/>
      <c r="Z295" s="12">
        <v>0.0</v>
      </c>
      <c r="AA295" s="13" t="str">
        <f>IFERROR(Z295/Z446, "NA")</f>
        <v>NA</v>
      </c>
      <c r="AB295" s="14"/>
      <c r="AC295" s="12">
        <v>0.0</v>
      </c>
      <c r="AD295" s="13" t="str">
        <f>IFERROR(AC295/AC446, "NA")</f>
        <v>NA</v>
      </c>
      <c r="AE295" s="14"/>
      <c r="AF295" s="12">
        <v>0.0</v>
      </c>
      <c r="AG295" s="13" t="str">
        <f>IFERROR(AF295/AF446, "NA")</f>
        <v>NA</v>
      </c>
      <c r="AH295" s="14"/>
      <c r="AI295" s="12">
        <v>0.0</v>
      </c>
      <c r="AJ295" s="13" t="str">
        <f>IFERROR(AI295/AI446, "NA")</f>
        <v>NA</v>
      </c>
      <c r="AK295" s="12"/>
      <c r="AL295" s="15">
        <f t="shared" si="43"/>
        <v>0</v>
      </c>
      <c r="AM295" s="13" t="str">
        <f>IFERROR(AL295/AL446, "NA")</f>
        <v>NA</v>
      </c>
      <c r="AN295" s="12"/>
      <c r="AO295" s="12">
        <v>0.0</v>
      </c>
      <c r="AP295" s="13" t="str">
        <f>IFERROR(AO295/AO446, "NA")</f>
        <v>NA</v>
      </c>
      <c r="AQ295" s="12"/>
      <c r="AR295" s="15">
        <f t="shared" si="44"/>
        <v>0</v>
      </c>
    </row>
    <row r="296" ht="16.5" customHeight="1">
      <c r="A296" s="16" t="s">
        <v>272</v>
      </c>
      <c r="B296" s="17">
        <f>IFERROR(B287+B288+B289+B290+B291+B292+B293+B294+B295, "NA")</f>
        <v>0</v>
      </c>
      <c r="C296" s="18" t="str">
        <f>IFERROR(B296/B446, "NA")</f>
        <v>NA</v>
      </c>
      <c r="D296" s="8"/>
      <c r="E296" s="17">
        <f>IFERROR(E287+E288+E289+E290+E291+E292+E293+E294+E295, "NA")</f>
        <v>0</v>
      </c>
      <c r="F296" s="18" t="str">
        <f>IFERROR(E296/E446, "NA")</f>
        <v>NA</v>
      </c>
      <c r="G296" s="8"/>
      <c r="H296" s="17">
        <f>IFERROR(H287+H288+H289+H290+H291+H292+H293+H294+H295, "NA")</f>
        <v>0</v>
      </c>
      <c r="I296" s="18" t="str">
        <f>IFERROR(H296/H446, "NA")</f>
        <v>NA</v>
      </c>
      <c r="J296" s="8"/>
      <c r="K296" s="17">
        <f>IFERROR(K287+K288+K289+K290+K291+K292+K293+K294+K295, "NA")</f>
        <v>0</v>
      </c>
      <c r="L296" s="18" t="str">
        <f>IFERROR(K296/K446, "NA")</f>
        <v>NA</v>
      </c>
      <c r="M296" s="8"/>
      <c r="N296" s="17">
        <f>IFERROR(N287+N288+N289+N290+N291+N292+N293+N294+N295, "NA")</f>
        <v>0</v>
      </c>
      <c r="O296" s="18" t="str">
        <f>IFERROR(N296/N446, "NA")</f>
        <v>NA</v>
      </c>
      <c r="P296" s="8"/>
      <c r="Q296" s="17">
        <f>IFERROR(Q287+Q288+Q289+Q290+Q291+Q292+Q293+Q294+Q295, "NA")</f>
        <v>0</v>
      </c>
      <c r="R296" s="18" t="str">
        <f>IFERROR(Q296/Q446, "NA")</f>
        <v>NA</v>
      </c>
      <c r="S296" s="8"/>
      <c r="T296" s="17">
        <f>IFERROR(T287+T288+T289+T290+T291+T292+T293+T294+T295, "NA")</f>
        <v>0</v>
      </c>
      <c r="U296" s="18" t="str">
        <f>IFERROR(T296/T446, "NA")</f>
        <v>NA</v>
      </c>
      <c r="V296" s="8"/>
      <c r="W296" s="17">
        <f>IFERROR(W287+W288+W289+W290+W291+W292+W293+W294+W295, "NA")</f>
        <v>0</v>
      </c>
      <c r="X296" s="18" t="str">
        <f>IFERROR(W296/W446, "NA")</f>
        <v>NA</v>
      </c>
      <c r="Y296" s="8"/>
      <c r="Z296" s="17">
        <f>IFERROR(Z287+Z288+Z289+Z290+Z291+Z292+Z293+Z294+Z295, "NA")</f>
        <v>0</v>
      </c>
      <c r="AA296" s="18" t="str">
        <f>IFERROR(Z296/Z446, "NA")</f>
        <v>NA</v>
      </c>
      <c r="AB296" s="8"/>
      <c r="AC296" s="17">
        <f>IFERROR(AC287+AC288+AC289+AC290+AC291+AC292+AC293+AC294+AC295, "NA")</f>
        <v>0</v>
      </c>
      <c r="AD296" s="18" t="str">
        <f>IFERROR(AC296/AC446, "NA")</f>
        <v>NA</v>
      </c>
      <c r="AE296" s="8"/>
      <c r="AF296" s="17">
        <f>IFERROR(AF287+AF288+AF289+AF290+AF291+AF292+AF293+AF294+AF295, "NA")</f>
        <v>0</v>
      </c>
      <c r="AG296" s="18" t="str">
        <f>IFERROR(AF296/AF446, "NA")</f>
        <v>NA</v>
      </c>
      <c r="AH296" s="8"/>
      <c r="AI296" s="17">
        <f>IFERROR(AI287+AI288+AI289+AI290+AI291+AI292+AI293+AI294+AI295, "NA")</f>
        <v>0</v>
      </c>
      <c r="AJ296" s="18" t="str">
        <f>IFERROR(AI296/AI446, "NA")</f>
        <v>NA</v>
      </c>
      <c r="AK296" s="8"/>
      <c r="AL296" s="17">
        <f t="shared" si="43"/>
        <v>0</v>
      </c>
      <c r="AM296" s="18" t="str">
        <f>IFERROR(AL296/AL446, "NA")</f>
        <v>NA</v>
      </c>
      <c r="AN296" s="8"/>
      <c r="AO296" s="17">
        <f>IFERROR(AO287+AO288+AO289+AO290+AO291+AO292+AO293+AO294+AO295, "NA")</f>
        <v>0</v>
      </c>
      <c r="AP296" s="18" t="str">
        <f>IFERROR(AO296/AO446, "NA")</f>
        <v>NA</v>
      </c>
      <c r="AQ296" s="8"/>
      <c r="AR296" s="17">
        <f t="shared" si="44"/>
        <v>0</v>
      </c>
    </row>
    <row r="297" ht="16.5" customHeight="1">
      <c r="A297" s="7" t="s">
        <v>273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  <c r="AE297" s="10"/>
      <c r="AF297" s="8"/>
      <c r="AG297" s="9"/>
      <c r="AH297" s="10"/>
      <c r="AI297" s="8"/>
      <c r="AJ297" s="9"/>
      <c r="AK297" s="8"/>
      <c r="AL297" s="8"/>
      <c r="AM297" s="9"/>
      <c r="AN297" s="8"/>
      <c r="AO297" s="8"/>
      <c r="AP297" s="9"/>
      <c r="AQ297" s="8"/>
      <c r="AR297" s="8"/>
    </row>
    <row r="298" ht="16.5" hidden="1" customHeight="1">
      <c r="A298" s="11" t="s">
        <v>662</v>
      </c>
      <c r="B298" s="12">
        <v>0.0</v>
      </c>
      <c r="C298" s="13" t="str">
        <f>IFERROR(B298/B446, "NA")</f>
        <v>NA</v>
      </c>
      <c r="D298" s="14"/>
      <c r="E298" s="12">
        <v>0.0</v>
      </c>
      <c r="F298" s="13" t="str">
        <f>IFERROR(E298/E446, "NA")</f>
        <v>NA</v>
      </c>
      <c r="G298" s="14"/>
      <c r="H298" s="12">
        <v>0.0</v>
      </c>
      <c r="I298" s="13" t="str">
        <f>IFERROR(H298/H446, "NA")</f>
        <v>NA</v>
      </c>
      <c r="J298" s="14"/>
      <c r="K298" s="12">
        <v>0.0</v>
      </c>
      <c r="L298" s="13" t="str">
        <f>IFERROR(K298/K446, "NA")</f>
        <v>NA</v>
      </c>
      <c r="M298" s="14"/>
      <c r="N298" s="12">
        <v>0.0</v>
      </c>
      <c r="O298" s="13" t="str">
        <f>IFERROR(N298/N446, "NA")</f>
        <v>NA</v>
      </c>
      <c r="P298" s="14"/>
      <c r="Q298" s="12">
        <v>0.0</v>
      </c>
      <c r="R298" s="13" t="str">
        <f>IFERROR(Q298/Q446, "NA")</f>
        <v>NA</v>
      </c>
      <c r="S298" s="14"/>
      <c r="T298" s="12">
        <v>0.0</v>
      </c>
      <c r="U298" s="13" t="str">
        <f>IFERROR(T298/T446, "NA")</f>
        <v>NA</v>
      </c>
      <c r="V298" s="14"/>
      <c r="W298" s="12">
        <v>0.0</v>
      </c>
      <c r="X298" s="13" t="str">
        <f>IFERROR(W298/W446, "NA")</f>
        <v>NA</v>
      </c>
      <c r="Y298" s="14"/>
      <c r="Z298" s="12">
        <v>0.0</v>
      </c>
      <c r="AA298" s="13" t="str">
        <f>IFERROR(Z298/Z446, "NA")</f>
        <v>NA</v>
      </c>
      <c r="AB298" s="14"/>
      <c r="AC298" s="12">
        <v>0.0</v>
      </c>
      <c r="AD298" s="13" t="str">
        <f>IFERROR(AC298/AC446, "NA")</f>
        <v>NA</v>
      </c>
      <c r="AE298" s="14"/>
      <c r="AF298" s="12">
        <v>0.0</v>
      </c>
      <c r="AG298" s="13" t="str">
        <f>IFERROR(AF298/AF446, "NA")</f>
        <v>NA</v>
      </c>
      <c r="AH298" s="14"/>
      <c r="AI298" s="12">
        <v>0.0</v>
      </c>
      <c r="AJ298" s="13" t="str">
        <f>IFERROR(AI298/AI446, "NA")</f>
        <v>NA</v>
      </c>
      <c r="AK298" s="12"/>
      <c r="AL298" s="15">
        <f t="shared" ref="AL298:AL326" si="45">IFERROR(B298+E298+H298+K298+N298+Q298+T298+W298+Z298+AC298+AF298+AI298, "NA")</f>
        <v>0</v>
      </c>
      <c r="AM298" s="13" t="str">
        <f>IFERROR(AL298/AL446, "NA")</f>
        <v>NA</v>
      </c>
      <c r="AN298" s="12"/>
      <c r="AO298" s="12">
        <v>0.0</v>
      </c>
      <c r="AP298" s="13" t="str">
        <f>IFERROR(AO298/AO446, "NA")</f>
        <v>NA</v>
      </c>
      <c r="AQ298" s="12"/>
      <c r="AR298" s="15">
        <f t="shared" ref="AR298:AR326" si="46">IFERROR(AL298-AO298, "NA")</f>
        <v>0</v>
      </c>
    </row>
    <row r="299" ht="16.5" hidden="1" customHeight="1">
      <c r="A299" s="11" t="s">
        <v>663</v>
      </c>
      <c r="B299" s="12">
        <v>0.0</v>
      </c>
      <c r="C299" s="13" t="str">
        <f>IFERROR(B299/B446, "NA")</f>
        <v>NA</v>
      </c>
      <c r="D299" s="14"/>
      <c r="E299" s="12">
        <v>0.0</v>
      </c>
      <c r="F299" s="13" t="str">
        <f>IFERROR(E299/E446, "NA")</f>
        <v>NA</v>
      </c>
      <c r="G299" s="14"/>
      <c r="H299" s="12">
        <v>0.0</v>
      </c>
      <c r="I299" s="13" t="str">
        <f>IFERROR(H299/H446, "NA")</f>
        <v>NA</v>
      </c>
      <c r="J299" s="14"/>
      <c r="K299" s="12">
        <v>0.0</v>
      </c>
      <c r="L299" s="13" t="str">
        <f>IFERROR(K299/K446, "NA")</f>
        <v>NA</v>
      </c>
      <c r="M299" s="14"/>
      <c r="N299" s="12">
        <v>0.0</v>
      </c>
      <c r="O299" s="13" t="str">
        <f>IFERROR(N299/N446, "NA")</f>
        <v>NA</v>
      </c>
      <c r="P299" s="14"/>
      <c r="Q299" s="12">
        <v>0.0</v>
      </c>
      <c r="R299" s="13" t="str">
        <f>IFERROR(Q299/Q446, "NA")</f>
        <v>NA</v>
      </c>
      <c r="S299" s="14"/>
      <c r="T299" s="12">
        <v>0.0</v>
      </c>
      <c r="U299" s="13" t="str">
        <f>IFERROR(T299/T446, "NA")</f>
        <v>NA</v>
      </c>
      <c r="V299" s="14"/>
      <c r="W299" s="12">
        <v>0.0</v>
      </c>
      <c r="X299" s="13" t="str">
        <f>IFERROR(W299/W446, "NA")</f>
        <v>NA</v>
      </c>
      <c r="Y299" s="14"/>
      <c r="Z299" s="12">
        <v>0.0</v>
      </c>
      <c r="AA299" s="13" t="str">
        <f>IFERROR(Z299/Z446, "NA")</f>
        <v>NA</v>
      </c>
      <c r="AB299" s="14"/>
      <c r="AC299" s="12">
        <v>0.0</v>
      </c>
      <c r="AD299" s="13" t="str">
        <f>IFERROR(AC299/AC446, "NA")</f>
        <v>NA</v>
      </c>
      <c r="AE299" s="14"/>
      <c r="AF299" s="12">
        <v>0.0</v>
      </c>
      <c r="AG299" s="13" t="str">
        <f>IFERROR(AF299/AF446, "NA")</f>
        <v>NA</v>
      </c>
      <c r="AH299" s="14"/>
      <c r="AI299" s="12">
        <v>0.0</v>
      </c>
      <c r="AJ299" s="13" t="str">
        <f>IFERROR(AI299/AI446, "NA")</f>
        <v>NA</v>
      </c>
      <c r="AK299" s="12"/>
      <c r="AL299" s="15">
        <f t="shared" si="45"/>
        <v>0</v>
      </c>
      <c r="AM299" s="13" t="str">
        <f>IFERROR(AL299/AL446, "NA")</f>
        <v>NA</v>
      </c>
      <c r="AN299" s="12"/>
      <c r="AO299" s="12">
        <v>0.0</v>
      </c>
      <c r="AP299" s="13" t="str">
        <f>IFERROR(AO299/AO446, "NA")</f>
        <v>NA</v>
      </c>
      <c r="AQ299" s="12"/>
      <c r="AR299" s="15">
        <f t="shared" si="46"/>
        <v>0</v>
      </c>
    </row>
    <row r="300" ht="16.5" hidden="1" customHeight="1">
      <c r="A300" s="11" t="s">
        <v>664</v>
      </c>
      <c r="B300" s="12">
        <v>0.0</v>
      </c>
      <c r="C300" s="13" t="str">
        <f>IFERROR(B300/B446, "NA")</f>
        <v>NA</v>
      </c>
      <c r="D300" s="14"/>
      <c r="E300" s="12">
        <v>0.0</v>
      </c>
      <c r="F300" s="13" t="str">
        <f>IFERROR(E300/E446, "NA")</f>
        <v>NA</v>
      </c>
      <c r="G300" s="14"/>
      <c r="H300" s="12">
        <v>0.0</v>
      </c>
      <c r="I300" s="13" t="str">
        <f>IFERROR(H300/H446, "NA")</f>
        <v>NA</v>
      </c>
      <c r="J300" s="14"/>
      <c r="K300" s="12">
        <v>0.0</v>
      </c>
      <c r="L300" s="13" t="str">
        <f>IFERROR(K300/K446, "NA")</f>
        <v>NA</v>
      </c>
      <c r="M300" s="14"/>
      <c r="N300" s="12">
        <v>0.0</v>
      </c>
      <c r="O300" s="13" t="str">
        <f>IFERROR(N300/N446, "NA")</f>
        <v>NA</v>
      </c>
      <c r="P300" s="14"/>
      <c r="Q300" s="12">
        <v>0.0</v>
      </c>
      <c r="R300" s="13" t="str">
        <f>IFERROR(Q300/Q446, "NA")</f>
        <v>NA</v>
      </c>
      <c r="S300" s="14"/>
      <c r="T300" s="12">
        <v>0.0</v>
      </c>
      <c r="U300" s="13" t="str">
        <f>IFERROR(T300/T446, "NA")</f>
        <v>NA</v>
      </c>
      <c r="V300" s="14"/>
      <c r="W300" s="12">
        <v>0.0</v>
      </c>
      <c r="X300" s="13" t="str">
        <f>IFERROR(W300/W446, "NA")</f>
        <v>NA</v>
      </c>
      <c r="Y300" s="14"/>
      <c r="Z300" s="12">
        <v>0.0</v>
      </c>
      <c r="AA300" s="13" t="str">
        <f>IFERROR(Z300/Z446, "NA")</f>
        <v>NA</v>
      </c>
      <c r="AB300" s="14"/>
      <c r="AC300" s="12">
        <v>0.0</v>
      </c>
      <c r="AD300" s="13" t="str">
        <f>IFERROR(AC300/AC446, "NA")</f>
        <v>NA</v>
      </c>
      <c r="AE300" s="14"/>
      <c r="AF300" s="12">
        <v>0.0</v>
      </c>
      <c r="AG300" s="13" t="str">
        <f>IFERROR(AF300/AF446, "NA")</f>
        <v>NA</v>
      </c>
      <c r="AH300" s="14"/>
      <c r="AI300" s="12">
        <v>0.0</v>
      </c>
      <c r="AJ300" s="13" t="str">
        <f>IFERROR(AI300/AI446, "NA")</f>
        <v>NA</v>
      </c>
      <c r="AK300" s="12"/>
      <c r="AL300" s="15">
        <f t="shared" si="45"/>
        <v>0</v>
      </c>
      <c r="AM300" s="13" t="str">
        <f>IFERROR(AL300/AL446, "NA")</f>
        <v>NA</v>
      </c>
      <c r="AN300" s="12"/>
      <c r="AO300" s="12">
        <v>0.0</v>
      </c>
      <c r="AP300" s="13" t="str">
        <f>IFERROR(AO300/AO446, "NA")</f>
        <v>NA</v>
      </c>
      <c r="AQ300" s="12"/>
      <c r="AR300" s="15">
        <f t="shared" si="46"/>
        <v>0</v>
      </c>
    </row>
    <row r="301" ht="16.5" hidden="1" customHeight="1">
      <c r="A301" s="11" t="s">
        <v>665</v>
      </c>
      <c r="B301" s="12">
        <v>0.0</v>
      </c>
      <c r="C301" s="13" t="str">
        <f>IFERROR(B301/B446, "NA")</f>
        <v>NA</v>
      </c>
      <c r="D301" s="14"/>
      <c r="E301" s="12">
        <v>0.0</v>
      </c>
      <c r="F301" s="13" t="str">
        <f>IFERROR(E301/E446, "NA")</f>
        <v>NA</v>
      </c>
      <c r="G301" s="14"/>
      <c r="H301" s="12">
        <v>0.0</v>
      </c>
      <c r="I301" s="13" t="str">
        <f>IFERROR(H301/H446, "NA")</f>
        <v>NA</v>
      </c>
      <c r="J301" s="14"/>
      <c r="K301" s="12">
        <v>0.0</v>
      </c>
      <c r="L301" s="13" t="str">
        <f>IFERROR(K301/K446, "NA")</f>
        <v>NA</v>
      </c>
      <c r="M301" s="14"/>
      <c r="N301" s="12">
        <v>0.0</v>
      </c>
      <c r="O301" s="13" t="str">
        <f>IFERROR(N301/N446, "NA")</f>
        <v>NA</v>
      </c>
      <c r="P301" s="14"/>
      <c r="Q301" s="12">
        <v>0.0</v>
      </c>
      <c r="R301" s="13" t="str">
        <f>IFERROR(Q301/Q446, "NA")</f>
        <v>NA</v>
      </c>
      <c r="S301" s="14"/>
      <c r="T301" s="12">
        <v>0.0</v>
      </c>
      <c r="U301" s="13" t="str">
        <f>IFERROR(T301/T446, "NA")</f>
        <v>NA</v>
      </c>
      <c r="V301" s="14"/>
      <c r="W301" s="12">
        <v>0.0</v>
      </c>
      <c r="X301" s="13" t="str">
        <f>IFERROR(W301/W446, "NA")</f>
        <v>NA</v>
      </c>
      <c r="Y301" s="14"/>
      <c r="Z301" s="12">
        <v>0.0</v>
      </c>
      <c r="AA301" s="13" t="str">
        <f>IFERROR(Z301/Z446, "NA")</f>
        <v>NA</v>
      </c>
      <c r="AB301" s="14"/>
      <c r="AC301" s="12">
        <v>0.0</v>
      </c>
      <c r="AD301" s="13" t="str">
        <f>IFERROR(AC301/AC446, "NA")</f>
        <v>NA</v>
      </c>
      <c r="AE301" s="14"/>
      <c r="AF301" s="12">
        <v>0.0</v>
      </c>
      <c r="AG301" s="13" t="str">
        <f>IFERROR(AF301/AF446, "NA")</f>
        <v>NA</v>
      </c>
      <c r="AH301" s="14"/>
      <c r="AI301" s="12">
        <v>0.0</v>
      </c>
      <c r="AJ301" s="13" t="str">
        <f>IFERROR(AI301/AI446, "NA")</f>
        <v>NA</v>
      </c>
      <c r="AK301" s="12"/>
      <c r="AL301" s="15">
        <f t="shared" si="45"/>
        <v>0</v>
      </c>
      <c r="AM301" s="13" t="str">
        <f>IFERROR(AL301/AL446, "NA")</f>
        <v>NA</v>
      </c>
      <c r="AN301" s="12"/>
      <c r="AO301" s="12">
        <v>0.0</v>
      </c>
      <c r="AP301" s="13" t="str">
        <f>IFERROR(AO301/AO446, "NA")</f>
        <v>NA</v>
      </c>
      <c r="AQ301" s="12"/>
      <c r="AR301" s="15">
        <f t="shared" si="46"/>
        <v>0</v>
      </c>
    </row>
    <row r="302" ht="16.5" hidden="1" customHeight="1">
      <c r="A302" s="11" t="s">
        <v>666</v>
      </c>
      <c r="B302" s="12">
        <v>0.0</v>
      </c>
      <c r="C302" s="13" t="str">
        <f>IFERROR(B302/B446, "NA")</f>
        <v>NA</v>
      </c>
      <c r="D302" s="14"/>
      <c r="E302" s="12">
        <v>0.0</v>
      </c>
      <c r="F302" s="13" t="str">
        <f>IFERROR(E302/E446, "NA")</f>
        <v>NA</v>
      </c>
      <c r="G302" s="14"/>
      <c r="H302" s="12">
        <v>0.0</v>
      </c>
      <c r="I302" s="13" t="str">
        <f>IFERROR(H302/H446, "NA")</f>
        <v>NA</v>
      </c>
      <c r="J302" s="14"/>
      <c r="K302" s="12">
        <v>0.0</v>
      </c>
      <c r="L302" s="13" t="str">
        <f>IFERROR(K302/K446, "NA")</f>
        <v>NA</v>
      </c>
      <c r="M302" s="14"/>
      <c r="N302" s="12">
        <v>0.0</v>
      </c>
      <c r="O302" s="13" t="str">
        <f>IFERROR(N302/N446, "NA")</f>
        <v>NA</v>
      </c>
      <c r="P302" s="14"/>
      <c r="Q302" s="12">
        <v>0.0</v>
      </c>
      <c r="R302" s="13" t="str">
        <f>IFERROR(Q302/Q446, "NA")</f>
        <v>NA</v>
      </c>
      <c r="S302" s="14"/>
      <c r="T302" s="12">
        <v>0.0</v>
      </c>
      <c r="U302" s="13" t="str">
        <f>IFERROR(T302/T446, "NA")</f>
        <v>NA</v>
      </c>
      <c r="V302" s="14"/>
      <c r="W302" s="12">
        <v>0.0</v>
      </c>
      <c r="X302" s="13" t="str">
        <f>IFERROR(W302/W446, "NA")</f>
        <v>NA</v>
      </c>
      <c r="Y302" s="14"/>
      <c r="Z302" s="12">
        <v>0.0</v>
      </c>
      <c r="AA302" s="13" t="str">
        <f>IFERROR(Z302/Z446, "NA")</f>
        <v>NA</v>
      </c>
      <c r="AB302" s="14"/>
      <c r="AC302" s="12">
        <v>0.0</v>
      </c>
      <c r="AD302" s="13" t="str">
        <f>IFERROR(AC302/AC446, "NA")</f>
        <v>NA</v>
      </c>
      <c r="AE302" s="14"/>
      <c r="AF302" s="12">
        <v>0.0</v>
      </c>
      <c r="AG302" s="13" t="str">
        <f>IFERROR(AF302/AF446, "NA")</f>
        <v>NA</v>
      </c>
      <c r="AH302" s="14"/>
      <c r="AI302" s="12">
        <v>0.0</v>
      </c>
      <c r="AJ302" s="13" t="str">
        <f>IFERROR(AI302/AI446, "NA")</f>
        <v>NA</v>
      </c>
      <c r="AK302" s="12"/>
      <c r="AL302" s="15">
        <f t="shared" si="45"/>
        <v>0</v>
      </c>
      <c r="AM302" s="13" t="str">
        <f>IFERROR(AL302/AL446, "NA")</f>
        <v>NA</v>
      </c>
      <c r="AN302" s="12"/>
      <c r="AO302" s="12">
        <v>0.0</v>
      </c>
      <c r="AP302" s="13" t="str">
        <f>IFERROR(AO302/AO446, "NA")</f>
        <v>NA</v>
      </c>
      <c r="AQ302" s="12"/>
      <c r="AR302" s="15">
        <f t="shared" si="46"/>
        <v>0</v>
      </c>
    </row>
    <row r="303" ht="16.5" hidden="1" customHeight="1">
      <c r="A303" s="11" t="s">
        <v>667</v>
      </c>
      <c r="B303" s="12">
        <v>0.0</v>
      </c>
      <c r="C303" s="13" t="str">
        <f>IFERROR(B303/B446, "NA")</f>
        <v>NA</v>
      </c>
      <c r="D303" s="14"/>
      <c r="E303" s="12">
        <v>0.0</v>
      </c>
      <c r="F303" s="13" t="str">
        <f>IFERROR(E303/E446, "NA")</f>
        <v>NA</v>
      </c>
      <c r="G303" s="14"/>
      <c r="H303" s="12">
        <v>0.0</v>
      </c>
      <c r="I303" s="13" t="str">
        <f>IFERROR(H303/H446, "NA")</f>
        <v>NA</v>
      </c>
      <c r="J303" s="14"/>
      <c r="K303" s="12">
        <v>0.0</v>
      </c>
      <c r="L303" s="13" t="str">
        <f>IFERROR(K303/K446, "NA")</f>
        <v>NA</v>
      </c>
      <c r="M303" s="14"/>
      <c r="N303" s="12">
        <v>0.0</v>
      </c>
      <c r="O303" s="13" t="str">
        <f>IFERROR(N303/N446, "NA")</f>
        <v>NA</v>
      </c>
      <c r="P303" s="14"/>
      <c r="Q303" s="12">
        <v>0.0</v>
      </c>
      <c r="R303" s="13" t="str">
        <f>IFERROR(Q303/Q446, "NA")</f>
        <v>NA</v>
      </c>
      <c r="S303" s="14"/>
      <c r="T303" s="12">
        <v>0.0</v>
      </c>
      <c r="U303" s="13" t="str">
        <f>IFERROR(T303/T446, "NA")</f>
        <v>NA</v>
      </c>
      <c r="V303" s="14"/>
      <c r="W303" s="12">
        <v>0.0</v>
      </c>
      <c r="X303" s="13" t="str">
        <f>IFERROR(W303/W446, "NA")</f>
        <v>NA</v>
      </c>
      <c r="Y303" s="14"/>
      <c r="Z303" s="12">
        <v>0.0</v>
      </c>
      <c r="AA303" s="13" t="str">
        <f>IFERROR(Z303/Z446, "NA")</f>
        <v>NA</v>
      </c>
      <c r="AB303" s="14"/>
      <c r="AC303" s="12">
        <v>0.0</v>
      </c>
      <c r="AD303" s="13" t="str">
        <f>IFERROR(AC303/AC446, "NA")</f>
        <v>NA</v>
      </c>
      <c r="AE303" s="14"/>
      <c r="AF303" s="12">
        <v>0.0</v>
      </c>
      <c r="AG303" s="13" t="str">
        <f>IFERROR(AF303/AF446, "NA")</f>
        <v>NA</v>
      </c>
      <c r="AH303" s="14"/>
      <c r="AI303" s="12">
        <v>0.0</v>
      </c>
      <c r="AJ303" s="13" t="str">
        <f>IFERROR(AI303/AI446, "NA")</f>
        <v>NA</v>
      </c>
      <c r="AK303" s="12"/>
      <c r="AL303" s="15">
        <f t="shared" si="45"/>
        <v>0</v>
      </c>
      <c r="AM303" s="13" t="str">
        <f>IFERROR(AL303/AL446, "NA")</f>
        <v>NA</v>
      </c>
      <c r="AN303" s="12"/>
      <c r="AO303" s="12">
        <v>0.0</v>
      </c>
      <c r="AP303" s="13" t="str">
        <f>IFERROR(AO303/AO446, "NA")</f>
        <v>NA</v>
      </c>
      <c r="AQ303" s="12"/>
      <c r="AR303" s="15">
        <f t="shared" si="46"/>
        <v>0</v>
      </c>
    </row>
    <row r="304" ht="16.5" hidden="1" customHeight="1">
      <c r="A304" s="11" t="s">
        <v>668</v>
      </c>
      <c r="B304" s="12">
        <v>0.0</v>
      </c>
      <c r="C304" s="13" t="str">
        <f>IFERROR(B304/B446, "NA")</f>
        <v>NA</v>
      </c>
      <c r="D304" s="14"/>
      <c r="E304" s="12">
        <v>0.0</v>
      </c>
      <c r="F304" s="13" t="str">
        <f>IFERROR(E304/E446, "NA")</f>
        <v>NA</v>
      </c>
      <c r="G304" s="14"/>
      <c r="H304" s="12">
        <v>0.0</v>
      </c>
      <c r="I304" s="13" t="str">
        <f>IFERROR(H304/H446, "NA")</f>
        <v>NA</v>
      </c>
      <c r="J304" s="14"/>
      <c r="K304" s="12">
        <v>0.0</v>
      </c>
      <c r="L304" s="13" t="str">
        <f>IFERROR(K304/K446, "NA")</f>
        <v>NA</v>
      </c>
      <c r="M304" s="14"/>
      <c r="N304" s="12">
        <v>0.0</v>
      </c>
      <c r="O304" s="13" t="str">
        <f>IFERROR(N304/N446, "NA")</f>
        <v>NA</v>
      </c>
      <c r="P304" s="14"/>
      <c r="Q304" s="12">
        <v>0.0</v>
      </c>
      <c r="R304" s="13" t="str">
        <f>IFERROR(Q304/Q446, "NA")</f>
        <v>NA</v>
      </c>
      <c r="S304" s="14"/>
      <c r="T304" s="12">
        <v>0.0</v>
      </c>
      <c r="U304" s="13" t="str">
        <f>IFERROR(T304/T446, "NA")</f>
        <v>NA</v>
      </c>
      <c r="V304" s="14"/>
      <c r="W304" s="12">
        <v>0.0</v>
      </c>
      <c r="X304" s="13" t="str">
        <f>IFERROR(W304/W446, "NA")</f>
        <v>NA</v>
      </c>
      <c r="Y304" s="14"/>
      <c r="Z304" s="12">
        <v>0.0</v>
      </c>
      <c r="AA304" s="13" t="str">
        <f>IFERROR(Z304/Z446, "NA")</f>
        <v>NA</v>
      </c>
      <c r="AB304" s="14"/>
      <c r="AC304" s="12">
        <v>0.0</v>
      </c>
      <c r="AD304" s="13" t="str">
        <f>IFERROR(AC304/AC446, "NA")</f>
        <v>NA</v>
      </c>
      <c r="AE304" s="14"/>
      <c r="AF304" s="12">
        <v>0.0</v>
      </c>
      <c r="AG304" s="13" t="str">
        <f>IFERROR(AF304/AF446, "NA")</f>
        <v>NA</v>
      </c>
      <c r="AH304" s="14"/>
      <c r="AI304" s="12">
        <v>0.0</v>
      </c>
      <c r="AJ304" s="13" t="str">
        <f>IFERROR(AI304/AI446, "NA")</f>
        <v>NA</v>
      </c>
      <c r="AK304" s="12"/>
      <c r="AL304" s="15">
        <f t="shared" si="45"/>
        <v>0</v>
      </c>
      <c r="AM304" s="13" t="str">
        <f>IFERROR(AL304/AL446, "NA")</f>
        <v>NA</v>
      </c>
      <c r="AN304" s="12"/>
      <c r="AO304" s="12">
        <v>0.0</v>
      </c>
      <c r="AP304" s="13" t="str">
        <f>IFERROR(AO304/AO446, "NA")</f>
        <v>NA</v>
      </c>
      <c r="AQ304" s="12"/>
      <c r="AR304" s="15">
        <f t="shared" si="46"/>
        <v>0</v>
      </c>
    </row>
    <row r="305" ht="16.5" hidden="1" customHeight="1">
      <c r="A305" s="11" t="s">
        <v>669</v>
      </c>
      <c r="B305" s="12">
        <v>0.0</v>
      </c>
      <c r="C305" s="13" t="str">
        <f>IFERROR(B305/B446, "NA")</f>
        <v>NA</v>
      </c>
      <c r="D305" s="14"/>
      <c r="E305" s="12">
        <v>0.0</v>
      </c>
      <c r="F305" s="13" t="str">
        <f>IFERROR(E305/E446, "NA")</f>
        <v>NA</v>
      </c>
      <c r="G305" s="14"/>
      <c r="H305" s="12">
        <v>0.0</v>
      </c>
      <c r="I305" s="13" t="str">
        <f>IFERROR(H305/H446, "NA")</f>
        <v>NA</v>
      </c>
      <c r="J305" s="14"/>
      <c r="K305" s="12">
        <v>0.0</v>
      </c>
      <c r="L305" s="13" t="str">
        <f>IFERROR(K305/K446, "NA")</f>
        <v>NA</v>
      </c>
      <c r="M305" s="14"/>
      <c r="N305" s="12">
        <v>0.0</v>
      </c>
      <c r="O305" s="13" t="str">
        <f>IFERROR(N305/N446, "NA")</f>
        <v>NA</v>
      </c>
      <c r="P305" s="14"/>
      <c r="Q305" s="12">
        <v>0.0</v>
      </c>
      <c r="R305" s="13" t="str">
        <f>IFERROR(Q305/Q446, "NA")</f>
        <v>NA</v>
      </c>
      <c r="S305" s="14"/>
      <c r="T305" s="12">
        <v>0.0</v>
      </c>
      <c r="U305" s="13" t="str">
        <f>IFERROR(T305/T446, "NA")</f>
        <v>NA</v>
      </c>
      <c r="V305" s="14"/>
      <c r="W305" s="12">
        <v>0.0</v>
      </c>
      <c r="X305" s="13" t="str">
        <f>IFERROR(W305/W446, "NA")</f>
        <v>NA</v>
      </c>
      <c r="Y305" s="14"/>
      <c r="Z305" s="12">
        <v>0.0</v>
      </c>
      <c r="AA305" s="13" t="str">
        <f>IFERROR(Z305/Z446, "NA")</f>
        <v>NA</v>
      </c>
      <c r="AB305" s="14"/>
      <c r="AC305" s="12">
        <v>0.0</v>
      </c>
      <c r="AD305" s="13" t="str">
        <f>IFERROR(AC305/AC446, "NA")</f>
        <v>NA</v>
      </c>
      <c r="AE305" s="14"/>
      <c r="AF305" s="12">
        <v>0.0</v>
      </c>
      <c r="AG305" s="13" t="str">
        <f>IFERROR(AF305/AF446, "NA")</f>
        <v>NA</v>
      </c>
      <c r="AH305" s="14"/>
      <c r="AI305" s="12">
        <v>0.0</v>
      </c>
      <c r="AJ305" s="13" t="str">
        <f>IFERROR(AI305/AI446, "NA")</f>
        <v>NA</v>
      </c>
      <c r="AK305" s="12"/>
      <c r="AL305" s="15">
        <f t="shared" si="45"/>
        <v>0</v>
      </c>
      <c r="AM305" s="13" t="str">
        <f>IFERROR(AL305/AL446, "NA")</f>
        <v>NA</v>
      </c>
      <c r="AN305" s="12"/>
      <c r="AO305" s="12">
        <v>0.0</v>
      </c>
      <c r="AP305" s="13" t="str">
        <f>IFERROR(AO305/AO446, "NA")</f>
        <v>NA</v>
      </c>
      <c r="AQ305" s="12"/>
      <c r="AR305" s="15">
        <f t="shared" si="46"/>
        <v>0</v>
      </c>
    </row>
    <row r="306" ht="16.5" hidden="1" customHeight="1">
      <c r="A306" s="11" t="s">
        <v>670</v>
      </c>
      <c r="B306" s="12">
        <v>0.0</v>
      </c>
      <c r="C306" s="13" t="str">
        <f>IFERROR(B306/B446, "NA")</f>
        <v>NA</v>
      </c>
      <c r="D306" s="14"/>
      <c r="E306" s="12">
        <v>0.0</v>
      </c>
      <c r="F306" s="13" t="str">
        <f>IFERROR(E306/E446, "NA")</f>
        <v>NA</v>
      </c>
      <c r="G306" s="14"/>
      <c r="H306" s="12">
        <v>0.0</v>
      </c>
      <c r="I306" s="13" t="str">
        <f>IFERROR(H306/H446, "NA")</f>
        <v>NA</v>
      </c>
      <c r="J306" s="14"/>
      <c r="K306" s="12">
        <v>0.0</v>
      </c>
      <c r="L306" s="13" t="str">
        <f>IFERROR(K306/K446, "NA")</f>
        <v>NA</v>
      </c>
      <c r="M306" s="14"/>
      <c r="N306" s="12">
        <v>0.0</v>
      </c>
      <c r="O306" s="13" t="str">
        <f>IFERROR(N306/N446, "NA")</f>
        <v>NA</v>
      </c>
      <c r="P306" s="14"/>
      <c r="Q306" s="12">
        <v>0.0</v>
      </c>
      <c r="R306" s="13" t="str">
        <f>IFERROR(Q306/Q446, "NA")</f>
        <v>NA</v>
      </c>
      <c r="S306" s="14"/>
      <c r="T306" s="12">
        <v>0.0</v>
      </c>
      <c r="U306" s="13" t="str">
        <f>IFERROR(T306/T446, "NA")</f>
        <v>NA</v>
      </c>
      <c r="V306" s="14"/>
      <c r="W306" s="12">
        <v>0.0</v>
      </c>
      <c r="X306" s="13" t="str">
        <f>IFERROR(W306/W446, "NA")</f>
        <v>NA</v>
      </c>
      <c r="Y306" s="14"/>
      <c r="Z306" s="12">
        <v>0.0</v>
      </c>
      <c r="AA306" s="13" t="str">
        <f>IFERROR(Z306/Z446, "NA")</f>
        <v>NA</v>
      </c>
      <c r="AB306" s="14"/>
      <c r="AC306" s="12">
        <v>0.0</v>
      </c>
      <c r="AD306" s="13" t="str">
        <f>IFERROR(AC306/AC446, "NA")</f>
        <v>NA</v>
      </c>
      <c r="AE306" s="14"/>
      <c r="AF306" s="12">
        <v>0.0</v>
      </c>
      <c r="AG306" s="13" t="str">
        <f>IFERROR(AF306/AF446, "NA")</f>
        <v>NA</v>
      </c>
      <c r="AH306" s="14"/>
      <c r="AI306" s="12">
        <v>0.0</v>
      </c>
      <c r="AJ306" s="13" t="str">
        <f>IFERROR(AI306/AI446, "NA")</f>
        <v>NA</v>
      </c>
      <c r="AK306" s="12"/>
      <c r="AL306" s="15">
        <f t="shared" si="45"/>
        <v>0</v>
      </c>
      <c r="AM306" s="13" t="str">
        <f>IFERROR(AL306/AL446, "NA")</f>
        <v>NA</v>
      </c>
      <c r="AN306" s="12"/>
      <c r="AO306" s="12">
        <v>0.0</v>
      </c>
      <c r="AP306" s="13" t="str">
        <f>IFERROR(AO306/AO446, "NA")</f>
        <v>NA</v>
      </c>
      <c r="AQ306" s="12"/>
      <c r="AR306" s="15">
        <f t="shared" si="46"/>
        <v>0</v>
      </c>
    </row>
    <row r="307" ht="16.5" hidden="1" customHeight="1">
      <c r="A307" s="11" t="s">
        <v>671</v>
      </c>
      <c r="B307" s="12">
        <v>0.0</v>
      </c>
      <c r="C307" s="13" t="str">
        <f>IFERROR(B307/B446, "NA")</f>
        <v>NA</v>
      </c>
      <c r="D307" s="14"/>
      <c r="E307" s="12">
        <v>0.0</v>
      </c>
      <c r="F307" s="13" t="str">
        <f>IFERROR(E307/E446, "NA")</f>
        <v>NA</v>
      </c>
      <c r="G307" s="14"/>
      <c r="H307" s="12">
        <v>0.0</v>
      </c>
      <c r="I307" s="13" t="str">
        <f>IFERROR(H307/H446, "NA")</f>
        <v>NA</v>
      </c>
      <c r="J307" s="14"/>
      <c r="K307" s="12">
        <v>0.0</v>
      </c>
      <c r="L307" s="13" t="str">
        <f>IFERROR(K307/K446, "NA")</f>
        <v>NA</v>
      </c>
      <c r="M307" s="14"/>
      <c r="N307" s="12">
        <v>0.0</v>
      </c>
      <c r="O307" s="13" t="str">
        <f>IFERROR(N307/N446, "NA")</f>
        <v>NA</v>
      </c>
      <c r="P307" s="14"/>
      <c r="Q307" s="12">
        <v>0.0</v>
      </c>
      <c r="R307" s="13" t="str">
        <f>IFERROR(Q307/Q446, "NA")</f>
        <v>NA</v>
      </c>
      <c r="S307" s="14"/>
      <c r="T307" s="12">
        <v>0.0</v>
      </c>
      <c r="U307" s="13" t="str">
        <f>IFERROR(T307/T446, "NA")</f>
        <v>NA</v>
      </c>
      <c r="V307" s="14"/>
      <c r="W307" s="12">
        <v>0.0</v>
      </c>
      <c r="X307" s="13" t="str">
        <f>IFERROR(W307/W446, "NA")</f>
        <v>NA</v>
      </c>
      <c r="Y307" s="14"/>
      <c r="Z307" s="12">
        <v>0.0</v>
      </c>
      <c r="AA307" s="13" t="str">
        <f>IFERROR(Z307/Z446, "NA")</f>
        <v>NA</v>
      </c>
      <c r="AB307" s="14"/>
      <c r="AC307" s="12">
        <v>0.0</v>
      </c>
      <c r="AD307" s="13" t="str">
        <f>IFERROR(AC307/AC446, "NA")</f>
        <v>NA</v>
      </c>
      <c r="AE307" s="14"/>
      <c r="AF307" s="12">
        <v>0.0</v>
      </c>
      <c r="AG307" s="13" t="str">
        <f>IFERROR(AF307/AF446, "NA")</f>
        <v>NA</v>
      </c>
      <c r="AH307" s="14"/>
      <c r="AI307" s="12">
        <v>0.0</v>
      </c>
      <c r="AJ307" s="13" t="str">
        <f>IFERROR(AI307/AI446, "NA")</f>
        <v>NA</v>
      </c>
      <c r="AK307" s="12"/>
      <c r="AL307" s="15">
        <f t="shared" si="45"/>
        <v>0</v>
      </c>
      <c r="AM307" s="13" t="str">
        <f>IFERROR(AL307/AL446, "NA")</f>
        <v>NA</v>
      </c>
      <c r="AN307" s="12"/>
      <c r="AO307" s="12">
        <v>0.0</v>
      </c>
      <c r="AP307" s="13" t="str">
        <f>IFERROR(AO307/AO446, "NA")</f>
        <v>NA</v>
      </c>
      <c r="AQ307" s="12"/>
      <c r="AR307" s="15">
        <f t="shared" si="46"/>
        <v>0</v>
      </c>
    </row>
    <row r="308" ht="16.5" hidden="1" customHeight="1">
      <c r="A308" s="11" t="s">
        <v>672</v>
      </c>
      <c r="B308" s="12">
        <v>0.0</v>
      </c>
      <c r="C308" s="13" t="str">
        <f>IFERROR(B308/B446, "NA")</f>
        <v>NA</v>
      </c>
      <c r="D308" s="14"/>
      <c r="E308" s="12">
        <v>0.0</v>
      </c>
      <c r="F308" s="13" t="str">
        <f>IFERROR(E308/E446, "NA")</f>
        <v>NA</v>
      </c>
      <c r="G308" s="14"/>
      <c r="H308" s="12">
        <v>0.0</v>
      </c>
      <c r="I308" s="13" t="str">
        <f>IFERROR(H308/H446, "NA")</f>
        <v>NA</v>
      </c>
      <c r="J308" s="14"/>
      <c r="K308" s="12">
        <v>0.0</v>
      </c>
      <c r="L308" s="13" t="str">
        <f>IFERROR(K308/K446, "NA")</f>
        <v>NA</v>
      </c>
      <c r="M308" s="14"/>
      <c r="N308" s="12">
        <v>0.0</v>
      </c>
      <c r="O308" s="13" t="str">
        <f>IFERROR(N308/N446, "NA")</f>
        <v>NA</v>
      </c>
      <c r="P308" s="14"/>
      <c r="Q308" s="12">
        <v>0.0</v>
      </c>
      <c r="R308" s="13" t="str">
        <f>IFERROR(Q308/Q446, "NA")</f>
        <v>NA</v>
      </c>
      <c r="S308" s="14"/>
      <c r="T308" s="12">
        <v>0.0</v>
      </c>
      <c r="U308" s="13" t="str">
        <f>IFERROR(T308/T446, "NA")</f>
        <v>NA</v>
      </c>
      <c r="V308" s="14"/>
      <c r="W308" s="12">
        <v>0.0</v>
      </c>
      <c r="X308" s="13" t="str">
        <f>IFERROR(W308/W446, "NA")</f>
        <v>NA</v>
      </c>
      <c r="Y308" s="14"/>
      <c r="Z308" s="12">
        <v>0.0</v>
      </c>
      <c r="AA308" s="13" t="str">
        <f>IFERROR(Z308/Z446, "NA")</f>
        <v>NA</v>
      </c>
      <c r="AB308" s="14"/>
      <c r="AC308" s="12">
        <v>0.0</v>
      </c>
      <c r="AD308" s="13" t="str">
        <f>IFERROR(AC308/AC446, "NA")</f>
        <v>NA</v>
      </c>
      <c r="AE308" s="14"/>
      <c r="AF308" s="12">
        <v>0.0</v>
      </c>
      <c r="AG308" s="13" t="str">
        <f>IFERROR(AF308/AF446, "NA")</f>
        <v>NA</v>
      </c>
      <c r="AH308" s="14"/>
      <c r="AI308" s="12">
        <v>0.0</v>
      </c>
      <c r="AJ308" s="13" t="str">
        <f>IFERROR(AI308/AI446, "NA")</f>
        <v>NA</v>
      </c>
      <c r="AK308" s="12"/>
      <c r="AL308" s="15">
        <f t="shared" si="45"/>
        <v>0</v>
      </c>
      <c r="AM308" s="13" t="str">
        <f>IFERROR(AL308/AL446, "NA")</f>
        <v>NA</v>
      </c>
      <c r="AN308" s="12"/>
      <c r="AO308" s="12">
        <v>0.0</v>
      </c>
      <c r="AP308" s="13" t="str">
        <f>IFERROR(AO308/AO446, "NA")</f>
        <v>NA</v>
      </c>
      <c r="AQ308" s="12"/>
      <c r="AR308" s="15">
        <f t="shared" si="46"/>
        <v>0</v>
      </c>
    </row>
    <row r="309" ht="16.5" hidden="1" customHeight="1">
      <c r="A309" s="11" t="s">
        <v>673</v>
      </c>
      <c r="B309" s="12">
        <v>0.0</v>
      </c>
      <c r="C309" s="13" t="str">
        <f>IFERROR(B309/B446, "NA")</f>
        <v>NA</v>
      </c>
      <c r="D309" s="14"/>
      <c r="E309" s="12">
        <v>0.0</v>
      </c>
      <c r="F309" s="13" t="str">
        <f>IFERROR(E309/E446, "NA")</f>
        <v>NA</v>
      </c>
      <c r="G309" s="14"/>
      <c r="H309" s="12">
        <v>0.0</v>
      </c>
      <c r="I309" s="13" t="str">
        <f>IFERROR(H309/H446, "NA")</f>
        <v>NA</v>
      </c>
      <c r="J309" s="14"/>
      <c r="K309" s="12">
        <v>0.0</v>
      </c>
      <c r="L309" s="13" t="str">
        <f>IFERROR(K309/K446, "NA")</f>
        <v>NA</v>
      </c>
      <c r="M309" s="14"/>
      <c r="N309" s="12">
        <v>0.0</v>
      </c>
      <c r="O309" s="13" t="str">
        <f>IFERROR(N309/N446, "NA")</f>
        <v>NA</v>
      </c>
      <c r="P309" s="14"/>
      <c r="Q309" s="12">
        <v>0.0</v>
      </c>
      <c r="R309" s="13" t="str">
        <f>IFERROR(Q309/Q446, "NA")</f>
        <v>NA</v>
      </c>
      <c r="S309" s="14"/>
      <c r="T309" s="12">
        <v>0.0</v>
      </c>
      <c r="U309" s="13" t="str">
        <f>IFERROR(T309/T446, "NA")</f>
        <v>NA</v>
      </c>
      <c r="V309" s="14"/>
      <c r="W309" s="12">
        <v>0.0</v>
      </c>
      <c r="X309" s="13" t="str">
        <f>IFERROR(W309/W446, "NA")</f>
        <v>NA</v>
      </c>
      <c r="Y309" s="14"/>
      <c r="Z309" s="12">
        <v>0.0</v>
      </c>
      <c r="AA309" s="13" t="str">
        <f>IFERROR(Z309/Z446, "NA")</f>
        <v>NA</v>
      </c>
      <c r="AB309" s="14"/>
      <c r="AC309" s="12">
        <v>0.0</v>
      </c>
      <c r="AD309" s="13" t="str">
        <f>IFERROR(AC309/AC446, "NA")</f>
        <v>NA</v>
      </c>
      <c r="AE309" s="14"/>
      <c r="AF309" s="12">
        <v>0.0</v>
      </c>
      <c r="AG309" s="13" t="str">
        <f>IFERROR(AF309/AF446, "NA")</f>
        <v>NA</v>
      </c>
      <c r="AH309" s="14"/>
      <c r="AI309" s="12">
        <v>0.0</v>
      </c>
      <c r="AJ309" s="13" t="str">
        <f>IFERROR(AI309/AI446, "NA")</f>
        <v>NA</v>
      </c>
      <c r="AK309" s="12"/>
      <c r="AL309" s="15">
        <f t="shared" si="45"/>
        <v>0</v>
      </c>
      <c r="AM309" s="13" t="str">
        <f>IFERROR(AL309/AL446, "NA")</f>
        <v>NA</v>
      </c>
      <c r="AN309" s="12"/>
      <c r="AO309" s="12">
        <v>0.0</v>
      </c>
      <c r="AP309" s="13" t="str">
        <f>IFERROR(AO309/AO446, "NA")</f>
        <v>NA</v>
      </c>
      <c r="AQ309" s="12"/>
      <c r="AR309" s="15">
        <f t="shared" si="46"/>
        <v>0</v>
      </c>
    </row>
    <row r="310" ht="16.5" hidden="1" customHeight="1">
      <c r="A310" s="11" t="s">
        <v>674</v>
      </c>
      <c r="B310" s="12">
        <v>0.0</v>
      </c>
      <c r="C310" s="13" t="str">
        <f>IFERROR(B310/B446, "NA")</f>
        <v>NA</v>
      </c>
      <c r="D310" s="14"/>
      <c r="E310" s="12">
        <v>0.0</v>
      </c>
      <c r="F310" s="13" t="str">
        <f>IFERROR(E310/E446, "NA")</f>
        <v>NA</v>
      </c>
      <c r="G310" s="14"/>
      <c r="H310" s="12">
        <v>0.0</v>
      </c>
      <c r="I310" s="13" t="str">
        <f>IFERROR(H310/H446, "NA")</f>
        <v>NA</v>
      </c>
      <c r="J310" s="14"/>
      <c r="K310" s="12">
        <v>0.0</v>
      </c>
      <c r="L310" s="13" t="str">
        <f>IFERROR(K310/K446, "NA")</f>
        <v>NA</v>
      </c>
      <c r="M310" s="14"/>
      <c r="N310" s="12">
        <v>0.0</v>
      </c>
      <c r="O310" s="13" t="str">
        <f>IFERROR(N310/N446, "NA")</f>
        <v>NA</v>
      </c>
      <c r="P310" s="14"/>
      <c r="Q310" s="12">
        <v>0.0</v>
      </c>
      <c r="R310" s="13" t="str">
        <f>IFERROR(Q310/Q446, "NA")</f>
        <v>NA</v>
      </c>
      <c r="S310" s="14"/>
      <c r="T310" s="12">
        <v>0.0</v>
      </c>
      <c r="U310" s="13" t="str">
        <f>IFERROR(T310/T446, "NA")</f>
        <v>NA</v>
      </c>
      <c r="V310" s="14"/>
      <c r="W310" s="12">
        <v>0.0</v>
      </c>
      <c r="X310" s="13" t="str">
        <f>IFERROR(W310/W446, "NA")</f>
        <v>NA</v>
      </c>
      <c r="Y310" s="14"/>
      <c r="Z310" s="12">
        <v>0.0</v>
      </c>
      <c r="AA310" s="13" t="str">
        <f>IFERROR(Z310/Z446, "NA")</f>
        <v>NA</v>
      </c>
      <c r="AB310" s="14"/>
      <c r="AC310" s="12">
        <v>0.0</v>
      </c>
      <c r="AD310" s="13" t="str">
        <f>IFERROR(AC310/AC446, "NA")</f>
        <v>NA</v>
      </c>
      <c r="AE310" s="14"/>
      <c r="AF310" s="12">
        <v>0.0</v>
      </c>
      <c r="AG310" s="13" t="str">
        <f>IFERROR(AF310/AF446, "NA")</f>
        <v>NA</v>
      </c>
      <c r="AH310" s="14"/>
      <c r="AI310" s="12">
        <v>0.0</v>
      </c>
      <c r="AJ310" s="13" t="str">
        <f>IFERROR(AI310/AI446, "NA")</f>
        <v>NA</v>
      </c>
      <c r="AK310" s="12"/>
      <c r="AL310" s="15">
        <f t="shared" si="45"/>
        <v>0</v>
      </c>
      <c r="AM310" s="13" t="str">
        <f>IFERROR(AL310/AL446, "NA")</f>
        <v>NA</v>
      </c>
      <c r="AN310" s="12"/>
      <c r="AO310" s="12">
        <v>0.0</v>
      </c>
      <c r="AP310" s="13" t="str">
        <f>IFERROR(AO310/AO446, "NA")</f>
        <v>NA</v>
      </c>
      <c r="AQ310" s="12"/>
      <c r="AR310" s="15">
        <f t="shared" si="46"/>
        <v>0</v>
      </c>
    </row>
    <row r="311" ht="16.5" hidden="1" customHeight="1">
      <c r="A311" s="11" t="s">
        <v>675</v>
      </c>
      <c r="B311" s="12">
        <v>0.0</v>
      </c>
      <c r="C311" s="13" t="str">
        <f>IFERROR(B311/B446, "NA")</f>
        <v>NA</v>
      </c>
      <c r="D311" s="14"/>
      <c r="E311" s="12">
        <v>0.0</v>
      </c>
      <c r="F311" s="13" t="str">
        <f>IFERROR(E311/E446, "NA")</f>
        <v>NA</v>
      </c>
      <c r="G311" s="14"/>
      <c r="H311" s="12">
        <v>0.0</v>
      </c>
      <c r="I311" s="13" t="str">
        <f>IFERROR(H311/H446, "NA")</f>
        <v>NA</v>
      </c>
      <c r="J311" s="14"/>
      <c r="K311" s="12">
        <v>0.0</v>
      </c>
      <c r="L311" s="13" t="str">
        <f>IFERROR(K311/K446, "NA")</f>
        <v>NA</v>
      </c>
      <c r="M311" s="14"/>
      <c r="N311" s="12">
        <v>0.0</v>
      </c>
      <c r="O311" s="13" t="str">
        <f>IFERROR(N311/N446, "NA")</f>
        <v>NA</v>
      </c>
      <c r="P311" s="14"/>
      <c r="Q311" s="12">
        <v>0.0</v>
      </c>
      <c r="R311" s="13" t="str">
        <f>IFERROR(Q311/Q446, "NA")</f>
        <v>NA</v>
      </c>
      <c r="S311" s="14"/>
      <c r="T311" s="12">
        <v>0.0</v>
      </c>
      <c r="U311" s="13" t="str">
        <f>IFERROR(T311/T446, "NA")</f>
        <v>NA</v>
      </c>
      <c r="V311" s="14"/>
      <c r="W311" s="12">
        <v>0.0</v>
      </c>
      <c r="X311" s="13" t="str">
        <f>IFERROR(W311/W446, "NA")</f>
        <v>NA</v>
      </c>
      <c r="Y311" s="14"/>
      <c r="Z311" s="12">
        <v>0.0</v>
      </c>
      <c r="AA311" s="13" t="str">
        <f>IFERROR(Z311/Z446, "NA")</f>
        <v>NA</v>
      </c>
      <c r="AB311" s="14"/>
      <c r="AC311" s="12">
        <v>0.0</v>
      </c>
      <c r="AD311" s="13" t="str">
        <f>IFERROR(AC311/AC446, "NA")</f>
        <v>NA</v>
      </c>
      <c r="AE311" s="14"/>
      <c r="AF311" s="12">
        <v>0.0</v>
      </c>
      <c r="AG311" s="13" t="str">
        <f>IFERROR(AF311/AF446, "NA")</f>
        <v>NA</v>
      </c>
      <c r="AH311" s="14"/>
      <c r="AI311" s="12">
        <v>0.0</v>
      </c>
      <c r="AJ311" s="13" t="str">
        <f>IFERROR(AI311/AI446, "NA")</f>
        <v>NA</v>
      </c>
      <c r="AK311" s="12"/>
      <c r="AL311" s="15">
        <f t="shared" si="45"/>
        <v>0</v>
      </c>
      <c r="AM311" s="13" t="str">
        <f>IFERROR(AL311/AL446, "NA")</f>
        <v>NA</v>
      </c>
      <c r="AN311" s="12"/>
      <c r="AO311" s="12">
        <v>0.0</v>
      </c>
      <c r="AP311" s="13" t="str">
        <f>IFERROR(AO311/AO446, "NA")</f>
        <v>NA</v>
      </c>
      <c r="AQ311" s="12"/>
      <c r="AR311" s="15">
        <f t="shared" si="46"/>
        <v>0</v>
      </c>
    </row>
    <row r="312" ht="16.5" hidden="1" customHeight="1">
      <c r="A312" s="11" t="s">
        <v>676</v>
      </c>
      <c r="B312" s="12">
        <v>0.0</v>
      </c>
      <c r="C312" s="13" t="str">
        <f>IFERROR(B312/B446, "NA")</f>
        <v>NA</v>
      </c>
      <c r="D312" s="14"/>
      <c r="E312" s="12">
        <v>0.0</v>
      </c>
      <c r="F312" s="13" t="str">
        <f>IFERROR(E312/E446, "NA")</f>
        <v>NA</v>
      </c>
      <c r="G312" s="14"/>
      <c r="H312" s="12">
        <v>0.0</v>
      </c>
      <c r="I312" s="13" t="str">
        <f>IFERROR(H312/H446, "NA")</f>
        <v>NA</v>
      </c>
      <c r="J312" s="14"/>
      <c r="K312" s="12">
        <v>0.0</v>
      </c>
      <c r="L312" s="13" t="str">
        <f>IFERROR(K312/K446, "NA")</f>
        <v>NA</v>
      </c>
      <c r="M312" s="14"/>
      <c r="N312" s="12">
        <v>0.0</v>
      </c>
      <c r="O312" s="13" t="str">
        <f>IFERROR(N312/N446, "NA")</f>
        <v>NA</v>
      </c>
      <c r="P312" s="14"/>
      <c r="Q312" s="12">
        <v>0.0</v>
      </c>
      <c r="R312" s="13" t="str">
        <f>IFERROR(Q312/Q446, "NA")</f>
        <v>NA</v>
      </c>
      <c r="S312" s="14"/>
      <c r="T312" s="12">
        <v>0.0</v>
      </c>
      <c r="U312" s="13" t="str">
        <f>IFERROR(T312/T446, "NA")</f>
        <v>NA</v>
      </c>
      <c r="V312" s="14"/>
      <c r="W312" s="12">
        <v>0.0</v>
      </c>
      <c r="X312" s="13" t="str">
        <f>IFERROR(W312/W446, "NA")</f>
        <v>NA</v>
      </c>
      <c r="Y312" s="14"/>
      <c r="Z312" s="12">
        <v>0.0</v>
      </c>
      <c r="AA312" s="13" t="str">
        <f>IFERROR(Z312/Z446, "NA")</f>
        <v>NA</v>
      </c>
      <c r="AB312" s="14"/>
      <c r="AC312" s="12">
        <v>0.0</v>
      </c>
      <c r="AD312" s="13" t="str">
        <f>IFERROR(AC312/AC446, "NA")</f>
        <v>NA</v>
      </c>
      <c r="AE312" s="14"/>
      <c r="AF312" s="12">
        <v>0.0</v>
      </c>
      <c r="AG312" s="13" t="str">
        <f>IFERROR(AF312/AF446, "NA")</f>
        <v>NA</v>
      </c>
      <c r="AH312" s="14"/>
      <c r="AI312" s="12">
        <v>0.0</v>
      </c>
      <c r="AJ312" s="13" t="str">
        <f>IFERROR(AI312/AI446, "NA")</f>
        <v>NA</v>
      </c>
      <c r="AK312" s="12"/>
      <c r="AL312" s="15">
        <f t="shared" si="45"/>
        <v>0</v>
      </c>
      <c r="AM312" s="13" t="str">
        <f>IFERROR(AL312/AL446, "NA")</f>
        <v>NA</v>
      </c>
      <c r="AN312" s="12"/>
      <c r="AO312" s="12">
        <v>0.0</v>
      </c>
      <c r="AP312" s="13" t="str">
        <f>IFERROR(AO312/AO446, "NA")</f>
        <v>NA</v>
      </c>
      <c r="AQ312" s="12"/>
      <c r="AR312" s="15">
        <f t="shared" si="46"/>
        <v>0</v>
      </c>
    </row>
    <row r="313" ht="30.75" hidden="1" customHeight="1">
      <c r="A313" s="11" t="s">
        <v>677</v>
      </c>
      <c r="B313" s="12">
        <v>0.0</v>
      </c>
      <c r="C313" s="13" t="str">
        <f>IFERROR(B313/B446, "NA")</f>
        <v>NA</v>
      </c>
      <c r="D313" s="14"/>
      <c r="E313" s="12">
        <v>0.0</v>
      </c>
      <c r="F313" s="13" t="str">
        <f>IFERROR(E313/E446, "NA")</f>
        <v>NA</v>
      </c>
      <c r="G313" s="14"/>
      <c r="H313" s="12">
        <v>0.0</v>
      </c>
      <c r="I313" s="13" t="str">
        <f>IFERROR(H313/H446, "NA")</f>
        <v>NA</v>
      </c>
      <c r="J313" s="14"/>
      <c r="K313" s="12">
        <v>0.0</v>
      </c>
      <c r="L313" s="13" t="str">
        <f>IFERROR(K313/K446, "NA")</f>
        <v>NA</v>
      </c>
      <c r="M313" s="14"/>
      <c r="N313" s="12">
        <v>0.0</v>
      </c>
      <c r="O313" s="13" t="str">
        <f>IFERROR(N313/N446, "NA")</f>
        <v>NA</v>
      </c>
      <c r="P313" s="14"/>
      <c r="Q313" s="12">
        <v>0.0</v>
      </c>
      <c r="R313" s="13" t="str">
        <f>IFERROR(Q313/Q446, "NA")</f>
        <v>NA</v>
      </c>
      <c r="S313" s="14"/>
      <c r="T313" s="12">
        <v>0.0</v>
      </c>
      <c r="U313" s="13" t="str">
        <f>IFERROR(T313/T446, "NA")</f>
        <v>NA</v>
      </c>
      <c r="V313" s="14"/>
      <c r="W313" s="12">
        <v>0.0</v>
      </c>
      <c r="X313" s="13" t="str">
        <f>IFERROR(W313/W446, "NA")</f>
        <v>NA</v>
      </c>
      <c r="Y313" s="14"/>
      <c r="Z313" s="12">
        <v>0.0</v>
      </c>
      <c r="AA313" s="13" t="str">
        <f>IFERROR(Z313/Z446, "NA")</f>
        <v>NA</v>
      </c>
      <c r="AB313" s="14"/>
      <c r="AC313" s="12">
        <v>0.0</v>
      </c>
      <c r="AD313" s="13" t="str">
        <f>IFERROR(AC313/AC446, "NA")</f>
        <v>NA</v>
      </c>
      <c r="AE313" s="14"/>
      <c r="AF313" s="12">
        <v>0.0</v>
      </c>
      <c r="AG313" s="13" t="str">
        <f>IFERROR(AF313/AF446, "NA")</f>
        <v>NA</v>
      </c>
      <c r="AH313" s="14"/>
      <c r="AI313" s="12">
        <v>0.0</v>
      </c>
      <c r="AJ313" s="13" t="str">
        <f>IFERROR(AI313/AI446, "NA")</f>
        <v>NA</v>
      </c>
      <c r="AK313" s="12"/>
      <c r="AL313" s="15">
        <f t="shared" si="45"/>
        <v>0</v>
      </c>
      <c r="AM313" s="13" t="str">
        <f>IFERROR(AL313/AL446, "NA")</f>
        <v>NA</v>
      </c>
      <c r="AN313" s="12"/>
      <c r="AO313" s="12">
        <v>0.0</v>
      </c>
      <c r="AP313" s="13" t="str">
        <f>IFERROR(AO313/AO446, "NA")</f>
        <v>NA</v>
      </c>
      <c r="AQ313" s="12"/>
      <c r="AR313" s="15">
        <f t="shared" si="46"/>
        <v>0</v>
      </c>
    </row>
    <row r="314" ht="16.5" hidden="1" customHeight="1">
      <c r="A314" s="11" t="s">
        <v>678</v>
      </c>
      <c r="B314" s="12">
        <v>0.0</v>
      </c>
      <c r="C314" s="13" t="str">
        <f>IFERROR(B314/B446, "NA")</f>
        <v>NA</v>
      </c>
      <c r="D314" s="14"/>
      <c r="E314" s="12">
        <v>0.0</v>
      </c>
      <c r="F314" s="13" t="str">
        <f>IFERROR(E314/E446, "NA")</f>
        <v>NA</v>
      </c>
      <c r="G314" s="14"/>
      <c r="H314" s="12">
        <v>0.0</v>
      </c>
      <c r="I314" s="13" t="str">
        <f>IFERROR(H314/H446, "NA")</f>
        <v>NA</v>
      </c>
      <c r="J314" s="14"/>
      <c r="K314" s="12">
        <v>0.0</v>
      </c>
      <c r="L314" s="13" t="str">
        <f>IFERROR(K314/K446, "NA")</f>
        <v>NA</v>
      </c>
      <c r="M314" s="14"/>
      <c r="N314" s="12">
        <v>0.0</v>
      </c>
      <c r="O314" s="13" t="str">
        <f>IFERROR(N314/N446, "NA")</f>
        <v>NA</v>
      </c>
      <c r="P314" s="14"/>
      <c r="Q314" s="12">
        <v>0.0</v>
      </c>
      <c r="R314" s="13" t="str">
        <f>IFERROR(Q314/Q446, "NA")</f>
        <v>NA</v>
      </c>
      <c r="S314" s="14"/>
      <c r="T314" s="12">
        <v>0.0</v>
      </c>
      <c r="U314" s="13" t="str">
        <f>IFERROR(T314/T446, "NA")</f>
        <v>NA</v>
      </c>
      <c r="V314" s="14"/>
      <c r="W314" s="12">
        <v>0.0</v>
      </c>
      <c r="X314" s="13" t="str">
        <f>IFERROR(W314/W446, "NA")</f>
        <v>NA</v>
      </c>
      <c r="Y314" s="14"/>
      <c r="Z314" s="12">
        <v>0.0</v>
      </c>
      <c r="AA314" s="13" t="str">
        <f>IFERROR(Z314/Z446, "NA")</f>
        <v>NA</v>
      </c>
      <c r="AB314" s="14"/>
      <c r="AC314" s="12">
        <v>0.0</v>
      </c>
      <c r="AD314" s="13" t="str">
        <f>IFERROR(AC314/AC446, "NA")</f>
        <v>NA</v>
      </c>
      <c r="AE314" s="14"/>
      <c r="AF314" s="12">
        <v>0.0</v>
      </c>
      <c r="AG314" s="13" t="str">
        <f>IFERROR(AF314/AF446, "NA")</f>
        <v>NA</v>
      </c>
      <c r="AH314" s="14"/>
      <c r="AI314" s="12">
        <v>0.0</v>
      </c>
      <c r="AJ314" s="13" t="str">
        <f>IFERROR(AI314/AI446, "NA")</f>
        <v>NA</v>
      </c>
      <c r="AK314" s="12"/>
      <c r="AL314" s="15">
        <f t="shared" si="45"/>
        <v>0</v>
      </c>
      <c r="AM314" s="13" t="str">
        <f>IFERROR(AL314/AL446, "NA")</f>
        <v>NA</v>
      </c>
      <c r="AN314" s="12"/>
      <c r="AO314" s="12">
        <v>0.0</v>
      </c>
      <c r="AP314" s="13" t="str">
        <f>IFERROR(AO314/AO446, "NA")</f>
        <v>NA</v>
      </c>
      <c r="AQ314" s="12"/>
      <c r="AR314" s="15">
        <f t="shared" si="46"/>
        <v>0</v>
      </c>
    </row>
    <row r="315" ht="16.5" hidden="1" customHeight="1">
      <c r="A315" s="11" t="s">
        <v>679</v>
      </c>
      <c r="B315" s="12">
        <v>0.0</v>
      </c>
      <c r="C315" s="13" t="str">
        <f>IFERROR(B315/B446, "NA")</f>
        <v>NA</v>
      </c>
      <c r="D315" s="14"/>
      <c r="E315" s="12">
        <v>0.0</v>
      </c>
      <c r="F315" s="13" t="str">
        <f>IFERROR(E315/E446, "NA")</f>
        <v>NA</v>
      </c>
      <c r="G315" s="14"/>
      <c r="H315" s="12">
        <v>0.0</v>
      </c>
      <c r="I315" s="13" t="str">
        <f>IFERROR(H315/H446, "NA")</f>
        <v>NA</v>
      </c>
      <c r="J315" s="14"/>
      <c r="K315" s="12">
        <v>0.0</v>
      </c>
      <c r="L315" s="13" t="str">
        <f>IFERROR(K315/K446, "NA")</f>
        <v>NA</v>
      </c>
      <c r="M315" s="14"/>
      <c r="N315" s="12">
        <v>0.0</v>
      </c>
      <c r="O315" s="13" t="str">
        <f>IFERROR(N315/N446, "NA")</f>
        <v>NA</v>
      </c>
      <c r="P315" s="14"/>
      <c r="Q315" s="12">
        <v>0.0</v>
      </c>
      <c r="R315" s="13" t="str">
        <f>IFERROR(Q315/Q446, "NA")</f>
        <v>NA</v>
      </c>
      <c r="S315" s="14"/>
      <c r="T315" s="12">
        <v>0.0</v>
      </c>
      <c r="U315" s="13" t="str">
        <f>IFERROR(T315/T446, "NA")</f>
        <v>NA</v>
      </c>
      <c r="V315" s="14"/>
      <c r="W315" s="12">
        <v>0.0</v>
      </c>
      <c r="X315" s="13" t="str">
        <f>IFERROR(W315/W446, "NA")</f>
        <v>NA</v>
      </c>
      <c r="Y315" s="14"/>
      <c r="Z315" s="12">
        <v>0.0</v>
      </c>
      <c r="AA315" s="13" t="str">
        <f>IFERROR(Z315/Z446, "NA")</f>
        <v>NA</v>
      </c>
      <c r="AB315" s="14"/>
      <c r="AC315" s="12">
        <v>0.0</v>
      </c>
      <c r="AD315" s="13" t="str">
        <f>IFERROR(AC315/AC446, "NA")</f>
        <v>NA</v>
      </c>
      <c r="AE315" s="14"/>
      <c r="AF315" s="12">
        <v>0.0</v>
      </c>
      <c r="AG315" s="13" t="str">
        <f>IFERROR(AF315/AF446, "NA")</f>
        <v>NA</v>
      </c>
      <c r="AH315" s="14"/>
      <c r="AI315" s="12">
        <v>0.0</v>
      </c>
      <c r="AJ315" s="13" t="str">
        <f>IFERROR(AI315/AI446, "NA")</f>
        <v>NA</v>
      </c>
      <c r="AK315" s="12"/>
      <c r="AL315" s="15">
        <f t="shared" si="45"/>
        <v>0</v>
      </c>
      <c r="AM315" s="13" t="str">
        <f>IFERROR(AL315/AL446, "NA")</f>
        <v>NA</v>
      </c>
      <c r="AN315" s="12"/>
      <c r="AO315" s="12">
        <v>0.0</v>
      </c>
      <c r="AP315" s="13" t="str">
        <f>IFERROR(AO315/AO446, "NA")</f>
        <v>NA</v>
      </c>
      <c r="AQ315" s="12"/>
      <c r="AR315" s="15">
        <f t="shared" si="46"/>
        <v>0</v>
      </c>
    </row>
    <row r="316" ht="16.5" hidden="1" customHeight="1">
      <c r="A316" s="11" t="s">
        <v>680</v>
      </c>
      <c r="B316" s="12">
        <v>0.0</v>
      </c>
      <c r="C316" s="13" t="str">
        <f>IFERROR(B316/B446, "NA")</f>
        <v>NA</v>
      </c>
      <c r="D316" s="14"/>
      <c r="E316" s="12">
        <v>0.0</v>
      </c>
      <c r="F316" s="13" t="str">
        <f>IFERROR(E316/E446, "NA")</f>
        <v>NA</v>
      </c>
      <c r="G316" s="14"/>
      <c r="H316" s="12">
        <v>0.0</v>
      </c>
      <c r="I316" s="13" t="str">
        <f>IFERROR(H316/H446, "NA")</f>
        <v>NA</v>
      </c>
      <c r="J316" s="14"/>
      <c r="K316" s="12">
        <v>0.0</v>
      </c>
      <c r="L316" s="13" t="str">
        <f>IFERROR(K316/K446, "NA")</f>
        <v>NA</v>
      </c>
      <c r="M316" s="14"/>
      <c r="N316" s="12">
        <v>0.0</v>
      </c>
      <c r="O316" s="13" t="str">
        <f>IFERROR(N316/N446, "NA")</f>
        <v>NA</v>
      </c>
      <c r="P316" s="14"/>
      <c r="Q316" s="12">
        <v>0.0</v>
      </c>
      <c r="R316" s="13" t="str">
        <f>IFERROR(Q316/Q446, "NA")</f>
        <v>NA</v>
      </c>
      <c r="S316" s="14"/>
      <c r="T316" s="12">
        <v>0.0</v>
      </c>
      <c r="U316" s="13" t="str">
        <f>IFERROR(T316/T446, "NA")</f>
        <v>NA</v>
      </c>
      <c r="V316" s="14"/>
      <c r="W316" s="12">
        <v>0.0</v>
      </c>
      <c r="X316" s="13" t="str">
        <f>IFERROR(W316/W446, "NA")</f>
        <v>NA</v>
      </c>
      <c r="Y316" s="14"/>
      <c r="Z316" s="12">
        <v>0.0</v>
      </c>
      <c r="AA316" s="13" t="str">
        <f>IFERROR(Z316/Z446, "NA")</f>
        <v>NA</v>
      </c>
      <c r="AB316" s="14"/>
      <c r="AC316" s="12">
        <v>0.0</v>
      </c>
      <c r="AD316" s="13" t="str">
        <f>IFERROR(AC316/AC446, "NA")</f>
        <v>NA</v>
      </c>
      <c r="AE316" s="14"/>
      <c r="AF316" s="12">
        <v>0.0</v>
      </c>
      <c r="AG316" s="13" t="str">
        <f>IFERROR(AF316/AF446, "NA")</f>
        <v>NA</v>
      </c>
      <c r="AH316" s="14"/>
      <c r="AI316" s="12">
        <v>0.0</v>
      </c>
      <c r="AJ316" s="13" t="str">
        <f>IFERROR(AI316/AI446, "NA")</f>
        <v>NA</v>
      </c>
      <c r="AK316" s="12"/>
      <c r="AL316" s="15">
        <f t="shared" si="45"/>
        <v>0</v>
      </c>
      <c r="AM316" s="13" t="str">
        <f>IFERROR(AL316/AL446, "NA")</f>
        <v>NA</v>
      </c>
      <c r="AN316" s="12"/>
      <c r="AO316" s="12">
        <v>0.0</v>
      </c>
      <c r="AP316" s="13" t="str">
        <f>IFERROR(AO316/AO446, "NA")</f>
        <v>NA</v>
      </c>
      <c r="AQ316" s="12"/>
      <c r="AR316" s="15">
        <f t="shared" si="46"/>
        <v>0</v>
      </c>
    </row>
    <row r="317" ht="16.5" hidden="1" customHeight="1">
      <c r="A317" s="11" t="s">
        <v>681</v>
      </c>
      <c r="B317" s="12">
        <v>0.0</v>
      </c>
      <c r="C317" s="13" t="str">
        <f>IFERROR(B317/B446, "NA")</f>
        <v>NA</v>
      </c>
      <c r="D317" s="14"/>
      <c r="E317" s="12">
        <v>0.0</v>
      </c>
      <c r="F317" s="13" t="str">
        <f>IFERROR(E317/E446, "NA")</f>
        <v>NA</v>
      </c>
      <c r="G317" s="14"/>
      <c r="H317" s="12">
        <v>0.0</v>
      </c>
      <c r="I317" s="13" t="str">
        <f>IFERROR(H317/H446, "NA")</f>
        <v>NA</v>
      </c>
      <c r="J317" s="14"/>
      <c r="K317" s="12">
        <v>0.0</v>
      </c>
      <c r="L317" s="13" t="str">
        <f>IFERROR(K317/K446, "NA")</f>
        <v>NA</v>
      </c>
      <c r="M317" s="14"/>
      <c r="N317" s="12">
        <v>0.0</v>
      </c>
      <c r="O317" s="13" t="str">
        <f>IFERROR(N317/N446, "NA")</f>
        <v>NA</v>
      </c>
      <c r="P317" s="14"/>
      <c r="Q317" s="12">
        <v>0.0</v>
      </c>
      <c r="R317" s="13" t="str">
        <f>IFERROR(Q317/Q446, "NA")</f>
        <v>NA</v>
      </c>
      <c r="S317" s="14"/>
      <c r="T317" s="12">
        <v>0.0</v>
      </c>
      <c r="U317" s="13" t="str">
        <f>IFERROR(T317/T446, "NA")</f>
        <v>NA</v>
      </c>
      <c r="V317" s="14"/>
      <c r="W317" s="12">
        <v>0.0</v>
      </c>
      <c r="X317" s="13" t="str">
        <f>IFERROR(W317/W446, "NA")</f>
        <v>NA</v>
      </c>
      <c r="Y317" s="14"/>
      <c r="Z317" s="12">
        <v>0.0</v>
      </c>
      <c r="AA317" s="13" t="str">
        <f>IFERROR(Z317/Z446, "NA")</f>
        <v>NA</v>
      </c>
      <c r="AB317" s="14"/>
      <c r="AC317" s="12">
        <v>0.0</v>
      </c>
      <c r="AD317" s="13" t="str">
        <f>IFERROR(AC317/AC446, "NA")</f>
        <v>NA</v>
      </c>
      <c r="AE317" s="14"/>
      <c r="AF317" s="12">
        <v>0.0</v>
      </c>
      <c r="AG317" s="13" t="str">
        <f>IFERROR(AF317/AF446, "NA")</f>
        <v>NA</v>
      </c>
      <c r="AH317" s="14"/>
      <c r="AI317" s="12">
        <v>0.0</v>
      </c>
      <c r="AJ317" s="13" t="str">
        <f>IFERROR(AI317/AI446, "NA")</f>
        <v>NA</v>
      </c>
      <c r="AK317" s="12"/>
      <c r="AL317" s="15">
        <f t="shared" si="45"/>
        <v>0</v>
      </c>
      <c r="AM317" s="13" t="str">
        <f>IFERROR(AL317/AL446, "NA")</f>
        <v>NA</v>
      </c>
      <c r="AN317" s="12"/>
      <c r="AO317" s="12">
        <v>0.0</v>
      </c>
      <c r="AP317" s="13" t="str">
        <f>IFERROR(AO317/AO446, "NA")</f>
        <v>NA</v>
      </c>
      <c r="AQ317" s="12"/>
      <c r="AR317" s="15">
        <f t="shared" si="46"/>
        <v>0</v>
      </c>
    </row>
    <row r="318" ht="16.5" hidden="1" customHeight="1">
      <c r="A318" s="11" t="s">
        <v>682</v>
      </c>
      <c r="B318" s="12">
        <v>0.0</v>
      </c>
      <c r="C318" s="13" t="str">
        <f>IFERROR(B318/B446, "NA")</f>
        <v>NA</v>
      </c>
      <c r="D318" s="14"/>
      <c r="E318" s="12">
        <v>0.0</v>
      </c>
      <c r="F318" s="13" t="str">
        <f>IFERROR(E318/E446, "NA")</f>
        <v>NA</v>
      </c>
      <c r="G318" s="14"/>
      <c r="H318" s="12">
        <v>0.0</v>
      </c>
      <c r="I318" s="13" t="str">
        <f>IFERROR(H318/H446, "NA")</f>
        <v>NA</v>
      </c>
      <c r="J318" s="14"/>
      <c r="K318" s="12">
        <v>0.0</v>
      </c>
      <c r="L318" s="13" t="str">
        <f>IFERROR(K318/K446, "NA")</f>
        <v>NA</v>
      </c>
      <c r="M318" s="14"/>
      <c r="N318" s="12">
        <v>0.0</v>
      </c>
      <c r="O318" s="13" t="str">
        <f>IFERROR(N318/N446, "NA")</f>
        <v>NA</v>
      </c>
      <c r="P318" s="14"/>
      <c r="Q318" s="12">
        <v>0.0</v>
      </c>
      <c r="R318" s="13" t="str">
        <f>IFERROR(Q318/Q446, "NA")</f>
        <v>NA</v>
      </c>
      <c r="S318" s="14"/>
      <c r="T318" s="12">
        <v>0.0</v>
      </c>
      <c r="U318" s="13" t="str">
        <f>IFERROR(T318/T446, "NA")</f>
        <v>NA</v>
      </c>
      <c r="V318" s="14"/>
      <c r="W318" s="12">
        <v>0.0</v>
      </c>
      <c r="X318" s="13" t="str">
        <f>IFERROR(W318/W446, "NA")</f>
        <v>NA</v>
      </c>
      <c r="Y318" s="14"/>
      <c r="Z318" s="12">
        <v>0.0</v>
      </c>
      <c r="AA318" s="13" t="str">
        <f>IFERROR(Z318/Z446, "NA")</f>
        <v>NA</v>
      </c>
      <c r="AB318" s="14"/>
      <c r="AC318" s="12">
        <v>0.0</v>
      </c>
      <c r="AD318" s="13" t="str">
        <f>IFERROR(AC318/AC446, "NA")</f>
        <v>NA</v>
      </c>
      <c r="AE318" s="14"/>
      <c r="AF318" s="12">
        <v>0.0</v>
      </c>
      <c r="AG318" s="13" t="str">
        <f>IFERROR(AF318/AF446, "NA")</f>
        <v>NA</v>
      </c>
      <c r="AH318" s="14"/>
      <c r="AI318" s="12">
        <v>0.0</v>
      </c>
      <c r="AJ318" s="13" t="str">
        <f>IFERROR(AI318/AI446, "NA")</f>
        <v>NA</v>
      </c>
      <c r="AK318" s="12"/>
      <c r="AL318" s="15">
        <f t="shared" si="45"/>
        <v>0</v>
      </c>
      <c r="AM318" s="13" t="str">
        <f>IFERROR(AL318/AL446, "NA")</f>
        <v>NA</v>
      </c>
      <c r="AN318" s="12"/>
      <c r="AO318" s="12">
        <v>0.0</v>
      </c>
      <c r="AP318" s="13" t="str">
        <f>IFERROR(AO318/AO446, "NA")</f>
        <v>NA</v>
      </c>
      <c r="AQ318" s="12"/>
      <c r="AR318" s="15">
        <f t="shared" si="46"/>
        <v>0</v>
      </c>
    </row>
    <row r="319" ht="16.5" hidden="1" customHeight="1">
      <c r="A319" s="11" t="s">
        <v>683</v>
      </c>
      <c r="B319" s="12">
        <v>0.0</v>
      </c>
      <c r="C319" s="13" t="str">
        <f>IFERROR(B319/B446, "NA")</f>
        <v>NA</v>
      </c>
      <c r="D319" s="14"/>
      <c r="E319" s="12">
        <v>0.0</v>
      </c>
      <c r="F319" s="13" t="str">
        <f>IFERROR(E319/E446, "NA")</f>
        <v>NA</v>
      </c>
      <c r="G319" s="14"/>
      <c r="H319" s="12">
        <v>0.0</v>
      </c>
      <c r="I319" s="13" t="str">
        <f>IFERROR(H319/H446, "NA")</f>
        <v>NA</v>
      </c>
      <c r="J319" s="14"/>
      <c r="K319" s="12">
        <v>0.0</v>
      </c>
      <c r="L319" s="13" t="str">
        <f>IFERROR(K319/K446, "NA")</f>
        <v>NA</v>
      </c>
      <c r="M319" s="14"/>
      <c r="N319" s="12">
        <v>0.0</v>
      </c>
      <c r="O319" s="13" t="str">
        <f>IFERROR(N319/N446, "NA")</f>
        <v>NA</v>
      </c>
      <c r="P319" s="14"/>
      <c r="Q319" s="12">
        <v>0.0</v>
      </c>
      <c r="R319" s="13" t="str">
        <f>IFERROR(Q319/Q446, "NA")</f>
        <v>NA</v>
      </c>
      <c r="S319" s="14"/>
      <c r="T319" s="12">
        <v>0.0</v>
      </c>
      <c r="U319" s="13" t="str">
        <f>IFERROR(T319/T446, "NA")</f>
        <v>NA</v>
      </c>
      <c r="V319" s="14"/>
      <c r="W319" s="12">
        <v>0.0</v>
      </c>
      <c r="X319" s="13" t="str">
        <f>IFERROR(W319/W446, "NA")</f>
        <v>NA</v>
      </c>
      <c r="Y319" s="14"/>
      <c r="Z319" s="12">
        <v>0.0</v>
      </c>
      <c r="AA319" s="13" t="str">
        <f>IFERROR(Z319/Z446, "NA")</f>
        <v>NA</v>
      </c>
      <c r="AB319" s="14"/>
      <c r="AC319" s="12">
        <v>0.0</v>
      </c>
      <c r="AD319" s="13" t="str">
        <f>IFERROR(AC319/AC446, "NA")</f>
        <v>NA</v>
      </c>
      <c r="AE319" s="14"/>
      <c r="AF319" s="12">
        <v>0.0</v>
      </c>
      <c r="AG319" s="13" t="str">
        <f>IFERROR(AF319/AF446, "NA")</f>
        <v>NA</v>
      </c>
      <c r="AH319" s="14"/>
      <c r="AI319" s="12">
        <v>0.0</v>
      </c>
      <c r="AJ319" s="13" t="str">
        <f>IFERROR(AI319/AI446, "NA")</f>
        <v>NA</v>
      </c>
      <c r="AK319" s="12"/>
      <c r="AL319" s="15">
        <f t="shared" si="45"/>
        <v>0</v>
      </c>
      <c r="AM319" s="13" t="str">
        <f>IFERROR(AL319/AL446, "NA")</f>
        <v>NA</v>
      </c>
      <c r="AN319" s="12"/>
      <c r="AO319" s="12">
        <v>0.0</v>
      </c>
      <c r="AP319" s="13" t="str">
        <f>IFERROR(AO319/AO446, "NA")</f>
        <v>NA</v>
      </c>
      <c r="AQ319" s="12"/>
      <c r="AR319" s="15">
        <f t="shared" si="46"/>
        <v>0</v>
      </c>
    </row>
    <row r="320" ht="16.5" hidden="1" customHeight="1">
      <c r="A320" s="11" t="s">
        <v>684</v>
      </c>
      <c r="B320" s="12">
        <v>0.0</v>
      </c>
      <c r="C320" s="13" t="str">
        <f>IFERROR(B320/B446, "NA")</f>
        <v>NA</v>
      </c>
      <c r="D320" s="14"/>
      <c r="E320" s="12">
        <v>0.0</v>
      </c>
      <c r="F320" s="13" t="str">
        <f>IFERROR(E320/E446, "NA")</f>
        <v>NA</v>
      </c>
      <c r="G320" s="14"/>
      <c r="H320" s="12">
        <v>0.0</v>
      </c>
      <c r="I320" s="13" t="str">
        <f>IFERROR(H320/H446, "NA")</f>
        <v>NA</v>
      </c>
      <c r="J320" s="14"/>
      <c r="K320" s="12">
        <v>0.0</v>
      </c>
      <c r="L320" s="13" t="str">
        <f>IFERROR(K320/K446, "NA")</f>
        <v>NA</v>
      </c>
      <c r="M320" s="14"/>
      <c r="N320" s="12">
        <v>0.0</v>
      </c>
      <c r="O320" s="13" t="str">
        <f>IFERROR(N320/N446, "NA")</f>
        <v>NA</v>
      </c>
      <c r="P320" s="14"/>
      <c r="Q320" s="12">
        <v>0.0</v>
      </c>
      <c r="R320" s="13" t="str">
        <f>IFERROR(Q320/Q446, "NA")</f>
        <v>NA</v>
      </c>
      <c r="S320" s="14"/>
      <c r="T320" s="12">
        <v>0.0</v>
      </c>
      <c r="U320" s="13" t="str">
        <f>IFERROR(T320/T446, "NA")</f>
        <v>NA</v>
      </c>
      <c r="V320" s="14"/>
      <c r="W320" s="12">
        <v>0.0</v>
      </c>
      <c r="X320" s="13" t="str">
        <f>IFERROR(W320/W446, "NA")</f>
        <v>NA</v>
      </c>
      <c r="Y320" s="14"/>
      <c r="Z320" s="12">
        <v>0.0</v>
      </c>
      <c r="AA320" s="13" t="str">
        <f>IFERROR(Z320/Z446, "NA")</f>
        <v>NA</v>
      </c>
      <c r="AB320" s="14"/>
      <c r="AC320" s="12">
        <v>0.0</v>
      </c>
      <c r="AD320" s="13" t="str">
        <f>IFERROR(AC320/AC446, "NA")</f>
        <v>NA</v>
      </c>
      <c r="AE320" s="14"/>
      <c r="AF320" s="12">
        <v>0.0</v>
      </c>
      <c r="AG320" s="13" t="str">
        <f>IFERROR(AF320/AF446, "NA")</f>
        <v>NA</v>
      </c>
      <c r="AH320" s="14"/>
      <c r="AI320" s="12">
        <v>0.0</v>
      </c>
      <c r="AJ320" s="13" t="str">
        <f>IFERROR(AI320/AI446, "NA")</f>
        <v>NA</v>
      </c>
      <c r="AK320" s="12"/>
      <c r="AL320" s="15">
        <f t="shared" si="45"/>
        <v>0</v>
      </c>
      <c r="AM320" s="13" t="str">
        <f>IFERROR(AL320/AL446, "NA")</f>
        <v>NA</v>
      </c>
      <c r="AN320" s="12"/>
      <c r="AO320" s="12">
        <v>0.0</v>
      </c>
      <c r="AP320" s="13" t="str">
        <f>IFERROR(AO320/AO446, "NA")</f>
        <v>NA</v>
      </c>
      <c r="AQ320" s="12"/>
      <c r="AR320" s="15">
        <f t="shared" si="46"/>
        <v>0</v>
      </c>
    </row>
    <row r="321" ht="16.5" hidden="1" customHeight="1">
      <c r="A321" s="11" t="s">
        <v>685</v>
      </c>
      <c r="B321" s="12">
        <v>0.0</v>
      </c>
      <c r="C321" s="13" t="str">
        <f>IFERROR(B321/B446, "NA")</f>
        <v>NA</v>
      </c>
      <c r="D321" s="14"/>
      <c r="E321" s="12">
        <v>0.0</v>
      </c>
      <c r="F321" s="13" t="str">
        <f>IFERROR(E321/E446, "NA")</f>
        <v>NA</v>
      </c>
      <c r="G321" s="14"/>
      <c r="H321" s="12">
        <v>0.0</v>
      </c>
      <c r="I321" s="13" t="str">
        <f>IFERROR(H321/H446, "NA")</f>
        <v>NA</v>
      </c>
      <c r="J321" s="14"/>
      <c r="K321" s="12">
        <v>0.0</v>
      </c>
      <c r="L321" s="13" t="str">
        <f>IFERROR(K321/K446, "NA")</f>
        <v>NA</v>
      </c>
      <c r="M321" s="14"/>
      <c r="N321" s="12">
        <v>0.0</v>
      </c>
      <c r="O321" s="13" t="str">
        <f>IFERROR(N321/N446, "NA")</f>
        <v>NA</v>
      </c>
      <c r="P321" s="14"/>
      <c r="Q321" s="12">
        <v>0.0</v>
      </c>
      <c r="R321" s="13" t="str">
        <f>IFERROR(Q321/Q446, "NA")</f>
        <v>NA</v>
      </c>
      <c r="S321" s="14"/>
      <c r="T321" s="12">
        <v>0.0</v>
      </c>
      <c r="U321" s="13" t="str">
        <f>IFERROR(T321/T446, "NA")</f>
        <v>NA</v>
      </c>
      <c r="V321" s="14"/>
      <c r="W321" s="12">
        <v>0.0</v>
      </c>
      <c r="X321" s="13" t="str">
        <f>IFERROR(W321/W446, "NA")</f>
        <v>NA</v>
      </c>
      <c r="Y321" s="14"/>
      <c r="Z321" s="12">
        <v>0.0</v>
      </c>
      <c r="AA321" s="13" t="str">
        <f>IFERROR(Z321/Z446, "NA")</f>
        <v>NA</v>
      </c>
      <c r="AB321" s="14"/>
      <c r="AC321" s="12">
        <v>0.0</v>
      </c>
      <c r="AD321" s="13" t="str">
        <f>IFERROR(AC321/AC446, "NA")</f>
        <v>NA</v>
      </c>
      <c r="AE321" s="14"/>
      <c r="AF321" s="12">
        <v>0.0</v>
      </c>
      <c r="AG321" s="13" t="str">
        <f>IFERROR(AF321/AF446, "NA")</f>
        <v>NA</v>
      </c>
      <c r="AH321" s="14"/>
      <c r="AI321" s="12">
        <v>0.0</v>
      </c>
      <c r="AJ321" s="13" t="str">
        <f>IFERROR(AI321/AI446, "NA")</f>
        <v>NA</v>
      </c>
      <c r="AK321" s="12"/>
      <c r="AL321" s="15">
        <f t="shared" si="45"/>
        <v>0</v>
      </c>
      <c r="AM321" s="13" t="str">
        <f>IFERROR(AL321/AL446, "NA")</f>
        <v>NA</v>
      </c>
      <c r="AN321" s="12"/>
      <c r="AO321" s="12">
        <v>0.0</v>
      </c>
      <c r="AP321" s="13" t="str">
        <f>IFERROR(AO321/AO446, "NA")</f>
        <v>NA</v>
      </c>
      <c r="AQ321" s="12"/>
      <c r="AR321" s="15">
        <f t="shared" si="46"/>
        <v>0</v>
      </c>
    </row>
    <row r="322" ht="16.5" hidden="1" customHeight="1">
      <c r="A322" s="11" t="s">
        <v>686</v>
      </c>
      <c r="B322" s="12">
        <v>0.0</v>
      </c>
      <c r="C322" s="13" t="str">
        <f>IFERROR(B322/B446, "NA")</f>
        <v>NA</v>
      </c>
      <c r="D322" s="14"/>
      <c r="E322" s="12">
        <v>0.0</v>
      </c>
      <c r="F322" s="13" t="str">
        <f>IFERROR(E322/E446, "NA")</f>
        <v>NA</v>
      </c>
      <c r="G322" s="14"/>
      <c r="H322" s="12">
        <v>0.0</v>
      </c>
      <c r="I322" s="13" t="str">
        <f>IFERROR(H322/H446, "NA")</f>
        <v>NA</v>
      </c>
      <c r="J322" s="14"/>
      <c r="K322" s="12">
        <v>0.0</v>
      </c>
      <c r="L322" s="13" t="str">
        <f>IFERROR(K322/K446, "NA")</f>
        <v>NA</v>
      </c>
      <c r="M322" s="14"/>
      <c r="N322" s="12">
        <v>0.0</v>
      </c>
      <c r="O322" s="13" t="str">
        <f>IFERROR(N322/N446, "NA")</f>
        <v>NA</v>
      </c>
      <c r="P322" s="14"/>
      <c r="Q322" s="12">
        <v>0.0</v>
      </c>
      <c r="R322" s="13" t="str">
        <f>IFERROR(Q322/Q446, "NA")</f>
        <v>NA</v>
      </c>
      <c r="S322" s="14"/>
      <c r="T322" s="12">
        <v>0.0</v>
      </c>
      <c r="U322" s="13" t="str">
        <f>IFERROR(T322/T446, "NA")</f>
        <v>NA</v>
      </c>
      <c r="V322" s="14"/>
      <c r="W322" s="12">
        <v>0.0</v>
      </c>
      <c r="X322" s="13" t="str">
        <f>IFERROR(W322/W446, "NA")</f>
        <v>NA</v>
      </c>
      <c r="Y322" s="14"/>
      <c r="Z322" s="12">
        <v>0.0</v>
      </c>
      <c r="AA322" s="13" t="str">
        <f>IFERROR(Z322/Z446, "NA")</f>
        <v>NA</v>
      </c>
      <c r="AB322" s="14"/>
      <c r="AC322" s="12">
        <v>0.0</v>
      </c>
      <c r="AD322" s="13" t="str">
        <f>IFERROR(AC322/AC446, "NA")</f>
        <v>NA</v>
      </c>
      <c r="AE322" s="14"/>
      <c r="AF322" s="12">
        <v>0.0</v>
      </c>
      <c r="AG322" s="13" t="str">
        <f>IFERROR(AF322/AF446, "NA")</f>
        <v>NA</v>
      </c>
      <c r="AH322" s="14"/>
      <c r="AI322" s="12">
        <v>0.0</v>
      </c>
      <c r="AJ322" s="13" t="str">
        <f>IFERROR(AI322/AI446, "NA")</f>
        <v>NA</v>
      </c>
      <c r="AK322" s="12"/>
      <c r="AL322" s="15">
        <f t="shared" si="45"/>
        <v>0</v>
      </c>
      <c r="AM322" s="13" t="str">
        <f>IFERROR(AL322/AL446, "NA")</f>
        <v>NA</v>
      </c>
      <c r="AN322" s="12"/>
      <c r="AO322" s="12">
        <v>0.0</v>
      </c>
      <c r="AP322" s="13" t="str">
        <f>IFERROR(AO322/AO446, "NA")</f>
        <v>NA</v>
      </c>
      <c r="AQ322" s="12"/>
      <c r="AR322" s="15">
        <f t="shared" si="46"/>
        <v>0</v>
      </c>
    </row>
    <row r="323" ht="16.5" hidden="1" customHeight="1">
      <c r="A323" s="11" t="s">
        <v>687</v>
      </c>
      <c r="B323" s="12">
        <v>0.0</v>
      </c>
      <c r="C323" s="13" t="str">
        <f>IFERROR(B323/B446, "NA")</f>
        <v>NA</v>
      </c>
      <c r="D323" s="14"/>
      <c r="E323" s="12">
        <v>0.0</v>
      </c>
      <c r="F323" s="13" t="str">
        <f>IFERROR(E323/E446, "NA")</f>
        <v>NA</v>
      </c>
      <c r="G323" s="14"/>
      <c r="H323" s="12">
        <v>0.0</v>
      </c>
      <c r="I323" s="13" t="str">
        <f>IFERROR(H323/H446, "NA")</f>
        <v>NA</v>
      </c>
      <c r="J323" s="14"/>
      <c r="K323" s="12">
        <v>0.0</v>
      </c>
      <c r="L323" s="13" t="str">
        <f>IFERROR(K323/K446, "NA")</f>
        <v>NA</v>
      </c>
      <c r="M323" s="14"/>
      <c r="N323" s="12">
        <v>0.0</v>
      </c>
      <c r="O323" s="13" t="str">
        <f>IFERROR(N323/N446, "NA")</f>
        <v>NA</v>
      </c>
      <c r="P323" s="14"/>
      <c r="Q323" s="12">
        <v>0.0</v>
      </c>
      <c r="R323" s="13" t="str">
        <f>IFERROR(Q323/Q446, "NA")</f>
        <v>NA</v>
      </c>
      <c r="S323" s="14"/>
      <c r="T323" s="12">
        <v>0.0</v>
      </c>
      <c r="U323" s="13" t="str">
        <f>IFERROR(T323/T446, "NA")</f>
        <v>NA</v>
      </c>
      <c r="V323" s="14"/>
      <c r="W323" s="12">
        <v>0.0</v>
      </c>
      <c r="X323" s="13" t="str">
        <f>IFERROR(W323/W446, "NA")</f>
        <v>NA</v>
      </c>
      <c r="Y323" s="14"/>
      <c r="Z323" s="12">
        <v>0.0</v>
      </c>
      <c r="AA323" s="13" t="str">
        <f>IFERROR(Z323/Z446, "NA")</f>
        <v>NA</v>
      </c>
      <c r="AB323" s="14"/>
      <c r="AC323" s="12">
        <v>0.0</v>
      </c>
      <c r="AD323" s="13" t="str">
        <f>IFERROR(AC323/AC446, "NA")</f>
        <v>NA</v>
      </c>
      <c r="AE323" s="14"/>
      <c r="AF323" s="12">
        <v>0.0</v>
      </c>
      <c r="AG323" s="13" t="str">
        <f>IFERROR(AF323/AF446, "NA")</f>
        <v>NA</v>
      </c>
      <c r="AH323" s="14"/>
      <c r="AI323" s="12">
        <v>0.0</v>
      </c>
      <c r="AJ323" s="13" t="str">
        <f>IFERROR(AI323/AI446, "NA")</f>
        <v>NA</v>
      </c>
      <c r="AK323" s="12"/>
      <c r="AL323" s="15">
        <f t="shared" si="45"/>
        <v>0</v>
      </c>
      <c r="AM323" s="13" t="str">
        <f>IFERROR(AL323/AL446, "NA")</f>
        <v>NA</v>
      </c>
      <c r="AN323" s="12"/>
      <c r="AO323" s="12">
        <v>0.0</v>
      </c>
      <c r="AP323" s="13" t="str">
        <f>IFERROR(AO323/AO446, "NA")</f>
        <v>NA</v>
      </c>
      <c r="AQ323" s="12"/>
      <c r="AR323" s="15">
        <f t="shared" si="46"/>
        <v>0</v>
      </c>
    </row>
    <row r="324" ht="16.5" hidden="1" customHeight="1">
      <c r="A324" s="11" t="s">
        <v>688</v>
      </c>
      <c r="B324" s="12">
        <v>0.0</v>
      </c>
      <c r="C324" s="13" t="str">
        <f>IFERROR(B324/B446, "NA")</f>
        <v>NA</v>
      </c>
      <c r="D324" s="14"/>
      <c r="E324" s="12">
        <v>0.0</v>
      </c>
      <c r="F324" s="13" t="str">
        <f>IFERROR(E324/E446, "NA")</f>
        <v>NA</v>
      </c>
      <c r="G324" s="14"/>
      <c r="H324" s="12">
        <v>0.0</v>
      </c>
      <c r="I324" s="13" t="str">
        <f>IFERROR(H324/H446, "NA")</f>
        <v>NA</v>
      </c>
      <c r="J324" s="14"/>
      <c r="K324" s="12">
        <v>0.0</v>
      </c>
      <c r="L324" s="13" t="str">
        <f>IFERROR(K324/K446, "NA")</f>
        <v>NA</v>
      </c>
      <c r="M324" s="14"/>
      <c r="N324" s="12">
        <v>0.0</v>
      </c>
      <c r="O324" s="13" t="str">
        <f>IFERROR(N324/N446, "NA")</f>
        <v>NA</v>
      </c>
      <c r="P324" s="14"/>
      <c r="Q324" s="12">
        <v>0.0</v>
      </c>
      <c r="R324" s="13" t="str">
        <f>IFERROR(Q324/Q446, "NA")</f>
        <v>NA</v>
      </c>
      <c r="S324" s="14"/>
      <c r="T324" s="12">
        <v>0.0</v>
      </c>
      <c r="U324" s="13" t="str">
        <f>IFERROR(T324/T446, "NA")</f>
        <v>NA</v>
      </c>
      <c r="V324" s="14"/>
      <c r="W324" s="12">
        <v>0.0</v>
      </c>
      <c r="X324" s="13" t="str">
        <f>IFERROR(W324/W446, "NA")</f>
        <v>NA</v>
      </c>
      <c r="Y324" s="14"/>
      <c r="Z324" s="12">
        <v>0.0</v>
      </c>
      <c r="AA324" s="13" t="str">
        <f>IFERROR(Z324/Z446, "NA")</f>
        <v>NA</v>
      </c>
      <c r="AB324" s="14"/>
      <c r="AC324" s="12">
        <v>0.0</v>
      </c>
      <c r="AD324" s="13" t="str">
        <f>IFERROR(AC324/AC446, "NA")</f>
        <v>NA</v>
      </c>
      <c r="AE324" s="14"/>
      <c r="AF324" s="12">
        <v>0.0</v>
      </c>
      <c r="AG324" s="13" t="str">
        <f>IFERROR(AF324/AF446, "NA")</f>
        <v>NA</v>
      </c>
      <c r="AH324" s="14"/>
      <c r="AI324" s="12">
        <v>0.0</v>
      </c>
      <c r="AJ324" s="13" t="str">
        <f>IFERROR(AI324/AI446, "NA")</f>
        <v>NA</v>
      </c>
      <c r="AK324" s="12"/>
      <c r="AL324" s="15">
        <f t="shared" si="45"/>
        <v>0</v>
      </c>
      <c r="AM324" s="13" t="str">
        <f>IFERROR(AL324/AL446, "NA")</f>
        <v>NA</v>
      </c>
      <c r="AN324" s="12"/>
      <c r="AO324" s="12">
        <v>0.0</v>
      </c>
      <c r="AP324" s="13" t="str">
        <f>IFERROR(AO324/AO446, "NA")</f>
        <v>NA</v>
      </c>
      <c r="AQ324" s="12"/>
      <c r="AR324" s="15">
        <f t="shared" si="46"/>
        <v>0</v>
      </c>
    </row>
    <row r="325" ht="16.5" customHeight="1">
      <c r="A325" s="16" t="s">
        <v>300</v>
      </c>
      <c r="B325" s="17">
        <f>IFERROR(B298+B299+B300+B301+B302+B303+B304+B305+B306+B307+B308+B309+B310+B311+B312+B313+B314+B315+B316+B317+B318+B319+B320+B321+B322+B323+B324, "NA")</f>
        <v>0</v>
      </c>
      <c r="C325" s="18" t="str">
        <f>IFERROR(B325/B446, "NA")</f>
        <v>NA</v>
      </c>
      <c r="D325" s="8"/>
      <c r="E325" s="17">
        <f>IFERROR(E298+E299+E300+E301+E302+E303+E304+E305+E306+E307+E308+E309+E310+E311+E312+E313+E314+E315+E316+E317+E318+E319+E320+E321+E322+E323+E324, "NA")</f>
        <v>0</v>
      </c>
      <c r="F325" s="18" t="str">
        <f>IFERROR(E325/E446, "NA")</f>
        <v>NA</v>
      </c>
      <c r="G325" s="8"/>
      <c r="H325" s="17">
        <f>IFERROR(H298+H299+H300+H301+H302+H303+H304+H305+H306+H307+H308+H309+H310+H311+H312+H313+H314+H315+H316+H317+H318+H319+H320+H321+H322+H323+H324, "NA")</f>
        <v>0</v>
      </c>
      <c r="I325" s="18" t="str">
        <f>IFERROR(H325/H446, "NA")</f>
        <v>NA</v>
      </c>
      <c r="J325" s="8"/>
      <c r="K325" s="17">
        <f>IFERROR(K298+K299+K300+K301+K302+K303+K304+K305+K306+K307+K308+K309+K310+K311+K312+K313+K314+K315+K316+K317+K318+K319+K320+K321+K322+K323+K324, "NA")</f>
        <v>0</v>
      </c>
      <c r="L325" s="18" t="str">
        <f>IFERROR(K325/K446, "NA")</f>
        <v>NA</v>
      </c>
      <c r="M325" s="8"/>
      <c r="N325" s="17">
        <f>IFERROR(N298+N299+N300+N301+N302+N303+N304+N305+N306+N307+N308+N309+N310+N311+N312+N313+N314+N315+N316+N317+N318+N319+N320+N321+N322+N323+N324, "NA")</f>
        <v>0</v>
      </c>
      <c r="O325" s="18" t="str">
        <f>IFERROR(N325/N446, "NA")</f>
        <v>NA</v>
      </c>
      <c r="P325" s="8"/>
      <c r="Q325" s="17">
        <f>IFERROR(Q298+Q299+Q300+Q301+Q302+Q303+Q304+Q305+Q306+Q307+Q308+Q309+Q310+Q311+Q312+Q313+Q314+Q315+Q316+Q317+Q318+Q319+Q320+Q321+Q322+Q323+Q324, "NA")</f>
        <v>0</v>
      </c>
      <c r="R325" s="18" t="str">
        <f>IFERROR(Q325/Q446, "NA")</f>
        <v>NA</v>
      </c>
      <c r="S325" s="8"/>
      <c r="T325" s="17">
        <f>IFERROR(T298+T299+T300+T301+T302+T303+T304+T305+T306+T307+T308+T309+T310+T311+T312+T313+T314+T315+T316+T317+T318+T319+T320+T321+T322+T323+T324, "NA")</f>
        <v>0</v>
      </c>
      <c r="U325" s="18" t="str">
        <f>IFERROR(T325/T446, "NA")</f>
        <v>NA</v>
      </c>
      <c r="V325" s="8"/>
      <c r="W325" s="17">
        <f>IFERROR(W298+W299+W300+W301+W302+W303+W304+W305+W306+W307+W308+W309+W310+W311+W312+W313+W314+W315+W316+W317+W318+W319+W320+W321+W322+W323+W324, "NA")</f>
        <v>0</v>
      </c>
      <c r="X325" s="18" t="str">
        <f>IFERROR(W325/W446, "NA")</f>
        <v>NA</v>
      </c>
      <c r="Y325" s="8"/>
      <c r="Z325" s="17">
        <f>IFERROR(Z298+Z299+Z300+Z301+Z302+Z303+Z304+Z305+Z306+Z307+Z308+Z309+Z310+Z311+Z312+Z313+Z314+Z315+Z316+Z317+Z318+Z319+Z320+Z321+Z322+Z323+Z324, "NA")</f>
        <v>0</v>
      </c>
      <c r="AA325" s="18" t="str">
        <f>IFERROR(Z325/Z446, "NA")</f>
        <v>NA</v>
      </c>
      <c r="AB325" s="8"/>
      <c r="AC325" s="17">
        <f>IFERROR(AC298+AC299+AC300+AC301+AC302+AC303+AC304+AC305+AC306+AC307+AC308+AC309+AC310+AC311+AC312+AC313+AC314+AC315+AC316+AC317+AC318+AC319+AC320+AC321+AC322+AC323+AC324, "NA")</f>
        <v>0</v>
      </c>
      <c r="AD325" s="18" t="str">
        <f>IFERROR(AC325/AC446, "NA")</f>
        <v>NA</v>
      </c>
      <c r="AE325" s="8"/>
      <c r="AF325" s="17">
        <f>IFERROR(AF298+AF299+AF300+AF301+AF302+AF303+AF304+AF305+AF306+AF307+AF308+AF309+AF310+AF311+AF312+AF313+AF314+AF315+AF316+AF317+AF318+AF319+AF320+AF321+AF322+AF323+AF324, "NA")</f>
        <v>0</v>
      </c>
      <c r="AG325" s="18" t="str">
        <f>IFERROR(AF325/AF446, "NA")</f>
        <v>NA</v>
      </c>
      <c r="AH325" s="8"/>
      <c r="AI325" s="17">
        <f>IFERROR(AI298+AI299+AI300+AI301+AI302+AI303+AI304+AI305+AI306+AI307+AI308+AI309+AI310+AI311+AI312+AI313+AI314+AI315+AI316+AI317+AI318+AI319+AI320+AI321+AI322+AI323+AI324, "NA")</f>
        <v>0</v>
      </c>
      <c r="AJ325" s="18" t="str">
        <f>IFERROR(AI325/AI446, "NA")</f>
        <v>NA</v>
      </c>
      <c r="AK325" s="8"/>
      <c r="AL325" s="17">
        <f t="shared" si="45"/>
        <v>0</v>
      </c>
      <c r="AM325" s="18" t="str">
        <f>IFERROR(AL325/AL446, "NA")</f>
        <v>NA</v>
      </c>
      <c r="AN325" s="8"/>
      <c r="AO325" s="17">
        <f>IFERROR(AO298+AO299+AO300+AO301+AO302+AO303+AO304+AO305+AO306+AO307+AO308+AO309+AO310+AO311+AO312+AO313+AO314+AO315+AO316+AO317+AO318+AO319+AO320+AO321+AO322+AO323+AO324, "NA")</f>
        <v>0</v>
      </c>
      <c r="AP325" s="18" t="str">
        <f>IFERROR(AO325/AO446, "NA")</f>
        <v>NA</v>
      </c>
      <c r="AQ325" s="8"/>
      <c r="AR325" s="17">
        <f t="shared" si="46"/>
        <v>0</v>
      </c>
    </row>
    <row r="326" ht="16.5" customHeight="1">
      <c r="A326" s="16" t="s">
        <v>301</v>
      </c>
      <c r="B326" s="17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  <v>0</v>
      </c>
      <c r="C326" s="18" t="str">
        <f>IFERROR(B326/B446, "NA")</f>
        <v>NA</v>
      </c>
      <c r="D326" s="8"/>
      <c r="E326" s="17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  <v>0</v>
      </c>
      <c r="F326" s="18" t="str">
        <f>IFERROR(E326/E446, "NA")</f>
        <v>NA</v>
      </c>
      <c r="G326" s="8"/>
      <c r="H326" s="17">
        <f>IFERROR(H201+H202+H203+H204+H205+H206+H207+H208+H211+H213+H214+H215+H216+H217+H219+H220+H221+H222+H223+H224+H225+H226+H229+H230+H231+H232+H233+H234+H235+H238+H240+H241+H242+H243+H244+H245+H246+H247+H248+H249+H250+H251+H252+H253+H254+H255+H256+H257+H258+H259+H260+H261+H262+H266+H267+H270+H271+H272+H273+H276+H277+H278+H279+H280+H281+H282+H283+H284+H287+H288+H289+H290+H291+H292+H293+H294+H295+H298+H299+H300+H301+H302+H303+H304+H305+H306+H307+H308+H309+H310+H311+H312+H313+H314+H315+H316+H317+H318+H319+H320+H321+H322+H323+H324, "NA")</f>
        <v>0</v>
      </c>
      <c r="I326" s="18" t="str">
        <f>IFERROR(H326/H446, "NA")</f>
        <v>NA</v>
      </c>
      <c r="J326" s="8"/>
      <c r="K326" s="17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  <v>0</v>
      </c>
      <c r="L326" s="18" t="str">
        <f>IFERROR(K326/K446, "NA")</f>
        <v>NA</v>
      </c>
      <c r="M326" s="8"/>
      <c r="N326" s="17">
        <f>IFERROR(N201+N202+N203+N204+N205+N206+N207+N208+N211+N213+N214+N215+N216+N217+N219+N220+N221+N222+N223+N224+N225+N226+N229+N230+N231+N232+N233+N234+N235+N238+N240+N241+N242+N243+N244+N245+N246+N247+N248+N249+N250+N251+N252+N253+N254+N255+N256+N257+N258+N259+N260+N261+N262+N266+N267+N270+N271+N272+N273+N276+N277+N278+N279+N280+N281+N282+N283+N284+N287+N288+N289+N290+N291+N292+N293+N294+N295+N298+N299+N300+N301+N302+N303+N304+N305+N306+N307+N308+N309+N310+N311+N312+N313+N314+N315+N316+N317+N318+N319+N320+N321+N322+N323+N324, "NA")</f>
        <v>0</v>
      </c>
      <c r="O326" s="18" t="str">
        <f>IFERROR(N326/N446, "NA")</f>
        <v>NA</v>
      </c>
      <c r="P326" s="8"/>
      <c r="Q326" s="17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  <v>0</v>
      </c>
      <c r="R326" s="18" t="str">
        <f>IFERROR(Q326/Q446, "NA")</f>
        <v>NA</v>
      </c>
      <c r="S326" s="8"/>
      <c r="T326" s="17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  <v>0</v>
      </c>
      <c r="U326" s="18" t="str">
        <f>IFERROR(T326/T446, "NA")</f>
        <v>NA</v>
      </c>
      <c r="V326" s="8"/>
      <c r="W326" s="17">
        <f>IFERROR(W201+W202+W203+W204+W205+W206+W207+W208+W211+W213+W214+W215+W216+W217+W219+W220+W221+W222+W223+W224+W225+W226+W229+W230+W231+W232+W233+W234+W235+W238+W240+W241+W242+W243+W244+W245+W246+W247+W248+W249+W250+W251+W252+W253+W254+W255+W256+W257+W258+W259+W260+W261+W262+W266+W267+W270+W271+W272+W273+W276+W277+W278+W279+W280+W281+W282+W283+W284+W287+W288+W289+W290+W291+W292+W293+W294+W295+W298+W299+W300+W301+W302+W303+W304+W305+W306+W307+W308+W309+W310+W311+W312+W313+W314+W315+W316+W317+W318+W319+W320+W321+W322+W323+W324, "NA")</f>
        <v>0</v>
      </c>
      <c r="X326" s="18" t="str">
        <f>IFERROR(W326/W446, "NA")</f>
        <v>NA</v>
      </c>
      <c r="Y326" s="8"/>
      <c r="Z326" s="17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  <v>0</v>
      </c>
      <c r="AA326" s="18" t="str">
        <f>IFERROR(Z326/Z446, "NA")</f>
        <v>NA</v>
      </c>
      <c r="AB326" s="8"/>
      <c r="AC326" s="17">
        <f>IFERROR(AC201+AC202+AC203+AC204+AC205+AC206+AC207+AC208+AC211+AC213+AC214+AC215+AC216+AC217+AC219+AC220+AC221+AC222+AC223+AC224+AC225+AC226+AC229+AC230+AC231+AC232+AC233+AC234+AC235+AC238+AC240+AC241+AC242+AC243+AC244+AC245+AC246+AC247+AC248+AC249+AC250+AC251+AC252+AC253+AC254+AC255+AC256+AC257+AC258+AC259+AC260+AC261+AC262+AC266+AC267+AC270+AC271+AC272+AC273+AC276+AC277+AC278+AC279+AC280+AC281+AC282+AC283+AC284+AC287+AC288+AC289+AC290+AC291+AC292+AC293+AC294+AC295+AC298+AC299+AC300+AC301+AC302+AC303+AC304+AC305+AC306+AC307+AC308+AC309+AC310+AC311+AC312+AC313+AC314+AC315+AC316+AC317+AC318+AC319+AC320+AC321+AC322+AC323+AC324, "NA")</f>
        <v>0</v>
      </c>
      <c r="AD326" s="18" t="str">
        <f>IFERROR(AC326/AC446, "NA")</f>
        <v>NA</v>
      </c>
      <c r="AE326" s="8"/>
      <c r="AF326" s="17">
        <f>IFERROR(AF201+AF202+AF203+AF204+AF205+AF206+AF207+AF208+AF211+AF213+AF214+AF215+AF216+AF217+AF219+AF220+AF221+AF222+AF223+AF224+AF225+AF226+AF229+AF230+AF231+AF232+AF233+AF234+AF235+AF238+AF240+AF241+AF242+AF243+AF244+AF245+AF246+AF247+AF248+AF249+AF250+AF251+AF252+AF253+AF254+AF255+AF256+AF257+AF258+AF259+AF260+AF261+AF262+AF266+AF267+AF270+AF271+AF272+AF273+AF276+AF277+AF278+AF279+AF280+AF281+AF282+AF283+AF284+AF287+AF288+AF289+AF290+AF291+AF292+AF293+AF294+AF295+AF298+AF299+AF300+AF301+AF302+AF303+AF304+AF305+AF306+AF307+AF308+AF309+AF310+AF311+AF312+AF313+AF314+AF315+AF316+AF317+AF318+AF319+AF320+AF321+AF322+AF323+AF324, "NA")</f>
        <v>0</v>
      </c>
      <c r="AG326" s="18" t="str">
        <f>IFERROR(AF326/AF446, "NA")</f>
        <v>NA</v>
      </c>
      <c r="AH326" s="8"/>
      <c r="AI326" s="17">
        <f>IFERROR(AI201+AI202+AI203+AI204+AI205+AI206+AI207+AI208+AI211+AI213+AI214+AI215+AI216+AI217+AI219+AI220+AI221+AI222+AI223+AI224+AI225+AI226+AI229+AI230+AI231+AI232+AI233+AI234+AI235+AI238+AI240+AI241+AI242+AI243+AI244+AI245+AI246+AI247+AI248+AI249+AI250+AI251+AI252+AI253+AI254+AI255+AI256+AI257+AI258+AI259+AI260+AI261+AI262+AI266+AI267+AI270+AI271+AI272+AI273+AI276+AI277+AI278+AI279+AI280+AI281+AI282+AI283+AI284+AI287+AI288+AI289+AI290+AI291+AI292+AI293+AI294+AI295+AI298+AI299+AI300+AI301+AI302+AI303+AI304+AI305+AI306+AI307+AI308+AI309+AI310+AI311+AI312+AI313+AI314+AI315+AI316+AI317+AI318+AI319+AI320+AI321+AI322+AI323+AI324, "NA")</f>
        <v>0</v>
      </c>
      <c r="AJ326" s="18" t="str">
        <f>IFERROR(AI326/AI446, "NA")</f>
        <v>NA</v>
      </c>
      <c r="AK326" s="8"/>
      <c r="AL326" s="17">
        <f t="shared" si="45"/>
        <v>0</v>
      </c>
      <c r="AM326" s="18" t="str">
        <f>IFERROR(AL326/AL446, "NA")</f>
        <v>NA</v>
      </c>
      <c r="AN326" s="8"/>
      <c r="AO326" s="17">
        <f>IFERROR(AO201+AO202+AO203+AO204+AO205+AO206+AO207+AO208+AO211+AO213+AO214+AO215+AO216+AO217+AO219+AO220+AO221+AO222+AO223+AO224+AO225+AO226+AO229+AO230+AO231+AO232+AO233+AO234+AO235+AO238+AO240+AO241+AO242+AO243+AO244+AO245+AO246+AO247+AO248+AO249+AO250+AO251+AO252+AO253+AO254+AO255+AO256+AO257+AO258+AO259+AO260+AO261+AO262+AO266+AO267+AO270+AO271+AO272+AO273+AO276+AO277+AO278+AO279+AO280+AO281+AO282+AO283+AO284+AO287+AO288+AO289+AO290+AO291+AO292+AO293+AO294+AO295+AO298+AO299+AO300+AO301+AO302+AO303+AO304+AO305+AO306+AO307+AO308+AO309+AO310+AO311+AO312+AO313+AO314+AO315+AO316+AO317+AO318+AO319+AO320+AO321+AO322+AO323+AO324, "NA")</f>
        <v>0</v>
      </c>
      <c r="AP326" s="18" t="str">
        <f>IFERROR(AO326/AO446, "NA")</f>
        <v>NA</v>
      </c>
      <c r="AQ326" s="8"/>
      <c r="AR326" s="17">
        <f t="shared" si="46"/>
        <v>0</v>
      </c>
    </row>
    <row r="327" ht="16.5" customHeight="1">
      <c r="A327" s="7" t="s">
        <v>302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  <c r="AE327" s="10"/>
      <c r="AF327" s="8"/>
      <c r="AG327" s="9"/>
      <c r="AH327" s="10"/>
      <c r="AI327" s="8"/>
      <c r="AJ327" s="9"/>
      <c r="AK327" s="8"/>
      <c r="AL327" s="8"/>
      <c r="AM327" s="9"/>
      <c r="AN327" s="8"/>
      <c r="AO327" s="8"/>
      <c r="AP327" s="9"/>
      <c r="AQ327" s="8"/>
      <c r="AR327" s="8"/>
    </row>
    <row r="328" ht="16.5" customHeight="1">
      <c r="A328" s="7" t="s">
        <v>303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  <c r="AE328" s="10"/>
      <c r="AF328" s="8"/>
      <c r="AG328" s="9"/>
      <c r="AH328" s="10"/>
      <c r="AI328" s="8"/>
      <c r="AJ328" s="9"/>
      <c r="AK328" s="8"/>
      <c r="AL328" s="8"/>
      <c r="AM328" s="9"/>
      <c r="AN328" s="8"/>
      <c r="AO328" s="8"/>
      <c r="AP328" s="9"/>
      <c r="AQ328" s="8"/>
      <c r="AR328" s="8"/>
    </row>
    <row r="329" ht="16.5" hidden="1" customHeight="1">
      <c r="A329" s="11" t="s">
        <v>689</v>
      </c>
      <c r="B329" s="12">
        <v>0.0</v>
      </c>
      <c r="C329" s="13" t="str">
        <f>IFERROR(B329/B446, "NA")</f>
        <v>NA</v>
      </c>
      <c r="D329" s="14"/>
      <c r="E329" s="12">
        <v>0.0</v>
      </c>
      <c r="F329" s="13" t="str">
        <f>IFERROR(E329/E446, "NA")</f>
        <v>NA</v>
      </c>
      <c r="G329" s="14"/>
      <c r="H329" s="12">
        <v>0.0</v>
      </c>
      <c r="I329" s="13" t="str">
        <f>IFERROR(H329/H446, "NA")</f>
        <v>NA</v>
      </c>
      <c r="J329" s="14"/>
      <c r="K329" s="12">
        <v>0.0</v>
      </c>
      <c r="L329" s="13" t="str">
        <f>IFERROR(K329/K446, "NA")</f>
        <v>NA</v>
      </c>
      <c r="M329" s="14"/>
      <c r="N329" s="12">
        <v>0.0</v>
      </c>
      <c r="O329" s="13" t="str">
        <f>IFERROR(N329/N446, "NA")</f>
        <v>NA</v>
      </c>
      <c r="P329" s="14"/>
      <c r="Q329" s="12">
        <v>0.0</v>
      </c>
      <c r="R329" s="13" t="str">
        <f>IFERROR(Q329/Q446, "NA")</f>
        <v>NA</v>
      </c>
      <c r="S329" s="14"/>
      <c r="T329" s="12">
        <v>0.0</v>
      </c>
      <c r="U329" s="13" t="str">
        <f>IFERROR(T329/T446, "NA")</f>
        <v>NA</v>
      </c>
      <c r="V329" s="14"/>
      <c r="W329" s="12">
        <v>0.0</v>
      </c>
      <c r="X329" s="13" t="str">
        <f>IFERROR(W329/W446, "NA")</f>
        <v>NA</v>
      </c>
      <c r="Y329" s="14"/>
      <c r="Z329" s="12">
        <v>0.0</v>
      </c>
      <c r="AA329" s="13" t="str">
        <f>IFERROR(Z329/Z446, "NA")</f>
        <v>NA</v>
      </c>
      <c r="AB329" s="14"/>
      <c r="AC329" s="12">
        <v>0.0</v>
      </c>
      <c r="AD329" s="13" t="str">
        <f>IFERROR(AC329/AC446, "NA")</f>
        <v>NA</v>
      </c>
      <c r="AE329" s="14"/>
      <c r="AF329" s="12">
        <v>0.0</v>
      </c>
      <c r="AG329" s="13" t="str">
        <f>IFERROR(AF329/AF446, "NA")</f>
        <v>NA</v>
      </c>
      <c r="AH329" s="14"/>
      <c r="AI329" s="12">
        <v>0.0</v>
      </c>
      <c r="AJ329" s="13" t="str">
        <f>IFERROR(AI329/AI446, "NA")</f>
        <v>NA</v>
      </c>
      <c r="AK329" s="12"/>
      <c r="AL329" s="15">
        <f t="shared" ref="AL329:AL336" si="47">IFERROR(B329+E329+H329+K329+N329+Q329+T329+W329+Z329+AC329+AF329+AI329, "NA")</f>
        <v>0</v>
      </c>
      <c r="AM329" s="13" t="str">
        <f>IFERROR(AL329/AL446, "NA")</f>
        <v>NA</v>
      </c>
      <c r="AN329" s="12"/>
      <c r="AO329" s="12">
        <v>0.0</v>
      </c>
      <c r="AP329" s="13" t="str">
        <f>IFERROR(AO329/AO446, "NA")</f>
        <v>NA</v>
      </c>
      <c r="AQ329" s="12"/>
      <c r="AR329" s="15">
        <f t="shared" ref="AR329:AR336" si="48">IFERROR(AL329-AO329, "NA")</f>
        <v>0</v>
      </c>
    </row>
    <row r="330" ht="16.5" hidden="1" customHeight="1">
      <c r="A330" s="11" t="s">
        <v>690</v>
      </c>
      <c r="B330" s="12">
        <v>0.0</v>
      </c>
      <c r="C330" s="13" t="str">
        <f>IFERROR(B330/B446, "NA")</f>
        <v>NA</v>
      </c>
      <c r="D330" s="14"/>
      <c r="E330" s="12">
        <v>0.0</v>
      </c>
      <c r="F330" s="13" t="str">
        <f>IFERROR(E330/E446, "NA")</f>
        <v>NA</v>
      </c>
      <c r="G330" s="14"/>
      <c r="H330" s="12">
        <v>0.0</v>
      </c>
      <c r="I330" s="13" t="str">
        <f>IFERROR(H330/H446, "NA")</f>
        <v>NA</v>
      </c>
      <c r="J330" s="14"/>
      <c r="K330" s="12">
        <v>0.0</v>
      </c>
      <c r="L330" s="13" t="str">
        <f>IFERROR(K330/K446, "NA")</f>
        <v>NA</v>
      </c>
      <c r="M330" s="14"/>
      <c r="N330" s="12">
        <v>0.0</v>
      </c>
      <c r="O330" s="13" t="str">
        <f>IFERROR(N330/N446, "NA")</f>
        <v>NA</v>
      </c>
      <c r="P330" s="14"/>
      <c r="Q330" s="12">
        <v>0.0</v>
      </c>
      <c r="R330" s="13" t="str">
        <f>IFERROR(Q330/Q446, "NA")</f>
        <v>NA</v>
      </c>
      <c r="S330" s="14"/>
      <c r="T330" s="12">
        <v>0.0</v>
      </c>
      <c r="U330" s="13" t="str">
        <f>IFERROR(T330/T446, "NA")</f>
        <v>NA</v>
      </c>
      <c r="V330" s="14"/>
      <c r="W330" s="12">
        <v>0.0</v>
      </c>
      <c r="X330" s="13" t="str">
        <f>IFERROR(W330/W446, "NA")</f>
        <v>NA</v>
      </c>
      <c r="Y330" s="14"/>
      <c r="Z330" s="12">
        <v>0.0</v>
      </c>
      <c r="AA330" s="13" t="str">
        <f>IFERROR(Z330/Z446, "NA")</f>
        <v>NA</v>
      </c>
      <c r="AB330" s="14"/>
      <c r="AC330" s="12">
        <v>0.0</v>
      </c>
      <c r="AD330" s="13" t="str">
        <f>IFERROR(AC330/AC446, "NA")</f>
        <v>NA</v>
      </c>
      <c r="AE330" s="14"/>
      <c r="AF330" s="12">
        <v>0.0</v>
      </c>
      <c r="AG330" s="13" t="str">
        <f>IFERROR(AF330/AF446, "NA")</f>
        <v>NA</v>
      </c>
      <c r="AH330" s="14"/>
      <c r="AI330" s="12">
        <v>0.0</v>
      </c>
      <c r="AJ330" s="13" t="str">
        <f>IFERROR(AI330/AI446, "NA")</f>
        <v>NA</v>
      </c>
      <c r="AK330" s="12"/>
      <c r="AL330" s="15">
        <f t="shared" si="47"/>
        <v>0</v>
      </c>
      <c r="AM330" s="13" t="str">
        <f>IFERROR(AL330/AL446, "NA")</f>
        <v>NA</v>
      </c>
      <c r="AN330" s="12"/>
      <c r="AO330" s="12">
        <v>0.0</v>
      </c>
      <c r="AP330" s="13" t="str">
        <f>IFERROR(AO330/AO446, "NA")</f>
        <v>NA</v>
      </c>
      <c r="AQ330" s="12"/>
      <c r="AR330" s="15">
        <f t="shared" si="48"/>
        <v>0</v>
      </c>
    </row>
    <row r="331" ht="16.5" hidden="1" customHeight="1">
      <c r="A331" s="11" t="s">
        <v>691</v>
      </c>
      <c r="B331" s="12">
        <v>0.0</v>
      </c>
      <c r="C331" s="13" t="str">
        <f>IFERROR(B331/B446, "NA")</f>
        <v>NA</v>
      </c>
      <c r="D331" s="14"/>
      <c r="E331" s="12">
        <v>0.0</v>
      </c>
      <c r="F331" s="13" t="str">
        <f>IFERROR(E331/E446, "NA")</f>
        <v>NA</v>
      </c>
      <c r="G331" s="14"/>
      <c r="H331" s="12">
        <v>0.0</v>
      </c>
      <c r="I331" s="13" t="str">
        <f>IFERROR(H331/H446, "NA")</f>
        <v>NA</v>
      </c>
      <c r="J331" s="14"/>
      <c r="K331" s="12">
        <v>0.0</v>
      </c>
      <c r="L331" s="13" t="str">
        <f>IFERROR(K331/K446, "NA")</f>
        <v>NA</v>
      </c>
      <c r="M331" s="14"/>
      <c r="N331" s="12">
        <v>0.0</v>
      </c>
      <c r="O331" s="13" t="str">
        <f>IFERROR(N331/N446, "NA")</f>
        <v>NA</v>
      </c>
      <c r="P331" s="14"/>
      <c r="Q331" s="12">
        <v>0.0</v>
      </c>
      <c r="R331" s="13" t="str">
        <f>IFERROR(Q331/Q446, "NA")</f>
        <v>NA</v>
      </c>
      <c r="S331" s="14"/>
      <c r="T331" s="12">
        <v>0.0</v>
      </c>
      <c r="U331" s="13" t="str">
        <f>IFERROR(T331/T446, "NA")</f>
        <v>NA</v>
      </c>
      <c r="V331" s="14"/>
      <c r="W331" s="12">
        <v>0.0</v>
      </c>
      <c r="X331" s="13" t="str">
        <f>IFERROR(W331/W446, "NA")</f>
        <v>NA</v>
      </c>
      <c r="Y331" s="14"/>
      <c r="Z331" s="12">
        <v>0.0</v>
      </c>
      <c r="AA331" s="13" t="str">
        <f>IFERROR(Z331/Z446, "NA")</f>
        <v>NA</v>
      </c>
      <c r="AB331" s="14"/>
      <c r="AC331" s="12">
        <v>0.0</v>
      </c>
      <c r="AD331" s="13" t="str">
        <f>IFERROR(AC331/AC446, "NA")</f>
        <v>NA</v>
      </c>
      <c r="AE331" s="14"/>
      <c r="AF331" s="12">
        <v>0.0</v>
      </c>
      <c r="AG331" s="13" t="str">
        <f>IFERROR(AF331/AF446, "NA")</f>
        <v>NA</v>
      </c>
      <c r="AH331" s="14"/>
      <c r="AI331" s="12">
        <v>0.0</v>
      </c>
      <c r="AJ331" s="13" t="str">
        <f>IFERROR(AI331/AI446, "NA")</f>
        <v>NA</v>
      </c>
      <c r="AK331" s="12"/>
      <c r="AL331" s="15">
        <f t="shared" si="47"/>
        <v>0</v>
      </c>
      <c r="AM331" s="13" t="str">
        <f>IFERROR(AL331/AL446, "NA")</f>
        <v>NA</v>
      </c>
      <c r="AN331" s="12"/>
      <c r="AO331" s="12">
        <v>0.0</v>
      </c>
      <c r="AP331" s="13" t="str">
        <f>IFERROR(AO331/AO446, "NA")</f>
        <v>NA</v>
      </c>
      <c r="AQ331" s="12"/>
      <c r="AR331" s="15">
        <f t="shared" si="48"/>
        <v>0</v>
      </c>
    </row>
    <row r="332" ht="16.5" hidden="1" customHeight="1">
      <c r="A332" s="11" t="s">
        <v>692</v>
      </c>
      <c r="B332" s="12">
        <v>0.0</v>
      </c>
      <c r="C332" s="13" t="str">
        <f>IFERROR(B332/B446, "NA")</f>
        <v>NA</v>
      </c>
      <c r="D332" s="14"/>
      <c r="E332" s="12">
        <v>0.0</v>
      </c>
      <c r="F332" s="13" t="str">
        <f>IFERROR(E332/E446, "NA")</f>
        <v>NA</v>
      </c>
      <c r="G332" s="14"/>
      <c r="H332" s="12">
        <v>0.0</v>
      </c>
      <c r="I332" s="13" t="str">
        <f>IFERROR(H332/H446, "NA")</f>
        <v>NA</v>
      </c>
      <c r="J332" s="14"/>
      <c r="K332" s="12">
        <v>0.0</v>
      </c>
      <c r="L332" s="13" t="str">
        <f>IFERROR(K332/K446, "NA")</f>
        <v>NA</v>
      </c>
      <c r="M332" s="14"/>
      <c r="N332" s="12">
        <v>0.0</v>
      </c>
      <c r="O332" s="13" t="str">
        <f>IFERROR(N332/N446, "NA")</f>
        <v>NA</v>
      </c>
      <c r="P332" s="14"/>
      <c r="Q332" s="12">
        <v>0.0</v>
      </c>
      <c r="R332" s="13" t="str">
        <f>IFERROR(Q332/Q446, "NA")</f>
        <v>NA</v>
      </c>
      <c r="S332" s="14"/>
      <c r="T332" s="12">
        <v>0.0</v>
      </c>
      <c r="U332" s="13" t="str">
        <f>IFERROR(T332/T446, "NA")</f>
        <v>NA</v>
      </c>
      <c r="V332" s="14"/>
      <c r="W332" s="12">
        <v>0.0</v>
      </c>
      <c r="X332" s="13" t="str">
        <f>IFERROR(W332/W446, "NA")</f>
        <v>NA</v>
      </c>
      <c r="Y332" s="14"/>
      <c r="Z332" s="12">
        <v>0.0</v>
      </c>
      <c r="AA332" s="13" t="str">
        <f>IFERROR(Z332/Z446, "NA")</f>
        <v>NA</v>
      </c>
      <c r="AB332" s="14"/>
      <c r="AC332" s="12">
        <v>0.0</v>
      </c>
      <c r="AD332" s="13" t="str">
        <f>IFERROR(AC332/AC446, "NA")</f>
        <v>NA</v>
      </c>
      <c r="AE332" s="14"/>
      <c r="AF332" s="12">
        <v>0.0</v>
      </c>
      <c r="AG332" s="13" t="str">
        <f>IFERROR(AF332/AF446, "NA")</f>
        <v>NA</v>
      </c>
      <c r="AH332" s="14"/>
      <c r="AI332" s="12">
        <v>0.0</v>
      </c>
      <c r="AJ332" s="13" t="str">
        <f>IFERROR(AI332/AI446, "NA")</f>
        <v>NA</v>
      </c>
      <c r="AK332" s="12"/>
      <c r="AL332" s="15">
        <f t="shared" si="47"/>
        <v>0</v>
      </c>
      <c r="AM332" s="13" t="str">
        <f>IFERROR(AL332/AL446, "NA")</f>
        <v>NA</v>
      </c>
      <c r="AN332" s="12"/>
      <c r="AO332" s="12">
        <v>0.0</v>
      </c>
      <c r="AP332" s="13" t="str">
        <f>IFERROR(AO332/AO446, "NA")</f>
        <v>NA</v>
      </c>
      <c r="AQ332" s="12"/>
      <c r="AR332" s="15">
        <f t="shared" si="48"/>
        <v>0</v>
      </c>
    </row>
    <row r="333" ht="16.5" hidden="1" customHeight="1">
      <c r="A333" s="11" t="s">
        <v>693</v>
      </c>
      <c r="B333" s="12">
        <v>0.0</v>
      </c>
      <c r="C333" s="13" t="str">
        <f>IFERROR(B333/B446, "NA")</f>
        <v>NA</v>
      </c>
      <c r="D333" s="14"/>
      <c r="E333" s="12">
        <v>0.0</v>
      </c>
      <c r="F333" s="13" t="str">
        <f>IFERROR(E333/E446, "NA")</f>
        <v>NA</v>
      </c>
      <c r="G333" s="14"/>
      <c r="H333" s="12">
        <v>0.0</v>
      </c>
      <c r="I333" s="13" t="str">
        <f>IFERROR(H333/H446, "NA")</f>
        <v>NA</v>
      </c>
      <c r="J333" s="14"/>
      <c r="K333" s="12">
        <v>0.0</v>
      </c>
      <c r="L333" s="13" t="str">
        <f>IFERROR(K333/K446, "NA")</f>
        <v>NA</v>
      </c>
      <c r="M333" s="14"/>
      <c r="N333" s="12">
        <v>0.0</v>
      </c>
      <c r="O333" s="13" t="str">
        <f>IFERROR(N333/N446, "NA")</f>
        <v>NA</v>
      </c>
      <c r="P333" s="14"/>
      <c r="Q333" s="12">
        <v>0.0</v>
      </c>
      <c r="R333" s="13" t="str">
        <f>IFERROR(Q333/Q446, "NA")</f>
        <v>NA</v>
      </c>
      <c r="S333" s="14"/>
      <c r="T333" s="12">
        <v>0.0</v>
      </c>
      <c r="U333" s="13" t="str">
        <f>IFERROR(T333/T446, "NA")</f>
        <v>NA</v>
      </c>
      <c r="V333" s="14"/>
      <c r="W333" s="12">
        <v>0.0</v>
      </c>
      <c r="X333" s="13" t="str">
        <f>IFERROR(W333/W446, "NA")</f>
        <v>NA</v>
      </c>
      <c r="Y333" s="14"/>
      <c r="Z333" s="12">
        <v>0.0</v>
      </c>
      <c r="AA333" s="13" t="str">
        <f>IFERROR(Z333/Z446, "NA")</f>
        <v>NA</v>
      </c>
      <c r="AB333" s="14"/>
      <c r="AC333" s="12">
        <v>0.0</v>
      </c>
      <c r="AD333" s="13" t="str">
        <f>IFERROR(AC333/AC446, "NA")</f>
        <v>NA</v>
      </c>
      <c r="AE333" s="14"/>
      <c r="AF333" s="12">
        <v>0.0</v>
      </c>
      <c r="AG333" s="13" t="str">
        <f>IFERROR(AF333/AF446, "NA")</f>
        <v>NA</v>
      </c>
      <c r="AH333" s="14"/>
      <c r="AI333" s="12">
        <v>0.0</v>
      </c>
      <c r="AJ333" s="13" t="str">
        <f>IFERROR(AI333/AI446, "NA")</f>
        <v>NA</v>
      </c>
      <c r="AK333" s="12"/>
      <c r="AL333" s="15">
        <f t="shared" si="47"/>
        <v>0</v>
      </c>
      <c r="AM333" s="13" t="str">
        <f>IFERROR(AL333/AL446, "NA")</f>
        <v>NA</v>
      </c>
      <c r="AN333" s="12"/>
      <c r="AO333" s="12">
        <v>0.0</v>
      </c>
      <c r="AP333" s="13" t="str">
        <f>IFERROR(AO333/AO446, "NA")</f>
        <v>NA</v>
      </c>
      <c r="AQ333" s="12"/>
      <c r="AR333" s="15">
        <f t="shared" si="48"/>
        <v>0</v>
      </c>
    </row>
    <row r="334" ht="16.5" hidden="1" customHeight="1">
      <c r="A334" s="11" t="s">
        <v>694</v>
      </c>
      <c r="B334" s="12">
        <v>0.0</v>
      </c>
      <c r="C334" s="13" t="str">
        <f>IFERROR(B334/B446, "NA")</f>
        <v>NA</v>
      </c>
      <c r="D334" s="14"/>
      <c r="E334" s="12">
        <v>0.0</v>
      </c>
      <c r="F334" s="13" t="str">
        <f>IFERROR(E334/E446, "NA")</f>
        <v>NA</v>
      </c>
      <c r="G334" s="14"/>
      <c r="H334" s="12">
        <v>0.0</v>
      </c>
      <c r="I334" s="13" t="str">
        <f>IFERROR(H334/H446, "NA")</f>
        <v>NA</v>
      </c>
      <c r="J334" s="14"/>
      <c r="K334" s="12">
        <v>0.0</v>
      </c>
      <c r="L334" s="13" t="str">
        <f>IFERROR(K334/K446, "NA")</f>
        <v>NA</v>
      </c>
      <c r="M334" s="14"/>
      <c r="N334" s="12">
        <v>0.0</v>
      </c>
      <c r="O334" s="13" t="str">
        <f>IFERROR(N334/N446, "NA")</f>
        <v>NA</v>
      </c>
      <c r="P334" s="14"/>
      <c r="Q334" s="12">
        <v>0.0</v>
      </c>
      <c r="R334" s="13" t="str">
        <f>IFERROR(Q334/Q446, "NA")</f>
        <v>NA</v>
      </c>
      <c r="S334" s="14"/>
      <c r="T334" s="12">
        <v>0.0</v>
      </c>
      <c r="U334" s="13" t="str">
        <f>IFERROR(T334/T446, "NA")</f>
        <v>NA</v>
      </c>
      <c r="V334" s="14"/>
      <c r="W334" s="12">
        <v>0.0</v>
      </c>
      <c r="X334" s="13" t="str">
        <f>IFERROR(W334/W446, "NA")</f>
        <v>NA</v>
      </c>
      <c r="Y334" s="14"/>
      <c r="Z334" s="12">
        <v>0.0</v>
      </c>
      <c r="AA334" s="13" t="str">
        <f>IFERROR(Z334/Z446, "NA")</f>
        <v>NA</v>
      </c>
      <c r="AB334" s="14"/>
      <c r="AC334" s="12">
        <v>0.0</v>
      </c>
      <c r="AD334" s="13" t="str">
        <f>IFERROR(AC334/AC446, "NA")</f>
        <v>NA</v>
      </c>
      <c r="AE334" s="14"/>
      <c r="AF334" s="12">
        <v>0.0</v>
      </c>
      <c r="AG334" s="13" t="str">
        <f>IFERROR(AF334/AF446, "NA")</f>
        <v>NA</v>
      </c>
      <c r="AH334" s="14"/>
      <c r="AI334" s="12">
        <v>0.0</v>
      </c>
      <c r="AJ334" s="13" t="str">
        <f>IFERROR(AI334/AI446, "NA")</f>
        <v>NA</v>
      </c>
      <c r="AK334" s="12"/>
      <c r="AL334" s="15">
        <f t="shared" si="47"/>
        <v>0</v>
      </c>
      <c r="AM334" s="13" t="str">
        <f>IFERROR(AL334/AL446, "NA")</f>
        <v>NA</v>
      </c>
      <c r="AN334" s="12"/>
      <c r="AO334" s="12">
        <v>0.0</v>
      </c>
      <c r="AP334" s="13" t="str">
        <f>IFERROR(AO334/AO446, "NA")</f>
        <v>NA</v>
      </c>
      <c r="AQ334" s="12"/>
      <c r="AR334" s="15">
        <f t="shared" si="48"/>
        <v>0</v>
      </c>
    </row>
    <row r="335" ht="16.5" hidden="1" customHeight="1">
      <c r="A335" s="11" t="s">
        <v>695</v>
      </c>
      <c r="B335" s="12">
        <v>0.0</v>
      </c>
      <c r="C335" s="13" t="str">
        <f>IFERROR(B335/B446, "NA")</f>
        <v>NA</v>
      </c>
      <c r="D335" s="14"/>
      <c r="E335" s="12">
        <v>0.0</v>
      </c>
      <c r="F335" s="13" t="str">
        <f>IFERROR(E335/E446, "NA")</f>
        <v>NA</v>
      </c>
      <c r="G335" s="14"/>
      <c r="H335" s="12">
        <v>0.0</v>
      </c>
      <c r="I335" s="13" t="str">
        <f>IFERROR(H335/H446, "NA")</f>
        <v>NA</v>
      </c>
      <c r="J335" s="14"/>
      <c r="K335" s="12">
        <v>0.0</v>
      </c>
      <c r="L335" s="13" t="str">
        <f>IFERROR(K335/K446, "NA")</f>
        <v>NA</v>
      </c>
      <c r="M335" s="14"/>
      <c r="N335" s="12">
        <v>0.0</v>
      </c>
      <c r="O335" s="13" t="str">
        <f>IFERROR(N335/N446, "NA")</f>
        <v>NA</v>
      </c>
      <c r="P335" s="14"/>
      <c r="Q335" s="12">
        <v>0.0</v>
      </c>
      <c r="R335" s="13" t="str">
        <f>IFERROR(Q335/Q446, "NA")</f>
        <v>NA</v>
      </c>
      <c r="S335" s="14"/>
      <c r="T335" s="12">
        <v>0.0</v>
      </c>
      <c r="U335" s="13" t="str">
        <f>IFERROR(T335/T446, "NA")</f>
        <v>NA</v>
      </c>
      <c r="V335" s="14"/>
      <c r="W335" s="12">
        <v>0.0</v>
      </c>
      <c r="X335" s="13" t="str">
        <f>IFERROR(W335/W446, "NA")</f>
        <v>NA</v>
      </c>
      <c r="Y335" s="14"/>
      <c r="Z335" s="12">
        <v>0.0</v>
      </c>
      <c r="AA335" s="13" t="str">
        <f>IFERROR(Z335/Z446, "NA")</f>
        <v>NA</v>
      </c>
      <c r="AB335" s="14"/>
      <c r="AC335" s="12">
        <v>0.0</v>
      </c>
      <c r="AD335" s="13" t="str">
        <f>IFERROR(AC335/AC446, "NA")</f>
        <v>NA</v>
      </c>
      <c r="AE335" s="14"/>
      <c r="AF335" s="12">
        <v>0.0</v>
      </c>
      <c r="AG335" s="13" t="str">
        <f>IFERROR(AF335/AF446, "NA")</f>
        <v>NA</v>
      </c>
      <c r="AH335" s="14"/>
      <c r="AI335" s="12">
        <v>0.0</v>
      </c>
      <c r="AJ335" s="13" t="str">
        <f>IFERROR(AI335/AI446, "NA")</f>
        <v>NA</v>
      </c>
      <c r="AK335" s="12"/>
      <c r="AL335" s="15">
        <f t="shared" si="47"/>
        <v>0</v>
      </c>
      <c r="AM335" s="13" t="str">
        <f>IFERROR(AL335/AL446, "NA")</f>
        <v>NA</v>
      </c>
      <c r="AN335" s="12"/>
      <c r="AO335" s="12">
        <v>0.0</v>
      </c>
      <c r="AP335" s="13" t="str">
        <f>IFERROR(AO335/AO446, "NA")</f>
        <v>NA</v>
      </c>
      <c r="AQ335" s="12"/>
      <c r="AR335" s="15">
        <f t="shared" si="48"/>
        <v>0</v>
      </c>
    </row>
    <row r="336" ht="16.5" hidden="1" customHeight="1">
      <c r="A336" s="11" t="s">
        <v>696</v>
      </c>
      <c r="B336" s="12">
        <v>0.0</v>
      </c>
      <c r="C336" s="13" t="str">
        <f>IFERROR(B336/B446, "NA")</f>
        <v>NA</v>
      </c>
      <c r="D336" s="14"/>
      <c r="E336" s="12">
        <v>0.0</v>
      </c>
      <c r="F336" s="13" t="str">
        <f>IFERROR(E336/E446, "NA")</f>
        <v>NA</v>
      </c>
      <c r="G336" s="14"/>
      <c r="H336" s="12">
        <v>0.0</v>
      </c>
      <c r="I336" s="13" t="str">
        <f>IFERROR(H336/H446, "NA")</f>
        <v>NA</v>
      </c>
      <c r="J336" s="14"/>
      <c r="K336" s="12">
        <v>0.0</v>
      </c>
      <c r="L336" s="13" t="str">
        <f>IFERROR(K336/K446, "NA")</f>
        <v>NA</v>
      </c>
      <c r="M336" s="14"/>
      <c r="N336" s="12">
        <v>0.0</v>
      </c>
      <c r="O336" s="13" t="str">
        <f>IFERROR(N336/N446, "NA")</f>
        <v>NA</v>
      </c>
      <c r="P336" s="14"/>
      <c r="Q336" s="12">
        <v>0.0</v>
      </c>
      <c r="R336" s="13" t="str">
        <f>IFERROR(Q336/Q446, "NA")</f>
        <v>NA</v>
      </c>
      <c r="S336" s="14"/>
      <c r="T336" s="12">
        <v>0.0</v>
      </c>
      <c r="U336" s="13" t="str">
        <f>IFERROR(T336/T446, "NA")</f>
        <v>NA</v>
      </c>
      <c r="V336" s="14"/>
      <c r="W336" s="12">
        <v>0.0</v>
      </c>
      <c r="X336" s="13" t="str">
        <f>IFERROR(W336/W446, "NA")</f>
        <v>NA</v>
      </c>
      <c r="Y336" s="14"/>
      <c r="Z336" s="12">
        <v>0.0</v>
      </c>
      <c r="AA336" s="13" t="str">
        <f>IFERROR(Z336/Z446, "NA")</f>
        <v>NA</v>
      </c>
      <c r="AB336" s="14"/>
      <c r="AC336" s="12">
        <v>0.0</v>
      </c>
      <c r="AD336" s="13" t="str">
        <f>IFERROR(AC336/AC446, "NA")</f>
        <v>NA</v>
      </c>
      <c r="AE336" s="14"/>
      <c r="AF336" s="12">
        <v>0.0</v>
      </c>
      <c r="AG336" s="13" t="str">
        <f>IFERROR(AF336/AF446, "NA")</f>
        <v>NA</v>
      </c>
      <c r="AH336" s="14"/>
      <c r="AI336" s="12">
        <v>0.0</v>
      </c>
      <c r="AJ336" s="13" t="str">
        <f>IFERROR(AI336/AI446, "NA")</f>
        <v>NA</v>
      </c>
      <c r="AK336" s="12"/>
      <c r="AL336" s="15">
        <f t="shared" si="47"/>
        <v>0</v>
      </c>
      <c r="AM336" s="13" t="str">
        <f>IFERROR(AL336/AL446, "NA")</f>
        <v>NA</v>
      </c>
      <c r="AN336" s="12"/>
      <c r="AO336" s="12">
        <v>0.0</v>
      </c>
      <c r="AP336" s="13" t="str">
        <f>IFERROR(AO336/AO446, "NA")</f>
        <v>NA</v>
      </c>
      <c r="AQ336" s="12"/>
      <c r="AR336" s="15">
        <f t="shared" si="48"/>
        <v>0</v>
      </c>
    </row>
    <row r="337" ht="16.5" customHeight="1">
      <c r="A337" s="7" t="s">
        <v>311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  <c r="AE337" s="10"/>
      <c r="AF337" s="8"/>
      <c r="AG337" s="9"/>
      <c r="AH337" s="10"/>
      <c r="AI337" s="8"/>
      <c r="AJ337" s="9"/>
      <c r="AK337" s="8"/>
      <c r="AL337" s="8"/>
      <c r="AM337" s="9"/>
      <c r="AN337" s="8"/>
      <c r="AO337" s="8"/>
      <c r="AP337" s="9"/>
      <c r="AQ337" s="8"/>
      <c r="AR337" s="8"/>
    </row>
    <row r="338" ht="16.5" hidden="1" customHeight="1">
      <c r="A338" s="11" t="s">
        <v>697</v>
      </c>
      <c r="B338" s="12">
        <v>0.0</v>
      </c>
      <c r="C338" s="13" t="str">
        <f>IFERROR(B338/B446, "NA")</f>
        <v>NA</v>
      </c>
      <c r="D338" s="14"/>
      <c r="E338" s="12">
        <v>0.0</v>
      </c>
      <c r="F338" s="13" t="str">
        <f>IFERROR(E338/E446, "NA")</f>
        <v>NA</v>
      </c>
      <c r="G338" s="14"/>
      <c r="H338" s="12">
        <v>0.0</v>
      </c>
      <c r="I338" s="13" t="str">
        <f>IFERROR(H338/H446, "NA")</f>
        <v>NA</v>
      </c>
      <c r="J338" s="14"/>
      <c r="K338" s="12">
        <v>0.0</v>
      </c>
      <c r="L338" s="13" t="str">
        <f>IFERROR(K338/K446, "NA")</f>
        <v>NA</v>
      </c>
      <c r="M338" s="14"/>
      <c r="N338" s="12">
        <v>0.0</v>
      </c>
      <c r="O338" s="13" t="str">
        <f>IFERROR(N338/N446, "NA")</f>
        <v>NA</v>
      </c>
      <c r="P338" s="14"/>
      <c r="Q338" s="12">
        <v>0.0</v>
      </c>
      <c r="R338" s="13" t="str">
        <f>IFERROR(Q338/Q446, "NA")</f>
        <v>NA</v>
      </c>
      <c r="S338" s="14"/>
      <c r="T338" s="12">
        <v>0.0</v>
      </c>
      <c r="U338" s="13" t="str">
        <f>IFERROR(T338/T446, "NA")</f>
        <v>NA</v>
      </c>
      <c r="V338" s="14"/>
      <c r="W338" s="12">
        <v>0.0</v>
      </c>
      <c r="X338" s="13" t="str">
        <f>IFERROR(W338/W446, "NA")</f>
        <v>NA</v>
      </c>
      <c r="Y338" s="14"/>
      <c r="Z338" s="12">
        <v>0.0</v>
      </c>
      <c r="AA338" s="13" t="str">
        <f>IFERROR(Z338/Z446, "NA")</f>
        <v>NA</v>
      </c>
      <c r="AB338" s="14"/>
      <c r="AC338" s="12">
        <v>0.0</v>
      </c>
      <c r="AD338" s="13" t="str">
        <f>IFERROR(AC338/AC446, "NA")</f>
        <v>NA</v>
      </c>
      <c r="AE338" s="14"/>
      <c r="AF338" s="12">
        <v>0.0</v>
      </c>
      <c r="AG338" s="13" t="str">
        <f>IFERROR(AF338/AF446, "NA")</f>
        <v>NA</v>
      </c>
      <c r="AH338" s="14"/>
      <c r="AI338" s="12">
        <v>0.0</v>
      </c>
      <c r="AJ338" s="13" t="str">
        <f>IFERROR(AI338/AI446, "NA")</f>
        <v>NA</v>
      </c>
      <c r="AK338" s="12"/>
      <c r="AL338" s="15">
        <f t="shared" ref="AL338:AL346" si="49">IFERROR(B338+E338+H338+K338+N338+Q338+T338+W338+Z338+AC338+AF338+AI338, "NA")</f>
        <v>0</v>
      </c>
      <c r="AM338" s="13" t="str">
        <f>IFERROR(AL338/AL446, "NA")</f>
        <v>NA</v>
      </c>
      <c r="AN338" s="12"/>
      <c r="AO338" s="12">
        <v>0.0</v>
      </c>
      <c r="AP338" s="13" t="str">
        <f>IFERROR(AO338/AO446, "NA")</f>
        <v>NA</v>
      </c>
      <c r="AQ338" s="12"/>
      <c r="AR338" s="15">
        <f t="shared" ref="AR338:AR346" si="50">IFERROR(AL338-AO338, "NA")</f>
        <v>0</v>
      </c>
    </row>
    <row r="339" ht="16.5" hidden="1" customHeight="1">
      <c r="A339" s="11" t="s">
        <v>698</v>
      </c>
      <c r="B339" s="12">
        <v>0.0</v>
      </c>
      <c r="C339" s="13" t="str">
        <f>IFERROR(B339/B446, "NA")</f>
        <v>NA</v>
      </c>
      <c r="D339" s="14"/>
      <c r="E339" s="12">
        <v>0.0</v>
      </c>
      <c r="F339" s="13" t="str">
        <f>IFERROR(E339/E446, "NA")</f>
        <v>NA</v>
      </c>
      <c r="G339" s="14"/>
      <c r="H339" s="12">
        <v>0.0</v>
      </c>
      <c r="I339" s="13" t="str">
        <f>IFERROR(H339/H446, "NA")</f>
        <v>NA</v>
      </c>
      <c r="J339" s="14"/>
      <c r="K339" s="12">
        <v>0.0</v>
      </c>
      <c r="L339" s="13" t="str">
        <f>IFERROR(K339/K446, "NA")</f>
        <v>NA</v>
      </c>
      <c r="M339" s="14"/>
      <c r="N339" s="12">
        <v>0.0</v>
      </c>
      <c r="O339" s="13" t="str">
        <f>IFERROR(N339/N446, "NA")</f>
        <v>NA</v>
      </c>
      <c r="P339" s="14"/>
      <c r="Q339" s="12">
        <v>0.0</v>
      </c>
      <c r="R339" s="13" t="str">
        <f>IFERROR(Q339/Q446, "NA")</f>
        <v>NA</v>
      </c>
      <c r="S339" s="14"/>
      <c r="T339" s="12">
        <v>0.0</v>
      </c>
      <c r="U339" s="13" t="str">
        <f>IFERROR(T339/T446, "NA")</f>
        <v>NA</v>
      </c>
      <c r="V339" s="14"/>
      <c r="W339" s="12">
        <v>0.0</v>
      </c>
      <c r="X339" s="13" t="str">
        <f>IFERROR(W339/W446, "NA")</f>
        <v>NA</v>
      </c>
      <c r="Y339" s="14"/>
      <c r="Z339" s="12">
        <v>0.0</v>
      </c>
      <c r="AA339" s="13" t="str">
        <f>IFERROR(Z339/Z446, "NA")</f>
        <v>NA</v>
      </c>
      <c r="AB339" s="14"/>
      <c r="AC339" s="12">
        <v>0.0</v>
      </c>
      <c r="AD339" s="13" t="str">
        <f>IFERROR(AC339/AC446, "NA")</f>
        <v>NA</v>
      </c>
      <c r="AE339" s="14"/>
      <c r="AF339" s="12">
        <v>0.0</v>
      </c>
      <c r="AG339" s="13" t="str">
        <f>IFERROR(AF339/AF446, "NA")</f>
        <v>NA</v>
      </c>
      <c r="AH339" s="14"/>
      <c r="AI339" s="12">
        <v>0.0</v>
      </c>
      <c r="AJ339" s="13" t="str">
        <f>IFERROR(AI339/AI446, "NA")</f>
        <v>NA</v>
      </c>
      <c r="AK339" s="12"/>
      <c r="AL339" s="15">
        <f t="shared" si="49"/>
        <v>0</v>
      </c>
      <c r="AM339" s="13" t="str">
        <f>IFERROR(AL339/AL446, "NA")</f>
        <v>NA</v>
      </c>
      <c r="AN339" s="12"/>
      <c r="AO339" s="12">
        <v>0.0</v>
      </c>
      <c r="AP339" s="13" t="str">
        <f>IFERROR(AO339/AO446, "NA")</f>
        <v>NA</v>
      </c>
      <c r="AQ339" s="12"/>
      <c r="AR339" s="15">
        <f t="shared" si="50"/>
        <v>0</v>
      </c>
    </row>
    <row r="340" ht="16.5" hidden="1" customHeight="1">
      <c r="A340" s="11" t="s">
        <v>699</v>
      </c>
      <c r="B340" s="12">
        <v>0.0</v>
      </c>
      <c r="C340" s="13" t="str">
        <f>IFERROR(B340/B446, "NA")</f>
        <v>NA</v>
      </c>
      <c r="D340" s="14"/>
      <c r="E340" s="12">
        <v>0.0</v>
      </c>
      <c r="F340" s="13" t="str">
        <f>IFERROR(E340/E446, "NA")</f>
        <v>NA</v>
      </c>
      <c r="G340" s="14"/>
      <c r="H340" s="12">
        <v>0.0</v>
      </c>
      <c r="I340" s="13" t="str">
        <f>IFERROR(H340/H446, "NA")</f>
        <v>NA</v>
      </c>
      <c r="J340" s="14"/>
      <c r="K340" s="12">
        <v>0.0</v>
      </c>
      <c r="L340" s="13" t="str">
        <f>IFERROR(K340/K446, "NA")</f>
        <v>NA</v>
      </c>
      <c r="M340" s="14"/>
      <c r="N340" s="12">
        <v>0.0</v>
      </c>
      <c r="O340" s="13" t="str">
        <f>IFERROR(N340/N446, "NA")</f>
        <v>NA</v>
      </c>
      <c r="P340" s="14"/>
      <c r="Q340" s="12">
        <v>0.0</v>
      </c>
      <c r="R340" s="13" t="str">
        <f>IFERROR(Q340/Q446, "NA")</f>
        <v>NA</v>
      </c>
      <c r="S340" s="14"/>
      <c r="T340" s="12">
        <v>0.0</v>
      </c>
      <c r="U340" s="13" t="str">
        <f>IFERROR(T340/T446, "NA")</f>
        <v>NA</v>
      </c>
      <c r="V340" s="14"/>
      <c r="W340" s="12">
        <v>0.0</v>
      </c>
      <c r="X340" s="13" t="str">
        <f>IFERROR(W340/W446, "NA")</f>
        <v>NA</v>
      </c>
      <c r="Y340" s="14"/>
      <c r="Z340" s="12">
        <v>0.0</v>
      </c>
      <c r="AA340" s="13" t="str">
        <f>IFERROR(Z340/Z446, "NA")</f>
        <v>NA</v>
      </c>
      <c r="AB340" s="14"/>
      <c r="AC340" s="12">
        <v>0.0</v>
      </c>
      <c r="AD340" s="13" t="str">
        <f>IFERROR(AC340/AC446, "NA")</f>
        <v>NA</v>
      </c>
      <c r="AE340" s="14"/>
      <c r="AF340" s="12">
        <v>0.0</v>
      </c>
      <c r="AG340" s="13" t="str">
        <f>IFERROR(AF340/AF446, "NA")</f>
        <v>NA</v>
      </c>
      <c r="AH340" s="14"/>
      <c r="AI340" s="12">
        <v>0.0</v>
      </c>
      <c r="AJ340" s="13" t="str">
        <f>IFERROR(AI340/AI446, "NA")</f>
        <v>NA</v>
      </c>
      <c r="AK340" s="12"/>
      <c r="AL340" s="15">
        <f t="shared" si="49"/>
        <v>0</v>
      </c>
      <c r="AM340" s="13" t="str">
        <f>IFERROR(AL340/AL446, "NA")</f>
        <v>NA</v>
      </c>
      <c r="AN340" s="12"/>
      <c r="AO340" s="12">
        <v>0.0</v>
      </c>
      <c r="AP340" s="13" t="str">
        <f>IFERROR(AO340/AO446, "NA")</f>
        <v>NA</v>
      </c>
      <c r="AQ340" s="12"/>
      <c r="AR340" s="15">
        <f t="shared" si="50"/>
        <v>0</v>
      </c>
    </row>
    <row r="341" ht="16.5" hidden="1" customHeight="1">
      <c r="A341" s="11" t="s">
        <v>700</v>
      </c>
      <c r="B341" s="12">
        <v>0.0</v>
      </c>
      <c r="C341" s="13" t="str">
        <f>IFERROR(B341/B446, "NA")</f>
        <v>NA</v>
      </c>
      <c r="D341" s="14"/>
      <c r="E341" s="12">
        <v>0.0</v>
      </c>
      <c r="F341" s="13" t="str">
        <f>IFERROR(E341/E446, "NA")</f>
        <v>NA</v>
      </c>
      <c r="G341" s="14"/>
      <c r="H341" s="12">
        <v>0.0</v>
      </c>
      <c r="I341" s="13" t="str">
        <f>IFERROR(H341/H446, "NA")</f>
        <v>NA</v>
      </c>
      <c r="J341" s="14"/>
      <c r="K341" s="12">
        <v>0.0</v>
      </c>
      <c r="L341" s="13" t="str">
        <f>IFERROR(K341/K446, "NA")</f>
        <v>NA</v>
      </c>
      <c r="M341" s="14"/>
      <c r="N341" s="12">
        <v>0.0</v>
      </c>
      <c r="O341" s="13" t="str">
        <f>IFERROR(N341/N446, "NA")</f>
        <v>NA</v>
      </c>
      <c r="P341" s="14"/>
      <c r="Q341" s="12">
        <v>0.0</v>
      </c>
      <c r="R341" s="13" t="str">
        <f>IFERROR(Q341/Q446, "NA")</f>
        <v>NA</v>
      </c>
      <c r="S341" s="14"/>
      <c r="T341" s="12">
        <v>0.0</v>
      </c>
      <c r="U341" s="13" t="str">
        <f>IFERROR(T341/T446, "NA")</f>
        <v>NA</v>
      </c>
      <c r="V341" s="14"/>
      <c r="W341" s="12">
        <v>0.0</v>
      </c>
      <c r="X341" s="13" t="str">
        <f>IFERROR(W341/W446, "NA")</f>
        <v>NA</v>
      </c>
      <c r="Y341" s="14"/>
      <c r="Z341" s="12">
        <v>0.0</v>
      </c>
      <c r="AA341" s="13" t="str">
        <f>IFERROR(Z341/Z446, "NA")</f>
        <v>NA</v>
      </c>
      <c r="AB341" s="14"/>
      <c r="AC341" s="12">
        <v>0.0</v>
      </c>
      <c r="AD341" s="13" t="str">
        <f>IFERROR(AC341/AC446, "NA")</f>
        <v>NA</v>
      </c>
      <c r="AE341" s="14"/>
      <c r="AF341" s="12">
        <v>0.0</v>
      </c>
      <c r="AG341" s="13" t="str">
        <f>IFERROR(AF341/AF446, "NA")</f>
        <v>NA</v>
      </c>
      <c r="AH341" s="14"/>
      <c r="AI341" s="12">
        <v>0.0</v>
      </c>
      <c r="AJ341" s="13" t="str">
        <f>IFERROR(AI341/AI446, "NA")</f>
        <v>NA</v>
      </c>
      <c r="AK341" s="12"/>
      <c r="AL341" s="15">
        <f t="shared" si="49"/>
        <v>0</v>
      </c>
      <c r="AM341" s="13" t="str">
        <f>IFERROR(AL341/AL446, "NA")</f>
        <v>NA</v>
      </c>
      <c r="AN341" s="12"/>
      <c r="AO341" s="12">
        <v>0.0</v>
      </c>
      <c r="AP341" s="13" t="str">
        <f>IFERROR(AO341/AO446, "NA")</f>
        <v>NA</v>
      </c>
      <c r="AQ341" s="12"/>
      <c r="AR341" s="15">
        <f t="shared" si="50"/>
        <v>0</v>
      </c>
    </row>
    <row r="342" ht="16.5" hidden="1" customHeight="1">
      <c r="A342" s="11" t="s">
        <v>701</v>
      </c>
      <c r="B342" s="12">
        <v>0.0</v>
      </c>
      <c r="C342" s="13" t="str">
        <f>IFERROR(B342/B446, "NA")</f>
        <v>NA</v>
      </c>
      <c r="D342" s="14"/>
      <c r="E342" s="12">
        <v>0.0</v>
      </c>
      <c r="F342" s="13" t="str">
        <f>IFERROR(E342/E446, "NA")</f>
        <v>NA</v>
      </c>
      <c r="G342" s="14"/>
      <c r="H342" s="12">
        <v>0.0</v>
      </c>
      <c r="I342" s="13" t="str">
        <f>IFERROR(H342/H446, "NA")</f>
        <v>NA</v>
      </c>
      <c r="J342" s="14"/>
      <c r="K342" s="12">
        <v>0.0</v>
      </c>
      <c r="L342" s="13" t="str">
        <f>IFERROR(K342/K446, "NA")</f>
        <v>NA</v>
      </c>
      <c r="M342" s="14"/>
      <c r="N342" s="12">
        <v>0.0</v>
      </c>
      <c r="O342" s="13" t="str">
        <f>IFERROR(N342/N446, "NA")</f>
        <v>NA</v>
      </c>
      <c r="P342" s="14"/>
      <c r="Q342" s="12">
        <v>0.0</v>
      </c>
      <c r="R342" s="13" t="str">
        <f>IFERROR(Q342/Q446, "NA")</f>
        <v>NA</v>
      </c>
      <c r="S342" s="14"/>
      <c r="T342" s="12">
        <v>0.0</v>
      </c>
      <c r="U342" s="13" t="str">
        <f>IFERROR(T342/T446, "NA")</f>
        <v>NA</v>
      </c>
      <c r="V342" s="14"/>
      <c r="W342" s="12">
        <v>0.0</v>
      </c>
      <c r="X342" s="13" t="str">
        <f>IFERROR(W342/W446, "NA")</f>
        <v>NA</v>
      </c>
      <c r="Y342" s="14"/>
      <c r="Z342" s="12">
        <v>0.0</v>
      </c>
      <c r="AA342" s="13" t="str">
        <f>IFERROR(Z342/Z446, "NA")</f>
        <v>NA</v>
      </c>
      <c r="AB342" s="14"/>
      <c r="AC342" s="12">
        <v>0.0</v>
      </c>
      <c r="AD342" s="13" t="str">
        <f>IFERROR(AC342/AC446, "NA")</f>
        <v>NA</v>
      </c>
      <c r="AE342" s="14"/>
      <c r="AF342" s="12">
        <v>0.0</v>
      </c>
      <c r="AG342" s="13" t="str">
        <f>IFERROR(AF342/AF446, "NA")</f>
        <v>NA</v>
      </c>
      <c r="AH342" s="14"/>
      <c r="AI342" s="12">
        <v>0.0</v>
      </c>
      <c r="AJ342" s="13" t="str">
        <f>IFERROR(AI342/AI446, "NA")</f>
        <v>NA</v>
      </c>
      <c r="AK342" s="12"/>
      <c r="AL342" s="15">
        <f t="shared" si="49"/>
        <v>0</v>
      </c>
      <c r="AM342" s="13" t="str">
        <f>IFERROR(AL342/AL446, "NA")</f>
        <v>NA</v>
      </c>
      <c r="AN342" s="12"/>
      <c r="AO342" s="12">
        <v>0.0</v>
      </c>
      <c r="AP342" s="13" t="str">
        <f>IFERROR(AO342/AO446, "NA")</f>
        <v>NA</v>
      </c>
      <c r="AQ342" s="12"/>
      <c r="AR342" s="15">
        <f t="shared" si="50"/>
        <v>0</v>
      </c>
    </row>
    <row r="343" ht="16.5" customHeight="1">
      <c r="A343" s="16" t="s">
        <v>316</v>
      </c>
      <c r="B343" s="17">
        <f>IFERROR(B338+B339+B340+B341+B342, "NA")</f>
        <v>0</v>
      </c>
      <c r="C343" s="18" t="str">
        <f>IFERROR(B343/B446, "NA")</f>
        <v>NA</v>
      </c>
      <c r="D343" s="8"/>
      <c r="E343" s="17">
        <f>IFERROR(E338+E339+E340+E341+E342, "NA")</f>
        <v>0</v>
      </c>
      <c r="F343" s="18" t="str">
        <f>IFERROR(E343/E446, "NA")</f>
        <v>NA</v>
      </c>
      <c r="G343" s="8"/>
      <c r="H343" s="17">
        <f>IFERROR(H338+H339+H340+H341+H342, "NA")</f>
        <v>0</v>
      </c>
      <c r="I343" s="18" t="str">
        <f>IFERROR(H343/H446, "NA")</f>
        <v>NA</v>
      </c>
      <c r="J343" s="8"/>
      <c r="K343" s="17">
        <f>IFERROR(K338+K339+K340+K341+K342, "NA")</f>
        <v>0</v>
      </c>
      <c r="L343" s="18" t="str">
        <f>IFERROR(K343/K446, "NA")</f>
        <v>NA</v>
      </c>
      <c r="M343" s="8"/>
      <c r="N343" s="17">
        <f>IFERROR(N338+N339+N340+N341+N342, "NA")</f>
        <v>0</v>
      </c>
      <c r="O343" s="18" t="str">
        <f>IFERROR(N343/N446, "NA")</f>
        <v>NA</v>
      </c>
      <c r="P343" s="8"/>
      <c r="Q343" s="17">
        <f>IFERROR(Q338+Q339+Q340+Q341+Q342, "NA")</f>
        <v>0</v>
      </c>
      <c r="R343" s="18" t="str">
        <f>IFERROR(Q343/Q446, "NA")</f>
        <v>NA</v>
      </c>
      <c r="S343" s="8"/>
      <c r="T343" s="17">
        <f>IFERROR(T338+T339+T340+T341+T342, "NA")</f>
        <v>0</v>
      </c>
      <c r="U343" s="18" t="str">
        <f>IFERROR(T343/T446, "NA")</f>
        <v>NA</v>
      </c>
      <c r="V343" s="8"/>
      <c r="W343" s="17">
        <f>IFERROR(W338+W339+W340+W341+W342, "NA")</f>
        <v>0</v>
      </c>
      <c r="X343" s="18" t="str">
        <f>IFERROR(W343/W446, "NA")</f>
        <v>NA</v>
      </c>
      <c r="Y343" s="8"/>
      <c r="Z343" s="17">
        <f>IFERROR(Z338+Z339+Z340+Z341+Z342, "NA")</f>
        <v>0</v>
      </c>
      <c r="AA343" s="18" t="str">
        <f>IFERROR(Z343/Z446, "NA")</f>
        <v>NA</v>
      </c>
      <c r="AB343" s="8"/>
      <c r="AC343" s="17">
        <f>IFERROR(AC338+AC339+AC340+AC341+AC342, "NA")</f>
        <v>0</v>
      </c>
      <c r="AD343" s="18" t="str">
        <f>IFERROR(AC343/AC446, "NA")</f>
        <v>NA</v>
      </c>
      <c r="AE343" s="8"/>
      <c r="AF343" s="17">
        <f>IFERROR(AF338+AF339+AF340+AF341+AF342, "NA")</f>
        <v>0</v>
      </c>
      <c r="AG343" s="18" t="str">
        <f>IFERROR(AF343/AF446, "NA")</f>
        <v>NA</v>
      </c>
      <c r="AH343" s="8"/>
      <c r="AI343" s="17">
        <f>IFERROR(AI338+AI339+AI340+AI341+AI342, "NA")</f>
        <v>0</v>
      </c>
      <c r="AJ343" s="18" t="str">
        <f>IFERROR(AI343/AI446, "NA")</f>
        <v>NA</v>
      </c>
      <c r="AK343" s="8"/>
      <c r="AL343" s="17">
        <f t="shared" si="49"/>
        <v>0</v>
      </c>
      <c r="AM343" s="18" t="str">
        <f>IFERROR(AL343/AL446, "NA")</f>
        <v>NA</v>
      </c>
      <c r="AN343" s="8"/>
      <c r="AO343" s="17">
        <f>IFERROR(AO338+AO339+AO340+AO341+AO342, "NA")</f>
        <v>0</v>
      </c>
      <c r="AP343" s="18" t="str">
        <f>IFERROR(AO343/AO446, "NA")</f>
        <v>NA</v>
      </c>
      <c r="AQ343" s="8"/>
      <c r="AR343" s="17">
        <f t="shared" si="50"/>
        <v>0</v>
      </c>
    </row>
    <row r="344" ht="16.5" customHeight="1">
      <c r="A344" s="16" t="s">
        <v>317</v>
      </c>
      <c r="B344" s="17">
        <f>IFERROR(B329+B330+B331+B332+B333+B334+B335+B336+B338+B339+B340+B341+B342, "NA")</f>
        <v>0</v>
      </c>
      <c r="C344" s="18" t="str">
        <f>IFERROR(B344/B446, "NA")</f>
        <v>NA</v>
      </c>
      <c r="D344" s="8"/>
      <c r="E344" s="17">
        <f>IFERROR(E329+E330+E331+E332+E333+E334+E335+E336+E338+E339+E340+E341+E342, "NA")</f>
        <v>0</v>
      </c>
      <c r="F344" s="18" t="str">
        <f>IFERROR(E344/E446, "NA")</f>
        <v>NA</v>
      </c>
      <c r="G344" s="8"/>
      <c r="H344" s="17">
        <f>IFERROR(H329+H330+H331+H332+H333+H334+H335+H336+H338+H339+H340+H341+H342, "NA")</f>
        <v>0</v>
      </c>
      <c r="I344" s="18" t="str">
        <f>IFERROR(H344/H446, "NA")</f>
        <v>NA</v>
      </c>
      <c r="J344" s="8"/>
      <c r="K344" s="17">
        <f>IFERROR(K329+K330+K331+K332+K333+K334+K335+K336+K338+K339+K340+K341+K342, "NA")</f>
        <v>0</v>
      </c>
      <c r="L344" s="18" t="str">
        <f>IFERROR(K344/K446, "NA")</f>
        <v>NA</v>
      </c>
      <c r="M344" s="8"/>
      <c r="N344" s="17">
        <f>IFERROR(N329+N330+N331+N332+N333+N334+N335+N336+N338+N339+N340+N341+N342, "NA")</f>
        <v>0</v>
      </c>
      <c r="O344" s="18" t="str">
        <f>IFERROR(N344/N446, "NA")</f>
        <v>NA</v>
      </c>
      <c r="P344" s="8"/>
      <c r="Q344" s="17">
        <f>IFERROR(Q329+Q330+Q331+Q332+Q333+Q334+Q335+Q336+Q338+Q339+Q340+Q341+Q342, "NA")</f>
        <v>0</v>
      </c>
      <c r="R344" s="18" t="str">
        <f>IFERROR(Q344/Q446, "NA")</f>
        <v>NA</v>
      </c>
      <c r="S344" s="8"/>
      <c r="T344" s="17">
        <f>IFERROR(T329+T330+T331+T332+T333+T334+T335+T336+T338+T339+T340+T341+T342, "NA")</f>
        <v>0</v>
      </c>
      <c r="U344" s="18" t="str">
        <f>IFERROR(T344/T446, "NA")</f>
        <v>NA</v>
      </c>
      <c r="V344" s="8"/>
      <c r="W344" s="17">
        <f>IFERROR(W329+W330+W331+W332+W333+W334+W335+W336+W338+W339+W340+W341+W342, "NA")</f>
        <v>0</v>
      </c>
      <c r="X344" s="18" t="str">
        <f>IFERROR(W344/W446, "NA")</f>
        <v>NA</v>
      </c>
      <c r="Y344" s="8"/>
      <c r="Z344" s="17">
        <f>IFERROR(Z329+Z330+Z331+Z332+Z333+Z334+Z335+Z336+Z338+Z339+Z340+Z341+Z342, "NA")</f>
        <v>0</v>
      </c>
      <c r="AA344" s="18" t="str">
        <f>IFERROR(Z344/Z446, "NA")</f>
        <v>NA</v>
      </c>
      <c r="AB344" s="8"/>
      <c r="AC344" s="17">
        <f>IFERROR(AC329+AC330+AC331+AC332+AC333+AC334+AC335+AC336+AC338+AC339+AC340+AC341+AC342, "NA")</f>
        <v>0</v>
      </c>
      <c r="AD344" s="18" t="str">
        <f>IFERROR(AC344/AC446, "NA")</f>
        <v>NA</v>
      </c>
      <c r="AE344" s="8"/>
      <c r="AF344" s="17">
        <f>IFERROR(AF329+AF330+AF331+AF332+AF333+AF334+AF335+AF336+AF338+AF339+AF340+AF341+AF342, "NA")</f>
        <v>0</v>
      </c>
      <c r="AG344" s="18" t="str">
        <f>IFERROR(AF344/AF446, "NA")</f>
        <v>NA</v>
      </c>
      <c r="AH344" s="8"/>
      <c r="AI344" s="17">
        <f>IFERROR(AI329+AI330+AI331+AI332+AI333+AI334+AI335+AI336+AI338+AI339+AI340+AI341+AI342, "NA")</f>
        <v>0</v>
      </c>
      <c r="AJ344" s="18" t="str">
        <f>IFERROR(AI344/AI446, "NA")</f>
        <v>NA</v>
      </c>
      <c r="AK344" s="8"/>
      <c r="AL344" s="17">
        <f t="shared" si="49"/>
        <v>0</v>
      </c>
      <c r="AM344" s="18" t="str">
        <f>IFERROR(AL344/AL446, "NA")</f>
        <v>NA</v>
      </c>
      <c r="AN344" s="8"/>
      <c r="AO344" s="17">
        <f>IFERROR(AO329+AO330+AO331+AO332+AO333+AO334+AO335+AO336+AO338+AO339+AO340+AO341+AO342, "NA")</f>
        <v>0</v>
      </c>
      <c r="AP344" s="18" t="str">
        <f>IFERROR(AO344/AO446, "NA")</f>
        <v>NA</v>
      </c>
      <c r="AQ344" s="8"/>
      <c r="AR344" s="17">
        <f t="shared" si="50"/>
        <v>0</v>
      </c>
    </row>
    <row r="345" ht="16.5" customHeight="1">
      <c r="A345" s="16" t="s">
        <v>318</v>
      </c>
      <c r="B345" s="17">
        <f>IFERROR(B329+B330+B331+B332+B333+B334+B335+B336+B338+B339+B340+B341+B342, "NA")</f>
        <v>0</v>
      </c>
      <c r="C345" s="18" t="str">
        <f>IFERROR(B345/B446, "NA")</f>
        <v>NA</v>
      </c>
      <c r="D345" s="8"/>
      <c r="E345" s="17">
        <f>IFERROR(E329+E330+E331+E332+E333+E334+E335+E336+E338+E339+E340+E341+E342, "NA")</f>
        <v>0</v>
      </c>
      <c r="F345" s="18" t="str">
        <f>IFERROR(E345/E446, "NA")</f>
        <v>NA</v>
      </c>
      <c r="G345" s="8"/>
      <c r="H345" s="17">
        <f>IFERROR(H329+H330+H331+H332+H333+H334+H335+H336+H338+H339+H340+H341+H342, "NA")</f>
        <v>0</v>
      </c>
      <c r="I345" s="18" t="str">
        <f>IFERROR(H345/H446, "NA")</f>
        <v>NA</v>
      </c>
      <c r="J345" s="8"/>
      <c r="K345" s="17">
        <f>IFERROR(K329+K330+K331+K332+K333+K334+K335+K336+K338+K339+K340+K341+K342, "NA")</f>
        <v>0</v>
      </c>
      <c r="L345" s="18" t="str">
        <f>IFERROR(K345/K446, "NA")</f>
        <v>NA</v>
      </c>
      <c r="M345" s="8"/>
      <c r="N345" s="17">
        <f>IFERROR(N329+N330+N331+N332+N333+N334+N335+N336+N338+N339+N340+N341+N342, "NA")</f>
        <v>0</v>
      </c>
      <c r="O345" s="18" t="str">
        <f>IFERROR(N345/N446, "NA")</f>
        <v>NA</v>
      </c>
      <c r="P345" s="8"/>
      <c r="Q345" s="17">
        <f>IFERROR(Q329+Q330+Q331+Q332+Q333+Q334+Q335+Q336+Q338+Q339+Q340+Q341+Q342, "NA")</f>
        <v>0</v>
      </c>
      <c r="R345" s="18" t="str">
        <f>IFERROR(Q345/Q446, "NA")</f>
        <v>NA</v>
      </c>
      <c r="S345" s="8"/>
      <c r="T345" s="17">
        <f>IFERROR(T329+T330+T331+T332+T333+T334+T335+T336+T338+T339+T340+T341+T342, "NA")</f>
        <v>0</v>
      </c>
      <c r="U345" s="18" t="str">
        <f>IFERROR(T345/T446, "NA")</f>
        <v>NA</v>
      </c>
      <c r="V345" s="8"/>
      <c r="W345" s="17">
        <f>IFERROR(W329+W330+W331+W332+W333+W334+W335+W336+W338+W339+W340+W341+W342, "NA")</f>
        <v>0</v>
      </c>
      <c r="X345" s="18" t="str">
        <f>IFERROR(W345/W446, "NA")</f>
        <v>NA</v>
      </c>
      <c r="Y345" s="8"/>
      <c r="Z345" s="17">
        <f>IFERROR(Z329+Z330+Z331+Z332+Z333+Z334+Z335+Z336+Z338+Z339+Z340+Z341+Z342, "NA")</f>
        <v>0</v>
      </c>
      <c r="AA345" s="18" t="str">
        <f>IFERROR(Z345/Z446, "NA")</f>
        <v>NA</v>
      </c>
      <c r="AB345" s="8"/>
      <c r="AC345" s="17">
        <f>IFERROR(AC329+AC330+AC331+AC332+AC333+AC334+AC335+AC336+AC338+AC339+AC340+AC341+AC342, "NA")</f>
        <v>0</v>
      </c>
      <c r="AD345" s="18" t="str">
        <f>IFERROR(AC345/AC446, "NA")</f>
        <v>NA</v>
      </c>
      <c r="AE345" s="8"/>
      <c r="AF345" s="17">
        <f>IFERROR(AF329+AF330+AF331+AF332+AF333+AF334+AF335+AF336+AF338+AF339+AF340+AF341+AF342, "NA")</f>
        <v>0</v>
      </c>
      <c r="AG345" s="18" t="str">
        <f>IFERROR(AF345/AF446, "NA")</f>
        <v>NA</v>
      </c>
      <c r="AH345" s="8"/>
      <c r="AI345" s="17">
        <f>IFERROR(AI329+AI330+AI331+AI332+AI333+AI334+AI335+AI336+AI338+AI339+AI340+AI341+AI342, "NA")</f>
        <v>0</v>
      </c>
      <c r="AJ345" s="18" t="str">
        <f>IFERROR(AI345/AI446, "NA")</f>
        <v>NA</v>
      </c>
      <c r="AK345" s="8"/>
      <c r="AL345" s="17">
        <f t="shared" si="49"/>
        <v>0</v>
      </c>
      <c r="AM345" s="18" t="str">
        <f>IFERROR(AL345/AL446, "NA")</f>
        <v>NA</v>
      </c>
      <c r="AN345" s="8"/>
      <c r="AO345" s="17">
        <f>IFERROR(AO329+AO330+AO331+AO332+AO333+AO334+AO335+AO336+AO338+AO339+AO340+AO341+AO342, "NA")</f>
        <v>0</v>
      </c>
      <c r="AP345" s="18" t="str">
        <f>IFERROR(AO345/AO446, "NA")</f>
        <v>NA</v>
      </c>
      <c r="AQ345" s="8"/>
      <c r="AR345" s="17">
        <f t="shared" si="50"/>
        <v>0</v>
      </c>
    </row>
    <row r="346" ht="16.5" customHeight="1">
      <c r="A346" s="19" t="s">
        <v>319</v>
      </c>
      <c r="B346" s="20">
        <f>IFERROR(B198-B326-B345, "NA")</f>
        <v>0</v>
      </c>
      <c r="C346" s="21" t="str">
        <f>IFERROR(B346/B446, "NA")</f>
        <v>NA</v>
      </c>
      <c r="D346" s="22"/>
      <c r="E346" s="20">
        <f>IFERROR(E198-E326-E345, "NA")</f>
        <v>0</v>
      </c>
      <c r="F346" s="21" t="str">
        <f>IFERROR(E346/E446, "NA")</f>
        <v>NA</v>
      </c>
      <c r="G346" s="22"/>
      <c r="H346" s="20">
        <f>IFERROR(H198-H326-H345, "NA")</f>
        <v>0</v>
      </c>
      <c r="I346" s="21" t="str">
        <f>IFERROR(H346/H446, "NA")</f>
        <v>NA</v>
      </c>
      <c r="J346" s="22"/>
      <c r="K346" s="20">
        <f>IFERROR(K198-K326-K345, "NA")</f>
        <v>0</v>
      </c>
      <c r="L346" s="21" t="str">
        <f>IFERROR(K346/K446, "NA")</f>
        <v>NA</v>
      </c>
      <c r="M346" s="22"/>
      <c r="N346" s="20">
        <f>IFERROR(N198-N326-N345, "NA")</f>
        <v>0</v>
      </c>
      <c r="O346" s="21" t="str">
        <f>IFERROR(N346/N446, "NA")</f>
        <v>NA</v>
      </c>
      <c r="P346" s="22"/>
      <c r="Q346" s="20">
        <f>IFERROR(Q198-Q326-Q345, "NA")</f>
        <v>0</v>
      </c>
      <c r="R346" s="21" t="str">
        <f>IFERROR(Q346/Q446, "NA")</f>
        <v>NA</v>
      </c>
      <c r="S346" s="22"/>
      <c r="T346" s="20">
        <f>IFERROR(T198-T326-T345, "NA")</f>
        <v>0</v>
      </c>
      <c r="U346" s="21" t="str">
        <f>IFERROR(T346/T446, "NA")</f>
        <v>NA</v>
      </c>
      <c r="V346" s="22"/>
      <c r="W346" s="20">
        <f>IFERROR(W198-W326-W345, "NA")</f>
        <v>0</v>
      </c>
      <c r="X346" s="21" t="str">
        <f>IFERROR(W346/W446, "NA")</f>
        <v>NA</v>
      </c>
      <c r="Y346" s="22"/>
      <c r="Z346" s="20">
        <f>IFERROR(Z198-Z326-Z345, "NA")</f>
        <v>0</v>
      </c>
      <c r="AA346" s="21" t="str">
        <f>IFERROR(Z346/Z446, "NA")</f>
        <v>NA</v>
      </c>
      <c r="AB346" s="22"/>
      <c r="AC346" s="20">
        <f>IFERROR(AC198-AC326-AC345, "NA")</f>
        <v>0</v>
      </c>
      <c r="AD346" s="21" t="str">
        <f>IFERROR(AC346/AC446, "NA")</f>
        <v>NA</v>
      </c>
      <c r="AE346" s="22"/>
      <c r="AF346" s="20">
        <f>IFERROR(AF198-AF326-AF345, "NA")</f>
        <v>0</v>
      </c>
      <c r="AG346" s="21" t="str">
        <f>IFERROR(AF346/AF446, "NA")</f>
        <v>NA</v>
      </c>
      <c r="AH346" s="22"/>
      <c r="AI346" s="20">
        <f>IFERROR(AI198-AI326-AI345, "NA")</f>
        <v>0</v>
      </c>
      <c r="AJ346" s="21" t="str">
        <f>IFERROR(AI346/AI446, "NA")</f>
        <v>NA</v>
      </c>
      <c r="AK346" s="22"/>
      <c r="AL346" s="20">
        <f t="shared" si="49"/>
        <v>0</v>
      </c>
      <c r="AM346" s="21" t="str">
        <f>IFERROR(AL346/AL446, "NA")</f>
        <v>NA</v>
      </c>
      <c r="AN346" s="22"/>
      <c r="AO346" s="20">
        <f>IFERROR(AO198-AO326-AO345, "NA")</f>
        <v>0</v>
      </c>
      <c r="AP346" s="21" t="str">
        <f>IFERROR(AO346/AO446, "NA")</f>
        <v>NA</v>
      </c>
      <c r="AQ346" s="22"/>
      <c r="AR346" s="20">
        <f t="shared" si="50"/>
        <v>0</v>
      </c>
    </row>
    <row r="347" ht="16.5" customHeight="1">
      <c r="A347" s="7" t="s">
        <v>320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  <c r="AE347" s="10"/>
      <c r="AF347" s="8"/>
      <c r="AG347" s="9"/>
      <c r="AH347" s="10"/>
      <c r="AI347" s="8"/>
      <c r="AJ347" s="9"/>
      <c r="AK347" s="8"/>
      <c r="AL347" s="8"/>
      <c r="AM347" s="9"/>
      <c r="AN347" s="8"/>
      <c r="AO347" s="8"/>
      <c r="AP347" s="9"/>
      <c r="AQ347" s="8"/>
      <c r="AR347" s="8"/>
    </row>
    <row r="348" ht="16.5" hidden="1" customHeight="1">
      <c r="A348" s="11" t="s">
        <v>702</v>
      </c>
      <c r="B348" s="12">
        <v>0.0</v>
      </c>
      <c r="C348" s="13" t="str">
        <f>IFERROR(B348/B446, "NA")</f>
        <v>NA</v>
      </c>
      <c r="D348" s="14"/>
      <c r="E348" s="12">
        <v>0.0</v>
      </c>
      <c r="F348" s="13" t="str">
        <f>IFERROR(E348/E446, "NA")</f>
        <v>NA</v>
      </c>
      <c r="G348" s="14"/>
      <c r="H348" s="12">
        <v>0.0</v>
      </c>
      <c r="I348" s="13" t="str">
        <f>IFERROR(H348/H446, "NA")</f>
        <v>NA</v>
      </c>
      <c r="J348" s="14"/>
      <c r="K348" s="12">
        <v>0.0</v>
      </c>
      <c r="L348" s="13" t="str">
        <f>IFERROR(K348/K446, "NA")</f>
        <v>NA</v>
      </c>
      <c r="M348" s="14"/>
      <c r="N348" s="12">
        <v>0.0</v>
      </c>
      <c r="O348" s="13" t="str">
        <f>IFERROR(N348/N446, "NA")</f>
        <v>NA</v>
      </c>
      <c r="P348" s="14"/>
      <c r="Q348" s="12">
        <v>0.0</v>
      </c>
      <c r="R348" s="13" t="str">
        <f>IFERROR(Q348/Q446, "NA")</f>
        <v>NA</v>
      </c>
      <c r="S348" s="14"/>
      <c r="T348" s="12">
        <v>0.0</v>
      </c>
      <c r="U348" s="13" t="str">
        <f>IFERROR(T348/T446, "NA")</f>
        <v>NA</v>
      </c>
      <c r="V348" s="14"/>
      <c r="W348" s="12">
        <v>0.0</v>
      </c>
      <c r="X348" s="13" t="str">
        <f>IFERROR(W348/W446, "NA")</f>
        <v>NA</v>
      </c>
      <c r="Y348" s="14"/>
      <c r="Z348" s="12">
        <v>0.0</v>
      </c>
      <c r="AA348" s="13" t="str">
        <f>IFERROR(Z348/Z446, "NA")</f>
        <v>NA</v>
      </c>
      <c r="AB348" s="14"/>
      <c r="AC348" s="12">
        <v>0.0</v>
      </c>
      <c r="AD348" s="13" t="str">
        <f>IFERROR(AC348/AC446, "NA")</f>
        <v>NA</v>
      </c>
      <c r="AE348" s="14"/>
      <c r="AF348" s="12">
        <v>0.0</v>
      </c>
      <c r="AG348" s="13" t="str">
        <f>IFERROR(AF348/AF446, "NA")</f>
        <v>NA</v>
      </c>
      <c r="AH348" s="14"/>
      <c r="AI348" s="12">
        <v>0.0</v>
      </c>
      <c r="AJ348" s="13" t="str">
        <f>IFERROR(AI348/AI446, "NA")</f>
        <v>NA</v>
      </c>
      <c r="AK348" s="12"/>
      <c r="AL348" s="15">
        <f>IFERROR(B348+E348+H348+K348+N348+Q348+T348+W348+Z348+AC348+AF348+AI348, "NA")</f>
        <v>0</v>
      </c>
      <c r="AM348" s="13" t="str">
        <f>IFERROR(AL348/AL446, "NA")</f>
        <v>NA</v>
      </c>
      <c r="AN348" s="12"/>
      <c r="AO348" s="12">
        <v>0.0</v>
      </c>
      <c r="AP348" s="13" t="str">
        <f>IFERROR(AO348/AO446, "NA")</f>
        <v>NA</v>
      </c>
      <c r="AQ348" s="12"/>
      <c r="AR348" s="15">
        <f>IFERROR(AL348-AO348, "NA")</f>
        <v>0</v>
      </c>
    </row>
    <row r="349" ht="16.5" customHeight="1">
      <c r="A349" s="7" t="s">
        <v>322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  <c r="AE349" s="10"/>
      <c r="AF349" s="8"/>
      <c r="AG349" s="9"/>
      <c r="AH349" s="10"/>
      <c r="AI349" s="8"/>
      <c r="AJ349" s="9"/>
      <c r="AK349" s="8"/>
      <c r="AL349" s="8"/>
      <c r="AM349" s="9"/>
      <c r="AN349" s="8"/>
      <c r="AO349" s="8"/>
      <c r="AP349" s="9"/>
      <c r="AQ349" s="8"/>
      <c r="AR349" s="8"/>
    </row>
    <row r="350" ht="16.5" hidden="1" customHeight="1">
      <c r="A350" s="11" t="s">
        <v>703</v>
      </c>
      <c r="B350" s="12">
        <v>0.0</v>
      </c>
      <c r="C350" s="13" t="str">
        <f>IFERROR(B350/B446, "NA")</f>
        <v>NA</v>
      </c>
      <c r="D350" s="14"/>
      <c r="E350" s="12">
        <v>0.0</v>
      </c>
      <c r="F350" s="13" t="str">
        <f>IFERROR(E350/E446, "NA")</f>
        <v>NA</v>
      </c>
      <c r="G350" s="14"/>
      <c r="H350" s="12">
        <v>0.0</v>
      </c>
      <c r="I350" s="13" t="str">
        <f>IFERROR(H350/H446, "NA")</f>
        <v>NA</v>
      </c>
      <c r="J350" s="14"/>
      <c r="K350" s="12">
        <v>0.0</v>
      </c>
      <c r="L350" s="13" t="str">
        <f>IFERROR(K350/K446, "NA")</f>
        <v>NA</v>
      </c>
      <c r="M350" s="14"/>
      <c r="N350" s="12">
        <v>0.0</v>
      </c>
      <c r="O350" s="13" t="str">
        <f>IFERROR(N350/N446, "NA")</f>
        <v>NA</v>
      </c>
      <c r="P350" s="14"/>
      <c r="Q350" s="12">
        <v>0.0</v>
      </c>
      <c r="R350" s="13" t="str">
        <f>IFERROR(Q350/Q446, "NA")</f>
        <v>NA</v>
      </c>
      <c r="S350" s="14"/>
      <c r="T350" s="12">
        <v>0.0</v>
      </c>
      <c r="U350" s="13" t="str">
        <f>IFERROR(T350/T446, "NA")</f>
        <v>NA</v>
      </c>
      <c r="V350" s="14"/>
      <c r="W350" s="12">
        <v>0.0</v>
      </c>
      <c r="X350" s="13" t="str">
        <f>IFERROR(W350/W446, "NA")</f>
        <v>NA</v>
      </c>
      <c r="Y350" s="14"/>
      <c r="Z350" s="12">
        <v>0.0</v>
      </c>
      <c r="AA350" s="13" t="str">
        <f>IFERROR(Z350/Z446, "NA")</f>
        <v>NA</v>
      </c>
      <c r="AB350" s="14"/>
      <c r="AC350" s="12">
        <v>0.0</v>
      </c>
      <c r="AD350" s="13" t="str">
        <f>IFERROR(AC350/AC446, "NA")</f>
        <v>NA</v>
      </c>
      <c r="AE350" s="14"/>
      <c r="AF350" s="12">
        <v>0.0</v>
      </c>
      <c r="AG350" s="13" t="str">
        <f>IFERROR(AF350/AF446, "NA")</f>
        <v>NA</v>
      </c>
      <c r="AH350" s="14"/>
      <c r="AI350" s="12">
        <v>0.0</v>
      </c>
      <c r="AJ350" s="13" t="str">
        <f>IFERROR(AI350/AI446, "NA")</f>
        <v>NA</v>
      </c>
      <c r="AK350" s="12"/>
      <c r="AL350" s="15">
        <f t="shared" ref="AL350:AL359" si="51">IFERROR(B350+E350+H350+K350+N350+Q350+T350+W350+Z350+AC350+AF350+AI350, "NA")</f>
        <v>0</v>
      </c>
      <c r="AM350" s="13" t="str">
        <f>IFERROR(AL350/AL446, "NA")</f>
        <v>NA</v>
      </c>
      <c r="AN350" s="12"/>
      <c r="AO350" s="12">
        <v>0.0</v>
      </c>
      <c r="AP350" s="13" t="str">
        <f>IFERROR(AO350/AO446, "NA")</f>
        <v>NA</v>
      </c>
      <c r="AQ350" s="12"/>
      <c r="AR350" s="15">
        <f t="shared" ref="AR350:AR359" si="52">IFERROR(AL350-AO350, "NA")</f>
        <v>0</v>
      </c>
    </row>
    <row r="351" ht="16.5" hidden="1" customHeight="1">
      <c r="A351" s="11" t="s">
        <v>704</v>
      </c>
      <c r="B351" s="12">
        <v>0.0</v>
      </c>
      <c r="C351" s="13" t="str">
        <f>IFERROR(B351/B446, "NA")</f>
        <v>NA</v>
      </c>
      <c r="D351" s="14"/>
      <c r="E351" s="12">
        <v>0.0</v>
      </c>
      <c r="F351" s="13" t="str">
        <f>IFERROR(E351/E446, "NA")</f>
        <v>NA</v>
      </c>
      <c r="G351" s="14"/>
      <c r="H351" s="12">
        <v>0.0</v>
      </c>
      <c r="I351" s="13" t="str">
        <f>IFERROR(H351/H446, "NA")</f>
        <v>NA</v>
      </c>
      <c r="J351" s="14"/>
      <c r="K351" s="12">
        <v>0.0</v>
      </c>
      <c r="L351" s="13" t="str">
        <f>IFERROR(K351/K446, "NA")</f>
        <v>NA</v>
      </c>
      <c r="M351" s="14"/>
      <c r="N351" s="12">
        <v>0.0</v>
      </c>
      <c r="O351" s="13" t="str">
        <f>IFERROR(N351/N446, "NA")</f>
        <v>NA</v>
      </c>
      <c r="P351" s="14"/>
      <c r="Q351" s="12">
        <v>0.0</v>
      </c>
      <c r="R351" s="13" t="str">
        <f>IFERROR(Q351/Q446, "NA")</f>
        <v>NA</v>
      </c>
      <c r="S351" s="14"/>
      <c r="T351" s="12">
        <v>0.0</v>
      </c>
      <c r="U351" s="13" t="str">
        <f>IFERROR(T351/T446, "NA")</f>
        <v>NA</v>
      </c>
      <c r="V351" s="14"/>
      <c r="W351" s="12">
        <v>0.0</v>
      </c>
      <c r="X351" s="13" t="str">
        <f>IFERROR(W351/W446, "NA")</f>
        <v>NA</v>
      </c>
      <c r="Y351" s="14"/>
      <c r="Z351" s="12">
        <v>0.0</v>
      </c>
      <c r="AA351" s="13" t="str">
        <f>IFERROR(Z351/Z446, "NA")</f>
        <v>NA</v>
      </c>
      <c r="AB351" s="14"/>
      <c r="AC351" s="12">
        <v>0.0</v>
      </c>
      <c r="AD351" s="13" t="str">
        <f>IFERROR(AC351/AC446, "NA")</f>
        <v>NA</v>
      </c>
      <c r="AE351" s="14"/>
      <c r="AF351" s="12">
        <v>0.0</v>
      </c>
      <c r="AG351" s="13" t="str">
        <f>IFERROR(AF351/AF446, "NA")</f>
        <v>NA</v>
      </c>
      <c r="AH351" s="14"/>
      <c r="AI351" s="12">
        <v>0.0</v>
      </c>
      <c r="AJ351" s="13" t="str">
        <f>IFERROR(AI351/AI446, "NA")</f>
        <v>NA</v>
      </c>
      <c r="AK351" s="12"/>
      <c r="AL351" s="15">
        <f t="shared" si="51"/>
        <v>0</v>
      </c>
      <c r="AM351" s="13" t="str">
        <f>IFERROR(AL351/AL446, "NA")</f>
        <v>NA</v>
      </c>
      <c r="AN351" s="12"/>
      <c r="AO351" s="12">
        <v>0.0</v>
      </c>
      <c r="AP351" s="13" t="str">
        <f>IFERROR(AO351/AO446, "NA")</f>
        <v>NA</v>
      </c>
      <c r="AQ351" s="12"/>
      <c r="AR351" s="15">
        <f t="shared" si="52"/>
        <v>0</v>
      </c>
    </row>
    <row r="352" ht="16.5" hidden="1" customHeight="1">
      <c r="A352" s="11" t="s">
        <v>705</v>
      </c>
      <c r="B352" s="12">
        <v>0.0</v>
      </c>
      <c r="C352" s="13" t="str">
        <f>IFERROR(B352/B446, "NA")</f>
        <v>NA</v>
      </c>
      <c r="D352" s="14"/>
      <c r="E352" s="12">
        <v>0.0</v>
      </c>
      <c r="F352" s="13" t="str">
        <f>IFERROR(E352/E446, "NA")</f>
        <v>NA</v>
      </c>
      <c r="G352" s="14"/>
      <c r="H352" s="12">
        <v>0.0</v>
      </c>
      <c r="I352" s="13" t="str">
        <f>IFERROR(H352/H446, "NA")</f>
        <v>NA</v>
      </c>
      <c r="J352" s="14"/>
      <c r="K352" s="12">
        <v>0.0</v>
      </c>
      <c r="L352" s="13" t="str">
        <f>IFERROR(K352/K446, "NA")</f>
        <v>NA</v>
      </c>
      <c r="M352" s="14"/>
      <c r="N352" s="12">
        <v>0.0</v>
      </c>
      <c r="O352" s="13" t="str">
        <f>IFERROR(N352/N446, "NA")</f>
        <v>NA</v>
      </c>
      <c r="P352" s="14"/>
      <c r="Q352" s="12">
        <v>0.0</v>
      </c>
      <c r="R352" s="13" t="str">
        <f>IFERROR(Q352/Q446, "NA")</f>
        <v>NA</v>
      </c>
      <c r="S352" s="14"/>
      <c r="T352" s="12">
        <v>0.0</v>
      </c>
      <c r="U352" s="13" t="str">
        <f>IFERROR(T352/T446, "NA")</f>
        <v>NA</v>
      </c>
      <c r="V352" s="14"/>
      <c r="W352" s="12">
        <v>0.0</v>
      </c>
      <c r="X352" s="13" t="str">
        <f>IFERROR(W352/W446, "NA")</f>
        <v>NA</v>
      </c>
      <c r="Y352" s="14"/>
      <c r="Z352" s="12">
        <v>0.0</v>
      </c>
      <c r="AA352" s="13" t="str">
        <f>IFERROR(Z352/Z446, "NA")</f>
        <v>NA</v>
      </c>
      <c r="AB352" s="14"/>
      <c r="AC352" s="12">
        <v>0.0</v>
      </c>
      <c r="AD352" s="13" t="str">
        <f>IFERROR(AC352/AC446, "NA")</f>
        <v>NA</v>
      </c>
      <c r="AE352" s="14"/>
      <c r="AF352" s="12">
        <v>0.0</v>
      </c>
      <c r="AG352" s="13" t="str">
        <f>IFERROR(AF352/AF446, "NA")</f>
        <v>NA</v>
      </c>
      <c r="AH352" s="14"/>
      <c r="AI352" s="12">
        <v>0.0</v>
      </c>
      <c r="AJ352" s="13" t="str">
        <f>IFERROR(AI352/AI446, "NA")</f>
        <v>NA</v>
      </c>
      <c r="AK352" s="12"/>
      <c r="AL352" s="15">
        <f t="shared" si="51"/>
        <v>0</v>
      </c>
      <c r="AM352" s="13" t="str">
        <f>IFERROR(AL352/AL446, "NA")</f>
        <v>NA</v>
      </c>
      <c r="AN352" s="12"/>
      <c r="AO352" s="12">
        <v>0.0</v>
      </c>
      <c r="AP352" s="13" t="str">
        <f>IFERROR(AO352/AO446, "NA")</f>
        <v>NA</v>
      </c>
      <c r="AQ352" s="12"/>
      <c r="AR352" s="15">
        <f t="shared" si="52"/>
        <v>0</v>
      </c>
    </row>
    <row r="353" ht="16.5" hidden="1" customHeight="1">
      <c r="A353" s="11" t="s">
        <v>706</v>
      </c>
      <c r="B353" s="12">
        <v>0.0</v>
      </c>
      <c r="C353" s="13" t="str">
        <f>IFERROR(B353/B446, "NA")</f>
        <v>NA</v>
      </c>
      <c r="D353" s="14"/>
      <c r="E353" s="12">
        <v>0.0</v>
      </c>
      <c r="F353" s="13" t="str">
        <f>IFERROR(E353/E446, "NA")</f>
        <v>NA</v>
      </c>
      <c r="G353" s="14"/>
      <c r="H353" s="12">
        <v>0.0</v>
      </c>
      <c r="I353" s="13" t="str">
        <f>IFERROR(H353/H446, "NA")</f>
        <v>NA</v>
      </c>
      <c r="J353" s="14"/>
      <c r="K353" s="12">
        <v>0.0</v>
      </c>
      <c r="L353" s="13" t="str">
        <f>IFERROR(K353/K446, "NA")</f>
        <v>NA</v>
      </c>
      <c r="M353" s="14"/>
      <c r="N353" s="12">
        <v>0.0</v>
      </c>
      <c r="O353" s="13" t="str">
        <f>IFERROR(N353/N446, "NA")</f>
        <v>NA</v>
      </c>
      <c r="P353" s="14"/>
      <c r="Q353" s="12">
        <v>0.0</v>
      </c>
      <c r="R353" s="13" t="str">
        <f>IFERROR(Q353/Q446, "NA")</f>
        <v>NA</v>
      </c>
      <c r="S353" s="14"/>
      <c r="T353" s="12">
        <v>0.0</v>
      </c>
      <c r="U353" s="13" t="str">
        <f>IFERROR(T353/T446, "NA")</f>
        <v>NA</v>
      </c>
      <c r="V353" s="14"/>
      <c r="W353" s="12">
        <v>0.0</v>
      </c>
      <c r="X353" s="13" t="str">
        <f>IFERROR(W353/W446, "NA")</f>
        <v>NA</v>
      </c>
      <c r="Y353" s="14"/>
      <c r="Z353" s="12">
        <v>0.0</v>
      </c>
      <c r="AA353" s="13" t="str">
        <f>IFERROR(Z353/Z446, "NA")</f>
        <v>NA</v>
      </c>
      <c r="AB353" s="14"/>
      <c r="AC353" s="12">
        <v>0.0</v>
      </c>
      <c r="AD353" s="13" t="str">
        <f>IFERROR(AC353/AC446, "NA")</f>
        <v>NA</v>
      </c>
      <c r="AE353" s="14"/>
      <c r="AF353" s="12">
        <v>0.0</v>
      </c>
      <c r="AG353" s="13" t="str">
        <f>IFERROR(AF353/AF446, "NA")</f>
        <v>NA</v>
      </c>
      <c r="AH353" s="14"/>
      <c r="AI353" s="12">
        <v>0.0</v>
      </c>
      <c r="AJ353" s="13" t="str">
        <f>IFERROR(AI353/AI446, "NA")</f>
        <v>NA</v>
      </c>
      <c r="AK353" s="12"/>
      <c r="AL353" s="15">
        <f t="shared" si="51"/>
        <v>0</v>
      </c>
      <c r="AM353" s="13" t="str">
        <f>IFERROR(AL353/AL446, "NA")</f>
        <v>NA</v>
      </c>
      <c r="AN353" s="12"/>
      <c r="AO353" s="12">
        <v>0.0</v>
      </c>
      <c r="AP353" s="13" t="str">
        <f>IFERROR(AO353/AO446, "NA")</f>
        <v>NA</v>
      </c>
      <c r="AQ353" s="12"/>
      <c r="AR353" s="15">
        <f t="shared" si="52"/>
        <v>0</v>
      </c>
    </row>
    <row r="354" ht="16.5" hidden="1" customHeight="1">
      <c r="A354" s="11" t="s">
        <v>707</v>
      </c>
      <c r="B354" s="12">
        <v>0.0</v>
      </c>
      <c r="C354" s="13" t="str">
        <f>IFERROR(B354/B446, "NA")</f>
        <v>NA</v>
      </c>
      <c r="D354" s="14"/>
      <c r="E354" s="12">
        <v>0.0</v>
      </c>
      <c r="F354" s="13" t="str">
        <f>IFERROR(E354/E446, "NA")</f>
        <v>NA</v>
      </c>
      <c r="G354" s="14"/>
      <c r="H354" s="12">
        <v>0.0</v>
      </c>
      <c r="I354" s="13" t="str">
        <f>IFERROR(H354/H446, "NA")</f>
        <v>NA</v>
      </c>
      <c r="J354" s="14"/>
      <c r="K354" s="12">
        <v>0.0</v>
      </c>
      <c r="L354" s="13" t="str">
        <f>IFERROR(K354/K446, "NA")</f>
        <v>NA</v>
      </c>
      <c r="M354" s="14"/>
      <c r="N354" s="12">
        <v>0.0</v>
      </c>
      <c r="O354" s="13" t="str">
        <f>IFERROR(N354/N446, "NA")</f>
        <v>NA</v>
      </c>
      <c r="P354" s="14"/>
      <c r="Q354" s="12">
        <v>0.0</v>
      </c>
      <c r="R354" s="13" t="str">
        <f>IFERROR(Q354/Q446, "NA")</f>
        <v>NA</v>
      </c>
      <c r="S354" s="14"/>
      <c r="T354" s="12">
        <v>0.0</v>
      </c>
      <c r="U354" s="13" t="str">
        <f>IFERROR(T354/T446, "NA")</f>
        <v>NA</v>
      </c>
      <c r="V354" s="14"/>
      <c r="W354" s="12">
        <v>0.0</v>
      </c>
      <c r="X354" s="13" t="str">
        <f>IFERROR(W354/W446, "NA")</f>
        <v>NA</v>
      </c>
      <c r="Y354" s="14"/>
      <c r="Z354" s="12">
        <v>0.0</v>
      </c>
      <c r="AA354" s="13" t="str">
        <f>IFERROR(Z354/Z446, "NA")</f>
        <v>NA</v>
      </c>
      <c r="AB354" s="14"/>
      <c r="AC354" s="12">
        <v>0.0</v>
      </c>
      <c r="AD354" s="13" t="str">
        <f>IFERROR(AC354/AC446, "NA")</f>
        <v>NA</v>
      </c>
      <c r="AE354" s="14"/>
      <c r="AF354" s="12">
        <v>0.0</v>
      </c>
      <c r="AG354" s="13" t="str">
        <f>IFERROR(AF354/AF446, "NA")</f>
        <v>NA</v>
      </c>
      <c r="AH354" s="14"/>
      <c r="AI354" s="12">
        <v>0.0</v>
      </c>
      <c r="AJ354" s="13" t="str">
        <f>IFERROR(AI354/AI446, "NA")</f>
        <v>NA</v>
      </c>
      <c r="AK354" s="12"/>
      <c r="AL354" s="15">
        <f t="shared" si="51"/>
        <v>0</v>
      </c>
      <c r="AM354" s="13" t="str">
        <f>IFERROR(AL354/AL446, "NA")</f>
        <v>NA</v>
      </c>
      <c r="AN354" s="12"/>
      <c r="AO354" s="12">
        <v>0.0</v>
      </c>
      <c r="AP354" s="13" t="str">
        <f>IFERROR(AO354/AO446, "NA")</f>
        <v>NA</v>
      </c>
      <c r="AQ354" s="12"/>
      <c r="AR354" s="15">
        <f t="shared" si="52"/>
        <v>0</v>
      </c>
    </row>
    <row r="355" ht="16.5" hidden="1" customHeight="1">
      <c r="A355" s="11" t="s">
        <v>708</v>
      </c>
      <c r="B355" s="12">
        <v>0.0</v>
      </c>
      <c r="C355" s="13" t="str">
        <f>IFERROR(B355/B446, "NA")</f>
        <v>NA</v>
      </c>
      <c r="D355" s="14"/>
      <c r="E355" s="12">
        <v>0.0</v>
      </c>
      <c r="F355" s="13" t="str">
        <f>IFERROR(E355/E446, "NA")</f>
        <v>NA</v>
      </c>
      <c r="G355" s="14"/>
      <c r="H355" s="12">
        <v>0.0</v>
      </c>
      <c r="I355" s="13" t="str">
        <f>IFERROR(H355/H446, "NA")</f>
        <v>NA</v>
      </c>
      <c r="J355" s="14"/>
      <c r="K355" s="12">
        <v>0.0</v>
      </c>
      <c r="L355" s="13" t="str">
        <f>IFERROR(K355/K446, "NA")</f>
        <v>NA</v>
      </c>
      <c r="M355" s="14"/>
      <c r="N355" s="12">
        <v>0.0</v>
      </c>
      <c r="O355" s="13" t="str">
        <f>IFERROR(N355/N446, "NA")</f>
        <v>NA</v>
      </c>
      <c r="P355" s="14"/>
      <c r="Q355" s="12">
        <v>0.0</v>
      </c>
      <c r="R355" s="13" t="str">
        <f>IFERROR(Q355/Q446, "NA")</f>
        <v>NA</v>
      </c>
      <c r="S355" s="14"/>
      <c r="T355" s="12">
        <v>0.0</v>
      </c>
      <c r="U355" s="13" t="str">
        <f>IFERROR(T355/T446, "NA")</f>
        <v>NA</v>
      </c>
      <c r="V355" s="14"/>
      <c r="W355" s="12">
        <v>0.0</v>
      </c>
      <c r="X355" s="13" t="str">
        <f>IFERROR(W355/W446, "NA")</f>
        <v>NA</v>
      </c>
      <c r="Y355" s="14"/>
      <c r="Z355" s="12">
        <v>0.0</v>
      </c>
      <c r="AA355" s="13" t="str">
        <f>IFERROR(Z355/Z446, "NA")</f>
        <v>NA</v>
      </c>
      <c r="AB355" s="14"/>
      <c r="AC355" s="12">
        <v>0.0</v>
      </c>
      <c r="AD355" s="13" t="str">
        <f>IFERROR(AC355/AC446, "NA")</f>
        <v>NA</v>
      </c>
      <c r="AE355" s="14"/>
      <c r="AF355" s="12">
        <v>0.0</v>
      </c>
      <c r="AG355" s="13" t="str">
        <f>IFERROR(AF355/AF446, "NA")</f>
        <v>NA</v>
      </c>
      <c r="AH355" s="14"/>
      <c r="AI355" s="12">
        <v>0.0</v>
      </c>
      <c r="AJ355" s="13" t="str">
        <f>IFERROR(AI355/AI446, "NA")</f>
        <v>NA</v>
      </c>
      <c r="AK355" s="12"/>
      <c r="AL355" s="15">
        <f t="shared" si="51"/>
        <v>0</v>
      </c>
      <c r="AM355" s="13" t="str">
        <f>IFERROR(AL355/AL446, "NA")</f>
        <v>NA</v>
      </c>
      <c r="AN355" s="12"/>
      <c r="AO355" s="12">
        <v>0.0</v>
      </c>
      <c r="AP355" s="13" t="str">
        <f>IFERROR(AO355/AO446, "NA")</f>
        <v>NA</v>
      </c>
      <c r="AQ355" s="12"/>
      <c r="AR355" s="15">
        <f t="shared" si="52"/>
        <v>0</v>
      </c>
    </row>
    <row r="356" ht="16.5" hidden="1" customHeight="1">
      <c r="A356" s="11" t="s">
        <v>709</v>
      </c>
      <c r="B356" s="12">
        <v>0.0</v>
      </c>
      <c r="C356" s="13" t="str">
        <f>IFERROR(B356/B446, "NA")</f>
        <v>NA</v>
      </c>
      <c r="D356" s="14"/>
      <c r="E356" s="12">
        <v>0.0</v>
      </c>
      <c r="F356" s="13" t="str">
        <f>IFERROR(E356/E446, "NA")</f>
        <v>NA</v>
      </c>
      <c r="G356" s="14"/>
      <c r="H356" s="12">
        <v>0.0</v>
      </c>
      <c r="I356" s="13" t="str">
        <f>IFERROR(H356/H446, "NA")</f>
        <v>NA</v>
      </c>
      <c r="J356" s="14"/>
      <c r="K356" s="12">
        <v>0.0</v>
      </c>
      <c r="L356" s="13" t="str">
        <f>IFERROR(K356/K446, "NA")</f>
        <v>NA</v>
      </c>
      <c r="M356" s="14"/>
      <c r="N356" s="12">
        <v>0.0</v>
      </c>
      <c r="O356" s="13" t="str">
        <f>IFERROR(N356/N446, "NA")</f>
        <v>NA</v>
      </c>
      <c r="P356" s="14"/>
      <c r="Q356" s="12">
        <v>0.0</v>
      </c>
      <c r="R356" s="13" t="str">
        <f>IFERROR(Q356/Q446, "NA")</f>
        <v>NA</v>
      </c>
      <c r="S356" s="14"/>
      <c r="T356" s="12">
        <v>0.0</v>
      </c>
      <c r="U356" s="13" t="str">
        <f>IFERROR(T356/T446, "NA")</f>
        <v>NA</v>
      </c>
      <c r="V356" s="14"/>
      <c r="W356" s="12">
        <v>0.0</v>
      </c>
      <c r="X356" s="13" t="str">
        <f>IFERROR(W356/W446, "NA")</f>
        <v>NA</v>
      </c>
      <c r="Y356" s="14"/>
      <c r="Z356" s="12">
        <v>0.0</v>
      </c>
      <c r="AA356" s="13" t="str">
        <f>IFERROR(Z356/Z446, "NA")</f>
        <v>NA</v>
      </c>
      <c r="AB356" s="14"/>
      <c r="AC356" s="12">
        <v>0.0</v>
      </c>
      <c r="AD356" s="13" t="str">
        <f>IFERROR(AC356/AC446, "NA")</f>
        <v>NA</v>
      </c>
      <c r="AE356" s="14"/>
      <c r="AF356" s="12">
        <v>0.0</v>
      </c>
      <c r="AG356" s="13" t="str">
        <f>IFERROR(AF356/AF446, "NA")</f>
        <v>NA</v>
      </c>
      <c r="AH356" s="14"/>
      <c r="AI356" s="12">
        <v>0.0</v>
      </c>
      <c r="AJ356" s="13" t="str">
        <f>IFERROR(AI356/AI446, "NA")</f>
        <v>NA</v>
      </c>
      <c r="AK356" s="12"/>
      <c r="AL356" s="15">
        <f t="shared" si="51"/>
        <v>0</v>
      </c>
      <c r="AM356" s="13" t="str">
        <f>IFERROR(AL356/AL446, "NA")</f>
        <v>NA</v>
      </c>
      <c r="AN356" s="12"/>
      <c r="AO356" s="12">
        <v>0.0</v>
      </c>
      <c r="AP356" s="13" t="str">
        <f>IFERROR(AO356/AO446, "NA")</f>
        <v>NA</v>
      </c>
      <c r="AQ356" s="12"/>
      <c r="AR356" s="15">
        <f t="shared" si="52"/>
        <v>0</v>
      </c>
    </row>
    <row r="357" ht="16.5" hidden="1" customHeight="1">
      <c r="A357" s="11" t="s">
        <v>710</v>
      </c>
      <c r="B357" s="12">
        <v>0.0</v>
      </c>
      <c r="C357" s="13" t="str">
        <f>IFERROR(B357/B446, "NA")</f>
        <v>NA</v>
      </c>
      <c r="D357" s="14"/>
      <c r="E357" s="12">
        <v>0.0</v>
      </c>
      <c r="F357" s="13" t="str">
        <f>IFERROR(E357/E446, "NA")</f>
        <v>NA</v>
      </c>
      <c r="G357" s="14"/>
      <c r="H357" s="12">
        <v>0.0</v>
      </c>
      <c r="I357" s="13" t="str">
        <f>IFERROR(H357/H446, "NA")</f>
        <v>NA</v>
      </c>
      <c r="J357" s="14"/>
      <c r="K357" s="12">
        <v>0.0</v>
      </c>
      <c r="L357" s="13" t="str">
        <f>IFERROR(K357/K446, "NA")</f>
        <v>NA</v>
      </c>
      <c r="M357" s="14"/>
      <c r="N357" s="12">
        <v>0.0</v>
      </c>
      <c r="O357" s="13" t="str">
        <f>IFERROR(N357/N446, "NA")</f>
        <v>NA</v>
      </c>
      <c r="P357" s="14"/>
      <c r="Q357" s="12">
        <v>0.0</v>
      </c>
      <c r="R357" s="13" t="str">
        <f>IFERROR(Q357/Q446, "NA")</f>
        <v>NA</v>
      </c>
      <c r="S357" s="14"/>
      <c r="T357" s="12">
        <v>0.0</v>
      </c>
      <c r="U357" s="13" t="str">
        <f>IFERROR(T357/T446, "NA")</f>
        <v>NA</v>
      </c>
      <c r="V357" s="14"/>
      <c r="W357" s="12">
        <v>0.0</v>
      </c>
      <c r="X357" s="13" t="str">
        <f>IFERROR(W357/W446, "NA")</f>
        <v>NA</v>
      </c>
      <c r="Y357" s="14"/>
      <c r="Z357" s="12">
        <v>0.0</v>
      </c>
      <c r="AA357" s="13" t="str">
        <f>IFERROR(Z357/Z446, "NA")</f>
        <v>NA</v>
      </c>
      <c r="AB357" s="14"/>
      <c r="AC357" s="12">
        <v>0.0</v>
      </c>
      <c r="AD357" s="13" t="str">
        <f>IFERROR(AC357/AC446, "NA")</f>
        <v>NA</v>
      </c>
      <c r="AE357" s="14"/>
      <c r="AF357" s="12">
        <v>0.0</v>
      </c>
      <c r="AG357" s="13" t="str">
        <f>IFERROR(AF357/AF446, "NA")</f>
        <v>NA</v>
      </c>
      <c r="AH357" s="14"/>
      <c r="AI357" s="12">
        <v>0.0</v>
      </c>
      <c r="AJ357" s="13" t="str">
        <f>IFERROR(AI357/AI446, "NA")</f>
        <v>NA</v>
      </c>
      <c r="AK357" s="12"/>
      <c r="AL357" s="15">
        <f t="shared" si="51"/>
        <v>0</v>
      </c>
      <c r="AM357" s="13" t="str">
        <f>IFERROR(AL357/AL446, "NA")</f>
        <v>NA</v>
      </c>
      <c r="AN357" s="12"/>
      <c r="AO357" s="12">
        <v>0.0</v>
      </c>
      <c r="AP357" s="13" t="str">
        <f>IFERROR(AO357/AO446, "NA")</f>
        <v>NA</v>
      </c>
      <c r="AQ357" s="12"/>
      <c r="AR357" s="15">
        <f t="shared" si="52"/>
        <v>0</v>
      </c>
    </row>
    <row r="358" ht="16.5" hidden="1" customHeight="1">
      <c r="A358" s="11" t="s">
        <v>711</v>
      </c>
      <c r="B358" s="12">
        <v>0.0</v>
      </c>
      <c r="C358" s="13" t="str">
        <f>IFERROR(B358/B446, "NA")</f>
        <v>NA</v>
      </c>
      <c r="D358" s="14"/>
      <c r="E358" s="12">
        <v>0.0</v>
      </c>
      <c r="F358" s="13" t="str">
        <f>IFERROR(E358/E446, "NA")</f>
        <v>NA</v>
      </c>
      <c r="G358" s="14"/>
      <c r="H358" s="12">
        <v>0.0</v>
      </c>
      <c r="I358" s="13" t="str">
        <f>IFERROR(H358/H446, "NA")</f>
        <v>NA</v>
      </c>
      <c r="J358" s="14"/>
      <c r="K358" s="12">
        <v>0.0</v>
      </c>
      <c r="L358" s="13" t="str">
        <f>IFERROR(K358/K446, "NA")</f>
        <v>NA</v>
      </c>
      <c r="M358" s="14"/>
      <c r="N358" s="12">
        <v>0.0</v>
      </c>
      <c r="O358" s="13" t="str">
        <f>IFERROR(N358/N446, "NA")</f>
        <v>NA</v>
      </c>
      <c r="P358" s="14"/>
      <c r="Q358" s="12">
        <v>0.0</v>
      </c>
      <c r="R358" s="13" t="str">
        <f>IFERROR(Q358/Q446, "NA")</f>
        <v>NA</v>
      </c>
      <c r="S358" s="14"/>
      <c r="T358" s="12">
        <v>0.0</v>
      </c>
      <c r="U358" s="13" t="str">
        <f>IFERROR(T358/T446, "NA")</f>
        <v>NA</v>
      </c>
      <c r="V358" s="14"/>
      <c r="W358" s="12">
        <v>0.0</v>
      </c>
      <c r="X358" s="13" t="str">
        <f>IFERROR(W358/W446, "NA")</f>
        <v>NA</v>
      </c>
      <c r="Y358" s="14"/>
      <c r="Z358" s="12">
        <v>0.0</v>
      </c>
      <c r="AA358" s="13" t="str">
        <f>IFERROR(Z358/Z446, "NA")</f>
        <v>NA</v>
      </c>
      <c r="AB358" s="14"/>
      <c r="AC358" s="12">
        <v>0.0</v>
      </c>
      <c r="AD358" s="13" t="str">
        <f>IFERROR(AC358/AC446, "NA")</f>
        <v>NA</v>
      </c>
      <c r="AE358" s="14"/>
      <c r="AF358" s="12">
        <v>0.0</v>
      </c>
      <c r="AG358" s="13" t="str">
        <f>IFERROR(AF358/AF446, "NA")</f>
        <v>NA</v>
      </c>
      <c r="AH358" s="14"/>
      <c r="AI358" s="12">
        <v>0.0</v>
      </c>
      <c r="AJ358" s="13" t="str">
        <f>IFERROR(AI358/AI446, "NA")</f>
        <v>NA</v>
      </c>
      <c r="AK358" s="12"/>
      <c r="AL358" s="15">
        <f t="shared" si="51"/>
        <v>0</v>
      </c>
      <c r="AM358" s="13" t="str">
        <f>IFERROR(AL358/AL446, "NA")</f>
        <v>NA</v>
      </c>
      <c r="AN358" s="12"/>
      <c r="AO358" s="12">
        <v>0.0</v>
      </c>
      <c r="AP358" s="13" t="str">
        <f>IFERROR(AO358/AO446, "NA")</f>
        <v>NA</v>
      </c>
      <c r="AQ358" s="12"/>
      <c r="AR358" s="15">
        <f t="shared" si="52"/>
        <v>0</v>
      </c>
    </row>
    <row r="359" ht="16.5" customHeight="1">
      <c r="A359" s="16" t="s">
        <v>331</v>
      </c>
      <c r="B359" s="17">
        <f>IFERROR(B350+B351+B352+B353+B354+B355+B356+B357+B358, "NA")</f>
        <v>0</v>
      </c>
      <c r="C359" s="18" t="str">
        <f>IFERROR(B359/B446, "NA")</f>
        <v>NA</v>
      </c>
      <c r="D359" s="8"/>
      <c r="E359" s="17">
        <f>IFERROR(E350+E351+E352+E353+E354+E355+E356+E357+E358, "NA")</f>
        <v>0</v>
      </c>
      <c r="F359" s="18" t="str">
        <f>IFERROR(E359/E446, "NA")</f>
        <v>NA</v>
      </c>
      <c r="G359" s="8"/>
      <c r="H359" s="17">
        <f>IFERROR(H350+H351+H352+H353+H354+H355+H356+H357+H358, "NA")</f>
        <v>0</v>
      </c>
      <c r="I359" s="18" t="str">
        <f>IFERROR(H359/H446, "NA")</f>
        <v>NA</v>
      </c>
      <c r="J359" s="8"/>
      <c r="K359" s="17">
        <f>IFERROR(K350+K351+K352+K353+K354+K355+K356+K357+K358, "NA")</f>
        <v>0</v>
      </c>
      <c r="L359" s="18" t="str">
        <f>IFERROR(K359/K446, "NA")</f>
        <v>NA</v>
      </c>
      <c r="M359" s="8"/>
      <c r="N359" s="17">
        <f>IFERROR(N350+N351+N352+N353+N354+N355+N356+N357+N358, "NA")</f>
        <v>0</v>
      </c>
      <c r="O359" s="18" t="str">
        <f>IFERROR(N359/N446, "NA")</f>
        <v>NA</v>
      </c>
      <c r="P359" s="8"/>
      <c r="Q359" s="17">
        <f>IFERROR(Q350+Q351+Q352+Q353+Q354+Q355+Q356+Q357+Q358, "NA")</f>
        <v>0</v>
      </c>
      <c r="R359" s="18" t="str">
        <f>IFERROR(Q359/Q446, "NA")</f>
        <v>NA</v>
      </c>
      <c r="S359" s="8"/>
      <c r="T359" s="17">
        <f>IFERROR(T350+T351+T352+T353+T354+T355+T356+T357+T358, "NA")</f>
        <v>0</v>
      </c>
      <c r="U359" s="18" t="str">
        <f>IFERROR(T359/T446, "NA")</f>
        <v>NA</v>
      </c>
      <c r="V359" s="8"/>
      <c r="W359" s="17">
        <f>IFERROR(W350+W351+W352+W353+W354+W355+W356+W357+W358, "NA")</f>
        <v>0</v>
      </c>
      <c r="X359" s="18" t="str">
        <f>IFERROR(W359/W446, "NA")</f>
        <v>NA</v>
      </c>
      <c r="Y359" s="8"/>
      <c r="Z359" s="17">
        <f>IFERROR(Z350+Z351+Z352+Z353+Z354+Z355+Z356+Z357+Z358, "NA")</f>
        <v>0</v>
      </c>
      <c r="AA359" s="18" t="str">
        <f>IFERROR(Z359/Z446, "NA")</f>
        <v>NA</v>
      </c>
      <c r="AB359" s="8"/>
      <c r="AC359" s="17">
        <f>IFERROR(AC350+AC351+AC352+AC353+AC354+AC355+AC356+AC357+AC358, "NA")</f>
        <v>0</v>
      </c>
      <c r="AD359" s="18" t="str">
        <f>IFERROR(AC359/AC446, "NA")</f>
        <v>NA</v>
      </c>
      <c r="AE359" s="8"/>
      <c r="AF359" s="17">
        <f>IFERROR(AF350+AF351+AF352+AF353+AF354+AF355+AF356+AF357+AF358, "NA")</f>
        <v>0</v>
      </c>
      <c r="AG359" s="18" t="str">
        <f>IFERROR(AF359/AF446, "NA")</f>
        <v>NA</v>
      </c>
      <c r="AH359" s="8"/>
      <c r="AI359" s="17">
        <f>IFERROR(AI350+AI351+AI352+AI353+AI354+AI355+AI356+AI357+AI358, "NA")</f>
        <v>0</v>
      </c>
      <c r="AJ359" s="18" t="str">
        <f>IFERROR(AI359/AI446, "NA")</f>
        <v>NA</v>
      </c>
      <c r="AK359" s="8"/>
      <c r="AL359" s="17">
        <f t="shared" si="51"/>
        <v>0</v>
      </c>
      <c r="AM359" s="18" t="str">
        <f>IFERROR(AL359/AL446, "NA")</f>
        <v>NA</v>
      </c>
      <c r="AN359" s="8"/>
      <c r="AO359" s="17">
        <f>IFERROR(AO350+AO351+AO352+AO353+AO354+AO355+AO356+AO357+AO358, "NA")</f>
        <v>0</v>
      </c>
      <c r="AP359" s="18" t="str">
        <f>IFERROR(AO359/AO446, "NA")</f>
        <v>NA</v>
      </c>
      <c r="AQ359" s="8"/>
      <c r="AR359" s="17">
        <f t="shared" si="52"/>
        <v>0</v>
      </c>
    </row>
    <row r="360" ht="16.5" customHeight="1">
      <c r="A360" s="7" t="s">
        <v>332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  <c r="AE360" s="10"/>
      <c r="AF360" s="8"/>
      <c r="AG360" s="9"/>
      <c r="AH360" s="10"/>
      <c r="AI360" s="8"/>
      <c r="AJ360" s="9"/>
      <c r="AK360" s="8"/>
      <c r="AL360" s="8"/>
      <c r="AM360" s="9"/>
      <c r="AN360" s="8"/>
      <c r="AO360" s="8"/>
      <c r="AP360" s="9"/>
      <c r="AQ360" s="8"/>
      <c r="AR360" s="8"/>
    </row>
    <row r="361" ht="30.75" hidden="1" customHeight="1">
      <c r="A361" s="11" t="s">
        <v>712</v>
      </c>
      <c r="B361" s="12">
        <v>0.0</v>
      </c>
      <c r="C361" s="13" t="str">
        <f>IFERROR(B361/B446, "NA")</f>
        <v>NA</v>
      </c>
      <c r="D361" s="14"/>
      <c r="E361" s="12">
        <v>0.0</v>
      </c>
      <c r="F361" s="13" t="str">
        <f>IFERROR(E361/E446, "NA")</f>
        <v>NA</v>
      </c>
      <c r="G361" s="14"/>
      <c r="H361" s="12">
        <v>0.0</v>
      </c>
      <c r="I361" s="13" t="str">
        <f>IFERROR(H361/H446, "NA")</f>
        <v>NA</v>
      </c>
      <c r="J361" s="14"/>
      <c r="K361" s="12">
        <v>0.0</v>
      </c>
      <c r="L361" s="13" t="str">
        <f>IFERROR(K361/K446, "NA")</f>
        <v>NA</v>
      </c>
      <c r="M361" s="14"/>
      <c r="N361" s="12">
        <v>0.0</v>
      </c>
      <c r="O361" s="13" t="str">
        <f>IFERROR(N361/N446, "NA")</f>
        <v>NA</v>
      </c>
      <c r="P361" s="14"/>
      <c r="Q361" s="12">
        <v>0.0</v>
      </c>
      <c r="R361" s="13" t="str">
        <f>IFERROR(Q361/Q446, "NA")</f>
        <v>NA</v>
      </c>
      <c r="S361" s="14"/>
      <c r="T361" s="12">
        <v>0.0</v>
      </c>
      <c r="U361" s="13" t="str">
        <f>IFERROR(T361/T446, "NA")</f>
        <v>NA</v>
      </c>
      <c r="V361" s="14"/>
      <c r="W361" s="12">
        <v>0.0</v>
      </c>
      <c r="X361" s="13" t="str">
        <f>IFERROR(W361/W446, "NA")</f>
        <v>NA</v>
      </c>
      <c r="Y361" s="14"/>
      <c r="Z361" s="12">
        <v>0.0</v>
      </c>
      <c r="AA361" s="13" t="str">
        <f>IFERROR(Z361/Z446, "NA")</f>
        <v>NA</v>
      </c>
      <c r="AB361" s="14"/>
      <c r="AC361" s="12">
        <v>0.0</v>
      </c>
      <c r="AD361" s="13" t="str">
        <f>IFERROR(AC361/AC446, "NA")</f>
        <v>NA</v>
      </c>
      <c r="AE361" s="14"/>
      <c r="AF361" s="12">
        <v>0.0</v>
      </c>
      <c r="AG361" s="13" t="str">
        <f>IFERROR(AF361/AF446, "NA")</f>
        <v>NA</v>
      </c>
      <c r="AH361" s="14"/>
      <c r="AI361" s="12">
        <v>0.0</v>
      </c>
      <c r="AJ361" s="13" t="str">
        <f>IFERROR(AI361/AI446, "NA")</f>
        <v>NA</v>
      </c>
      <c r="AK361" s="12"/>
      <c r="AL361" s="15">
        <f t="shared" ref="AL361:AL384" si="53">IFERROR(B361+E361+H361+K361+N361+Q361+T361+W361+Z361+AC361+AF361+AI361, "NA")</f>
        <v>0</v>
      </c>
      <c r="AM361" s="13" t="str">
        <f>IFERROR(AL361/AL446, "NA")</f>
        <v>NA</v>
      </c>
      <c r="AN361" s="12"/>
      <c r="AO361" s="12">
        <v>0.0</v>
      </c>
      <c r="AP361" s="13" t="str">
        <f>IFERROR(AO361/AO446, "NA")</f>
        <v>NA</v>
      </c>
      <c r="AQ361" s="12"/>
      <c r="AR361" s="15">
        <f t="shared" ref="AR361:AR384" si="54">IFERROR(AL361-AO361, "NA")</f>
        <v>0</v>
      </c>
    </row>
    <row r="362" ht="16.5" hidden="1" customHeight="1">
      <c r="A362" s="11" t="s">
        <v>713</v>
      </c>
      <c r="B362" s="12">
        <v>0.0</v>
      </c>
      <c r="C362" s="13" t="str">
        <f>IFERROR(B362/B446, "NA")</f>
        <v>NA</v>
      </c>
      <c r="D362" s="14"/>
      <c r="E362" s="12">
        <v>0.0</v>
      </c>
      <c r="F362" s="13" t="str">
        <f>IFERROR(E362/E446, "NA")</f>
        <v>NA</v>
      </c>
      <c r="G362" s="14"/>
      <c r="H362" s="12">
        <v>0.0</v>
      </c>
      <c r="I362" s="13" t="str">
        <f>IFERROR(H362/H446, "NA")</f>
        <v>NA</v>
      </c>
      <c r="J362" s="14"/>
      <c r="K362" s="12">
        <v>0.0</v>
      </c>
      <c r="L362" s="13" t="str">
        <f>IFERROR(K362/K446, "NA")</f>
        <v>NA</v>
      </c>
      <c r="M362" s="14"/>
      <c r="N362" s="12">
        <v>0.0</v>
      </c>
      <c r="O362" s="13" t="str">
        <f>IFERROR(N362/N446, "NA")</f>
        <v>NA</v>
      </c>
      <c r="P362" s="14"/>
      <c r="Q362" s="12">
        <v>0.0</v>
      </c>
      <c r="R362" s="13" t="str">
        <f>IFERROR(Q362/Q446, "NA")</f>
        <v>NA</v>
      </c>
      <c r="S362" s="14"/>
      <c r="T362" s="12">
        <v>0.0</v>
      </c>
      <c r="U362" s="13" t="str">
        <f>IFERROR(T362/T446, "NA")</f>
        <v>NA</v>
      </c>
      <c r="V362" s="14"/>
      <c r="W362" s="12">
        <v>0.0</v>
      </c>
      <c r="X362" s="13" t="str">
        <f>IFERROR(W362/W446, "NA")</f>
        <v>NA</v>
      </c>
      <c r="Y362" s="14"/>
      <c r="Z362" s="12">
        <v>0.0</v>
      </c>
      <c r="AA362" s="13" t="str">
        <f>IFERROR(Z362/Z446, "NA")</f>
        <v>NA</v>
      </c>
      <c r="AB362" s="14"/>
      <c r="AC362" s="12">
        <v>0.0</v>
      </c>
      <c r="AD362" s="13" t="str">
        <f>IFERROR(AC362/AC446, "NA")</f>
        <v>NA</v>
      </c>
      <c r="AE362" s="14"/>
      <c r="AF362" s="12">
        <v>0.0</v>
      </c>
      <c r="AG362" s="13" t="str">
        <f>IFERROR(AF362/AF446, "NA")</f>
        <v>NA</v>
      </c>
      <c r="AH362" s="14"/>
      <c r="AI362" s="12">
        <v>0.0</v>
      </c>
      <c r="AJ362" s="13" t="str">
        <f>IFERROR(AI362/AI446, "NA")</f>
        <v>NA</v>
      </c>
      <c r="AK362" s="12"/>
      <c r="AL362" s="15">
        <f t="shared" si="53"/>
        <v>0</v>
      </c>
      <c r="AM362" s="13" t="str">
        <f>IFERROR(AL362/AL446, "NA")</f>
        <v>NA</v>
      </c>
      <c r="AN362" s="12"/>
      <c r="AO362" s="12">
        <v>0.0</v>
      </c>
      <c r="AP362" s="13" t="str">
        <f>IFERROR(AO362/AO446, "NA")</f>
        <v>NA</v>
      </c>
      <c r="AQ362" s="12"/>
      <c r="AR362" s="15">
        <f t="shared" si="54"/>
        <v>0</v>
      </c>
    </row>
    <row r="363" ht="16.5" hidden="1" customHeight="1">
      <c r="A363" s="11" t="s">
        <v>714</v>
      </c>
      <c r="B363" s="12">
        <v>0.0</v>
      </c>
      <c r="C363" s="13" t="str">
        <f>IFERROR(B363/B446, "NA")</f>
        <v>NA</v>
      </c>
      <c r="D363" s="14"/>
      <c r="E363" s="12">
        <v>0.0</v>
      </c>
      <c r="F363" s="13" t="str">
        <f>IFERROR(E363/E446, "NA")</f>
        <v>NA</v>
      </c>
      <c r="G363" s="14"/>
      <c r="H363" s="12">
        <v>0.0</v>
      </c>
      <c r="I363" s="13" t="str">
        <f>IFERROR(H363/H446, "NA")</f>
        <v>NA</v>
      </c>
      <c r="J363" s="14"/>
      <c r="K363" s="12">
        <v>0.0</v>
      </c>
      <c r="L363" s="13" t="str">
        <f>IFERROR(K363/K446, "NA")</f>
        <v>NA</v>
      </c>
      <c r="M363" s="14"/>
      <c r="N363" s="12">
        <v>0.0</v>
      </c>
      <c r="O363" s="13" t="str">
        <f>IFERROR(N363/N446, "NA")</f>
        <v>NA</v>
      </c>
      <c r="P363" s="14"/>
      <c r="Q363" s="12">
        <v>0.0</v>
      </c>
      <c r="R363" s="13" t="str">
        <f>IFERROR(Q363/Q446, "NA")</f>
        <v>NA</v>
      </c>
      <c r="S363" s="14"/>
      <c r="T363" s="12">
        <v>0.0</v>
      </c>
      <c r="U363" s="13" t="str">
        <f>IFERROR(T363/T446, "NA")</f>
        <v>NA</v>
      </c>
      <c r="V363" s="14"/>
      <c r="W363" s="12">
        <v>0.0</v>
      </c>
      <c r="X363" s="13" t="str">
        <f>IFERROR(W363/W446, "NA")</f>
        <v>NA</v>
      </c>
      <c r="Y363" s="14"/>
      <c r="Z363" s="12">
        <v>0.0</v>
      </c>
      <c r="AA363" s="13" t="str">
        <f>IFERROR(Z363/Z446, "NA")</f>
        <v>NA</v>
      </c>
      <c r="AB363" s="14"/>
      <c r="AC363" s="12">
        <v>0.0</v>
      </c>
      <c r="AD363" s="13" t="str">
        <f>IFERROR(AC363/AC446, "NA")</f>
        <v>NA</v>
      </c>
      <c r="AE363" s="14"/>
      <c r="AF363" s="12">
        <v>0.0</v>
      </c>
      <c r="AG363" s="13" t="str">
        <f>IFERROR(AF363/AF446, "NA")</f>
        <v>NA</v>
      </c>
      <c r="AH363" s="14"/>
      <c r="AI363" s="12">
        <v>0.0</v>
      </c>
      <c r="AJ363" s="13" t="str">
        <f>IFERROR(AI363/AI446, "NA")</f>
        <v>NA</v>
      </c>
      <c r="AK363" s="12"/>
      <c r="AL363" s="15">
        <f t="shared" si="53"/>
        <v>0</v>
      </c>
      <c r="AM363" s="13" t="str">
        <f>IFERROR(AL363/AL446, "NA")</f>
        <v>NA</v>
      </c>
      <c r="AN363" s="12"/>
      <c r="AO363" s="12">
        <v>0.0</v>
      </c>
      <c r="AP363" s="13" t="str">
        <f>IFERROR(AO363/AO446, "NA")</f>
        <v>NA</v>
      </c>
      <c r="AQ363" s="12"/>
      <c r="AR363" s="15">
        <f t="shared" si="54"/>
        <v>0</v>
      </c>
    </row>
    <row r="364" ht="16.5" hidden="1" customHeight="1">
      <c r="A364" s="11" t="s">
        <v>715</v>
      </c>
      <c r="B364" s="12">
        <v>0.0</v>
      </c>
      <c r="C364" s="13" t="str">
        <f>IFERROR(B364/B446, "NA")</f>
        <v>NA</v>
      </c>
      <c r="D364" s="14"/>
      <c r="E364" s="12">
        <v>0.0</v>
      </c>
      <c r="F364" s="13" t="str">
        <f>IFERROR(E364/E446, "NA")</f>
        <v>NA</v>
      </c>
      <c r="G364" s="14"/>
      <c r="H364" s="12">
        <v>0.0</v>
      </c>
      <c r="I364" s="13" t="str">
        <f>IFERROR(H364/H446, "NA")</f>
        <v>NA</v>
      </c>
      <c r="J364" s="14"/>
      <c r="K364" s="12">
        <v>0.0</v>
      </c>
      <c r="L364" s="13" t="str">
        <f>IFERROR(K364/K446, "NA")</f>
        <v>NA</v>
      </c>
      <c r="M364" s="14"/>
      <c r="N364" s="12">
        <v>0.0</v>
      </c>
      <c r="O364" s="13" t="str">
        <f>IFERROR(N364/N446, "NA")</f>
        <v>NA</v>
      </c>
      <c r="P364" s="14"/>
      <c r="Q364" s="12">
        <v>0.0</v>
      </c>
      <c r="R364" s="13" t="str">
        <f>IFERROR(Q364/Q446, "NA")</f>
        <v>NA</v>
      </c>
      <c r="S364" s="14"/>
      <c r="T364" s="12">
        <v>0.0</v>
      </c>
      <c r="U364" s="13" t="str">
        <f>IFERROR(T364/T446, "NA")</f>
        <v>NA</v>
      </c>
      <c r="V364" s="14"/>
      <c r="W364" s="12">
        <v>0.0</v>
      </c>
      <c r="X364" s="13" t="str">
        <f>IFERROR(W364/W446, "NA")</f>
        <v>NA</v>
      </c>
      <c r="Y364" s="14"/>
      <c r="Z364" s="12">
        <v>0.0</v>
      </c>
      <c r="AA364" s="13" t="str">
        <f>IFERROR(Z364/Z446, "NA")</f>
        <v>NA</v>
      </c>
      <c r="AB364" s="14"/>
      <c r="AC364" s="12">
        <v>0.0</v>
      </c>
      <c r="AD364" s="13" t="str">
        <f>IFERROR(AC364/AC446, "NA")</f>
        <v>NA</v>
      </c>
      <c r="AE364" s="14"/>
      <c r="AF364" s="12">
        <v>0.0</v>
      </c>
      <c r="AG364" s="13" t="str">
        <f>IFERROR(AF364/AF446, "NA")</f>
        <v>NA</v>
      </c>
      <c r="AH364" s="14"/>
      <c r="AI364" s="12">
        <v>0.0</v>
      </c>
      <c r="AJ364" s="13" t="str">
        <f>IFERROR(AI364/AI446, "NA")</f>
        <v>NA</v>
      </c>
      <c r="AK364" s="12"/>
      <c r="AL364" s="15">
        <f t="shared" si="53"/>
        <v>0</v>
      </c>
      <c r="AM364" s="13" t="str">
        <f>IFERROR(AL364/AL446, "NA")</f>
        <v>NA</v>
      </c>
      <c r="AN364" s="12"/>
      <c r="AO364" s="12">
        <v>0.0</v>
      </c>
      <c r="AP364" s="13" t="str">
        <f>IFERROR(AO364/AO446, "NA")</f>
        <v>NA</v>
      </c>
      <c r="AQ364" s="12"/>
      <c r="AR364" s="15">
        <f t="shared" si="54"/>
        <v>0</v>
      </c>
    </row>
    <row r="365" ht="16.5" hidden="1" customHeight="1">
      <c r="A365" s="11" t="s">
        <v>716</v>
      </c>
      <c r="B365" s="12">
        <v>0.0</v>
      </c>
      <c r="C365" s="13" t="str">
        <f>IFERROR(B365/B446, "NA")</f>
        <v>NA</v>
      </c>
      <c r="D365" s="14"/>
      <c r="E365" s="12">
        <v>0.0</v>
      </c>
      <c r="F365" s="13" t="str">
        <f>IFERROR(E365/E446, "NA")</f>
        <v>NA</v>
      </c>
      <c r="G365" s="14"/>
      <c r="H365" s="12">
        <v>0.0</v>
      </c>
      <c r="I365" s="13" t="str">
        <f>IFERROR(H365/H446, "NA")</f>
        <v>NA</v>
      </c>
      <c r="J365" s="14"/>
      <c r="K365" s="12">
        <v>0.0</v>
      </c>
      <c r="L365" s="13" t="str">
        <f>IFERROR(K365/K446, "NA")</f>
        <v>NA</v>
      </c>
      <c r="M365" s="14"/>
      <c r="N365" s="12">
        <v>0.0</v>
      </c>
      <c r="O365" s="13" t="str">
        <f>IFERROR(N365/N446, "NA")</f>
        <v>NA</v>
      </c>
      <c r="P365" s="14"/>
      <c r="Q365" s="12">
        <v>0.0</v>
      </c>
      <c r="R365" s="13" t="str">
        <f>IFERROR(Q365/Q446, "NA")</f>
        <v>NA</v>
      </c>
      <c r="S365" s="14"/>
      <c r="T365" s="12">
        <v>0.0</v>
      </c>
      <c r="U365" s="13" t="str">
        <f>IFERROR(T365/T446, "NA")</f>
        <v>NA</v>
      </c>
      <c r="V365" s="14"/>
      <c r="W365" s="12">
        <v>0.0</v>
      </c>
      <c r="X365" s="13" t="str">
        <f>IFERROR(W365/W446, "NA")</f>
        <v>NA</v>
      </c>
      <c r="Y365" s="14"/>
      <c r="Z365" s="12">
        <v>0.0</v>
      </c>
      <c r="AA365" s="13" t="str">
        <f>IFERROR(Z365/Z446, "NA")</f>
        <v>NA</v>
      </c>
      <c r="AB365" s="14"/>
      <c r="AC365" s="12">
        <v>0.0</v>
      </c>
      <c r="AD365" s="13" t="str">
        <f>IFERROR(AC365/AC446, "NA")</f>
        <v>NA</v>
      </c>
      <c r="AE365" s="14"/>
      <c r="AF365" s="12">
        <v>0.0</v>
      </c>
      <c r="AG365" s="13" t="str">
        <f>IFERROR(AF365/AF446, "NA")</f>
        <v>NA</v>
      </c>
      <c r="AH365" s="14"/>
      <c r="AI365" s="12">
        <v>0.0</v>
      </c>
      <c r="AJ365" s="13" t="str">
        <f>IFERROR(AI365/AI446, "NA")</f>
        <v>NA</v>
      </c>
      <c r="AK365" s="12"/>
      <c r="AL365" s="15">
        <f t="shared" si="53"/>
        <v>0</v>
      </c>
      <c r="AM365" s="13" t="str">
        <f>IFERROR(AL365/AL446, "NA")</f>
        <v>NA</v>
      </c>
      <c r="AN365" s="12"/>
      <c r="AO365" s="12">
        <v>0.0</v>
      </c>
      <c r="AP365" s="13" t="str">
        <f>IFERROR(AO365/AO446, "NA")</f>
        <v>NA</v>
      </c>
      <c r="AQ365" s="12"/>
      <c r="AR365" s="15">
        <f t="shared" si="54"/>
        <v>0</v>
      </c>
    </row>
    <row r="366" ht="16.5" hidden="1" customHeight="1">
      <c r="A366" s="11" t="s">
        <v>717</v>
      </c>
      <c r="B366" s="12">
        <v>0.0</v>
      </c>
      <c r="C366" s="13" t="str">
        <f>IFERROR(B366/B446, "NA")</f>
        <v>NA</v>
      </c>
      <c r="D366" s="14"/>
      <c r="E366" s="12">
        <v>0.0</v>
      </c>
      <c r="F366" s="13" t="str">
        <f>IFERROR(E366/E446, "NA")</f>
        <v>NA</v>
      </c>
      <c r="G366" s="14"/>
      <c r="H366" s="12">
        <v>0.0</v>
      </c>
      <c r="I366" s="13" t="str">
        <f>IFERROR(H366/H446, "NA")</f>
        <v>NA</v>
      </c>
      <c r="J366" s="14"/>
      <c r="K366" s="12">
        <v>0.0</v>
      </c>
      <c r="L366" s="13" t="str">
        <f>IFERROR(K366/K446, "NA")</f>
        <v>NA</v>
      </c>
      <c r="M366" s="14"/>
      <c r="N366" s="12">
        <v>0.0</v>
      </c>
      <c r="O366" s="13" t="str">
        <f>IFERROR(N366/N446, "NA")</f>
        <v>NA</v>
      </c>
      <c r="P366" s="14"/>
      <c r="Q366" s="12">
        <v>0.0</v>
      </c>
      <c r="R366" s="13" t="str">
        <f>IFERROR(Q366/Q446, "NA")</f>
        <v>NA</v>
      </c>
      <c r="S366" s="14"/>
      <c r="T366" s="12">
        <v>0.0</v>
      </c>
      <c r="U366" s="13" t="str">
        <f>IFERROR(T366/T446, "NA")</f>
        <v>NA</v>
      </c>
      <c r="V366" s="14"/>
      <c r="W366" s="12">
        <v>0.0</v>
      </c>
      <c r="X366" s="13" t="str">
        <f>IFERROR(W366/W446, "NA")</f>
        <v>NA</v>
      </c>
      <c r="Y366" s="14"/>
      <c r="Z366" s="12">
        <v>0.0</v>
      </c>
      <c r="AA366" s="13" t="str">
        <f>IFERROR(Z366/Z446, "NA")</f>
        <v>NA</v>
      </c>
      <c r="AB366" s="14"/>
      <c r="AC366" s="12">
        <v>0.0</v>
      </c>
      <c r="AD366" s="13" t="str">
        <f>IFERROR(AC366/AC446, "NA")</f>
        <v>NA</v>
      </c>
      <c r="AE366" s="14"/>
      <c r="AF366" s="12">
        <v>0.0</v>
      </c>
      <c r="AG366" s="13" t="str">
        <f>IFERROR(AF366/AF446, "NA")</f>
        <v>NA</v>
      </c>
      <c r="AH366" s="14"/>
      <c r="AI366" s="12">
        <v>0.0</v>
      </c>
      <c r="AJ366" s="13" t="str">
        <f>IFERROR(AI366/AI446, "NA")</f>
        <v>NA</v>
      </c>
      <c r="AK366" s="12"/>
      <c r="AL366" s="15">
        <f t="shared" si="53"/>
        <v>0</v>
      </c>
      <c r="AM366" s="13" t="str">
        <f>IFERROR(AL366/AL446, "NA")</f>
        <v>NA</v>
      </c>
      <c r="AN366" s="12"/>
      <c r="AO366" s="12">
        <v>0.0</v>
      </c>
      <c r="AP366" s="13" t="str">
        <f>IFERROR(AO366/AO446, "NA")</f>
        <v>NA</v>
      </c>
      <c r="AQ366" s="12"/>
      <c r="AR366" s="15">
        <f t="shared" si="54"/>
        <v>0</v>
      </c>
    </row>
    <row r="367" ht="16.5" hidden="1" customHeight="1">
      <c r="A367" s="11" t="s">
        <v>718</v>
      </c>
      <c r="B367" s="12">
        <v>0.0</v>
      </c>
      <c r="C367" s="13" t="str">
        <f>IFERROR(B367/B446, "NA")</f>
        <v>NA</v>
      </c>
      <c r="D367" s="14"/>
      <c r="E367" s="12">
        <v>0.0</v>
      </c>
      <c r="F367" s="13" t="str">
        <f>IFERROR(E367/E446, "NA")</f>
        <v>NA</v>
      </c>
      <c r="G367" s="14"/>
      <c r="H367" s="12">
        <v>0.0</v>
      </c>
      <c r="I367" s="13" t="str">
        <f>IFERROR(H367/H446, "NA")</f>
        <v>NA</v>
      </c>
      <c r="J367" s="14"/>
      <c r="K367" s="12">
        <v>0.0</v>
      </c>
      <c r="L367" s="13" t="str">
        <f>IFERROR(K367/K446, "NA")</f>
        <v>NA</v>
      </c>
      <c r="M367" s="14"/>
      <c r="N367" s="12">
        <v>0.0</v>
      </c>
      <c r="O367" s="13" t="str">
        <f>IFERROR(N367/N446, "NA")</f>
        <v>NA</v>
      </c>
      <c r="P367" s="14"/>
      <c r="Q367" s="12">
        <v>0.0</v>
      </c>
      <c r="R367" s="13" t="str">
        <f>IFERROR(Q367/Q446, "NA")</f>
        <v>NA</v>
      </c>
      <c r="S367" s="14"/>
      <c r="T367" s="12">
        <v>0.0</v>
      </c>
      <c r="U367" s="13" t="str">
        <f>IFERROR(T367/T446, "NA")</f>
        <v>NA</v>
      </c>
      <c r="V367" s="14"/>
      <c r="W367" s="12">
        <v>0.0</v>
      </c>
      <c r="X367" s="13" t="str">
        <f>IFERROR(W367/W446, "NA")</f>
        <v>NA</v>
      </c>
      <c r="Y367" s="14"/>
      <c r="Z367" s="12">
        <v>0.0</v>
      </c>
      <c r="AA367" s="13" t="str">
        <f>IFERROR(Z367/Z446, "NA")</f>
        <v>NA</v>
      </c>
      <c r="AB367" s="14"/>
      <c r="AC367" s="12">
        <v>0.0</v>
      </c>
      <c r="AD367" s="13" t="str">
        <f>IFERROR(AC367/AC446, "NA")</f>
        <v>NA</v>
      </c>
      <c r="AE367" s="14"/>
      <c r="AF367" s="12">
        <v>0.0</v>
      </c>
      <c r="AG367" s="13" t="str">
        <f>IFERROR(AF367/AF446, "NA")</f>
        <v>NA</v>
      </c>
      <c r="AH367" s="14"/>
      <c r="AI367" s="12">
        <v>0.0</v>
      </c>
      <c r="AJ367" s="13" t="str">
        <f>IFERROR(AI367/AI446, "NA")</f>
        <v>NA</v>
      </c>
      <c r="AK367" s="12"/>
      <c r="AL367" s="15">
        <f t="shared" si="53"/>
        <v>0</v>
      </c>
      <c r="AM367" s="13" t="str">
        <f>IFERROR(AL367/AL446, "NA")</f>
        <v>NA</v>
      </c>
      <c r="AN367" s="12"/>
      <c r="AO367" s="12">
        <v>0.0</v>
      </c>
      <c r="AP367" s="13" t="str">
        <f>IFERROR(AO367/AO446, "NA")</f>
        <v>NA</v>
      </c>
      <c r="AQ367" s="12"/>
      <c r="AR367" s="15">
        <f t="shared" si="54"/>
        <v>0</v>
      </c>
    </row>
    <row r="368" ht="16.5" hidden="1" customHeight="1">
      <c r="A368" s="11" t="s">
        <v>719</v>
      </c>
      <c r="B368" s="12">
        <v>0.0</v>
      </c>
      <c r="C368" s="13" t="str">
        <f>IFERROR(B368/B446, "NA")</f>
        <v>NA</v>
      </c>
      <c r="D368" s="14"/>
      <c r="E368" s="12">
        <v>0.0</v>
      </c>
      <c r="F368" s="13" t="str">
        <f>IFERROR(E368/E446, "NA")</f>
        <v>NA</v>
      </c>
      <c r="G368" s="14"/>
      <c r="H368" s="12">
        <v>0.0</v>
      </c>
      <c r="I368" s="13" t="str">
        <f>IFERROR(H368/H446, "NA")</f>
        <v>NA</v>
      </c>
      <c r="J368" s="14"/>
      <c r="K368" s="12">
        <v>0.0</v>
      </c>
      <c r="L368" s="13" t="str">
        <f>IFERROR(K368/K446, "NA")</f>
        <v>NA</v>
      </c>
      <c r="M368" s="14"/>
      <c r="N368" s="12">
        <v>0.0</v>
      </c>
      <c r="O368" s="13" t="str">
        <f>IFERROR(N368/N446, "NA")</f>
        <v>NA</v>
      </c>
      <c r="P368" s="14"/>
      <c r="Q368" s="12">
        <v>0.0</v>
      </c>
      <c r="R368" s="13" t="str">
        <f>IFERROR(Q368/Q446, "NA")</f>
        <v>NA</v>
      </c>
      <c r="S368" s="14"/>
      <c r="T368" s="12">
        <v>0.0</v>
      </c>
      <c r="U368" s="13" t="str">
        <f>IFERROR(T368/T446, "NA")</f>
        <v>NA</v>
      </c>
      <c r="V368" s="14"/>
      <c r="W368" s="12">
        <v>0.0</v>
      </c>
      <c r="X368" s="13" t="str">
        <f>IFERROR(W368/W446, "NA")</f>
        <v>NA</v>
      </c>
      <c r="Y368" s="14"/>
      <c r="Z368" s="12">
        <v>0.0</v>
      </c>
      <c r="AA368" s="13" t="str">
        <f>IFERROR(Z368/Z446, "NA")</f>
        <v>NA</v>
      </c>
      <c r="AB368" s="14"/>
      <c r="AC368" s="12">
        <v>0.0</v>
      </c>
      <c r="AD368" s="13" t="str">
        <f>IFERROR(AC368/AC446, "NA")</f>
        <v>NA</v>
      </c>
      <c r="AE368" s="14"/>
      <c r="AF368" s="12">
        <v>0.0</v>
      </c>
      <c r="AG368" s="13" t="str">
        <f>IFERROR(AF368/AF446, "NA")</f>
        <v>NA</v>
      </c>
      <c r="AH368" s="14"/>
      <c r="AI368" s="12">
        <v>0.0</v>
      </c>
      <c r="AJ368" s="13" t="str">
        <f>IFERROR(AI368/AI446, "NA")</f>
        <v>NA</v>
      </c>
      <c r="AK368" s="12"/>
      <c r="AL368" s="15">
        <f t="shared" si="53"/>
        <v>0</v>
      </c>
      <c r="AM368" s="13" t="str">
        <f>IFERROR(AL368/AL446, "NA")</f>
        <v>NA</v>
      </c>
      <c r="AN368" s="12"/>
      <c r="AO368" s="12">
        <v>0.0</v>
      </c>
      <c r="AP368" s="13" t="str">
        <f>IFERROR(AO368/AO446, "NA")</f>
        <v>NA</v>
      </c>
      <c r="AQ368" s="12"/>
      <c r="AR368" s="15">
        <f t="shared" si="54"/>
        <v>0</v>
      </c>
    </row>
    <row r="369" ht="16.5" customHeight="1">
      <c r="A369" s="16" t="s">
        <v>340</v>
      </c>
      <c r="B369" s="17">
        <f>IFERROR(B361+B362+B363+B364+B365+B366+B367+B368, "NA")</f>
        <v>0</v>
      </c>
      <c r="C369" s="18" t="str">
        <f>IFERROR(B369/B446, "NA")</f>
        <v>NA</v>
      </c>
      <c r="D369" s="8"/>
      <c r="E369" s="17">
        <f>IFERROR(E361+E362+E363+E364+E365+E366+E367+E368, "NA")</f>
        <v>0</v>
      </c>
      <c r="F369" s="18" t="str">
        <f>IFERROR(E369/E446, "NA")</f>
        <v>NA</v>
      </c>
      <c r="G369" s="8"/>
      <c r="H369" s="17">
        <f>IFERROR(H361+H362+H363+H364+H365+H366+H367+H368, "NA")</f>
        <v>0</v>
      </c>
      <c r="I369" s="18" t="str">
        <f>IFERROR(H369/H446, "NA")</f>
        <v>NA</v>
      </c>
      <c r="J369" s="8"/>
      <c r="K369" s="17">
        <f>IFERROR(K361+K362+K363+K364+K365+K366+K367+K368, "NA")</f>
        <v>0</v>
      </c>
      <c r="L369" s="18" t="str">
        <f>IFERROR(K369/K446, "NA")</f>
        <v>NA</v>
      </c>
      <c r="M369" s="8"/>
      <c r="N369" s="17">
        <f>IFERROR(N361+N362+N363+N364+N365+N366+N367+N368, "NA")</f>
        <v>0</v>
      </c>
      <c r="O369" s="18" t="str">
        <f>IFERROR(N369/N446, "NA")</f>
        <v>NA</v>
      </c>
      <c r="P369" s="8"/>
      <c r="Q369" s="17">
        <f>IFERROR(Q361+Q362+Q363+Q364+Q365+Q366+Q367+Q368, "NA")</f>
        <v>0</v>
      </c>
      <c r="R369" s="18" t="str">
        <f>IFERROR(Q369/Q446, "NA")</f>
        <v>NA</v>
      </c>
      <c r="S369" s="8"/>
      <c r="T369" s="17">
        <f>IFERROR(T361+T362+T363+T364+T365+T366+T367+T368, "NA")</f>
        <v>0</v>
      </c>
      <c r="U369" s="18" t="str">
        <f>IFERROR(T369/T446, "NA")</f>
        <v>NA</v>
      </c>
      <c r="V369" s="8"/>
      <c r="W369" s="17">
        <f>IFERROR(W361+W362+W363+W364+W365+W366+W367+W368, "NA")</f>
        <v>0</v>
      </c>
      <c r="X369" s="18" t="str">
        <f>IFERROR(W369/W446, "NA")</f>
        <v>NA</v>
      </c>
      <c r="Y369" s="8"/>
      <c r="Z369" s="17">
        <f>IFERROR(Z361+Z362+Z363+Z364+Z365+Z366+Z367+Z368, "NA")</f>
        <v>0</v>
      </c>
      <c r="AA369" s="18" t="str">
        <f>IFERROR(Z369/Z446, "NA")</f>
        <v>NA</v>
      </c>
      <c r="AB369" s="8"/>
      <c r="AC369" s="17">
        <f>IFERROR(AC361+AC362+AC363+AC364+AC365+AC366+AC367+AC368, "NA")</f>
        <v>0</v>
      </c>
      <c r="AD369" s="18" t="str">
        <f>IFERROR(AC369/AC446, "NA")</f>
        <v>NA</v>
      </c>
      <c r="AE369" s="8"/>
      <c r="AF369" s="17">
        <f>IFERROR(AF361+AF362+AF363+AF364+AF365+AF366+AF367+AF368, "NA")</f>
        <v>0</v>
      </c>
      <c r="AG369" s="18" t="str">
        <f>IFERROR(AF369/AF446, "NA")</f>
        <v>NA</v>
      </c>
      <c r="AH369" s="8"/>
      <c r="AI369" s="17">
        <f>IFERROR(AI361+AI362+AI363+AI364+AI365+AI366+AI367+AI368, "NA")</f>
        <v>0</v>
      </c>
      <c r="AJ369" s="18" t="str">
        <f>IFERROR(AI369/AI446, "NA")</f>
        <v>NA</v>
      </c>
      <c r="AK369" s="8"/>
      <c r="AL369" s="17">
        <f t="shared" si="53"/>
        <v>0</v>
      </c>
      <c r="AM369" s="18" t="str">
        <f>IFERROR(AL369/AL446, "NA")</f>
        <v>NA</v>
      </c>
      <c r="AN369" s="8"/>
      <c r="AO369" s="17">
        <f>IFERROR(AO361+AO362+AO363+AO364+AO365+AO366+AO367+AO368, "NA")</f>
        <v>0</v>
      </c>
      <c r="AP369" s="18" t="str">
        <f>IFERROR(AO369/AO446, "NA")</f>
        <v>NA</v>
      </c>
      <c r="AQ369" s="8"/>
      <c r="AR369" s="17">
        <f t="shared" si="54"/>
        <v>0</v>
      </c>
    </row>
    <row r="370" ht="16.5" hidden="1" customHeight="1">
      <c r="A370" s="11" t="s">
        <v>720</v>
      </c>
      <c r="B370" s="12">
        <v>0.0</v>
      </c>
      <c r="C370" s="13" t="str">
        <f>IFERROR(B370/B446, "NA")</f>
        <v>NA</v>
      </c>
      <c r="D370" s="14"/>
      <c r="E370" s="12">
        <v>0.0</v>
      </c>
      <c r="F370" s="13" t="str">
        <f>IFERROR(E370/E446, "NA")</f>
        <v>NA</v>
      </c>
      <c r="G370" s="14"/>
      <c r="H370" s="12">
        <v>0.0</v>
      </c>
      <c r="I370" s="13" t="str">
        <f>IFERROR(H370/H446, "NA")</f>
        <v>NA</v>
      </c>
      <c r="J370" s="14"/>
      <c r="K370" s="12">
        <v>0.0</v>
      </c>
      <c r="L370" s="13" t="str">
        <f>IFERROR(K370/K446, "NA")</f>
        <v>NA</v>
      </c>
      <c r="M370" s="14"/>
      <c r="N370" s="12">
        <v>0.0</v>
      </c>
      <c r="O370" s="13" t="str">
        <f>IFERROR(N370/N446, "NA")</f>
        <v>NA</v>
      </c>
      <c r="P370" s="14"/>
      <c r="Q370" s="12">
        <v>0.0</v>
      </c>
      <c r="R370" s="13" t="str">
        <f>IFERROR(Q370/Q446, "NA")</f>
        <v>NA</v>
      </c>
      <c r="S370" s="14"/>
      <c r="T370" s="12">
        <v>0.0</v>
      </c>
      <c r="U370" s="13" t="str">
        <f>IFERROR(T370/T446, "NA")</f>
        <v>NA</v>
      </c>
      <c r="V370" s="14"/>
      <c r="W370" s="12">
        <v>0.0</v>
      </c>
      <c r="X370" s="13" t="str">
        <f>IFERROR(W370/W446, "NA")</f>
        <v>NA</v>
      </c>
      <c r="Y370" s="14"/>
      <c r="Z370" s="12">
        <v>0.0</v>
      </c>
      <c r="AA370" s="13" t="str">
        <f>IFERROR(Z370/Z446, "NA")</f>
        <v>NA</v>
      </c>
      <c r="AB370" s="14"/>
      <c r="AC370" s="12">
        <v>0.0</v>
      </c>
      <c r="AD370" s="13" t="str">
        <f>IFERROR(AC370/AC446, "NA")</f>
        <v>NA</v>
      </c>
      <c r="AE370" s="14"/>
      <c r="AF370" s="12">
        <v>0.0</v>
      </c>
      <c r="AG370" s="13" t="str">
        <f>IFERROR(AF370/AF446, "NA")</f>
        <v>NA</v>
      </c>
      <c r="AH370" s="14"/>
      <c r="AI370" s="12">
        <v>0.0</v>
      </c>
      <c r="AJ370" s="13" t="str">
        <f>IFERROR(AI370/AI446, "NA")</f>
        <v>NA</v>
      </c>
      <c r="AK370" s="12"/>
      <c r="AL370" s="15">
        <f t="shared" si="53"/>
        <v>0</v>
      </c>
      <c r="AM370" s="13" t="str">
        <f>IFERROR(AL370/AL446, "NA")</f>
        <v>NA</v>
      </c>
      <c r="AN370" s="12"/>
      <c r="AO370" s="12">
        <v>0.0</v>
      </c>
      <c r="AP370" s="13" t="str">
        <f>IFERROR(AO370/AO446, "NA")</f>
        <v>NA</v>
      </c>
      <c r="AQ370" s="12"/>
      <c r="AR370" s="15">
        <f t="shared" si="54"/>
        <v>0</v>
      </c>
    </row>
    <row r="371" ht="16.5" hidden="1" customHeight="1">
      <c r="A371" s="11" t="s">
        <v>721</v>
      </c>
      <c r="B371" s="12">
        <v>0.0</v>
      </c>
      <c r="C371" s="13" t="str">
        <f>IFERROR(B371/B446, "NA")</f>
        <v>NA</v>
      </c>
      <c r="D371" s="14"/>
      <c r="E371" s="12">
        <v>0.0</v>
      </c>
      <c r="F371" s="13" t="str">
        <f>IFERROR(E371/E446, "NA")</f>
        <v>NA</v>
      </c>
      <c r="G371" s="14"/>
      <c r="H371" s="12">
        <v>0.0</v>
      </c>
      <c r="I371" s="13" t="str">
        <f>IFERROR(H371/H446, "NA")</f>
        <v>NA</v>
      </c>
      <c r="J371" s="14"/>
      <c r="K371" s="12">
        <v>0.0</v>
      </c>
      <c r="L371" s="13" t="str">
        <f>IFERROR(K371/K446, "NA")</f>
        <v>NA</v>
      </c>
      <c r="M371" s="14"/>
      <c r="N371" s="12">
        <v>0.0</v>
      </c>
      <c r="O371" s="13" t="str">
        <f>IFERROR(N371/N446, "NA")</f>
        <v>NA</v>
      </c>
      <c r="P371" s="14"/>
      <c r="Q371" s="12">
        <v>0.0</v>
      </c>
      <c r="R371" s="13" t="str">
        <f>IFERROR(Q371/Q446, "NA")</f>
        <v>NA</v>
      </c>
      <c r="S371" s="14"/>
      <c r="T371" s="12">
        <v>0.0</v>
      </c>
      <c r="U371" s="13" t="str">
        <f>IFERROR(T371/T446, "NA")</f>
        <v>NA</v>
      </c>
      <c r="V371" s="14"/>
      <c r="W371" s="12">
        <v>0.0</v>
      </c>
      <c r="X371" s="13" t="str">
        <f>IFERROR(W371/W446, "NA")</f>
        <v>NA</v>
      </c>
      <c r="Y371" s="14"/>
      <c r="Z371" s="12">
        <v>0.0</v>
      </c>
      <c r="AA371" s="13" t="str">
        <f>IFERROR(Z371/Z446, "NA")</f>
        <v>NA</v>
      </c>
      <c r="AB371" s="14"/>
      <c r="AC371" s="12">
        <v>0.0</v>
      </c>
      <c r="AD371" s="13" t="str">
        <f>IFERROR(AC371/AC446, "NA")</f>
        <v>NA</v>
      </c>
      <c r="AE371" s="14"/>
      <c r="AF371" s="12">
        <v>0.0</v>
      </c>
      <c r="AG371" s="13" t="str">
        <f>IFERROR(AF371/AF446, "NA")</f>
        <v>NA</v>
      </c>
      <c r="AH371" s="14"/>
      <c r="AI371" s="12">
        <v>0.0</v>
      </c>
      <c r="AJ371" s="13" t="str">
        <f>IFERROR(AI371/AI446, "NA")</f>
        <v>NA</v>
      </c>
      <c r="AK371" s="12"/>
      <c r="AL371" s="15">
        <f t="shared" si="53"/>
        <v>0</v>
      </c>
      <c r="AM371" s="13" t="str">
        <f>IFERROR(AL371/AL446, "NA")</f>
        <v>NA</v>
      </c>
      <c r="AN371" s="12"/>
      <c r="AO371" s="12">
        <v>0.0</v>
      </c>
      <c r="AP371" s="13" t="str">
        <f>IFERROR(AO371/AO446, "NA")</f>
        <v>NA</v>
      </c>
      <c r="AQ371" s="12"/>
      <c r="AR371" s="15">
        <f t="shared" si="54"/>
        <v>0</v>
      </c>
    </row>
    <row r="372" ht="16.5" hidden="1" customHeight="1">
      <c r="A372" s="11" t="s">
        <v>722</v>
      </c>
      <c r="B372" s="12">
        <v>0.0</v>
      </c>
      <c r="C372" s="13" t="str">
        <f>IFERROR(B372/B446, "NA")</f>
        <v>NA</v>
      </c>
      <c r="D372" s="14"/>
      <c r="E372" s="12">
        <v>0.0</v>
      </c>
      <c r="F372" s="13" t="str">
        <f>IFERROR(E372/E446, "NA")</f>
        <v>NA</v>
      </c>
      <c r="G372" s="14"/>
      <c r="H372" s="12">
        <v>0.0</v>
      </c>
      <c r="I372" s="13" t="str">
        <f>IFERROR(H372/H446, "NA")</f>
        <v>NA</v>
      </c>
      <c r="J372" s="14"/>
      <c r="K372" s="12">
        <v>0.0</v>
      </c>
      <c r="L372" s="13" t="str">
        <f>IFERROR(K372/K446, "NA")</f>
        <v>NA</v>
      </c>
      <c r="M372" s="14"/>
      <c r="N372" s="12">
        <v>0.0</v>
      </c>
      <c r="O372" s="13" t="str">
        <f>IFERROR(N372/N446, "NA")</f>
        <v>NA</v>
      </c>
      <c r="P372" s="14"/>
      <c r="Q372" s="12">
        <v>0.0</v>
      </c>
      <c r="R372" s="13" t="str">
        <f>IFERROR(Q372/Q446, "NA")</f>
        <v>NA</v>
      </c>
      <c r="S372" s="14"/>
      <c r="T372" s="12">
        <v>0.0</v>
      </c>
      <c r="U372" s="13" t="str">
        <f>IFERROR(T372/T446, "NA")</f>
        <v>NA</v>
      </c>
      <c r="V372" s="14"/>
      <c r="W372" s="12">
        <v>0.0</v>
      </c>
      <c r="X372" s="13" t="str">
        <f>IFERROR(W372/W446, "NA")</f>
        <v>NA</v>
      </c>
      <c r="Y372" s="14"/>
      <c r="Z372" s="12">
        <v>0.0</v>
      </c>
      <c r="AA372" s="13" t="str">
        <f>IFERROR(Z372/Z446, "NA")</f>
        <v>NA</v>
      </c>
      <c r="AB372" s="14"/>
      <c r="AC372" s="12">
        <v>0.0</v>
      </c>
      <c r="AD372" s="13" t="str">
        <f>IFERROR(AC372/AC446, "NA")</f>
        <v>NA</v>
      </c>
      <c r="AE372" s="14"/>
      <c r="AF372" s="12">
        <v>0.0</v>
      </c>
      <c r="AG372" s="13" t="str">
        <f>IFERROR(AF372/AF446, "NA")</f>
        <v>NA</v>
      </c>
      <c r="AH372" s="14"/>
      <c r="AI372" s="12">
        <v>0.0</v>
      </c>
      <c r="AJ372" s="13" t="str">
        <f>IFERROR(AI372/AI446, "NA")</f>
        <v>NA</v>
      </c>
      <c r="AK372" s="12"/>
      <c r="AL372" s="15">
        <f t="shared" si="53"/>
        <v>0</v>
      </c>
      <c r="AM372" s="13" t="str">
        <f>IFERROR(AL372/AL446, "NA")</f>
        <v>NA</v>
      </c>
      <c r="AN372" s="12"/>
      <c r="AO372" s="12">
        <v>0.0</v>
      </c>
      <c r="AP372" s="13" t="str">
        <f>IFERROR(AO372/AO446, "NA")</f>
        <v>NA</v>
      </c>
      <c r="AQ372" s="12"/>
      <c r="AR372" s="15">
        <f t="shared" si="54"/>
        <v>0</v>
      </c>
    </row>
    <row r="373" ht="16.5" hidden="1" customHeight="1">
      <c r="A373" s="11" t="s">
        <v>723</v>
      </c>
      <c r="B373" s="12">
        <v>0.0</v>
      </c>
      <c r="C373" s="13" t="str">
        <f>IFERROR(B373/B446, "NA")</f>
        <v>NA</v>
      </c>
      <c r="D373" s="14"/>
      <c r="E373" s="12">
        <v>0.0</v>
      </c>
      <c r="F373" s="13" t="str">
        <f>IFERROR(E373/E446, "NA")</f>
        <v>NA</v>
      </c>
      <c r="G373" s="14"/>
      <c r="H373" s="12">
        <v>0.0</v>
      </c>
      <c r="I373" s="13" t="str">
        <f>IFERROR(H373/H446, "NA")</f>
        <v>NA</v>
      </c>
      <c r="J373" s="14"/>
      <c r="K373" s="12">
        <v>0.0</v>
      </c>
      <c r="L373" s="13" t="str">
        <f>IFERROR(K373/K446, "NA")</f>
        <v>NA</v>
      </c>
      <c r="M373" s="14"/>
      <c r="N373" s="12">
        <v>0.0</v>
      </c>
      <c r="O373" s="13" t="str">
        <f>IFERROR(N373/N446, "NA")</f>
        <v>NA</v>
      </c>
      <c r="P373" s="14"/>
      <c r="Q373" s="12">
        <v>0.0</v>
      </c>
      <c r="R373" s="13" t="str">
        <f>IFERROR(Q373/Q446, "NA")</f>
        <v>NA</v>
      </c>
      <c r="S373" s="14"/>
      <c r="T373" s="12">
        <v>0.0</v>
      </c>
      <c r="U373" s="13" t="str">
        <f>IFERROR(T373/T446, "NA")</f>
        <v>NA</v>
      </c>
      <c r="V373" s="14"/>
      <c r="W373" s="12">
        <v>0.0</v>
      </c>
      <c r="X373" s="13" t="str">
        <f>IFERROR(W373/W446, "NA")</f>
        <v>NA</v>
      </c>
      <c r="Y373" s="14"/>
      <c r="Z373" s="12">
        <v>0.0</v>
      </c>
      <c r="AA373" s="13" t="str">
        <f>IFERROR(Z373/Z446, "NA")</f>
        <v>NA</v>
      </c>
      <c r="AB373" s="14"/>
      <c r="AC373" s="12">
        <v>0.0</v>
      </c>
      <c r="AD373" s="13" t="str">
        <f>IFERROR(AC373/AC446, "NA")</f>
        <v>NA</v>
      </c>
      <c r="AE373" s="14"/>
      <c r="AF373" s="12">
        <v>0.0</v>
      </c>
      <c r="AG373" s="13" t="str">
        <f>IFERROR(AF373/AF446, "NA")</f>
        <v>NA</v>
      </c>
      <c r="AH373" s="14"/>
      <c r="AI373" s="12">
        <v>0.0</v>
      </c>
      <c r="AJ373" s="13" t="str">
        <f>IFERROR(AI373/AI446, "NA")</f>
        <v>NA</v>
      </c>
      <c r="AK373" s="12"/>
      <c r="AL373" s="15">
        <f t="shared" si="53"/>
        <v>0</v>
      </c>
      <c r="AM373" s="13" t="str">
        <f>IFERROR(AL373/AL446, "NA")</f>
        <v>NA</v>
      </c>
      <c r="AN373" s="12"/>
      <c r="AO373" s="12">
        <v>0.0</v>
      </c>
      <c r="AP373" s="13" t="str">
        <f>IFERROR(AO373/AO446, "NA")</f>
        <v>NA</v>
      </c>
      <c r="AQ373" s="12"/>
      <c r="AR373" s="15">
        <f t="shared" si="54"/>
        <v>0</v>
      </c>
    </row>
    <row r="374" ht="16.5" hidden="1" customHeight="1">
      <c r="A374" s="11" t="s">
        <v>724</v>
      </c>
      <c r="B374" s="12">
        <v>0.0</v>
      </c>
      <c r="C374" s="13" t="str">
        <f>IFERROR(B374/B446, "NA")</f>
        <v>NA</v>
      </c>
      <c r="D374" s="14"/>
      <c r="E374" s="12">
        <v>0.0</v>
      </c>
      <c r="F374" s="13" t="str">
        <f>IFERROR(E374/E446, "NA")</f>
        <v>NA</v>
      </c>
      <c r="G374" s="14"/>
      <c r="H374" s="12">
        <v>0.0</v>
      </c>
      <c r="I374" s="13" t="str">
        <f>IFERROR(H374/H446, "NA")</f>
        <v>NA</v>
      </c>
      <c r="J374" s="14"/>
      <c r="K374" s="12">
        <v>0.0</v>
      </c>
      <c r="L374" s="13" t="str">
        <f>IFERROR(K374/K446, "NA")</f>
        <v>NA</v>
      </c>
      <c r="M374" s="14"/>
      <c r="N374" s="12">
        <v>0.0</v>
      </c>
      <c r="O374" s="13" t="str">
        <f>IFERROR(N374/N446, "NA")</f>
        <v>NA</v>
      </c>
      <c r="P374" s="14"/>
      <c r="Q374" s="12">
        <v>0.0</v>
      </c>
      <c r="R374" s="13" t="str">
        <f>IFERROR(Q374/Q446, "NA")</f>
        <v>NA</v>
      </c>
      <c r="S374" s="14"/>
      <c r="T374" s="12">
        <v>0.0</v>
      </c>
      <c r="U374" s="13" t="str">
        <f>IFERROR(T374/T446, "NA")</f>
        <v>NA</v>
      </c>
      <c r="V374" s="14"/>
      <c r="W374" s="12">
        <v>0.0</v>
      </c>
      <c r="X374" s="13" t="str">
        <f>IFERROR(W374/W446, "NA")</f>
        <v>NA</v>
      </c>
      <c r="Y374" s="14"/>
      <c r="Z374" s="12">
        <v>0.0</v>
      </c>
      <c r="AA374" s="13" t="str">
        <f>IFERROR(Z374/Z446, "NA")</f>
        <v>NA</v>
      </c>
      <c r="AB374" s="14"/>
      <c r="AC374" s="12">
        <v>0.0</v>
      </c>
      <c r="AD374" s="13" t="str">
        <f>IFERROR(AC374/AC446, "NA")</f>
        <v>NA</v>
      </c>
      <c r="AE374" s="14"/>
      <c r="AF374" s="12">
        <v>0.0</v>
      </c>
      <c r="AG374" s="13" t="str">
        <f>IFERROR(AF374/AF446, "NA")</f>
        <v>NA</v>
      </c>
      <c r="AH374" s="14"/>
      <c r="AI374" s="12">
        <v>0.0</v>
      </c>
      <c r="AJ374" s="13" t="str">
        <f>IFERROR(AI374/AI446, "NA")</f>
        <v>NA</v>
      </c>
      <c r="AK374" s="12"/>
      <c r="AL374" s="15">
        <f t="shared" si="53"/>
        <v>0</v>
      </c>
      <c r="AM374" s="13" t="str">
        <f>IFERROR(AL374/AL446, "NA")</f>
        <v>NA</v>
      </c>
      <c r="AN374" s="12"/>
      <c r="AO374" s="12">
        <v>0.0</v>
      </c>
      <c r="AP374" s="13" t="str">
        <f>IFERROR(AO374/AO446, "NA")</f>
        <v>NA</v>
      </c>
      <c r="AQ374" s="12"/>
      <c r="AR374" s="15">
        <f t="shared" si="54"/>
        <v>0</v>
      </c>
    </row>
    <row r="375" ht="16.5" hidden="1" customHeight="1">
      <c r="A375" s="11" t="s">
        <v>725</v>
      </c>
      <c r="B375" s="12">
        <v>0.0</v>
      </c>
      <c r="C375" s="13" t="str">
        <f>IFERROR(B375/B446, "NA")</f>
        <v>NA</v>
      </c>
      <c r="D375" s="14"/>
      <c r="E375" s="12">
        <v>0.0</v>
      </c>
      <c r="F375" s="13" t="str">
        <f>IFERROR(E375/E446, "NA")</f>
        <v>NA</v>
      </c>
      <c r="G375" s="14"/>
      <c r="H375" s="12">
        <v>0.0</v>
      </c>
      <c r="I375" s="13" t="str">
        <f>IFERROR(H375/H446, "NA")</f>
        <v>NA</v>
      </c>
      <c r="J375" s="14"/>
      <c r="K375" s="12">
        <v>0.0</v>
      </c>
      <c r="L375" s="13" t="str">
        <f>IFERROR(K375/K446, "NA")</f>
        <v>NA</v>
      </c>
      <c r="M375" s="14"/>
      <c r="N375" s="12">
        <v>0.0</v>
      </c>
      <c r="O375" s="13" t="str">
        <f>IFERROR(N375/N446, "NA")</f>
        <v>NA</v>
      </c>
      <c r="P375" s="14"/>
      <c r="Q375" s="12">
        <v>0.0</v>
      </c>
      <c r="R375" s="13" t="str">
        <f>IFERROR(Q375/Q446, "NA")</f>
        <v>NA</v>
      </c>
      <c r="S375" s="14"/>
      <c r="T375" s="12">
        <v>0.0</v>
      </c>
      <c r="U375" s="13" t="str">
        <f>IFERROR(T375/T446, "NA")</f>
        <v>NA</v>
      </c>
      <c r="V375" s="14"/>
      <c r="W375" s="12">
        <v>0.0</v>
      </c>
      <c r="X375" s="13" t="str">
        <f>IFERROR(W375/W446, "NA")</f>
        <v>NA</v>
      </c>
      <c r="Y375" s="14"/>
      <c r="Z375" s="12">
        <v>0.0</v>
      </c>
      <c r="AA375" s="13" t="str">
        <f>IFERROR(Z375/Z446, "NA")</f>
        <v>NA</v>
      </c>
      <c r="AB375" s="14"/>
      <c r="AC375" s="12">
        <v>0.0</v>
      </c>
      <c r="AD375" s="13" t="str">
        <f>IFERROR(AC375/AC446, "NA")</f>
        <v>NA</v>
      </c>
      <c r="AE375" s="14"/>
      <c r="AF375" s="12">
        <v>0.0</v>
      </c>
      <c r="AG375" s="13" t="str">
        <f>IFERROR(AF375/AF446, "NA")</f>
        <v>NA</v>
      </c>
      <c r="AH375" s="14"/>
      <c r="AI375" s="12">
        <v>0.0</v>
      </c>
      <c r="AJ375" s="13" t="str">
        <f>IFERROR(AI375/AI446, "NA")</f>
        <v>NA</v>
      </c>
      <c r="AK375" s="12"/>
      <c r="AL375" s="15">
        <f t="shared" si="53"/>
        <v>0</v>
      </c>
      <c r="AM375" s="13" t="str">
        <f>IFERROR(AL375/AL446, "NA")</f>
        <v>NA</v>
      </c>
      <c r="AN375" s="12"/>
      <c r="AO375" s="12">
        <v>0.0</v>
      </c>
      <c r="AP375" s="13" t="str">
        <f>IFERROR(AO375/AO446, "NA")</f>
        <v>NA</v>
      </c>
      <c r="AQ375" s="12"/>
      <c r="AR375" s="15">
        <f t="shared" si="54"/>
        <v>0</v>
      </c>
    </row>
    <row r="376" ht="16.5" hidden="1" customHeight="1">
      <c r="A376" s="11" t="s">
        <v>726</v>
      </c>
      <c r="B376" s="12">
        <v>0.0</v>
      </c>
      <c r="C376" s="13" t="str">
        <f>IFERROR(B376/B446, "NA")</f>
        <v>NA</v>
      </c>
      <c r="D376" s="14"/>
      <c r="E376" s="12">
        <v>0.0</v>
      </c>
      <c r="F376" s="13" t="str">
        <f>IFERROR(E376/E446, "NA")</f>
        <v>NA</v>
      </c>
      <c r="G376" s="14"/>
      <c r="H376" s="12">
        <v>0.0</v>
      </c>
      <c r="I376" s="13" t="str">
        <f>IFERROR(H376/H446, "NA")</f>
        <v>NA</v>
      </c>
      <c r="J376" s="14"/>
      <c r="K376" s="12">
        <v>0.0</v>
      </c>
      <c r="L376" s="13" t="str">
        <f>IFERROR(K376/K446, "NA")</f>
        <v>NA</v>
      </c>
      <c r="M376" s="14"/>
      <c r="N376" s="12">
        <v>0.0</v>
      </c>
      <c r="O376" s="13" t="str">
        <f>IFERROR(N376/N446, "NA")</f>
        <v>NA</v>
      </c>
      <c r="P376" s="14"/>
      <c r="Q376" s="12">
        <v>0.0</v>
      </c>
      <c r="R376" s="13" t="str">
        <f>IFERROR(Q376/Q446, "NA")</f>
        <v>NA</v>
      </c>
      <c r="S376" s="14"/>
      <c r="T376" s="12">
        <v>0.0</v>
      </c>
      <c r="U376" s="13" t="str">
        <f>IFERROR(T376/T446, "NA")</f>
        <v>NA</v>
      </c>
      <c r="V376" s="14"/>
      <c r="W376" s="12">
        <v>0.0</v>
      </c>
      <c r="X376" s="13" t="str">
        <f>IFERROR(W376/W446, "NA")</f>
        <v>NA</v>
      </c>
      <c r="Y376" s="14"/>
      <c r="Z376" s="12">
        <v>0.0</v>
      </c>
      <c r="AA376" s="13" t="str">
        <f>IFERROR(Z376/Z446, "NA")</f>
        <v>NA</v>
      </c>
      <c r="AB376" s="14"/>
      <c r="AC376" s="12">
        <v>0.0</v>
      </c>
      <c r="AD376" s="13" t="str">
        <f>IFERROR(AC376/AC446, "NA")</f>
        <v>NA</v>
      </c>
      <c r="AE376" s="14"/>
      <c r="AF376" s="12">
        <v>0.0</v>
      </c>
      <c r="AG376" s="13" t="str">
        <f>IFERROR(AF376/AF446, "NA")</f>
        <v>NA</v>
      </c>
      <c r="AH376" s="14"/>
      <c r="AI376" s="12">
        <v>0.0</v>
      </c>
      <c r="AJ376" s="13" t="str">
        <f>IFERROR(AI376/AI446, "NA")</f>
        <v>NA</v>
      </c>
      <c r="AK376" s="12"/>
      <c r="AL376" s="15">
        <f t="shared" si="53"/>
        <v>0</v>
      </c>
      <c r="AM376" s="13" t="str">
        <f>IFERROR(AL376/AL446, "NA")</f>
        <v>NA</v>
      </c>
      <c r="AN376" s="12"/>
      <c r="AO376" s="12">
        <v>0.0</v>
      </c>
      <c r="AP376" s="13" t="str">
        <f>IFERROR(AO376/AO446, "NA")</f>
        <v>NA</v>
      </c>
      <c r="AQ376" s="12"/>
      <c r="AR376" s="15">
        <f t="shared" si="54"/>
        <v>0</v>
      </c>
    </row>
    <row r="377" ht="16.5" hidden="1" customHeight="1">
      <c r="A377" s="11" t="s">
        <v>727</v>
      </c>
      <c r="B377" s="12">
        <v>0.0</v>
      </c>
      <c r="C377" s="13" t="str">
        <f>IFERROR(B377/B446, "NA")</f>
        <v>NA</v>
      </c>
      <c r="D377" s="14"/>
      <c r="E377" s="12">
        <v>0.0</v>
      </c>
      <c r="F377" s="13" t="str">
        <f>IFERROR(E377/E446, "NA")</f>
        <v>NA</v>
      </c>
      <c r="G377" s="14"/>
      <c r="H377" s="12">
        <v>0.0</v>
      </c>
      <c r="I377" s="13" t="str">
        <f>IFERROR(H377/H446, "NA")</f>
        <v>NA</v>
      </c>
      <c r="J377" s="14"/>
      <c r="K377" s="12">
        <v>0.0</v>
      </c>
      <c r="L377" s="13" t="str">
        <f>IFERROR(K377/K446, "NA")</f>
        <v>NA</v>
      </c>
      <c r="M377" s="14"/>
      <c r="N377" s="12">
        <v>0.0</v>
      </c>
      <c r="O377" s="13" t="str">
        <f>IFERROR(N377/N446, "NA")</f>
        <v>NA</v>
      </c>
      <c r="P377" s="14"/>
      <c r="Q377" s="12">
        <v>0.0</v>
      </c>
      <c r="R377" s="13" t="str">
        <f>IFERROR(Q377/Q446, "NA")</f>
        <v>NA</v>
      </c>
      <c r="S377" s="14"/>
      <c r="T377" s="12">
        <v>0.0</v>
      </c>
      <c r="U377" s="13" t="str">
        <f>IFERROR(T377/T446, "NA")</f>
        <v>NA</v>
      </c>
      <c r="V377" s="14"/>
      <c r="W377" s="12">
        <v>0.0</v>
      </c>
      <c r="X377" s="13" t="str">
        <f>IFERROR(W377/W446, "NA")</f>
        <v>NA</v>
      </c>
      <c r="Y377" s="14"/>
      <c r="Z377" s="12">
        <v>0.0</v>
      </c>
      <c r="AA377" s="13" t="str">
        <f>IFERROR(Z377/Z446, "NA")</f>
        <v>NA</v>
      </c>
      <c r="AB377" s="14"/>
      <c r="AC377" s="12">
        <v>0.0</v>
      </c>
      <c r="AD377" s="13" t="str">
        <f>IFERROR(AC377/AC446, "NA")</f>
        <v>NA</v>
      </c>
      <c r="AE377" s="14"/>
      <c r="AF377" s="12">
        <v>0.0</v>
      </c>
      <c r="AG377" s="13" t="str">
        <f>IFERROR(AF377/AF446, "NA")</f>
        <v>NA</v>
      </c>
      <c r="AH377" s="14"/>
      <c r="AI377" s="12">
        <v>0.0</v>
      </c>
      <c r="AJ377" s="13" t="str">
        <f>IFERROR(AI377/AI446, "NA")</f>
        <v>NA</v>
      </c>
      <c r="AK377" s="12"/>
      <c r="AL377" s="15">
        <f t="shared" si="53"/>
        <v>0</v>
      </c>
      <c r="AM377" s="13" t="str">
        <f>IFERROR(AL377/AL446, "NA")</f>
        <v>NA</v>
      </c>
      <c r="AN377" s="12"/>
      <c r="AO377" s="12">
        <v>0.0</v>
      </c>
      <c r="AP377" s="13" t="str">
        <f>IFERROR(AO377/AO446, "NA")</f>
        <v>NA</v>
      </c>
      <c r="AQ377" s="12"/>
      <c r="AR377" s="15">
        <f t="shared" si="54"/>
        <v>0</v>
      </c>
    </row>
    <row r="378" ht="16.5" hidden="1" customHeight="1">
      <c r="A378" s="11" t="s">
        <v>728</v>
      </c>
      <c r="B378" s="12">
        <v>0.0</v>
      </c>
      <c r="C378" s="13" t="str">
        <f>IFERROR(B378/B446, "NA")</f>
        <v>NA</v>
      </c>
      <c r="D378" s="14"/>
      <c r="E378" s="12">
        <v>0.0</v>
      </c>
      <c r="F378" s="13" t="str">
        <f>IFERROR(E378/E446, "NA")</f>
        <v>NA</v>
      </c>
      <c r="G378" s="14"/>
      <c r="H378" s="12">
        <v>0.0</v>
      </c>
      <c r="I378" s="13" t="str">
        <f>IFERROR(H378/H446, "NA")</f>
        <v>NA</v>
      </c>
      <c r="J378" s="14"/>
      <c r="K378" s="12">
        <v>0.0</v>
      </c>
      <c r="L378" s="13" t="str">
        <f>IFERROR(K378/K446, "NA")</f>
        <v>NA</v>
      </c>
      <c r="M378" s="14"/>
      <c r="N378" s="12">
        <v>0.0</v>
      </c>
      <c r="O378" s="13" t="str">
        <f>IFERROR(N378/N446, "NA")</f>
        <v>NA</v>
      </c>
      <c r="P378" s="14"/>
      <c r="Q378" s="12">
        <v>0.0</v>
      </c>
      <c r="R378" s="13" t="str">
        <f>IFERROR(Q378/Q446, "NA")</f>
        <v>NA</v>
      </c>
      <c r="S378" s="14"/>
      <c r="T378" s="12">
        <v>0.0</v>
      </c>
      <c r="U378" s="13" t="str">
        <f>IFERROR(T378/T446, "NA")</f>
        <v>NA</v>
      </c>
      <c r="V378" s="14"/>
      <c r="W378" s="12">
        <v>0.0</v>
      </c>
      <c r="X378" s="13" t="str">
        <f>IFERROR(W378/W446, "NA")</f>
        <v>NA</v>
      </c>
      <c r="Y378" s="14"/>
      <c r="Z378" s="12">
        <v>0.0</v>
      </c>
      <c r="AA378" s="13" t="str">
        <f>IFERROR(Z378/Z446, "NA")</f>
        <v>NA</v>
      </c>
      <c r="AB378" s="14"/>
      <c r="AC378" s="12">
        <v>0.0</v>
      </c>
      <c r="AD378" s="13" t="str">
        <f>IFERROR(AC378/AC446, "NA")</f>
        <v>NA</v>
      </c>
      <c r="AE378" s="14"/>
      <c r="AF378" s="12">
        <v>0.0</v>
      </c>
      <c r="AG378" s="13" t="str">
        <f>IFERROR(AF378/AF446, "NA")</f>
        <v>NA</v>
      </c>
      <c r="AH378" s="14"/>
      <c r="AI378" s="12">
        <v>0.0</v>
      </c>
      <c r="AJ378" s="13" t="str">
        <f>IFERROR(AI378/AI446, "NA")</f>
        <v>NA</v>
      </c>
      <c r="AK378" s="12"/>
      <c r="AL378" s="15">
        <f t="shared" si="53"/>
        <v>0</v>
      </c>
      <c r="AM378" s="13" t="str">
        <f>IFERROR(AL378/AL446, "NA")</f>
        <v>NA</v>
      </c>
      <c r="AN378" s="12"/>
      <c r="AO378" s="12">
        <v>0.0</v>
      </c>
      <c r="AP378" s="13" t="str">
        <f>IFERROR(AO378/AO446, "NA")</f>
        <v>NA</v>
      </c>
      <c r="AQ378" s="12"/>
      <c r="AR378" s="15">
        <f t="shared" si="54"/>
        <v>0</v>
      </c>
    </row>
    <row r="379" ht="16.5" hidden="1" customHeight="1">
      <c r="A379" s="11" t="s">
        <v>729</v>
      </c>
      <c r="B379" s="12">
        <v>0.0</v>
      </c>
      <c r="C379" s="13" t="str">
        <f>IFERROR(B379/B446, "NA")</f>
        <v>NA</v>
      </c>
      <c r="D379" s="14"/>
      <c r="E379" s="12">
        <v>0.0</v>
      </c>
      <c r="F379" s="13" t="str">
        <f>IFERROR(E379/E446, "NA")</f>
        <v>NA</v>
      </c>
      <c r="G379" s="14"/>
      <c r="H379" s="12">
        <v>0.0</v>
      </c>
      <c r="I379" s="13" t="str">
        <f>IFERROR(H379/H446, "NA")</f>
        <v>NA</v>
      </c>
      <c r="J379" s="14"/>
      <c r="K379" s="12">
        <v>0.0</v>
      </c>
      <c r="L379" s="13" t="str">
        <f>IFERROR(K379/K446, "NA")</f>
        <v>NA</v>
      </c>
      <c r="M379" s="14"/>
      <c r="N379" s="12">
        <v>0.0</v>
      </c>
      <c r="O379" s="13" t="str">
        <f>IFERROR(N379/N446, "NA")</f>
        <v>NA</v>
      </c>
      <c r="P379" s="14"/>
      <c r="Q379" s="12">
        <v>0.0</v>
      </c>
      <c r="R379" s="13" t="str">
        <f>IFERROR(Q379/Q446, "NA")</f>
        <v>NA</v>
      </c>
      <c r="S379" s="14"/>
      <c r="T379" s="12">
        <v>0.0</v>
      </c>
      <c r="U379" s="13" t="str">
        <f>IFERROR(T379/T446, "NA")</f>
        <v>NA</v>
      </c>
      <c r="V379" s="14"/>
      <c r="W379" s="12">
        <v>0.0</v>
      </c>
      <c r="X379" s="13" t="str">
        <f>IFERROR(W379/W446, "NA")</f>
        <v>NA</v>
      </c>
      <c r="Y379" s="14"/>
      <c r="Z379" s="12">
        <v>0.0</v>
      </c>
      <c r="AA379" s="13" t="str">
        <f>IFERROR(Z379/Z446, "NA")</f>
        <v>NA</v>
      </c>
      <c r="AB379" s="14"/>
      <c r="AC379" s="12">
        <v>0.0</v>
      </c>
      <c r="AD379" s="13" t="str">
        <f>IFERROR(AC379/AC446, "NA")</f>
        <v>NA</v>
      </c>
      <c r="AE379" s="14"/>
      <c r="AF379" s="12">
        <v>0.0</v>
      </c>
      <c r="AG379" s="13" t="str">
        <f>IFERROR(AF379/AF446, "NA")</f>
        <v>NA</v>
      </c>
      <c r="AH379" s="14"/>
      <c r="AI379" s="12">
        <v>0.0</v>
      </c>
      <c r="AJ379" s="13" t="str">
        <f>IFERROR(AI379/AI446, "NA")</f>
        <v>NA</v>
      </c>
      <c r="AK379" s="12"/>
      <c r="AL379" s="15">
        <f t="shared" si="53"/>
        <v>0</v>
      </c>
      <c r="AM379" s="13" t="str">
        <f>IFERROR(AL379/AL446, "NA")</f>
        <v>NA</v>
      </c>
      <c r="AN379" s="12"/>
      <c r="AO379" s="12">
        <v>0.0</v>
      </c>
      <c r="AP379" s="13" t="str">
        <f>IFERROR(AO379/AO446, "NA")</f>
        <v>NA</v>
      </c>
      <c r="AQ379" s="12"/>
      <c r="AR379" s="15">
        <f t="shared" si="54"/>
        <v>0</v>
      </c>
    </row>
    <row r="380" ht="16.5" hidden="1" customHeight="1">
      <c r="A380" s="11" t="s">
        <v>730</v>
      </c>
      <c r="B380" s="12">
        <v>0.0</v>
      </c>
      <c r="C380" s="13" t="str">
        <f>IFERROR(B380/B446, "NA")</f>
        <v>NA</v>
      </c>
      <c r="D380" s="14"/>
      <c r="E380" s="12">
        <v>0.0</v>
      </c>
      <c r="F380" s="13" t="str">
        <f>IFERROR(E380/E446, "NA")</f>
        <v>NA</v>
      </c>
      <c r="G380" s="14"/>
      <c r="H380" s="12">
        <v>0.0</v>
      </c>
      <c r="I380" s="13" t="str">
        <f>IFERROR(H380/H446, "NA")</f>
        <v>NA</v>
      </c>
      <c r="J380" s="14"/>
      <c r="K380" s="12">
        <v>0.0</v>
      </c>
      <c r="L380" s="13" t="str">
        <f>IFERROR(K380/K446, "NA")</f>
        <v>NA</v>
      </c>
      <c r="M380" s="14"/>
      <c r="N380" s="12">
        <v>0.0</v>
      </c>
      <c r="O380" s="13" t="str">
        <f>IFERROR(N380/N446, "NA")</f>
        <v>NA</v>
      </c>
      <c r="P380" s="14"/>
      <c r="Q380" s="12">
        <v>0.0</v>
      </c>
      <c r="R380" s="13" t="str">
        <f>IFERROR(Q380/Q446, "NA")</f>
        <v>NA</v>
      </c>
      <c r="S380" s="14"/>
      <c r="T380" s="12">
        <v>0.0</v>
      </c>
      <c r="U380" s="13" t="str">
        <f>IFERROR(T380/T446, "NA")</f>
        <v>NA</v>
      </c>
      <c r="V380" s="14"/>
      <c r="W380" s="12">
        <v>0.0</v>
      </c>
      <c r="X380" s="13" t="str">
        <f>IFERROR(W380/W446, "NA")</f>
        <v>NA</v>
      </c>
      <c r="Y380" s="14"/>
      <c r="Z380" s="12">
        <v>0.0</v>
      </c>
      <c r="AA380" s="13" t="str">
        <f>IFERROR(Z380/Z446, "NA")</f>
        <v>NA</v>
      </c>
      <c r="AB380" s="14"/>
      <c r="AC380" s="12">
        <v>0.0</v>
      </c>
      <c r="AD380" s="13" t="str">
        <f>IFERROR(AC380/AC446, "NA")</f>
        <v>NA</v>
      </c>
      <c r="AE380" s="14"/>
      <c r="AF380" s="12">
        <v>0.0</v>
      </c>
      <c r="AG380" s="13" t="str">
        <f>IFERROR(AF380/AF446, "NA")</f>
        <v>NA</v>
      </c>
      <c r="AH380" s="14"/>
      <c r="AI380" s="12">
        <v>0.0</v>
      </c>
      <c r="AJ380" s="13" t="str">
        <f>IFERROR(AI380/AI446, "NA")</f>
        <v>NA</v>
      </c>
      <c r="AK380" s="12"/>
      <c r="AL380" s="15">
        <f t="shared" si="53"/>
        <v>0</v>
      </c>
      <c r="AM380" s="13" t="str">
        <f>IFERROR(AL380/AL446, "NA")</f>
        <v>NA</v>
      </c>
      <c r="AN380" s="12"/>
      <c r="AO380" s="12">
        <v>0.0</v>
      </c>
      <c r="AP380" s="13" t="str">
        <f>IFERROR(AO380/AO446, "NA")</f>
        <v>NA</v>
      </c>
      <c r="AQ380" s="12"/>
      <c r="AR380" s="15">
        <f t="shared" si="54"/>
        <v>0</v>
      </c>
    </row>
    <row r="381" ht="16.5" hidden="1" customHeight="1">
      <c r="A381" s="11" t="s">
        <v>731</v>
      </c>
      <c r="B381" s="12">
        <v>0.0</v>
      </c>
      <c r="C381" s="13" t="str">
        <f>IFERROR(B381/B446, "NA")</f>
        <v>NA</v>
      </c>
      <c r="D381" s="14"/>
      <c r="E381" s="12">
        <v>0.0</v>
      </c>
      <c r="F381" s="13" t="str">
        <f>IFERROR(E381/E446, "NA")</f>
        <v>NA</v>
      </c>
      <c r="G381" s="14"/>
      <c r="H381" s="12">
        <v>0.0</v>
      </c>
      <c r="I381" s="13" t="str">
        <f>IFERROR(H381/H446, "NA")</f>
        <v>NA</v>
      </c>
      <c r="J381" s="14"/>
      <c r="K381" s="12">
        <v>0.0</v>
      </c>
      <c r="L381" s="13" t="str">
        <f>IFERROR(K381/K446, "NA")</f>
        <v>NA</v>
      </c>
      <c r="M381" s="14"/>
      <c r="N381" s="12">
        <v>0.0</v>
      </c>
      <c r="O381" s="13" t="str">
        <f>IFERROR(N381/N446, "NA")</f>
        <v>NA</v>
      </c>
      <c r="P381" s="14"/>
      <c r="Q381" s="12">
        <v>0.0</v>
      </c>
      <c r="R381" s="13" t="str">
        <f>IFERROR(Q381/Q446, "NA")</f>
        <v>NA</v>
      </c>
      <c r="S381" s="14"/>
      <c r="T381" s="12">
        <v>0.0</v>
      </c>
      <c r="U381" s="13" t="str">
        <f>IFERROR(T381/T446, "NA")</f>
        <v>NA</v>
      </c>
      <c r="V381" s="14"/>
      <c r="W381" s="12">
        <v>0.0</v>
      </c>
      <c r="X381" s="13" t="str">
        <f>IFERROR(W381/W446, "NA")</f>
        <v>NA</v>
      </c>
      <c r="Y381" s="14"/>
      <c r="Z381" s="12">
        <v>0.0</v>
      </c>
      <c r="AA381" s="13" t="str">
        <f>IFERROR(Z381/Z446, "NA")</f>
        <v>NA</v>
      </c>
      <c r="AB381" s="14"/>
      <c r="AC381" s="12">
        <v>0.0</v>
      </c>
      <c r="AD381" s="13" t="str">
        <f>IFERROR(AC381/AC446, "NA")</f>
        <v>NA</v>
      </c>
      <c r="AE381" s="14"/>
      <c r="AF381" s="12">
        <v>0.0</v>
      </c>
      <c r="AG381" s="13" t="str">
        <f>IFERROR(AF381/AF446, "NA")</f>
        <v>NA</v>
      </c>
      <c r="AH381" s="14"/>
      <c r="AI381" s="12">
        <v>0.0</v>
      </c>
      <c r="AJ381" s="13" t="str">
        <f>IFERROR(AI381/AI446, "NA")</f>
        <v>NA</v>
      </c>
      <c r="AK381" s="12"/>
      <c r="AL381" s="15">
        <f t="shared" si="53"/>
        <v>0</v>
      </c>
      <c r="AM381" s="13" t="str">
        <f>IFERROR(AL381/AL446, "NA")</f>
        <v>NA</v>
      </c>
      <c r="AN381" s="12"/>
      <c r="AO381" s="12">
        <v>0.0</v>
      </c>
      <c r="AP381" s="13" t="str">
        <f>IFERROR(AO381/AO446, "NA")</f>
        <v>NA</v>
      </c>
      <c r="AQ381" s="12"/>
      <c r="AR381" s="15">
        <f t="shared" si="54"/>
        <v>0</v>
      </c>
    </row>
    <row r="382" ht="16.5" hidden="1" customHeight="1">
      <c r="A382" s="11" t="s">
        <v>732</v>
      </c>
      <c r="B382" s="12">
        <v>0.0</v>
      </c>
      <c r="C382" s="13" t="str">
        <f>IFERROR(B382/B446, "NA")</f>
        <v>NA</v>
      </c>
      <c r="D382" s="14"/>
      <c r="E382" s="12">
        <v>0.0</v>
      </c>
      <c r="F382" s="13" t="str">
        <f>IFERROR(E382/E446, "NA")</f>
        <v>NA</v>
      </c>
      <c r="G382" s="14"/>
      <c r="H382" s="12">
        <v>0.0</v>
      </c>
      <c r="I382" s="13" t="str">
        <f>IFERROR(H382/H446, "NA")</f>
        <v>NA</v>
      </c>
      <c r="J382" s="14"/>
      <c r="K382" s="12">
        <v>0.0</v>
      </c>
      <c r="L382" s="13" t="str">
        <f>IFERROR(K382/K446, "NA")</f>
        <v>NA</v>
      </c>
      <c r="M382" s="14"/>
      <c r="N382" s="12">
        <v>0.0</v>
      </c>
      <c r="O382" s="13" t="str">
        <f>IFERROR(N382/N446, "NA")</f>
        <v>NA</v>
      </c>
      <c r="P382" s="14"/>
      <c r="Q382" s="12">
        <v>0.0</v>
      </c>
      <c r="R382" s="13" t="str">
        <f>IFERROR(Q382/Q446, "NA")</f>
        <v>NA</v>
      </c>
      <c r="S382" s="14"/>
      <c r="T382" s="12">
        <v>0.0</v>
      </c>
      <c r="U382" s="13" t="str">
        <f>IFERROR(T382/T446, "NA")</f>
        <v>NA</v>
      </c>
      <c r="V382" s="14"/>
      <c r="W382" s="12">
        <v>0.0</v>
      </c>
      <c r="X382" s="13" t="str">
        <f>IFERROR(W382/W446, "NA")</f>
        <v>NA</v>
      </c>
      <c r="Y382" s="14"/>
      <c r="Z382" s="12">
        <v>0.0</v>
      </c>
      <c r="AA382" s="13" t="str">
        <f>IFERROR(Z382/Z446, "NA")</f>
        <v>NA</v>
      </c>
      <c r="AB382" s="14"/>
      <c r="AC382" s="12">
        <v>0.0</v>
      </c>
      <c r="AD382" s="13" t="str">
        <f>IFERROR(AC382/AC446, "NA")</f>
        <v>NA</v>
      </c>
      <c r="AE382" s="14"/>
      <c r="AF382" s="12">
        <v>0.0</v>
      </c>
      <c r="AG382" s="13" t="str">
        <f>IFERROR(AF382/AF446, "NA")</f>
        <v>NA</v>
      </c>
      <c r="AH382" s="14"/>
      <c r="AI382" s="12">
        <v>0.0</v>
      </c>
      <c r="AJ382" s="13" t="str">
        <f>IFERROR(AI382/AI446, "NA")</f>
        <v>NA</v>
      </c>
      <c r="AK382" s="12"/>
      <c r="AL382" s="15">
        <f t="shared" si="53"/>
        <v>0</v>
      </c>
      <c r="AM382" s="13" t="str">
        <f>IFERROR(AL382/AL446, "NA")</f>
        <v>NA</v>
      </c>
      <c r="AN382" s="12"/>
      <c r="AO382" s="12">
        <v>0.0</v>
      </c>
      <c r="AP382" s="13" t="str">
        <f>IFERROR(AO382/AO446, "NA")</f>
        <v>NA</v>
      </c>
      <c r="AQ382" s="12"/>
      <c r="AR382" s="15">
        <f t="shared" si="54"/>
        <v>0</v>
      </c>
    </row>
    <row r="383" ht="16.5" hidden="1" customHeight="1">
      <c r="A383" s="11" t="s">
        <v>733</v>
      </c>
      <c r="B383" s="12">
        <v>0.0</v>
      </c>
      <c r="C383" s="13" t="str">
        <f>IFERROR(B383/B446, "NA")</f>
        <v>NA</v>
      </c>
      <c r="D383" s="14"/>
      <c r="E383" s="12">
        <v>0.0</v>
      </c>
      <c r="F383" s="13" t="str">
        <f>IFERROR(E383/E446, "NA")</f>
        <v>NA</v>
      </c>
      <c r="G383" s="14"/>
      <c r="H383" s="12">
        <v>0.0</v>
      </c>
      <c r="I383" s="13" t="str">
        <f>IFERROR(H383/H446, "NA")</f>
        <v>NA</v>
      </c>
      <c r="J383" s="14"/>
      <c r="K383" s="12">
        <v>0.0</v>
      </c>
      <c r="L383" s="13" t="str">
        <f>IFERROR(K383/K446, "NA")</f>
        <v>NA</v>
      </c>
      <c r="M383" s="14"/>
      <c r="N383" s="12">
        <v>0.0</v>
      </c>
      <c r="O383" s="13" t="str">
        <f>IFERROR(N383/N446, "NA")</f>
        <v>NA</v>
      </c>
      <c r="P383" s="14"/>
      <c r="Q383" s="12">
        <v>0.0</v>
      </c>
      <c r="R383" s="13" t="str">
        <f>IFERROR(Q383/Q446, "NA")</f>
        <v>NA</v>
      </c>
      <c r="S383" s="14"/>
      <c r="T383" s="12">
        <v>0.0</v>
      </c>
      <c r="U383" s="13" t="str">
        <f>IFERROR(T383/T446, "NA")</f>
        <v>NA</v>
      </c>
      <c r="V383" s="14"/>
      <c r="W383" s="12">
        <v>0.0</v>
      </c>
      <c r="X383" s="13" t="str">
        <f>IFERROR(W383/W446, "NA")</f>
        <v>NA</v>
      </c>
      <c r="Y383" s="14"/>
      <c r="Z383" s="12">
        <v>0.0</v>
      </c>
      <c r="AA383" s="13" t="str">
        <f>IFERROR(Z383/Z446, "NA")</f>
        <v>NA</v>
      </c>
      <c r="AB383" s="14"/>
      <c r="AC383" s="12">
        <v>0.0</v>
      </c>
      <c r="AD383" s="13" t="str">
        <f>IFERROR(AC383/AC446, "NA")</f>
        <v>NA</v>
      </c>
      <c r="AE383" s="14"/>
      <c r="AF383" s="12">
        <v>0.0</v>
      </c>
      <c r="AG383" s="13" t="str">
        <f>IFERROR(AF383/AF446, "NA")</f>
        <v>NA</v>
      </c>
      <c r="AH383" s="14"/>
      <c r="AI383" s="12">
        <v>0.0</v>
      </c>
      <c r="AJ383" s="13" t="str">
        <f>IFERROR(AI383/AI446, "NA")</f>
        <v>NA</v>
      </c>
      <c r="AK383" s="12"/>
      <c r="AL383" s="15">
        <f t="shared" si="53"/>
        <v>0</v>
      </c>
      <c r="AM383" s="13" t="str">
        <f>IFERROR(AL383/AL446, "NA")</f>
        <v>NA</v>
      </c>
      <c r="AN383" s="12"/>
      <c r="AO383" s="12">
        <v>0.0</v>
      </c>
      <c r="AP383" s="13" t="str">
        <f>IFERROR(AO383/AO446, "NA")</f>
        <v>NA</v>
      </c>
      <c r="AQ383" s="12"/>
      <c r="AR383" s="15">
        <f t="shared" si="54"/>
        <v>0</v>
      </c>
    </row>
    <row r="384" ht="16.5" hidden="1" customHeight="1">
      <c r="A384" s="11" t="s">
        <v>734</v>
      </c>
      <c r="B384" s="12">
        <v>0.0</v>
      </c>
      <c r="C384" s="13" t="str">
        <f>IFERROR(B384/B446, "NA")</f>
        <v>NA</v>
      </c>
      <c r="D384" s="14"/>
      <c r="E384" s="12">
        <v>0.0</v>
      </c>
      <c r="F384" s="13" t="str">
        <f>IFERROR(E384/E446, "NA")</f>
        <v>NA</v>
      </c>
      <c r="G384" s="14"/>
      <c r="H384" s="12">
        <v>0.0</v>
      </c>
      <c r="I384" s="13" t="str">
        <f>IFERROR(H384/H446, "NA")</f>
        <v>NA</v>
      </c>
      <c r="J384" s="14"/>
      <c r="K384" s="12">
        <v>0.0</v>
      </c>
      <c r="L384" s="13" t="str">
        <f>IFERROR(K384/K446, "NA")</f>
        <v>NA</v>
      </c>
      <c r="M384" s="14"/>
      <c r="N384" s="12">
        <v>0.0</v>
      </c>
      <c r="O384" s="13" t="str">
        <f>IFERROR(N384/N446, "NA")</f>
        <v>NA</v>
      </c>
      <c r="P384" s="14"/>
      <c r="Q384" s="12">
        <v>0.0</v>
      </c>
      <c r="R384" s="13" t="str">
        <f>IFERROR(Q384/Q446, "NA")</f>
        <v>NA</v>
      </c>
      <c r="S384" s="14"/>
      <c r="T384" s="12">
        <v>0.0</v>
      </c>
      <c r="U384" s="13" t="str">
        <f>IFERROR(T384/T446, "NA")</f>
        <v>NA</v>
      </c>
      <c r="V384" s="14"/>
      <c r="W384" s="12">
        <v>0.0</v>
      </c>
      <c r="X384" s="13" t="str">
        <f>IFERROR(W384/W446, "NA")</f>
        <v>NA</v>
      </c>
      <c r="Y384" s="14"/>
      <c r="Z384" s="12">
        <v>0.0</v>
      </c>
      <c r="AA384" s="13" t="str">
        <f>IFERROR(Z384/Z446, "NA")</f>
        <v>NA</v>
      </c>
      <c r="AB384" s="14"/>
      <c r="AC384" s="12">
        <v>0.0</v>
      </c>
      <c r="AD384" s="13" t="str">
        <f>IFERROR(AC384/AC446, "NA")</f>
        <v>NA</v>
      </c>
      <c r="AE384" s="14"/>
      <c r="AF384" s="12">
        <v>0.0</v>
      </c>
      <c r="AG384" s="13" t="str">
        <f>IFERROR(AF384/AF446, "NA")</f>
        <v>NA</v>
      </c>
      <c r="AH384" s="14"/>
      <c r="AI384" s="12">
        <v>0.0</v>
      </c>
      <c r="AJ384" s="13" t="str">
        <f>IFERROR(AI384/AI446, "NA")</f>
        <v>NA</v>
      </c>
      <c r="AK384" s="12"/>
      <c r="AL384" s="15">
        <f t="shared" si="53"/>
        <v>0</v>
      </c>
      <c r="AM384" s="13" t="str">
        <f>IFERROR(AL384/AL446, "NA")</f>
        <v>NA</v>
      </c>
      <c r="AN384" s="12"/>
      <c r="AO384" s="12">
        <v>0.0</v>
      </c>
      <c r="AP384" s="13" t="str">
        <f>IFERROR(AO384/AO446, "NA")</f>
        <v>NA</v>
      </c>
      <c r="AQ384" s="12"/>
      <c r="AR384" s="15">
        <f t="shared" si="54"/>
        <v>0</v>
      </c>
    </row>
    <row r="385" ht="16.5" customHeight="1">
      <c r="A385" s="7" t="s">
        <v>356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  <c r="AE385" s="10"/>
      <c r="AF385" s="8"/>
      <c r="AG385" s="9"/>
      <c r="AH385" s="10"/>
      <c r="AI385" s="8"/>
      <c r="AJ385" s="9"/>
      <c r="AK385" s="8"/>
      <c r="AL385" s="8"/>
      <c r="AM385" s="9"/>
      <c r="AN385" s="8"/>
      <c r="AO385" s="8"/>
      <c r="AP385" s="9"/>
      <c r="AQ385" s="8"/>
      <c r="AR385" s="8"/>
    </row>
    <row r="386" ht="16.5" hidden="1" customHeight="1">
      <c r="A386" s="11" t="s">
        <v>735</v>
      </c>
      <c r="B386" s="12">
        <v>0.0</v>
      </c>
      <c r="C386" s="13" t="str">
        <f>IFERROR(B386/B446, "NA")</f>
        <v>NA</v>
      </c>
      <c r="D386" s="14"/>
      <c r="E386" s="12">
        <v>0.0</v>
      </c>
      <c r="F386" s="13" t="str">
        <f>IFERROR(E386/E446, "NA")</f>
        <v>NA</v>
      </c>
      <c r="G386" s="14"/>
      <c r="H386" s="12">
        <v>0.0</v>
      </c>
      <c r="I386" s="13" t="str">
        <f>IFERROR(H386/H446, "NA")</f>
        <v>NA</v>
      </c>
      <c r="J386" s="14"/>
      <c r="K386" s="12">
        <v>0.0</v>
      </c>
      <c r="L386" s="13" t="str">
        <f>IFERROR(K386/K446, "NA")</f>
        <v>NA</v>
      </c>
      <c r="M386" s="14"/>
      <c r="N386" s="12">
        <v>0.0</v>
      </c>
      <c r="O386" s="13" t="str">
        <f>IFERROR(N386/N446, "NA")</f>
        <v>NA</v>
      </c>
      <c r="P386" s="14"/>
      <c r="Q386" s="12">
        <v>0.0</v>
      </c>
      <c r="R386" s="13" t="str">
        <f>IFERROR(Q386/Q446, "NA")</f>
        <v>NA</v>
      </c>
      <c r="S386" s="14"/>
      <c r="T386" s="12">
        <v>0.0</v>
      </c>
      <c r="U386" s="13" t="str">
        <f>IFERROR(T386/T446, "NA")</f>
        <v>NA</v>
      </c>
      <c r="V386" s="14"/>
      <c r="W386" s="12">
        <v>0.0</v>
      </c>
      <c r="X386" s="13" t="str">
        <f>IFERROR(W386/W446, "NA")</f>
        <v>NA</v>
      </c>
      <c r="Y386" s="14"/>
      <c r="Z386" s="12">
        <v>0.0</v>
      </c>
      <c r="AA386" s="13" t="str">
        <f>IFERROR(Z386/Z446, "NA")</f>
        <v>NA</v>
      </c>
      <c r="AB386" s="14"/>
      <c r="AC386" s="12">
        <v>0.0</v>
      </c>
      <c r="AD386" s="13" t="str">
        <f>IFERROR(AC386/AC446, "NA")</f>
        <v>NA</v>
      </c>
      <c r="AE386" s="14"/>
      <c r="AF386" s="12">
        <v>0.0</v>
      </c>
      <c r="AG386" s="13" t="str">
        <f>IFERROR(AF386/AF446, "NA")</f>
        <v>NA</v>
      </c>
      <c r="AH386" s="14"/>
      <c r="AI386" s="12">
        <v>0.0</v>
      </c>
      <c r="AJ386" s="13" t="str">
        <f>IFERROR(AI386/AI446, "NA")</f>
        <v>NA</v>
      </c>
      <c r="AK386" s="12"/>
      <c r="AL386" s="15">
        <f t="shared" ref="AL386:AL387" si="55">IFERROR(B386+E386+H386+K386+N386+Q386+T386+W386+Z386+AC386+AF386+AI386, "NA")</f>
        <v>0</v>
      </c>
      <c r="AM386" s="13" t="str">
        <f>IFERROR(AL386/AL446, "NA")</f>
        <v>NA</v>
      </c>
      <c r="AN386" s="12"/>
      <c r="AO386" s="12">
        <v>0.0</v>
      </c>
      <c r="AP386" s="13" t="str">
        <f>IFERROR(AO386/AO446, "NA")</f>
        <v>NA</v>
      </c>
      <c r="AQ386" s="12"/>
      <c r="AR386" s="15">
        <f t="shared" ref="AR386:AR387" si="56">IFERROR(AL386-AO386, "NA")</f>
        <v>0</v>
      </c>
    </row>
    <row r="387" ht="16.5" hidden="1" customHeight="1">
      <c r="A387" s="11" t="s">
        <v>736</v>
      </c>
      <c r="B387" s="12">
        <v>0.0</v>
      </c>
      <c r="C387" s="13" t="str">
        <f>IFERROR(B387/B446, "NA")</f>
        <v>NA</v>
      </c>
      <c r="D387" s="14"/>
      <c r="E387" s="12">
        <v>0.0</v>
      </c>
      <c r="F387" s="13" t="str">
        <f>IFERROR(E387/E446, "NA")</f>
        <v>NA</v>
      </c>
      <c r="G387" s="14"/>
      <c r="H387" s="12">
        <v>0.0</v>
      </c>
      <c r="I387" s="13" t="str">
        <f>IFERROR(H387/H446, "NA")</f>
        <v>NA</v>
      </c>
      <c r="J387" s="14"/>
      <c r="K387" s="12">
        <v>0.0</v>
      </c>
      <c r="L387" s="13" t="str">
        <f>IFERROR(K387/K446, "NA")</f>
        <v>NA</v>
      </c>
      <c r="M387" s="14"/>
      <c r="N387" s="12">
        <v>0.0</v>
      </c>
      <c r="O387" s="13" t="str">
        <f>IFERROR(N387/N446, "NA")</f>
        <v>NA</v>
      </c>
      <c r="P387" s="14"/>
      <c r="Q387" s="12">
        <v>0.0</v>
      </c>
      <c r="R387" s="13" t="str">
        <f>IFERROR(Q387/Q446, "NA")</f>
        <v>NA</v>
      </c>
      <c r="S387" s="14"/>
      <c r="T387" s="12">
        <v>0.0</v>
      </c>
      <c r="U387" s="13" t="str">
        <f>IFERROR(T387/T446, "NA")</f>
        <v>NA</v>
      </c>
      <c r="V387" s="14"/>
      <c r="W387" s="12">
        <v>0.0</v>
      </c>
      <c r="X387" s="13" t="str">
        <f>IFERROR(W387/W446, "NA")</f>
        <v>NA</v>
      </c>
      <c r="Y387" s="14"/>
      <c r="Z387" s="12">
        <v>0.0</v>
      </c>
      <c r="AA387" s="13" t="str">
        <f>IFERROR(Z387/Z446, "NA")</f>
        <v>NA</v>
      </c>
      <c r="AB387" s="14"/>
      <c r="AC387" s="12">
        <v>0.0</v>
      </c>
      <c r="AD387" s="13" t="str">
        <f>IFERROR(AC387/AC446, "NA")</f>
        <v>NA</v>
      </c>
      <c r="AE387" s="14"/>
      <c r="AF387" s="12">
        <v>0.0</v>
      </c>
      <c r="AG387" s="13" t="str">
        <f>IFERROR(AF387/AF446, "NA")</f>
        <v>NA</v>
      </c>
      <c r="AH387" s="14"/>
      <c r="AI387" s="12">
        <v>0.0</v>
      </c>
      <c r="AJ387" s="13" t="str">
        <f>IFERROR(AI387/AI446, "NA")</f>
        <v>NA</v>
      </c>
      <c r="AK387" s="12"/>
      <c r="AL387" s="15">
        <f t="shared" si="55"/>
        <v>0</v>
      </c>
      <c r="AM387" s="13" t="str">
        <f>IFERROR(AL387/AL446, "NA")</f>
        <v>NA</v>
      </c>
      <c r="AN387" s="12"/>
      <c r="AO387" s="12">
        <v>0.0</v>
      </c>
      <c r="AP387" s="13" t="str">
        <f>IFERROR(AO387/AO446, "NA")</f>
        <v>NA</v>
      </c>
      <c r="AQ387" s="12"/>
      <c r="AR387" s="15">
        <f t="shared" si="56"/>
        <v>0</v>
      </c>
    </row>
    <row r="388" ht="16.5" customHeight="1">
      <c r="A388" s="7" t="s">
        <v>358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  <c r="AE388" s="10"/>
      <c r="AF388" s="8"/>
      <c r="AG388" s="9"/>
      <c r="AH388" s="10"/>
      <c r="AI388" s="8"/>
      <c r="AJ388" s="9"/>
      <c r="AK388" s="8"/>
      <c r="AL388" s="8"/>
      <c r="AM388" s="9"/>
      <c r="AN388" s="8"/>
      <c r="AO388" s="8"/>
      <c r="AP388" s="9"/>
      <c r="AQ388" s="8"/>
      <c r="AR388" s="8"/>
    </row>
    <row r="389" ht="16.5" hidden="1" customHeight="1">
      <c r="A389" s="11" t="s">
        <v>737</v>
      </c>
      <c r="B389" s="12">
        <v>0.0</v>
      </c>
      <c r="C389" s="13" t="str">
        <f>IFERROR(B389/B446, "NA")</f>
        <v>NA</v>
      </c>
      <c r="D389" s="14"/>
      <c r="E389" s="12">
        <v>0.0</v>
      </c>
      <c r="F389" s="13" t="str">
        <f>IFERROR(E389/E446, "NA")</f>
        <v>NA</v>
      </c>
      <c r="G389" s="14"/>
      <c r="H389" s="12">
        <v>0.0</v>
      </c>
      <c r="I389" s="13" t="str">
        <f>IFERROR(H389/H446, "NA")</f>
        <v>NA</v>
      </c>
      <c r="J389" s="14"/>
      <c r="K389" s="12">
        <v>0.0</v>
      </c>
      <c r="L389" s="13" t="str">
        <f>IFERROR(K389/K446, "NA")</f>
        <v>NA</v>
      </c>
      <c r="M389" s="14"/>
      <c r="N389" s="12">
        <v>0.0</v>
      </c>
      <c r="O389" s="13" t="str">
        <f>IFERROR(N389/N446, "NA")</f>
        <v>NA</v>
      </c>
      <c r="P389" s="14"/>
      <c r="Q389" s="12">
        <v>0.0</v>
      </c>
      <c r="R389" s="13" t="str">
        <f>IFERROR(Q389/Q446, "NA")</f>
        <v>NA</v>
      </c>
      <c r="S389" s="14"/>
      <c r="T389" s="12">
        <v>0.0</v>
      </c>
      <c r="U389" s="13" t="str">
        <f>IFERROR(T389/T446, "NA")</f>
        <v>NA</v>
      </c>
      <c r="V389" s="14"/>
      <c r="W389" s="12">
        <v>0.0</v>
      </c>
      <c r="X389" s="13" t="str">
        <f>IFERROR(W389/W446, "NA")</f>
        <v>NA</v>
      </c>
      <c r="Y389" s="14"/>
      <c r="Z389" s="12">
        <v>0.0</v>
      </c>
      <c r="AA389" s="13" t="str">
        <f>IFERROR(Z389/Z446, "NA")</f>
        <v>NA</v>
      </c>
      <c r="AB389" s="14"/>
      <c r="AC389" s="12">
        <v>0.0</v>
      </c>
      <c r="AD389" s="13" t="str">
        <f>IFERROR(AC389/AC446, "NA")</f>
        <v>NA</v>
      </c>
      <c r="AE389" s="14"/>
      <c r="AF389" s="12">
        <v>0.0</v>
      </c>
      <c r="AG389" s="13" t="str">
        <f>IFERROR(AF389/AF446, "NA")</f>
        <v>NA</v>
      </c>
      <c r="AH389" s="14"/>
      <c r="AI389" s="12">
        <v>0.0</v>
      </c>
      <c r="AJ389" s="13" t="str">
        <f>IFERROR(AI389/AI446, "NA")</f>
        <v>NA</v>
      </c>
      <c r="AK389" s="12"/>
      <c r="AL389" s="15">
        <f t="shared" ref="AL389:AL405" si="57">IFERROR(B389+E389+H389+K389+N389+Q389+T389+W389+Z389+AC389+AF389+AI389, "NA")</f>
        <v>0</v>
      </c>
      <c r="AM389" s="13" t="str">
        <f>IFERROR(AL389/AL446, "NA")</f>
        <v>NA</v>
      </c>
      <c r="AN389" s="12"/>
      <c r="AO389" s="12">
        <v>0.0</v>
      </c>
      <c r="AP389" s="13" t="str">
        <f>IFERROR(AO389/AO446, "NA")</f>
        <v>NA</v>
      </c>
      <c r="AQ389" s="12"/>
      <c r="AR389" s="15">
        <f t="shared" ref="AR389:AR405" si="58">IFERROR(AL389-AO389, "NA")</f>
        <v>0</v>
      </c>
    </row>
    <row r="390" ht="16.5" hidden="1" customHeight="1">
      <c r="A390" s="11" t="s">
        <v>738</v>
      </c>
      <c r="B390" s="12">
        <v>0.0</v>
      </c>
      <c r="C390" s="13" t="str">
        <f>IFERROR(B390/B446, "NA")</f>
        <v>NA</v>
      </c>
      <c r="D390" s="14"/>
      <c r="E390" s="12">
        <v>0.0</v>
      </c>
      <c r="F390" s="13" t="str">
        <f>IFERROR(E390/E446, "NA")</f>
        <v>NA</v>
      </c>
      <c r="G390" s="14"/>
      <c r="H390" s="12">
        <v>0.0</v>
      </c>
      <c r="I390" s="13" t="str">
        <f>IFERROR(H390/H446, "NA")</f>
        <v>NA</v>
      </c>
      <c r="J390" s="14"/>
      <c r="K390" s="12">
        <v>0.0</v>
      </c>
      <c r="L390" s="13" t="str">
        <f>IFERROR(K390/K446, "NA")</f>
        <v>NA</v>
      </c>
      <c r="M390" s="14"/>
      <c r="N390" s="12">
        <v>0.0</v>
      </c>
      <c r="O390" s="13" t="str">
        <f>IFERROR(N390/N446, "NA")</f>
        <v>NA</v>
      </c>
      <c r="P390" s="14"/>
      <c r="Q390" s="12">
        <v>0.0</v>
      </c>
      <c r="R390" s="13" t="str">
        <f>IFERROR(Q390/Q446, "NA")</f>
        <v>NA</v>
      </c>
      <c r="S390" s="14"/>
      <c r="T390" s="12">
        <v>0.0</v>
      </c>
      <c r="U390" s="13" t="str">
        <f>IFERROR(T390/T446, "NA")</f>
        <v>NA</v>
      </c>
      <c r="V390" s="14"/>
      <c r="W390" s="12">
        <v>0.0</v>
      </c>
      <c r="X390" s="13" t="str">
        <f>IFERROR(W390/W446, "NA")</f>
        <v>NA</v>
      </c>
      <c r="Y390" s="14"/>
      <c r="Z390" s="12">
        <v>0.0</v>
      </c>
      <c r="AA390" s="13" t="str">
        <f>IFERROR(Z390/Z446, "NA")</f>
        <v>NA</v>
      </c>
      <c r="AB390" s="14"/>
      <c r="AC390" s="12">
        <v>0.0</v>
      </c>
      <c r="AD390" s="13" t="str">
        <f>IFERROR(AC390/AC446, "NA")</f>
        <v>NA</v>
      </c>
      <c r="AE390" s="14"/>
      <c r="AF390" s="12">
        <v>0.0</v>
      </c>
      <c r="AG390" s="13" t="str">
        <f>IFERROR(AF390/AF446, "NA")</f>
        <v>NA</v>
      </c>
      <c r="AH390" s="14"/>
      <c r="AI390" s="12">
        <v>0.0</v>
      </c>
      <c r="AJ390" s="13" t="str">
        <f>IFERROR(AI390/AI446, "NA")</f>
        <v>NA</v>
      </c>
      <c r="AK390" s="12"/>
      <c r="AL390" s="15">
        <f t="shared" si="57"/>
        <v>0</v>
      </c>
      <c r="AM390" s="13" t="str">
        <f>IFERROR(AL390/AL446, "NA")</f>
        <v>NA</v>
      </c>
      <c r="AN390" s="12"/>
      <c r="AO390" s="12">
        <v>0.0</v>
      </c>
      <c r="AP390" s="13" t="str">
        <f>IFERROR(AO390/AO446, "NA")</f>
        <v>NA</v>
      </c>
      <c r="AQ390" s="12"/>
      <c r="AR390" s="15">
        <f t="shared" si="58"/>
        <v>0</v>
      </c>
    </row>
    <row r="391" ht="16.5" hidden="1" customHeight="1">
      <c r="A391" s="11" t="s">
        <v>739</v>
      </c>
      <c r="B391" s="12">
        <v>0.0</v>
      </c>
      <c r="C391" s="13" t="str">
        <f>IFERROR(B391/B446, "NA")</f>
        <v>NA</v>
      </c>
      <c r="D391" s="14"/>
      <c r="E391" s="12">
        <v>0.0</v>
      </c>
      <c r="F391" s="13" t="str">
        <f>IFERROR(E391/E446, "NA")</f>
        <v>NA</v>
      </c>
      <c r="G391" s="14"/>
      <c r="H391" s="12">
        <v>0.0</v>
      </c>
      <c r="I391" s="13" t="str">
        <f>IFERROR(H391/H446, "NA")</f>
        <v>NA</v>
      </c>
      <c r="J391" s="14"/>
      <c r="K391" s="12">
        <v>0.0</v>
      </c>
      <c r="L391" s="13" t="str">
        <f>IFERROR(K391/K446, "NA")</f>
        <v>NA</v>
      </c>
      <c r="M391" s="14"/>
      <c r="N391" s="12">
        <v>0.0</v>
      </c>
      <c r="O391" s="13" t="str">
        <f>IFERROR(N391/N446, "NA")</f>
        <v>NA</v>
      </c>
      <c r="P391" s="14"/>
      <c r="Q391" s="12">
        <v>0.0</v>
      </c>
      <c r="R391" s="13" t="str">
        <f>IFERROR(Q391/Q446, "NA")</f>
        <v>NA</v>
      </c>
      <c r="S391" s="14"/>
      <c r="T391" s="12">
        <v>0.0</v>
      </c>
      <c r="U391" s="13" t="str">
        <f>IFERROR(T391/T446, "NA")</f>
        <v>NA</v>
      </c>
      <c r="V391" s="14"/>
      <c r="W391" s="12">
        <v>0.0</v>
      </c>
      <c r="X391" s="13" t="str">
        <f>IFERROR(W391/W446, "NA")</f>
        <v>NA</v>
      </c>
      <c r="Y391" s="14"/>
      <c r="Z391" s="12">
        <v>0.0</v>
      </c>
      <c r="AA391" s="13" t="str">
        <f>IFERROR(Z391/Z446, "NA")</f>
        <v>NA</v>
      </c>
      <c r="AB391" s="14"/>
      <c r="AC391" s="12">
        <v>0.0</v>
      </c>
      <c r="AD391" s="13" t="str">
        <f>IFERROR(AC391/AC446, "NA")</f>
        <v>NA</v>
      </c>
      <c r="AE391" s="14"/>
      <c r="AF391" s="12">
        <v>0.0</v>
      </c>
      <c r="AG391" s="13" t="str">
        <f>IFERROR(AF391/AF446, "NA")</f>
        <v>NA</v>
      </c>
      <c r="AH391" s="14"/>
      <c r="AI391" s="12">
        <v>0.0</v>
      </c>
      <c r="AJ391" s="13" t="str">
        <f>IFERROR(AI391/AI446, "NA")</f>
        <v>NA</v>
      </c>
      <c r="AK391" s="12"/>
      <c r="AL391" s="15">
        <f t="shared" si="57"/>
        <v>0</v>
      </c>
      <c r="AM391" s="13" t="str">
        <f>IFERROR(AL391/AL446, "NA")</f>
        <v>NA</v>
      </c>
      <c r="AN391" s="12"/>
      <c r="AO391" s="12">
        <v>0.0</v>
      </c>
      <c r="AP391" s="13" t="str">
        <f>IFERROR(AO391/AO446, "NA")</f>
        <v>NA</v>
      </c>
      <c r="AQ391" s="12"/>
      <c r="AR391" s="15">
        <f t="shared" si="58"/>
        <v>0</v>
      </c>
    </row>
    <row r="392" ht="16.5" hidden="1" customHeight="1">
      <c r="A392" s="11" t="s">
        <v>740</v>
      </c>
      <c r="B392" s="12">
        <v>0.0</v>
      </c>
      <c r="C392" s="13" t="str">
        <f>IFERROR(B392/B446, "NA")</f>
        <v>NA</v>
      </c>
      <c r="D392" s="14"/>
      <c r="E392" s="12">
        <v>0.0</v>
      </c>
      <c r="F392" s="13" t="str">
        <f>IFERROR(E392/E446, "NA")</f>
        <v>NA</v>
      </c>
      <c r="G392" s="14"/>
      <c r="H392" s="12">
        <v>0.0</v>
      </c>
      <c r="I392" s="13" t="str">
        <f>IFERROR(H392/H446, "NA")</f>
        <v>NA</v>
      </c>
      <c r="J392" s="14"/>
      <c r="K392" s="12">
        <v>0.0</v>
      </c>
      <c r="L392" s="13" t="str">
        <f>IFERROR(K392/K446, "NA")</f>
        <v>NA</v>
      </c>
      <c r="M392" s="14"/>
      <c r="N392" s="12">
        <v>0.0</v>
      </c>
      <c r="O392" s="13" t="str">
        <f>IFERROR(N392/N446, "NA")</f>
        <v>NA</v>
      </c>
      <c r="P392" s="14"/>
      <c r="Q392" s="12">
        <v>0.0</v>
      </c>
      <c r="R392" s="13" t="str">
        <f>IFERROR(Q392/Q446, "NA")</f>
        <v>NA</v>
      </c>
      <c r="S392" s="14"/>
      <c r="T392" s="12">
        <v>0.0</v>
      </c>
      <c r="U392" s="13" t="str">
        <f>IFERROR(T392/T446, "NA")</f>
        <v>NA</v>
      </c>
      <c r="V392" s="14"/>
      <c r="W392" s="12">
        <v>0.0</v>
      </c>
      <c r="X392" s="13" t="str">
        <f>IFERROR(W392/W446, "NA")</f>
        <v>NA</v>
      </c>
      <c r="Y392" s="14"/>
      <c r="Z392" s="12">
        <v>0.0</v>
      </c>
      <c r="AA392" s="13" t="str">
        <f>IFERROR(Z392/Z446, "NA")</f>
        <v>NA</v>
      </c>
      <c r="AB392" s="14"/>
      <c r="AC392" s="12">
        <v>0.0</v>
      </c>
      <c r="AD392" s="13" t="str">
        <f>IFERROR(AC392/AC446, "NA")</f>
        <v>NA</v>
      </c>
      <c r="AE392" s="14"/>
      <c r="AF392" s="12">
        <v>0.0</v>
      </c>
      <c r="AG392" s="13" t="str">
        <f>IFERROR(AF392/AF446, "NA")</f>
        <v>NA</v>
      </c>
      <c r="AH392" s="14"/>
      <c r="AI392" s="12">
        <v>0.0</v>
      </c>
      <c r="AJ392" s="13" t="str">
        <f>IFERROR(AI392/AI446, "NA")</f>
        <v>NA</v>
      </c>
      <c r="AK392" s="12"/>
      <c r="AL392" s="15">
        <f t="shared" si="57"/>
        <v>0</v>
      </c>
      <c r="AM392" s="13" t="str">
        <f>IFERROR(AL392/AL446, "NA")</f>
        <v>NA</v>
      </c>
      <c r="AN392" s="12"/>
      <c r="AO392" s="12">
        <v>0.0</v>
      </c>
      <c r="AP392" s="13" t="str">
        <f>IFERROR(AO392/AO446, "NA")</f>
        <v>NA</v>
      </c>
      <c r="AQ392" s="12"/>
      <c r="AR392" s="15">
        <f t="shared" si="58"/>
        <v>0</v>
      </c>
    </row>
    <row r="393" ht="16.5" hidden="1" customHeight="1">
      <c r="A393" s="11" t="s">
        <v>741</v>
      </c>
      <c r="B393" s="12">
        <v>0.0</v>
      </c>
      <c r="C393" s="13" t="str">
        <f>IFERROR(B393/B446, "NA")</f>
        <v>NA</v>
      </c>
      <c r="D393" s="14"/>
      <c r="E393" s="12">
        <v>0.0</v>
      </c>
      <c r="F393" s="13" t="str">
        <f>IFERROR(E393/E446, "NA")</f>
        <v>NA</v>
      </c>
      <c r="G393" s="14"/>
      <c r="H393" s="12">
        <v>0.0</v>
      </c>
      <c r="I393" s="13" t="str">
        <f>IFERROR(H393/H446, "NA")</f>
        <v>NA</v>
      </c>
      <c r="J393" s="14"/>
      <c r="K393" s="12">
        <v>0.0</v>
      </c>
      <c r="L393" s="13" t="str">
        <f>IFERROR(K393/K446, "NA")</f>
        <v>NA</v>
      </c>
      <c r="M393" s="14"/>
      <c r="N393" s="12">
        <v>0.0</v>
      </c>
      <c r="O393" s="13" t="str">
        <f>IFERROR(N393/N446, "NA")</f>
        <v>NA</v>
      </c>
      <c r="P393" s="14"/>
      <c r="Q393" s="12">
        <v>0.0</v>
      </c>
      <c r="R393" s="13" t="str">
        <f>IFERROR(Q393/Q446, "NA")</f>
        <v>NA</v>
      </c>
      <c r="S393" s="14"/>
      <c r="T393" s="12">
        <v>0.0</v>
      </c>
      <c r="U393" s="13" t="str">
        <f>IFERROR(T393/T446, "NA")</f>
        <v>NA</v>
      </c>
      <c r="V393" s="14"/>
      <c r="W393" s="12">
        <v>0.0</v>
      </c>
      <c r="X393" s="13" t="str">
        <f>IFERROR(W393/W446, "NA")</f>
        <v>NA</v>
      </c>
      <c r="Y393" s="14"/>
      <c r="Z393" s="12">
        <v>0.0</v>
      </c>
      <c r="AA393" s="13" t="str">
        <f>IFERROR(Z393/Z446, "NA")</f>
        <v>NA</v>
      </c>
      <c r="AB393" s="14"/>
      <c r="AC393" s="12">
        <v>0.0</v>
      </c>
      <c r="AD393" s="13" t="str">
        <f>IFERROR(AC393/AC446, "NA")</f>
        <v>NA</v>
      </c>
      <c r="AE393" s="14"/>
      <c r="AF393" s="12">
        <v>0.0</v>
      </c>
      <c r="AG393" s="13" t="str">
        <f>IFERROR(AF393/AF446, "NA")</f>
        <v>NA</v>
      </c>
      <c r="AH393" s="14"/>
      <c r="AI393" s="12">
        <v>0.0</v>
      </c>
      <c r="AJ393" s="13" t="str">
        <f>IFERROR(AI393/AI446, "NA")</f>
        <v>NA</v>
      </c>
      <c r="AK393" s="12"/>
      <c r="AL393" s="15">
        <f t="shared" si="57"/>
        <v>0</v>
      </c>
      <c r="AM393" s="13" t="str">
        <f>IFERROR(AL393/AL446, "NA")</f>
        <v>NA</v>
      </c>
      <c r="AN393" s="12"/>
      <c r="AO393" s="12">
        <v>0.0</v>
      </c>
      <c r="AP393" s="13" t="str">
        <f>IFERROR(AO393/AO446, "NA")</f>
        <v>NA</v>
      </c>
      <c r="AQ393" s="12"/>
      <c r="AR393" s="15">
        <f t="shared" si="58"/>
        <v>0</v>
      </c>
    </row>
    <row r="394" ht="16.5" customHeight="1">
      <c r="A394" s="16" t="s">
        <v>363</v>
      </c>
      <c r="B394" s="17">
        <f>IFERROR(B389+B390+B391+B392+B393, "NA")</f>
        <v>0</v>
      </c>
      <c r="C394" s="18" t="str">
        <f>IFERROR(B394/B446, "NA")</f>
        <v>NA</v>
      </c>
      <c r="D394" s="8"/>
      <c r="E394" s="17">
        <f>IFERROR(E389+E390+E391+E392+E393, "NA")</f>
        <v>0</v>
      </c>
      <c r="F394" s="18" t="str">
        <f>IFERROR(E394/E446, "NA")</f>
        <v>NA</v>
      </c>
      <c r="G394" s="8"/>
      <c r="H394" s="17">
        <f>IFERROR(H389+H390+H391+H392+H393, "NA")</f>
        <v>0</v>
      </c>
      <c r="I394" s="18" t="str">
        <f>IFERROR(H394/H446, "NA")</f>
        <v>NA</v>
      </c>
      <c r="J394" s="8"/>
      <c r="K394" s="17">
        <f>IFERROR(K389+K390+K391+K392+K393, "NA")</f>
        <v>0</v>
      </c>
      <c r="L394" s="18" t="str">
        <f>IFERROR(K394/K446, "NA")</f>
        <v>NA</v>
      </c>
      <c r="M394" s="8"/>
      <c r="N394" s="17">
        <f>IFERROR(N389+N390+N391+N392+N393, "NA")</f>
        <v>0</v>
      </c>
      <c r="O394" s="18" t="str">
        <f>IFERROR(N394/N446, "NA")</f>
        <v>NA</v>
      </c>
      <c r="P394" s="8"/>
      <c r="Q394" s="17">
        <f>IFERROR(Q389+Q390+Q391+Q392+Q393, "NA")</f>
        <v>0</v>
      </c>
      <c r="R394" s="18" t="str">
        <f>IFERROR(Q394/Q446, "NA")</f>
        <v>NA</v>
      </c>
      <c r="S394" s="8"/>
      <c r="T394" s="17">
        <f>IFERROR(T389+T390+T391+T392+T393, "NA")</f>
        <v>0</v>
      </c>
      <c r="U394" s="18" t="str">
        <f>IFERROR(T394/T446, "NA")</f>
        <v>NA</v>
      </c>
      <c r="V394" s="8"/>
      <c r="W394" s="17">
        <f>IFERROR(W389+W390+W391+W392+W393, "NA")</f>
        <v>0</v>
      </c>
      <c r="X394" s="18" t="str">
        <f>IFERROR(W394/W446, "NA")</f>
        <v>NA</v>
      </c>
      <c r="Y394" s="8"/>
      <c r="Z394" s="17">
        <f>IFERROR(Z389+Z390+Z391+Z392+Z393, "NA")</f>
        <v>0</v>
      </c>
      <c r="AA394" s="18" t="str">
        <f>IFERROR(Z394/Z446, "NA")</f>
        <v>NA</v>
      </c>
      <c r="AB394" s="8"/>
      <c r="AC394" s="17">
        <f>IFERROR(AC389+AC390+AC391+AC392+AC393, "NA")</f>
        <v>0</v>
      </c>
      <c r="AD394" s="18" t="str">
        <f>IFERROR(AC394/AC446, "NA")</f>
        <v>NA</v>
      </c>
      <c r="AE394" s="8"/>
      <c r="AF394" s="17">
        <f>IFERROR(AF389+AF390+AF391+AF392+AF393, "NA")</f>
        <v>0</v>
      </c>
      <c r="AG394" s="18" t="str">
        <f>IFERROR(AF394/AF446, "NA")</f>
        <v>NA</v>
      </c>
      <c r="AH394" s="8"/>
      <c r="AI394" s="17">
        <f>IFERROR(AI389+AI390+AI391+AI392+AI393, "NA")</f>
        <v>0</v>
      </c>
      <c r="AJ394" s="18" t="str">
        <f>IFERROR(AI394/AI446, "NA")</f>
        <v>NA</v>
      </c>
      <c r="AK394" s="8"/>
      <c r="AL394" s="17">
        <f t="shared" si="57"/>
        <v>0</v>
      </c>
      <c r="AM394" s="18" t="str">
        <f>IFERROR(AL394/AL446, "NA")</f>
        <v>NA</v>
      </c>
      <c r="AN394" s="8"/>
      <c r="AO394" s="17">
        <f>IFERROR(AO389+AO390+AO391+AO392+AO393, "NA")</f>
        <v>0</v>
      </c>
      <c r="AP394" s="18" t="str">
        <f>IFERROR(AO394/AO446, "NA")</f>
        <v>NA</v>
      </c>
      <c r="AQ394" s="8"/>
      <c r="AR394" s="17">
        <f t="shared" si="58"/>
        <v>0</v>
      </c>
    </row>
    <row r="395" ht="16.5" hidden="1" customHeight="1">
      <c r="A395" s="11" t="s">
        <v>742</v>
      </c>
      <c r="B395" s="12">
        <v>0.0</v>
      </c>
      <c r="C395" s="13" t="str">
        <f>IFERROR(B395/B446, "NA")</f>
        <v>NA</v>
      </c>
      <c r="D395" s="14"/>
      <c r="E395" s="12">
        <v>0.0</v>
      </c>
      <c r="F395" s="13" t="str">
        <f>IFERROR(E395/E446, "NA")</f>
        <v>NA</v>
      </c>
      <c r="G395" s="14"/>
      <c r="H395" s="12">
        <v>0.0</v>
      </c>
      <c r="I395" s="13" t="str">
        <f>IFERROR(H395/H446, "NA")</f>
        <v>NA</v>
      </c>
      <c r="J395" s="14"/>
      <c r="K395" s="12">
        <v>0.0</v>
      </c>
      <c r="L395" s="13" t="str">
        <f>IFERROR(K395/K446, "NA")</f>
        <v>NA</v>
      </c>
      <c r="M395" s="14"/>
      <c r="N395" s="12">
        <v>0.0</v>
      </c>
      <c r="O395" s="13" t="str">
        <f>IFERROR(N395/N446, "NA")</f>
        <v>NA</v>
      </c>
      <c r="P395" s="14"/>
      <c r="Q395" s="12">
        <v>0.0</v>
      </c>
      <c r="R395" s="13" t="str">
        <f>IFERROR(Q395/Q446, "NA")</f>
        <v>NA</v>
      </c>
      <c r="S395" s="14"/>
      <c r="T395" s="12">
        <v>0.0</v>
      </c>
      <c r="U395" s="13" t="str">
        <f>IFERROR(T395/T446, "NA")</f>
        <v>NA</v>
      </c>
      <c r="V395" s="14"/>
      <c r="W395" s="12">
        <v>0.0</v>
      </c>
      <c r="X395" s="13" t="str">
        <f>IFERROR(W395/W446, "NA")</f>
        <v>NA</v>
      </c>
      <c r="Y395" s="14"/>
      <c r="Z395" s="12">
        <v>0.0</v>
      </c>
      <c r="AA395" s="13" t="str">
        <f>IFERROR(Z395/Z446, "NA")</f>
        <v>NA</v>
      </c>
      <c r="AB395" s="14"/>
      <c r="AC395" s="12">
        <v>0.0</v>
      </c>
      <c r="AD395" s="13" t="str">
        <f>IFERROR(AC395/AC446, "NA")</f>
        <v>NA</v>
      </c>
      <c r="AE395" s="14"/>
      <c r="AF395" s="12">
        <v>0.0</v>
      </c>
      <c r="AG395" s="13" t="str">
        <f>IFERROR(AF395/AF446, "NA")</f>
        <v>NA</v>
      </c>
      <c r="AH395" s="14"/>
      <c r="AI395" s="12">
        <v>0.0</v>
      </c>
      <c r="AJ395" s="13" t="str">
        <f>IFERROR(AI395/AI446, "NA")</f>
        <v>NA</v>
      </c>
      <c r="AK395" s="12"/>
      <c r="AL395" s="15">
        <f t="shared" si="57"/>
        <v>0</v>
      </c>
      <c r="AM395" s="13" t="str">
        <f>IFERROR(AL395/AL446, "NA")</f>
        <v>NA</v>
      </c>
      <c r="AN395" s="12"/>
      <c r="AO395" s="12">
        <v>0.0</v>
      </c>
      <c r="AP395" s="13" t="str">
        <f>IFERROR(AO395/AO446, "NA")</f>
        <v>NA</v>
      </c>
      <c r="AQ395" s="12"/>
      <c r="AR395" s="15">
        <f t="shared" si="58"/>
        <v>0</v>
      </c>
    </row>
    <row r="396" ht="16.5" hidden="1" customHeight="1">
      <c r="A396" s="11" t="s">
        <v>743</v>
      </c>
      <c r="B396" s="12">
        <v>0.0</v>
      </c>
      <c r="C396" s="13" t="str">
        <f>IFERROR(B396/B446, "NA")</f>
        <v>NA</v>
      </c>
      <c r="D396" s="14"/>
      <c r="E396" s="12">
        <v>0.0</v>
      </c>
      <c r="F396" s="13" t="str">
        <f>IFERROR(E396/E446, "NA")</f>
        <v>NA</v>
      </c>
      <c r="G396" s="14"/>
      <c r="H396" s="12">
        <v>0.0</v>
      </c>
      <c r="I396" s="13" t="str">
        <f>IFERROR(H396/H446, "NA")</f>
        <v>NA</v>
      </c>
      <c r="J396" s="14"/>
      <c r="K396" s="12">
        <v>0.0</v>
      </c>
      <c r="L396" s="13" t="str">
        <f>IFERROR(K396/K446, "NA")</f>
        <v>NA</v>
      </c>
      <c r="M396" s="14"/>
      <c r="N396" s="12">
        <v>0.0</v>
      </c>
      <c r="O396" s="13" t="str">
        <f>IFERROR(N396/N446, "NA")</f>
        <v>NA</v>
      </c>
      <c r="P396" s="14"/>
      <c r="Q396" s="12">
        <v>0.0</v>
      </c>
      <c r="R396" s="13" t="str">
        <f>IFERROR(Q396/Q446, "NA")</f>
        <v>NA</v>
      </c>
      <c r="S396" s="14"/>
      <c r="T396" s="12">
        <v>0.0</v>
      </c>
      <c r="U396" s="13" t="str">
        <f>IFERROR(T396/T446, "NA")</f>
        <v>NA</v>
      </c>
      <c r="V396" s="14"/>
      <c r="W396" s="12">
        <v>0.0</v>
      </c>
      <c r="X396" s="13" t="str">
        <f>IFERROR(W396/W446, "NA")</f>
        <v>NA</v>
      </c>
      <c r="Y396" s="14"/>
      <c r="Z396" s="12">
        <v>0.0</v>
      </c>
      <c r="AA396" s="13" t="str">
        <f>IFERROR(Z396/Z446, "NA")</f>
        <v>NA</v>
      </c>
      <c r="AB396" s="14"/>
      <c r="AC396" s="12">
        <v>0.0</v>
      </c>
      <c r="AD396" s="13" t="str">
        <f>IFERROR(AC396/AC446, "NA")</f>
        <v>NA</v>
      </c>
      <c r="AE396" s="14"/>
      <c r="AF396" s="12">
        <v>0.0</v>
      </c>
      <c r="AG396" s="13" t="str">
        <f>IFERROR(AF396/AF446, "NA")</f>
        <v>NA</v>
      </c>
      <c r="AH396" s="14"/>
      <c r="AI396" s="12">
        <v>0.0</v>
      </c>
      <c r="AJ396" s="13" t="str">
        <f>IFERROR(AI396/AI446, "NA")</f>
        <v>NA</v>
      </c>
      <c r="AK396" s="12"/>
      <c r="AL396" s="15">
        <f t="shared" si="57"/>
        <v>0</v>
      </c>
      <c r="AM396" s="13" t="str">
        <f>IFERROR(AL396/AL446, "NA")</f>
        <v>NA</v>
      </c>
      <c r="AN396" s="12"/>
      <c r="AO396" s="12">
        <v>0.0</v>
      </c>
      <c r="AP396" s="13" t="str">
        <f>IFERROR(AO396/AO446, "NA")</f>
        <v>NA</v>
      </c>
      <c r="AQ396" s="12"/>
      <c r="AR396" s="15">
        <f t="shared" si="58"/>
        <v>0</v>
      </c>
    </row>
    <row r="397" ht="16.5" customHeight="1">
      <c r="A397" s="16" t="s">
        <v>366</v>
      </c>
      <c r="B397" s="17">
        <f>IFERROR(B386+B387+B389+B390+B391+B392+B393+B395+B396, "NA")</f>
        <v>0</v>
      </c>
      <c r="C397" s="18" t="str">
        <f>IFERROR(B397/B446, "NA")</f>
        <v>NA</v>
      </c>
      <c r="D397" s="8"/>
      <c r="E397" s="17">
        <f>IFERROR(E386+E387+E389+E390+E391+E392+E393+E395+E396, "NA")</f>
        <v>0</v>
      </c>
      <c r="F397" s="18" t="str">
        <f>IFERROR(E397/E446, "NA")</f>
        <v>NA</v>
      </c>
      <c r="G397" s="8"/>
      <c r="H397" s="17">
        <f>IFERROR(H386+H387+H389+H390+H391+H392+H393+H395+H396, "NA")</f>
        <v>0</v>
      </c>
      <c r="I397" s="18" t="str">
        <f>IFERROR(H397/H446, "NA")</f>
        <v>NA</v>
      </c>
      <c r="J397" s="8"/>
      <c r="K397" s="17">
        <f>IFERROR(K386+K387+K389+K390+K391+K392+K393+K395+K396, "NA")</f>
        <v>0</v>
      </c>
      <c r="L397" s="18" t="str">
        <f>IFERROR(K397/K446, "NA")</f>
        <v>NA</v>
      </c>
      <c r="M397" s="8"/>
      <c r="N397" s="17">
        <f>IFERROR(N386+N387+N389+N390+N391+N392+N393+N395+N396, "NA")</f>
        <v>0</v>
      </c>
      <c r="O397" s="18" t="str">
        <f>IFERROR(N397/N446, "NA")</f>
        <v>NA</v>
      </c>
      <c r="P397" s="8"/>
      <c r="Q397" s="17">
        <f>IFERROR(Q386+Q387+Q389+Q390+Q391+Q392+Q393+Q395+Q396, "NA")</f>
        <v>0</v>
      </c>
      <c r="R397" s="18" t="str">
        <f>IFERROR(Q397/Q446, "NA")</f>
        <v>NA</v>
      </c>
      <c r="S397" s="8"/>
      <c r="T397" s="17">
        <f>IFERROR(T386+T387+T389+T390+T391+T392+T393+T395+T396, "NA")</f>
        <v>0</v>
      </c>
      <c r="U397" s="18" t="str">
        <f>IFERROR(T397/T446, "NA")</f>
        <v>NA</v>
      </c>
      <c r="V397" s="8"/>
      <c r="W397" s="17">
        <f>IFERROR(W386+W387+W389+W390+W391+W392+W393+W395+W396, "NA")</f>
        <v>0</v>
      </c>
      <c r="X397" s="18" t="str">
        <f>IFERROR(W397/W446, "NA")</f>
        <v>NA</v>
      </c>
      <c r="Y397" s="8"/>
      <c r="Z397" s="17">
        <f>IFERROR(Z386+Z387+Z389+Z390+Z391+Z392+Z393+Z395+Z396, "NA")</f>
        <v>0</v>
      </c>
      <c r="AA397" s="18" t="str">
        <f>IFERROR(Z397/Z446, "NA")</f>
        <v>NA</v>
      </c>
      <c r="AB397" s="8"/>
      <c r="AC397" s="17">
        <f>IFERROR(AC386+AC387+AC389+AC390+AC391+AC392+AC393+AC395+AC396, "NA")</f>
        <v>0</v>
      </c>
      <c r="AD397" s="18" t="str">
        <f>IFERROR(AC397/AC446, "NA")</f>
        <v>NA</v>
      </c>
      <c r="AE397" s="8"/>
      <c r="AF397" s="17">
        <f>IFERROR(AF386+AF387+AF389+AF390+AF391+AF392+AF393+AF395+AF396, "NA")</f>
        <v>0</v>
      </c>
      <c r="AG397" s="18" t="str">
        <f>IFERROR(AF397/AF446, "NA")</f>
        <v>NA</v>
      </c>
      <c r="AH397" s="8"/>
      <c r="AI397" s="17">
        <f>IFERROR(AI386+AI387+AI389+AI390+AI391+AI392+AI393+AI395+AI396, "NA")</f>
        <v>0</v>
      </c>
      <c r="AJ397" s="18" t="str">
        <f>IFERROR(AI397/AI446, "NA")</f>
        <v>NA</v>
      </c>
      <c r="AK397" s="8"/>
      <c r="AL397" s="17">
        <f t="shared" si="57"/>
        <v>0</v>
      </c>
      <c r="AM397" s="18" t="str">
        <f>IFERROR(AL397/AL446, "NA")</f>
        <v>NA</v>
      </c>
      <c r="AN397" s="8"/>
      <c r="AO397" s="17">
        <f>IFERROR(AO386+AO387+AO389+AO390+AO391+AO392+AO393+AO395+AO396, "NA")</f>
        <v>0</v>
      </c>
      <c r="AP397" s="18" t="str">
        <f>IFERROR(AO397/AO446, "NA")</f>
        <v>NA</v>
      </c>
      <c r="AQ397" s="8"/>
      <c r="AR397" s="17">
        <f t="shared" si="58"/>
        <v>0</v>
      </c>
    </row>
    <row r="398" ht="16.5" hidden="1" customHeight="1">
      <c r="A398" s="11" t="s">
        <v>744</v>
      </c>
      <c r="B398" s="12">
        <v>0.0</v>
      </c>
      <c r="C398" s="13" t="str">
        <f>IFERROR(B398/B446, "NA")</f>
        <v>NA</v>
      </c>
      <c r="D398" s="14"/>
      <c r="E398" s="12">
        <v>0.0</v>
      </c>
      <c r="F398" s="13" t="str">
        <f>IFERROR(E398/E446, "NA")</f>
        <v>NA</v>
      </c>
      <c r="G398" s="14"/>
      <c r="H398" s="12">
        <v>0.0</v>
      </c>
      <c r="I398" s="13" t="str">
        <f>IFERROR(H398/H446, "NA")</f>
        <v>NA</v>
      </c>
      <c r="J398" s="14"/>
      <c r="K398" s="12">
        <v>0.0</v>
      </c>
      <c r="L398" s="13" t="str">
        <f>IFERROR(K398/K446, "NA")</f>
        <v>NA</v>
      </c>
      <c r="M398" s="14"/>
      <c r="N398" s="12">
        <v>0.0</v>
      </c>
      <c r="O398" s="13" t="str">
        <f>IFERROR(N398/N446, "NA")</f>
        <v>NA</v>
      </c>
      <c r="P398" s="14"/>
      <c r="Q398" s="12">
        <v>0.0</v>
      </c>
      <c r="R398" s="13" t="str">
        <f>IFERROR(Q398/Q446, "NA")</f>
        <v>NA</v>
      </c>
      <c r="S398" s="14"/>
      <c r="T398" s="12">
        <v>0.0</v>
      </c>
      <c r="U398" s="13" t="str">
        <f>IFERROR(T398/T446, "NA")</f>
        <v>NA</v>
      </c>
      <c r="V398" s="14"/>
      <c r="W398" s="12">
        <v>0.0</v>
      </c>
      <c r="X398" s="13" t="str">
        <f>IFERROR(W398/W446, "NA")</f>
        <v>NA</v>
      </c>
      <c r="Y398" s="14"/>
      <c r="Z398" s="12">
        <v>0.0</v>
      </c>
      <c r="AA398" s="13" t="str">
        <f>IFERROR(Z398/Z446, "NA")</f>
        <v>NA</v>
      </c>
      <c r="AB398" s="14"/>
      <c r="AC398" s="12">
        <v>0.0</v>
      </c>
      <c r="AD398" s="13" t="str">
        <f>IFERROR(AC398/AC446, "NA")</f>
        <v>NA</v>
      </c>
      <c r="AE398" s="14"/>
      <c r="AF398" s="12">
        <v>0.0</v>
      </c>
      <c r="AG398" s="13" t="str">
        <f>IFERROR(AF398/AF446, "NA")</f>
        <v>NA</v>
      </c>
      <c r="AH398" s="14"/>
      <c r="AI398" s="12">
        <v>0.0</v>
      </c>
      <c r="AJ398" s="13" t="str">
        <f>IFERROR(AI398/AI446, "NA")</f>
        <v>NA</v>
      </c>
      <c r="AK398" s="12"/>
      <c r="AL398" s="15">
        <f t="shared" si="57"/>
        <v>0</v>
      </c>
      <c r="AM398" s="13" t="str">
        <f>IFERROR(AL398/AL446, "NA")</f>
        <v>NA</v>
      </c>
      <c r="AN398" s="12"/>
      <c r="AO398" s="12">
        <v>0.0</v>
      </c>
      <c r="AP398" s="13" t="str">
        <f>IFERROR(AO398/AO446, "NA")</f>
        <v>NA</v>
      </c>
      <c r="AQ398" s="12"/>
      <c r="AR398" s="15">
        <f t="shared" si="58"/>
        <v>0</v>
      </c>
    </row>
    <row r="399" ht="16.5" hidden="1" customHeight="1">
      <c r="A399" s="11" t="s">
        <v>745</v>
      </c>
      <c r="B399" s="12">
        <v>0.0</v>
      </c>
      <c r="C399" s="13" t="str">
        <f>IFERROR(B399/B446, "NA")</f>
        <v>NA</v>
      </c>
      <c r="D399" s="14"/>
      <c r="E399" s="12">
        <v>0.0</v>
      </c>
      <c r="F399" s="13" t="str">
        <f>IFERROR(E399/E446, "NA")</f>
        <v>NA</v>
      </c>
      <c r="G399" s="14"/>
      <c r="H399" s="12">
        <v>0.0</v>
      </c>
      <c r="I399" s="13" t="str">
        <f>IFERROR(H399/H446, "NA")</f>
        <v>NA</v>
      </c>
      <c r="J399" s="14"/>
      <c r="K399" s="12">
        <v>0.0</v>
      </c>
      <c r="L399" s="13" t="str">
        <f>IFERROR(K399/K446, "NA")</f>
        <v>NA</v>
      </c>
      <c r="M399" s="14"/>
      <c r="N399" s="12">
        <v>0.0</v>
      </c>
      <c r="O399" s="13" t="str">
        <f>IFERROR(N399/N446, "NA")</f>
        <v>NA</v>
      </c>
      <c r="P399" s="14"/>
      <c r="Q399" s="12">
        <v>0.0</v>
      </c>
      <c r="R399" s="13" t="str">
        <f>IFERROR(Q399/Q446, "NA")</f>
        <v>NA</v>
      </c>
      <c r="S399" s="14"/>
      <c r="T399" s="12">
        <v>0.0</v>
      </c>
      <c r="U399" s="13" t="str">
        <f>IFERROR(T399/T446, "NA")</f>
        <v>NA</v>
      </c>
      <c r="V399" s="14"/>
      <c r="W399" s="12">
        <v>0.0</v>
      </c>
      <c r="X399" s="13" t="str">
        <f>IFERROR(W399/W446, "NA")</f>
        <v>NA</v>
      </c>
      <c r="Y399" s="14"/>
      <c r="Z399" s="12">
        <v>0.0</v>
      </c>
      <c r="AA399" s="13" t="str">
        <f>IFERROR(Z399/Z446, "NA")</f>
        <v>NA</v>
      </c>
      <c r="AB399" s="14"/>
      <c r="AC399" s="12">
        <v>0.0</v>
      </c>
      <c r="AD399" s="13" t="str">
        <f>IFERROR(AC399/AC446, "NA")</f>
        <v>NA</v>
      </c>
      <c r="AE399" s="14"/>
      <c r="AF399" s="12">
        <v>0.0</v>
      </c>
      <c r="AG399" s="13" t="str">
        <f>IFERROR(AF399/AF446, "NA")</f>
        <v>NA</v>
      </c>
      <c r="AH399" s="14"/>
      <c r="AI399" s="12">
        <v>0.0</v>
      </c>
      <c r="AJ399" s="13" t="str">
        <f>IFERROR(AI399/AI446, "NA")</f>
        <v>NA</v>
      </c>
      <c r="AK399" s="12"/>
      <c r="AL399" s="15">
        <f t="shared" si="57"/>
        <v>0</v>
      </c>
      <c r="AM399" s="13" t="str">
        <f>IFERROR(AL399/AL446, "NA")</f>
        <v>NA</v>
      </c>
      <c r="AN399" s="12"/>
      <c r="AO399" s="12">
        <v>0.0</v>
      </c>
      <c r="AP399" s="13" t="str">
        <f>IFERROR(AO399/AO446, "NA")</f>
        <v>NA</v>
      </c>
      <c r="AQ399" s="12"/>
      <c r="AR399" s="15">
        <f t="shared" si="58"/>
        <v>0</v>
      </c>
    </row>
    <row r="400" ht="16.5" hidden="1" customHeight="1">
      <c r="A400" s="11" t="s">
        <v>746</v>
      </c>
      <c r="B400" s="12">
        <v>0.0</v>
      </c>
      <c r="C400" s="13" t="str">
        <f>IFERROR(B400/B446, "NA")</f>
        <v>NA</v>
      </c>
      <c r="D400" s="14"/>
      <c r="E400" s="12">
        <v>0.0</v>
      </c>
      <c r="F400" s="13" t="str">
        <f>IFERROR(E400/E446, "NA")</f>
        <v>NA</v>
      </c>
      <c r="G400" s="14"/>
      <c r="H400" s="12">
        <v>0.0</v>
      </c>
      <c r="I400" s="13" t="str">
        <f>IFERROR(H400/H446, "NA")</f>
        <v>NA</v>
      </c>
      <c r="J400" s="14"/>
      <c r="K400" s="12">
        <v>0.0</v>
      </c>
      <c r="L400" s="13" t="str">
        <f>IFERROR(K400/K446, "NA")</f>
        <v>NA</v>
      </c>
      <c r="M400" s="14"/>
      <c r="N400" s="12">
        <v>0.0</v>
      </c>
      <c r="O400" s="13" t="str">
        <f>IFERROR(N400/N446, "NA")</f>
        <v>NA</v>
      </c>
      <c r="P400" s="14"/>
      <c r="Q400" s="12">
        <v>0.0</v>
      </c>
      <c r="R400" s="13" t="str">
        <f>IFERROR(Q400/Q446, "NA")</f>
        <v>NA</v>
      </c>
      <c r="S400" s="14"/>
      <c r="T400" s="12">
        <v>0.0</v>
      </c>
      <c r="U400" s="13" t="str">
        <f>IFERROR(T400/T446, "NA")</f>
        <v>NA</v>
      </c>
      <c r="V400" s="14"/>
      <c r="W400" s="12">
        <v>0.0</v>
      </c>
      <c r="X400" s="13" t="str">
        <f>IFERROR(W400/W446, "NA")</f>
        <v>NA</v>
      </c>
      <c r="Y400" s="14"/>
      <c r="Z400" s="12">
        <v>0.0</v>
      </c>
      <c r="AA400" s="13" t="str">
        <f>IFERROR(Z400/Z446, "NA")</f>
        <v>NA</v>
      </c>
      <c r="AB400" s="14"/>
      <c r="AC400" s="12">
        <v>0.0</v>
      </c>
      <c r="AD400" s="13" t="str">
        <f>IFERROR(AC400/AC446, "NA")</f>
        <v>NA</v>
      </c>
      <c r="AE400" s="14"/>
      <c r="AF400" s="12">
        <v>0.0</v>
      </c>
      <c r="AG400" s="13" t="str">
        <f>IFERROR(AF400/AF446, "NA")</f>
        <v>NA</v>
      </c>
      <c r="AH400" s="14"/>
      <c r="AI400" s="12">
        <v>0.0</v>
      </c>
      <c r="AJ400" s="13" t="str">
        <f>IFERROR(AI400/AI446, "NA")</f>
        <v>NA</v>
      </c>
      <c r="AK400" s="12"/>
      <c r="AL400" s="15">
        <f t="shared" si="57"/>
        <v>0</v>
      </c>
      <c r="AM400" s="13" t="str">
        <f>IFERROR(AL400/AL446, "NA")</f>
        <v>NA</v>
      </c>
      <c r="AN400" s="12"/>
      <c r="AO400" s="12">
        <v>0.0</v>
      </c>
      <c r="AP400" s="13" t="str">
        <f>IFERROR(AO400/AO446, "NA")</f>
        <v>NA</v>
      </c>
      <c r="AQ400" s="12"/>
      <c r="AR400" s="15">
        <f t="shared" si="58"/>
        <v>0</v>
      </c>
    </row>
    <row r="401" ht="16.5" hidden="1" customHeight="1">
      <c r="A401" s="11" t="s">
        <v>747</v>
      </c>
      <c r="B401" s="12">
        <v>0.0</v>
      </c>
      <c r="C401" s="13" t="str">
        <f>IFERROR(B401/B446, "NA")</f>
        <v>NA</v>
      </c>
      <c r="D401" s="14"/>
      <c r="E401" s="12">
        <v>0.0</v>
      </c>
      <c r="F401" s="13" t="str">
        <f>IFERROR(E401/E446, "NA")</f>
        <v>NA</v>
      </c>
      <c r="G401" s="14"/>
      <c r="H401" s="12">
        <v>0.0</v>
      </c>
      <c r="I401" s="13" t="str">
        <f>IFERROR(H401/H446, "NA")</f>
        <v>NA</v>
      </c>
      <c r="J401" s="14"/>
      <c r="K401" s="12">
        <v>0.0</v>
      </c>
      <c r="L401" s="13" t="str">
        <f>IFERROR(K401/K446, "NA")</f>
        <v>NA</v>
      </c>
      <c r="M401" s="14"/>
      <c r="N401" s="12">
        <v>0.0</v>
      </c>
      <c r="O401" s="13" t="str">
        <f>IFERROR(N401/N446, "NA")</f>
        <v>NA</v>
      </c>
      <c r="P401" s="14"/>
      <c r="Q401" s="12">
        <v>0.0</v>
      </c>
      <c r="R401" s="13" t="str">
        <f>IFERROR(Q401/Q446, "NA")</f>
        <v>NA</v>
      </c>
      <c r="S401" s="14"/>
      <c r="T401" s="12">
        <v>0.0</v>
      </c>
      <c r="U401" s="13" t="str">
        <f>IFERROR(T401/T446, "NA")</f>
        <v>NA</v>
      </c>
      <c r="V401" s="14"/>
      <c r="W401" s="12">
        <v>0.0</v>
      </c>
      <c r="X401" s="13" t="str">
        <f>IFERROR(W401/W446, "NA")</f>
        <v>NA</v>
      </c>
      <c r="Y401" s="14"/>
      <c r="Z401" s="12">
        <v>0.0</v>
      </c>
      <c r="AA401" s="13" t="str">
        <f>IFERROR(Z401/Z446, "NA")</f>
        <v>NA</v>
      </c>
      <c r="AB401" s="14"/>
      <c r="AC401" s="12">
        <v>0.0</v>
      </c>
      <c r="AD401" s="13" t="str">
        <f>IFERROR(AC401/AC446, "NA")</f>
        <v>NA</v>
      </c>
      <c r="AE401" s="14"/>
      <c r="AF401" s="12">
        <v>0.0</v>
      </c>
      <c r="AG401" s="13" t="str">
        <f>IFERROR(AF401/AF446, "NA")</f>
        <v>NA</v>
      </c>
      <c r="AH401" s="14"/>
      <c r="AI401" s="12">
        <v>0.0</v>
      </c>
      <c r="AJ401" s="13" t="str">
        <f>IFERROR(AI401/AI446, "NA")</f>
        <v>NA</v>
      </c>
      <c r="AK401" s="12"/>
      <c r="AL401" s="15">
        <f t="shared" si="57"/>
        <v>0</v>
      </c>
      <c r="AM401" s="13" t="str">
        <f>IFERROR(AL401/AL446, "NA")</f>
        <v>NA</v>
      </c>
      <c r="AN401" s="12"/>
      <c r="AO401" s="12">
        <v>0.0</v>
      </c>
      <c r="AP401" s="13" t="str">
        <f>IFERROR(AO401/AO446, "NA")</f>
        <v>NA</v>
      </c>
      <c r="AQ401" s="12"/>
      <c r="AR401" s="15">
        <f t="shared" si="58"/>
        <v>0</v>
      </c>
    </row>
    <row r="402" ht="16.5" hidden="1" customHeight="1">
      <c r="A402" s="11" t="s">
        <v>748</v>
      </c>
      <c r="B402" s="12">
        <v>0.0</v>
      </c>
      <c r="C402" s="13" t="str">
        <f>IFERROR(B402/B446, "NA")</f>
        <v>NA</v>
      </c>
      <c r="D402" s="14"/>
      <c r="E402" s="12">
        <v>0.0</v>
      </c>
      <c r="F402" s="13" t="str">
        <f>IFERROR(E402/E446, "NA")</f>
        <v>NA</v>
      </c>
      <c r="G402" s="14"/>
      <c r="H402" s="12">
        <v>0.0</v>
      </c>
      <c r="I402" s="13" t="str">
        <f>IFERROR(H402/H446, "NA")</f>
        <v>NA</v>
      </c>
      <c r="J402" s="14"/>
      <c r="K402" s="12">
        <v>0.0</v>
      </c>
      <c r="L402" s="13" t="str">
        <f>IFERROR(K402/K446, "NA")</f>
        <v>NA</v>
      </c>
      <c r="M402" s="14"/>
      <c r="N402" s="12">
        <v>0.0</v>
      </c>
      <c r="O402" s="13" t="str">
        <f>IFERROR(N402/N446, "NA")</f>
        <v>NA</v>
      </c>
      <c r="P402" s="14"/>
      <c r="Q402" s="12">
        <v>0.0</v>
      </c>
      <c r="R402" s="13" t="str">
        <f>IFERROR(Q402/Q446, "NA")</f>
        <v>NA</v>
      </c>
      <c r="S402" s="14"/>
      <c r="T402" s="12">
        <v>0.0</v>
      </c>
      <c r="U402" s="13" t="str">
        <f>IFERROR(T402/T446, "NA")</f>
        <v>NA</v>
      </c>
      <c r="V402" s="14"/>
      <c r="W402" s="12">
        <v>0.0</v>
      </c>
      <c r="X402" s="13" t="str">
        <f>IFERROR(W402/W446, "NA")</f>
        <v>NA</v>
      </c>
      <c r="Y402" s="14"/>
      <c r="Z402" s="12">
        <v>0.0</v>
      </c>
      <c r="AA402" s="13" t="str">
        <f>IFERROR(Z402/Z446, "NA")</f>
        <v>NA</v>
      </c>
      <c r="AB402" s="14"/>
      <c r="AC402" s="12">
        <v>0.0</v>
      </c>
      <c r="AD402" s="13" t="str">
        <f>IFERROR(AC402/AC446, "NA")</f>
        <v>NA</v>
      </c>
      <c r="AE402" s="14"/>
      <c r="AF402" s="12">
        <v>0.0</v>
      </c>
      <c r="AG402" s="13" t="str">
        <f>IFERROR(AF402/AF446, "NA")</f>
        <v>NA</v>
      </c>
      <c r="AH402" s="14"/>
      <c r="AI402" s="12">
        <v>0.0</v>
      </c>
      <c r="AJ402" s="13" t="str">
        <f>IFERROR(AI402/AI446, "NA")</f>
        <v>NA</v>
      </c>
      <c r="AK402" s="12"/>
      <c r="AL402" s="15">
        <f t="shared" si="57"/>
        <v>0</v>
      </c>
      <c r="AM402" s="13" t="str">
        <f>IFERROR(AL402/AL446, "NA")</f>
        <v>NA</v>
      </c>
      <c r="AN402" s="12"/>
      <c r="AO402" s="12">
        <v>0.0</v>
      </c>
      <c r="AP402" s="13" t="str">
        <f>IFERROR(AO402/AO446, "NA")</f>
        <v>NA</v>
      </c>
      <c r="AQ402" s="12"/>
      <c r="AR402" s="15">
        <f t="shared" si="58"/>
        <v>0</v>
      </c>
    </row>
    <row r="403" ht="16.5" hidden="1" customHeight="1">
      <c r="A403" s="11" t="s">
        <v>749</v>
      </c>
      <c r="B403" s="12">
        <v>0.0</v>
      </c>
      <c r="C403" s="13" t="str">
        <f>IFERROR(B403/B446, "NA")</f>
        <v>NA</v>
      </c>
      <c r="D403" s="14"/>
      <c r="E403" s="12">
        <v>0.0</v>
      </c>
      <c r="F403" s="13" t="str">
        <f>IFERROR(E403/E446, "NA")</f>
        <v>NA</v>
      </c>
      <c r="G403" s="14"/>
      <c r="H403" s="12">
        <v>0.0</v>
      </c>
      <c r="I403" s="13" t="str">
        <f>IFERROR(H403/H446, "NA")</f>
        <v>NA</v>
      </c>
      <c r="J403" s="14"/>
      <c r="K403" s="12">
        <v>0.0</v>
      </c>
      <c r="L403" s="13" t="str">
        <f>IFERROR(K403/K446, "NA")</f>
        <v>NA</v>
      </c>
      <c r="M403" s="14"/>
      <c r="N403" s="12">
        <v>0.0</v>
      </c>
      <c r="O403" s="13" t="str">
        <f>IFERROR(N403/N446, "NA")</f>
        <v>NA</v>
      </c>
      <c r="P403" s="14"/>
      <c r="Q403" s="12">
        <v>0.0</v>
      </c>
      <c r="R403" s="13" t="str">
        <f>IFERROR(Q403/Q446, "NA")</f>
        <v>NA</v>
      </c>
      <c r="S403" s="14"/>
      <c r="T403" s="12">
        <v>0.0</v>
      </c>
      <c r="U403" s="13" t="str">
        <f>IFERROR(T403/T446, "NA")</f>
        <v>NA</v>
      </c>
      <c r="V403" s="14"/>
      <c r="W403" s="12">
        <v>0.0</v>
      </c>
      <c r="X403" s="13" t="str">
        <f>IFERROR(W403/W446, "NA")</f>
        <v>NA</v>
      </c>
      <c r="Y403" s="14"/>
      <c r="Z403" s="12">
        <v>0.0</v>
      </c>
      <c r="AA403" s="13" t="str">
        <f>IFERROR(Z403/Z446, "NA")</f>
        <v>NA</v>
      </c>
      <c r="AB403" s="14"/>
      <c r="AC403" s="12">
        <v>0.0</v>
      </c>
      <c r="AD403" s="13" t="str">
        <f>IFERROR(AC403/AC446, "NA")</f>
        <v>NA</v>
      </c>
      <c r="AE403" s="14"/>
      <c r="AF403" s="12">
        <v>0.0</v>
      </c>
      <c r="AG403" s="13" t="str">
        <f>IFERROR(AF403/AF446, "NA")</f>
        <v>NA</v>
      </c>
      <c r="AH403" s="14"/>
      <c r="AI403" s="12">
        <v>0.0</v>
      </c>
      <c r="AJ403" s="13" t="str">
        <f>IFERROR(AI403/AI446, "NA")</f>
        <v>NA</v>
      </c>
      <c r="AK403" s="12"/>
      <c r="AL403" s="15">
        <f t="shared" si="57"/>
        <v>0</v>
      </c>
      <c r="AM403" s="13" t="str">
        <f>IFERROR(AL403/AL446, "NA")</f>
        <v>NA</v>
      </c>
      <c r="AN403" s="12"/>
      <c r="AO403" s="12">
        <v>0.0</v>
      </c>
      <c r="AP403" s="13" t="str">
        <f>IFERROR(AO403/AO446, "NA")</f>
        <v>NA</v>
      </c>
      <c r="AQ403" s="12"/>
      <c r="AR403" s="15">
        <f t="shared" si="58"/>
        <v>0</v>
      </c>
    </row>
    <row r="404" ht="16.5" customHeight="1">
      <c r="A404" s="16" t="s">
        <v>373</v>
      </c>
      <c r="B404" s="17">
        <f>IFERROR(B348+B350+B351+B352+B353+B354+B355+B356+B357+B358+B361+B362+B363+B364+B365+B366+B367+B368+B370+B371+B372+B373+B374+B375+B376+B377+B378+B379+B380+B381+B382+B383+B384+B386+B387+B389+B390+B391+B392+B393+B395+B396+B398+B399+B400+B401+B402+B403, "NA")</f>
        <v>0</v>
      </c>
      <c r="C404" s="18" t="str">
        <f>IFERROR(B404/B446, "NA")</f>
        <v>NA</v>
      </c>
      <c r="D404" s="8"/>
      <c r="E404" s="17">
        <f>IFERROR(E348+E350+E351+E352+E353+E354+E355+E356+E357+E358+E361+E362+E363+E364+E365+E366+E367+E368+E370+E371+E372+E373+E374+E375+E376+E377+E378+E379+E380+E381+E382+E383+E384+E386+E387+E389+E390+E391+E392+E393+E395+E396+E398+E399+E400+E401+E402+E403, "NA")</f>
        <v>0</v>
      </c>
      <c r="F404" s="18" t="str">
        <f>IFERROR(E404/E446, "NA")</f>
        <v>NA</v>
      </c>
      <c r="G404" s="8"/>
      <c r="H404" s="17">
        <f>IFERROR(H348+H350+H351+H352+H353+H354+H355+H356+H357+H358+H361+H362+H363+H364+H365+H366+H367+H368+H370+H371+H372+H373+H374+H375+H376+H377+H378+H379+H380+H381+H382+H383+H384+H386+H387+H389+H390+H391+H392+H393+H395+H396+H398+H399+H400+H401+H402+H403, "NA")</f>
        <v>0</v>
      </c>
      <c r="I404" s="18" t="str">
        <f>IFERROR(H404/H446, "NA")</f>
        <v>NA</v>
      </c>
      <c r="J404" s="8"/>
      <c r="K404" s="17">
        <f>IFERROR(K348+K350+K351+K352+K353+K354+K355+K356+K357+K358+K361+K362+K363+K364+K365+K366+K367+K368+K370+K371+K372+K373+K374+K375+K376+K377+K378+K379+K380+K381+K382+K383+K384+K386+K387+K389+K390+K391+K392+K393+K395+K396+K398+K399+K400+K401+K402+K403, "NA")</f>
        <v>0</v>
      </c>
      <c r="L404" s="18" t="str">
        <f>IFERROR(K404/K446, "NA")</f>
        <v>NA</v>
      </c>
      <c r="M404" s="8"/>
      <c r="N404" s="17">
        <f>IFERROR(N348+N350+N351+N352+N353+N354+N355+N356+N357+N358+N361+N362+N363+N364+N365+N366+N367+N368+N370+N371+N372+N373+N374+N375+N376+N377+N378+N379+N380+N381+N382+N383+N384+N386+N387+N389+N390+N391+N392+N393+N395+N396+N398+N399+N400+N401+N402+N403, "NA")</f>
        <v>0</v>
      </c>
      <c r="O404" s="18" t="str">
        <f>IFERROR(N404/N446, "NA")</f>
        <v>NA</v>
      </c>
      <c r="P404" s="8"/>
      <c r="Q404" s="17">
        <f>IFERROR(Q348+Q350+Q351+Q352+Q353+Q354+Q355+Q356+Q357+Q358+Q361+Q362+Q363+Q364+Q365+Q366+Q367+Q368+Q370+Q371+Q372+Q373+Q374+Q375+Q376+Q377+Q378+Q379+Q380+Q381+Q382+Q383+Q384+Q386+Q387+Q389+Q390+Q391+Q392+Q393+Q395+Q396+Q398+Q399+Q400+Q401+Q402+Q403, "NA")</f>
        <v>0</v>
      </c>
      <c r="R404" s="18" t="str">
        <f>IFERROR(Q404/Q446, "NA")</f>
        <v>NA</v>
      </c>
      <c r="S404" s="8"/>
      <c r="T404" s="17">
        <f>IFERROR(T348+T350+T351+T352+T353+T354+T355+T356+T357+T358+T361+T362+T363+T364+T365+T366+T367+T368+T370+T371+T372+T373+T374+T375+T376+T377+T378+T379+T380+T381+T382+T383+T384+T386+T387+T389+T390+T391+T392+T393+T395+T396+T398+T399+T400+T401+T402+T403, "NA")</f>
        <v>0</v>
      </c>
      <c r="U404" s="18" t="str">
        <f>IFERROR(T404/T446, "NA")</f>
        <v>NA</v>
      </c>
      <c r="V404" s="8"/>
      <c r="W404" s="17">
        <f>IFERROR(W348+W350+W351+W352+W353+W354+W355+W356+W357+W358+W361+W362+W363+W364+W365+W366+W367+W368+W370+W371+W372+W373+W374+W375+W376+W377+W378+W379+W380+W381+W382+W383+W384+W386+W387+W389+W390+W391+W392+W393+W395+W396+W398+W399+W400+W401+W402+W403, "NA")</f>
        <v>0</v>
      </c>
      <c r="X404" s="18" t="str">
        <f>IFERROR(W404/W446, "NA")</f>
        <v>NA</v>
      </c>
      <c r="Y404" s="8"/>
      <c r="Z404" s="17">
        <f>IFERROR(Z348+Z350+Z351+Z352+Z353+Z354+Z355+Z356+Z357+Z358+Z361+Z362+Z363+Z364+Z365+Z366+Z367+Z368+Z370+Z371+Z372+Z373+Z374+Z375+Z376+Z377+Z378+Z379+Z380+Z381+Z382+Z383+Z384+Z386+Z387+Z389+Z390+Z391+Z392+Z393+Z395+Z396+Z398+Z399+Z400+Z401+Z402+Z403, "NA")</f>
        <v>0</v>
      </c>
      <c r="AA404" s="18" t="str">
        <f>IFERROR(Z404/Z446, "NA")</f>
        <v>NA</v>
      </c>
      <c r="AB404" s="8"/>
      <c r="AC404" s="17">
        <f>IFERROR(AC348+AC350+AC351+AC352+AC353+AC354+AC355+AC356+AC357+AC358+AC361+AC362+AC363+AC364+AC365+AC366+AC367+AC368+AC370+AC371+AC372+AC373+AC374+AC375+AC376+AC377+AC378+AC379+AC380+AC381+AC382+AC383+AC384+AC386+AC387+AC389+AC390+AC391+AC392+AC393+AC395+AC396+AC398+AC399+AC400+AC401+AC402+AC403, "NA")</f>
        <v>0</v>
      </c>
      <c r="AD404" s="18" t="str">
        <f>IFERROR(AC404/AC446, "NA")</f>
        <v>NA</v>
      </c>
      <c r="AE404" s="8"/>
      <c r="AF404" s="17">
        <f>IFERROR(AF348+AF350+AF351+AF352+AF353+AF354+AF355+AF356+AF357+AF358+AF361+AF362+AF363+AF364+AF365+AF366+AF367+AF368+AF370+AF371+AF372+AF373+AF374+AF375+AF376+AF377+AF378+AF379+AF380+AF381+AF382+AF383+AF384+AF386+AF387+AF389+AF390+AF391+AF392+AF393+AF395+AF396+AF398+AF399+AF400+AF401+AF402+AF403, "NA")</f>
        <v>0</v>
      </c>
      <c r="AG404" s="18" t="str">
        <f>IFERROR(AF404/AF446, "NA")</f>
        <v>NA</v>
      </c>
      <c r="AH404" s="8"/>
      <c r="AI404" s="17">
        <f>IFERROR(AI348+AI350+AI351+AI352+AI353+AI354+AI355+AI356+AI357+AI358+AI361+AI362+AI363+AI364+AI365+AI366+AI367+AI368+AI370+AI371+AI372+AI373+AI374+AI375+AI376+AI377+AI378+AI379+AI380+AI381+AI382+AI383+AI384+AI386+AI387+AI389+AI390+AI391+AI392+AI393+AI395+AI396+AI398+AI399+AI400+AI401+AI402+AI403, "NA")</f>
        <v>0</v>
      </c>
      <c r="AJ404" s="18" t="str">
        <f>IFERROR(AI404/AI446, "NA")</f>
        <v>NA</v>
      </c>
      <c r="AK404" s="8"/>
      <c r="AL404" s="17">
        <f t="shared" si="57"/>
        <v>0</v>
      </c>
      <c r="AM404" s="18" t="str">
        <f>IFERROR(AL404/AL446, "NA")</f>
        <v>NA</v>
      </c>
      <c r="AN404" s="8"/>
      <c r="AO404" s="17">
        <f>IFERROR(AO348+AO350+AO351+AO352+AO353+AO354+AO355+AO356+AO357+AO358+AO361+AO362+AO363+AO364+AO365+AO366+AO367+AO368+AO370+AO371+AO372+AO373+AO374+AO375+AO376+AO377+AO378+AO379+AO380+AO381+AO382+AO383+AO384+AO386+AO387+AO389+AO390+AO391+AO392+AO393+AO395+AO396+AO398+AO399+AO400+AO401+AO402+AO403, "NA")</f>
        <v>0</v>
      </c>
      <c r="AP404" s="18" t="str">
        <f>IFERROR(AO404/AO446, "NA")</f>
        <v>NA</v>
      </c>
      <c r="AQ404" s="8"/>
      <c r="AR404" s="17">
        <f t="shared" si="58"/>
        <v>0</v>
      </c>
    </row>
    <row r="405" ht="16.5" customHeight="1">
      <c r="A405" s="19" t="s">
        <v>374</v>
      </c>
      <c r="B405" s="20">
        <f>IFERROR(B346-B404, "NA")</f>
        <v>0</v>
      </c>
      <c r="C405" s="21" t="str">
        <f>IFERROR(B405/B446, "NA")</f>
        <v>NA</v>
      </c>
      <c r="D405" s="22"/>
      <c r="E405" s="20">
        <f>IFERROR(E346-E404, "NA")</f>
        <v>0</v>
      </c>
      <c r="F405" s="21" t="str">
        <f>IFERROR(E405/E446, "NA")</f>
        <v>NA</v>
      </c>
      <c r="G405" s="22"/>
      <c r="H405" s="20">
        <f>IFERROR(H346-H404, "NA")</f>
        <v>0</v>
      </c>
      <c r="I405" s="21" t="str">
        <f>IFERROR(H405/H446, "NA")</f>
        <v>NA</v>
      </c>
      <c r="J405" s="22"/>
      <c r="K405" s="20">
        <f>IFERROR(K346-K404, "NA")</f>
        <v>0</v>
      </c>
      <c r="L405" s="21" t="str">
        <f>IFERROR(K405/K446, "NA")</f>
        <v>NA</v>
      </c>
      <c r="M405" s="22"/>
      <c r="N405" s="20">
        <f>IFERROR(N346-N404, "NA")</f>
        <v>0</v>
      </c>
      <c r="O405" s="21" t="str">
        <f>IFERROR(N405/N446, "NA")</f>
        <v>NA</v>
      </c>
      <c r="P405" s="22"/>
      <c r="Q405" s="20">
        <f>IFERROR(Q346-Q404, "NA")</f>
        <v>0</v>
      </c>
      <c r="R405" s="21" t="str">
        <f>IFERROR(Q405/Q446, "NA")</f>
        <v>NA</v>
      </c>
      <c r="S405" s="22"/>
      <c r="T405" s="20">
        <f>IFERROR(T346-T404, "NA")</f>
        <v>0</v>
      </c>
      <c r="U405" s="21" t="str">
        <f>IFERROR(T405/T446, "NA")</f>
        <v>NA</v>
      </c>
      <c r="V405" s="22"/>
      <c r="W405" s="20">
        <f>IFERROR(W346-W404, "NA")</f>
        <v>0</v>
      </c>
      <c r="X405" s="21" t="str">
        <f>IFERROR(W405/W446, "NA")</f>
        <v>NA</v>
      </c>
      <c r="Y405" s="22"/>
      <c r="Z405" s="20">
        <f>IFERROR(Z346-Z404, "NA")</f>
        <v>0</v>
      </c>
      <c r="AA405" s="21" t="str">
        <f>IFERROR(Z405/Z446, "NA")</f>
        <v>NA</v>
      </c>
      <c r="AB405" s="22"/>
      <c r="AC405" s="20">
        <f>IFERROR(AC346-AC404, "NA")</f>
        <v>0</v>
      </c>
      <c r="AD405" s="21" t="str">
        <f>IFERROR(AC405/AC446, "NA")</f>
        <v>NA</v>
      </c>
      <c r="AE405" s="22"/>
      <c r="AF405" s="20">
        <f>IFERROR(AF346-AF404, "NA")</f>
        <v>0</v>
      </c>
      <c r="AG405" s="21" t="str">
        <f>IFERROR(AF405/AF446, "NA")</f>
        <v>NA</v>
      </c>
      <c r="AH405" s="22"/>
      <c r="AI405" s="20">
        <f>IFERROR(AI346-AI404, "NA")</f>
        <v>0</v>
      </c>
      <c r="AJ405" s="21" t="str">
        <f>IFERROR(AI405/AI446, "NA")</f>
        <v>NA</v>
      </c>
      <c r="AK405" s="22"/>
      <c r="AL405" s="20">
        <f t="shared" si="57"/>
        <v>0</v>
      </c>
      <c r="AM405" s="21" t="str">
        <f>IFERROR(AL405/AL446, "NA")</f>
        <v>NA</v>
      </c>
      <c r="AN405" s="22"/>
      <c r="AO405" s="20">
        <f>IFERROR(AO346-AO404, "NA")</f>
        <v>0</v>
      </c>
      <c r="AP405" s="21" t="str">
        <f>IFERROR(AO405/AO446, "NA")</f>
        <v>NA</v>
      </c>
      <c r="AQ405" s="22"/>
      <c r="AR405" s="20">
        <f t="shared" si="58"/>
        <v>0</v>
      </c>
    </row>
    <row r="406" ht="16.5" customHeight="1">
      <c r="A406" s="7" t="s">
        <v>375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  <c r="AE406" s="10"/>
      <c r="AF406" s="8"/>
      <c r="AG406" s="9"/>
      <c r="AH406" s="10"/>
      <c r="AI406" s="8"/>
      <c r="AJ406" s="9"/>
      <c r="AK406" s="8"/>
      <c r="AL406" s="8"/>
      <c r="AM406" s="9"/>
      <c r="AN406" s="8"/>
      <c r="AO406" s="8"/>
      <c r="AP406" s="9"/>
      <c r="AQ406" s="8"/>
      <c r="AR406" s="8"/>
    </row>
    <row r="407" ht="16.5" customHeight="1">
      <c r="A407" s="7" t="s">
        <v>376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  <c r="AE407" s="10"/>
      <c r="AF407" s="8"/>
      <c r="AG407" s="9"/>
      <c r="AH407" s="10"/>
      <c r="AI407" s="8"/>
      <c r="AJ407" s="9"/>
      <c r="AK407" s="8"/>
      <c r="AL407" s="8"/>
      <c r="AM407" s="9"/>
      <c r="AN407" s="8"/>
      <c r="AO407" s="8"/>
      <c r="AP407" s="9"/>
      <c r="AQ407" s="8"/>
      <c r="AR407" s="8"/>
    </row>
    <row r="408" ht="16.5" hidden="1" customHeight="1">
      <c r="A408" s="11" t="s">
        <v>750</v>
      </c>
      <c r="B408" s="12">
        <v>0.0</v>
      </c>
      <c r="C408" s="13" t="str">
        <f>IFERROR(B408/B446, "NA")</f>
        <v>NA</v>
      </c>
      <c r="D408" s="14"/>
      <c r="E408" s="12">
        <v>0.0</v>
      </c>
      <c r="F408" s="13" t="str">
        <f>IFERROR(E408/E446, "NA")</f>
        <v>NA</v>
      </c>
      <c r="G408" s="14"/>
      <c r="H408" s="12">
        <v>0.0</v>
      </c>
      <c r="I408" s="13" t="str">
        <f>IFERROR(H408/H446, "NA")</f>
        <v>NA</v>
      </c>
      <c r="J408" s="14"/>
      <c r="K408" s="12">
        <v>0.0</v>
      </c>
      <c r="L408" s="13" t="str">
        <f>IFERROR(K408/K446, "NA")</f>
        <v>NA</v>
      </c>
      <c r="M408" s="14"/>
      <c r="N408" s="12">
        <v>0.0</v>
      </c>
      <c r="O408" s="13" t="str">
        <f>IFERROR(N408/N446, "NA")</f>
        <v>NA</v>
      </c>
      <c r="P408" s="14"/>
      <c r="Q408" s="12">
        <v>0.0</v>
      </c>
      <c r="R408" s="13" t="str">
        <f>IFERROR(Q408/Q446, "NA")</f>
        <v>NA</v>
      </c>
      <c r="S408" s="14"/>
      <c r="T408" s="12">
        <v>0.0</v>
      </c>
      <c r="U408" s="13" t="str">
        <f>IFERROR(T408/T446, "NA")</f>
        <v>NA</v>
      </c>
      <c r="V408" s="14"/>
      <c r="W408" s="12">
        <v>0.0</v>
      </c>
      <c r="X408" s="13" t="str">
        <f>IFERROR(W408/W446, "NA")</f>
        <v>NA</v>
      </c>
      <c r="Y408" s="14"/>
      <c r="Z408" s="12">
        <v>0.0</v>
      </c>
      <c r="AA408" s="13" t="str">
        <f>IFERROR(Z408/Z446, "NA")</f>
        <v>NA</v>
      </c>
      <c r="AB408" s="14"/>
      <c r="AC408" s="12">
        <v>0.0</v>
      </c>
      <c r="AD408" s="13" t="str">
        <f>IFERROR(AC408/AC446, "NA")</f>
        <v>NA</v>
      </c>
      <c r="AE408" s="14"/>
      <c r="AF408" s="12">
        <v>0.0</v>
      </c>
      <c r="AG408" s="13" t="str">
        <f>IFERROR(AF408/AF446, "NA")</f>
        <v>NA</v>
      </c>
      <c r="AH408" s="14"/>
      <c r="AI408" s="12">
        <v>0.0</v>
      </c>
      <c r="AJ408" s="13" t="str">
        <f>IFERROR(AI408/AI446, "NA")</f>
        <v>NA</v>
      </c>
      <c r="AK408" s="12"/>
      <c r="AL408" s="15">
        <f t="shared" ref="AL408:AL431" si="59">IFERROR(B408+E408+H408+K408+N408+Q408+T408+W408+Z408+AC408+AF408+AI408, "NA")</f>
        <v>0</v>
      </c>
      <c r="AM408" s="13" t="str">
        <f>IFERROR(AL408/AL446, "NA")</f>
        <v>NA</v>
      </c>
      <c r="AN408" s="12"/>
      <c r="AO408" s="12">
        <v>0.0</v>
      </c>
      <c r="AP408" s="13" t="str">
        <f>IFERROR(AO408/AO446, "NA")</f>
        <v>NA</v>
      </c>
      <c r="AQ408" s="12"/>
      <c r="AR408" s="15">
        <f t="shared" ref="AR408:AR431" si="60">IFERROR(AL408-AO408, "NA")</f>
        <v>0</v>
      </c>
    </row>
    <row r="409" ht="16.5" hidden="1" customHeight="1">
      <c r="A409" s="11" t="s">
        <v>751</v>
      </c>
      <c r="B409" s="12">
        <v>0.0</v>
      </c>
      <c r="C409" s="13" t="str">
        <f>IFERROR(B409/B446, "NA")</f>
        <v>NA</v>
      </c>
      <c r="D409" s="14"/>
      <c r="E409" s="12">
        <v>0.0</v>
      </c>
      <c r="F409" s="13" t="str">
        <f>IFERROR(E409/E446, "NA")</f>
        <v>NA</v>
      </c>
      <c r="G409" s="14"/>
      <c r="H409" s="12">
        <v>0.0</v>
      </c>
      <c r="I409" s="13" t="str">
        <f>IFERROR(H409/H446, "NA")</f>
        <v>NA</v>
      </c>
      <c r="J409" s="14"/>
      <c r="K409" s="12">
        <v>0.0</v>
      </c>
      <c r="L409" s="13" t="str">
        <f>IFERROR(K409/K446, "NA")</f>
        <v>NA</v>
      </c>
      <c r="M409" s="14"/>
      <c r="N409" s="12">
        <v>0.0</v>
      </c>
      <c r="O409" s="13" t="str">
        <f>IFERROR(N409/N446, "NA")</f>
        <v>NA</v>
      </c>
      <c r="P409" s="14"/>
      <c r="Q409" s="12">
        <v>0.0</v>
      </c>
      <c r="R409" s="13" t="str">
        <f>IFERROR(Q409/Q446, "NA")</f>
        <v>NA</v>
      </c>
      <c r="S409" s="14"/>
      <c r="T409" s="12">
        <v>0.0</v>
      </c>
      <c r="U409" s="13" t="str">
        <f>IFERROR(T409/T446, "NA")</f>
        <v>NA</v>
      </c>
      <c r="V409" s="14"/>
      <c r="W409" s="12">
        <v>0.0</v>
      </c>
      <c r="X409" s="13" t="str">
        <f>IFERROR(W409/W446, "NA")</f>
        <v>NA</v>
      </c>
      <c r="Y409" s="14"/>
      <c r="Z409" s="12">
        <v>0.0</v>
      </c>
      <c r="AA409" s="13" t="str">
        <f>IFERROR(Z409/Z446, "NA")</f>
        <v>NA</v>
      </c>
      <c r="AB409" s="14"/>
      <c r="AC409" s="12">
        <v>0.0</v>
      </c>
      <c r="AD409" s="13" t="str">
        <f>IFERROR(AC409/AC446, "NA")</f>
        <v>NA</v>
      </c>
      <c r="AE409" s="14"/>
      <c r="AF409" s="12">
        <v>0.0</v>
      </c>
      <c r="AG409" s="13" t="str">
        <f>IFERROR(AF409/AF446, "NA")</f>
        <v>NA</v>
      </c>
      <c r="AH409" s="14"/>
      <c r="AI409" s="12">
        <v>0.0</v>
      </c>
      <c r="AJ409" s="13" t="str">
        <f>IFERROR(AI409/AI446, "NA")</f>
        <v>NA</v>
      </c>
      <c r="AK409" s="12"/>
      <c r="AL409" s="15">
        <f t="shared" si="59"/>
        <v>0</v>
      </c>
      <c r="AM409" s="13" t="str">
        <f>IFERROR(AL409/AL446, "NA")</f>
        <v>NA</v>
      </c>
      <c r="AN409" s="12"/>
      <c r="AO409" s="12">
        <v>0.0</v>
      </c>
      <c r="AP409" s="13" t="str">
        <f>IFERROR(AO409/AO446, "NA")</f>
        <v>NA</v>
      </c>
      <c r="AQ409" s="12"/>
      <c r="AR409" s="15">
        <f t="shared" si="60"/>
        <v>0</v>
      </c>
    </row>
    <row r="410" ht="16.5" hidden="1" customHeight="1">
      <c r="A410" s="11" t="s">
        <v>752</v>
      </c>
      <c r="B410" s="12">
        <v>0.0</v>
      </c>
      <c r="C410" s="13" t="str">
        <f>IFERROR(B410/B446, "NA")</f>
        <v>NA</v>
      </c>
      <c r="D410" s="14"/>
      <c r="E410" s="12">
        <v>0.0</v>
      </c>
      <c r="F410" s="13" t="str">
        <f>IFERROR(E410/E446, "NA")</f>
        <v>NA</v>
      </c>
      <c r="G410" s="14"/>
      <c r="H410" s="12">
        <v>0.0</v>
      </c>
      <c r="I410" s="13" t="str">
        <f>IFERROR(H410/H446, "NA")</f>
        <v>NA</v>
      </c>
      <c r="J410" s="14"/>
      <c r="K410" s="12">
        <v>0.0</v>
      </c>
      <c r="L410" s="13" t="str">
        <f>IFERROR(K410/K446, "NA")</f>
        <v>NA</v>
      </c>
      <c r="M410" s="14"/>
      <c r="N410" s="12">
        <v>0.0</v>
      </c>
      <c r="O410" s="13" t="str">
        <f>IFERROR(N410/N446, "NA")</f>
        <v>NA</v>
      </c>
      <c r="P410" s="14"/>
      <c r="Q410" s="12">
        <v>0.0</v>
      </c>
      <c r="R410" s="13" t="str">
        <f>IFERROR(Q410/Q446, "NA")</f>
        <v>NA</v>
      </c>
      <c r="S410" s="14"/>
      <c r="T410" s="12">
        <v>0.0</v>
      </c>
      <c r="U410" s="13" t="str">
        <f>IFERROR(T410/T446, "NA")</f>
        <v>NA</v>
      </c>
      <c r="V410" s="14"/>
      <c r="W410" s="12">
        <v>0.0</v>
      </c>
      <c r="X410" s="13" t="str">
        <f>IFERROR(W410/W446, "NA")</f>
        <v>NA</v>
      </c>
      <c r="Y410" s="14"/>
      <c r="Z410" s="12">
        <v>0.0</v>
      </c>
      <c r="AA410" s="13" t="str">
        <f>IFERROR(Z410/Z446, "NA")</f>
        <v>NA</v>
      </c>
      <c r="AB410" s="14"/>
      <c r="AC410" s="12">
        <v>0.0</v>
      </c>
      <c r="AD410" s="13" t="str">
        <f>IFERROR(AC410/AC446, "NA")</f>
        <v>NA</v>
      </c>
      <c r="AE410" s="14"/>
      <c r="AF410" s="12">
        <v>0.0</v>
      </c>
      <c r="AG410" s="13" t="str">
        <f>IFERROR(AF410/AF446, "NA")</f>
        <v>NA</v>
      </c>
      <c r="AH410" s="14"/>
      <c r="AI410" s="12">
        <v>0.0</v>
      </c>
      <c r="AJ410" s="13" t="str">
        <f>IFERROR(AI410/AI446, "NA")</f>
        <v>NA</v>
      </c>
      <c r="AK410" s="12"/>
      <c r="AL410" s="15">
        <f t="shared" si="59"/>
        <v>0</v>
      </c>
      <c r="AM410" s="13" t="str">
        <f>IFERROR(AL410/AL446, "NA")</f>
        <v>NA</v>
      </c>
      <c r="AN410" s="12"/>
      <c r="AO410" s="12">
        <v>0.0</v>
      </c>
      <c r="AP410" s="13" t="str">
        <f>IFERROR(AO410/AO446, "NA")</f>
        <v>NA</v>
      </c>
      <c r="AQ410" s="12"/>
      <c r="AR410" s="15">
        <f t="shared" si="60"/>
        <v>0</v>
      </c>
    </row>
    <row r="411" ht="16.5" hidden="1" customHeight="1">
      <c r="A411" s="11" t="s">
        <v>753</v>
      </c>
      <c r="B411" s="12">
        <v>0.0</v>
      </c>
      <c r="C411" s="13" t="str">
        <f>IFERROR(B411/B446, "NA")</f>
        <v>NA</v>
      </c>
      <c r="D411" s="14"/>
      <c r="E411" s="12">
        <v>0.0</v>
      </c>
      <c r="F411" s="13" t="str">
        <f>IFERROR(E411/E446, "NA")</f>
        <v>NA</v>
      </c>
      <c r="G411" s="14"/>
      <c r="H411" s="12">
        <v>0.0</v>
      </c>
      <c r="I411" s="13" t="str">
        <f>IFERROR(H411/H446, "NA")</f>
        <v>NA</v>
      </c>
      <c r="J411" s="14"/>
      <c r="K411" s="12">
        <v>0.0</v>
      </c>
      <c r="L411" s="13" t="str">
        <f>IFERROR(K411/K446, "NA")</f>
        <v>NA</v>
      </c>
      <c r="M411" s="14"/>
      <c r="N411" s="12">
        <v>0.0</v>
      </c>
      <c r="O411" s="13" t="str">
        <f>IFERROR(N411/N446, "NA")</f>
        <v>NA</v>
      </c>
      <c r="P411" s="14"/>
      <c r="Q411" s="12">
        <v>0.0</v>
      </c>
      <c r="R411" s="13" t="str">
        <f>IFERROR(Q411/Q446, "NA")</f>
        <v>NA</v>
      </c>
      <c r="S411" s="14"/>
      <c r="T411" s="12">
        <v>0.0</v>
      </c>
      <c r="U411" s="13" t="str">
        <f>IFERROR(T411/T446, "NA")</f>
        <v>NA</v>
      </c>
      <c r="V411" s="14"/>
      <c r="W411" s="12">
        <v>0.0</v>
      </c>
      <c r="X411" s="13" t="str">
        <f>IFERROR(W411/W446, "NA")</f>
        <v>NA</v>
      </c>
      <c r="Y411" s="14"/>
      <c r="Z411" s="12">
        <v>0.0</v>
      </c>
      <c r="AA411" s="13" t="str">
        <f>IFERROR(Z411/Z446, "NA")</f>
        <v>NA</v>
      </c>
      <c r="AB411" s="14"/>
      <c r="AC411" s="12">
        <v>0.0</v>
      </c>
      <c r="AD411" s="13" t="str">
        <f>IFERROR(AC411/AC446, "NA")</f>
        <v>NA</v>
      </c>
      <c r="AE411" s="14"/>
      <c r="AF411" s="12">
        <v>0.0</v>
      </c>
      <c r="AG411" s="13" t="str">
        <f>IFERROR(AF411/AF446, "NA")</f>
        <v>NA</v>
      </c>
      <c r="AH411" s="14"/>
      <c r="AI411" s="12">
        <v>0.0</v>
      </c>
      <c r="AJ411" s="13" t="str">
        <f>IFERROR(AI411/AI446, "NA")</f>
        <v>NA</v>
      </c>
      <c r="AK411" s="12"/>
      <c r="AL411" s="15">
        <f t="shared" si="59"/>
        <v>0</v>
      </c>
      <c r="AM411" s="13" t="str">
        <f>IFERROR(AL411/AL446, "NA")</f>
        <v>NA</v>
      </c>
      <c r="AN411" s="12"/>
      <c r="AO411" s="12">
        <v>0.0</v>
      </c>
      <c r="AP411" s="13" t="str">
        <f>IFERROR(AO411/AO446, "NA")</f>
        <v>NA</v>
      </c>
      <c r="AQ411" s="12"/>
      <c r="AR411" s="15">
        <f t="shared" si="60"/>
        <v>0</v>
      </c>
    </row>
    <row r="412" ht="16.5" hidden="1" customHeight="1">
      <c r="A412" s="11" t="s">
        <v>754</v>
      </c>
      <c r="B412" s="12">
        <v>0.0</v>
      </c>
      <c r="C412" s="13" t="str">
        <f>IFERROR(B412/B446, "NA")</f>
        <v>NA</v>
      </c>
      <c r="D412" s="14"/>
      <c r="E412" s="12">
        <v>0.0</v>
      </c>
      <c r="F412" s="13" t="str">
        <f>IFERROR(E412/E446, "NA")</f>
        <v>NA</v>
      </c>
      <c r="G412" s="14"/>
      <c r="H412" s="12">
        <v>0.0</v>
      </c>
      <c r="I412" s="13" t="str">
        <f>IFERROR(H412/H446, "NA")</f>
        <v>NA</v>
      </c>
      <c r="J412" s="14"/>
      <c r="K412" s="12">
        <v>0.0</v>
      </c>
      <c r="L412" s="13" t="str">
        <f>IFERROR(K412/K446, "NA")</f>
        <v>NA</v>
      </c>
      <c r="M412" s="14"/>
      <c r="N412" s="12">
        <v>0.0</v>
      </c>
      <c r="O412" s="13" t="str">
        <f>IFERROR(N412/N446, "NA")</f>
        <v>NA</v>
      </c>
      <c r="P412" s="14"/>
      <c r="Q412" s="12">
        <v>0.0</v>
      </c>
      <c r="R412" s="13" t="str">
        <f>IFERROR(Q412/Q446, "NA")</f>
        <v>NA</v>
      </c>
      <c r="S412" s="14"/>
      <c r="T412" s="12">
        <v>0.0</v>
      </c>
      <c r="U412" s="13" t="str">
        <f>IFERROR(T412/T446, "NA")</f>
        <v>NA</v>
      </c>
      <c r="V412" s="14"/>
      <c r="W412" s="12">
        <v>0.0</v>
      </c>
      <c r="X412" s="13" t="str">
        <f>IFERROR(W412/W446, "NA")</f>
        <v>NA</v>
      </c>
      <c r="Y412" s="14"/>
      <c r="Z412" s="12">
        <v>0.0</v>
      </c>
      <c r="AA412" s="13" t="str">
        <f>IFERROR(Z412/Z446, "NA")</f>
        <v>NA</v>
      </c>
      <c r="AB412" s="14"/>
      <c r="AC412" s="12">
        <v>0.0</v>
      </c>
      <c r="AD412" s="13" t="str">
        <f>IFERROR(AC412/AC446, "NA")</f>
        <v>NA</v>
      </c>
      <c r="AE412" s="14"/>
      <c r="AF412" s="12">
        <v>0.0</v>
      </c>
      <c r="AG412" s="13" t="str">
        <f>IFERROR(AF412/AF446, "NA")</f>
        <v>NA</v>
      </c>
      <c r="AH412" s="14"/>
      <c r="AI412" s="12">
        <v>0.0</v>
      </c>
      <c r="AJ412" s="13" t="str">
        <f>IFERROR(AI412/AI446, "NA")</f>
        <v>NA</v>
      </c>
      <c r="AK412" s="12"/>
      <c r="AL412" s="15">
        <f t="shared" si="59"/>
        <v>0</v>
      </c>
      <c r="AM412" s="13" t="str">
        <f>IFERROR(AL412/AL446, "NA")</f>
        <v>NA</v>
      </c>
      <c r="AN412" s="12"/>
      <c r="AO412" s="12">
        <v>0.0</v>
      </c>
      <c r="AP412" s="13" t="str">
        <f>IFERROR(AO412/AO446, "NA")</f>
        <v>NA</v>
      </c>
      <c r="AQ412" s="12"/>
      <c r="AR412" s="15">
        <f t="shared" si="60"/>
        <v>0</v>
      </c>
    </row>
    <row r="413" ht="16.5" hidden="1" customHeight="1">
      <c r="A413" s="11" t="s">
        <v>755</v>
      </c>
      <c r="B413" s="12">
        <v>0.0</v>
      </c>
      <c r="C413" s="13" t="str">
        <f>IFERROR(B413/B446, "NA")</f>
        <v>NA</v>
      </c>
      <c r="D413" s="14"/>
      <c r="E413" s="12">
        <v>0.0</v>
      </c>
      <c r="F413" s="13" t="str">
        <f>IFERROR(E413/E446, "NA")</f>
        <v>NA</v>
      </c>
      <c r="G413" s="14"/>
      <c r="H413" s="12">
        <v>0.0</v>
      </c>
      <c r="I413" s="13" t="str">
        <f>IFERROR(H413/H446, "NA")</f>
        <v>NA</v>
      </c>
      <c r="J413" s="14"/>
      <c r="K413" s="12">
        <v>0.0</v>
      </c>
      <c r="L413" s="13" t="str">
        <f>IFERROR(K413/K446, "NA")</f>
        <v>NA</v>
      </c>
      <c r="M413" s="14"/>
      <c r="N413" s="12">
        <v>0.0</v>
      </c>
      <c r="O413" s="13" t="str">
        <f>IFERROR(N413/N446, "NA")</f>
        <v>NA</v>
      </c>
      <c r="P413" s="14"/>
      <c r="Q413" s="12">
        <v>0.0</v>
      </c>
      <c r="R413" s="13" t="str">
        <f>IFERROR(Q413/Q446, "NA")</f>
        <v>NA</v>
      </c>
      <c r="S413" s="14"/>
      <c r="T413" s="12">
        <v>0.0</v>
      </c>
      <c r="U413" s="13" t="str">
        <f>IFERROR(T413/T446, "NA")</f>
        <v>NA</v>
      </c>
      <c r="V413" s="14"/>
      <c r="W413" s="12">
        <v>0.0</v>
      </c>
      <c r="X413" s="13" t="str">
        <f>IFERROR(W413/W446, "NA")</f>
        <v>NA</v>
      </c>
      <c r="Y413" s="14"/>
      <c r="Z413" s="12">
        <v>0.0</v>
      </c>
      <c r="AA413" s="13" t="str">
        <f>IFERROR(Z413/Z446, "NA")</f>
        <v>NA</v>
      </c>
      <c r="AB413" s="14"/>
      <c r="AC413" s="12">
        <v>0.0</v>
      </c>
      <c r="AD413" s="13" t="str">
        <f>IFERROR(AC413/AC446, "NA")</f>
        <v>NA</v>
      </c>
      <c r="AE413" s="14"/>
      <c r="AF413" s="12">
        <v>0.0</v>
      </c>
      <c r="AG413" s="13" t="str">
        <f>IFERROR(AF413/AF446, "NA")</f>
        <v>NA</v>
      </c>
      <c r="AH413" s="14"/>
      <c r="AI413" s="12">
        <v>0.0</v>
      </c>
      <c r="AJ413" s="13" t="str">
        <f>IFERROR(AI413/AI446, "NA")</f>
        <v>NA</v>
      </c>
      <c r="AK413" s="12"/>
      <c r="AL413" s="15">
        <f t="shared" si="59"/>
        <v>0</v>
      </c>
      <c r="AM413" s="13" t="str">
        <f>IFERROR(AL413/AL446, "NA")</f>
        <v>NA</v>
      </c>
      <c r="AN413" s="12"/>
      <c r="AO413" s="12">
        <v>0.0</v>
      </c>
      <c r="AP413" s="13" t="str">
        <f>IFERROR(AO413/AO446, "NA")</f>
        <v>NA</v>
      </c>
      <c r="AQ413" s="12"/>
      <c r="AR413" s="15">
        <f t="shared" si="60"/>
        <v>0</v>
      </c>
    </row>
    <row r="414" ht="16.5" hidden="1" customHeight="1">
      <c r="A414" s="11" t="s">
        <v>756</v>
      </c>
      <c r="B414" s="12">
        <v>0.0</v>
      </c>
      <c r="C414" s="13" t="str">
        <f>IFERROR(B414/B446, "NA")</f>
        <v>NA</v>
      </c>
      <c r="D414" s="14"/>
      <c r="E414" s="12">
        <v>0.0</v>
      </c>
      <c r="F414" s="13" t="str">
        <f>IFERROR(E414/E446, "NA")</f>
        <v>NA</v>
      </c>
      <c r="G414" s="14"/>
      <c r="H414" s="12">
        <v>0.0</v>
      </c>
      <c r="I414" s="13" t="str">
        <f>IFERROR(H414/H446, "NA")</f>
        <v>NA</v>
      </c>
      <c r="J414" s="14"/>
      <c r="K414" s="12">
        <v>0.0</v>
      </c>
      <c r="L414" s="13" t="str">
        <f>IFERROR(K414/K446, "NA")</f>
        <v>NA</v>
      </c>
      <c r="M414" s="14"/>
      <c r="N414" s="12">
        <v>0.0</v>
      </c>
      <c r="O414" s="13" t="str">
        <f>IFERROR(N414/N446, "NA")</f>
        <v>NA</v>
      </c>
      <c r="P414" s="14"/>
      <c r="Q414" s="12">
        <v>0.0</v>
      </c>
      <c r="R414" s="13" t="str">
        <f>IFERROR(Q414/Q446, "NA")</f>
        <v>NA</v>
      </c>
      <c r="S414" s="14"/>
      <c r="T414" s="12">
        <v>0.0</v>
      </c>
      <c r="U414" s="13" t="str">
        <f>IFERROR(T414/T446, "NA")</f>
        <v>NA</v>
      </c>
      <c r="V414" s="14"/>
      <c r="W414" s="12">
        <v>0.0</v>
      </c>
      <c r="X414" s="13" t="str">
        <f>IFERROR(W414/W446, "NA")</f>
        <v>NA</v>
      </c>
      <c r="Y414" s="14"/>
      <c r="Z414" s="12">
        <v>0.0</v>
      </c>
      <c r="AA414" s="13" t="str">
        <f>IFERROR(Z414/Z446, "NA")</f>
        <v>NA</v>
      </c>
      <c r="AB414" s="14"/>
      <c r="AC414" s="12">
        <v>0.0</v>
      </c>
      <c r="AD414" s="13" t="str">
        <f>IFERROR(AC414/AC446, "NA")</f>
        <v>NA</v>
      </c>
      <c r="AE414" s="14"/>
      <c r="AF414" s="12">
        <v>0.0</v>
      </c>
      <c r="AG414" s="13" t="str">
        <f>IFERROR(AF414/AF446, "NA")</f>
        <v>NA</v>
      </c>
      <c r="AH414" s="14"/>
      <c r="AI414" s="12">
        <v>0.0</v>
      </c>
      <c r="AJ414" s="13" t="str">
        <f>IFERROR(AI414/AI446, "NA")</f>
        <v>NA</v>
      </c>
      <c r="AK414" s="12"/>
      <c r="AL414" s="15">
        <f t="shared" si="59"/>
        <v>0</v>
      </c>
      <c r="AM414" s="13" t="str">
        <f>IFERROR(AL414/AL446, "NA")</f>
        <v>NA</v>
      </c>
      <c r="AN414" s="12"/>
      <c r="AO414" s="12">
        <v>0.0</v>
      </c>
      <c r="AP414" s="13" t="str">
        <f>IFERROR(AO414/AO446, "NA")</f>
        <v>NA</v>
      </c>
      <c r="AQ414" s="12"/>
      <c r="AR414" s="15">
        <f t="shared" si="60"/>
        <v>0</v>
      </c>
    </row>
    <row r="415" ht="16.5" hidden="1" customHeight="1">
      <c r="A415" s="11" t="s">
        <v>757</v>
      </c>
      <c r="B415" s="12">
        <v>0.0</v>
      </c>
      <c r="C415" s="13" t="str">
        <f>IFERROR(B415/B446, "NA")</f>
        <v>NA</v>
      </c>
      <c r="D415" s="14"/>
      <c r="E415" s="12">
        <v>0.0</v>
      </c>
      <c r="F415" s="13" t="str">
        <f>IFERROR(E415/E446, "NA")</f>
        <v>NA</v>
      </c>
      <c r="G415" s="14"/>
      <c r="H415" s="12">
        <v>0.0</v>
      </c>
      <c r="I415" s="13" t="str">
        <f>IFERROR(H415/H446, "NA")</f>
        <v>NA</v>
      </c>
      <c r="J415" s="14"/>
      <c r="K415" s="12">
        <v>0.0</v>
      </c>
      <c r="L415" s="13" t="str">
        <f>IFERROR(K415/K446, "NA")</f>
        <v>NA</v>
      </c>
      <c r="M415" s="14"/>
      <c r="N415" s="12">
        <v>0.0</v>
      </c>
      <c r="O415" s="13" t="str">
        <f>IFERROR(N415/N446, "NA")</f>
        <v>NA</v>
      </c>
      <c r="P415" s="14"/>
      <c r="Q415" s="12">
        <v>0.0</v>
      </c>
      <c r="R415" s="13" t="str">
        <f>IFERROR(Q415/Q446, "NA")</f>
        <v>NA</v>
      </c>
      <c r="S415" s="14"/>
      <c r="T415" s="12">
        <v>0.0</v>
      </c>
      <c r="U415" s="13" t="str">
        <f>IFERROR(T415/T446, "NA")</f>
        <v>NA</v>
      </c>
      <c r="V415" s="14"/>
      <c r="W415" s="12">
        <v>0.0</v>
      </c>
      <c r="X415" s="13" t="str">
        <f>IFERROR(W415/W446, "NA")</f>
        <v>NA</v>
      </c>
      <c r="Y415" s="14"/>
      <c r="Z415" s="12">
        <v>0.0</v>
      </c>
      <c r="AA415" s="13" t="str">
        <f>IFERROR(Z415/Z446, "NA")</f>
        <v>NA</v>
      </c>
      <c r="AB415" s="14"/>
      <c r="AC415" s="12">
        <v>0.0</v>
      </c>
      <c r="AD415" s="13" t="str">
        <f>IFERROR(AC415/AC446, "NA")</f>
        <v>NA</v>
      </c>
      <c r="AE415" s="14"/>
      <c r="AF415" s="12">
        <v>0.0</v>
      </c>
      <c r="AG415" s="13" t="str">
        <f>IFERROR(AF415/AF446, "NA")</f>
        <v>NA</v>
      </c>
      <c r="AH415" s="14"/>
      <c r="AI415" s="12">
        <v>0.0</v>
      </c>
      <c r="AJ415" s="13" t="str">
        <f>IFERROR(AI415/AI446, "NA")</f>
        <v>NA</v>
      </c>
      <c r="AK415" s="12"/>
      <c r="AL415" s="15">
        <f t="shared" si="59"/>
        <v>0</v>
      </c>
      <c r="AM415" s="13" t="str">
        <f>IFERROR(AL415/AL446, "NA")</f>
        <v>NA</v>
      </c>
      <c r="AN415" s="12"/>
      <c r="AO415" s="12">
        <v>0.0</v>
      </c>
      <c r="AP415" s="13" t="str">
        <f>IFERROR(AO415/AO446, "NA")</f>
        <v>NA</v>
      </c>
      <c r="AQ415" s="12"/>
      <c r="AR415" s="15">
        <f t="shared" si="60"/>
        <v>0</v>
      </c>
    </row>
    <row r="416" ht="16.5" hidden="1" customHeight="1">
      <c r="A416" s="11" t="s">
        <v>758</v>
      </c>
      <c r="B416" s="12">
        <v>0.0</v>
      </c>
      <c r="C416" s="13" t="str">
        <f>IFERROR(B416/B446, "NA")</f>
        <v>NA</v>
      </c>
      <c r="D416" s="14"/>
      <c r="E416" s="12">
        <v>0.0</v>
      </c>
      <c r="F416" s="13" t="str">
        <f>IFERROR(E416/E446, "NA")</f>
        <v>NA</v>
      </c>
      <c r="G416" s="14"/>
      <c r="H416" s="12">
        <v>0.0</v>
      </c>
      <c r="I416" s="13" t="str">
        <f>IFERROR(H416/H446, "NA")</f>
        <v>NA</v>
      </c>
      <c r="J416" s="14"/>
      <c r="K416" s="12">
        <v>0.0</v>
      </c>
      <c r="L416" s="13" t="str">
        <f>IFERROR(K416/K446, "NA")</f>
        <v>NA</v>
      </c>
      <c r="M416" s="14"/>
      <c r="N416" s="12">
        <v>0.0</v>
      </c>
      <c r="O416" s="13" t="str">
        <f>IFERROR(N416/N446, "NA")</f>
        <v>NA</v>
      </c>
      <c r="P416" s="14"/>
      <c r="Q416" s="12">
        <v>0.0</v>
      </c>
      <c r="R416" s="13" t="str">
        <f>IFERROR(Q416/Q446, "NA")</f>
        <v>NA</v>
      </c>
      <c r="S416" s="14"/>
      <c r="T416" s="12">
        <v>0.0</v>
      </c>
      <c r="U416" s="13" t="str">
        <f>IFERROR(T416/T446, "NA")</f>
        <v>NA</v>
      </c>
      <c r="V416" s="14"/>
      <c r="W416" s="12">
        <v>0.0</v>
      </c>
      <c r="X416" s="13" t="str">
        <f>IFERROR(W416/W446, "NA")</f>
        <v>NA</v>
      </c>
      <c r="Y416" s="14"/>
      <c r="Z416" s="12">
        <v>0.0</v>
      </c>
      <c r="AA416" s="13" t="str">
        <f>IFERROR(Z416/Z446, "NA")</f>
        <v>NA</v>
      </c>
      <c r="AB416" s="14"/>
      <c r="AC416" s="12">
        <v>0.0</v>
      </c>
      <c r="AD416" s="13" t="str">
        <f>IFERROR(AC416/AC446, "NA")</f>
        <v>NA</v>
      </c>
      <c r="AE416" s="14"/>
      <c r="AF416" s="12">
        <v>0.0</v>
      </c>
      <c r="AG416" s="13" t="str">
        <f>IFERROR(AF416/AF446, "NA")</f>
        <v>NA</v>
      </c>
      <c r="AH416" s="14"/>
      <c r="AI416" s="12">
        <v>0.0</v>
      </c>
      <c r="AJ416" s="13" t="str">
        <f>IFERROR(AI416/AI446, "NA")</f>
        <v>NA</v>
      </c>
      <c r="AK416" s="12"/>
      <c r="AL416" s="15">
        <f t="shared" si="59"/>
        <v>0</v>
      </c>
      <c r="AM416" s="13" t="str">
        <f>IFERROR(AL416/AL446, "NA")</f>
        <v>NA</v>
      </c>
      <c r="AN416" s="12"/>
      <c r="AO416" s="12">
        <v>0.0</v>
      </c>
      <c r="AP416" s="13" t="str">
        <f>IFERROR(AO416/AO446, "NA")</f>
        <v>NA</v>
      </c>
      <c r="AQ416" s="12"/>
      <c r="AR416" s="15">
        <f t="shared" si="60"/>
        <v>0</v>
      </c>
    </row>
    <row r="417" ht="16.5" hidden="1" customHeight="1">
      <c r="A417" s="11" t="s">
        <v>759</v>
      </c>
      <c r="B417" s="12">
        <v>0.0</v>
      </c>
      <c r="C417" s="13" t="str">
        <f>IFERROR(B417/B446, "NA")</f>
        <v>NA</v>
      </c>
      <c r="D417" s="14"/>
      <c r="E417" s="12">
        <v>0.0</v>
      </c>
      <c r="F417" s="13" t="str">
        <f>IFERROR(E417/E446, "NA")</f>
        <v>NA</v>
      </c>
      <c r="G417" s="14"/>
      <c r="H417" s="12">
        <v>0.0</v>
      </c>
      <c r="I417" s="13" t="str">
        <f>IFERROR(H417/H446, "NA")</f>
        <v>NA</v>
      </c>
      <c r="J417" s="14"/>
      <c r="K417" s="12">
        <v>0.0</v>
      </c>
      <c r="L417" s="13" t="str">
        <f>IFERROR(K417/K446, "NA")</f>
        <v>NA</v>
      </c>
      <c r="M417" s="14"/>
      <c r="N417" s="12">
        <v>0.0</v>
      </c>
      <c r="O417" s="13" t="str">
        <f>IFERROR(N417/N446, "NA")</f>
        <v>NA</v>
      </c>
      <c r="P417" s="14"/>
      <c r="Q417" s="12">
        <v>0.0</v>
      </c>
      <c r="R417" s="13" t="str">
        <f>IFERROR(Q417/Q446, "NA")</f>
        <v>NA</v>
      </c>
      <c r="S417" s="14"/>
      <c r="T417" s="12">
        <v>0.0</v>
      </c>
      <c r="U417" s="13" t="str">
        <f>IFERROR(T417/T446, "NA")</f>
        <v>NA</v>
      </c>
      <c r="V417" s="14"/>
      <c r="W417" s="12">
        <v>0.0</v>
      </c>
      <c r="X417" s="13" t="str">
        <f>IFERROR(W417/W446, "NA")</f>
        <v>NA</v>
      </c>
      <c r="Y417" s="14"/>
      <c r="Z417" s="12">
        <v>0.0</v>
      </c>
      <c r="AA417" s="13" t="str">
        <f>IFERROR(Z417/Z446, "NA")</f>
        <v>NA</v>
      </c>
      <c r="AB417" s="14"/>
      <c r="AC417" s="12">
        <v>0.0</v>
      </c>
      <c r="AD417" s="13" t="str">
        <f>IFERROR(AC417/AC446, "NA")</f>
        <v>NA</v>
      </c>
      <c r="AE417" s="14"/>
      <c r="AF417" s="12">
        <v>0.0</v>
      </c>
      <c r="AG417" s="13" t="str">
        <f>IFERROR(AF417/AF446, "NA")</f>
        <v>NA</v>
      </c>
      <c r="AH417" s="14"/>
      <c r="AI417" s="12">
        <v>0.0</v>
      </c>
      <c r="AJ417" s="13" t="str">
        <f>IFERROR(AI417/AI446, "NA")</f>
        <v>NA</v>
      </c>
      <c r="AK417" s="12"/>
      <c r="AL417" s="15">
        <f t="shared" si="59"/>
        <v>0</v>
      </c>
      <c r="AM417" s="13" t="str">
        <f>IFERROR(AL417/AL446, "NA")</f>
        <v>NA</v>
      </c>
      <c r="AN417" s="12"/>
      <c r="AO417" s="12">
        <v>0.0</v>
      </c>
      <c r="AP417" s="13" t="str">
        <f>IFERROR(AO417/AO446, "NA")</f>
        <v>NA</v>
      </c>
      <c r="AQ417" s="12"/>
      <c r="AR417" s="15">
        <f t="shared" si="60"/>
        <v>0</v>
      </c>
    </row>
    <row r="418" ht="16.5" hidden="1" customHeight="1">
      <c r="A418" s="11" t="s">
        <v>760</v>
      </c>
      <c r="B418" s="12">
        <v>0.0</v>
      </c>
      <c r="C418" s="13" t="str">
        <f>IFERROR(B418/B446, "NA")</f>
        <v>NA</v>
      </c>
      <c r="D418" s="14"/>
      <c r="E418" s="12">
        <v>0.0</v>
      </c>
      <c r="F418" s="13" t="str">
        <f>IFERROR(E418/E446, "NA")</f>
        <v>NA</v>
      </c>
      <c r="G418" s="14"/>
      <c r="H418" s="12">
        <v>0.0</v>
      </c>
      <c r="I418" s="13" t="str">
        <f>IFERROR(H418/H446, "NA")</f>
        <v>NA</v>
      </c>
      <c r="J418" s="14"/>
      <c r="K418" s="12">
        <v>0.0</v>
      </c>
      <c r="L418" s="13" t="str">
        <f>IFERROR(K418/K446, "NA")</f>
        <v>NA</v>
      </c>
      <c r="M418" s="14"/>
      <c r="N418" s="12">
        <v>0.0</v>
      </c>
      <c r="O418" s="13" t="str">
        <f>IFERROR(N418/N446, "NA")</f>
        <v>NA</v>
      </c>
      <c r="P418" s="14"/>
      <c r="Q418" s="12">
        <v>0.0</v>
      </c>
      <c r="R418" s="13" t="str">
        <f>IFERROR(Q418/Q446, "NA")</f>
        <v>NA</v>
      </c>
      <c r="S418" s="14"/>
      <c r="T418" s="12">
        <v>0.0</v>
      </c>
      <c r="U418" s="13" t="str">
        <f>IFERROR(T418/T446, "NA")</f>
        <v>NA</v>
      </c>
      <c r="V418" s="14"/>
      <c r="W418" s="12">
        <v>0.0</v>
      </c>
      <c r="X418" s="13" t="str">
        <f>IFERROR(W418/W446, "NA")</f>
        <v>NA</v>
      </c>
      <c r="Y418" s="14"/>
      <c r="Z418" s="12">
        <v>0.0</v>
      </c>
      <c r="AA418" s="13" t="str">
        <f>IFERROR(Z418/Z446, "NA")</f>
        <v>NA</v>
      </c>
      <c r="AB418" s="14"/>
      <c r="AC418" s="12">
        <v>0.0</v>
      </c>
      <c r="AD418" s="13" t="str">
        <f>IFERROR(AC418/AC446, "NA")</f>
        <v>NA</v>
      </c>
      <c r="AE418" s="14"/>
      <c r="AF418" s="12">
        <v>0.0</v>
      </c>
      <c r="AG418" s="13" t="str">
        <f>IFERROR(AF418/AF446, "NA")</f>
        <v>NA</v>
      </c>
      <c r="AH418" s="14"/>
      <c r="AI418" s="12">
        <v>0.0</v>
      </c>
      <c r="AJ418" s="13" t="str">
        <f>IFERROR(AI418/AI446, "NA")</f>
        <v>NA</v>
      </c>
      <c r="AK418" s="12"/>
      <c r="AL418" s="15">
        <f t="shared" si="59"/>
        <v>0</v>
      </c>
      <c r="AM418" s="13" t="str">
        <f>IFERROR(AL418/AL446, "NA")</f>
        <v>NA</v>
      </c>
      <c r="AN418" s="12"/>
      <c r="AO418" s="12">
        <v>0.0</v>
      </c>
      <c r="AP418" s="13" t="str">
        <f>IFERROR(AO418/AO446, "NA")</f>
        <v>NA</v>
      </c>
      <c r="AQ418" s="12"/>
      <c r="AR418" s="15">
        <f t="shared" si="60"/>
        <v>0</v>
      </c>
    </row>
    <row r="419" ht="16.5" hidden="1" customHeight="1">
      <c r="A419" s="11" t="s">
        <v>761</v>
      </c>
      <c r="B419" s="12">
        <v>0.0</v>
      </c>
      <c r="C419" s="13" t="str">
        <f>IFERROR(B419/B446, "NA")</f>
        <v>NA</v>
      </c>
      <c r="D419" s="14"/>
      <c r="E419" s="12">
        <v>0.0</v>
      </c>
      <c r="F419" s="13" t="str">
        <f>IFERROR(E419/E446, "NA")</f>
        <v>NA</v>
      </c>
      <c r="G419" s="14"/>
      <c r="H419" s="12">
        <v>0.0</v>
      </c>
      <c r="I419" s="13" t="str">
        <f>IFERROR(H419/H446, "NA")</f>
        <v>NA</v>
      </c>
      <c r="J419" s="14"/>
      <c r="K419" s="12">
        <v>0.0</v>
      </c>
      <c r="L419" s="13" t="str">
        <f>IFERROR(K419/K446, "NA")</f>
        <v>NA</v>
      </c>
      <c r="M419" s="14"/>
      <c r="N419" s="12">
        <v>0.0</v>
      </c>
      <c r="O419" s="13" t="str">
        <f>IFERROR(N419/N446, "NA")</f>
        <v>NA</v>
      </c>
      <c r="P419" s="14"/>
      <c r="Q419" s="12">
        <v>0.0</v>
      </c>
      <c r="R419" s="13" t="str">
        <f>IFERROR(Q419/Q446, "NA")</f>
        <v>NA</v>
      </c>
      <c r="S419" s="14"/>
      <c r="T419" s="12">
        <v>0.0</v>
      </c>
      <c r="U419" s="13" t="str">
        <f>IFERROR(T419/T446, "NA")</f>
        <v>NA</v>
      </c>
      <c r="V419" s="14"/>
      <c r="W419" s="12">
        <v>0.0</v>
      </c>
      <c r="X419" s="13" t="str">
        <f>IFERROR(W419/W446, "NA")</f>
        <v>NA</v>
      </c>
      <c r="Y419" s="14"/>
      <c r="Z419" s="12">
        <v>0.0</v>
      </c>
      <c r="AA419" s="13" t="str">
        <f>IFERROR(Z419/Z446, "NA")</f>
        <v>NA</v>
      </c>
      <c r="AB419" s="14"/>
      <c r="AC419" s="12">
        <v>0.0</v>
      </c>
      <c r="AD419" s="13" t="str">
        <f>IFERROR(AC419/AC446, "NA")</f>
        <v>NA</v>
      </c>
      <c r="AE419" s="14"/>
      <c r="AF419" s="12">
        <v>0.0</v>
      </c>
      <c r="AG419" s="13" t="str">
        <f>IFERROR(AF419/AF446, "NA")</f>
        <v>NA</v>
      </c>
      <c r="AH419" s="14"/>
      <c r="AI419" s="12">
        <v>0.0</v>
      </c>
      <c r="AJ419" s="13" t="str">
        <f>IFERROR(AI419/AI446, "NA")</f>
        <v>NA</v>
      </c>
      <c r="AK419" s="12"/>
      <c r="AL419" s="15">
        <f t="shared" si="59"/>
        <v>0</v>
      </c>
      <c r="AM419" s="13" t="str">
        <f>IFERROR(AL419/AL446, "NA")</f>
        <v>NA</v>
      </c>
      <c r="AN419" s="12"/>
      <c r="AO419" s="12">
        <v>0.0</v>
      </c>
      <c r="AP419" s="13" t="str">
        <f>IFERROR(AO419/AO446, "NA")</f>
        <v>NA</v>
      </c>
      <c r="AQ419" s="12"/>
      <c r="AR419" s="15">
        <f t="shared" si="60"/>
        <v>0</v>
      </c>
    </row>
    <row r="420" ht="16.5" hidden="1" customHeight="1">
      <c r="A420" s="11" t="s">
        <v>762</v>
      </c>
      <c r="B420" s="12">
        <v>0.0</v>
      </c>
      <c r="C420" s="13" t="str">
        <f>IFERROR(B420/B446, "NA")</f>
        <v>NA</v>
      </c>
      <c r="D420" s="14"/>
      <c r="E420" s="12">
        <v>0.0</v>
      </c>
      <c r="F420" s="13" t="str">
        <f>IFERROR(E420/E446, "NA")</f>
        <v>NA</v>
      </c>
      <c r="G420" s="14"/>
      <c r="H420" s="12">
        <v>0.0</v>
      </c>
      <c r="I420" s="13" t="str">
        <f>IFERROR(H420/H446, "NA")</f>
        <v>NA</v>
      </c>
      <c r="J420" s="14"/>
      <c r="K420" s="12">
        <v>0.0</v>
      </c>
      <c r="L420" s="13" t="str">
        <f>IFERROR(K420/K446, "NA")</f>
        <v>NA</v>
      </c>
      <c r="M420" s="14"/>
      <c r="N420" s="12">
        <v>0.0</v>
      </c>
      <c r="O420" s="13" t="str">
        <f>IFERROR(N420/N446, "NA")</f>
        <v>NA</v>
      </c>
      <c r="P420" s="14"/>
      <c r="Q420" s="12">
        <v>0.0</v>
      </c>
      <c r="R420" s="13" t="str">
        <f>IFERROR(Q420/Q446, "NA")</f>
        <v>NA</v>
      </c>
      <c r="S420" s="14"/>
      <c r="T420" s="12">
        <v>0.0</v>
      </c>
      <c r="U420" s="13" t="str">
        <f>IFERROR(T420/T446, "NA")</f>
        <v>NA</v>
      </c>
      <c r="V420" s="14"/>
      <c r="W420" s="12">
        <v>0.0</v>
      </c>
      <c r="X420" s="13" t="str">
        <f>IFERROR(W420/W446, "NA")</f>
        <v>NA</v>
      </c>
      <c r="Y420" s="14"/>
      <c r="Z420" s="12">
        <v>0.0</v>
      </c>
      <c r="AA420" s="13" t="str">
        <f>IFERROR(Z420/Z446, "NA")</f>
        <v>NA</v>
      </c>
      <c r="AB420" s="14"/>
      <c r="AC420" s="12">
        <v>0.0</v>
      </c>
      <c r="AD420" s="13" t="str">
        <f>IFERROR(AC420/AC446, "NA")</f>
        <v>NA</v>
      </c>
      <c r="AE420" s="14"/>
      <c r="AF420" s="12">
        <v>0.0</v>
      </c>
      <c r="AG420" s="13" t="str">
        <f>IFERROR(AF420/AF446, "NA")</f>
        <v>NA</v>
      </c>
      <c r="AH420" s="14"/>
      <c r="AI420" s="12">
        <v>0.0</v>
      </c>
      <c r="AJ420" s="13" t="str">
        <f>IFERROR(AI420/AI446, "NA")</f>
        <v>NA</v>
      </c>
      <c r="AK420" s="12"/>
      <c r="AL420" s="15">
        <f t="shared" si="59"/>
        <v>0</v>
      </c>
      <c r="AM420" s="13" t="str">
        <f>IFERROR(AL420/AL446, "NA")</f>
        <v>NA</v>
      </c>
      <c r="AN420" s="12"/>
      <c r="AO420" s="12">
        <v>0.0</v>
      </c>
      <c r="AP420" s="13" t="str">
        <f>IFERROR(AO420/AO446, "NA")</f>
        <v>NA</v>
      </c>
      <c r="AQ420" s="12"/>
      <c r="AR420" s="15">
        <f t="shared" si="60"/>
        <v>0</v>
      </c>
    </row>
    <row r="421" ht="16.5" hidden="1" customHeight="1">
      <c r="A421" s="11" t="s">
        <v>763</v>
      </c>
      <c r="B421" s="12">
        <v>0.0</v>
      </c>
      <c r="C421" s="13" t="str">
        <f>IFERROR(B421/B446, "NA")</f>
        <v>NA</v>
      </c>
      <c r="D421" s="14"/>
      <c r="E421" s="12">
        <v>0.0</v>
      </c>
      <c r="F421" s="13" t="str">
        <f>IFERROR(E421/E446, "NA")</f>
        <v>NA</v>
      </c>
      <c r="G421" s="14"/>
      <c r="H421" s="12">
        <v>0.0</v>
      </c>
      <c r="I421" s="13" t="str">
        <f>IFERROR(H421/H446, "NA")</f>
        <v>NA</v>
      </c>
      <c r="J421" s="14"/>
      <c r="K421" s="12">
        <v>0.0</v>
      </c>
      <c r="L421" s="13" t="str">
        <f>IFERROR(K421/K446, "NA")</f>
        <v>NA</v>
      </c>
      <c r="M421" s="14"/>
      <c r="N421" s="12">
        <v>0.0</v>
      </c>
      <c r="O421" s="13" t="str">
        <f>IFERROR(N421/N446, "NA")</f>
        <v>NA</v>
      </c>
      <c r="P421" s="14"/>
      <c r="Q421" s="12">
        <v>0.0</v>
      </c>
      <c r="R421" s="13" t="str">
        <f>IFERROR(Q421/Q446, "NA")</f>
        <v>NA</v>
      </c>
      <c r="S421" s="14"/>
      <c r="T421" s="12">
        <v>0.0</v>
      </c>
      <c r="U421" s="13" t="str">
        <f>IFERROR(T421/T446, "NA")</f>
        <v>NA</v>
      </c>
      <c r="V421" s="14"/>
      <c r="W421" s="12">
        <v>0.0</v>
      </c>
      <c r="X421" s="13" t="str">
        <f>IFERROR(W421/W446, "NA")</f>
        <v>NA</v>
      </c>
      <c r="Y421" s="14"/>
      <c r="Z421" s="12">
        <v>0.0</v>
      </c>
      <c r="AA421" s="13" t="str">
        <f>IFERROR(Z421/Z446, "NA")</f>
        <v>NA</v>
      </c>
      <c r="AB421" s="14"/>
      <c r="AC421" s="12">
        <v>0.0</v>
      </c>
      <c r="AD421" s="13" t="str">
        <f>IFERROR(AC421/AC446, "NA")</f>
        <v>NA</v>
      </c>
      <c r="AE421" s="14"/>
      <c r="AF421" s="12">
        <v>0.0</v>
      </c>
      <c r="AG421" s="13" t="str">
        <f>IFERROR(AF421/AF446, "NA")</f>
        <v>NA</v>
      </c>
      <c r="AH421" s="14"/>
      <c r="AI421" s="12">
        <v>0.0</v>
      </c>
      <c r="AJ421" s="13" t="str">
        <f>IFERROR(AI421/AI446, "NA")</f>
        <v>NA</v>
      </c>
      <c r="AK421" s="12"/>
      <c r="AL421" s="15">
        <f t="shared" si="59"/>
        <v>0</v>
      </c>
      <c r="AM421" s="13" t="str">
        <f>IFERROR(AL421/AL446, "NA")</f>
        <v>NA</v>
      </c>
      <c r="AN421" s="12"/>
      <c r="AO421" s="12">
        <v>0.0</v>
      </c>
      <c r="AP421" s="13" t="str">
        <f>IFERROR(AO421/AO446, "NA")</f>
        <v>NA</v>
      </c>
      <c r="AQ421" s="12"/>
      <c r="AR421" s="15">
        <f t="shared" si="60"/>
        <v>0</v>
      </c>
    </row>
    <row r="422" ht="16.5" hidden="1" customHeight="1">
      <c r="A422" s="11" t="s">
        <v>764</v>
      </c>
      <c r="B422" s="12">
        <v>0.0</v>
      </c>
      <c r="C422" s="13" t="str">
        <f>IFERROR(B422/B446, "NA")</f>
        <v>NA</v>
      </c>
      <c r="D422" s="14"/>
      <c r="E422" s="12">
        <v>0.0</v>
      </c>
      <c r="F422" s="13" t="str">
        <f>IFERROR(E422/E446, "NA")</f>
        <v>NA</v>
      </c>
      <c r="G422" s="14"/>
      <c r="H422" s="12">
        <v>0.0</v>
      </c>
      <c r="I422" s="13" t="str">
        <f>IFERROR(H422/H446, "NA")</f>
        <v>NA</v>
      </c>
      <c r="J422" s="14"/>
      <c r="K422" s="12">
        <v>0.0</v>
      </c>
      <c r="L422" s="13" t="str">
        <f>IFERROR(K422/K446, "NA")</f>
        <v>NA</v>
      </c>
      <c r="M422" s="14"/>
      <c r="N422" s="12">
        <v>0.0</v>
      </c>
      <c r="O422" s="13" t="str">
        <f>IFERROR(N422/N446, "NA")</f>
        <v>NA</v>
      </c>
      <c r="P422" s="14"/>
      <c r="Q422" s="12">
        <v>0.0</v>
      </c>
      <c r="R422" s="13" t="str">
        <f>IFERROR(Q422/Q446, "NA")</f>
        <v>NA</v>
      </c>
      <c r="S422" s="14"/>
      <c r="T422" s="12">
        <v>0.0</v>
      </c>
      <c r="U422" s="13" t="str">
        <f>IFERROR(T422/T446, "NA")</f>
        <v>NA</v>
      </c>
      <c r="V422" s="14"/>
      <c r="W422" s="12">
        <v>0.0</v>
      </c>
      <c r="X422" s="13" t="str">
        <f>IFERROR(W422/W446, "NA")</f>
        <v>NA</v>
      </c>
      <c r="Y422" s="14"/>
      <c r="Z422" s="12">
        <v>0.0</v>
      </c>
      <c r="AA422" s="13" t="str">
        <f>IFERROR(Z422/Z446, "NA")</f>
        <v>NA</v>
      </c>
      <c r="AB422" s="14"/>
      <c r="AC422" s="12">
        <v>0.0</v>
      </c>
      <c r="AD422" s="13" t="str">
        <f>IFERROR(AC422/AC446, "NA")</f>
        <v>NA</v>
      </c>
      <c r="AE422" s="14"/>
      <c r="AF422" s="12">
        <v>0.0</v>
      </c>
      <c r="AG422" s="13" t="str">
        <f>IFERROR(AF422/AF446, "NA")</f>
        <v>NA</v>
      </c>
      <c r="AH422" s="14"/>
      <c r="AI422" s="12">
        <v>0.0</v>
      </c>
      <c r="AJ422" s="13" t="str">
        <f>IFERROR(AI422/AI446, "NA")</f>
        <v>NA</v>
      </c>
      <c r="AK422" s="12"/>
      <c r="AL422" s="15">
        <f t="shared" si="59"/>
        <v>0</v>
      </c>
      <c r="AM422" s="13" t="str">
        <f>IFERROR(AL422/AL446, "NA")</f>
        <v>NA</v>
      </c>
      <c r="AN422" s="12"/>
      <c r="AO422" s="12">
        <v>0.0</v>
      </c>
      <c r="AP422" s="13" t="str">
        <f>IFERROR(AO422/AO446, "NA")</f>
        <v>NA</v>
      </c>
      <c r="AQ422" s="12"/>
      <c r="AR422" s="15">
        <f t="shared" si="60"/>
        <v>0</v>
      </c>
    </row>
    <row r="423" ht="30.75" hidden="1" customHeight="1">
      <c r="A423" s="11" t="s">
        <v>765</v>
      </c>
      <c r="B423" s="12">
        <v>0.0</v>
      </c>
      <c r="C423" s="13" t="str">
        <f>IFERROR(B423/B446, "NA")</f>
        <v>NA</v>
      </c>
      <c r="D423" s="14"/>
      <c r="E423" s="12">
        <v>0.0</v>
      </c>
      <c r="F423" s="13" t="str">
        <f>IFERROR(E423/E446, "NA")</f>
        <v>NA</v>
      </c>
      <c r="G423" s="14"/>
      <c r="H423" s="12">
        <v>0.0</v>
      </c>
      <c r="I423" s="13" t="str">
        <f>IFERROR(H423/H446, "NA")</f>
        <v>NA</v>
      </c>
      <c r="J423" s="14"/>
      <c r="K423" s="12">
        <v>0.0</v>
      </c>
      <c r="L423" s="13" t="str">
        <f>IFERROR(K423/K446, "NA")</f>
        <v>NA</v>
      </c>
      <c r="M423" s="14"/>
      <c r="N423" s="12">
        <v>0.0</v>
      </c>
      <c r="O423" s="13" t="str">
        <f>IFERROR(N423/N446, "NA")</f>
        <v>NA</v>
      </c>
      <c r="P423" s="14"/>
      <c r="Q423" s="12">
        <v>0.0</v>
      </c>
      <c r="R423" s="13" t="str">
        <f>IFERROR(Q423/Q446, "NA")</f>
        <v>NA</v>
      </c>
      <c r="S423" s="14"/>
      <c r="T423" s="12">
        <v>0.0</v>
      </c>
      <c r="U423" s="13" t="str">
        <f>IFERROR(T423/T446, "NA")</f>
        <v>NA</v>
      </c>
      <c r="V423" s="14"/>
      <c r="W423" s="12">
        <v>0.0</v>
      </c>
      <c r="X423" s="13" t="str">
        <f>IFERROR(W423/W446, "NA")</f>
        <v>NA</v>
      </c>
      <c r="Y423" s="14"/>
      <c r="Z423" s="12">
        <v>0.0</v>
      </c>
      <c r="AA423" s="13" t="str">
        <f>IFERROR(Z423/Z446, "NA")</f>
        <v>NA</v>
      </c>
      <c r="AB423" s="14"/>
      <c r="AC423" s="12">
        <v>0.0</v>
      </c>
      <c r="AD423" s="13" t="str">
        <f>IFERROR(AC423/AC446, "NA")</f>
        <v>NA</v>
      </c>
      <c r="AE423" s="14"/>
      <c r="AF423" s="12">
        <v>0.0</v>
      </c>
      <c r="AG423" s="13" t="str">
        <f>IFERROR(AF423/AF446, "NA")</f>
        <v>NA</v>
      </c>
      <c r="AH423" s="14"/>
      <c r="AI423" s="12">
        <v>0.0</v>
      </c>
      <c r="AJ423" s="13" t="str">
        <f>IFERROR(AI423/AI446, "NA")</f>
        <v>NA</v>
      </c>
      <c r="AK423" s="12"/>
      <c r="AL423" s="15">
        <f t="shared" si="59"/>
        <v>0</v>
      </c>
      <c r="AM423" s="13" t="str">
        <f>IFERROR(AL423/AL446, "NA")</f>
        <v>NA</v>
      </c>
      <c r="AN423" s="12"/>
      <c r="AO423" s="12">
        <v>0.0</v>
      </c>
      <c r="AP423" s="13" t="str">
        <f>IFERROR(AO423/AO446, "NA")</f>
        <v>NA</v>
      </c>
      <c r="AQ423" s="12"/>
      <c r="AR423" s="15">
        <f t="shared" si="60"/>
        <v>0</v>
      </c>
    </row>
    <row r="424" ht="16.5" hidden="1" customHeight="1">
      <c r="A424" s="11" t="s">
        <v>766</v>
      </c>
      <c r="B424" s="12">
        <v>0.0</v>
      </c>
      <c r="C424" s="13" t="str">
        <f>IFERROR(B424/B446, "NA")</f>
        <v>NA</v>
      </c>
      <c r="D424" s="14"/>
      <c r="E424" s="12">
        <v>0.0</v>
      </c>
      <c r="F424" s="13" t="str">
        <f>IFERROR(E424/E446, "NA")</f>
        <v>NA</v>
      </c>
      <c r="G424" s="14"/>
      <c r="H424" s="12">
        <v>0.0</v>
      </c>
      <c r="I424" s="13" t="str">
        <f>IFERROR(H424/H446, "NA")</f>
        <v>NA</v>
      </c>
      <c r="J424" s="14"/>
      <c r="K424" s="12">
        <v>0.0</v>
      </c>
      <c r="L424" s="13" t="str">
        <f>IFERROR(K424/K446, "NA")</f>
        <v>NA</v>
      </c>
      <c r="M424" s="14"/>
      <c r="N424" s="12">
        <v>0.0</v>
      </c>
      <c r="O424" s="13" t="str">
        <f>IFERROR(N424/N446, "NA")</f>
        <v>NA</v>
      </c>
      <c r="P424" s="14"/>
      <c r="Q424" s="12">
        <v>0.0</v>
      </c>
      <c r="R424" s="13" t="str">
        <f>IFERROR(Q424/Q446, "NA")</f>
        <v>NA</v>
      </c>
      <c r="S424" s="14"/>
      <c r="T424" s="12">
        <v>0.0</v>
      </c>
      <c r="U424" s="13" t="str">
        <f>IFERROR(T424/T446, "NA")</f>
        <v>NA</v>
      </c>
      <c r="V424" s="14"/>
      <c r="W424" s="12">
        <v>0.0</v>
      </c>
      <c r="X424" s="13" t="str">
        <f>IFERROR(W424/W446, "NA")</f>
        <v>NA</v>
      </c>
      <c r="Y424" s="14"/>
      <c r="Z424" s="12">
        <v>0.0</v>
      </c>
      <c r="AA424" s="13" t="str">
        <f>IFERROR(Z424/Z446, "NA")</f>
        <v>NA</v>
      </c>
      <c r="AB424" s="14"/>
      <c r="AC424" s="12">
        <v>0.0</v>
      </c>
      <c r="AD424" s="13" t="str">
        <f>IFERROR(AC424/AC446, "NA")</f>
        <v>NA</v>
      </c>
      <c r="AE424" s="14"/>
      <c r="AF424" s="12">
        <v>0.0</v>
      </c>
      <c r="AG424" s="13" t="str">
        <f>IFERROR(AF424/AF446, "NA")</f>
        <v>NA</v>
      </c>
      <c r="AH424" s="14"/>
      <c r="AI424" s="12">
        <v>0.0</v>
      </c>
      <c r="AJ424" s="13" t="str">
        <f>IFERROR(AI424/AI446, "NA")</f>
        <v>NA</v>
      </c>
      <c r="AK424" s="12"/>
      <c r="AL424" s="15">
        <f t="shared" si="59"/>
        <v>0</v>
      </c>
      <c r="AM424" s="13" t="str">
        <f>IFERROR(AL424/AL446, "NA")</f>
        <v>NA</v>
      </c>
      <c r="AN424" s="12"/>
      <c r="AO424" s="12">
        <v>0.0</v>
      </c>
      <c r="AP424" s="13" t="str">
        <f>IFERROR(AO424/AO446, "NA")</f>
        <v>NA</v>
      </c>
      <c r="AQ424" s="12"/>
      <c r="AR424" s="15">
        <f t="shared" si="60"/>
        <v>0</v>
      </c>
    </row>
    <row r="425" ht="16.5" hidden="1" customHeight="1">
      <c r="A425" s="11" t="s">
        <v>767</v>
      </c>
      <c r="B425" s="12">
        <v>0.0</v>
      </c>
      <c r="C425" s="13" t="str">
        <f>IFERROR(B425/B446, "NA")</f>
        <v>NA</v>
      </c>
      <c r="D425" s="14"/>
      <c r="E425" s="12">
        <v>0.0</v>
      </c>
      <c r="F425" s="13" t="str">
        <f>IFERROR(E425/E446, "NA")</f>
        <v>NA</v>
      </c>
      <c r="G425" s="14"/>
      <c r="H425" s="12">
        <v>0.0</v>
      </c>
      <c r="I425" s="13" t="str">
        <f>IFERROR(H425/H446, "NA")</f>
        <v>NA</v>
      </c>
      <c r="J425" s="14"/>
      <c r="K425" s="12">
        <v>0.0</v>
      </c>
      <c r="L425" s="13" t="str">
        <f>IFERROR(K425/K446, "NA")</f>
        <v>NA</v>
      </c>
      <c r="M425" s="14"/>
      <c r="N425" s="12">
        <v>0.0</v>
      </c>
      <c r="O425" s="13" t="str">
        <f>IFERROR(N425/N446, "NA")</f>
        <v>NA</v>
      </c>
      <c r="P425" s="14"/>
      <c r="Q425" s="12">
        <v>0.0</v>
      </c>
      <c r="R425" s="13" t="str">
        <f>IFERROR(Q425/Q446, "NA")</f>
        <v>NA</v>
      </c>
      <c r="S425" s="14"/>
      <c r="T425" s="12">
        <v>0.0</v>
      </c>
      <c r="U425" s="13" t="str">
        <f>IFERROR(T425/T446, "NA")</f>
        <v>NA</v>
      </c>
      <c r="V425" s="14"/>
      <c r="W425" s="12">
        <v>0.0</v>
      </c>
      <c r="X425" s="13" t="str">
        <f>IFERROR(W425/W446, "NA")</f>
        <v>NA</v>
      </c>
      <c r="Y425" s="14"/>
      <c r="Z425" s="12">
        <v>0.0</v>
      </c>
      <c r="AA425" s="13" t="str">
        <f>IFERROR(Z425/Z446, "NA")</f>
        <v>NA</v>
      </c>
      <c r="AB425" s="14"/>
      <c r="AC425" s="12">
        <v>0.0</v>
      </c>
      <c r="AD425" s="13" t="str">
        <f>IFERROR(AC425/AC446, "NA")</f>
        <v>NA</v>
      </c>
      <c r="AE425" s="14"/>
      <c r="AF425" s="12">
        <v>0.0</v>
      </c>
      <c r="AG425" s="13" t="str">
        <f>IFERROR(AF425/AF446, "NA")</f>
        <v>NA</v>
      </c>
      <c r="AH425" s="14"/>
      <c r="AI425" s="12">
        <v>0.0</v>
      </c>
      <c r="AJ425" s="13" t="str">
        <f>IFERROR(AI425/AI446, "NA")</f>
        <v>NA</v>
      </c>
      <c r="AK425" s="12"/>
      <c r="AL425" s="15">
        <f t="shared" si="59"/>
        <v>0</v>
      </c>
      <c r="AM425" s="13" t="str">
        <f>IFERROR(AL425/AL446, "NA")</f>
        <v>NA</v>
      </c>
      <c r="AN425" s="12"/>
      <c r="AO425" s="12">
        <v>0.0</v>
      </c>
      <c r="AP425" s="13" t="str">
        <f>IFERROR(AO425/AO446, "NA")</f>
        <v>NA</v>
      </c>
      <c r="AQ425" s="12"/>
      <c r="AR425" s="15">
        <f t="shared" si="60"/>
        <v>0</v>
      </c>
    </row>
    <row r="426" ht="16.5" hidden="1" customHeight="1">
      <c r="A426" s="11" t="s">
        <v>768</v>
      </c>
      <c r="B426" s="12">
        <v>0.0</v>
      </c>
      <c r="C426" s="13" t="str">
        <f>IFERROR(B426/B446, "NA")</f>
        <v>NA</v>
      </c>
      <c r="D426" s="14"/>
      <c r="E426" s="12">
        <v>0.0</v>
      </c>
      <c r="F426" s="13" t="str">
        <f>IFERROR(E426/E446, "NA")</f>
        <v>NA</v>
      </c>
      <c r="G426" s="14"/>
      <c r="H426" s="12">
        <v>0.0</v>
      </c>
      <c r="I426" s="13" t="str">
        <f>IFERROR(H426/H446, "NA")</f>
        <v>NA</v>
      </c>
      <c r="J426" s="14"/>
      <c r="K426" s="12">
        <v>0.0</v>
      </c>
      <c r="L426" s="13" t="str">
        <f>IFERROR(K426/K446, "NA")</f>
        <v>NA</v>
      </c>
      <c r="M426" s="14"/>
      <c r="N426" s="12">
        <v>0.0</v>
      </c>
      <c r="O426" s="13" t="str">
        <f>IFERROR(N426/N446, "NA")</f>
        <v>NA</v>
      </c>
      <c r="P426" s="14"/>
      <c r="Q426" s="12">
        <v>0.0</v>
      </c>
      <c r="R426" s="13" t="str">
        <f>IFERROR(Q426/Q446, "NA")</f>
        <v>NA</v>
      </c>
      <c r="S426" s="14"/>
      <c r="T426" s="12">
        <v>0.0</v>
      </c>
      <c r="U426" s="13" t="str">
        <f>IFERROR(T426/T446, "NA")</f>
        <v>NA</v>
      </c>
      <c r="V426" s="14"/>
      <c r="W426" s="12">
        <v>0.0</v>
      </c>
      <c r="X426" s="13" t="str">
        <f>IFERROR(W426/W446, "NA")</f>
        <v>NA</v>
      </c>
      <c r="Y426" s="14"/>
      <c r="Z426" s="12">
        <v>0.0</v>
      </c>
      <c r="AA426" s="13" t="str">
        <f>IFERROR(Z426/Z446, "NA")</f>
        <v>NA</v>
      </c>
      <c r="AB426" s="14"/>
      <c r="AC426" s="12">
        <v>0.0</v>
      </c>
      <c r="AD426" s="13" t="str">
        <f>IFERROR(AC426/AC446, "NA")</f>
        <v>NA</v>
      </c>
      <c r="AE426" s="14"/>
      <c r="AF426" s="12">
        <v>0.0</v>
      </c>
      <c r="AG426" s="13" t="str">
        <f>IFERROR(AF426/AF446, "NA")</f>
        <v>NA</v>
      </c>
      <c r="AH426" s="14"/>
      <c r="AI426" s="12">
        <v>0.0</v>
      </c>
      <c r="AJ426" s="13" t="str">
        <f>IFERROR(AI426/AI446, "NA")</f>
        <v>NA</v>
      </c>
      <c r="AK426" s="12"/>
      <c r="AL426" s="15">
        <f t="shared" si="59"/>
        <v>0</v>
      </c>
      <c r="AM426" s="13" t="str">
        <f>IFERROR(AL426/AL446, "NA")</f>
        <v>NA</v>
      </c>
      <c r="AN426" s="12"/>
      <c r="AO426" s="12">
        <v>0.0</v>
      </c>
      <c r="AP426" s="13" t="str">
        <f>IFERROR(AO426/AO446, "NA")</f>
        <v>NA</v>
      </c>
      <c r="AQ426" s="12"/>
      <c r="AR426" s="15">
        <f t="shared" si="60"/>
        <v>0</v>
      </c>
    </row>
    <row r="427" ht="30.75" hidden="1" customHeight="1">
      <c r="A427" s="11" t="s">
        <v>769</v>
      </c>
      <c r="B427" s="12">
        <v>0.0</v>
      </c>
      <c r="C427" s="13" t="str">
        <f>IFERROR(B427/B446, "NA")</f>
        <v>NA</v>
      </c>
      <c r="D427" s="14"/>
      <c r="E427" s="12">
        <v>0.0</v>
      </c>
      <c r="F427" s="13" t="str">
        <f>IFERROR(E427/E446, "NA")</f>
        <v>NA</v>
      </c>
      <c r="G427" s="14"/>
      <c r="H427" s="12">
        <v>0.0</v>
      </c>
      <c r="I427" s="13" t="str">
        <f>IFERROR(H427/H446, "NA")</f>
        <v>NA</v>
      </c>
      <c r="J427" s="14"/>
      <c r="K427" s="12">
        <v>0.0</v>
      </c>
      <c r="L427" s="13" t="str">
        <f>IFERROR(K427/K446, "NA")</f>
        <v>NA</v>
      </c>
      <c r="M427" s="14"/>
      <c r="N427" s="12">
        <v>0.0</v>
      </c>
      <c r="O427" s="13" t="str">
        <f>IFERROR(N427/N446, "NA")</f>
        <v>NA</v>
      </c>
      <c r="P427" s="14"/>
      <c r="Q427" s="12">
        <v>0.0</v>
      </c>
      <c r="R427" s="13" t="str">
        <f>IFERROR(Q427/Q446, "NA")</f>
        <v>NA</v>
      </c>
      <c r="S427" s="14"/>
      <c r="T427" s="12">
        <v>0.0</v>
      </c>
      <c r="U427" s="13" t="str">
        <f>IFERROR(T427/T446, "NA")</f>
        <v>NA</v>
      </c>
      <c r="V427" s="14"/>
      <c r="W427" s="12">
        <v>0.0</v>
      </c>
      <c r="X427" s="13" t="str">
        <f>IFERROR(W427/W446, "NA")</f>
        <v>NA</v>
      </c>
      <c r="Y427" s="14"/>
      <c r="Z427" s="12">
        <v>0.0</v>
      </c>
      <c r="AA427" s="13" t="str">
        <f>IFERROR(Z427/Z446, "NA")</f>
        <v>NA</v>
      </c>
      <c r="AB427" s="14"/>
      <c r="AC427" s="12">
        <v>0.0</v>
      </c>
      <c r="AD427" s="13" t="str">
        <f>IFERROR(AC427/AC446, "NA")</f>
        <v>NA</v>
      </c>
      <c r="AE427" s="14"/>
      <c r="AF427" s="12">
        <v>0.0</v>
      </c>
      <c r="AG427" s="13" t="str">
        <f>IFERROR(AF427/AF446, "NA")</f>
        <v>NA</v>
      </c>
      <c r="AH427" s="14"/>
      <c r="AI427" s="12">
        <v>0.0</v>
      </c>
      <c r="AJ427" s="13" t="str">
        <f>IFERROR(AI427/AI446, "NA")</f>
        <v>NA</v>
      </c>
      <c r="AK427" s="12"/>
      <c r="AL427" s="15">
        <f t="shared" si="59"/>
        <v>0</v>
      </c>
      <c r="AM427" s="13" t="str">
        <f>IFERROR(AL427/AL446, "NA")</f>
        <v>NA</v>
      </c>
      <c r="AN427" s="12"/>
      <c r="AO427" s="12">
        <v>0.0</v>
      </c>
      <c r="AP427" s="13" t="str">
        <f>IFERROR(AO427/AO446, "NA")</f>
        <v>NA</v>
      </c>
      <c r="AQ427" s="12"/>
      <c r="AR427" s="15">
        <f t="shared" si="60"/>
        <v>0</v>
      </c>
    </row>
    <row r="428" ht="16.5" hidden="1" customHeight="1">
      <c r="A428" s="11" t="s">
        <v>770</v>
      </c>
      <c r="B428" s="12">
        <v>0.0</v>
      </c>
      <c r="C428" s="13" t="str">
        <f>IFERROR(B428/B446, "NA")</f>
        <v>NA</v>
      </c>
      <c r="D428" s="14"/>
      <c r="E428" s="12">
        <v>0.0</v>
      </c>
      <c r="F428" s="13" t="str">
        <f>IFERROR(E428/E446, "NA")</f>
        <v>NA</v>
      </c>
      <c r="G428" s="14"/>
      <c r="H428" s="12">
        <v>0.0</v>
      </c>
      <c r="I428" s="13" t="str">
        <f>IFERROR(H428/H446, "NA")</f>
        <v>NA</v>
      </c>
      <c r="J428" s="14"/>
      <c r="K428" s="12">
        <v>0.0</v>
      </c>
      <c r="L428" s="13" t="str">
        <f>IFERROR(K428/K446, "NA")</f>
        <v>NA</v>
      </c>
      <c r="M428" s="14"/>
      <c r="N428" s="12">
        <v>0.0</v>
      </c>
      <c r="O428" s="13" t="str">
        <f>IFERROR(N428/N446, "NA")</f>
        <v>NA</v>
      </c>
      <c r="P428" s="14"/>
      <c r="Q428" s="12">
        <v>0.0</v>
      </c>
      <c r="R428" s="13" t="str">
        <f>IFERROR(Q428/Q446, "NA")</f>
        <v>NA</v>
      </c>
      <c r="S428" s="14"/>
      <c r="T428" s="12">
        <v>0.0</v>
      </c>
      <c r="U428" s="13" t="str">
        <f>IFERROR(T428/T446, "NA")</f>
        <v>NA</v>
      </c>
      <c r="V428" s="14"/>
      <c r="W428" s="12">
        <v>0.0</v>
      </c>
      <c r="X428" s="13" t="str">
        <f>IFERROR(W428/W446, "NA")</f>
        <v>NA</v>
      </c>
      <c r="Y428" s="14"/>
      <c r="Z428" s="12">
        <v>0.0</v>
      </c>
      <c r="AA428" s="13" t="str">
        <f>IFERROR(Z428/Z446, "NA")</f>
        <v>NA</v>
      </c>
      <c r="AB428" s="14"/>
      <c r="AC428" s="12">
        <v>0.0</v>
      </c>
      <c r="AD428" s="13" t="str">
        <f>IFERROR(AC428/AC446, "NA")</f>
        <v>NA</v>
      </c>
      <c r="AE428" s="14"/>
      <c r="AF428" s="12">
        <v>0.0</v>
      </c>
      <c r="AG428" s="13" t="str">
        <f>IFERROR(AF428/AF446, "NA")</f>
        <v>NA</v>
      </c>
      <c r="AH428" s="14"/>
      <c r="AI428" s="12">
        <v>0.0</v>
      </c>
      <c r="AJ428" s="13" t="str">
        <f>IFERROR(AI428/AI446, "NA")</f>
        <v>NA</v>
      </c>
      <c r="AK428" s="12"/>
      <c r="AL428" s="15">
        <f t="shared" si="59"/>
        <v>0</v>
      </c>
      <c r="AM428" s="13" t="str">
        <f>IFERROR(AL428/AL446, "NA")</f>
        <v>NA</v>
      </c>
      <c r="AN428" s="12"/>
      <c r="AO428" s="12">
        <v>0.0</v>
      </c>
      <c r="AP428" s="13" t="str">
        <f>IFERROR(AO428/AO446, "NA")</f>
        <v>NA</v>
      </c>
      <c r="AQ428" s="12"/>
      <c r="AR428" s="15">
        <f t="shared" si="60"/>
        <v>0</v>
      </c>
    </row>
    <row r="429" ht="16.5" hidden="1" customHeight="1">
      <c r="A429" s="11" t="s">
        <v>771</v>
      </c>
      <c r="B429" s="12">
        <v>0.0</v>
      </c>
      <c r="C429" s="13" t="str">
        <f>IFERROR(B429/B446, "NA")</f>
        <v>NA</v>
      </c>
      <c r="D429" s="14"/>
      <c r="E429" s="12">
        <v>0.0</v>
      </c>
      <c r="F429" s="13" t="str">
        <f>IFERROR(E429/E446, "NA")</f>
        <v>NA</v>
      </c>
      <c r="G429" s="14"/>
      <c r="H429" s="12">
        <v>0.0</v>
      </c>
      <c r="I429" s="13" t="str">
        <f>IFERROR(H429/H446, "NA")</f>
        <v>NA</v>
      </c>
      <c r="J429" s="14"/>
      <c r="K429" s="12">
        <v>0.0</v>
      </c>
      <c r="L429" s="13" t="str">
        <f>IFERROR(K429/K446, "NA")</f>
        <v>NA</v>
      </c>
      <c r="M429" s="14"/>
      <c r="N429" s="12">
        <v>0.0</v>
      </c>
      <c r="O429" s="13" t="str">
        <f>IFERROR(N429/N446, "NA")</f>
        <v>NA</v>
      </c>
      <c r="P429" s="14"/>
      <c r="Q429" s="12">
        <v>0.0</v>
      </c>
      <c r="R429" s="13" t="str">
        <f>IFERROR(Q429/Q446, "NA")</f>
        <v>NA</v>
      </c>
      <c r="S429" s="14"/>
      <c r="T429" s="12">
        <v>0.0</v>
      </c>
      <c r="U429" s="13" t="str">
        <f>IFERROR(T429/T446, "NA")</f>
        <v>NA</v>
      </c>
      <c r="V429" s="14"/>
      <c r="W429" s="12">
        <v>0.0</v>
      </c>
      <c r="X429" s="13" t="str">
        <f>IFERROR(W429/W446, "NA")</f>
        <v>NA</v>
      </c>
      <c r="Y429" s="14"/>
      <c r="Z429" s="12">
        <v>0.0</v>
      </c>
      <c r="AA429" s="13" t="str">
        <f>IFERROR(Z429/Z446, "NA")</f>
        <v>NA</v>
      </c>
      <c r="AB429" s="14"/>
      <c r="AC429" s="12">
        <v>0.0</v>
      </c>
      <c r="AD429" s="13" t="str">
        <f>IFERROR(AC429/AC446, "NA")</f>
        <v>NA</v>
      </c>
      <c r="AE429" s="14"/>
      <c r="AF429" s="12">
        <v>0.0</v>
      </c>
      <c r="AG429" s="13" t="str">
        <f>IFERROR(AF429/AF446, "NA")</f>
        <v>NA</v>
      </c>
      <c r="AH429" s="14"/>
      <c r="AI429" s="12">
        <v>0.0</v>
      </c>
      <c r="AJ429" s="13" t="str">
        <f>IFERROR(AI429/AI446, "NA")</f>
        <v>NA</v>
      </c>
      <c r="AK429" s="12"/>
      <c r="AL429" s="15">
        <f t="shared" si="59"/>
        <v>0</v>
      </c>
      <c r="AM429" s="13" t="str">
        <f>IFERROR(AL429/AL446, "NA")</f>
        <v>NA</v>
      </c>
      <c r="AN429" s="12"/>
      <c r="AO429" s="12">
        <v>0.0</v>
      </c>
      <c r="AP429" s="13" t="str">
        <f>IFERROR(AO429/AO446, "NA")</f>
        <v>NA</v>
      </c>
      <c r="AQ429" s="12"/>
      <c r="AR429" s="15">
        <f t="shared" si="60"/>
        <v>0</v>
      </c>
    </row>
    <row r="430" ht="16.5" customHeight="1">
      <c r="A430" s="16" t="s">
        <v>398</v>
      </c>
      <c r="B430" s="17">
        <f>IFERROR(B408+B409+B410+B411+B412+B413+B414+B415+B416+B417+B418+B419+B420+B421+B422+B423+B424+B425+B426+B427+B428+B429, "NA")</f>
        <v>0</v>
      </c>
      <c r="C430" s="18" t="str">
        <f>IFERROR(B430/B446, "NA")</f>
        <v>NA</v>
      </c>
      <c r="D430" s="8"/>
      <c r="E430" s="17">
        <f>IFERROR(E408+E409+E410+E411+E412+E413+E414+E415+E416+E417+E418+E419+E420+E421+E422+E423+E424+E425+E426+E427+E428+E429, "NA")</f>
        <v>0</v>
      </c>
      <c r="F430" s="18" t="str">
        <f>IFERROR(E430/E446, "NA")</f>
        <v>NA</v>
      </c>
      <c r="G430" s="8"/>
      <c r="H430" s="17">
        <f>IFERROR(H408+H409+H410+H411+H412+H413+H414+H415+H416+H417+H418+H419+H420+H421+H422+H423+H424+H425+H426+H427+H428+H429, "NA")</f>
        <v>0</v>
      </c>
      <c r="I430" s="18" t="str">
        <f>IFERROR(H430/H446, "NA")</f>
        <v>NA</v>
      </c>
      <c r="J430" s="8"/>
      <c r="K430" s="17">
        <f>IFERROR(K408+K409+K410+K411+K412+K413+K414+K415+K416+K417+K418+K419+K420+K421+K422+K423+K424+K425+K426+K427+K428+K429, "NA")</f>
        <v>0</v>
      </c>
      <c r="L430" s="18" t="str">
        <f>IFERROR(K430/K446, "NA")</f>
        <v>NA</v>
      </c>
      <c r="M430" s="8"/>
      <c r="N430" s="17">
        <f>IFERROR(N408+N409+N410+N411+N412+N413+N414+N415+N416+N417+N418+N419+N420+N421+N422+N423+N424+N425+N426+N427+N428+N429, "NA")</f>
        <v>0</v>
      </c>
      <c r="O430" s="18" t="str">
        <f>IFERROR(N430/N446, "NA")</f>
        <v>NA</v>
      </c>
      <c r="P430" s="8"/>
      <c r="Q430" s="17">
        <f>IFERROR(Q408+Q409+Q410+Q411+Q412+Q413+Q414+Q415+Q416+Q417+Q418+Q419+Q420+Q421+Q422+Q423+Q424+Q425+Q426+Q427+Q428+Q429, "NA")</f>
        <v>0</v>
      </c>
      <c r="R430" s="18" t="str">
        <f>IFERROR(Q430/Q446, "NA")</f>
        <v>NA</v>
      </c>
      <c r="S430" s="8"/>
      <c r="T430" s="17">
        <f>IFERROR(T408+T409+T410+T411+T412+T413+T414+T415+T416+T417+T418+T419+T420+T421+T422+T423+T424+T425+T426+T427+T428+T429, "NA")</f>
        <v>0</v>
      </c>
      <c r="U430" s="18" t="str">
        <f>IFERROR(T430/T446, "NA")</f>
        <v>NA</v>
      </c>
      <c r="V430" s="8"/>
      <c r="W430" s="17">
        <f>IFERROR(W408+W409+W410+W411+W412+W413+W414+W415+W416+W417+W418+W419+W420+W421+W422+W423+W424+W425+W426+W427+W428+W429, "NA")</f>
        <v>0</v>
      </c>
      <c r="X430" s="18" t="str">
        <f>IFERROR(W430/W446, "NA")</f>
        <v>NA</v>
      </c>
      <c r="Y430" s="8"/>
      <c r="Z430" s="17">
        <f>IFERROR(Z408+Z409+Z410+Z411+Z412+Z413+Z414+Z415+Z416+Z417+Z418+Z419+Z420+Z421+Z422+Z423+Z424+Z425+Z426+Z427+Z428+Z429, "NA")</f>
        <v>0</v>
      </c>
      <c r="AA430" s="18" t="str">
        <f>IFERROR(Z430/Z446, "NA")</f>
        <v>NA</v>
      </c>
      <c r="AB430" s="8"/>
      <c r="AC430" s="17">
        <f>IFERROR(AC408+AC409+AC410+AC411+AC412+AC413+AC414+AC415+AC416+AC417+AC418+AC419+AC420+AC421+AC422+AC423+AC424+AC425+AC426+AC427+AC428+AC429, "NA")</f>
        <v>0</v>
      </c>
      <c r="AD430" s="18" t="str">
        <f>IFERROR(AC430/AC446, "NA")</f>
        <v>NA</v>
      </c>
      <c r="AE430" s="8"/>
      <c r="AF430" s="17">
        <f>IFERROR(AF408+AF409+AF410+AF411+AF412+AF413+AF414+AF415+AF416+AF417+AF418+AF419+AF420+AF421+AF422+AF423+AF424+AF425+AF426+AF427+AF428+AF429, "NA")</f>
        <v>0</v>
      </c>
      <c r="AG430" s="18" t="str">
        <f>IFERROR(AF430/AF446, "NA")</f>
        <v>NA</v>
      </c>
      <c r="AH430" s="8"/>
      <c r="AI430" s="17">
        <f>IFERROR(AI408+AI409+AI410+AI411+AI412+AI413+AI414+AI415+AI416+AI417+AI418+AI419+AI420+AI421+AI422+AI423+AI424+AI425+AI426+AI427+AI428+AI429, "NA")</f>
        <v>0</v>
      </c>
      <c r="AJ430" s="18" t="str">
        <f>IFERROR(AI430/AI446, "NA")</f>
        <v>NA</v>
      </c>
      <c r="AK430" s="8"/>
      <c r="AL430" s="17">
        <f t="shared" si="59"/>
        <v>0</v>
      </c>
      <c r="AM430" s="18" t="str">
        <f>IFERROR(AL430/AL446, "NA")</f>
        <v>NA</v>
      </c>
      <c r="AN430" s="8"/>
      <c r="AO430" s="17">
        <f>IFERROR(AO408+AO409+AO410+AO411+AO412+AO413+AO414+AO415+AO416+AO417+AO418+AO419+AO420+AO421+AO422+AO423+AO424+AO425+AO426+AO427+AO428+AO429, "NA")</f>
        <v>0</v>
      </c>
      <c r="AP430" s="18" t="str">
        <f>IFERROR(AO430/AO446, "NA")</f>
        <v>NA</v>
      </c>
      <c r="AQ430" s="8"/>
      <c r="AR430" s="17">
        <f t="shared" si="60"/>
        <v>0</v>
      </c>
    </row>
    <row r="431" ht="16.5" customHeight="1">
      <c r="A431" s="16" t="s">
        <v>399</v>
      </c>
      <c r="B431" s="17">
        <f>IFERROR(B408+B409+B410+B411+B412+B413+B414+B415+B416+B417+B418+B419+B420+B421+B422+B423+B424+B425+B426+B427+B428+B429, "NA")</f>
        <v>0</v>
      </c>
      <c r="C431" s="18" t="str">
        <f>IFERROR(B431/B446, "NA")</f>
        <v>NA</v>
      </c>
      <c r="D431" s="8"/>
      <c r="E431" s="17">
        <f>IFERROR(E408+E409+E410+E411+E412+E413+E414+E415+E416+E417+E418+E419+E420+E421+E422+E423+E424+E425+E426+E427+E428+E429, "NA")</f>
        <v>0</v>
      </c>
      <c r="F431" s="18" t="str">
        <f>IFERROR(E431/E446, "NA")</f>
        <v>NA</v>
      </c>
      <c r="G431" s="8"/>
      <c r="H431" s="17">
        <f>IFERROR(H408+H409+H410+H411+H412+H413+H414+H415+H416+H417+H418+H419+H420+H421+H422+H423+H424+H425+H426+H427+H428+H429, "NA")</f>
        <v>0</v>
      </c>
      <c r="I431" s="18" t="str">
        <f>IFERROR(H431/H446, "NA")</f>
        <v>NA</v>
      </c>
      <c r="J431" s="8"/>
      <c r="K431" s="17">
        <f>IFERROR(K408+K409+K410+K411+K412+K413+K414+K415+K416+K417+K418+K419+K420+K421+K422+K423+K424+K425+K426+K427+K428+K429, "NA")</f>
        <v>0</v>
      </c>
      <c r="L431" s="18" t="str">
        <f>IFERROR(K431/K446, "NA")</f>
        <v>NA</v>
      </c>
      <c r="M431" s="8"/>
      <c r="N431" s="17">
        <f>IFERROR(N408+N409+N410+N411+N412+N413+N414+N415+N416+N417+N418+N419+N420+N421+N422+N423+N424+N425+N426+N427+N428+N429, "NA")</f>
        <v>0</v>
      </c>
      <c r="O431" s="18" t="str">
        <f>IFERROR(N431/N446, "NA")</f>
        <v>NA</v>
      </c>
      <c r="P431" s="8"/>
      <c r="Q431" s="17">
        <f>IFERROR(Q408+Q409+Q410+Q411+Q412+Q413+Q414+Q415+Q416+Q417+Q418+Q419+Q420+Q421+Q422+Q423+Q424+Q425+Q426+Q427+Q428+Q429, "NA")</f>
        <v>0</v>
      </c>
      <c r="R431" s="18" t="str">
        <f>IFERROR(Q431/Q446, "NA")</f>
        <v>NA</v>
      </c>
      <c r="S431" s="8"/>
      <c r="T431" s="17">
        <f>IFERROR(T408+T409+T410+T411+T412+T413+T414+T415+T416+T417+T418+T419+T420+T421+T422+T423+T424+T425+T426+T427+T428+T429, "NA")</f>
        <v>0</v>
      </c>
      <c r="U431" s="18" t="str">
        <f>IFERROR(T431/T446, "NA")</f>
        <v>NA</v>
      </c>
      <c r="V431" s="8"/>
      <c r="W431" s="17">
        <f>IFERROR(W408+W409+W410+W411+W412+W413+W414+W415+W416+W417+W418+W419+W420+W421+W422+W423+W424+W425+W426+W427+W428+W429, "NA")</f>
        <v>0</v>
      </c>
      <c r="X431" s="18" t="str">
        <f>IFERROR(W431/W446, "NA")</f>
        <v>NA</v>
      </c>
      <c r="Y431" s="8"/>
      <c r="Z431" s="17">
        <f>IFERROR(Z408+Z409+Z410+Z411+Z412+Z413+Z414+Z415+Z416+Z417+Z418+Z419+Z420+Z421+Z422+Z423+Z424+Z425+Z426+Z427+Z428+Z429, "NA")</f>
        <v>0</v>
      </c>
      <c r="AA431" s="18" t="str">
        <f>IFERROR(Z431/Z446, "NA")</f>
        <v>NA</v>
      </c>
      <c r="AB431" s="8"/>
      <c r="AC431" s="17">
        <f>IFERROR(AC408+AC409+AC410+AC411+AC412+AC413+AC414+AC415+AC416+AC417+AC418+AC419+AC420+AC421+AC422+AC423+AC424+AC425+AC426+AC427+AC428+AC429, "NA")</f>
        <v>0</v>
      </c>
      <c r="AD431" s="18" t="str">
        <f>IFERROR(AC431/AC446, "NA")</f>
        <v>NA</v>
      </c>
      <c r="AE431" s="8"/>
      <c r="AF431" s="17">
        <f>IFERROR(AF408+AF409+AF410+AF411+AF412+AF413+AF414+AF415+AF416+AF417+AF418+AF419+AF420+AF421+AF422+AF423+AF424+AF425+AF426+AF427+AF428+AF429, "NA")</f>
        <v>0</v>
      </c>
      <c r="AG431" s="18" t="str">
        <f>IFERROR(AF431/AF446, "NA")</f>
        <v>NA</v>
      </c>
      <c r="AH431" s="8"/>
      <c r="AI431" s="17">
        <f>IFERROR(AI408+AI409+AI410+AI411+AI412+AI413+AI414+AI415+AI416+AI417+AI418+AI419+AI420+AI421+AI422+AI423+AI424+AI425+AI426+AI427+AI428+AI429, "NA")</f>
        <v>0</v>
      </c>
      <c r="AJ431" s="18" t="str">
        <f>IFERROR(AI431/AI446, "NA")</f>
        <v>NA</v>
      </c>
      <c r="AK431" s="8"/>
      <c r="AL431" s="17">
        <f t="shared" si="59"/>
        <v>0</v>
      </c>
      <c r="AM431" s="18" t="str">
        <f>IFERROR(AL431/AL446, "NA")</f>
        <v>NA</v>
      </c>
      <c r="AN431" s="8"/>
      <c r="AO431" s="17">
        <f>IFERROR(AO408+AO409+AO410+AO411+AO412+AO413+AO414+AO415+AO416+AO417+AO418+AO419+AO420+AO421+AO422+AO423+AO424+AO425+AO426+AO427+AO428+AO429, "NA")</f>
        <v>0</v>
      </c>
      <c r="AP431" s="18" t="str">
        <f>IFERROR(AO431/AO446, "NA")</f>
        <v>NA</v>
      </c>
      <c r="AQ431" s="8"/>
      <c r="AR431" s="17">
        <f t="shared" si="60"/>
        <v>0</v>
      </c>
    </row>
    <row r="432" ht="16.5" customHeight="1">
      <c r="A432" s="7" t="s">
        <v>400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  <c r="AE432" s="10"/>
      <c r="AF432" s="8"/>
      <c r="AG432" s="9"/>
      <c r="AH432" s="10"/>
      <c r="AI432" s="8"/>
      <c r="AJ432" s="9"/>
      <c r="AK432" s="8"/>
      <c r="AL432" s="8"/>
      <c r="AM432" s="9"/>
      <c r="AN432" s="8"/>
      <c r="AO432" s="8"/>
      <c r="AP432" s="9"/>
      <c r="AQ432" s="8"/>
      <c r="AR432" s="8"/>
    </row>
    <row r="433" ht="16.5" customHeight="1">
      <c r="A433" s="7" t="s">
        <v>401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  <c r="AE433" s="10"/>
      <c r="AF433" s="8"/>
      <c r="AG433" s="9"/>
      <c r="AH433" s="10"/>
      <c r="AI433" s="8"/>
      <c r="AJ433" s="9"/>
      <c r="AK433" s="8"/>
      <c r="AL433" s="8"/>
      <c r="AM433" s="9"/>
      <c r="AN433" s="8"/>
      <c r="AO433" s="8"/>
      <c r="AP433" s="9"/>
      <c r="AQ433" s="8"/>
      <c r="AR433" s="8"/>
    </row>
    <row r="434" ht="16.5" hidden="1" customHeight="1">
      <c r="A434" s="11" t="s">
        <v>772</v>
      </c>
      <c r="B434" s="12">
        <v>0.0</v>
      </c>
      <c r="C434" s="13" t="str">
        <f>IFERROR(B434/B446, "NA")</f>
        <v>NA</v>
      </c>
      <c r="D434" s="14"/>
      <c r="E434" s="12">
        <v>0.0</v>
      </c>
      <c r="F434" s="13" t="str">
        <f>IFERROR(E434/E446, "NA")</f>
        <v>NA</v>
      </c>
      <c r="G434" s="14"/>
      <c r="H434" s="12">
        <v>0.0</v>
      </c>
      <c r="I434" s="13" t="str">
        <f>IFERROR(H434/H446, "NA")</f>
        <v>NA</v>
      </c>
      <c r="J434" s="14"/>
      <c r="K434" s="12">
        <v>0.0</v>
      </c>
      <c r="L434" s="13" t="str">
        <f>IFERROR(K434/K446, "NA")</f>
        <v>NA</v>
      </c>
      <c r="M434" s="14"/>
      <c r="N434" s="12">
        <v>0.0</v>
      </c>
      <c r="O434" s="13" t="str">
        <f>IFERROR(N434/N446, "NA")</f>
        <v>NA</v>
      </c>
      <c r="P434" s="14"/>
      <c r="Q434" s="12">
        <v>0.0</v>
      </c>
      <c r="R434" s="13" t="str">
        <f>IFERROR(Q434/Q446, "NA")</f>
        <v>NA</v>
      </c>
      <c r="S434" s="14"/>
      <c r="T434" s="12">
        <v>0.0</v>
      </c>
      <c r="U434" s="13" t="str">
        <f>IFERROR(T434/T446, "NA")</f>
        <v>NA</v>
      </c>
      <c r="V434" s="14"/>
      <c r="W434" s="12">
        <v>0.0</v>
      </c>
      <c r="X434" s="13" t="str">
        <f>IFERROR(W434/W446, "NA")</f>
        <v>NA</v>
      </c>
      <c r="Y434" s="14"/>
      <c r="Z434" s="12">
        <v>0.0</v>
      </c>
      <c r="AA434" s="13" t="str">
        <f>IFERROR(Z434/Z446, "NA")</f>
        <v>NA</v>
      </c>
      <c r="AB434" s="14"/>
      <c r="AC434" s="12">
        <v>0.0</v>
      </c>
      <c r="AD434" s="13" t="str">
        <f>IFERROR(AC434/AC446, "NA")</f>
        <v>NA</v>
      </c>
      <c r="AE434" s="14"/>
      <c r="AF434" s="12">
        <v>0.0</v>
      </c>
      <c r="AG434" s="13" t="str">
        <f>IFERROR(AF434/AF446, "NA")</f>
        <v>NA</v>
      </c>
      <c r="AH434" s="14"/>
      <c r="AI434" s="12">
        <v>0.0</v>
      </c>
      <c r="AJ434" s="13" t="str">
        <f>IFERROR(AI434/AI446, "NA")</f>
        <v>NA</v>
      </c>
      <c r="AK434" s="12"/>
      <c r="AL434" s="15">
        <f t="shared" ref="AL434:AL446" si="61">IFERROR(B434+E434+H434+K434+N434+Q434+T434+W434+Z434+AC434+AF434+AI434, "NA")</f>
        <v>0</v>
      </c>
      <c r="AM434" s="13" t="str">
        <f>IFERROR(AL434/AL446, "NA")</f>
        <v>NA</v>
      </c>
      <c r="AN434" s="12"/>
      <c r="AO434" s="12">
        <v>0.0</v>
      </c>
      <c r="AP434" s="13" t="str">
        <f>IFERROR(AO434/AO446, "NA")</f>
        <v>NA</v>
      </c>
      <c r="AQ434" s="12"/>
      <c r="AR434" s="15">
        <f t="shared" ref="AR434:AR446" si="62">IFERROR(AL434-AO434, "NA")</f>
        <v>0</v>
      </c>
    </row>
    <row r="435" ht="16.5" hidden="1" customHeight="1">
      <c r="A435" s="11" t="s">
        <v>773</v>
      </c>
      <c r="B435" s="12">
        <v>0.0</v>
      </c>
      <c r="C435" s="13" t="str">
        <f>IFERROR(B435/B446, "NA")</f>
        <v>NA</v>
      </c>
      <c r="D435" s="14"/>
      <c r="E435" s="12">
        <v>0.0</v>
      </c>
      <c r="F435" s="13" t="str">
        <f>IFERROR(E435/E446, "NA")</f>
        <v>NA</v>
      </c>
      <c r="G435" s="14"/>
      <c r="H435" s="12">
        <v>0.0</v>
      </c>
      <c r="I435" s="13" t="str">
        <f>IFERROR(H435/H446, "NA")</f>
        <v>NA</v>
      </c>
      <c r="J435" s="14"/>
      <c r="K435" s="12">
        <v>0.0</v>
      </c>
      <c r="L435" s="13" t="str">
        <f>IFERROR(K435/K446, "NA")</f>
        <v>NA</v>
      </c>
      <c r="M435" s="14"/>
      <c r="N435" s="12">
        <v>0.0</v>
      </c>
      <c r="O435" s="13" t="str">
        <f>IFERROR(N435/N446, "NA")</f>
        <v>NA</v>
      </c>
      <c r="P435" s="14"/>
      <c r="Q435" s="12">
        <v>0.0</v>
      </c>
      <c r="R435" s="13" t="str">
        <f>IFERROR(Q435/Q446, "NA")</f>
        <v>NA</v>
      </c>
      <c r="S435" s="14"/>
      <c r="T435" s="12">
        <v>0.0</v>
      </c>
      <c r="U435" s="13" t="str">
        <f>IFERROR(T435/T446, "NA")</f>
        <v>NA</v>
      </c>
      <c r="V435" s="14"/>
      <c r="W435" s="12">
        <v>0.0</v>
      </c>
      <c r="X435" s="13" t="str">
        <f>IFERROR(W435/W446, "NA")</f>
        <v>NA</v>
      </c>
      <c r="Y435" s="14"/>
      <c r="Z435" s="12">
        <v>0.0</v>
      </c>
      <c r="AA435" s="13" t="str">
        <f>IFERROR(Z435/Z446, "NA")</f>
        <v>NA</v>
      </c>
      <c r="AB435" s="14"/>
      <c r="AC435" s="12">
        <v>0.0</v>
      </c>
      <c r="AD435" s="13" t="str">
        <f>IFERROR(AC435/AC446, "NA")</f>
        <v>NA</v>
      </c>
      <c r="AE435" s="14"/>
      <c r="AF435" s="12">
        <v>0.0</v>
      </c>
      <c r="AG435" s="13" t="str">
        <f>IFERROR(AF435/AF446, "NA")</f>
        <v>NA</v>
      </c>
      <c r="AH435" s="14"/>
      <c r="AI435" s="12">
        <v>0.0</v>
      </c>
      <c r="AJ435" s="13" t="str">
        <f>IFERROR(AI435/AI446, "NA")</f>
        <v>NA</v>
      </c>
      <c r="AK435" s="12"/>
      <c r="AL435" s="15">
        <f t="shared" si="61"/>
        <v>0</v>
      </c>
      <c r="AM435" s="13" t="str">
        <f>IFERROR(AL435/AL446, "NA")</f>
        <v>NA</v>
      </c>
      <c r="AN435" s="12"/>
      <c r="AO435" s="12">
        <v>0.0</v>
      </c>
      <c r="AP435" s="13" t="str">
        <f>IFERROR(AO435/AO446, "NA")</f>
        <v>NA</v>
      </c>
      <c r="AQ435" s="12"/>
      <c r="AR435" s="15">
        <f t="shared" si="62"/>
        <v>0</v>
      </c>
    </row>
    <row r="436" ht="16.5" hidden="1" customHeight="1">
      <c r="A436" s="11" t="s">
        <v>774</v>
      </c>
      <c r="B436" s="12">
        <v>0.0</v>
      </c>
      <c r="C436" s="13" t="str">
        <f>IFERROR(B436/B446, "NA")</f>
        <v>NA</v>
      </c>
      <c r="D436" s="14"/>
      <c r="E436" s="12">
        <v>0.0</v>
      </c>
      <c r="F436" s="13" t="str">
        <f>IFERROR(E436/E446, "NA")</f>
        <v>NA</v>
      </c>
      <c r="G436" s="14"/>
      <c r="H436" s="12">
        <v>0.0</v>
      </c>
      <c r="I436" s="13" t="str">
        <f>IFERROR(H436/H446, "NA")</f>
        <v>NA</v>
      </c>
      <c r="J436" s="14"/>
      <c r="K436" s="12">
        <v>0.0</v>
      </c>
      <c r="L436" s="13" t="str">
        <f>IFERROR(K436/K446, "NA")</f>
        <v>NA</v>
      </c>
      <c r="M436" s="14"/>
      <c r="N436" s="12">
        <v>0.0</v>
      </c>
      <c r="O436" s="13" t="str">
        <f>IFERROR(N436/N446, "NA")</f>
        <v>NA</v>
      </c>
      <c r="P436" s="14"/>
      <c r="Q436" s="12">
        <v>0.0</v>
      </c>
      <c r="R436" s="13" t="str">
        <f>IFERROR(Q436/Q446, "NA")</f>
        <v>NA</v>
      </c>
      <c r="S436" s="14"/>
      <c r="T436" s="12">
        <v>0.0</v>
      </c>
      <c r="U436" s="13" t="str">
        <f>IFERROR(T436/T446, "NA")</f>
        <v>NA</v>
      </c>
      <c r="V436" s="14"/>
      <c r="W436" s="12">
        <v>0.0</v>
      </c>
      <c r="X436" s="13" t="str">
        <f>IFERROR(W436/W446, "NA")</f>
        <v>NA</v>
      </c>
      <c r="Y436" s="14"/>
      <c r="Z436" s="12">
        <v>0.0</v>
      </c>
      <c r="AA436" s="13" t="str">
        <f>IFERROR(Z436/Z446, "NA")</f>
        <v>NA</v>
      </c>
      <c r="AB436" s="14"/>
      <c r="AC436" s="12">
        <v>0.0</v>
      </c>
      <c r="AD436" s="13" t="str">
        <f>IFERROR(AC436/AC446, "NA")</f>
        <v>NA</v>
      </c>
      <c r="AE436" s="14"/>
      <c r="AF436" s="12">
        <v>0.0</v>
      </c>
      <c r="AG436" s="13" t="str">
        <f>IFERROR(AF436/AF446, "NA")</f>
        <v>NA</v>
      </c>
      <c r="AH436" s="14"/>
      <c r="AI436" s="12">
        <v>0.0</v>
      </c>
      <c r="AJ436" s="13" t="str">
        <f>IFERROR(AI436/AI446, "NA")</f>
        <v>NA</v>
      </c>
      <c r="AK436" s="12"/>
      <c r="AL436" s="15">
        <f t="shared" si="61"/>
        <v>0</v>
      </c>
      <c r="AM436" s="13" t="str">
        <f>IFERROR(AL436/AL446, "NA")</f>
        <v>NA</v>
      </c>
      <c r="AN436" s="12"/>
      <c r="AO436" s="12">
        <v>0.0</v>
      </c>
      <c r="AP436" s="13" t="str">
        <f>IFERROR(AO436/AO446, "NA")</f>
        <v>NA</v>
      </c>
      <c r="AQ436" s="12"/>
      <c r="AR436" s="15">
        <f t="shared" si="62"/>
        <v>0</v>
      </c>
    </row>
    <row r="437" ht="16.5" hidden="1" customHeight="1">
      <c r="A437" s="11" t="s">
        <v>775</v>
      </c>
      <c r="B437" s="12">
        <v>0.0</v>
      </c>
      <c r="C437" s="13" t="str">
        <f>IFERROR(B437/B446, "NA")</f>
        <v>NA</v>
      </c>
      <c r="D437" s="14"/>
      <c r="E437" s="12">
        <v>0.0</v>
      </c>
      <c r="F437" s="13" t="str">
        <f>IFERROR(E437/E446, "NA")</f>
        <v>NA</v>
      </c>
      <c r="G437" s="14"/>
      <c r="H437" s="12">
        <v>0.0</v>
      </c>
      <c r="I437" s="13" t="str">
        <f>IFERROR(H437/H446, "NA")</f>
        <v>NA</v>
      </c>
      <c r="J437" s="14"/>
      <c r="K437" s="12">
        <v>0.0</v>
      </c>
      <c r="L437" s="13" t="str">
        <f>IFERROR(K437/K446, "NA")</f>
        <v>NA</v>
      </c>
      <c r="M437" s="14"/>
      <c r="N437" s="12">
        <v>0.0</v>
      </c>
      <c r="O437" s="13" t="str">
        <f>IFERROR(N437/N446, "NA")</f>
        <v>NA</v>
      </c>
      <c r="P437" s="14"/>
      <c r="Q437" s="12">
        <v>0.0</v>
      </c>
      <c r="R437" s="13" t="str">
        <f>IFERROR(Q437/Q446, "NA")</f>
        <v>NA</v>
      </c>
      <c r="S437" s="14"/>
      <c r="T437" s="12">
        <v>0.0</v>
      </c>
      <c r="U437" s="13" t="str">
        <f>IFERROR(T437/T446, "NA")</f>
        <v>NA</v>
      </c>
      <c r="V437" s="14"/>
      <c r="W437" s="12">
        <v>0.0</v>
      </c>
      <c r="X437" s="13" t="str">
        <f>IFERROR(W437/W446, "NA")</f>
        <v>NA</v>
      </c>
      <c r="Y437" s="14"/>
      <c r="Z437" s="12">
        <v>0.0</v>
      </c>
      <c r="AA437" s="13" t="str">
        <f>IFERROR(Z437/Z446, "NA")</f>
        <v>NA</v>
      </c>
      <c r="AB437" s="14"/>
      <c r="AC437" s="12">
        <v>0.0</v>
      </c>
      <c r="AD437" s="13" t="str">
        <f>IFERROR(AC437/AC446, "NA")</f>
        <v>NA</v>
      </c>
      <c r="AE437" s="14"/>
      <c r="AF437" s="12">
        <v>0.0</v>
      </c>
      <c r="AG437" s="13" t="str">
        <f>IFERROR(AF437/AF446, "NA")</f>
        <v>NA</v>
      </c>
      <c r="AH437" s="14"/>
      <c r="AI437" s="12">
        <v>0.0</v>
      </c>
      <c r="AJ437" s="13" t="str">
        <f>IFERROR(AI437/AI446, "NA")</f>
        <v>NA</v>
      </c>
      <c r="AK437" s="12"/>
      <c r="AL437" s="15">
        <f t="shared" si="61"/>
        <v>0</v>
      </c>
      <c r="AM437" s="13" t="str">
        <f>IFERROR(AL437/AL446, "NA")</f>
        <v>NA</v>
      </c>
      <c r="AN437" s="12"/>
      <c r="AO437" s="12">
        <v>0.0</v>
      </c>
      <c r="AP437" s="13" t="str">
        <f>IFERROR(AO437/AO446, "NA")</f>
        <v>NA</v>
      </c>
      <c r="AQ437" s="12"/>
      <c r="AR437" s="15">
        <f t="shared" si="62"/>
        <v>0</v>
      </c>
    </row>
    <row r="438" ht="16.5" hidden="1" customHeight="1">
      <c r="A438" s="11" t="s">
        <v>776</v>
      </c>
      <c r="B438" s="12">
        <v>0.0</v>
      </c>
      <c r="C438" s="13" t="str">
        <f>IFERROR(B438/B446, "NA")</f>
        <v>NA</v>
      </c>
      <c r="D438" s="14"/>
      <c r="E438" s="12">
        <v>0.0</v>
      </c>
      <c r="F438" s="13" t="str">
        <f>IFERROR(E438/E446, "NA")</f>
        <v>NA</v>
      </c>
      <c r="G438" s="14"/>
      <c r="H438" s="12">
        <v>0.0</v>
      </c>
      <c r="I438" s="13" t="str">
        <f>IFERROR(H438/H446, "NA")</f>
        <v>NA</v>
      </c>
      <c r="J438" s="14"/>
      <c r="K438" s="12">
        <v>0.0</v>
      </c>
      <c r="L438" s="13" t="str">
        <f>IFERROR(K438/K446, "NA")</f>
        <v>NA</v>
      </c>
      <c r="M438" s="14"/>
      <c r="N438" s="12">
        <v>0.0</v>
      </c>
      <c r="O438" s="13" t="str">
        <f>IFERROR(N438/N446, "NA")</f>
        <v>NA</v>
      </c>
      <c r="P438" s="14"/>
      <c r="Q438" s="12">
        <v>0.0</v>
      </c>
      <c r="R438" s="13" t="str">
        <f>IFERROR(Q438/Q446, "NA")</f>
        <v>NA</v>
      </c>
      <c r="S438" s="14"/>
      <c r="T438" s="12">
        <v>0.0</v>
      </c>
      <c r="U438" s="13" t="str">
        <f>IFERROR(T438/T446, "NA")</f>
        <v>NA</v>
      </c>
      <c r="V438" s="14"/>
      <c r="W438" s="12">
        <v>0.0</v>
      </c>
      <c r="X438" s="13" t="str">
        <f>IFERROR(W438/W446, "NA")</f>
        <v>NA</v>
      </c>
      <c r="Y438" s="14"/>
      <c r="Z438" s="12">
        <v>0.0</v>
      </c>
      <c r="AA438" s="13" t="str">
        <f>IFERROR(Z438/Z446, "NA")</f>
        <v>NA</v>
      </c>
      <c r="AB438" s="14"/>
      <c r="AC438" s="12">
        <v>0.0</v>
      </c>
      <c r="AD438" s="13" t="str">
        <f>IFERROR(AC438/AC446, "NA")</f>
        <v>NA</v>
      </c>
      <c r="AE438" s="14"/>
      <c r="AF438" s="12">
        <v>0.0</v>
      </c>
      <c r="AG438" s="13" t="str">
        <f>IFERROR(AF438/AF446, "NA")</f>
        <v>NA</v>
      </c>
      <c r="AH438" s="14"/>
      <c r="AI438" s="12">
        <v>0.0</v>
      </c>
      <c r="AJ438" s="13" t="str">
        <f>IFERROR(AI438/AI446, "NA")</f>
        <v>NA</v>
      </c>
      <c r="AK438" s="12"/>
      <c r="AL438" s="15">
        <f t="shared" si="61"/>
        <v>0</v>
      </c>
      <c r="AM438" s="13" t="str">
        <f>IFERROR(AL438/AL446, "NA")</f>
        <v>NA</v>
      </c>
      <c r="AN438" s="12"/>
      <c r="AO438" s="12">
        <v>0.0</v>
      </c>
      <c r="AP438" s="13" t="str">
        <f>IFERROR(AO438/AO446, "NA")</f>
        <v>NA</v>
      </c>
      <c r="AQ438" s="12"/>
      <c r="AR438" s="15">
        <f t="shared" si="62"/>
        <v>0</v>
      </c>
    </row>
    <row r="439" ht="30.75" hidden="1" customHeight="1">
      <c r="A439" s="11" t="s">
        <v>777</v>
      </c>
      <c r="B439" s="12">
        <v>0.0</v>
      </c>
      <c r="C439" s="13" t="str">
        <f>IFERROR(B439/B446, "NA")</f>
        <v>NA</v>
      </c>
      <c r="D439" s="14"/>
      <c r="E439" s="12">
        <v>0.0</v>
      </c>
      <c r="F439" s="13" t="str">
        <f>IFERROR(E439/E446, "NA")</f>
        <v>NA</v>
      </c>
      <c r="G439" s="14"/>
      <c r="H439" s="12">
        <v>0.0</v>
      </c>
      <c r="I439" s="13" t="str">
        <f>IFERROR(H439/H446, "NA")</f>
        <v>NA</v>
      </c>
      <c r="J439" s="14"/>
      <c r="K439" s="12">
        <v>0.0</v>
      </c>
      <c r="L439" s="13" t="str">
        <f>IFERROR(K439/K446, "NA")</f>
        <v>NA</v>
      </c>
      <c r="M439" s="14"/>
      <c r="N439" s="12">
        <v>0.0</v>
      </c>
      <c r="O439" s="13" t="str">
        <f>IFERROR(N439/N446, "NA")</f>
        <v>NA</v>
      </c>
      <c r="P439" s="14"/>
      <c r="Q439" s="12">
        <v>0.0</v>
      </c>
      <c r="R439" s="13" t="str">
        <f>IFERROR(Q439/Q446, "NA")</f>
        <v>NA</v>
      </c>
      <c r="S439" s="14"/>
      <c r="T439" s="12">
        <v>0.0</v>
      </c>
      <c r="U439" s="13" t="str">
        <f>IFERROR(T439/T446, "NA")</f>
        <v>NA</v>
      </c>
      <c r="V439" s="14"/>
      <c r="W439" s="12">
        <v>0.0</v>
      </c>
      <c r="X439" s="13" t="str">
        <f>IFERROR(W439/W446, "NA")</f>
        <v>NA</v>
      </c>
      <c r="Y439" s="14"/>
      <c r="Z439" s="12">
        <v>0.0</v>
      </c>
      <c r="AA439" s="13" t="str">
        <f>IFERROR(Z439/Z446, "NA")</f>
        <v>NA</v>
      </c>
      <c r="AB439" s="14"/>
      <c r="AC439" s="12">
        <v>0.0</v>
      </c>
      <c r="AD439" s="13" t="str">
        <f>IFERROR(AC439/AC446, "NA")</f>
        <v>NA</v>
      </c>
      <c r="AE439" s="14"/>
      <c r="AF439" s="12">
        <v>0.0</v>
      </c>
      <c r="AG439" s="13" t="str">
        <f>IFERROR(AF439/AF446, "NA")</f>
        <v>NA</v>
      </c>
      <c r="AH439" s="14"/>
      <c r="AI439" s="12">
        <v>0.0</v>
      </c>
      <c r="AJ439" s="13" t="str">
        <f>IFERROR(AI439/AI446, "NA")</f>
        <v>NA</v>
      </c>
      <c r="AK439" s="12"/>
      <c r="AL439" s="15">
        <f t="shared" si="61"/>
        <v>0</v>
      </c>
      <c r="AM439" s="13" t="str">
        <f>IFERROR(AL439/AL446, "NA")</f>
        <v>NA</v>
      </c>
      <c r="AN439" s="12"/>
      <c r="AO439" s="12">
        <v>0.0</v>
      </c>
      <c r="AP439" s="13" t="str">
        <f>IFERROR(AO439/AO446, "NA")</f>
        <v>NA</v>
      </c>
      <c r="AQ439" s="12"/>
      <c r="AR439" s="15">
        <f t="shared" si="62"/>
        <v>0</v>
      </c>
    </row>
    <row r="440" ht="30.75" hidden="1" customHeight="1">
      <c r="A440" s="11" t="s">
        <v>778</v>
      </c>
      <c r="B440" s="12">
        <v>0.0</v>
      </c>
      <c r="C440" s="13" t="str">
        <f>IFERROR(B440/B446, "NA")</f>
        <v>NA</v>
      </c>
      <c r="D440" s="14"/>
      <c r="E440" s="12">
        <v>0.0</v>
      </c>
      <c r="F440" s="13" t="str">
        <f>IFERROR(E440/E446, "NA")</f>
        <v>NA</v>
      </c>
      <c r="G440" s="14"/>
      <c r="H440" s="12">
        <v>0.0</v>
      </c>
      <c r="I440" s="13" t="str">
        <f>IFERROR(H440/H446, "NA")</f>
        <v>NA</v>
      </c>
      <c r="J440" s="14"/>
      <c r="K440" s="12">
        <v>0.0</v>
      </c>
      <c r="L440" s="13" t="str">
        <f>IFERROR(K440/K446, "NA")</f>
        <v>NA</v>
      </c>
      <c r="M440" s="14"/>
      <c r="N440" s="12">
        <v>0.0</v>
      </c>
      <c r="O440" s="13" t="str">
        <f>IFERROR(N440/N446, "NA")</f>
        <v>NA</v>
      </c>
      <c r="P440" s="14"/>
      <c r="Q440" s="12">
        <v>0.0</v>
      </c>
      <c r="R440" s="13" t="str">
        <f>IFERROR(Q440/Q446, "NA")</f>
        <v>NA</v>
      </c>
      <c r="S440" s="14"/>
      <c r="T440" s="12">
        <v>0.0</v>
      </c>
      <c r="U440" s="13" t="str">
        <f>IFERROR(T440/T446, "NA")</f>
        <v>NA</v>
      </c>
      <c r="V440" s="14"/>
      <c r="W440" s="12">
        <v>0.0</v>
      </c>
      <c r="X440" s="13" t="str">
        <f>IFERROR(W440/W446, "NA")</f>
        <v>NA</v>
      </c>
      <c r="Y440" s="14"/>
      <c r="Z440" s="12">
        <v>0.0</v>
      </c>
      <c r="AA440" s="13" t="str">
        <f>IFERROR(Z440/Z446, "NA")</f>
        <v>NA</v>
      </c>
      <c r="AB440" s="14"/>
      <c r="AC440" s="12">
        <v>0.0</v>
      </c>
      <c r="AD440" s="13" t="str">
        <f>IFERROR(AC440/AC446, "NA")</f>
        <v>NA</v>
      </c>
      <c r="AE440" s="14"/>
      <c r="AF440" s="12">
        <v>0.0</v>
      </c>
      <c r="AG440" s="13" t="str">
        <f>IFERROR(AF440/AF446, "NA")</f>
        <v>NA</v>
      </c>
      <c r="AH440" s="14"/>
      <c r="AI440" s="12">
        <v>0.0</v>
      </c>
      <c r="AJ440" s="13" t="str">
        <f>IFERROR(AI440/AI446, "NA")</f>
        <v>NA</v>
      </c>
      <c r="AK440" s="12"/>
      <c r="AL440" s="15">
        <f t="shared" si="61"/>
        <v>0</v>
      </c>
      <c r="AM440" s="13" t="str">
        <f>IFERROR(AL440/AL446, "NA")</f>
        <v>NA</v>
      </c>
      <c r="AN440" s="12"/>
      <c r="AO440" s="12">
        <v>0.0</v>
      </c>
      <c r="AP440" s="13" t="str">
        <f>IFERROR(AO440/AO446, "NA")</f>
        <v>NA</v>
      </c>
      <c r="AQ440" s="12"/>
      <c r="AR440" s="15">
        <f t="shared" si="62"/>
        <v>0</v>
      </c>
    </row>
    <row r="441" ht="30.75" hidden="1" customHeight="1">
      <c r="A441" s="11" t="s">
        <v>779</v>
      </c>
      <c r="B441" s="12">
        <v>0.0</v>
      </c>
      <c r="C441" s="13" t="str">
        <f>IFERROR(B441/B446, "NA")</f>
        <v>NA</v>
      </c>
      <c r="D441" s="14"/>
      <c r="E441" s="12">
        <v>0.0</v>
      </c>
      <c r="F441" s="13" t="str">
        <f>IFERROR(E441/E446, "NA")</f>
        <v>NA</v>
      </c>
      <c r="G441" s="14"/>
      <c r="H441" s="12">
        <v>0.0</v>
      </c>
      <c r="I441" s="13" t="str">
        <f>IFERROR(H441/H446, "NA")</f>
        <v>NA</v>
      </c>
      <c r="J441" s="14"/>
      <c r="K441" s="12">
        <v>0.0</v>
      </c>
      <c r="L441" s="13" t="str">
        <f>IFERROR(K441/K446, "NA")</f>
        <v>NA</v>
      </c>
      <c r="M441" s="14"/>
      <c r="N441" s="12">
        <v>0.0</v>
      </c>
      <c r="O441" s="13" t="str">
        <f>IFERROR(N441/N446, "NA")</f>
        <v>NA</v>
      </c>
      <c r="P441" s="14"/>
      <c r="Q441" s="12">
        <v>0.0</v>
      </c>
      <c r="R441" s="13" t="str">
        <f>IFERROR(Q441/Q446, "NA")</f>
        <v>NA</v>
      </c>
      <c r="S441" s="14"/>
      <c r="T441" s="12">
        <v>0.0</v>
      </c>
      <c r="U441" s="13" t="str">
        <f>IFERROR(T441/T446, "NA")</f>
        <v>NA</v>
      </c>
      <c r="V441" s="14"/>
      <c r="W441" s="12">
        <v>0.0</v>
      </c>
      <c r="X441" s="13" t="str">
        <f>IFERROR(W441/W446, "NA")</f>
        <v>NA</v>
      </c>
      <c r="Y441" s="14"/>
      <c r="Z441" s="12">
        <v>0.0</v>
      </c>
      <c r="AA441" s="13" t="str">
        <f>IFERROR(Z441/Z446, "NA")</f>
        <v>NA</v>
      </c>
      <c r="AB441" s="14"/>
      <c r="AC441" s="12">
        <v>0.0</v>
      </c>
      <c r="AD441" s="13" t="str">
        <f>IFERROR(AC441/AC446, "NA")</f>
        <v>NA</v>
      </c>
      <c r="AE441" s="14"/>
      <c r="AF441" s="12">
        <v>0.0</v>
      </c>
      <c r="AG441" s="13" t="str">
        <f>IFERROR(AF441/AF446, "NA")</f>
        <v>NA</v>
      </c>
      <c r="AH441" s="14"/>
      <c r="AI441" s="12">
        <v>0.0</v>
      </c>
      <c r="AJ441" s="13" t="str">
        <f>IFERROR(AI441/AI446, "NA")</f>
        <v>NA</v>
      </c>
      <c r="AK441" s="12"/>
      <c r="AL441" s="15">
        <f t="shared" si="61"/>
        <v>0</v>
      </c>
      <c r="AM441" s="13" t="str">
        <f>IFERROR(AL441/AL446, "NA")</f>
        <v>NA</v>
      </c>
      <c r="AN441" s="12"/>
      <c r="AO441" s="12">
        <v>0.0</v>
      </c>
      <c r="AP441" s="13" t="str">
        <f>IFERROR(AO441/AO446, "NA")</f>
        <v>NA</v>
      </c>
      <c r="AQ441" s="12"/>
      <c r="AR441" s="15">
        <f t="shared" si="62"/>
        <v>0</v>
      </c>
    </row>
    <row r="442" ht="30.75" hidden="1" customHeight="1">
      <c r="A442" s="11" t="s">
        <v>780</v>
      </c>
      <c r="B442" s="12">
        <v>0.0</v>
      </c>
      <c r="C442" s="13" t="str">
        <f>IFERROR(B442/B446, "NA")</f>
        <v>NA</v>
      </c>
      <c r="D442" s="14"/>
      <c r="E442" s="12">
        <v>0.0</v>
      </c>
      <c r="F442" s="13" t="str">
        <f>IFERROR(E442/E446, "NA")</f>
        <v>NA</v>
      </c>
      <c r="G442" s="14"/>
      <c r="H442" s="12">
        <v>0.0</v>
      </c>
      <c r="I442" s="13" t="str">
        <f>IFERROR(H442/H446, "NA")</f>
        <v>NA</v>
      </c>
      <c r="J442" s="14"/>
      <c r="K442" s="12">
        <v>0.0</v>
      </c>
      <c r="L442" s="13" t="str">
        <f>IFERROR(K442/K446, "NA")</f>
        <v>NA</v>
      </c>
      <c r="M442" s="14"/>
      <c r="N442" s="12">
        <v>0.0</v>
      </c>
      <c r="O442" s="13" t="str">
        <f>IFERROR(N442/N446, "NA")</f>
        <v>NA</v>
      </c>
      <c r="P442" s="14"/>
      <c r="Q442" s="12">
        <v>0.0</v>
      </c>
      <c r="R442" s="13" t="str">
        <f>IFERROR(Q442/Q446, "NA")</f>
        <v>NA</v>
      </c>
      <c r="S442" s="14"/>
      <c r="T442" s="12">
        <v>0.0</v>
      </c>
      <c r="U442" s="13" t="str">
        <f>IFERROR(T442/T446, "NA")</f>
        <v>NA</v>
      </c>
      <c r="V442" s="14"/>
      <c r="W442" s="12">
        <v>0.0</v>
      </c>
      <c r="X442" s="13" t="str">
        <f>IFERROR(W442/W446, "NA")</f>
        <v>NA</v>
      </c>
      <c r="Y442" s="14"/>
      <c r="Z442" s="12">
        <v>0.0</v>
      </c>
      <c r="AA442" s="13" t="str">
        <f>IFERROR(Z442/Z446, "NA")</f>
        <v>NA</v>
      </c>
      <c r="AB442" s="14"/>
      <c r="AC442" s="12">
        <v>0.0</v>
      </c>
      <c r="AD442" s="13" t="str">
        <f>IFERROR(AC442/AC446, "NA")</f>
        <v>NA</v>
      </c>
      <c r="AE442" s="14"/>
      <c r="AF442" s="12">
        <v>0.0</v>
      </c>
      <c r="AG442" s="13" t="str">
        <f>IFERROR(AF442/AF446, "NA")</f>
        <v>NA</v>
      </c>
      <c r="AH442" s="14"/>
      <c r="AI442" s="12">
        <v>0.0</v>
      </c>
      <c r="AJ442" s="13" t="str">
        <f>IFERROR(AI442/AI446, "NA")</f>
        <v>NA</v>
      </c>
      <c r="AK442" s="12"/>
      <c r="AL442" s="15">
        <f t="shared" si="61"/>
        <v>0</v>
      </c>
      <c r="AM442" s="13" t="str">
        <f>IFERROR(AL442/AL446, "NA")</f>
        <v>NA</v>
      </c>
      <c r="AN442" s="12"/>
      <c r="AO442" s="12">
        <v>0.0</v>
      </c>
      <c r="AP442" s="13" t="str">
        <f>IFERROR(AO442/AO446, "NA")</f>
        <v>NA</v>
      </c>
      <c r="AQ442" s="12"/>
      <c r="AR442" s="15">
        <f t="shared" si="62"/>
        <v>0</v>
      </c>
    </row>
    <row r="443" ht="16.5" customHeight="1">
      <c r="A443" s="16" t="s">
        <v>410</v>
      </c>
      <c r="B443" s="17">
        <f>IFERROR(B434+B435+B436+B437+B438+B439+B440+B441+B442, "NA")</f>
        <v>0</v>
      </c>
      <c r="C443" s="18" t="str">
        <f>IFERROR(B443/B446, "NA")</f>
        <v>NA</v>
      </c>
      <c r="D443" s="8"/>
      <c r="E443" s="17">
        <f>IFERROR(E434+E435+E436+E437+E438+E439+E440+E441+E442, "NA")</f>
        <v>0</v>
      </c>
      <c r="F443" s="18" t="str">
        <f>IFERROR(E443/E446, "NA")</f>
        <v>NA</v>
      </c>
      <c r="G443" s="8"/>
      <c r="H443" s="17">
        <f>IFERROR(H434+H435+H436+H437+H438+H439+H440+H441+H442, "NA")</f>
        <v>0</v>
      </c>
      <c r="I443" s="18" t="str">
        <f>IFERROR(H443/H446, "NA")</f>
        <v>NA</v>
      </c>
      <c r="J443" s="8"/>
      <c r="K443" s="17">
        <f>IFERROR(K434+K435+K436+K437+K438+K439+K440+K441+K442, "NA")</f>
        <v>0</v>
      </c>
      <c r="L443" s="18" t="str">
        <f>IFERROR(K443/K446, "NA")</f>
        <v>NA</v>
      </c>
      <c r="M443" s="8"/>
      <c r="N443" s="17">
        <f>IFERROR(N434+N435+N436+N437+N438+N439+N440+N441+N442, "NA")</f>
        <v>0</v>
      </c>
      <c r="O443" s="18" t="str">
        <f>IFERROR(N443/N446, "NA")</f>
        <v>NA</v>
      </c>
      <c r="P443" s="8"/>
      <c r="Q443" s="17">
        <f>IFERROR(Q434+Q435+Q436+Q437+Q438+Q439+Q440+Q441+Q442, "NA")</f>
        <v>0</v>
      </c>
      <c r="R443" s="18" t="str">
        <f>IFERROR(Q443/Q446, "NA")</f>
        <v>NA</v>
      </c>
      <c r="S443" s="8"/>
      <c r="T443" s="17">
        <f>IFERROR(T434+T435+T436+T437+T438+T439+T440+T441+T442, "NA")</f>
        <v>0</v>
      </c>
      <c r="U443" s="18" t="str">
        <f>IFERROR(T443/T446, "NA")</f>
        <v>NA</v>
      </c>
      <c r="V443" s="8"/>
      <c r="W443" s="17">
        <f>IFERROR(W434+W435+W436+W437+W438+W439+W440+W441+W442, "NA")</f>
        <v>0</v>
      </c>
      <c r="X443" s="18" t="str">
        <f>IFERROR(W443/W446, "NA")</f>
        <v>NA</v>
      </c>
      <c r="Y443" s="8"/>
      <c r="Z443" s="17">
        <f>IFERROR(Z434+Z435+Z436+Z437+Z438+Z439+Z440+Z441+Z442, "NA")</f>
        <v>0</v>
      </c>
      <c r="AA443" s="18" t="str">
        <f>IFERROR(Z443/Z446, "NA")</f>
        <v>NA</v>
      </c>
      <c r="AB443" s="8"/>
      <c r="AC443" s="17">
        <f>IFERROR(AC434+AC435+AC436+AC437+AC438+AC439+AC440+AC441+AC442, "NA")</f>
        <v>0</v>
      </c>
      <c r="AD443" s="18" t="str">
        <f>IFERROR(AC443/AC446, "NA")</f>
        <v>NA</v>
      </c>
      <c r="AE443" s="8"/>
      <c r="AF443" s="17">
        <f>IFERROR(AF434+AF435+AF436+AF437+AF438+AF439+AF440+AF441+AF442, "NA")</f>
        <v>0</v>
      </c>
      <c r="AG443" s="18" t="str">
        <f>IFERROR(AF443/AF446, "NA")</f>
        <v>NA</v>
      </c>
      <c r="AH443" s="8"/>
      <c r="AI443" s="17">
        <f>IFERROR(AI434+AI435+AI436+AI437+AI438+AI439+AI440+AI441+AI442, "NA")</f>
        <v>0</v>
      </c>
      <c r="AJ443" s="18" t="str">
        <f>IFERROR(AI443/AI446, "NA")</f>
        <v>NA</v>
      </c>
      <c r="AK443" s="8"/>
      <c r="AL443" s="17">
        <f t="shared" si="61"/>
        <v>0</v>
      </c>
      <c r="AM443" s="18" t="str">
        <f>IFERROR(AL443/AL446, "NA")</f>
        <v>NA</v>
      </c>
      <c r="AN443" s="8"/>
      <c r="AO443" s="17">
        <f>IFERROR(AO434+AO435+AO436+AO437+AO438+AO439+AO440+AO441+AO442, "NA")</f>
        <v>0</v>
      </c>
      <c r="AP443" s="18" t="str">
        <f>IFERROR(AO443/AO446, "NA")</f>
        <v>NA</v>
      </c>
      <c r="AQ443" s="8"/>
      <c r="AR443" s="17">
        <f t="shared" si="62"/>
        <v>0</v>
      </c>
    </row>
    <row r="444" ht="16.5" customHeight="1">
      <c r="A444" s="16" t="s">
        <v>411</v>
      </c>
      <c r="B444" s="17">
        <f>IFERROR(B434+B435+B436+B437+B438+B439+B440+B441+B442, "NA")</f>
        <v>0</v>
      </c>
      <c r="C444" s="18" t="str">
        <f>IFERROR(B444/B446, "NA")</f>
        <v>NA</v>
      </c>
      <c r="D444" s="8"/>
      <c r="E444" s="17">
        <f>IFERROR(E434+E435+E436+E437+E438+E439+E440+E441+E442, "NA")</f>
        <v>0</v>
      </c>
      <c r="F444" s="18" t="str">
        <f>IFERROR(E444/E446, "NA")</f>
        <v>NA</v>
      </c>
      <c r="G444" s="8"/>
      <c r="H444" s="17">
        <f>IFERROR(H434+H435+H436+H437+H438+H439+H440+H441+H442, "NA")</f>
        <v>0</v>
      </c>
      <c r="I444" s="18" t="str">
        <f>IFERROR(H444/H446, "NA")</f>
        <v>NA</v>
      </c>
      <c r="J444" s="8"/>
      <c r="K444" s="17">
        <f>IFERROR(K434+K435+K436+K437+K438+K439+K440+K441+K442, "NA")</f>
        <v>0</v>
      </c>
      <c r="L444" s="18" t="str">
        <f>IFERROR(K444/K446, "NA")</f>
        <v>NA</v>
      </c>
      <c r="M444" s="8"/>
      <c r="N444" s="17">
        <f>IFERROR(N434+N435+N436+N437+N438+N439+N440+N441+N442, "NA")</f>
        <v>0</v>
      </c>
      <c r="O444" s="18" t="str">
        <f>IFERROR(N444/N446, "NA")</f>
        <v>NA</v>
      </c>
      <c r="P444" s="8"/>
      <c r="Q444" s="17">
        <f>IFERROR(Q434+Q435+Q436+Q437+Q438+Q439+Q440+Q441+Q442, "NA")</f>
        <v>0</v>
      </c>
      <c r="R444" s="18" t="str">
        <f>IFERROR(Q444/Q446, "NA")</f>
        <v>NA</v>
      </c>
      <c r="S444" s="8"/>
      <c r="T444" s="17">
        <f>IFERROR(T434+T435+T436+T437+T438+T439+T440+T441+T442, "NA")</f>
        <v>0</v>
      </c>
      <c r="U444" s="18" t="str">
        <f>IFERROR(T444/T446, "NA")</f>
        <v>NA</v>
      </c>
      <c r="V444" s="8"/>
      <c r="W444" s="17">
        <f>IFERROR(W434+W435+W436+W437+W438+W439+W440+W441+W442, "NA")</f>
        <v>0</v>
      </c>
      <c r="X444" s="18" t="str">
        <f>IFERROR(W444/W446, "NA")</f>
        <v>NA</v>
      </c>
      <c r="Y444" s="8"/>
      <c r="Z444" s="17">
        <f>IFERROR(Z434+Z435+Z436+Z437+Z438+Z439+Z440+Z441+Z442, "NA")</f>
        <v>0</v>
      </c>
      <c r="AA444" s="18" t="str">
        <f>IFERROR(Z444/Z446, "NA")</f>
        <v>NA</v>
      </c>
      <c r="AB444" s="8"/>
      <c r="AC444" s="17">
        <f>IFERROR(AC434+AC435+AC436+AC437+AC438+AC439+AC440+AC441+AC442, "NA")</f>
        <v>0</v>
      </c>
      <c r="AD444" s="18" t="str">
        <f>IFERROR(AC444/AC446, "NA")</f>
        <v>NA</v>
      </c>
      <c r="AE444" s="8"/>
      <c r="AF444" s="17">
        <f>IFERROR(AF434+AF435+AF436+AF437+AF438+AF439+AF440+AF441+AF442, "NA")</f>
        <v>0</v>
      </c>
      <c r="AG444" s="18" t="str">
        <f>IFERROR(AF444/AF446, "NA")</f>
        <v>NA</v>
      </c>
      <c r="AH444" s="8"/>
      <c r="AI444" s="17">
        <f>IFERROR(AI434+AI435+AI436+AI437+AI438+AI439+AI440+AI441+AI442, "NA")</f>
        <v>0</v>
      </c>
      <c r="AJ444" s="18" t="str">
        <f>IFERROR(AI444/AI446, "NA")</f>
        <v>NA</v>
      </c>
      <c r="AK444" s="8"/>
      <c r="AL444" s="17">
        <f t="shared" si="61"/>
        <v>0</v>
      </c>
      <c r="AM444" s="18" t="str">
        <f>IFERROR(AL444/AL446, "NA")</f>
        <v>NA</v>
      </c>
      <c r="AN444" s="8"/>
      <c r="AO444" s="17">
        <f>IFERROR(AO434+AO435+AO436+AO437+AO438+AO439+AO440+AO441+AO442, "NA")</f>
        <v>0</v>
      </c>
      <c r="AP444" s="18" t="str">
        <f>IFERROR(AO444/AO446, "NA")</f>
        <v>NA</v>
      </c>
      <c r="AQ444" s="8"/>
      <c r="AR444" s="17">
        <f t="shared" si="62"/>
        <v>0</v>
      </c>
    </row>
    <row r="445" ht="16.5" customHeight="1">
      <c r="A445" s="19" t="s">
        <v>412</v>
      </c>
      <c r="B445" s="20">
        <f>IFERROR(B405-B431-B444, "NA")</f>
        <v>0</v>
      </c>
      <c r="C445" s="21" t="str">
        <f>IFERROR(B445/B446, "NA")</f>
        <v>NA</v>
      </c>
      <c r="D445" s="22"/>
      <c r="E445" s="20">
        <f>IFERROR(E405-E431-E444, "NA")</f>
        <v>0</v>
      </c>
      <c r="F445" s="21" t="str">
        <f>IFERROR(E445/E446, "NA")</f>
        <v>NA</v>
      </c>
      <c r="G445" s="22"/>
      <c r="H445" s="20">
        <f>IFERROR(H405-H431-H444, "NA")</f>
        <v>0</v>
      </c>
      <c r="I445" s="21" t="str">
        <f>IFERROR(H445/H446, "NA")</f>
        <v>NA</v>
      </c>
      <c r="J445" s="22"/>
      <c r="K445" s="20">
        <f>IFERROR(K405-K431-K444, "NA")</f>
        <v>0</v>
      </c>
      <c r="L445" s="21" t="str">
        <f>IFERROR(K445/K446, "NA")</f>
        <v>NA</v>
      </c>
      <c r="M445" s="22"/>
      <c r="N445" s="20">
        <f>IFERROR(N405-N431-N444, "NA")</f>
        <v>0</v>
      </c>
      <c r="O445" s="21" t="str">
        <f>IFERROR(N445/N446, "NA")</f>
        <v>NA</v>
      </c>
      <c r="P445" s="22"/>
      <c r="Q445" s="20">
        <f>IFERROR(Q405-Q431-Q444, "NA")</f>
        <v>0</v>
      </c>
      <c r="R445" s="21" t="str">
        <f>IFERROR(Q445/Q446, "NA")</f>
        <v>NA</v>
      </c>
      <c r="S445" s="22"/>
      <c r="T445" s="20">
        <f>IFERROR(T405-T431-T444, "NA")</f>
        <v>0</v>
      </c>
      <c r="U445" s="21" t="str">
        <f>IFERROR(T445/T446, "NA")</f>
        <v>NA</v>
      </c>
      <c r="V445" s="22"/>
      <c r="W445" s="20">
        <f>IFERROR(W405-W431-W444, "NA")</f>
        <v>0</v>
      </c>
      <c r="X445" s="21" t="str">
        <f>IFERROR(W445/W446, "NA")</f>
        <v>NA</v>
      </c>
      <c r="Y445" s="22"/>
      <c r="Z445" s="20">
        <f>IFERROR(Z405-Z431-Z444, "NA")</f>
        <v>0</v>
      </c>
      <c r="AA445" s="21" t="str">
        <f>IFERROR(Z445/Z446, "NA")</f>
        <v>NA</v>
      </c>
      <c r="AB445" s="22"/>
      <c r="AC445" s="20">
        <f>IFERROR(AC405-AC431-AC444, "NA")</f>
        <v>0</v>
      </c>
      <c r="AD445" s="21" t="str">
        <f>IFERROR(AC445/AC446, "NA")</f>
        <v>NA</v>
      </c>
      <c r="AE445" s="22"/>
      <c r="AF445" s="20">
        <f>IFERROR(AF405-AF431-AF444, "NA")</f>
        <v>0</v>
      </c>
      <c r="AG445" s="21" t="str">
        <f>IFERROR(AF445/AF446, "NA")</f>
        <v>NA</v>
      </c>
      <c r="AH445" s="22"/>
      <c r="AI445" s="20">
        <f>IFERROR(AI405-AI431-AI444, "NA")</f>
        <v>0</v>
      </c>
      <c r="AJ445" s="21" t="str">
        <f>IFERROR(AI445/AI446, "NA")</f>
        <v>NA</v>
      </c>
      <c r="AK445" s="22"/>
      <c r="AL445" s="20">
        <f t="shared" si="61"/>
        <v>0</v>
      </c>
      <c r="AM445" s="21" t="str">
        <f>IFERROR(AL445/AL446, "NA")</f>
        <v>NA</v>
      </c>
      <c r="AN445" s="22"/>
      <c r="AO445" s="20">
        <f>IFERROR(AO405-AO431-AO444, "NA")</f>
        <v>0</v>
      </c>
      <c r="AP445" s="21" t="str">
        <f>IFERROR(AO445/AO446, "NA")</f>
        <v>NA</v>
      </c>
      <c r="AQ445" s="22"/>
      <c r="AR445" s="20">
        <f t="shared" si="62"/>
        <v>0</v>
      </c>
    </row>
    <row r="446" ht="14.25" hidden="1" customHeight="1">
      <c r="A446" s="11" t="s">
        <v>120</v>
      </c>
      <c r="B446" s="12">
        <v>0.0</v>
      </c>
      <c r="C446" s="23"/>
      <c r="D446" s="14"/>
      <c r="E446" s="12">
        <v>0.0</v>
      </c>
      <c r="F446" s="23"/>
      <c r="G446" s="14"/>
      <c r="H446" s="12">
        <v>0.0</v>
      </c>
      <c r="I446" s="23"/>
      <c r="J446" s="14"/>
      <c r="K446" s="12">
        <v>0.0</v>
      </c>
      <c r="L446" s="23"/>
      <c r="M446" s="14"/>
      <c r="N446" s="12">
        <v>0.0</v>
      </c>
      <c r="O446" s="23"/>
      <c r="P446" s="14"/>
      <c r="Q446" s="12">
        <v>0.0</v>
      </c>
      <c r="R446" s="23"/>
      <c r="S446" s="14"/>
      <c r="T446" s="12">
        <v>0.0</v>
      </c>
      <c r="U446" s="23"/>
      <c r="V446" s="14"/>
      <c r="W446" s="12">
        <v>0.0</v>
      </c>
      <c r="X446" s="23"/>
      <c r="Y446" s="14"/>
      <c r="Z446" s="12">
        <v>0.0</v>
      </c>
      <c r="AA446" s="23"/>
      <c r="AB446" s="14"/>
      <c r="AC446" s="12">
        <v>0.0</v>
      </c>
      <c r="AD446" s="23"/>
      <c r="AE446" s="14"/>
      <c r="AF446" s="12">
        <v>0.0</v>
      </c>
      <c r="AG446" s="23"/>
      <c r="AH446" s="14"/>
      <c r="AI446" s="12">
        <v>0.0</v>
      </c>
      <c r="AJ446" s="23"/>
      <c r="AK446" s="12"/>
      <c r="AL446" s="15">
        <f t="shared" si="61"/>
        <v>0</v>
      </c>
      <c r="AM446" s="23"/>
      <c r="AN446" s="12"/>
      <c r="AO446" s="12">
        <v>0.0</v>
      </c>
      <c r="AP446" s="23"/>
      <c r="AQ446" s="12"/>
      <c r="AR446" s="15">
        <f t="shared" si="62"/>
        <v>0</v>
      </c>
    </row>
    <row r="447" ht="14.25" customHeight="1"/>
    <row r="448" ht="14.25" customHeight="1"/>
    <row r="449" ht="14.25" customHeight="1">
      <c r="A449" s="24" t="s">
        <v>413</v>
      </c>
    </row>
    <row r="450" ht="14.25" customHeight="1">
      <c r="A450" s="24" t="s">
        <v>414</v>
      </c>
    </row>
    <row r="451" ht="14.25" customHeight="1">
      <c r="A451" s="24" t="s">
        <v>415</v>
      </c>
    </row>
    <row r="452" ht="14.25" customHeight="1">
      <c r="A452" s="24" t="s">
        <v>416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N5:O5"/>
    <mergeCell ref="Q5:R5"/>
    <mergeCell ref="T5:U5"/>
    <mergeCell ref="W5:X5"/>
    <mergeCell ref="Z5:AA5"/>
    <mergeCell ref="AC5:AD5"/>
    <mergeCell ref="AF5:AG5"/>
    <mergeCell ref="AI5:AJ5"/>
    <mergeCell ref="AL5:AM5"/>
    <mergeCell ref="AO5:AP5"/>
    <mergeCell ref="A1:AR1"/>
    <mergeCell ref="A2:AR2"/>
    <mergeCell ref="A3:AR3"/>
    <mergeCell ref="B5:C5"/>
    <mergeCell ref="E5:F5"/>
    <mergeCell ref="H5:I5"/>
    <mergeCell ref="K5:L5"/>
  </mergeCells>
  <printOptions/>
  <pageMargins bottom="0.75" footer="0.0" header="0.0" left="0.7" right="0.7" top="0.75"/>
  <pageSetup orientation="landscape"/>
  <drawing r:id="rId1"/>
</worksheet>
</file>