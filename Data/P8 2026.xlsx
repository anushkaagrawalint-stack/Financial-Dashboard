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 date1904="0"/>
  <sheets>
    <sheet name="Consolidated" sheetId="1" r:id="rId1"/>
    <sheet name="1 - RASA Worldwide" sheetId="2" r:id="rId2"/>
    <sheet name="2 - RASA - Ballpark" sheetId="3" r:id="rId3"/>
    <sheet name="4 - RASA - MVT" sheetId="4" r:id="rId4"/>
    <sheet name="5 - RASA - National Landin" sheetId="5" r:id="rId5"/>
    <sheet name="6 - RASA - Mosaic" sheetId="6" r:id="rId6"/>
    <sheet name="7 - RASA - Rockville" sheetId="7" r:id="rId7"/>
  </sheets>
  <definedNames>
    <definedName name="_xlnm.Print_Titles" localSheetId="0">Consolidated!$1:$5</definedName>
    <definedName name="_xlnm.Print_Titles" localSheetId="1">'1 - RASA Worldwide'!$1:$5</definedName>
    <definedName name="_xlnm.Print_Titles" localSheetId="2">'2 - RASA - Ballpark'!$1:$5</definedName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</definedNames>
  <calcPr fullCalcOnLoad="1"/>
</workbook>
</file>

<file path=xl/sharedStrings.xml><?xml version="1.0" encoding="utf-8"?>
<sst xmlns="http://schemas.openxmlformats.org/spreadsheetml/2006/main">
  <si>
    <t>P&amp;L - Per. &amp; YTD vs Budget and PY</t>
  </si>
  <si>
    <t>08/23/2026</t>
  </si>
  <si>
    <t>Consolidated</t>
  </si>
  <si>
    <t/>
  </si>
  <si>
    <t>Actual</t>
  </si>
  <si>
    <t>Budget</t>
  </si>
  <si>
    <t>Variance</t>
  </si>
  <si>
    <t>Prior Year</t>
  </si>
  <si>
    <t>YTD Actual</t>
  </si>
  <si>
    <t>YTD Budget</t>
  </si>
  <si>
    <t>YTD Prior</t>
  </si>
  <si>
    <t>Sales</t>
  </si>
  <si>
    <t>Single Plate In-House Sales</t>
  </si>
  <si>
    <t>Food</t>
  </si>
  <si>
    <t>N/A Beverage</t>
  </si>
  <si>
    <t>Beer</t>
  </si>
  <si>
    <t>Liquor</t>
  </si>
  <si>
    <t>Wine</t>
  </si>
  <si>
    <t>Retail</t>
  </si>
  <si>
    <t>DNU_Wow Bao Sales</t>
  </si>
  <si>
    <t>Total Single Plate In-House Sales</t>
  </si>
  <si>
    <t>DNU_Digital Sales</t>
  </si>
  <si>
    <t>Takeout Sales</t>
  </si>
  <si>
    <t>Takeout Sales - RASA Website</t>
  </si>
  <si>
    <t>Takeout Sales - RASA App</t>
  </si>
  <si>
    <t>Takeout Sales - DoorDash</t>
  </si>
  <si>
    <t>Takeout Sales - GrubHub</t>
  </si>
  <si>
    <t>Takeout Sales - Uber Eats</t>
  </si>
  <si>
    <t>Takeout Sales - Ritual</t>
  </si>
  <si>
    <t>Takeout Sales - Too Good To Go</t>
  </si>
  <si>
    <t>Total Takeout Sales</t>
  </si>
  <si>
    <t>Delivery Sales</t>
  </si>
  <si>
    <t>Delivery Sales - Hungry Marketplace</t>
  </si>
  <si>
    <t>Delivery Sales - DoorDash</t>
  </si>
  <si>
    <t>Delivery Sales - Google</t>
  </si>
  <si>
    <t>Delivery Sales - GrubHub</t>
  </si>
  <si>
    <t>Delivery Sales - Uber Eats</t>
  </si>
  <si>
    <t>Delivery Sales - RASA App</t>
  </si>
  <si>
    <t>DNU_Delivery Sales - RASA Website</t>
  </si>
  <si>
    <t>Delivery Sales - RASA Website</t>
  </si>
  <si>
    <t>Total Delivery Sales</t>
  </si>
  <si>
    <t>Catering Sales</t>
  </si>
  <si>
    <t>Catering Sales - RASA Website</t>
  </si>
  <si>
    <t>DNU_RASA Owned Catering Sales</t>
  </si>
  <si>
    <t>Catering Sales - Other 3rd Party</t>
  </si>
  <si>
    <t>Catering Sales - Cater Cow</t>
  </si>
  <si>
    <t>Catering Sales - EZ Cater</t>
  </si>
  <si>
    <t>Catering Sales - Food Fleet</t>
  </si>
  <si>
    <t>Catering Sales - Hungry Marketplace</t>
  </si>
  <si>
    <t>Catering Sales - Territory Foods</t>
  </si>
  <si>
    <t>Catering Sales - WCK</t>
  </si>
  <si>
    <t>Catering Sales - Foodworks</t>
  </si>
  <si>
    <t>Catering Sales - Foodee</t>
  </si>
  <si>
    <t>Catering Sales - Sharebite</t>
  </si>
  <si>
    <t>Catering Sales - Cater 2 Me</t>
  </si>
  <si>
    <t>Catering Sales - ZeroCater</t>
  </si>
  <si>
    <t>Catering Sales - Homemade in DC</t>
  </si>
  <si>
    <t>Catering Sales - Budeli</t>
  </si>
  <si>
    <t>Catering Sales - Club Feast</t>
  </si>
  <si>
    <t>Total Catering Sales - Other 3rd Party</t>
  </si>
  <si>
    <t>Total Catering Sales</t>
  </si>
  <si>
    <t>Offsites</t>
  </si>
  <si>
    <t>Offsites - Fooda</t>
  </si>
  <si>
    <t>Offsites - Aramark</t>
  </si>
  <si>
    <t>Offsites - Compass</t>
  </si>
  <si>
    <t>Offsites - Eurest</t>
  </si>
  <si>
    <t>Offsites - Taher</t>
  </si>
  <si>
    <t>Offsites - Metz Corp</t>
  </si>
  <si>
    <t>Offsites - Guest Services</t>
  </si>
  <si>
    <t>Offsites - Cureate</t>
  </si>
  <si>
    <t>Total Offsites</t>
  </si>
  <si>
    <t>Delivery Fee Income</t>
  </si>
  <si>
    <t>Delivery Service Charge</t>
  </si>
  <si>
    <t>Delivery Fee - Online Ordering</t>
  </si>
  <si>
    <t>Delivery Fee - Cater Cow</t>
  </si>
  <si>
    <t>Delivery Fee - Delivery by DoorDash (WL)</t>
  </si>
  <si>
    <t>Delivery Fee - EZ Cater</t>
  </si>
  <si>
    <t>Delivery Fee - GrubHub</t>
  </si>
  <si>
    <t>Delivery Fee - Sharebite</t>
  </si>
  <si>
    <t>Delivery Fee - Fooda</t>
  </si>
  <si>
    <t>Delivery Fee - Uber Eats</t>
  </si>
  <si>
    <t>Delivery Fee - Cater 2 Me</t>
  </si>
  <si>
    <t>Delivery Fee - ZeroCater</t>
  </si>
  <si>
    <t>Delivery Fee - Compass</t>
  </si>
  <si>
    <t>Total Delivery Fee Income</t>
  </si>
  <si>
    <t>Sales Adjustments</t>
  </si>
  <si>
    <t>Open App Sales Adjustments</t>
  </si>
  <si>
    <t>Open Tickets</t>
  </si>
  <si>
    <t>Toast Order Processing Fees</t>
  </si>
  <si>
    <t>Discounts / Refunds</t>
  </si>
  <si>
    <t>Squad Discount</t>
  </si>
  <si>
    <t>Squad Meals</t>
  </si>
  <si>
    <t>Free Meal Cards (This Ones on Us)</t>
  </si>
  <si>
    <t>Open App Loyalty</t>
  </si>
  <si>
    <t>Magic Fund</t>
  </si>
  <si>
    <t>Manager Comps</t>
  </si>
  <si>
    <t>Open App Promos</t>
  </si>
  <si>
    <t>SLT Comps</t>
  </si>
  <si>
    <t>Open App Store Credits</t>
  </si>
  <si>
    <t>LSM Comps</t>
  </si>
  <si>
    <t>Meridian Resident Online Order</t>
  </si>
  <si>
    <t>Catering Comps</t>
  </si>
  <si>
    <t>Veg Society 10% Off</t>
  </si>
  <si>
    <t>Partnerships</t>
  </si>
  <si>
    <t>Discounts / Refunds Given Other</t>
  </si>
  <si>
    <t>Doordash Service Charge</t>
  </si>
  <si>
    <t>RASA Tab 50/100</t>
  </si>
  <si>
    <t>COVID-19</t>
  </si>
  <si>
    <t>50% Off Bowl Card</t>
  </si>
  <si>
    <t>50% off Bowl Card - NL</t>
  </si>
  <si>
    <t>HBD3</t>
  </si>
  <si>
    <t>Veg Society Online Order 10% Off</t>
  </si>
  <si>
    <t>Yale Steam Condos Online Order</t>
  </si>
  <si>
    <t>Total Discounts / Refunds</t>
  </si>
  <si>
    <t>Other Income_WCK</t>
  </si>
  <si>
    <t>Other Income_OTP</t>
  </si>
  <si>
    <t>Other Income_To Good To Go</t>
  </si>
  <si>
    <t>Total Sales</t>
  </si>
  <si>
    <t>Toast Order Processing Fee Pass-Through</t>
  </si>
  <si>
    <t>Cost of Goods Sold</t>
  </si>
  <si>
    <t>Food &amp; Beverage Costs</t>
  </si>
  <si>
    <t>Food Costs</t>
  </si>
  <si>
    <t>COGS - Produce</t>
  </si>
  <si>
    <t>COGS - Grocery Dry &amp; Canned</t>
  </si>
  <si>
    <t>COGS - Poultry</t>
  </si>
  <si>
    <t>COGS - Dairy</t>
  </si>
  <si>
    <t>COGS - Frozen</t>
  </si>
  <si>
    <t>COGS - Meat</t>
  </si>
  <si>
    <t>COGS - Seafood</t>
  </si>
  <si>
    <t>COGS - Spices</t>
  </si>
  <si>
    <t>COGS - Prepped Food</t>
  </si>
  <si>
    <t>COGS - Wow Bao</t>
  </si>
  <si>
    <t>COGS - Distribution</t>
  </si>
  <si>
    <t>Total Food Costs</t>
  </si>
  <si>
    <t>Beverage Costs</t>
  </si>
  <si>
    <t>COGS - N/A Beverage</t>
  </si>
  <si>
    <t>COGS - Beer</t>
  </si>
  <si>
    <t>COGS - Liquor</t>
  </si>
  <si>
    <t>COGS - Wine</t>
  </si>
  <si>
    <t>Total Beverage Costs</t>
  </si>
  <si>
    <t>Total Food &amp; Beverage Costs</t>
  </si>
  <si>
    <t>Other Costs</t>
  </si>
  <si>
    <t>Paper Costs</t>
  </si>
  <si>
    <t>COGS - Paper Supplies</t>
  </si>
  <si>
    <t>COGS - Catering Supplies</t>
  </si>
  <si>
    <t>COGS - Event Supplies</t>
  </si>
  <si>
    <t>COGS - Wow Bao Supplies</t>
  </si>
  <si>
    <t>Total Paper Costs</t>
  </si>
  <si>
    <t>Waste Costs</t>
  </si>
  <si>
    <t>Waste - Food</t>
  </si>
  <si>
    <t>Waste - N/A Beverage</t>
  </si>
  <si>
    <t>Waste - Beer</t>
  </si>
  <si>
    <t>Waste - Liquor</t>
  </si>
  <si>
    <t>Waste - Wine</t>
  </si>
  <si>
    <t>Total Waste Costs</t>
  </si>
  <si>
    <t>COGS - Freight, Delivery, &amp; Sales Tax</t>
  </si>
  <si>
    <t>COGS - Fuel Surcharge</t>
  </si>
  <si>
    <t>COGS - Credit for Discounts</t>
  </si>
  <si>
    <t>Total Other Costs</t>
  </si>
  <si>
    <t>Total Cost of Goods Sold</t>
  </si>
  <si>
    <t>Gross Profit</t>
  </si>
  <si>
    <t>Payroll Expenses</t>
  </si>
  <si>
    <t>Salaries &amp; Wages</t>
  </si>
  <si>
    <t>Management</t>
  </si>
  <si>
    <t>Culinary</t>
  </si>
  <si>
    <t>Hourly</t>
  </si>
  <si>
    <t>Overtime</t>
  </si>
  <si>
    <t>Total Salaries &amp; Wages</t>
  </si>
  <si>
    <t>Salaries &amp; Wages Adjustment</t>
  </si>
  <si>
    <t>Bonus</t>
  </si>
  <si>
    <t>Payroll Taxes</t>
  </si>
  <si>
    <t>FICA Tax Expense</t>
  </si>
  <si>
    <t>FUTA Tax Expense</t>
  </si>
  <si>
    <t>SUTA Tax Expense (VA)</t>
  </si>
  <si>
    <t>SUTA Tax Expense (DC)</t>
  </si>
  <si>
    <t>FL Tax Expense (DC)</t>
  </si>
  <si>
    <t>Other Payroll Taxes</t>
  </si>
  <si>
    <t>Total Payroll Taxes</t>
  </si>
  <si>
    <t>Payroll Processing Fee</t>
  </si>
  <si>
    <t>Health Insurance</t>
  </si>
  <si>
    <t>Total Payroll Expenses</t>
  </si>
  <si>
    <t>Prime Profit</t>
  </si>
  <si>
    <t>Operating Expense</t>
  </si>
  <si>
    <t>Supplies</t>
  </si>
  <si>
    <t>Cleaning &amp; Maintenance Supplies</t>
  </si>
  <si>
    <t>Kitchen Supplies</t>
  </si>
  <si>
    <t>FOH Supplies</t>
  </si>
  <si>
    <t>Towel &amp; Doormat Service</t>
  </si>
  <si>
    <t>Kitchen Smallwares</t>
  </si>
  <si>
    <t>Uniforms</t>
  </si>
  <si>
    <t>Office Supplies</t>
  </si>
  <si>
    <t>Total Supplies</t>
  </si>
  <si>
    <t>Marketing</t>
  </si>
  <si>
    <t>Third-Party Promos</t>
  </si>
  <si>
    <t>DoorDash Promos</t>
  </si>
  <si>
    <t>EZ Cater Promos</t>
  </si>
  <si>
    <t>GrubHub Promos</t>
  </si>
  <si>
    <t>Uber Eats Promos</t>
  </si>
  <si>
    <t>Total Third-Party Promos</t>
  </si>
  <si>
    <t>Free Meal Cards - This Ones On Us</t>
  </si>
  <si>
    <t>To Go Bags</t>
  </si>
  <si>
    <t>Social Media Management</t>
  </si>
  <si>
    <t>Other Marketing Expenses</t>
  </si>
  <si>
    <t>Squad Discounts</t>
  </si>
  <si>
    <t>Squad Meal</t>
  </si>
  <si>
    <t>Toast Takeout Reward</t>
  </si>
  <si>
    <t>Rewards Network</t>
  </si>
  <si>
    <t>Total Marketing</t>
  </si>
  <si>
    <t>Delivery Fees</t>
  </si>
  <si>
    <t>Delivery Driver Expenses</t>
  </si>
  <si>
    <t>DoorDash White Label Fees</t>
  </si>
  <si>
    <t>DeliverThat Fees</t>
  </si>
  <si>
    <t>First Delivery Fees</t>
  </si>
  <si>
    <t>Nash Fees</t>
  </si>
  <si>
    <t>Open App Fees</t>
  </si>
  <si>
    <t>Total Delivery Fees</t>
  </si>
  <si>
    <t>Third-Party Fees</t>
  </si>
  <si>
    <t>Delivery Partner Commissions</t>
  </si>
  <si>
    <t>Cater Cow Commissions</t>
  </si>
  <si>
    <t>DoorDash Commissions</t>
  </si>
  <si>
    <t>EZ Cater Commissions</t>
  </si>
  <si>
    <t>Fooda Commissions</t>
  </si>
  <si>
    <t>Google Commissions</t>
  </si>
  <si>
    <t>GrubHub Commissions</t>
  </si>
  <si>
    <t>Ritual Commissions</t>
  </si>
  <si>
    <t>Too Good To Go Commissions</t>
  </si>
  <si>
    <t>Uber Eats Commissions</t>
  </si>
  <si>
    <t>Foodee Commissions</t>
  </si>
  <si>
    <t>ShareBite Commissions</t>
  </si>
  <si>
    <t>Cater 2 Me Commissions</t>
  </si>
  <si>
    <t>ZeroCater Commissions</t>
  </si>
  <si>
    <t>Aramark Commissions</t>
  </si>
  <si>
    <t>Budeli Commissions</t>
  </si>
  <si>
    <t>Club Feast Commissions</t>
  </si>
  <si>
    <t>Food Fleet Commissions</t>
  </si>
  <si>
    <t>Eurest Commissions</t>
  </si>
  <si>
    <t>Taher Commissions</t>
  </si>
  <si>
    <t>Metz Corp Commissions</t>
  </si>
  <si>
    <t>Guest Services Commissions</t>
  </si>
  <si>
    <t>Foodworks Commissions</t>
  </si>
  <si>
    <t>Total Delivery Partner Commissions</t>
  </si>
  <si>
    <t>Total Third-Party Fees</t>
  </si>
  <si>
    <t>Credit Card Fees</t>
  </si>
  <si>
    <t>Chargebacks</t>
  </si>
  <si>
    <t>Total Credit Card Fees</t>
  </si>
  <si>
    <t>Insurance</t>
  </si>
  <si>
    <t>Workers Compensation Insurance</t>
  </si>
  <si>
    <t>Business Owners Policy</t>
  </si>
  <si>
    <t>Auto Insurance</t>
  </si>
  <si>
    <t>Total Insurance</t>
  </si>
  <si>
    <t>Professional Fees</t>
  </si>
  <si>
    <t>Public Relations</t>
  </si>
  <si>
    <t>Legal Fees</t>
  </si>
  <si>
    <t>Accounting Fees</t>
  </si>
  <si>
    <t>Subcontractors Fees</t>
  </si>
  <si>
    <t>Architect Fees</t>
  </si>
  <si>
    <t>Consultant Fees</t>
  </si>
  <si>
    <t>Photography Fees</t>
  </si>
  <si>
    <t>Organizational cost</t>
  </si>
  <si>
    <t>Total Professional Fees</t>
  </si>
  <si>
    <t>Repairs &amp; Maintenance</t>
  </si>
  <si>
    <t>Scrubber Expense</t>
  </si>
  <si>
    <t>R&amp;M - Hood Cleaning</t>
  </si>
  <si>
    <t>R&amp;M - Pest Control</t>
  </si>
  <si>
    <t>R&amp;M - Building, General</t>
  </si>
  <si>
    <t>R&amp;M - Equipment, General</t>
  </si>
  <si>
    <t>R&amp;M - Refrigeration</t>
  </si>
  <si>
    <t>R&amp;M - HVAC</t>
  </si>
  <si>
    <t>R&amp;M - Preventative Maintenance</t>
  </si>
  <si>
    <t>Total Repairs &amp; Maintenance</t>
  </si>
  <si>
    <t>Other Expenses</t>
  </si>
  <si>
    <t>Recruitment Expense</t>
  </si>
  <si>
    <t>Equipment Rental</t>
  </si>
  <si>
    <t>Meals &amp; Entertainment</t>
  </si>
  <si>
    <t>Travel:Travel Meals</t>
  </si>
  <si>
    <t>Tools</t>
  </si>
  <si>
    <t>Patio Permit Expense</t>
  </si>
  <si>
    <t>Donations</t>
  </si>
  <si>
    <t>Bank Fees</t>
  </si>
  <si>
    <t>Storage Rental</t>
  </si>
  <si>
    <t>Dues &amp; Subscriptions</t>
  </si>
  <si>
    <t>Charitable Contributions</t>
  </si>
  <si>
    <t>Training Costs</t>
  </si>
  <si>
    <t>Employee Incentives (M&amp;E)</t>
  </si>
  <si>
    <t>Menu Printing</t>
  </si>
  <si>
    <t>Ground Transportation (Auto Expense)</t>
  </si>
  <si>
    <t>Parking Fees</t>
  </si>
  <si>
    <t>Transportation</t>
  </si>
  <si>
    <t>Tangible Property Tax</t>
  </si>
  <si>
    <t>GC Guest Recovery</t>
  </si>
  <si>
    <t>Shipping &amp; Delivery Expense</t>
  </si>
  <si>
    <t>Equipment Lease</t>
  </si>
  <si>
    <t>Phone/Internet</t>
  </si>
  <si>
    <t>POS &amp; Technology</t>
  </si>
  <si>
    <t>Cost for Discounts</t>
  </si>
  <si>
    <t>Licenses &amp; Permits</t>
  </si>
  <si>
    <t>Cash Over/Short</t>
  </si>
  <si>
    <t>Total Other Expenses</t>
  </si>
  <si>
    <t>Total Operating Expense</t>
  </si>
  <si>
    <t>Non Controllable Expense</t>
  </si>
  <si>
    <t>Occupancy Cost</t>
  </si>
  <si>
    <t>Rent Expense</t>
  </si>
  <si>
    <t>Common Area Maintenance (CAM)</t>
  </si>
  <si>
    <t>Public Space Rental</t>
  </si>
  <si>
    <t>Insurance - Building</t>
  </si>
  <si>
    <t>Real Estate Tax</t>
  </si>
  <si>
    <t>Rent - 4/4/5</t>
  </si>
  <si>
    <t>Percentage Rent Expense</t>
  </si>
  <si>
    <t>Utilities</t>
  </si>
  <si>
    <t>Electric</t>
  </si>
  <si>
    <t>Gas</t>
  </si>
  <si>
    <t>Water/Sewer</t>
  </si>
  <si>
    <t>Trash</t>
  </si>
  <si>
    <t>Total Utilities</t>
  </si>
  <si>
    <t>Total Occupancy Cost</t>
  </si>
  <si>
    <t>Total Non Controllable Expense</t>
  </si>
  <si>
    <t>Store Level Profit</t>
  </si>
  <si>
    <t>Corporate Overhead &amp; Other</t>
  </si>
  <si>
    <t>Corporate G&amp;A Expenses</t>
  </si>
  <si>
    <t>Corp - Payroll Expenses</t>
  </si>
  <si>
    <t>Corp - Salaries &amp; Wages</t>
  </si>
  <si>
    <t>Corp - Officers' Compensation</t>
  </si>
  <si>
    <t>Corp - MIT Wages</t>
  </si>
  <si>
    <t>Corp - Commission Wages</t>
  </si>
  <si>
    <t>Corp - Payroll Taxes</t>
  </si>
  <si>
    <t>Corp - Payroll Processing Fee</t>
  </si>
  <si>
    <t>Corp - Bonus</t>
  </si>
  <si>
    <t>Corp - Health Insurance</t>
  </si>
  <si>
    <t>Total Corp - Payroll Expenses</t>
  </si>
  <si>
    <t>Corp - Meals, Entertainment, &amp; Travel</t>
  </si>
  <si>
    <t>Corp - Fuel &amp; Gas</t>
  </si>
  <si>
    <t>Corp - Parking Fees</t>
  </si>
  <si>
    <t>Corp - Ground Transportation</t>
  </si>
  <si>
    <t>Corp - M&amp;E</t>
  </si>
  <si>
    <t>Corp - Lodging</t>
  </si>
  <si>
    <t>Corp - Airfare</t>
  </si>
  <si>
    <t>Corp - Travel (New Market)</t>
  </si>
  <si>
    <t>Total Corp - Meals, Entertainment, &amp; Travel</t>
  </si>
  <si>
    <t>Corp - Other G&amp;A Expenses</t>
  </si>
  <si>
    <t>Corp - Dues &amp; Subscriptions</t>
  </si>
  <si>
    <t>Corp - Office Supplies</t>
  </si>
  <si>
    <t>Corp - Other Taxes</t>
  </si>
  <si>
    <t>Corp - Rent Expense</t>
  </si>
  <si>
    <t>Corp - Insurance Expense</t>
  </si>
  <si>
    <t>Corp - Charitable Contributions</t>
  </si>
  <si>
    <t>Corp - Other Employee Incentives</t>
  </si>
  <si>
    <t>Corp - Professional Fees</t>
  </si>
  <si>
    <t>Corp - IT &amp; Technology</t>
  </si>
  <si>
    <t>Corp - R&amp;D</t>
  </si>
  <si>
    <t>Corp - Accounting Fees</t>
  </si>
  <si>
    <t>Corp - Legal Fees</t>
  </si>
  <si>
    <t>Corp - Recruiting Fees</t>
  </si>
  <si>
    <t>Corp - Public Relations</t>
  </si>
  <si>
    <t>Corp - Marketing</t>
  </si>
  <si>
    <t>Corp - Marketing Food Drops</t>
  </si>
  <si>
    <t>Corp - 3rd Party Marketing Fees</t>
  </si>
  <si>
    <t>Corp - DoorDash Marketing Fees</t>
  </si>
  <si>
    <t>Corp - EZ Cater Marketing Fees</t>
  </si>
  <si>
    <t>Corp - GrubHub Marketing Fees</t>
  </si>
  <si>
    <t>Corp - Uber Eats Marketing Fees</t>
  </si>
  <si>
    <t>Total Corp - 3rd Party Marketing Fees</t>
  </si>
  <si>
    <t>Corp - Paid Media</t>
  </si>
  <si>
    <t>Corp - SMS Marketing</t>
  </si>
  <si>
    <t>Total Corp - Marketing</t>
  </si>
  <si>
    <t>Corp - Other Professional Fees</t>
  </si>
  <si>
    <t>Corp - Bank Fees</t>
  </si>
  <si>
    <t>Corp - Licenses &amp; Permits</t>
  </si>
  <si>
    <t>Corp - Management Fee</t>
  </si>
  <si>
    <t>Corp - Investor Advisory Fees</t>
  </si>
  <si>
    <t>Corp - Realty Tax</t>
  </si>
  <si>
    <t>Total Corporate Overhead &amp; Other</t>
  </si>
  <si>
    <t>EBITDA</t>
  </si>
  <si>
    <t>Other Income &amp; Expense</t>
  </si>
  <si>
    <t>Other (Income)/Expense</t>
  </si>
  <si>
    <t>Prior Period Adjustments</t>
  </si>
  <si>
    <t>Penalties &amp; Settlements</t>
  </si>
  <si>
    <t>Depreciation</t>
  </si>
  <si>
    <t>Amortization</t>
  </si>
  <si>
    <t>Other Income_Feed the District</t>
  </si>
  <si>
    <t>Other Income_Feed the fridge</t>
  </si>
  <si>
    <t>Taxable Grant Income</t>
  </si>
  <si>
    <t>Tax Exempt Grant Income</t>
  </si>
  <si>
    <t>Sales Tax Commission Income</t>
  </si>
  <si>
    <t>Sales Tax Adjustments</t>
  </si>
  <si>
    <t>Ramp CC Cashback Rewards</t>
  </si>
  <si>
    <t>Legal Fees - Capital Raise</t>
  </si>
  <si>
    <t>Other Income</t>
  </si>
  <si>
    <t>MVT Bucks Income</t>
  </si>
  <si>
    <t>Unrealized (Gain)/Loss On Investments</t>
  </si>
  <si>
    <t>Dividend Income</t>
  </si>
  <si>
    <t>Store Closing Expense</t>
  </si>
  <si>
    <t>Taxes</t>
  </si>
  <si>
    <t>(Gain)/Loss On Sale/Disposal Of Assets</t>
  </si>
  <si>
    <t>Interest Income</t>
  </si>
  <si>
    <t>Discounts received</t>
  </si>
  <si>
    <t>Total Other (Income)/Expense</t>
  </si>
  <si>
    <t>Total Other Income &amp; Expense</t>
  </si>
  <si>
    <t>Pre-Opening Costs</t>
  </si>
  <si>
    <t>Pre-Opening Expenses</t>
  </si>
  <si>
    <t>Pre-Opening Expenses - Supplies</t>
  </si>
  <si>
    <t>Pre-Opening Expenses - Other</t>
  </si>
  <si>
    <t>Pre-Opening Expenses - Payroll</t>
  </si>
  <si>
    <t>Pre-Opening Expenses - COGS</t>
  </si>
  <si>
    <t>Pre-Opening Expenses - Travel &amp; Meals</t>
  </si>
  <si>
    <t>Pre-Opening Expenses - Legal, Permits, &amp; Design Fees</t>
  </si>
  <si>
    <t>Pre-Opening Expenses - Rent &amp; Utilities</t>
  </si>
  <si>
    <t>Pre-Opening Expenses - Leases &amp; Subscriptions</t>
  </si>
  <si>
    <t>Total Pre-Opening Expenses</t>
  </si>
  <si>
    <t>Total Pre-Opening Costs</t>
  </si>
  <si>
    <t>Net Income</t>
  </si>
  <si>
    <t>Powered by Restaurant365</t>
  </si>
  <si>
    <t>1</t>
  </si>
  <si>
    <t>09/15/2026 12:16 PM PDT</t>
  </si>
  <si>
    <t>1 - RASA Worldwide</t>
  </si>
  <si>
    <t>2 - RASA - Ballpark</t>
  </si>
  <si>
    <t>4 - RASA - MVT</t>
  </si>
  <si>
    <t>5 - RASA - National Landing</t>
  </si>
  <si>
    <t>6 - RASA - Mosaic</t>
  </si>
  <si>
    <t>7 - RASA - Rockville</t>
  </si>
</sst>
</file>

<file path=xl/styles.xml><?xml version="1.0" encoding="utf-8"?>
<styleSheet xmlns="http://schemas.openxmlformats.org/spreadsheetml/2006/main">
  <numFmts count="3">
    <numFmt numFmtId="164" formatCode="#,##0.0%"/>
    <numFmt numFmtId="165" formatCode="#,##0.0%;(#,##0.0%)"/>
    <numFmt numFmtId="166" formatCode="#,##0.0;(#,##0.0)"/>
  </numFmts>
  <fonts count="1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  <xf numFmtId="0" fontId="6" fillId="0" borderId="0" xfId="0" applyNumberFormat="1" applyFont="1" applyAlignment="1">
      <alignment horizontal="left" vertical="center" wrapText="1"/>
    </xf>
    <xf numFmtId="39" fontId="6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2"/>
    </xf>
    <xf numFmtId="39" fontId="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 vertical="center"/>
    </xf>
    <xf numFmtId="0" fontId="4" fillId="0" borderId="0" xfId="0" applyNumberFormat="1" applyFont="1" applyAlignment="1">
      <alignment vertical="center"/>
    </xf>
    <xf numFmtId="39" fontId="4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2"/>
    </xf>
    <xf numFmtId="39" fontId="6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3"/>
    </xf>
    <xf numFmtId="0" fontId="4" fillId="0" borderId="0" xfId="0" applyNumberFormat="1" applyFont="1" applyAlignment="1">
      <alignment horizontal="left" vertical="center" wrapText="1" indent="4"/>
    </xf>
    <xf numFmtId="39" fontId="6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1"/>
    </xf>
    <xf numFmtId="39" fontId="6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39" fontId="9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vertical="center"/>
    </xf>
    <xf numFmtId="0" fontId="4" fillId="0" borderId="0" xfId="0" applyNumberFormat="1" applyFont="1"/>
  </cellXfs>
  <cellStyles count="1">
    <cellStyle name="Normal" xfId="0" builtinId="0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2</v>
      </c>
      <c t="s" r="B3" s="3">
        <v>2</v>
      </c>
      <c t="s" r="C3" s="3">
        <v>2</v>
      </c>
      <c t="s" r="D3" s="3">
        <v>2</v>
      </c>
      <c t="s" r="E3" s="3">
        <v>2</v>
      </c>
      <c t="s" r="F3" s="3">
        <v>2</v>
      </c>
      <c t="s" r="G3" s="3">
        <v>2</v>
      </c>
      <c t="s" r="H3" s="3">
        <v>2</v>
      </c>
      <c t="s" r="I3" s="3">
        <v>2</v>
      </c>
      <c t="s" r="J3" s="3">
        <v>2</v>
      </c>
      <c t="s" r="K3" s="3">
        <v>2</v>
      </c>
      <c t="s" r="L3" s="3">
        <v>2</v>
      </c>
      <c t="s" r="M3" s="3">
        <v>2</v>
      </c>
      <c t="s" r="N3" s="3">
        <v>2</v>
      </c>
      <c t="s" r="O3" s="3">
        <v>2</v>
      </c>
      <c t="s" r="P3" s="3">
        <v>2</v>
      </c>
      <c t="s" r="Q3" s="3">
        <v>2</v>
      </c>
      <c t="s" r="R3" s="3">
        <v>2</v>
      </c>
      <c t="s" r="S3" s="3">
        <v>2</v>
      </c>
      <c t="s" r="T3" s="3">
        <v>2</v>
      </c>
      <c t="s" r="U3" s="3">
        <v>2</v>
      </c>
      <c t="s" r="V3" s="3">
        <v>2</v>
      </c>
      <c t="s" r="W3" s="3">
        <v>2</v>
      </c>
      <c t="s" r="X3" s="3">
        <v>2</v>
      </c>
      <c t="s" r="Y3" s="3">
        <v>2</v>
      </c>
      <c t="s" r="Z3" s="3">
        <v>2</v>
      </c>
      <c t="s" r="AA3" s="3">
        <v>2</v>
      </c>
      <c t="s" r="AB3" s="3">
        <v>2</v>
      </c>
      <c t="s" r="AC3" s="3">
        <v>2</v>
      </c>
      <c t="s" r="AD3" s="3">
        <v>2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235102.30000000002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2095814.4300000002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173921.47999999998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247993.57000000001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1713397.28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1935654.3200000001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20987.599999999999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25282.800000000003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189423.10000000001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206600.89000000001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577.5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1029.5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6248.5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9576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525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846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12720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119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178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1308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1989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0.20000000000000001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8.4199999999999999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3.0500000000000003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52202.290000000001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465546.44000000006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37098.25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16536.610000000001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312573.32000000001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34657.809999999998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249666.26000000001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4304.0999999999995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2373.98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37401.300000000003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41538.020000000004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344.71000000000004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5070.7600000000002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7740.8699999999999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635.20000000000005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92683.700000000012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17896.889999999999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3414.3600000000001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4516.46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31615.449999999997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34513.059999999998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114427.87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1014768.75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47144.179999999993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33782.040000000001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454354.29000000004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418141.78000000003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3312.6500000000005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4942.9400000000005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29002.159999999996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51429.529999999999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55060.550000000003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27557.549999999999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586928.13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468608.37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7750.3700000000008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41704.649999999994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5584.8000000000002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1679.9900000000002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45175.900000000001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133588.66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1189594.8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21378.029999999999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22832.259999999998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199660.32999999999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237689.34999999998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861.05999999999995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156.09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3801.4899999999998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6511.8400000000001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77672.639999999999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62696.180000000008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672109.83000000007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609815.97999999998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2700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41840.599999999999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320.04000000000002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4241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24095.860000000001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15729.07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1109.1400000000001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2560.27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15204.74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24490.189999999999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28300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4387.25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20825.400000000001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10000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77.75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819.13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313.92000000000002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7691.6700000000001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2990.3299999999999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155.60000000000002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445.69999999999999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1940.28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6111.4899999999998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7448.54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1564.22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12.85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43805.740000000005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389257.85999999999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19331.360000000001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23528.720000000001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181762.81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82069.670000000013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14657.200000000001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11697.960000000001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118586.06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148306.95000000001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7892.79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11200.200000000001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69121.309999999998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31729.619999999999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20847.150000000001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-11.5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32185.5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1485.05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13386.620000000001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2709.0500000000002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20674.5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9963.9699999999993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88933.759999999995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1771.3800000000001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2419.8400000000001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16004.74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20491.050000000003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25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25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225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400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14.080000000000002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6743.4399999999996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6188.1000000000004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63649.160000000003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56028.589999999997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50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77.930000000000007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931.98000000000002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75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200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125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-96.97999999999999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-112.72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-392.16000000000003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-429.19000000000005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-3227.79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-3754.96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-28496.529999999999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-253148.67999999999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-4529.0200000000004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-7931.1299999999992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-47037.289999999994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-62802.279999999999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-10973.16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-10933.99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-60193.239999999998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-92163.290000000008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-1779.2600000000002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-1997.6500000000001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-7912.0400000000009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-16427.52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-394.36000000000001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-4661.1399999999994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-4605.6800000000003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-37100.379999999997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-40776.129999999997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-23.030000000000001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-400.69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-646.44000000000005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-3231.6900000000001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-13521.77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-27112.73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-2016.8800000000001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-4827.869999999999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-4233.7300000000005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117885.53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1054500.1599999999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21465.519999999997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22283.009999999998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226648.84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247731.08000000002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13284.320000000002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14013.299999999999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127963.5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138492.77000000002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15822.24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28516.170000000002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182025.54000000001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212455.45000000001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9767.4399999999987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12688.02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102952.39999999999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110773.40999999999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6373.5000000000009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4430.9200000000001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54928.599999999999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40225.32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3804.3699999999999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4533.9899999999998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37866.529999999999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38348.369999999995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25042.32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3013.4500000000003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2992.8200000000002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24127.349999999999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25146.870000000003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30097.290000000001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30796.779999999999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296644.15000000002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268283.96999999997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4.9500000000000002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87.400000000000006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6000.9399999999996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53321.379999999997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5325.7199999999993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6488.25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55287.550000000003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59313.319999999992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200.94999999999999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476.27999999999997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2301.7999999999997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3359.5700000000002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5.4000000000000004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386.36999999999995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658.13999999999999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4179.7200000000003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50.710000000000001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98.579999999999998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443.04999999999995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787.33000000000004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23008.269999999997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204860.55000000002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13588.440000000001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16958.380000000001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135021.62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149710.53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5015.8700000000008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5875.2300000000005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56548.5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49441.659999999996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271.11000000000001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1800.9200000000001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1052.47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14124.09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11439.42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20.640000000000001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675.60000000000002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779.45000000000005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6903.4100000000008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6421.1100000000006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546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173.78999999999999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4654.0799999999999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1576.51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-5725.25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-6860.6700000000001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-41110.279999999999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-77450.800000000003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26755.400000000001</v>
      </c>
      <c r="C178" s="14">
        <f>IFERROR(B178/B446, "NA")</f>
      </c>
      <c r="D178" s="15"/>
      <c r="E178" s="13">
        <v>32033.859999999997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31832.32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258605.79000000001</v>
      </c>
      <c r="R178" s="14">
        <f>IFERROR(Q178/Q446, "NA")</f>
      </c>
      <c r="S178" s="15"/>
      <c r="T178" s="13">
        <v>267252.42000000004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266199.83999999997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92758.359999999986</v>
      </c>
      <c r="C180" s="14">
        <f>IFERROR(B180/B446, "NA")</f>
      </c>
      <c r="D180" s="15"/>
      <c r="E180" s="13">
        <v>104924.84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103804.74000000001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842215.90999999992</v>
      </c>
      <c r="R180" s="14">
        <f>IFERROR(Q180/Q446, "NA")</f>
      </c>
      <c r="S180" s="15"/>
      <c r="T180" s="13">
        <v>919003.30000000005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877275.77000000002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1443.0599999999999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1880.0800000000002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12622.010000000002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12848.52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1831</v>
      </c>
      <c r="C184" s="14">
        <f>IFERROR(B184/B446, "NA")</f>
      </c>
      <c r="D184" s="15"/>
      <c r="E184" s="13">
        <v>1995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2950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4112</v>
      </c>
      <c r="R184" s="14">
        <f>IFERROR(Q184/Q446, "NA")</f>
      </c>
      <c r="S184" s="15"/>
      <c r="T184" s="13">
        <v>17415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11050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11297.639999999999</v>
      </c>
      <c r="C186" s="14">
        <f>IFERROR(B186/B446, "NA")</f>
      </c>
      <c r="D186" s="15"/>
      <c r="E186" s="13">
        <v>13710.000000000002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12597.9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108677.5</v>
      </c>
      <c r="R186" s="14">
        <f>IFERROR(Q186/Q446, "NA")</f>
      </c>
      <c r="S186" s="15"/>
      <c r="T186" s="13">
        <v>124279.53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115259.37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1132.6400000000001</v>
      </c>
      <c r="C194" s="14">
        <f>IFERROR(B194/B446, "NA")</f>
      </c>
      <c r="D194" s="15"/>
      <c r="E194" s="13">
        <v>1111.6299999999999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1236.6400000000001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10235.390000000001</v>
      </c>
      <c r="R194" s="14">
        <f>IFERROR(Q194/Q446, "NA")</f>
      </c>
      <c r="S194" s="15"/>
      <c r="T194" s="13">
        <v>9629.3600000000006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10329.84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786.70000000000005</v>
      </c>
      <c r="C195" s="14">
        <f>IFERROR(B195/B446, "NA")</f>
      </c>
      <c r="D195" s="15"/>
      <c r="E195" s="13">
        <v>1619.01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1329.25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13216.92</v>
      </c>
      <c r="R195" s="14">
        <f>IFERROR(Q195/Q446, "NA")</f>
      </c>
      <c r="S195" s="15"/>
      <c r="T195" s="13">
        <v>15022.880000000001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10572.450000000001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4573.6399999999994</v>
      </c>
      <c r="C202" s="14">
        <f>IFERROR(B202/B446, "NA")</f>
      </c>
      <c r="D202" s="15"/>
      <c r="E202" s="13">
        <v>5164.25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5358.1199999999999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44920.909999999996</v>
      </c>
      <c r="R202" s="14">
        <f>IFERROR(Q202/Q446, "NA")</f>
      </c>
      <c r="S202" s="15"/>
      <c r="T202" s="13">
        <v>46130.370000000003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47077.159999999996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2395.9699999999998</v>
      </c>
      <c r="C203" s="14">
        <f>IFERROR(B203/B446, "NA")</f>
      </c>
      <c r="D203" s="15"/>
      <c r="E203" s="13">
        <v>3714.2799999999997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4025.9199999999996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31373.169999999998</v>
      </c>
      <c r="R203" s="14">
        <f>IFERROR(Q203/Q446, "NA")</f>
      </c>
      <c r="S203" s="15"/>
      <c r="T203" s="13">
        <v>33082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39696.550000000003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275.60000000000002</v>
      </c>
      <c r="C204" s="14">
        <f>IFERROR(B204/B446, "NA")</f>
      </c>
      <c r="D204" s="15"/>
      <c r="E204" s="13">
        <v>1121.1900000000001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1953.4400000000001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5956.8199999999997</v>
      </c>
      <c r="R204" s="14">
        <f>IFERROR(Q204/Q446, "NA")</f>
      </c>
      <c r="S204" s="15"/>
      <c r="T204" s="13">
        <v>9981.5799999999999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9310.5399999999991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1702.24</v>
      </c>
      <c r="C205" s="14">
        <f>IFERROR(B205/B446, "NA")</f>
      </c>
      <c r="D205" s="15"/>
      <c r="E205" s="13">
        <v>1681.78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1585.73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15188.430000000002</v>
      </c>
      <c r="R205" s="14">
        <f>IFERROR(Q205/Q446, "NA")</f>
      </c>
      <c r="S205" s="15"/>
      <c r="T205" s="13">
        <v>14972.280000000001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16391.360000000001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89.459999999999994</v>
      </c>
      <c r="C206" s="14">
        <f>IFERROR(B206/B446, "NA")</f>
      </c>
      <c r="D206" s="15"/>
      <c r="E206" s="13">
        <v>560.58999999999992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128.16999999999999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2273.8400000000001</v>
      </c>
      <c r="R206" s="14">
        <f>IFERROR(Q206/Q446, "NA")</f>
      </c>
      <c r="S206" s="15"/>
      <c r="T206" s="13">
        <v>4990.75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4632.29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500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2406.0499999999997</v>
      </c>
      <c r="R207" s="14">
        <f>IFERROR(Q207/Q446, "NA")</f>
      </c>
      <c r="S207" s="15"/>
      <c r="T207" s="13">
        <v>4000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3814.8900000000003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313.26999999999998</v>
      </c>
      <c r="C208" s="14">
        <f>IFERROR(B208/B446, "NA")</f>
      </c>
      <c r="D208" s="15"/>
      <c r="E208" s="13">
        <v>500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1119.1799999999998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3780.6399999999999</v>
      </c>
      <c r="R208" s="14">
        <f>IFERROR(Q208/Q446, "NA")</f>
      </c>
      <c r="S208" s="15"/>
      <c r="T208" s="13">
        <v>4000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6641.7600000000002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18969.530000000002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168142.86000000002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8663.2000000000007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2713.8699999999999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56026.669999999998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91212.220000000001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2199.6000000000004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1614.2900000000002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20549.779999999999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2325.0799999999999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258.24000000000001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61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2066.4899999999998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744.22000000000003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9595.1000000000004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1969.4199999999998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118996.53000000001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89322.98000000001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926.00999999999999</v>
      </c>
      <c r="C222" s="14">
        <f>IFERROR(B222/B446, "NA")</f>
      </c>
      <c r="D222" s="15"/>
      <c r="E222" s="13">
        <v>500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300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9656.7800000000007</v>
      </c>
      <c r="R222" s="14">
        <f>IFERROR(Q222/Q446, "NA")</f>
      </c>
      <c r="S222" s="15"/>
      <c r="T222" s="13">
        <v>4000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7966.6099999999997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8618.6899999999987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76760.150000000009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469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574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7707.3000000000002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390.33999999999997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424.20999999999998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577.78999999999996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7691.4300000000003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6664.1900000000005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71516.529999999999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61389.699999999997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406.16000000000003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1757.6600000000003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37286.889999999992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331944.27999999997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133.88999999999999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29.879999999999999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652.06999999999994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976.17999999999995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6807.170000000001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5163.2300000000005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67673.51999999999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56151.269999999997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13434.35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11186.219999999999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118531.44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105594.97999999998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4078.8399999999997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4836.7799999999997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37895.330000000002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16911.450000000001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679.4899999999999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1391.04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5971.6099999999997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14785.509999999998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803.39999999999998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1231.2600000000002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8755.6200000000008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9697.1000000000004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10794.9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4697.4900000000007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110262.50999999999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68281.990000000005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102.40000000000001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85.239999999999995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571.18000000000006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462.79999999999995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236.19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485.06999999999999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1478.45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1859.24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2931.3099999999999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2343.8000000000002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24078.919999999998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26829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5290.0699999999997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1680.9299999999998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1808.4899999999998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14836.93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6203.9800000000005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296.39999999999998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6437.0999999999995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2373.0999999999999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t="16.5" customHeight="1">
      <c t="s" r="A262" s="18">
        <v>239</v>
      </c>
      <c r="B262" s="13">
        <v>445.47000000000003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2091.9400000000001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13327.339999999998</v>
      </c>
      <c r="C266" s="14">
        <f>IFERROR(B266/B446, "NA")</f>
      </c>
      <c r="D266" s="15"/>
      <c r="E266" s="13">
        <v>14542.730000000001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14869.59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129366.44</v>
      </c>
      <c r="R266" s="14">
        <f>IFERROR(Q266/Q446, "NA")</f>
      </c>
      <c r="S266" s="15"/>
      <c r="T266" s="13">
        <v>129662.95000000001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120477.88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82.719999999999999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29.969999999999999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691.42000000000007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598.9899999999999</v>
      </c>
      <c r="C271" s="14">
        <f>IFERROR(B271/B446, "NA")</f>
      </c>
      <c r="D271" s="15"/>
      <c r="E271" s="13">
        <v>1139.0599999999999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1055.5600000000002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6808.46</v>
      </c>
      <c r="R271" s="14">
        <f>IFERROR(Q271/Q446, "NA")</f>
      </c>
      <c r="S271" s="15"/>
      <c r="T271" s="13">
        <v>9112.4799999999996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9226.4299999999985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3747.0799999999999</v>
      </c>
      <c r="C272" s="14">
        <f>IFERROR(B272/B446, "NA")</f>
      </c>
      <c r="D272" s="15"/>
      <c r="E272" s="13">
        <v>5130.2199999999993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5247.9599999999991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34461.709999999999</v>
      </c>
      <c r="R272" s="14">
        <f>IFERROR(Q272/Q446, "NA")</f>
      </c>
      <c r="S272" s="15"/>
      <c r="T272" s="13">
        <v>41041.759999999995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39519.279999999999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1594.1600000000001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6405.54</v>
      </c>
      <c r="R288" s="14">
        <f>IFERROR(Q288/Q446, "NA")</f>
      </c>
      <c r="S288" s="15"/>
      <c r="T288" s="13">
        <v>7768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7764.2399999999998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295.80000000000001</v>
      </c>
      <c r="C289" s="14">
        <f>IFERROR(B289/B446, "NA")</f>
      </c>
      <c r="D289" s="15"/>
      <c r="E289" s="13">
        <v>843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763.79000000000008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5626.9799999999996</v>
      </c>
      <c r="R289" s="14">
        <f>IFERROR(Q289/Q446, "NA")</f>
      </c>
      <c r="S289" s="15"/>
      <c r="T289" s="13">
        <v>6744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7045.9499999999998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992.21000000000004</v>
      </c>
      <c r="C290" s="14">
        <f>IFERROR(B290/B446, "NA")</f>
      </c>
      <c r="D290" s="15"/>
      <c r="E290" s="13">
        <v>1149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1098.8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9377.3999999999996</v>
      </c>
      <c r="R290" s="14">
        <f>IFERROR(Q290/Q446, "NA")</f>
      </c>
      <c r="S290" s="15"/>
      <c r="T290" s="13">
        <v>9192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8613.5900000000001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2387.7999999999997</v>
      </c>
      <c r="C291" s="14">
        <f>IFERROR(B291/B446, "NA")</f>
      </c>
      <c r="D291" s="15"/>
      <c r="E291" s="13">
        <v>2990.4699999999998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5769.2299999999996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24582.809999999998</v>
      </c>
      <c r="R291" s="14">
        <f>IFERROR(Q291/Q446, "NA")</f>
      </c>
      <c r="S291" s="15"/>
      <c r="T291" s="13">
        <v>25280.619999999999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28904.940000000002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2819.3099999999999</v>
      </c>
      <c r="C292" s="14">
        <f>IFERROR(B292/B446, "NA")</f>
      </c>
      <c r="D292" s="15"/>
      <c r="E292" s="13">
        <v>2994.1800000000003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2740.9499999999998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46337.350000000006</v>
      </c>
      <c r="R292" s="14">
        <f>IFERROR(Q292/Q446, "NA")</f>
      </c>
      <c r="S292" s="15"/>
      <c r="T292" s="13">
        <v>26257.989999999998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31832.739999999998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823.54999999999995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336.68000000000001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3174.2600000000002</v>
      </c>
      <c r="R293" s="14">
        <f>IFERROR(Q293/Q446, "NA")</f>
      </c>
      <c r="S293" s="15"/>
      <c r="T293" s="13">
        <v>7228.3400000000001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6160.2499999999991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1082.3</v>
      </c>
      <c r="C294" s="14">
        <f>IFERROR(B294/B446, "NA")</f>
      </c>
      <c r="D294" s="15"/>
      <c r="E294" s="13">
        <v>785.05999999999995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3091.48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4385.2199999999993</v>
      </c>
      <c r="R294" s="14">
        <f>IFERROR(Q294/Q446, "NA")</f>
      </c>
      <c r="S294" s="15"/>
      <c r="T294" s="13">
        <v>6916.6999999999998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7515.0100000000002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967.99000000000001</v>
      </c>
      <c r="C295" s="14">
        <f>IFERROR(B295/B446, "NA")</f>
      </c>
      <c r="D295" s="15"/>
      <c r="E295" s="13">
        <v>1784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1703.23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8325.2600000000002</v>
      </c>
      <c r="R295" s="14">
        <f>IFERROR(Q295/Q446, "NA")</f>
      </c>
      <c r="S295" s="15"/>
      <c r="T295" s="13">
        <v>14272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14535.780000000001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3066.5900000000001</v>
      </c>
      <c r="C300" s="14">
        <f>IFERROR(B300/B446, "NA")</f>
      </c>
      <c r="D300" s="15"/>
      <c r="E300" s="13">
        <v>2209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1905.52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22486.230000000003</v>
      </c>
      <c r="R300" s="14">
        <f>IFERROR(Q300/Q446, "NA")</f>
      </c>
      <c r="S300" s="15"/>
      <c r="T300" s="13">
        <v>17672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19351.07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956.68000000000006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834.62000000000012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207.08000000000001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332.45999999999998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1911.47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657.73000000000002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275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94.389999999999986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1540.4000000000001</v>
      </c>
      <c r="R311" s="14">
        <f>IFERROR(Q311/Q446, "NA")</f>
      </c>
      <c r="S311" s="15"/>
      <c r="T311" s="13">
        <v>2200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2769.5299999999997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167.47999999999999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1928.3399999999999</v>
      </c>
      <c r="C313" s="14">
        <f>IFERROR(B313/B446, "NA")</f>
      </c>
      <c r="D313" s="15"/>
      <c r="E313" s="13">
        <v>175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2452.2399999999998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17827.549999999999</v>
      </c>
      <c r="R313" s="14">
        <f>IFERROR(Q313/Q446, "NA")</f>
      </c>
      <c r="S313" s="15"/>
      <c r="T313" s="13">
        <v>1400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12661.129999999999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455.42000000000002</v>
      </c>
      <c r="C314" s="14">
        <f>IFERROR(B314/B446, "NA")</f>
      </c>
      <c r="D314" s="15"/>
      <c r="E314" s="13">
        <v>310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359.05000000000001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3490.5799999999999</v>
      </c>
      <c r="R314" s="14">
        <f>IFERROR(Q314/Q446, "NA")</f>
      </c>
      <c r="S314" s="15"/>
      <c r="T314" s="13">
        <v>2490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2637.2999999999997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1585.6500000000001</v>
      </c>
      <c r="C316" s="14">
        <f>IFERROR(B316/B446, "NA")</f>
      </c>
      <c r="D316" s="15"/>
      <c r="E316" s="13">
        <v>1540.1900000000001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1735.52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13318.480000000001</v>
      </c>
      <c r="R316" s="14">
        <f>IFERROR(Q316/Q446, "NA")</f>
      </c>
      <c r="S316" s="15"/>
      <c r="T316" s="13">
        <v>13773.970000000001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13216.369999999999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47.520000000000003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1640.27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1321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1319.75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8070.5500000000002</v>
      </c>
      <c r="R319" s="14">
        <f>IFERROR(Q319/Q446, "NA")</f>
      </c>
      <c r="S319" s="15"/>
      <c r="T319" s="13">
        <v>10568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10558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1199.7800000000002</v>
      </c>
      <c r="C320" s="14">
        <f>IFERROR(B320/B446, "NA")</f>
      </c>
      <c r="D320" s="15"/>
      <c r="E320" s="13">
        <v>1241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1238.8199999999999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10324.800000000001</v>
      </c>
      <c r="R320" s="14">
        <f>IFERROR(Q320/Q446, "NA")</f>
      </c>
      <c r="S320" s="15"/>
      <c r="T320" s="13">
        <v>9928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9687.7299999999996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4331.75</v>
      </c>
      <c r="C321" s="14">
        <f>IFERROR(B321/B446, "NA")</f>
      </c>
      <c r="D321" s="15"/>
      <c r="E321" s="13">
        <v>5783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5929.869999999999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42880.019999999997</v>
      </c>
      <c r="R321" s="14">
        <f>IFERROR(Q321/Q446, "NA")</f>
      </c>
      <c r="S321" s="15"/>
      <c r="T321" s="13">
        <v>46264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45647.579999999994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5725.25</v>
      </c>
      <c r="C322" s="14">
        <f>IFERROR(B322/B446, "NA")</f>
      </c>
      <c r="D322" s="15"/>
      <c r="E322" s="13">
        <v>7255.9899999999998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6860.6700000000001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41110.279999999999</v>
      </c>
      <c r="R322" s="14">
        <f>IFERROR(Q322/Q446, "NA")</f>
      </c>
      <c r="S322" s="15"/>
      <c r="T322" s="13">
        <v>64309.139999999999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77450.800000000003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1188.8299999999999</v>
      </c>
      <c r="C323" s="14">
        <f>IFERROR(B323/B446, "NA")</f>
      </c>
      <c r="D323" s="15"/>
      <c r="E323" s="13">
        <v>1413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1452.6700000000001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13401.290000000001</v>
      </c>
      <c r="R323" s="14">
        <f>IFERROR(Q323/Q446, "NA")</f>
      </c>
      <c r="S323" s="15"/>
      <c r="T323" s="13">
        <v>11304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14206.5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13.01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56718.460000000006</v>
      </c>
      <c r="C330" s="14">
        <f>IFERROR(B330/B446, "NA")</f>
      </c>
      <c r="D330" s="15"/>
      <c r="E330" s="13">
        <v>61454.160000000003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59761.599999999999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474157.21999999997</v>
      </c>
      <c r="R330" s="14">
        <f>IFERROR(Q330/Q446, "NA")</f>
      </c>
      <c r="S330" s="15"/>
      <c r="T330" s="13">
        <v>483628.62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453158.02000000002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4622.29</v>
      </c>
      <c r="C331" s="14">
        <f>IFERROR(B331/B446, "NA")</f>
      </c>
      <c r="D331" s="15"/>
      <c r="E331" s="13">
        <v>6433.1300000000001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6355.6100000000006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51863.130000000005</v>
      </c>
      <c r="R331" s="14">
        <f>IFERROR(Q331/Q446, "NA")</f>
      </c>
      <c r="S331" s="15"/>
      <c r="T331" s="13">
        <v>51465.040000000001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48476.050000000003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195.16</v>
      </c>
      <c r="C333" s="14">
        <f>IFERROR(B333/B446, "NA")</f>
      </c>
      <c r="D333" s="15"/>
      <c r="E333" s="13">
        <v>313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195.16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2616.1900000000001</v>
      </c>
      <c r="R333" s="14">
        <f>IFERROR(Q333/Q446, "NA")</f>
      </c>
      <c r="S333" s="15"/>
      <c r="T333" s="13">
        <v>2504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2856.52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3847.71</v>
      </c>
      <c r="C334" s="14">
        <f>IFERROR(B334/B446, "NA")</f>
      </c>
      <c r="D334" s="15"/>
      <c r="E334" s="13">
        <v>5619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5618.9000000000005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40261.069999999992</v>
      </c>
      <c r="R334" s="14">
        <f>IFERROR(Q334/Q446, "NA")</f>
      </c>
      <c r="S334" s="15"/>
      <c r="T334" s="13">
        <v>44952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45386.140000000007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-4367.3199999999997</v>
      </c>
      <c r="C335" s="14">
        <f>IFERROR(B335/B446, "NA")</f>
      </c>
      <c r="D335" s="15"/>
      <c r="E335" s="13">
        <v>-4731.9699999999993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-4601.6499999999996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-8696.0299999999988</v>
      </c>
      <c r="R335" s="14">
        <f>IFERROR(Q335/Q446, "NA")</f>
      </c>
      <c r="S335" s="15"/>
      <c r="T335" s="13">
        <v>-9425.3299999999981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-9165.619999999999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3115.6399999999999</v>
      </c>
      <c r="C336" s="14">
        <f>IFERROR(B336/B446, "NA")</f>
      </c>
      <c r="D336" s="15"/>
      <c r="E336" s="13">
        <v>259.00999999999999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10983.879999999999</v>
      </c>
      <c r="R336" s="14">
        <f>IFERROR(Q336/Q446, "NA")</f>
      </c>
      <c r="S336" s="15"/>
      <c r="T336" s="13">
        <v>2318.7399999999998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8536.3199999999997</v>
      </c>
      <c r="C339" s="14">
        <f>IFERROR(B339/B446, "NA")</f>
      </c>
      <c r="D339" s="15"/>
      <c r="E339" s="13">
        <v>9575.7600000000002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11681.780000000001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74414.760000000009</v>
      </c>
      <c r="R339" s="14">
        <f>IFERROR(Q339/Q446, "NA")</f>
      </c>
      <c r="S339" s="15"/>
      <c r="T339" s="13">
        <v>85564.940000000002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82255.209999999992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1428.5699999999999</v>
      </c>
      <c r="C340" s="14">
        <f>IFERROR(B340/B446, "NA")</f>
      </c>
      <c r="D340" s="15"/>
      <c r="E340" s="13">
        <v>2189.6199999999999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1726.0100000000002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19179.349999999999</v>
      </c>
      <c r="R340" s="14">
        <f>IFERROR(Q340/Q446, "NA")</f>
      </c>
      <c r="S340" s="15"/>
      <c r="T340" s="13">
        <v>19605.600000000002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18739.73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4882.04</v>
      </c>
      <c r="C341" s="14">
        <f>IFERROR(B341/B446, "NA")</f>
      </c>
      <c r="D341" s="15"/>
      <c r="E341" s="13">
        <v>2438.4299999999998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5016.1700000000001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28236.010000000002</v>
      </c>
      <c r="R341" s="14">
        <f>IFERROR(Q341/Q446, "NA")</f>
      </c>
      <c r="S341" s="15"/>
      <c r="T341" s="13">
        <v>21905.720000000001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24800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1950.76</v>
      </c>
      <c r="C342" s="14">
        <f>IFERROR(B342/B446, "NA")</f>
      </c>
      <c r="D342" s="15"/>
      <c r="E342" s="13">
        <v>1683.3799999999999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1883.3200000000002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15474.460000000001</v>
      </c>
      <c r="R342" s="14">
        <f>IFERROR(Q342/Q446, "NA")</f>
      </c>
      <c r="S342" s="15"/>
      <c r="T342" s="13">
        <v>15654.49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15031.48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34706.43</v>
      </c>
      <c r="C351" s="14">
        <f>IFERROR(B351/B446, "NA")</f>
      </c>
      <c r="D351" s="15"/>
      <c r="E351" s="13">
        <v>43307.690000000002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46769.160000000003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300124.59999999998</v>
      </c>
      <c r="R351" s="14">
        <f>IFERROR(Q351/Q446, "NA")</f>
      </c>
      <c r="S351" s="15"/>
      <c r="T351" s="13">
        <v>353884.59999999998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402688.97999999998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5000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580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7499.8000000000002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2833.6700000000001</v>
      </c>
      <c r="C355" s="14">
        <f>IFERROR(B355/B446, "NA")</f>
      </c>
      <c r="D355" s="15"/>
      <c r="E355" s="13">
        <v>3594.54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4215.2700000000004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24426.599999999999</v>
      </c>
      <c r="R355" s="14">
        <f>IFERROR(Q355/Q446, "NA")</f>
      </c>
      <c r="S355" s="15"/>
      <c r="T355" s="13">
        <v>29372.419999999998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35602.809999999998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135.68000000000001</v>
      </c>
      <c r="C356" s="14">
        <f>IFERROR(B356/B446, "NA")</f>
      </c>
      <c r="D356" s="15"/>
      <c r="E356" s="13">
        <v>212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212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1040.9100000000001</v>
      </c>
      <c r="R356" s="14">
        <f>IFERROR(Q356/Q446, "NA")</f>
      </c>
      <c r="S356" s="15"/>
      <c r="T356" s="13">
        <v>1738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1812.5999999999999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5413.46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6187.5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44235.580000000002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45187.5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3665.4899999999998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3674.4299999999998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27115.369999999999</v>
      </c>
      <c r="R358" s="14">
        <f>IFERROR(Q358/Q446, "NA")</f>
      </c>
      <c r="S358" s="15"/>
      <c r="T358" s="13">
        <v>29440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28071.360000000001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145.84999999999999</v>
      </c>
      <c r="C363" s="14">
        <f>IFERROR(B363/B446, "NA")</f>
      </c>
      <c r="D363" s="15"/>
      <c r="E363" s="13">
        <v>864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741.29999999999995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2232.9200000000001</v>
      </c>
      <c r="R363" s="14">
        <f>IFERROR(Q363/Q446, "NA")</f>
      </c>
      <c r="S363" s="15"/>
      <c r="T363" s="13">
        <v>7344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6182.1000000000004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892.02999999999997</v>
      </c>
      <c r="C364" s="14">
        <f>IFERROR(B364/B446, "NA")</f>
      </c>
      <c r="D364" s="15"/>
      <c r="E364" s="13">
        <v>150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778.59000000000003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7846.9200000000001</v>
      </c>
      <c r="R364" s="14">
        <f>IFERROR(Q364/Q446, "NA")</f>
      </c>
      <c r="S364" s="15"/>
      <c r="T364" s="13">
        <v>1350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7129.1999999999998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218.59</v>
      </c>
      <c r="C365" s="14">
        <f>IFERROR(B365/B446, "NA")</f>
      </c>
      <c r="D365" s="15"/>
      <c r="E365" s="13">
        <v>500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551.01999999999998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1501.8</v>
      </c>
      <c r="R365" s="14">
        <f>IFERROR(Q365/Q446, "NA")</f>
      </c>
      <c r="S365" s="15"/>
      <c r="T365" s="13">
        <v>4650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5433.3199999999997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675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172.25999999999999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4516.5799999999999</v>
      </c>
      <c r="R366" s="14">
        <f>IFERROR(Q366/Q446, "NA")</f>
      </c>
      <c r="S366" s="15"/>
      <c r="T366" s="13">
        <v>6075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4530.6400000000003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1016.96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2844.8200000000002</v>
      </c>
      <c r="R367" s="14">
        <f>IFERROR(Q367/Q446, "NA")</f>
      </c>
      <c r="S367" s="15"/>
      <c r="T367" s="13">
        <v>3150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3885.4699999999998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1765.71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8955.1800000000003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8539.7700000000004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110.70999999999999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177.34999999999999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889.08000000000004</v>
      </c>
      <c r="R371" s="14">
        <f>IFERROR(Q371/Q446, "NA")</f>
      </c>
      <c r="S371" s="15"/>
      <c r="T371" s="13">
        <v>1700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1807.3499999999999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281.29000000000002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296.80000000000001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3154.9000000000001</v>
      </c>
      <c r="R372" s="14">
        <f>IFERROR(Q372/Q446, "NA")</f>
      </c>
      <c r="S372" s="15"/>
      <c r="T372" s="13">
        <v>1000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4446.4799999999996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297.17000000000002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5198.96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2960.1900000000001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953.11000000000001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627.08000000000004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6466.0200000000004</v>
      </c>
      <c r="R374" s="14">
        <f>IFERROR(Q374/Q446, "NA")</f>
      </c>
      <c r="S374" s="15"/>
      <c r="T374" s="13">
        <v>5032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5286.8199999999997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1635.6400000000001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2149.5300000000002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15388.84</v>
      </c>
      <c r="R375" s="14">
        <f>IFERROR(Q375/Q446, "NA")</f>
      </c>
      <c r="S375" s="15"/>
      <c r="T375" s="13">
        <v>17200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16032.6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53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1498.1099999999999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3934.0799999999999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39.25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512.12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295.49000000000001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-1900.8800000000001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4741.1599999999999</v>
      </c>
      <c r="C379" s="14">
        <f>IFERROR(B379/B446, "NA")</f>
      </c>
      <c r="D379" s="15"/>
      <c r="E379" s="13">
        <v>6824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9201.2800000000007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47112.529999999999</v>
      </c>
      <c r="R379" s="14">
        <f>IFERROR(Q379/Q446, "NA")</f>
      </c>
      <c r="S379" s="15"/>
      <c r="T379" s="13">
        <v>59952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74301.619999999995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321.94999999999999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429.06999999999999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4287.6300000000001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6949.3599999999997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10900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11020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93555.669999999998</v>
      </c>
      <c r="R381" s="14">
        <f>IFERROR(Q381/Q446, "NA")</f>
      </c>
      <c r="S381" s="15"/>
      <c r="T381" s="13">
        <v>94400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92900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1525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5153.75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5655</v>
      </c>
      <c r="R382" s="14">
        <f>IFERROR(Q382/Q446, "NA")</f>
      </c>
      <c r="S382" s="15"/>
      <c r="T382" s="13">
        <v>22500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46365.260000000002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306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505.62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3448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5208.9099999999999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11414.49</v>
      </c>
      <c r="C386" s="14">
        <f>IFERROR(B386/B446, "NA")</f>
      </c>
      <c r="D386" s="15"/>
      <c r="E386" s="13">
        <v>750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803.62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24346.650000000001</v>
      </c>
      <c r="R386" s="14">
        <f>IFERROR(Q386/Q446, "NA")</f>
      </c>
      <c r="S386" s="15"/>
      <c r="T386" s="13">
        <v>7250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21949.459999999999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100.23999999999999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151.71000000000001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11772.48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104806.11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3783.21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3212.1900000000001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48682.199999999997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36767.040000000001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3391.6799999999998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1783.47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35181.489999999998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58167.739999999998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1933.75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3277.6999999999998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25408.580000000002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36489.43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1470.9300000000001</v>
      </c>
      <c r="C395" s="14">
        <f>IFERROR(B395/B446, "NA")</f>
      </c>
      <c r="D395" s="15"/>
      <c r="E395" s="13">
        <v>4484.75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15658.379999999999</v>
      </c>
      <c r="R395" s="14">
        <f>IFERROR(Q395/Q446, "NA")</f>
      </c>
      <c r="S395" s="15"/>
      <c r="T395" s="13">
        <v>33976.300000000003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1448.99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3164.6399999999999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8889.25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11909.190000000001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107847.87</v>
      </c>
      <c r="R398" s="14">
        <f>IFERROR(Q398/Q446, "NA")</f>
      </c>
      <c r="S398" s="15"/>
      <c r="T398" s="13">
        <v>71600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71924.429999999993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231.02000000000001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224.36000000000001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1958.7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1234.97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154.5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2981.3400000000001</v>
      </c>
      <c r="R400" s="14">
        <f>IFERROR(Q400/Q446, "NA")</f>
      </c>
      <c r="S400" s="15"/>
      <c r="T400" s="13">
        <v>1600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1487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19204.419999999998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135759.14000000001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911.00999999999999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250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28857.199999999997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30759.82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251257.44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228758.31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2146.9699999999998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1878.5899999999999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-270.18000000000001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-122.78999999999999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-1684.2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-442.89999999999998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-93.13000000000001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-405.44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142.74000000000001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-897.26999999999998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-3725.6900000000001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56.25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-10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66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519.63999999999999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-15779.280000000001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-122204.82000000001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-6.7199999999999998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t="16.5" customHeight="1">
      <c t="s" r="A425" s="12">
        <v>390</v>
      </c>
      <c r="B425" s="13">
        <v>802.70000000000005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21015.639999999999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402.48000000000002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239.59999999999999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258306.54999999999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-870.6099999999999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-17246.990000000002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-10737.9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-97560.639999999999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493141.37</v>
      </c>
      <c r="C446" s="33"/>
      <c r="D446" s="15"/>
      <c r="E446" s="13">
        <v>560594.30000000005</v>
      </c>
      <c r="F446" s="33"/>
      <c r="G446" s="15"/>
      <c r="H446" s="16">
        <f>IFERROR(B446-E446, "NA")</f>
      </c>
      <c r="I446" s="33"/>
      <c r="J446" s="15"/>
      <c r="K446" s="13">
        <v>515212.05000000005</v>
      </c>
      <c r="L446" s="33"/>
      <c r="M446" s="15"/>
      <c r="N446" s="16">
        <f>IFERROR(B446-K446, "NA")</f>
      </c>
      <c r="O446" s="33"/>
      <c r="P446" s="15"/>
      <c r="Q446" s="13">
        <v>4799044.9699999997</v>
      </c>
      <c r="R446" s="33"/>
      <c r="S446" s="15"/>
      <c r="T446" s="13">
        <v>4990767.3599999994</v>
      </c>
      <c r="U446" s="33"/>
      <c r="V446" s="15"/>
      <c r="W446" s="16">
        <f>IFERROR(Q446-T446, "NA")</f>
      </c>
      <c r="X446" s="33"/>
      <c r="Y446" s="15"/>
      <c r="Z446" s="13">
        <v>4620887.5700000003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413</v>
      </c>
      <c t="s" r="B3" s="3">
        <v>413</v>
      </c>
      <c t="s" r="C3" s="3">
        <v>413</v>
      </c>
      <c t="s" r="D3" s="3">
        <v>413</v>
      </c>
      <c t="s" r="E3" s="3">
        <v>413</v>
      </c>
      <c t="s" r="F3" s="3">
        <v>413</v>
      </c>
      <c t="s" r="G3" s="3">
        <v>413</v>
      </c>
      <c t="s" r="H3" s="3">
        <v>413</v>
      </c>
      <c t="s" r="I3" s="3">
        <v>413</v>
      </c>
      <c t="s" r="J3" s="3">
        <v>413</v>
      </c>
      <c t="s" r="K3" s="3">
        <v>413</v>
      </c>
      <c t="s" r="L3" s="3">
        <v>413</v>
      </c>
      <c t="s" r="M3" s="3">
        <v>413</v>
      </c>
      <c t="s" r="N3" s="3">
        <v>413</v>
      </c>
      <c t="s" r="O3" s="3">
        <v>413</v>
      </c>
      <c t="s" r="P3" s="3">
        <v>413</v>
      </c>
      <c t="s" r="Q3" s="3">
        <v>413</v>
      </c>
      <c t="s" r="R3" s="3">
        <v>413</v>
      </c>
      <c t="s" r="S3" s="3">
        <v>413</v>
      </c>
      <c t="s" r="T3" s="3">
        <v>413</v>
      </c>
      <c t="s" r="U3" s="3">
        <v>413</v>
      </c>
      <c t="s" r="V3" s="3">
        <v>413</v>
      </c>
      <c t="s" r="W3" s="3">
        <v>413</v>
      </c>
      <c t="s" r="X3" s="3">
        <v>413</v>
      </c>
      <c t="s" r="Y3" s="3">
        <v>413</v>
      </c>
      <c t="s" r="Z3" s="3">
        <v>413</v>
      </c>
      <c t="s" r="AA3" s="3">
        <v>413</v>
      </c>
      <c t="s" r="AB3" s="3">
        <v>413</v>
      </c>
      <c t="s" r="AC3" s="3">
        <v>413</v>
      </c>
      <c t="s" r="AD3" s="3">
        <v>413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idden="1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0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0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idden="1" ht="16.5" customHeight="1">
      <c t="s" r="A11" s="18">
        <v>13</v>
      </c>
      <c r="B11" s="13">
        <v>0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0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0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0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idden="1" ht="16.5" customHeight="1">
      <c t="s" r="A12" s="18">
        <v>14</v>
      </c>
      <c r="B12" s="13">
        <v>0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0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0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0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idden="1" ht="16.5" customHeight="1">
      <c t="s" r="A13" s="18">
        <v>15</v>
      </c>
      <c r="B13" s="13">
        <v>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0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0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idden="1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idden="1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0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0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idden="1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idden="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0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0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idden="1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0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0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0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idden="1" ht="16.5" customHeight="1">
      <c t="s" r="A23" s="18">
        <v>24</v>
      </c>
      <c r="B23" s="13">
        <v>0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0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idden="1" ht="16.5" customHeight="1">
      <c t="s" r="A24" s="18">
        <v>25</v>
      </c>
      <c r="B24" s="13">
        <v>0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0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0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0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idden="1" ht="16.5" customHeight="1">
      <c t="s" r="A25" s="18">
        <v>26</v>
      </c>
      <c r="B25" s="13">
        <v>0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0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idden="1" ht="16.5" customHeight="1">
      <c t="s" r="A26" s="18">
        <v>27</v>
      </c>
      <c r="B26" s="13">
        <v>0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0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idden="1" ht="16.5" customHeight="1">
      <c t="s" r="A28" s="18">
        <v>29</v>
      </c>
      <c r="B28" s="13">
        <v>0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0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0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0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idden="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0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0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idden="1" ht="16.5" customHeight="1">
      <c t="s" r="A33" s="18">
        <v>33</v>
      </c>
      <c r="B33" s="13">
        <v>0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0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0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0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idden="1" ht="16.5" customHeight="1">
      <c t="s" r="A35" s="18">
        <v>35</v>
      </c>
      <c r="B35" s="13">
        <v>0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0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0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0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idden="1" ht="16.5" customHeight="1">
      <c t="s" r="A36" s="18">
        <v>36</v>
      </c>
      <c r="B36" s="13">
        <v>0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0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0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0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idden="1" ht="16.5" customHeight="1">
      <c t="s" r="A37" s="18">
        <v>37</v>
      </c>
      <c r="B37" s="13">
        <v>0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0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idden="1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0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0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idden="1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0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0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idden="1" ht="16.5" customHeight="1">
      <c t="s" r="A43" s="18">
        <v>42</v>
      </c>
      <c r="B43" s="13">
        <v>0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0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0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0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idden="1" ht="16.5" customHeight="1">
      <c t="s" r="A48" s="23">
        <v>46</v>
      </c>
      <c r="B48" s="13">
        <v>0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0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0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0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idden="1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0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0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idden="1" ht="16.5" customHeight="1">
      <c t="s" r="A65" s="18">
        <v>62</v>
      </c>
      <c r="B65" s="13">
        <v>0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0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idden="1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0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0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idden="1" ht="16.5" customHeight="1">
      <c t="s" r="A77" s="18">
        <v>73</v>
      </c>
      <c r="B77" s="13">
        <v>0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0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0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0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idden="1" ht="16.5" customHeight="1">
      <c t="s" r="A80" s="18">
        <v>76</v>
      </c>
      <c r="B80" s="13">
        <v>0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0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0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0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idden="1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0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idden="1" ht="16.5" customHeight="1">
      <c t="s" r="A90" s="12">
        <v>86</v>
      </c>
      <c r="B90" s="13">
        <v>0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0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idden="1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0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0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idden="1" ht="16.5" customHeight="1">
      <c t="s" r="A96" s="18">
        <v>91</v>
      </c>
      <c r="B96" s="13">
        <v>0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0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0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0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idden="1" ht="16.5" customHeight="1">
      <c t="s" r="A98" s="18">
        <v>93</v>
      </c>
      <c r="B98" s="13">
        <v>0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0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0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0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idden="1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0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0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0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idden="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0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idden="1" ht="16.5" customHeight="1">
      <c t="s" r="A102" s="18">
        <v>97</v>
      </c>
      <c r="B102" s="13">
        <v>0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0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0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0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idden="1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idden="1" ht="16.5" customHeight="1">
      <c t="s" r="A104" s="18">
        <v>99</v>
      </c>
      <c r="B104" s="13">
        <v>0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0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0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0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idden="1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idden="1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0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0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idden="1" ht="16.5" customHeight="1">
      <c t="s" r="A130" s="18">
        <v>122</v>
      </c>
      <c r="B130" s="13">
        <v>0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0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0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0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idden="1" ht="16.5" customHeight="1">
      <c t="s" r="A131" s="18">
        <v>123</v>
      </c>
      <c r="B131" s="13">
        <v>0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0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0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0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idden="1" ht="16.5" customHeight="1">
      <c t="s" r="A132" s="18">
        <v>124</v>
      </c>
      <c r="B132" s="13">
        <v>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0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0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0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idden="1" ht="16.5" customHeight="1">
      <c t="s" r="A133" s="18">
        <v>125</v>
      </c>
      <c r="B133" s="13">
        <v>0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0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0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0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idden="1" ht="16.5" customHeight="1">
      <c t="s" r="A134" s="18">
        <v>126</v>
      </c>
      <c r="B134" s="13">
        <v>0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0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0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0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idden="1" ht="16.5" customHeight="1">
      <c t="s" r="A135" s="18">
        <v>127</v>
      </c>
      <c r="B135" s="13">
        <v>0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0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0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0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idden="1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0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idden="1" ht="16.5" customHeight="1">
      <c t="s" r="A137" s="18">
        <v>129</v>
      </c>
      <c r="B137" s="13">
        <v>0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0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0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0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idden="1" ht="16.5" customHeight="1">
      <c t="s" r="A138" s="18">
        <v>130</v>
      </c>
      <c r="B138" s="13">
        <v>0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0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0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0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idden="1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0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0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idden="1" ht="16.5" customHeight="1">
      <c t="s" r="A144" s="18">
        <v>135</v>
      </c>
      <c r="B144" s="13">
        <v>0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0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0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0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idden="1" ht="16.5" customHeight="1">
      <c t="s" r="A145" s="18">
        <v>136</v>
      </c>
      <c r="B145" s="13">
        <v>0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0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0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0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idden="1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0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0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0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idden="1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0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0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idden="1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0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0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idden="1" ht="16.5" customHeight="1">
      <c t="s" r="A154" s="18">
        <v>143</v>
      </c>
      <c r="B154" s="13">
        <v>0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0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0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0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idden="1" ht="16.5" customHeight="1">
      <c t="s" r="A155" s="18">
        <v>144</v>
      </c>
      <c r="B155" s="13">
        <v>0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0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0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0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idden="1" ht="16.5" customHeight="1">
      <c t="s" r="A161" s="18">
        <v>149</v>
      </c>
      <c r="B161" s="13">
        <v>0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0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0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0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idden="1" ht="16.5" customHeight="1">
      <c t="s" r="A167" s="12">
        <v>155</v>
      </c>
      <c r="B167" s="13">
        <v>0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0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0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0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idden="1" ht="16.5" customHeight="1">
      <c t="s" r="A168" s="12">
        <v>156</v>
      </c>
      <c r="B168" s="13">
        <v>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0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0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0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idden="1" ht="16.5" customHeight="1">
      <c t="s" r="A169" s="12">
        <v>157</v>
      </c>
      <c r="B169" s="13">
        <v>0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0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0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0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idden="1" ht="16.5" customHeight="1">
      <c t="s" r="A178" s="18">
        <v>163</v>
      </c>
      <c r="B178" s="13">
        <v>0</v>
      </c>
      <c r="C178" s="14">
        <f>IFERROR(B178/B446, "NA")</f>
      </c>
      <c r="D178" s="15"/>
      <c r="E178" s="13">
        <v>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0</v>
      </c>
      <c r="R178" s="14">
        <f>IFERROR(Q178/Q446, "NA")</f>
      </c>
      <c r="S178" s="15"/>
      <c r="T178" s="13">
        <v>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idden="1" ht="16.5" customHeight="1">
      <c t="s" r="A180" s="18">
        <v>165</v>
      </c>
      <c r="B180" s="13">
        <v>0</v>
      </c>
      <c r="C180" s="14">
        <f>IFERROR(B180/B446, "NA")</f>
      </c>
      <c r="D180" s="15"/>
      <c r="E180" s="13">
        <v>0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0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0</v>
      </c>
      <c r="R180" s="14">
        <f>IFERROR(Q180/Q446, "NA")</f>
      </c>
      <c r="S180" s="15"/>
      <c r="T180" s="13">
        <v>0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0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idden="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0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idden="1" ht="16.5" customHeight="1">
      <c t="s" r="A184" s="12">
        <v>169</v>
      </c>
      <c r="B184" s="13">
        <v>0</v>
      </c>
      <c r="C184" s="14">
        <f>IFERROR(B184/B446, "NA")</f>
      </c>
      <c r="D184" s="15"/>
      <c r="E184" s="13">
        <v>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0</v>
      </c>
      <c r="R184" s="14">
        <f>IFERROR(Q184/Q446, "NA")</f>
      </c>
      <c r="S184" s="15"/>
      <c r="T184" s="13">
        <v>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idden="1" ht="16.5" customHeight="1">
      <c t="s" r="A186" s="18">
        <v>170</v>
      </c>
      <c r="B186" s="13">
        <v>0</v>
      </c>
      <c r="C186" s="14">
        <f>IFERROR(B186/B446, "NA")</f>
      </c>
      <c r="D186" s="15"/>
      <c r="E186" s="13">
        <v>0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0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0</v>
      </c>
      <c r="R186" s="14">
        <f>IFERROR(Q186/Q446, "NA")</f>
      </c>
      <c r="S186" s="15"/>
      <c r="T186" s="13">
        <v>0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0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idden="1" ht="16.5" customHeight="1">
      <c t="s" r="A194" s="12">
        <v>178</v>
      </c>
      <c r="B194" s="13">
        <v>0</v>
      </c>
      <c r="C194" s="14">
        <f>IFERROR(B194/B446, "NA")</f>
      </c>
      <c r="D194" s="15"/>
      <c r="E194" s="13">
        <v>0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0</v>
      </c>
      <c r="R194" s="14">
        <f>IFERROR(Q194/Q446, "NA")</f>
      </c>
      <c r="S194" s="15"/>
      <c r="T194" s="13">
        <v>0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idden="1" ht="16.5" customHeight="1">
      <c t="s" r="A202" s="12">
        <v>184</v>
      </c>
      <c r="B202" s="13">
        <v>0</v>
      </c>
      <c r="C202" s="14">
        <f>IFERROR(B202/B446, "NA")</f>
      </c>
      <c r="D202" s="15"/>
      <c r="E202" s="13">
        <v>0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0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0</v>
      </c>
      <c r="R202" s="14">
        <f>IFERROR(Q202/Q446, "NA")</f>
      </c>
      <c r="S202" s="15"/>
      <c r="T202" s="13">
        <v>0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0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idden="1" ht="16.5" customHeight="1">
      <c t="s" r="A203" s="12">
        <v>185</v>
      </c>
      <c r="B203" s="13">
        <v>0</v>
      </c>
      <c r="C203" s="14">
        <f>IFERROR(B203/B446, "NA")</f>
      </c>
      <c r="D203" s="15"/>
      <c r="E203" s="13">
        <v>0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0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0</v>
      </c>
      <c r="R203" s="14">
        <f>IFERROR(Q203/Q446, "NA")</f>
      </c>
      <c r="S203" s="15"/>
      <c r="T203" s="13">
        <v>0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0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idden="1" ht="16.5" customHeight="1">
      <c t="s" r="A204" s="12">
        <v>186</v>
      </c>
      <c r="B204" s="13">
        <v>0</v>
      </c>
      <c r="C204" s="14">
        <f>IFERROR(B204/B446, "NA")</f>
      </c>
      <c r="D204" s="15"/>
      <c r="E204" s="13">
        <v>0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0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0</v>
      </c>
      <c r="R204" s="14">
        <f>IFERROR(Q204/Q446, "NA")</f>
      </c>
      <c r="S204" s="15"/>
      <c r="T204" s="13">
        <v>0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0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idden="1" ht="16.5" customHeight="1">
      <c t="s" r="A205" s="12">
        <v>187</v>
      </c>
      <c r="B205" s="13">
        <v>0</v>
      </c>
      <c r="C205" s="14">
        <f>IFERROR(B205/B446, "NA")</f>
      </c>
      <c r="D205" s="15"/>
      <c r="E205" s="13">
        <v>0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0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0</v>
      </c>
      <c r="R205" s="14">
        <f>IFERROR(Q205/Q446, "NA")</f>
      </c>
      <c r="S205" s="15"/>
      <c r="T205" s="13">
        <v>0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0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idden="1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0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0</v>
      </c>
      <c r="R206" s="14">
        <f>IFERROR(Q206/Q446, "NA")</f>
      </c>
      <c r="S206" s="15"/>
      <c r="T206" s="13">
        <v>0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0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idden="1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0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idden="1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0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0</v>
      </c>
      <c r="R208" s="14">
        <f>IFERROR(Q208/Q446, "NA")</f>
      </c>
      <c r="S208" s="15"/>
      <c r="T208" s="13">
        <v>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0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idden="1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0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0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idden="1" ht="16.5" customHeight="1">
      <c t="s" r="A214" s="18">
        <v>194</v>
      </c>
      <c r="B214" s="13">
        <v>0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0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0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0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idden="1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idden="1" ht="16.5" customHeight="1">
      <c t="s" r="A217" s="18">
        <v>197</v>
      </c>
      <c r="B217" s="13">
        <v>0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0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0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0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idden="1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0</v>
      </c>
      <c r="R222" s="14">
        <f>IFERROR(Q222/Q446, "NA")</f>
      </c>
      <c r="S222" s="15"/>
      <c r="T222" s="13">
        <v>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0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idden="1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0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0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idden="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0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0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idden="1" ht="16.5" customHeight="1">
      <c t="s" r="A234" s="12">
        <v>213</v>
      </c>
      <c r="B234" s="13">
        <v>0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0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0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0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idden="1" ht="16.5" customHeight="1">
      <c t="s" r="A235" s="12">
        <v>214</v>
      </c>
      <c r="B235" s="13">
        <v>0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0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idden="1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0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0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idden="1" ht="16.5" customHeight="1">
      <c t="s" r="A242" s="18">
        <v>219</v>
      </c>
      <c r="B242" s="13">
        <v>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0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0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0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idden="1" ht="16.5" customHeight="1">
      <c t="s" r="A243" s="18">
        <v>220</v>
      </c>
      <c r="B243" s="13">
        <v>0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0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0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0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idden="1" ht="16.5" customHeight="1">
      <c t="s" r="A244" s="18">
        <v>221</v>
      </c>
      <c r="B244" s="13">
        <v>0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0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idden="1" ht="16.5" customHeight="1">
      <c t="s" r="A246" s="18">
        <v>223</v>
      </c>
      <c r="B246" s="13">
        <v>0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0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0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0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idden="1" ht="16.5" customHeight="1">
      <c t="s" r="A248" s="18">
        <v>225</v>
      </c>
      <c r="B248" s="13">
        <v>0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0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0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0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idden="1" ht="16.5" customHeight="1">
      <c t="s" r="A249" s="18">
        <v>226</v>
      </c>
      <c r="B249" s="13">
        <v>0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0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0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0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idden="1" ht="16.5" customHeight="1">
      <c t="s" r="A266" s="12">
        <v>242</v>
      </c>
      <c r="B266" s="13">
        <v>0</v>
      </c>
      <c r="C266" s="14">
        <f>IFERROR(B266/B446, "NA")</f>
      </c>
      <c r="D266" s="15"/>
      <c r="E266" s="13">
        <v>0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0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0</v>
      </c>
      <c r="R266" s="14">
        <f>IFERROR(Q266/Q446, "NA")</f>
      </c>
      <c r="S266" s="15"/>
      <c r="T266" s="13">
        <v>0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0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idden="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0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0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0</v>
      </c>
      <c r="R271" s="14">
        <f>IFERROR(Q271/Q446, "NA")</f>
      </c>
      <c r="S271" s="15"/>
      <c r="T271" s="13">
        <v>0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0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idden="1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0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0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0</v>
      </c>
      <c r="R272" s="14">
        <f>IFERROR(Q272/Q446, "NA")</f>
      </c>
      <c r="S272" s="15"/>
      <c r="T272" s="13">
        <v>0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0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idden="1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0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0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0</v>
      </c>
      <c r="R289" s="14">
        <f>IFERROR(Q289/Q446, "NA")</f>
      </c>
      <c r="S289" s="15"/>
      <c r="T289" s="13">
        <v>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idden="1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0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0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0</v>
      </c>
      <c r="R290" s="14">
        <f>IFERROR(Q290/Q446, "NA")</f>
      </c>
      <c r="S290" s="15"/>
      <c r="T290" s="13">
        <v>0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0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idden="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0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0</v>
      </c>
      <c r="R291" s="14">
        <f>IFERROR(Q291/Q446, "NA")</f>
      </c>
      <c r="S291" s="15"/>
      <c r="T291" s="13">
        <v>0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idden="1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0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0</v>
      </c>
      <c r="R292" s="14">
        <f>IFERROR(Q292/Q446, "NA")</f>
      </c>
      <c r="S292" s="15"/>
      <c r="T292" s="13">
        <v>0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0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idden="1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0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0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idden="1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0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0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idden="1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0</v>
      </c>
      <c r="R295" s="14">
        <f>IFERROR(Q295/Q446, "NA")</f>
      </c>
      <c r="S295" s="15"/>
      <c r="T295" s="13">
        <v>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0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idden="1" ht="16.5" customHeight="1">
      <c t="s" r="A300" s="12">
        <v>272</v>
      </c>
      <c r="B300" s="13">
        <v>0</v>
      </c>
      <c r="C300" s="14">
        <f>IFERROR(B300/B446, "NA")</f>
      </c>
      <c r="D300" s="15"/>
      <c r="E300" s="13">
        <v>0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0</v>
      </c>
      <c r="R300" s="14">
        <f>IFERROR(Q300/Q446, "NA")</f>
      </c>
      <c r="S300" s="15"/>
      <c r="T300" s="13">
        <v>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idden="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0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0</v>
      </c>
      <c r="R311" s="14">
        <f>IFERROR(Q311/Q446, "NA")</f>
      </c>
      <c r="S311" s="15"/>
      <c r="T311" s="13">
        <v>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idden="1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0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idden="1" ht="16.5" customHeight="1">
      <c t="s" r="A313" s="12">
        <v>285</v>
      </c>
      <c r="B313" s="13">
        <v>0</v>
      </c>
      <c r="C313" s="14">
        <f>IFERROR(B313/B446, "NA")</f>
      </c>
      <c r="D313" s="15"/>
      <c r="E313" s="13">
        <v>0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0</v>
      </c>
      <c r="R313" s="14">
        <f>IFERROR(Q313/Q446, "NA")</f>
      </c>
      <c r="S313" s="15"/>
      <c r="T313" s="13">
        <v>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0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idden="1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0</v>
      </c>
      <c r="R314" s="14">
        <f>IFERROR(Q314/Q446, "NA")</f>
      </c>
      <c r="S314" s="15"/>
      <c r="T314" s="13">
        <v>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0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idden="1" ht="16.5" customHeight="1">
      <c t="s" r="A320" s="12">
        <v>292</v>
      </c>
      <c r="B320" s="13">
        <v>0</v>
      </c>
      <c r="C320" s="14">
        <f>IFERROR(B320/B446, "NA")</f>
      </c>
      <c r="D320" s="15"/>
      <c r="E320" s="13">
        <v>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0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0</v>
      </c>
      <c r="R320" s="14">
        <f>IFERROR(Q320/Q446, "NA")</f>
      </c>
      <c r="S320" s="15"/>
      <c r="T320" s="13">
        <v>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0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idden="1" ht="16.5" customHeight="1">
      <c t="s" r="A321" s="12">
        <v>293</v>
      </c>
      <c r="B321" s="13">
        <v>0</v>
      </c>
      <c r="C321" s="14">
        <f>IFERROR(B321/B446, "NA")</f>
      </c>
      <c r="D321" s="15"/>
      <c r="E321" s="13">
        <v>0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0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0</v>
      </c>
      <c r="R321" s="14">
        <f>IFERROR(Q321/Q446, "NA")</f>
      </c>
      <c r="S321" s="15"/>
      <c r="T321" s="13">
        <v>0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0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idden="1" ht="16.5" customHeight="1">
      <c t="s" r="A322" s="12">
        <v>294</v>
      </c>
      <c r="B322" s="13">
        <v>0</v>
      </c>
      <c r="C322" s="14">
        <f>IFERROR(B322/B446, "NA")</f>
      </c>
      <c r="D322" s="15"/>
      <c r="E322" s="13">
        <v>0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0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0</v>
      </c>
      <c r="R322" s="14">
        <f>IFERROR(Q322/Q446, "NA")</f>
      </c>
      <c r="S322" s="15"/>
      <c r="T322" s="13">
        <v>0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0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idden="1" ht="16.5" customHeight="1">
      <c t="s" r="A323" s="12">
        <v>295</v>
      </c>
      <c r="B323" s="13">
        <v>0</v>
      </c>
      <c r="C323" s="14">
        <f>IFERROR(B323/B446, "NA")</f>
      </c>
      <c r="D323" s="15"/>
      <c r="E323" s="13">
        <v>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0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0</v>
      </c>
      <c r="R323" s="14">
        <f>IFERROR(Q323/Q446, "NA")</f>
      </c>
      <c r="S323" s="15"/>
      <c r="T323" s="13">
        <v>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0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idden="1" ht="16.5" customHeight="1">
      <c t="s" r="A330" s="12">
        <v>301</v>
      </c>
      <c r="B330" s="13">
        <v>0</v>
      </c>
      <c r="C330" s="14">
        <f>IFERROR(B330/B446, "NA")</f>
      </c>
      <c r="D330" s="15"/>
      <c r="E330" s="13">
        <v>0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0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0</v>
      </c>
      <c r="R330" s="14">
        <f>IFERROR(Q330/Q446, "NA")</f>
      </c>
      <c r="S330" s="15"/>
      <c r="T330" s="13">
        <v>0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0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idden="1" ht="16.5" customHeight="1">
      <c t="s" r="A331" s="12">
        <v>302</v>
      </c>
      <c r="B331" s="13">
        <v>0</v>
      </c>
      <c r="C331" s="14">
        <f>IFERROR(B331/B446, "NA")</f>
      </c>
      <c r="D331" s="15"/>
      <c r="E331" s="13">
        <v>0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0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0</v>
      </c>
      <c r="R331" s="14">
        <f>IFERROR(Q331/Q446, "NA")</f>
      </c>
      <c r="S331" s="15"/>
      <c r="T331" s="13">
        <v>0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0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idden="1" ht="16.5" customHeight="1">
      <c t="s" r="A334" s="12">
        <v>305</v>
      </c>
      <c r="B334" s="13">
        <v>0</v>
      </c>
      <c r="C334" s="14">
        <f>IFERROR(B334/B446, "NA")</f>
      </c>
      <c r="D334" s="15"/>
      <c r="E334" s="13">
        <v>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0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0</v>
      </c>
      <c r="R334" s="14">
        <f>IFERROR(Q334/Q446, "NA")</f>
      </c>
      <c r="S334" s="15"/>
      <c r="T334" s="13">
        <v>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0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idden="1" ht="16.5" customHeight="1">
      <c t="s" r="A335" s="12">
        <v>306</v>
      </c>
      <c r="B335" s="13">
        <v>0</v>
      </c>
      <c r="C335" s="14">
        <f>IFERROR(B335/B446, "NA")</f>
      </c>
      <c r="D335" s="15"/>
      <c r="E335" s="13">
        <v>0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0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idden="1" ht="16.5" customHeight="1">
      <c t="s" r="A339" s="18">
        <v>309</v>
      </c>
      <c r="B339" s="13">
        <v>0</v>
      </c>
      <c r="C339" s="14">
        <f>IFERROR(B339/B446, "NA")</f>
      </c>
      <c r="D339" s="15"/>
      <c r="E339" s="13">
        <v>0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0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0</v>
      </c>
      <c r="R339" s="14">
        <f>IFERROR(Q339/Q446, "NA")</f>
      </c>
      <c r="S339" s="15"/>
      <c r="T339" s="13">
        <v>0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0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idden="1" ht="16.5" customHeight="1">
      <c t="s" r="A340" s="18">
        <v>310</v>
      </c>
      <c r="B340" s="13">
        <v>0</v>
      </c>
      <c r="C340" s="14">
        <f>IFERROR(B340/B446, "NA")</f>
      </c>
      <c r="D340" s="15"/>
      <c r="E340" s="13">
        <v>0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0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0</v>
      </c>
      <c r="R340" s="14">
        <f>IFERROR(Q340/Q446, "NA")</f>
      </c>
      <c r="S340" s="15"/>
      <c r="T340" s="13">
        <v>0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0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idden="1" ht="16.5" customHeight="1">
      <c t="s" r="A341" s="18">
        <v>311</v>
      </c>
      <c r="B341" s="13">
        <v>0</v>
      </c>
      <c r="C341" s="14">
        <f>IFERROR(B341/B446, "NA")</f>
      </c>
      <c r="D341" s="15"/>
      <c r="E341" s="13">
        <v>0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0</v>
      </c>
      <c r="R341" s="14">
        <f>IFERROR(Q341/Q446, "NA")</f>
      </c>
      <c r="S341" s="15"/>
      <c r="T341" s="13">
        <v>0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0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34706.43</v>
      </c>
      <c r="C351" s="14">
        <f>IFERROR(B351/B446, "NA")</f>
      </c>
      <c r="D351" s="15"/>
      <c r="E351" s="13">
        <v>43307.690000000002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46769.160000000003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300124.59999999998</v>
      </c>
      <c r="R351" s="14">
        <f>IFERROR(Q351/Q446, "NA")</f>
      </c>
      <c r="S351" s="15"/>
      <c r="T351" s="13">
        <v>353884.59999999998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402688.97999999998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5000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580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7499.8000000000002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2833.6700000000001</v>
      </c>
      <c r="C355" s="14">
        <f>IFERROR(B355/B446, "NA")</f>
      </c>
      <c r="D355" s="15"/>
      <c r="E355" s="13">
        <v>3594.54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4215.2700000000004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24426.599999999999</v>
      </c>
      <c r="R355" s="14">
        <f>IFERROR(Q355/Q446, "NA")</f>
      </c>
      <c r="S355" s="15"/>
      <c r="T355" s="13">
        <v>29372.419999999998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35602.809999999998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135.68000000000001</v>
      </c>
      <c r="C356" s="14">
        <f>IFERROR(B356/B446, "NA")</f>
      </c>
      <c r="D356" s="15"/>
      <c r="E356" s="13">
        <v>212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212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1040.9100000000001</v>
      </c>
      <c r="R356" s="14">
        <f>IFERROR(Q356/Q446, "NA")</f>
      </c>
      <c r="S356" s="15"/>
      <c r="T356" s="13">
        <v>1738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1812.5999999999999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5413.46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6187.5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44235.580000000002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45187.5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3665.4899999999998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3674.4299999999998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27115.369999999999</v>
      </c>
      <c r="R358" s="14">
        <f>IFERROR(Q358/Q446, "NA")</f>
      </c>
      <c r="S358" s="15"/>
      <c r="T358" s="13">
        <v>29440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28071.360000000001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145.84999999999999</v>
      </c>
      <c r="C363" s="14">
        <f>IFERROR(B363/B446, "NA")</f>
      </c>
      <c r="D363" s="15"/>
      <c r="E363" s="13">
        <v>864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741.29999999999995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2232.9200000000001</v>
      </c>
      <c r="R363" s="14">
        <f>IFERROR(Q363/Q446, "NA")</f>
      </c>
      <c r="S363" s="15"/>
      <c r="T363" s="13">
        <v>7344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6182.1000000000004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892.02999999999997</v>
      </c>
      <c r="C364" s="14">
        <f>IFERROR(B364/B446, "NA")</f>
      </c>
      <c r="D364" s="15"/>
      <c r="E364" s="13">
        <v>150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778.59000000000003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7846.9200000000001</v>
      </c>
      <c r="R364" s="14">
        <f>IFERROR(Q364/Q446, "NA")</f>
      </c>
      <c r="S364" s="15"/>
      <c r="T364" s="13">
        <v>1350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7129.1999999999998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218.59</v>
      </c>
      <c r="C365" s="14">
        <f>IFERROR(B365/B446, "NA")</f>
      </c>
      <c r="D365" s="15"/>
      <c r="E365" s="13">
        <v>500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551.01999999999998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1501.8</v>
      </c>
      <c r="R365" s="14">
        <f>IFERROR(Q365/Q446, "NA")</f>
      </c>
      <c r="S365" s="15"/>
      <c r="T365" s="13">
        <v>4650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5433.3199999999997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675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172.25999999999999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4516.5799999999999</v>
      </c>
      <c r="R366" s="14">
        <f>IFERROR(Q366/Q446, "NA")</f>
      </c>
      <c r="S366" s="15"/>
      <c r="T366" s="13">
        <v>6075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4530.6400000000003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1016.96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2844.8200000000002</v>
      </c>
      <c r="R367" s="14">
        <f>IFERROR(Q367/Q446, "NA")</f>
      </c>
      <c r="S367" s="15"/>
      <c r="T367" s="13">
        <v>3150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3885.4699999999998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1765.71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8955.1800000000003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8539.7700000000004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110.70999999999999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177.34999999999999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889.08000000000004</v>
      </c>
      <c r="R371" s="14">
        <f>IFERROR(Q371/Q446, "NA")</f>
      </c>
      <c r="S371" s="15"/>
      <c r="T371" s="13">
        <v>1700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1807.3499999999999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281.29000000000002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296.80000000000001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3154.9000000000001</v>
      </c>
      <c r="R372" s="14">
        <f>IFERROR(Q372/Q446, "NA")</f>
      </c>
      <c r="S372" s="15"/>
      <c r="T372" s="13">
        <v>1000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4446.4799999999996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297.17000000000002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5198.96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2960.1900000000001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953.11000000000001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627.08000000000004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6466.0200000000004</v>
      </c>
      <c r="R374" s="14">
        <f>IFERROR(Q374/Q446, "NA")</f>
      </c>
      <c r="S374" s="15"/>
      <c r="T374" s="13">
        <v>5032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5286.8199999999997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1635.6400000000001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2149.5300000000002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15388.84</v>
      </c>
      <c r="R375" s="14">
        <f>IFERROR(Q375/Q446, "NA")</f>
      </c>
      <c r="S375" s="15"/>
      <c r="T375" s="13">
        <v>17200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16032.6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53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1498.1099999999999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3934.0799999999999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39.25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512.12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295.49000000000001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-1900.8800000000001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4741.1599999999999</v>
      </c>
      <c r="C379" s="14">
        <f>IFERROR(B379/B446, "NA")</f>
      </c>
      <c r="D379" s="15"/>
      <c r="E379" s="13">
        <v>6824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9201.2800000000007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47112.529999999999</v>
      </c>
      <c r="R379" s="14">
        <f>IFERROR(Q379/Q446, "NA")</f>
      </c>
      <c r="S379" s="15"/>
      <c r="T379" s="13">
        <v>59952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74301.619999999995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321.94999999999999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429.06999999999999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4287.6300000000001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6949.3599999999997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10900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11020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93555.669999999998</v>
      </c>
      <c r="R381" s="14">
        <f>IFERROR(Q381/Q446, "NA")</f>
      </c>
      <c r="S381" s="15"/>
      <c r="T381" s="13">
        <v>94400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92900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1525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5153.75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5655</v>
      </c>
      <c r="R382" s="14">
        <f>IFERROR(Q382/Q446, "NA")</f>
      </c>
      <c r="S382" s="15"/>
      <c r="T382" s="13">
        <v>22500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46365.260000000002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306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505.62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3448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5208.9099999999999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11414.49</v>
      </c>
      <c r="C386" s="14">
        <f>IFERROR(B386/B446, "NA")</f>
      </c>
      <c r="D386" s="15"/>
      <c r="E386" s="13">
        <v>750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803.62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24346.650000000001</v>
      </c>
      <c r="R386" s="14">
        <f>IFERROR(Q386/Q446, "NA")</f>
      </c>
      <c r="S386" s="15"/>
      <c r="T386" s="13">
        <v>7250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21949.459999999999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100.23999999999999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151.71000000000001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11772.48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104806.11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3783.21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3212.1900000000001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48682.199999999997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36767.040000000001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3391.6799999999998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1783.47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35181.489999999998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58167.739999999998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1933.75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3277.6999999999998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25408.580000000002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36489.43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1470.9300000000001</v>
      </c>
      <c r="C395" s="14">
        <f>IFERROR(B395/B446, "NA")</f>
      </c>
      <c r="D395" s="15"/>
      <c r="E395" s="13">
        <v>4484.75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15658.379999999999</v>
      </c>
      <c r="R395" s="14">
        <f>IFERROR(Q395/Q446, "NA")</f>
      </c>
      <c r="S395" s="15"/>
      <c r="T395" s="13">
        <v>33976.300000000003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1448.99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3164.6399999999999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8889.25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11909.190000000001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107847.87</v>
      </c>
      <c r="R398" s="14">
        <f>IFERROR(Q398/Q446, "NA")</f>
      </c>
      <c r="S398" s="15"/>
      <c r="T398" s="13">
        <v>71600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71924.429999999993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231.02000000000001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224.36000000000001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1958.7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1234.97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154.5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2981.3400000000001</v>
      </c>
      <c r="R400" s="14">
        <f>IFERROR(Q400/Q446, "NA")</f>
      </c>
      <c r="S400" s="15"/>
      <c r="T400" s="13">
        <v>1600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1487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-13500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-108000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412.25999999999999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59.700000000000003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1182.72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602.78999999999996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2146.9699999999998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1878.5899999999999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idden="1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0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0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0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-3725.6900000000001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56.25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519.63999999999999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-15779.280000000001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-122204.82000000001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-6.7199999999999998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-756.54999999999995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-17110.52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-9845.4899999999998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-96489.589999999997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0</v>
      </c>
      <c r="C446" s="33"/>
      <c r="D446" s="15"/>
      <c r="E446" s="13">
        <v>0</v>
      </c>
      <c r="F446" s="33"/>
      <c r="G446" s="15"/>
      <c r="H446" s="16">
        <f>IFERROR(B446-E446, "NA")</f>
      </c>
      <c r="I446" s="33"/>
      <c r="J446" s="15"/>
      <c r="K446" s="13">
        <v>0</v>
      </c>
      <c r="L446" s="33"/>
      <c r="M446" s="15"/>
      <c r="N446" s="16">
        <f>IFERROR(B446-K446, "NA")</f>
      </c>
      <c r="O446" s="33"/>
      <c r="P446" s="15"/>
      <c r="Q446" s="13">
        <v>0</v>
      </c>
      <c r="R446" s="33"/>
      <c r="S446" s="15"/>
      <c r="T446" s="13">
        <v>0</v>
      </c>
      <c r="U446" s="33"/>
      <c r="V446" s="15"/>
      <c r="W446" s="16">
        <f>IFERROR(Q446-T446, "NA")</f>
      </c>
      <c r="X446" s="33"/>
      <c r="Y446" s="15"/>
      <c r="Z446" s="13">
        <v>0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414</v>
      </c>
      <c t="s" r="B3" s="3">
        <v>414</v>
      </c>
      <c t="s" r="C3" s="3">
        <v>414</v>
      </c>
      <c t="s" r="D3" s="3">
        <v>414</v>
      </c>
      <c t="s" r="E3" s="3">
        <v>414</v>
      </c>
      <c t="s" r="F3" s="3">
        <v>414</v>
      </c>
      <c t="s" r="G3" s="3">
        <v>414</v>
      </c>
      <c t="s" r="H3" s="3">
        <v>414</v>
      </c>
      <c t="s" r="I3" s="3">
        <v>414</v>
      </c>
      <c t="s" r="J3" s="3">
        <v>414</v>
      </c>
      <c t="s" r="K3" s="3">
        <v>414</v>
      </c>
      <c t="s" r="L3" s="3">
        <v>414</v>
      </c>
      <c t="s" r="M3" s="3">
        <v>414</v>
      </c>
      <c t="s" r="N3" s="3">
        <v>414</v>
      </c>
      <c t="s" r="O3" s="3">
        <v>414</v>
      </c>
      <c t="s" r="P3" s="3">
        <v>414</v>
      </c>
      <c t="s" r="Q3" s="3">
        <v>414</v>
      </c>
      <c t="s" r="R3" s="3">
        <v>414</v>
      </c>
      <c t="s" r="S3" s="3">
        <v>414</v>
      </c>
      <c t="s" r="T3" s="3">
        <v>414</v>
      </c>
      <c t="s" r="U3" s="3">
        <v>414</v>
      </c>
      <c t="s" r="V3" s="3">
        <v>414</v>
      </c>
      <c t="s" r="W3" s="3">
        <v>414</v>
      </c>
      <c t="s" r="X3" s="3">
        <v>414</v>
      </c>
      <c t="s" r="Y3" s="3">
        <v>414</v>
      </c>
      <c t="s" r="Z3" s="3">
        <v>414</v>
      </c>
      <c t="s" r="AA3" s="3">
        <v>414</v>
      </c>
      <c t="s" r="AB3" s="3">
        <v>414</v>
      </c>
      <c t="s" r="AC3" s="3">
        <v>414</v>
      </c>
      <c t="s" r="AD3" s="3">
        <v>414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38197.629999999997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331878.75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0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38172.870000000003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225385.70000000001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312412.33000000002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0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4016.0999999999999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23391.900000000001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33486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198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1168.5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1727.5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50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296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1785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36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380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335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4.04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1.3500000000000001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8321.9200000000001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72304.729999999996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6032.8999999999996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1956.45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55981.5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0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32803.300000000003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0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467.66000000000003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4629.1800000000003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4844.6499999999996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0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991.75999999999999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0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10068.450000000001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0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874.53999999999996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4875.8599999999997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6726.7700000000004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15811.65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137379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0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3287.8099999999999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33588.629999999997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42404.410000000003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0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590.90999999999997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2881.77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4721.7299999999996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0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4497.0500000000002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63415.739999999998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75202.940000000002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0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2556.9200000000001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403.19999999999999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116.34999999999999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4961.8800000000001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16643.849999999999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144609.48000000001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0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408.06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32160.580000000002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39093.980000000003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156.09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2940.4299999999998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6511.8400000000001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0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2082.4699999999998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11795.620000000001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39422.099999999999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27.5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4241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15445.16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15729.07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5331.9300000000003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334.29000000000002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54.950000000000003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1940.28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4400.8900000000003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7448.54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8488.3600000000006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73750.830000000002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0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7681.21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43935.07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30621.650000000001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6889.3800000000001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5128.0500000000002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4884.8199999999997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11908.35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18980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25384.5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665.75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5784.3800000000001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0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74.939999999999998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1691.3499999999999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1549.4200000000001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25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200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400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0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208.25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1082.78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3723.5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35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100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125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42.719999999999999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-668.00999999999999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0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-471.63999999999999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-4909.9300000000003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-42659.800000000003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0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-1169.8499999999999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-5897.0799999999999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-9280.8099999999995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0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-1746.72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-7759.2700000000004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-15599.190000000001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-18.699999999999999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-414.13999999999999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-2113.7399999999998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-64.439999999999998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0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-915.58000000000004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-5349.9099999999999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-7310.71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-48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0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-486.07999999999998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-1931.53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-3718.73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-421.69999999999999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-1068.0799999999999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17642.48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153810.67000000001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0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3686.4000000000001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25826.439999999999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35950.690000000002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0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2163.6399999999999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15821.139999999999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20259.23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4436.2600000000002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23684.740000000002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32405.939999999999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0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1693.45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11266.6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14550.879999999999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0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489.19999999999999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6056.3699999999999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5348.4899999999998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0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684.28999999999996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4159.5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5273.8100000000004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4916.5500000000002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0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405.00999999999999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2996.1199999999999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3819.25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0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4591.6999999999998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35295.720000000001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37963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998.63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8676.5799999999999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0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977.94000000000005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7407.8900000000003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9449.4200000000001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0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166.36000000000001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550.85000000000002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1127.54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33.329999999999998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133.31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587.55999999999995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15.699999999999999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110.18000000000001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254.59999999999999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3328.77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28921.900000000001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0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2846.77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17242.93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23222.189999999999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0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655.91999999999996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7654.5799999999999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5268.8000000000002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74.200000000000003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0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191.56999999999999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3054.3000000000002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2179.2800000000002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2.3300000000000001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0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99.079999999999998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387.75999999999999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692.46000000000004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24.309999999999999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590.32000000000005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212.33000000000001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0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-1080.8099999999999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-5360.1300000000001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-12604.450000000001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0</v>
      </c>
      <c r="C178" s="14">
        <f>IFERROR(B178/B446, "NA")</f>
      </c>
      <c r="D178" s="15"/>
      <c r="E178" s="13">
        <v>5076.9200000000001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5076.9200000000001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31184.889999999999</v>
      </c>
      <c r="R178" s="14">
        <f>IFERROR(Q178/Q446, "NA")</f>
      </c>
      <c r="S178" s="15"/>
      <c r="T178" s="13">
        <v>39878.940000000002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39878.940000000002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0</v>
      </c>
      <c r="C180" s="14">
        <f>IFERROR(B180/B446, "NA")</f>
      </c>
      <c r="D180" s="15"/>
      <c r="E180" s="13">
        <v>17559.259999999998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17744.849999999999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109063.07000000001</v>
      </c>
      <c r="R180" s="14">
        <f>IFERROR(Q180/Q446, "NA")</f>
      </c>
      <c r="S180" s="15"/>
      <c r="T180" s="13">
        <v>150931.04999999999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141733.53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376.11000000000001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1189.4400000000001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341.44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0</v>
      </c>
      <c r="C184" s="14">
        <f>IFERROR(B184/B446, "NA")</f>
      </c>
      <c r="D184" s="15"/>
      <c r="E184" s="13">
        <v>165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300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850</v>
      </c>
      <c r="R184" s="14">
        <f>IFERROR(Q184/Q446, "NA")</f>
      </c>
      <c r="S184" s="15"/>
      <c r="T184" s="13">
        <v>1540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1400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0</v>
      </c>
      <c r="C186" s="14">
        <f>IFERROR(B186/B446, "NA")</f>
      </c>
      <c r="D186" s="15"/>
      <c r="E186" s="13">
        <v>2460.8899999999999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2255.1100000000001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15581.889999999999</v>
      </c>
      <c r="R186" s="14">
        <f>IFERROR(Q186/Q446, "NA")</f>
      </c>
      <c r="S186" s="15"/>
      <c r="T186" s="13">
        <v>23109.77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21454.060000000001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0</v>
      </c>
      <c r="C194" s="14">
        <f>IFERROR(B194/B446, "NA")</f>
      </c>
      <c r="D194" s="15"/>
      <c r="E194" s="13">
        <v>182.41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237.44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1847.5899999999999</v>
      </c>
      <c r="R194" s="14">
        <f>IFERROR(Q194/Q446, "NA")</f>
      </c>
      <c r="S194" s="15"/>
      <c r="T194" s="13">
        <v>1538.8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1887.8599999999999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-0.02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0</v>
      </c>
      <c r="C202" s="14">
        <f>IFERROR(B202/B446, "NA")</f>
      </c>
      <c r="D202" s="15"/>
      <c r="E202" s="13">
        <v>665.75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452.69999999999999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2880.2199999999998</v>
      </c>
      <c r="R202" s="14">
        <f>IFERROR(Q202/Q446, "NA")</f>
      </c>
      <c r="S202" s="15"/>
      <c r="T202" s="13">
        <v>5784.3800000000001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5487.5600000000004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0</v>
      </c>
      <c r="C203" s="14">
        <f>IFERROR(B203/B446, "NA")</f>
      </c>
      <c r="D203" s="15"/>
      <c r="E203" s="13">
        <v>748.97000000000003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878.24000000000001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3693.6399999999999</v>
      </c>
      <c r="R203" s="14">
        <f>IFERROR(Q203/Q446, "NA")</f>
      </c>
      <c r="S203" s="15"/>
      <c r="T203" s="13">
        <v>6507.4200000000001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6984.79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0</v>
      </c>
      <c r="C204" s="14">
        <f>IFERROR(B204/B446, "NA")</f>
      </c>
      <c r="D204" s="15"/>
      <c r="E204" s="13">
        <v>166.44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478.73000000000002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1053.78</v>
      </c>
      <c r="R204" s="14">
        <f>IFERROR(Q204/Q446, "NA")</f>
      </c>
      <c r="S204" s="15"/>
      <c r="T204" s="13">
        <v>1446.1099999999999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2070.3400000000001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0</v>
      </c>
      <c r="C205" s="14">
        <f>IFERROR(B205/B446, "NA")</f>
      </c>
      <c r="D205" s="15"/>
      <c r="E205" s="13">
        <v>249.66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258.37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2171.0500000000002</v>
      </c>
      <c r="R205" s="14">
        <f>IFERROR(Q205/Q446, "NA")</f>
      </c>
      <c r="S205" s="15"/>
      <c r="T205" s="13">
        <v>2169.1300000000001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2836.8000000000002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83.219999999999999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667.25999999999999</v>
      </c>
      <c r="R206" s="14">
        <f>IFERROR(Q206/Q446, "NA")</f>
      </c>
      <c r="S206" s="15"/>
      <c r="T206" s="13">
        <v>723.04999999999995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490.44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156.74000000000001</v>
      </c>
      <c r="R207" s="14">
        <f>IFERROR(Q207/Q446, "NA")</f>
      </c>
      <c r="S207" s="15"/>
      <c r="T207" s="13">
        <v>800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762.97000000000003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122.84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191.80000000000001</v>
      </c>
      <c r="R208" s="14">
        <f>IFERROR(Q208/Q446, "NA")</f>
      </c>
      <c r="S208" s="15"/>
      <c r="T208" s="13">
        <v>800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1434.1300000000001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2413.3600000000001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20968.380000000001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0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292.98000000000002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3908.6799999999998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8720.0300000000007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290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61.090000000000003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0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278.94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12263.93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13933.16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62.5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1105.4300000000001</v>
      </c>
      <c r="R222" s="14">
        <f>IFERROR(Q222/Q446, "NA")</f>
      </c>
      <c r="S222" s="15"/>
      <c r="T222" s="13">
        <v>800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1289.1199999999999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665.75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5784.3800000000001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91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126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888.04999999999995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0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176.68000000000001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3381.4299999999998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4417.4499999999998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0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122.25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4493.8400000000001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39044.559999999998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29.879999999999999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518.17999999999995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976.17999999999995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410.5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4015.8899999999999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4630.46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0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343.61000000000001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1958.8800000000001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6348.5600000000004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0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1581.25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8681.0499999999993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6292.4399999999996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0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159.68000000000001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627.95000000000005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1279.8900000000001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0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202.94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1190.46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1619.97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0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748.37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11759.23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10778.780000000001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271.29000000000002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29.09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485.06999999999999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1100.22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1859.24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721.84000000000003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419.38999999999999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755.17999999999995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2088.6599999999999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5076.8999999999996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0</v>
      </c>
      <c r="C266" s="14">
        <f>IFERROR(B266/B446, "NA")</f>
      </c>
      <c r="D266" s="15"/>
      <c r="E266" s="13">
        <v>2246.9200000000001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2238.4099999999999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14830.700000000001</v>
      </c>
      <c r="R266" s="14">
        <f>IFERROR(Q266/Q446, "NA")</f>
      </c>
      <c r="S266" s="15"/>
      <c r="T266" s="13">
        <v>19522.27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18536.380000000001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441.97000000000003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236.72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218.47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1443.1700000000001</v>
      </c>
      <c r="R271" s="14">
        <f>IFERROR(Q271/Q446, "NA")</f>
      </c>
      <c r="S271" s="15"/>
      <c r="T271" s="13">
        <v>1893.76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1747.76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1078.3299999999999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1196.0699999999999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4780.5900000000001</v>
      </c>
      <c r="R272" s="14">
        <f>IFERROR(Q272/Q446, "NA")</f>
      </c>
      <c r="S272" s="15"/>
      <c r="T272" s="13">
        <v>8626.6399999999994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9612.8199999999997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6405.54</v>
      </c>
      <c r="R288" s="14">
        <f>IFERROR(Q288/Q446, "NA")</f>
      </c>
      <c r="S288" s="15"/>
      <c r="T288" s="13">
        <v>7768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7764.2399999999998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263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185.81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1560.78</v>
      </c>
      <c r="R289" s="14">
        <f>IFERROR(Q289/Q446, "NA")</f>
      </c>
      <c r="S289" s="15"/>
      <c r="T289" s="13">
        <v>2104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2415.4899999999998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224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218.66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1431.8599999999999</v>
      </c>
      <c r="R290" s="14">
        <f>IFERROR(Q290/Q446, "NA")</f>
      </c>
      <c r="S290" s="15"/>
      <c r="T290" s="13">
        <v>1792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1884.1600000000001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332.88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2734.3899999999999</v>
      </c>
      <c r="R291" s="14">
        <f>IFERROR(Q291/Q446, "NA")</f>
      </c>
      <c r="S291" s="15"/>
      <c r="T291" s="13">
        <v>2691.77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3783.0300000000002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332.88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286.19999999999999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7562.8199999999997</v>
      </c>
      <c r="R292" s="14">
        <f>IFERROR(Q292/Q446, "NA")</f>
      </c>
      <c r="S292" s="15"/>
      <c r="T292" s="13">
        <v>2892.1900000000001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3653.0999999999999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249.66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204.96000000000001</v>
      </c>
      <c r="R293" s="14">
        <f>IFERROR(Q293/Q446, "NA")</f>
      </c>
      <c r="S293" s="15"/>
      <c r="T293" s="13">
        <v>2169.1300000000001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2330.6599999999999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124.83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2441.5999999999999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521.60000000000002</v>
      </c>
      <c r="R294" s="14">
        <f>IFERROR(Q294/Q446, "NA")</f>
      </c>
      <c r="S294" s="15"/>
      <c r="T294" s="13">
        <v>1084.5599999999999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2724.8499999999999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350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325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1499.97</v>
      </c>
      <c r="R295" s="14">
        <f>IFERROR(Q295/Q446, "NA")</f>
      </c>
      <c r="S295" s="15"/>
      <c r="T295" s="13">
        <v>2800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2855.5900000000001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0</v>
      </c>
      <c r="C300" s="14">
        <f>IFERROR(B300/B446, "NA")</f>
      </c>
      <c r="D300" s="15"/>
      <c r="E300" s="13">
        <v>489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525.88999999999999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2715.1399999999999</v>
      </c>
      <c r="R300" s="14">
        <f>IFERROR(Q300/Q446, "NA")</f>
      </c>
      <c r="S300" s="15"/>
      <c r="T300" s="13">
        <v>3912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5211.7799999999997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158.91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134.63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214.68000000000001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15.07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115.48</v>
      </c>
      <c r="R311" s="14">
        <f>IFERROR(Q311/Q446, "NA")</f>
      </c>
      <c r="S311" s="15"/>
      <c r="T311" s="13">
        <v>440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707.46000000000004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0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478.31999999999999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2498.5300000000002</v>
      </c>
      <c r="R313" s="14">
        <f>IFERROR(Q313/Q446, "NA")</f>
      </c>
      <c r="S313" s="15"/>
      <c r="T313" s="13">
        <v>280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1643.6300000000001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25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60.049999999999997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147.02000000000001</v>
      </c>
      <c r="R314" s="14">
        <f>IFERROR(Q314/Q446, "NA")</f>
      </c>
      <c r="S314" s="15"/>
      <c r="T314" s="13">
        <v>200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181.09999999999999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290.20999999999998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414.56999999999999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2072.8499999999999</v>
      </c>
      <c r="R319" s="14">
        <f>IFERROR(Q319/Q446, "NA")</f>
      </c>
      <c r="S319" s="15"/>
      <c r="T319" s="13">
        <v>3320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3316.5599999999999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0</v>
      </c>
      <c r="C320" s="14">
        <f>IFERROR(B320/B446, "NA")</f>
      </c>
      <c r="D320" s="15"/>
      <c r="E320" s="13">
        <v>150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149.50999999999999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897.63</v>
      </c>
      <c r="R320" s="14">
        <f>IFERROR(Q320/Q446, "NA")</f>
      </c>
      <c r="S320" s="15"/>
      <c r="T320" s="13">
        <v>1200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1196.4400000000001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0</v>
      </c>
      <c r="C321" s="14">
        <f>IFERROR(B321/B446, "NA")</f>
      </c>
      <c r="D321" s="15"/>
      <c r="E321" s="13">
        <v>1242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1240.79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8667.2099999999991</v>
      </c>
      <c r="R321" s="14">
        <f>IFERROR(Q321/Q446, "NA")</f>
      </c>
      <c r="S321" s="15"/>
      <c r="T321" s="13">
        <v>9936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8875.7999999999993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0</v>
      </c>
      <c r="C322" s="14">
        <f>IFERROR(B322/B446, "NA")</f>
      </c>
      <c r="D322" s="15"/>
      <c r="E322" s="13">
        <v>1248.29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1080.8099999999999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5360.1300000000001</v>
      </c>
      <c r="R322" s="14">
        <f>IFERROR(Q322/Q446, "NA")</f>
      </c>
      <c r="S322" s="15"/>
      <c r="T322" s="13">
        <v>10780.129999999999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12604.450000000001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0</v>
      </c>
      <c r="C323" s="14">
        <f>IFERROR(B323/B446, "NA")</f>
      </c>
      <c r="D323" s="15"/>
      <c r="E323" s="13">
        <v>250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384.97000000000003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1360.1400000000001</v>
      </c>
      <c r="R323" s="14">
        <f>IFERROR(Q323/Q446, "NA")</f>
      </c>
      <c r="S323" s="15"/>
      <c r="T323" s="13">
        <v>2000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2300.98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0</v>
      </c>
      <c r="C330" s="14">
        <f>IFERROR(B330/B446, "NA")</f>
      </c>
      <c r="D330" s="15"/>
      <c r="E330" s="13">
        <v>4735.6999999999998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4597.7600000000002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28414.200000000001</v>
      </c>
      <c r="R330" s="14">
        <f>IFERROR(Q330/Q446, "NA")</f>
      </c>
      <c r="S330" s="15"/>
      <c r="T330" s="13">
        <v>37885.599999999999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36782.080000000002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0</v>
      </c>
      <c r="C331" s="14">
        <f>IFERROR(B331/B446, "NA")</f>
      </c>
      <c r="D331" s="15"/>
      <c r="E331" s="13">
        <v>1736.5999999999999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1686.02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13277.190000000001</v>
      </c>
      <c r="R331" s="14">
        <f>IFERROR(Q331/Q446, "NA")</f>
      </c>
      <c r="S331" s="15"/>
      <c r="T331" s="13">
        <v>13892.799999999999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14739.27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0</v>
      </c>
      <c r="C334" s="14">
        <f>IFERROR(B334/B446, "NA")</f>
      </c>
      <c r="D334" s="15"/>
      <c r="E334" s="13">
        <v>1914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1913.97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10907.67</v>
      </c>
      <c r="R334" s="14">
        <f>IFERROR(Q334/Q446, "NA")</f>
      </c>
      <c r="S334" s="15"/>
      <c r="T334" s="13">
        <v>15312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14553.02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0</v>
      </c>
      <c r="C335" s="14">
        <f>IFERROR(B335/B446, "NA")</f>
      </c>
      <c r="D335" s="15"/>
      <c r="E335" s="13">
        <v>-364.64999999999998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-354.02999999999997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-729.29999999999995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-708.05999999999995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0</v>
      </c>
      <c r="C339" s="14">
        <f>IFERROR(B339/B446, "NA")</f>
      </c>
      <c r="D339" s="15"/>
      <c r="E339" s="13">
        <v>2413.3600000000001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3063.6599999999999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13821.200000000001</v>
      </c>
      <c r="R339" s="14">
        <f>IFERROR(Q339/Q446, "NA")</f>
      </c>
      <c r="S339" s="15"/>
      <c r="T339" s="13">
        <v>20968.380000000001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21284.07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0</v>
      </c>
      <c r="C340" s="14">
        <f>IFERROR(B340/B446, "NA")</f>
      </c>
      <c r="D340" s="15"/>
      <c r="E340" s="13">
        <v>332.88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353.67000000000002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2301.9000000000001</v>
      </c>
      <c r="R340" s="14">
        <f>IFERROR(Q340/Q446, "NA")</f>
      </c>
      <c r="S340" s="15"/>
      <c r="T340" s="13">
        <v>2892.1900000000001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2622.8000000000002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0</v>
      </c>
      <c r="C341" s="14">
        <f>IFERROR(B341/B446, "NA")</f>
      </c>
      <c r="D341" s="15"/>
      <c r="E341" s="13">
        <v>332.88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437.22000000000003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3960.1599999999999</v>
      </c>
      <c r="R341" s="14">
        <f>IFERROR(Q341/Q446, "NA")</f>
      </c>
      <c r="S341" s="15"/>
      <c r="T341" s="13">
        <v>2892.1900000000001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3317.0599999999999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4894.4899999999998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34145.139999999999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0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4766.3400000000001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32078.450000000001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32524.290000000001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-21.239999999999998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-144.66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-78.420000000000002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-66.849999999999994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t="16.5" customHeight="1">
      <c t="s" r="A425" s="12">
        <v>390</v>
      </c>
      <c r="B425" s="13">
        <v>802.70000000000005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21015.639999999999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402.48000000000002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239.59999999999999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258306.54999999999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-114.06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-136.47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-892.40999999999997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-1071.05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0</v>
      </c>
      <c r="C446" s="33"/>
      <c r="D446" s="15"/>
      <c r="E446" s="13">
        <v>83219.229999999996</v>
      </c>
      <c r="F446" s="33"/>
      <c r="G446" s="15"/>
      <c r="H446" s="16">
        <f>IFERROR(B446-E446, "NA")</f>
      </c>
      <c r="I446" s="33"/>
      <c r="J446" s="15"/>
      <c r="K446" s="13">
        <v>76260.460000000006</v>
      </c>
      <c r="L446" s="33"/>
      <c r="M446" s="15"/>
      <c r="N446" s="16">
        <f>IFERROR(B446-K446, "NA")</f>
      </c>
      <c r="O446" s="33"/>
      <c r="P446" s="15"/>
      <c r="Q446" s="13">
        <v>554563.68999999994</v>
      </c>
      <c r="R446" s="33"/>
      <c r="S446" s="15"/>
      <c r="T446" s="13">
        <v>723047.37</v>
      </c>
      <c r="U446" s="33"/>
      <c r="V446" s="15"/>
      <c r="W446" s="16">
        <f>IFERROR(Q446-T446, "NA")</f>
      </c>
      <c r="X446" s="33"/>
      <c r="Y446" s="15"/>
      <c r="Z446" s="13">
        <v>668696.35999999999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415</v>
      </c>
      <c t="s" r="B3" s="3">
        <v>415</v>
      </c>
      <c t="s" r="C3" s="3">
        <v>415</v>
      </c>
      <c t="s" r="D3" s="3">
        <v>415</v>
      </c>
      <c t="s" r="E3" s="3">
        <v>415</v>
      </c>
      <c t="s" r="F3" s="3">
        <v>415</v>
      </c>
      <c t="s" r="G3" s="3">
        <v>415</v>
      </c>
      <c t="s" r="H3" s="3">
        <v>415</v>
      </c>
      <c t="s" r="I3" s="3">
        <v>415</v>
      </c>
      <c t="s" r="J3" s="3">
        <v>415</v>
      </c>
      <c t="s" r="K3" s="3">
        <v>415</v>
      </c>
      <c t="s" r="L3" s="3">
        <v>415</v>
      </c>
      <c t="s" r="M3" s="3">
        <v>415</v>
      </c>
      <c t="s" r="N3" s="3">
        <v>415</v>
      </c>
      <c t="s" r="O3" s="3">
        <v>415</v>
      </c>
      <c t="s" r="P3" s="3">
        <v>415</v>
      </c>
      <c t="s" r="Q3" s="3">
        <v>415</v>
      </c>
      <c t="s" r="R3" s="3">
        <v>415</v>
      </c>
      <c t="s" r="S3" s="3">
        <v>415</v>
      </c>
      <c t="s" r="T3" s="3">
        <v>415</v>
      </c>
      <c t="s" r="U3" s="3">
        <v>415</v>
      </c>
      <c t="s" r="V3" s="3">
        <v>415</v>
      </c>
      <c t="s" r="W3" s="3">
        <v>415</v>
      </c>
      <c t="s" r="X3" s="3">
        <v>415</v>
      </c>
      <c t="s" r="Y3" s="3">
        <v>415</v>
      </c>
      <c t="s" r="Z3" s="3">
        <v>415</v>
      </c>
      <c t="s" r="AA3" s="3">
        <v>415</v>
      </c>
      <c t="s" r="AB3" s="3">
        <v>415</v>
      </c>
      <c t="s" r="AC3" s="3">
        <v>415</v>
      </c>
      <c t="s" r="AD3" s="3">
        <v>415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48347.660000000003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432830.35999999999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46813.580000000002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57319.18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374178.58000000002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396590.76000000001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5400.8500000000004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5609.8999999999996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41823.949999999997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38691.839999999997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149.5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350.5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1282.5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2659.5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160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230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3015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106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36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439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712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0.48999999999999999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0.59999999999999998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14331.629999999999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128303.28999999999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8395.6499999999996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4179.4499999999998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63979.400000000001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9860.4300000000003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60147.18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1270.8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927.96000000000004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10429.610000000001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13093.309999999999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148.55000000000001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2093.3299999999999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2838.4400000000001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635.20000000000005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29204.990000000002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17896.889999999999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886.51999999999998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898.5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7014.29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6606.9700000000003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38332.790000000001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343172.63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18852.48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12131.43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163661.03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156954.89000000001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1658.98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1281.3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9921.9699999999993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17122.82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27216.84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9297.3899999999994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248995.72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153985.20999999999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4087.9200000000001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16547.07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2896.5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904.59000000000003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19576.84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58880.540000000001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527125.52000000002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14549.629999999999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13423.790000000001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90525.610000000001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105268.66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46722.25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30373.630000000001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358426.09999999998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300669.32000000001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2700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4841.2299999999996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1109.1400000000001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2560.27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15204.74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24490.189999999999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12600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8000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41.149999999999999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11.65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1564.22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15022.309999999999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134486.56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2464.1999999999998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3874.1100000000001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24349.459999999999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7578.7299999999996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11622.35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9457.5400000000009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97531.809999999998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101542.60000000001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760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2284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4834.7700000000004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43283.040000000001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1269.47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1361.1600000000001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8242.7099999999991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9818.6700000000001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8.9700000000000006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4265.8599999999997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3097.46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34235.43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28180.720000000001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-16.75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-51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196.91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-1710.4100000000001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-1403.22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-7079.4799999999996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-63378.730000000003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-1009.9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-1899.3499999999999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-9284.0599999999995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-17074.470000000001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-3212.1900000000001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-2559.29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-14959.129999999999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-18300.84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-1009.84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-1131.9200000000001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-4170.3900000000003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-7414.0900000000001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-78.069999999999993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-2372.9899999999998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-1568.6700000000001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-16265.790000000001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-13570.5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-23.030000000000001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-172.78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-211.02000000000001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-724.70000000000005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-3586.6999999999998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-5447.6499999999996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-1870.9000000000001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-3247.6999999999998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-1762.0599999999999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35224.720000000001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316911.67999999999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7792.1300000000001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6712.5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71282.889999999999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74463.160000000003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4641.9799999999996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3902.1599999999999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39000.309999999998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38523.010000000002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5729.4799999999996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8653.7700000000004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56099.339999999997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63960.410000000003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3468.79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3646.6399999999999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32080.93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31772.810000000001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2587.8499999999999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1220.1800000000001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17392.32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12295.91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1988.1500000000001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1821.73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15457.690000000001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13982.469999999999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6328.6499999999996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994.96000000000004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987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6965.1599999999999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7015.9200000000001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10967.08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8668.6100000000006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90326.639999999999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77987.669999999998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1554.03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13912.389999999999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1954.1199999999999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1834.3499999999999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15971.68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14466.389999999999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49.299999999999997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160.09999999999999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380.14999999999998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790.23000000000002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2.3999999999999999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43.200000000000003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181.13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1572.3399999999999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43.359999999999999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29.329999999999998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120.19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242.49000000000001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7079.4799999999996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63378.730000000003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4668.6599999999999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4507.8400000000001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37604.389999999999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39788.550000000003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2605.1999999999998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2258.54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22988.209999999999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21120.049999999999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118.69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315.63999999999999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126.48999999999999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2337.9099999999999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1160.71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159.81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174.31999999999999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1499.28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1231.99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188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48.93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1296.3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434.45999999999998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-2177.8899999999999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-1855.4200000000001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-12116.73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-18073.68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10076.92</v>
      </c>
      <c r="C178" s="14">
        <f>IFERROR(B178/B446, "NA")</f>
      </c>
      <c r="D178" s="15"/>
      <c r="E178" s="13">
        <v>10278.459999999999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10076.92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85653.820000000007</v>
      </c>
      <c r="R178" s="14">
        <f>IFERROR(Q178/Q446, "NA")</f>
      </c>
      <c r="S178" s="15"/>
      <c r="T178" s="13">
        <v>86431.399999999994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85378.820000000007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29336.419999999998</v>
      </c>
      <c r="C180" s="14">
        <f>IFERROR(B180/B446, "NA")</f>
      </c>
      <c r="D180" s="15"/>
      <c r="E180" s="13">
        <v>27627.240000000002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26651.450000000001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227646.95000000001</v>
      </c>
      <c r="R180" s="14">
        <f>IFERROR(Q180/Q446, "NA")</f>
      </c>
      <c r="S180" s="15"/>
      <c r="T180" s="13">
        <v>241097.79999999999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227991.56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1102.21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507.56999999999999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6047.4200000000001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5638.2200000000003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863</v>
      </c>
      <c r="C184" s="14">
        <f>IFERROR(B184/B446, "NA")</f>
      </c>
      <c r="D184" s="15"/>
      <c r="E184" s="13">
        <v>862.5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1150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1576</v>
      </c>
      <c r="R184" s="14">
        <f>IFERROR(Q184/Q446, "NA")</f>
      </c>
      <c r="S184" s="15"/>
      <c r="T184" s="13">
        <v>7200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4100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4251.7200000000003</v>
      </c>
      <c r="C186" s="14">
        <f>IFERROR(B186/B446, "NA")</f>
      </c>
      <c r="D186" s="15"/>
      <c r="E186" s="13">
        <v>3857.1300000000001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3549.23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34098.190000000002</v>
      </c>
      <c r="R186" s="14">
        <f>IFERROR(Q186/Q446, "NA")</f>
      </c>
      <c r="S186" s="15"/>
      <c r="T186" s="13">
        <v>34643.389999999999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32086.220000000001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275.60000000000002</v>
      </c>
      <c r="C194" s="14">
        <f>IFERROR(B194/B446, "NA")</f>
      </c>
      <c r="D194" s="15"/>
      <c r="E194" s="13">
        <v>310.14999999999998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250.16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2081.25</v>
      </c>
      <c r="R194" s="14">
        <f>IFERROR(Q194/Q446, "NA")</f>
      </c>
      <c r="S194" s="15"/>
      <c r="T194" s="13">
        <v>2677.8299999999999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2163.46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55.619999999999997</v>
      </c>
      <c r="C195" s="14">
        <f>IFERROR(B195/B446, "NA")</f>
      </c>
      <c r="D195" s="15"/>
      <c r="E195" s="13">
        <v>518.00999999999999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209.06999999999999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1792.46</v>
      </c>
      <c r="R195" s="14">
        <f>IFERROR(Q195/Q446, "NA")</f>
      </c>
      <c r="S195" s="15"/>
      <c r="T195" s="13">
        <v>4637.46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1563.72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1404.3399999999999</v>
      </c>
      <c r="C202" s="14">
        <f>IFERROR(B202/B446, "NA")</f>
      </c>
      <c r="D202" s="15"/>
      <c r="E202" s="13">
        <v>1554.03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1602.6700000000001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13911.440000000001</v>
      </c>
      <c r="R202" s="14">
        <f>IFERROR(Q202/Q446, "NA")</f>
      </c>
      <c r="S202" s="15"/>
      <c r="T202" s="13">
        <v>13912.389999999999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12366.629999999999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936.60000000000002</v>
      </c>
      <c r="C203" s="14">
        <f>IFERROR(B203/B446, "NA")</f>
      </c>
      <c r="D203" s="15"/>
      <c r="E203" s="13">
        <v>1036.02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1057.5999999999999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8651.7199999999993</v>
      </c>
      <c r="R203" s="14">
        <f>IFERROR(Q203/Q446, "NA")</f>
      </c>
      <c r="S203" s="15"/>
      <c r="T203" s="13">
        <v>9274.9400000000005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11509.9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81.719999999999999</v>
      </c>
      <c r="C204" s="14">
        <f>IFERROR(B204/B446, "NA")</f>
      </c>
      <c r="D204" s="15"/>
      <c r="E204" s="13">
        <v>345.33999999999997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354.50999999999999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1834.53</v>
      </c>
      <c r="R204" s="14">
        <f>IFERROR(Q204/Q446, "NA")</f>
      </c>
      <c r="S204" s="15"/>
      <c r="T204" s="13">
        <v>3091.6599999999999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1952.0699999999999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543.04999999999995</v>
      </c>
      <c r="C205" s="14">
        <f>IFERROR(B205/B446, "NA")</f>
      </c>
      <c r="D205" s="15"/>
      <c r="E205" s="13">
        <v>518.00999999999999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368.82999999999998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4497.6700000000001</v>
      </c>
      <c r="R205" s="14">
        <f>IFERROR(Q205/Q446, "NA")</f>
      </c>
      <c r="S205" s="15"/>
      <c r="T205" s="13">
        <v>4637.46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5739.2700000000004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41.82</v>
      </c>
      <c r="C206" s="14">
        <f>IFERROR(B206/B446, "NA")</f>
      </c>
      <c r="D206" s="15"/>
      <c r="E206" s="13">
        <v>172.66999999999999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128.16999999999999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852.05999999999995</v>
      </c>
      <c r="R206" s="14">
        <f>IFERROR(Q206/Q446, "NA")</f>
      </c>
      <c r="S206" s="15"/>
      <c r="T206" s="13">
        <v>1545.8099999999999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1385.21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558.03999999999996</v>
      </c>
      <c r="R207" s="14">
        <f>IFERROR(Q207/Q446, "NA")</f>
      </c>
      <c r="S207" s="15"/>
      <c r="T207" s="13">
        <v>800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762.98000000000002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38.770000000000003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339.91000000000003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1255.3199999999999</v>
      </c>
      <c r="R208" s="14">
        <f>IFERROR(Q208/Q446, "NA")</f>
      </c>
      <c r="S208" s="15"/>
      <c r="T208" s="13">
        <v>800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1681.47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6561.4700000000003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58741.279999999999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2427.23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924.04999999999995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19612.060000000001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32826.919999999998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1325.26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888.95000000000005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10350.719999999999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1059.6099999999999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178.24000000000001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61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791.49000000000001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672.88999999999999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4134.1300000000001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709.88999999999999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46662.160000000003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29550.029999999999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179.63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87.5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3166.96</v>
      </c>
      <c r="R222" s="14">
        <f>IFERROR(Q222/Q446, "NA")</f>
      </c>
      <c r="S222" s="15"/>
      <c r="T222" s="13">
        <v>800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2267.1500000000001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3798.7399999999998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34008.080000000002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0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2465.8099999999999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390.33999999999997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424.20999999999998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577.78999999999996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4635.6599999999999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3295.6700000000001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34983.199999999997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27849.060000000001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152.72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647.28999999999996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14676.969999999999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131394.92999999999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2840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1907.77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24561.209999999999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21497.77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7954.9899999999998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5241.2600000000002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60806.32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50445.540000000001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489.66000000000003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803.79999999999995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5042.7799999999997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1548.8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337.61000000000001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381.99000000000001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2066.4899999999998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5069.3800000000001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239.75999999999999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208.5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1756.1500000000001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1592.1700000000001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5442.9899999999998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1688.1400000000001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46854.669999999998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25687.18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2324.4699999999998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1891.5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19872.82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20222.360000000001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328.81999999999999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456.80000000000001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5270.2299999999996</v>
      </c>
      <c r="C266" s="14">
        <f>IFERROR(B266/B446, "NA")</f>
      </c>
      <c r="D266" s="15"/>
      <c r="E266" s="13">
        <v>4144.0900000000001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4427.6700000000001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42023.839999999997</v>
      </c>
      <c r="R266" s="14">
        <f>IFERROR(Q266/Q446, "NA")</f>
      </c>
      <c r="S266" s="15"/>
      <c r="T266" s="13">
        <v>37099.75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35201.620000000003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145.72</v>
      </c>
      <c r="C271" s="14">
        <f>IFERROR(B271/B446, "NA")</f>
      </c>
      <c r="D271" s="15"/>
      <c r="E271" s="13">
        <v>236.63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241.5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1647.0599999999999</v>
      </c>
      <c r="R271" s="14">
        <f>IFERROR(Q271/Q446, "NA")</f>
      </c>
      <c r="S271" s="15"/>
      <c r="T271" s="13">
        <v>1893.04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1873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899.29999999999995</v>
      </c>
      <c r="C272" s="14">
        <f>IFERROR(B272/B446, "NA")</f>
      </c>
      <c r="D272" s="15"/>
      <c r="E272" s="13">
        <v>1068.3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1068.3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8494</v>
      </c>
      <c r="R272" s="14">
        <f>IFERROR(Q272/Q446, "NA")</f>
      </c>
      <c r="S272" s="15"/>
      <c r="T272" s="13">
        <v>8546.3999999999996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7209.3000000000002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1594.1600000000001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146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144.65000000000001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874.5</v>
      </c>
      <c r="R289" s="14">
        <f>IFERROR(Q289/Q446, "NA")</f>
      </c>
      <c r="S289" s="15"/>
      <c r="T289" s="13">
        <v>1168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1163.8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265.05000000000001</v>
      </c>
      <c r="C290" s="14">
        <f>IFERROR(B290/B446, "NA")</f>
      </c>
      <c r="D290" s="15"/>
      <c r="E290" s="13">
        <v>247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228.97999999999999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2340.1100000000001</v>
      </c>
      <c r="R290" s="14">
        <f>IFERROR(Q290/Q446, "NA")</f>
      </c>
      <c r="S290" s="15"/>
      <c r="T290" s="13">
        <v>1976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1794.04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1152.8199999999999</v>
      </c>
      <c r="C291" s="14">
        <f>IFERROR(B291/B446, "NA")</f>
      </c>
      <c r="D291" s="15"/>
      <c r="E291" s="13">
        <v>1036.02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830.27999999999997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9742.3799999999992</v>
      </c>
      <c r="R291" s="14">
        <f>IFERROR(Q291/Q446, "NA")</f>
      </c>
      <c r="S291" s="15"/>
      <c r="T291" s="13">
        <v>8865.1200000000008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8405.3199999999997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1214.5</v>
      </c>
      <c r="C292" s="14">
        <f>IFERROR(B292/B446, "NA")</f>
      </c>
      <c r="D292" s="15"/>
      <c r="E292" s="13">
        <v>863.35000000000002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941.53999999999996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10563.52</v>
      </c>
      <c r="R292" s="14">
        <f>IFERROR(Q292/Q446, "NA")</f>
      </c>
      <c r="S292" s="15"/>
      <c r="T292" s="13">
        <v>7729.1099999999997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10368.530000000001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172.66999999999999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2186.4000000000001</v>
      </c>
      <c r="R293" s="14">
        <f>IFERROR(Q293/Q446, "NA")</f>
      </c>
      <c r="S293" s="15"/>
      <c r="T293" s="13">
        <v>1545.8099999999999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681.63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1082.3</v>
      </c>
      <c r="C294" s="14">
        <f>IFERROR(B294/B446, "NA")</f>
      </c>
      <c r="D294" s="15"/>
      <c r="E294" s="13">
        <v>259.00999999999999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649.88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3011.8899999999999</v>
      </c>
      <c r="R294" s="14">
        <f>IFERROR(Q294/Q446, "NA")</f>
      </c>
      <c r="S294" s="15"/>
      <c r="T294" s="13">
        <v>2318.7399999999998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2390.4299999999998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311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325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1499.97</v>
      </c>
      <c r="R295" s="14">
        <f>IFERROR(Q295/Q446, "NA")</f>
      </c>
      <c r="S295" s="15"/>
      <c r="T295" s="13">
        <v>2488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2813.96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2027.25</v>
      </c>
      <c r="C300" s="14">
        <f>IFERROR(B300/B446, "NA")</f>
      </c>
      <c r="D300" s="15"/>
      <c r="E300" s="13">
        <v>517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516.94000000000005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10987.950000000001</v>
      </c>
      <c r="R300" s="14">
        <f>IFERROR(Q300/Q446, "NA")</f>
      </c>
      <c r="S300" s="15"/>
      <c r="T300" s="13">
        <v>4136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7893.7700000000004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515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40.479999999999997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29.949999999999999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716.74000000000001</v>
      </c>
      <c r="R311" s="14">
        <f>IFERROR(Q311/Q446, "NA")</f>
      </c>
      <c r="S311" s="15"/>
      <c r="T311" s="13">
        <v>440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1156.8399999999999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561.54999999999995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824.00999999999999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5248.1300000000001</v>
      </c>
      <c r="R313" s="14">
        <f>IFERROR(Q313/Q446, "NA")</f>
      </c>
      <c r="S313" s="15"/>
      <c r="T313" s="13">
        <v>280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4321.4499999999998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417</v>
      </c>
      <c r="C314" s="14">
        <f>IFERROR(B314/B446, "NA")</f>
      </c>
      <c r="D314" s="15"/>
      <c r="E314" s="13">
        <v>250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275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3081.75</v>
      </c>
      <c r="R314" s="14">
        <f>IFERROR(Q314/Q446, "NA")</f>
      </c>
      <c r="S314" s="15"/>
      <c r="T314" s="13">
        <v>2000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2303.5999999999999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-0.62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297.51999999999998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324.16000000000003</v>
      </c>
      <c r="C320" s="14">
        <f>IFERROR(B320/B446, "NA")</f>
      </c>
      <c r="D320" s="15"/>
      <c r="E320" s="13">
        <v>314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313.27999999999997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2591.7800000000002</v>
      </c>
      <c r="R320" s="14">
        <f>IFERROR(Q320/Q446, "NA")</f>
      </c>
      <c r="S320" s="15"/>
      <c r="T320" s="13">
        <v>2512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2511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1036.22</v>
      </c>
      <c r="C321" s="14">
        <f>IFERROR(B321/B446, "NA")</f>
      </c>
      <c r="D321" s="15"/>
      <c r="E321" s="13">
        <v>1101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1228.6900000000001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8259.0799999999999</v>
      </c>
      <c r="R321" s="14">
        <f>IFERROR(Q321/Q446, "NA")</f>
      </c>
      <c r="S321" s="15"/>
      <c r="T321" s="13">
        <v>8808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8677.3199999999997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2177.8899999999999</v>
      </c>
      <c r="C322" s="14">
        <f>IFERROR(B322/B446, "NA")</f>
      </c>
      <c r="D322" s="15"/>
      <c r="E322" s="13">
        <v>1726.7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1855.4200000000001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12116.73</v>
      </c>
      <c r="R322" s="14">
        <f>IFERROR(Q322/Q446, "NA")</f>
      </c>
      <c r="S322" s="15"/>
      <c r="T322" s="13">
        <v>15316.049999999999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18073.68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224.5</v>
      </c>
      <c r="C323" s="14">
        <f>IFERROR(B323/B446, "NA")</f>
      </c>
      <c r="D323" s="15"/>
      <c r="E323" s="13">
        <v>191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174.47999999999999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2191.8200000000002</v>
      </c>
      <c r="R323" s="14">
        <f>IFERROR(Q323/Q446, "NA")</f>
      </c>
      <c r="S323" s="15"/>
      <c r="T323" s="13">
        <v>1528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1519.28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3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10440.49</v>
      </c>
      <c r="C330" s="14">
        <f>IFERROR(B330/B446, "NA")</f>
      </c>
      <c r="D330" s="15"/>
      <c r="E330" s="13">
        <v>10440.49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10136.4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83523.919999999998</v>
      </c>
      <c r="R330" s="14">
        <f>IFERROR(Q330/Q446, "NA")</f>
      </c>
      <c r="S330" s="15"/>
      <c r="T330" s="13">
        <v>83523.919999999998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81091.199999999997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795.57000000000005</v>
      </c>
      <c r="C331" s="14">
        <f>IFERROR(B331/B446, "NA")</f>
      </c>
      <c r="D331" s="15"/>
      <c r="E331" s="13">
        <v>728.64999999999998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728.64999999999998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5586.6899999999996</v>
      </c>
      <c r="R331" s="14">
        <f>IFERROR(Q331/Q446, "NA")</f>
      </c>
      <c r="S331" s="15"/>
      <c r="T331" s="13">
        <v>5829.1999999999998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4915.4700000000003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15.16</v>
      </c>
      <c r="C333" s="14">
        <f>IFERROR(B333/B446, "NA")</f>
      </c>
      <c r="D333" s="15"/>
      <c r="E333" s="13">
        <v>133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1470.9000000000001</v>
      </c>
      <c r="R333" s="14">
        <f>IFERROR(Q333/Q446, "NA")</f>
      </c>
      <c r="S333" s="15"/>
      <c r="T333" s="13">
        <v>1064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1416.52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964.13999999999999</v>
      </c>
      <c r="C334" s="14">
        <f>IFERROR(B334/B446, "NA")</f>
      </c>
      <c r="D334" s="15"/>
      <c r="E334" s="13">
        <v>964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964.13999999999999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7168.8999999999996</v>
      </c>
      <c r="R334" s="14">
        <f>IFERROR(Q334/Q446, "NA")</f>
      </c>
      <c r="S334" s="15"/>
      <c r="T334" s="13">
        <v>7712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7713.1199999999999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-803.91999999999996</v>
      </c>
      <c r="C335" s="14">
        <f>IFERROR(B335/B446, "NA")</f>
      </c>
      <c r="D335" s="15"/>
      <c r="E335" s="13">
        <v>-803.91999999999996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-780.5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-1607.8399999999999</v>
      </c>
      <c r="R335" s="14">
        <f>IFERROR(Q335/Q446, "NA")</f>
      </c>
      <c r="S335" s="15"/>
      <c r="T335" s="13">
        <v>-1607.8399999999999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-1561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3115.6399999999999</v>
      </c>
      <c r="C336" s="14">
        <f>IFERROR(B336/B446, "NA")</f>
      </c>
      <c r="D336" s="15"/>
      <c r="E336" s="13">
        <v>259.00999999999999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10983.879999999999</v>
      </c>
      <c r="R336" s="14">
        <f>IFERROR(Q336/Q446, "NA")</f>
      </c>
      <c r="S336" s="15"/>
      <c r="T336" s="13">
        <v>2318.7399999999998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3611.73</v>
      </c>
      <c r="C339" s="14">
        <f>IFERROR(B339/B446, "NA")</f>
      </c>
      <c r="D339" s="15"/>
      <c r="E339" s="13">
        <v>3453.4000000000001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3915.9400000000001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28586.330000000002</v>
      </c>
      <c r="R339" s="14">
        <f>IFERROR(Q339/Q446, "NA")</f>
      </c>
      <c r="S339" s="15"/>
      <c r="T339" s="13">
        <v>30916.459999999999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30671.529999999999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409.63999999999999</v>
      </c>
      <c r="C340" s="14">
        <f>IFERROR(B340/B446, "NA")</f>
      </c>
      <c r="D340" s="15"/>
      <c r="E340" s="13">
        <v>345.33999999999997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388.25999999999999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3241.9699999999998</v>
      </c>
      <c r="R340" s="14">
        <f>IFERROR(Q340/Q446, "NA")</f>
      </c>
      <c r="S340" s="15"/>
      <c r="T340" s="13">
        <v>3091.6599999999999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2796.4400000000001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3256.6399999999999</v>
      </c>
      <c r="C341" s="14">
        <f>IFERROR(B341/B446, "NA")</f>
      </c>
      <c r="D341" s="15"/>
      <c r="E341" s="13">
        <v>690.67999999999995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2079.6700000000001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12412.25</v>
      </c>
      <c r="R341" s="14">
        <f>IFERROR(Q341/Q446, "NA")</f>
      </c>
      <c r="S341" s="15"/>
      <c r="T341" s="13">
        <v>6183.3000000000002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6227.5100000000002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395.63</v>
      </c>
      <c r="C342" s="14">
        <f>IFERROR(B342/B446, "NA")</f>
      </c>
      <c r="D342" s="15"/>
      <c r="E342" s="13">
        <v>345.33999999999997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380.17000000000002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3134.1199999999999</v>
      </c>
      <c r="R342" s="14">
        <f>IFERROR(Q342/Q446, "NA")</f>
      </c>
      <c r="S342" s="15"/>
      <c r="T342" s="13">
        <v>3091.6599999999999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3041.3600000000001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4134.8299999999999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29398.099999999999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310.05000000000001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250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5851.2799999999997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3920.9299999999998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36689.019999999997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26985.299999999999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-48.57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5.0700000000000003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-116.16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-132.84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49.560000000000002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-10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66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189883.51000000001</v>
      </c>
      <c r="C446" s="33"/>
      <c r="D446" s="15"/>
      <c r="E446" s="13">
        <v>172670.22</v>
      </c>
      <c r="F446" s="33"/>
      <c r="G446" s="15"/>
      <c r="H446" s="16">
        <f>IFERROR(B446-E446, "NA")</f>
      </c>
      <c r="I446" s="33"/>
      <c r="J446" s="15"/>
      <c r="K446" s="13">
        <v>158886.79000000001</v>
      </c>
      <c r="L446" s="33"/>
      <c r="M446" s="15"/>
      <c r="N446" s="16">
        <f>IFERROR(B446-K446, "NA")</f>
      </c>
      <c r="O446" s="33"/>
      <c r="P446" s="15"/>
      <c r="Q446" s="13">
        <v>1563348.5700000001</v>
      </c>
      <c r="R446" s="33"/>
      <c r="S446" s="15"/>
      <c r="T446" s="13">
        <v>1545822.6699999999</v>
      </c>
      <c r="U446" s="33"/>
      <c r="V446" s="15"/>
      <c r="W446" s="16">
        <f>IFERROR(Q446-T446, "NA")</f>
      </c>
      <c r="X446" s="33"/>
      <c r="Y446" s="15"/>
      <c r="Z446" s="13">
        <v>1430412.1200000001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416</v>
      </c>
      <c t="s" r="B3" s="3">
        <v>416</v>
      </c>
      <c t="s" r="C3" s="3">
        <v>416</v>
      </c>
      <c t="s" r="D3" s="3">
        <v>416</v>
      </c>
      <c t="s" r="E3" s="3">
        <v>416</v>
      </c>
      <c t="s" r="F3" s="3">
        <v>416</v>
      </c>
      <c t="s" r="G3" s="3">
        <v>416</v>
      </c>
      <c t="s" r="H3" s="3">
        <v>416</v>
      </c>
      <c t="s" r="I3" s="3">
        <v>416</v>
      </c>
      <c t="s" r="J3" s="3">
        <v>416</v>
      </c>
      <c t="s" r="K3" s="3">
        <v>416</v>
      </c>
      <c t="s" r="L3" s="3">
        <v>416</v>
      </c>
      <c t="s" r="M3" s="3">
        <v>416</v>
      </c>
      <c t="s" r="N3" s="3">
        <v>416</v>
      </c>
      <c t="s" r="O3" s="3">
        <v>416</v>
      </c>
      <c t="s" r="P3" s="3">
        <v>416</v>
      </c>
      <c t="s" r="Q3" s="3">
        <v>416</v>
      </c>
      <c t="s" r="R3" s="3">
        <v>416</v>
      </c>
      <c t="s" r="S3" s="3">
        <v>416</v>
      </c>
      <c t="s" r="T3" s="3">
        <v>416</v>
      </c>
      <c t="s" r="U3" s="3">
        <v>416</v>
      </c>
      <c t="s" r="V3" s="3">
        <v>416</v>
      </c>
      <c t="s" r="W3" s="3">
        <v>416</v>
      </c>
      <c t="s" r="X3" s="3">
        <v>416</v>
      </c>
      <c t="s" r="Y3" s="3">
        <v>416</v>
      </c>
      <c t="s" r="Z3" s="3">
        <v>416</v>
      </c>
      <c t="s" r="AA3" s="3">
        <v>416</v>
      </c>
      <c t="s" r="AB3" s="3">
        <v>416</v>
      </c>
      <c t="s" r="AC3" s="3">
        <v>416</v>
      </c>
      <c t="s" r="AD3" s="3">
        <v>416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41118.010000000002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337185.41999999998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36173.050000000003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43476.300000000003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331157.71999999997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337584.64000000001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3574.5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4140.8999999999996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32569.5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32802.199999999997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215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156.5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1359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1244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240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225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2210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46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172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192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0.080000000000000002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1.1000000000000001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8879.9500000000007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72819.380000000005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6158.5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2374.6799999999998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50883.330000000002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7087.1400000000003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43727.160000000003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1014.48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320.67000000000002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9548.5499999999993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8108.3199999999997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140.12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731.84000000000003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1563.3399999999999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19559.16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892.57000000000005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904.49000000000001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6679.0799999999999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6995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23358.119999999999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191546.67000000001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9253.8899999999994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7929.2299999999996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98910.800000000003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83836.169999999998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630.14999999999998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1154.1199999999999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6760.9499999999998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11214.27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11537.389999999999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5814.9499999999998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116666.99000000001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102485.22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993.35000000000002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6788.3100000000004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444.55000000000001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137.65000000000001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6552.6999999999998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19014.669999999998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155928.47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2756.9000000000001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3134.0799999999999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28506.27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28136.669999999998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861.05999999999995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861.05999999999995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12328.93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10271.389999999999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104663.66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57327.339999999997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805.47000000000003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320.04000000000002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8650.7000000000007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7900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31.149999999999999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819.13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313.92000000000002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2359.7399999999998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2579.1399999999999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445.69999999999999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1710.5999999999999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12.85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7818.21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64112.720000000001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11154.85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3389.0100000000002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46471.279999999999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20501.68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2047.3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5163.1000000000004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33299.150000000001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13841.15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1125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-11.5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4517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1447.8199999999999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11872.73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171.91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373.12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2250.2600000000002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2916.1300000000001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25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25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1113.79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1041.6600000000001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10212.450000000001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6127.4700000000003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77.930000000000007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896.98000000000002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75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100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-129.94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-140.33000000000001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-519.12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-522.65999999999997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-5115.6199999999999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-41950.309999999998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-1830.75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-2012.2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-15648.41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-15118.950000000001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-2005.2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-2055.8699999999999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-9344.5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-15106.82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-720.80999999999995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-23.25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-1508.79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-2172.6300000000001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-57.25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-1110.25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-1113.55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-6865.6499999999996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-6198.5500000000002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-155.31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-410.41000000000003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-903.26999999999998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-4086.9200000000001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-50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-62.25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20365.959999999999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167418.85000000001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3915.4299999999998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3524.23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40100.980000000003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37090.669999999998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2292.6100000000001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2098.2399999999998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22678.77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21283.669999999998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3033.0500000000002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4778.3299999999999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33209.260000000002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32526.400000000001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1763.6600000000001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2074.9099999999999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18560.84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17764.529999999999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1227.1099999999999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830.34000000000003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9479.9500000000007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6527.8900000000003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599.41999999999996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709.14999999999998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6174.8000000000002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6018.7700000000004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3954.02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695.47000000000003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446.66000000000003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4645.1599999999999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4159.3999999999996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6043.7700000000004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5539.8999999999996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54571.470000000001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42673.690000000002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4.9500000000000002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87.400000000000006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1158.25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9498.1800000000003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1097.02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1282.8699999999999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10482.02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10884.549999999999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66.640000000000001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45.280000000000001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439.19999999999999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445.36000000000001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209.11000000000001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404.10000000000002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196.75999999999999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7.0099999999999998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62.990000000000002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68.969999999999999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3957.3699999999999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32452.119999999999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2864.5900000000001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2843.9099999999999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26019.650000000001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25260.950000000001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995.50999999999999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1103.8599999999999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9311.0100000000002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5848.2299999999996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57.619999999999997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281.43000000000001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253.52000000000001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2325.3800000000001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2398.96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14.81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331.64999999999998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305.97000000000003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2952.8400000000001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2524.1399999999999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110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33.619999999999997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887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278.63999999999999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-1278.4000000000001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-1403.8299999999999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-8226.9899999999998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-13055.280000000001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5640</v>
      </c>
      <c r="C178" s="14">
        <f>IFERROR(B178/B446, "NA")</f>
      </c>
      <c r="D178" s="15"/>
      <c r="E178" s="13">
        <v>5640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5640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47940</v>
      </c>
      <c r="R178" s="14">
        <f>IFERROR(Q178/Q446, "NA")</f>
      </c>
      <c r="S178" s="15"/>
      <c r="T178" s="13">
        <v>47665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47665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22227.060000000001</v>
      </c>
      <c r="C180" s="14">
        <f>IFERROR(B180/B446, "NA")</f>
      </c>
      <c r="D180" s="15"/>
      <c r="E180" s="13">
        <v>19304.23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18065.299999999999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169109.20000000001</v>
      </c>
      <c r="R180" s="14">
        <f>IFERROR(Q180/Q446, "NA")</f>
      </c>
      <c r="S180" s="15"/>
      <c r="T180" s="13">
        <v>160292.92000000001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153200.67999999999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56.840000000000003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1384.48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1150.03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293</v>
      </c>
      <c r="C184" s="14">
        <f>IFERROR(B184/B446, "NA")</f>
      </c>
      <c r="D184" s="15"/>
      <c r="E184" s="13">
        <v>292.5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3336</v>
      </c>
      <c r="R184" s="14">
        <f>IFERROR(Q184/Q446, "NA")</f>
      </c>
      <c r="S184" s="15"/>
      <c r="T184" s="13">
        <v>2600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1700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2440.1300000000001</v>
      </c>
      <c r="C186" s="14">
        <f>IFERROR(B186/B446, "NA")</f>
      </c>
      <c r="D186" s="15"/>
      <c r="E186" s="13">
        <v>2261.7600000000002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2082.1700000000001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19823.77</v>
      </c>
      <c r="R186" s="14">
        <f>IFERROR(Q186/Q446, "NA")</f>
      </c>
      <c r="S186" s="15"/>
      <c r="T186" s="13">
        <v>19560.759999999998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18134.810000000001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308</v>
      </c>
      <c r="C194" s="14">
        <f>IFERROR(B194/B446, "NA")</f>
      </c>
      <c r="D194" s="15"/>
      <c r="E194" s="13">
        <v>201.88999999999999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224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2125.9400000000001</v>
      </c>
      <c r="R194" s="14">
        <f>IFERROR(Q194/Q446, "NA")</f>
      </c>
      <c r="S194" s="15"/>
      <c r="T194" s="13">
        <v>1684.46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2058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-4.4199999999999999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2.7799999999999998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1270.78</v>
      </c>
      <c r="C202" s="14">
        <f>IFERROR(B202/B446, "NA")</f>
      </c>
      <c r="D202" s="15"/>
      <c r="E202" s="13">
        <v>868.69000000000005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846.03999999999996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9764.1499999999996</v>
      </c>
      <c r="R202" s="14">
        <f>IFERROR(Q202/Q446, "NA")</f>
      </c>
      <c r="S202" s="15"/>
      <c r="T202" s="13">
        <v>7123.6300000000001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7710.46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470.95999999999998</v>
      </c>
      <c r="C203" s="14">
        <f>IFERROR(B203/B446, "NA")</f>
      </c>
      <c r="D203" s="15"/>
      <c r="E203" s="13">
        <v>579.13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565.12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4745.1300000000001</v>
      </c>
      <c r="R203" s="14">
        <f>IFERROR(Q203/Q446, "NA")</f>
      </c>
      <c r="S203" s="15"/>
      <c r="T203" s="13">
        <v>4749.0900000000001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6382.25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77.390000000000001</v>
      </c>
      <c r="C204" s="14">
        <f>IFERROR(B204/B446, "NA")</f>
      </c>
      <c r="D204" s="15"/>
      <c r="E204" s="13">
        <v>193.03999999999999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663.73000000000002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1105.97</v>
      </c>
      <c r="R204" s="14">
        <f>IFERROR(Q204/Q446, "NA")</f>
      </c>
      <c r="S204" s="15"/>
      <c r="T204" s="13">
        <v>1583.03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1986.78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357.51999999999998</v>
      </c>
      <c r="C205" s="14">
        <f>IFERROR(B205/B446, "NA")</f>
      </c>
      <c r="D205" s="15"/>
      <c r="E205" s="13">
        <v>289.56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373.10000000000002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3178.9699999999998</v>
      </c>
      <c r="R205" s="14">
        <f>IFERROR(Q205/Q446, "NA")</f>
      </c>
      <c r="S205" s="15"/>
      <c r="T205" s="13">
        <v>2374.5599999999999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2810.8800000000001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35.009999999999998</v>
      </c>
      <c r="C206" s="14">
        <f>IFERROR(B206/B446, "NA")</f>
      </c>
      <c r="D206" s="15"/>
      <c r="E206" s="13">
        <v>96.519999999999996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342.32999999999998</v>
      </c>
      <c r="R206" s="14">
        <f>IFERROR(Q206/Q446, "NA")</f>
      </c>
      <c r="S206" s="15"/>
      <c r="T206" s="13">
        <v>791.51999999999998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490.43000000000001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652.27999999999997</v>
      </c>
      <c r="R207" s="14">
        <f>IFERROR(Q207/Q446, "NA")</f>
      </c>
      <c r="S207" s="15"/>
      <c r="T207" s="13">
        <v>800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762.98000000000002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75.709999999999994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290.30000000000001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776.49000000000001</v>
      </c>
      <c r="R208" s="14">
        <f>IFERROR(Q208/Q446, "NA")</f>
      </c>
      <c r="S208" s="15"/>
      <c r="T208" s="13">
        <v>800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1198.1400000000001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3957.3699999999999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32452.119999999999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1312.4100000000001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623.11000000000001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12217.120000000001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19360.580000000002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569.88999999999999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374.23000000000002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6007.5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567.35000000000002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35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420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5.7300000000000004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1989.23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455.63999999999999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25277.59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18560.130000000001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420.43000000000001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1402.8599999999999</v>
      </c>
      <c r="R222" s="14">
        <f>IFERROR(Q222/Q446, "NA")</f>
      </c>
      <c r="S222" s="15"/>
      <c r="T222" s="13">
        <v>800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1255.9300000000001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1447.8199999999999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11872.73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133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217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1795.1300000000001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1316.5799999999999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981.24000000000001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12802.030000000001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7983.7700000000004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83.590000000000003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328.61000000000001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6273.8699999999999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51448.470000000001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133.88999999999999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133.88999999999999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1414.76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1233.99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15187.18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11366.16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2020.01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1718.71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17652.029999999999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10287.110000000001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2409.9099999999999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763.44000000000005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11010.35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4715.3400000000001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135.65000000000001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327.11000000000001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1374.01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3219.3000000000002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241.38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270.29000000000002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2006.5699999999999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2128.2399999999998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2212.9699999999998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982.84000000000003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21595.919999999998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13763.469999999999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102.40000000000001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85.239999999999995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299.88999999999999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433.70999999999998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236.19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378.23000000000002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511.82999999999998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1389.0999999999999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8445.1200000000008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3558.5300000000002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296.39999999999998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903.39999999999998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2686.4699999999998</v>
      </c>
      <c r="C266" s="14">
        <f>IFERROR(B266/B446, "NA")</f>
      </c>
      <c r="D266" s="15"/>
      <c r="E266" s="13">
        <v>2316.5100000000002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2356.1100000000001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23194.900000000001</v>
      </c>
      <c r="R266" s="14">
        <f>IFERROR(Q266/Q446, "NA")</f>
      </c>
      <c r="S266" s="15"/>
      <c r="T266" s="13">
        <v>18996.360000000001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17819.889999999999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-17.960000000000001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212.56</v>
      </c>
      <c r="C271" s="14">
        <f>IFERROR(B271/B446, "NA")</f>
      </c>
      <c r="D271" s="15"/>
      <c r="E271" s="13">
        <v>354.13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307.92000000000002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2031.1600000000001</v>
      </c>
      <c r="R271" s="14">
        <f>IFERROR(Q271/Q446, "NA")</f>
      </c>
      <c r="S271" s="15"/>
      <c r="T271" s="13">
        <v>2833.04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3017.8299999999999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1311.48</v>
      </c>
      <c r="C272" s="14">
        <f>IFERROR(B272/B446, "NA")</f>
      </c>
      <c r="D272" s="15"/>
      <c r="E272" s="13">
        <v>905.40999999999997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905.40999999999997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7905.3599999999997</v>
      </c>
      <c r="R272" s="14">
        <f>IFERROR(Q272/Q446, "NA")</f>
      </c>
      <c r="S272" s="15"/>
      <c r="T272" s="13">
        <v>7243.2799999999997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7527.3299999999999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1100</v>
      </c>
      <c r="R289" s="14">
        <f>IFERROR(Q289/Q446, "NA")</f>
      </c>
      <c r="S289" s="15"/>
      <c r="T289" s="13">
        <v>1104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1100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250.75</v>
      </c>
      <c r="C290" s="14">
        <f>IFERROR(B290/B446, "NA")</f>
      </c>
      <c r="D290" s="15"/>
      <c r="E290" s="13">
        <v>234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228.86000000000001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2002.05</v>
      </c>
      <c r="R290" s="14">
        <f>IFERROR(Q290/Q446, "NA")</f>
      </c>
      <c r="S290" s="15"/>
      <c r="T290" s="13">
        <v>1872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1793.1400000000001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329.44</v>
      </c>
      <c r="C291" s="14">
        <f>IFERROR(B291/B446, "NA")</f>
      </c>
      <c r="D291" s="15"/>
      <c r="E291" s="13">
        <v>675.64999999999998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2069.5999999999999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5709.5100000000002</v>
      </c>
      <c r="R291" s="14">
        <f>IFERROR(Q291/Q446, "NA")</f>
      </c>
      <c r="S291" s="15"/>
      <c r="T291" s="13">
        <v>5319.6099999999997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10314.040000000001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307.69</v>
      </c>
      <c r="C292" s="14">
        <f>IFERROR(B292/B446, "NA")</f>
      </c>
      <c r="D292" s="15"/>
      <c r="E292" s="13">
        <v>965.21000000000004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1134.21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9435.3899999999994</v>
      </c>
      <c r="R292" s="14">
        <f>IFERROR(Q292/Q446, "NA")</f>
      </c>
      <c r="S292" s="15"/>
      <c r="T292" s="13">
        <v>7915.1499999999996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12457.5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193.03999999999999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336.68000000000001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259.94999999999999</v>
      </c>
      <c r="R293" s="14">
        <f>IFERROR(Q293/Q446, "NA")</f>
      </c>
      <c r="S293" s="15"/>
      <c r="T293" s="13">
        <v>1583.03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2647.0999999999999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193.03999999999999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1583.03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1398.8399999999999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367.99000000000001</v>
      </c>
      <c r="C295" s="14">
        <f>IFERROR(B295/B446, "NA")</f>
      </c>
      <c r="D295" s="15"/>
      <c r="E295" s="13">
        <v>365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312.5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2081.3899999999999</v>
      </c>
      <c r="R295" s="14">
        <f>IFERROR(Q295/Q446, "NA")</f>
      </c>
      <c r="S295" s="15"/>
      <c r="T295" s="13">
        <v>2920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2935.4299999999998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159</v>
      </c>
      <c r="C300" s="14">
        <f>IFERROR(B300/B446, "NA")</f>
      </c>
      <c r="D300" s="15"/>
      <c r="E300" s="13">
        <v>159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1272</v>
      </c>
      <c r="R300" s="14">
        <f>IFERROR(Q300/Q446, "NA")</f>
      </c>
      <c r="S300" s="15"/>
      <c r="T300" s="13">
        <v>1272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411.64999999999998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268.25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50.969999999999999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143.13999999999999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826.11000000000001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285.32999999999998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38.149999999999999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334.75</v>
      </c>
      <c r="R311" s="14">
        <f>IFERROR(Q311/Q446, "NA")</f>
      </c>
      <c r="S311" s="15"/>
      <c r="T311" s="13">
        <v>440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323.80000000000001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60.619999999999997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207.86000000000001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532.33000000000004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2012.6199999999999</v>
      </c>
      <c r="R313" s="14">
        <f>IFERROR(Q313/Q446, "NA")</f>
      </c>
      <c r="S313" s="15"/>
      <c r="T313" s="13">
        <v>280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1244.4000000000001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29.420000000000002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24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213.81</v>
      </c>
      <c r="R314" s="14">
        <f>IFERROR(Q314/Q446, "NA")</f>
      </c>
      <c r="S314" s="15"/>
      <c r="T314" s="13">
        <v>120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58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353.23000000000002</v>
      </c>
      <c r="C316" s="14">
        <f>IFERROR(B316/B446, "NA")</f>
      </c>
      <c r="D316" s="15"/>
      <c r="E316" s="13">
        <v>386.07999999999998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408.06999999999999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3209.71</v>
      </c>
      <c r="R316" s="14">
        <f>IFERROR(Q316/Q446, "NA")</f>
      </c>
      <c r="S316" s="15"/>
      <c r="T316" s="13">
        <v>3166.0599999999999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3596.79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-0.62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297.51999999999998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414.57999999999998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2072.9000000000001</v>
      </c>
      <c r="R319" s="14">
        <f>IFERROR(Q319/Q446, "NA")</f>
      </c>
      <c r="S319" s="15"/>
      <c r="T319" s="13">
        <v>3320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3316.6399999999999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318.74000000000001</v>
      </c>
      <c r="C320" s="14">
        <f>IFERROR(B320/B446, "NA")</f>
      </c>
      <c r="D320" s="15"/>
      <c r="E320" s="13">
        <v>309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308.5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2548.21</v>
      </c>
      <c r="R320" s="14">
        <f>IFERROR(Q320/Q446, "NA")</f>
      </c>
      <c r="S320" s="15"/>
      <c r="T320" s="13">
        <v>2472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2246.5500000000002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1060.8699999999999</v>
      </c>
      <c r="C321" s="14">
        <f>IFERROR(B321/B446, "NA")</f>
      </c>
      <c r="D321" s="15"/>
      <c r="E321" s="13">
        <v>1133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1148.5799999999999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8493.6299999999992</v>
      </c>
      <c r="R321" s="14">
        <f>IFERROR(Q321/Q446, "NA")</f>
      </c>
      <c r="S321" s="15"/>
      <c r="T321" s="13">
        <v>9064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9458.4400000000005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1278.4000000000001</v>
      </c>
      <c r="C322" s="14">
        <f>IFERROR(B322/B446, "NA")</f>
      </c>
      <c r="D322" s="15"/>
      <c r="E322" s="13">
        <v>1158.25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1403.8299999999999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8226.9899999999998</v>
      </c>
      <c r="R322" s="14">
        <f>IFERROR(Q322/Q446, "NA")</f>
      </c>
      <c r="S322" s="15"/>
      <c r="T322" s="13">
        <v>9429.9899999999998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13055.280000000001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316.11000000000001</v>
      </c>
      <c r="C323" s="14">
        <f>IFERROR(B323/B446, "NA")</f>
      </c>
      <c r="D323" s="15"/>
      <c r="E323" s="13">
        <v>354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302.16000000000003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3325.9000000000001</v>
      </c>
      <c r="R323" s="14">
        <f>IFERROR(Q323/Q446, "NA")</f>
      </c>
      <c r="S323" s="15"/>
      <c r="T323" s="13">
        <v>2832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3043.5700000000002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11785.18</v>
      </c>
      <c r="C330" s="14">
        <f>IFERROR(B330/B446, "NA")</f>
      </c>
      <c r="D330" s="15"/>
      <c r="E330" s="13">
        <v>11785.18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11441.92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92221.880000000005</v>
      </c>
      <c r="R330" s="14">
        <f>IFERROR(Q330/Q446, "NA")</f>
      </c>
      <c r="S330" s="15"/>
      <c r="T330" s="13">
        <v>92221.880000000005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72389.210000000006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1183.3699999999999</v>
      </c>
      <c r="C331" s="14">
        <f>IFERROR(B331/B446, "NA")</f>
      </c>
      <c r="D331" s="15"/>
      <c r="E331" s="13">
        <v>1183.3699999999999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1026.4300000000001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9347.8500000000004</v>
      </c>
      <c r="R331" s="14">
        <f>IFERROR(Q331/Q446, "NA")</f>
      </c>
      <c r="S331" s="15"/>
      <c r="T331" s="13">
        <v>9466.9599999999991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6001.7399999999998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781.75999999999999</v>
      </c>
      <c r="C334" s="14">
        <f>IFERROR(B334/B446, "NA")</f>
      </c>
      <c r="D334" s="15"/>
      <c r="E334" s="13">
        <v>860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860.15999999999997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5321.3000000000002</v>
      </c>
      <c r="R334" s="14">
        <f>IFERROR(Q334/Q446, "NA")</f>
      </c>
      <c r="S334" s="15"/>
      <c r="T334" s="13">
        <v>6880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8170.3100000000004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-907.46000000000004</v>
      </c>
      <c r="C335" s="14">
        <f>IFERROR(B335/B446, "NA")</f>
      </c>
      <c r="D335" s="15"/>
      <c r="E335" s="13">
        <v>-907.46000000000004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-881.02999999999997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-1814.9200000000001</v>
      </c>
      <c r="R335" s="14">
        <f>IFERROR(Q335/Q446, "NA")</f>
      </c>
      <c r="S335" s="15"/>
      <c r="T335" s="13">
        <v>-1814.9200000000001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-1762.0599999999999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2084.73</v>
      </c>
      <c r="C339" s="14">
        <f>IFERROR(B339/B446, "NA")</f>
      </c>
      <c r="D339" s="15"/>
      <c r="E339" s="13">
        <v>1158.25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1575.5999999999999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11314.27</v>
      </c>
      <c r="R339" s="14">
        <f>IFERROR(Q339/Q446, "NA")</f>
      </c>
      <c r="S339" s="15"/>
      <c r="T339" s="13">
        <v>9498.1800000000003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9389.6299999999992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267.73000000000002</v>
      </c>
      <c r="C340" s="14">
        <f>IFERROR(B340/B446, "NA")</f>
      </c>
      <c r="D340" s="15"/>
      <c r="E340" s="13">
        <v>482.61000000000001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273.56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3535.8699999999999</v>
      </c>
      <c r="R340" s="14">
        <f>IFERROR(Q340/Q446, "NA")</f>
      </c>
      <c r="S340" s="15"/>
      <c r="T340" s="13">
        <v>3957.5799999999999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3718.04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447.23000000000002</v>
      </c>
      <c r="C341" s="14">
        <f>IFERROR(B341/B446, "NA")</f>
      </c>
      <c r="D341" s="15"/>
      <c r="E341" s="13">
        <v>386.07999999999998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492.83999999999997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3280.6799999999998</v>
      </c>
      <c r="R341" s="14">
        <f>IFERROR(Q341/Q446, "NA")</f>
      </c>
      <c r="S341" s="15"/>
      <c r="T341" s="13">
        <v>3166.0599999999999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3256.5599999999999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3505.3200000000002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25651.599999999999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3298.5100000000002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3263.0900000000001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26948.189999999999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23949.110000000001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-30.68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-26.960000000000001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-57.68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-195.44999999999999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37.520000000000003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-9.1400000000000006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236.05000000000001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65.489999999999995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98919.580000000002</v>
      </c>
      <c r="C446" s="33"/>
      <c r="D446" s="15"/>
      <c r="E446" s="13">
        <v>96521.160000000003</v>
      </c>
      <c r="F446" s="33"/>
      <c r="G446" s="15"/>
      <c r="H446" s="16">
        <f>IFERROR(B446-E446, "NA")</f>
      </c>
      <c r="I446" s="33"/>
      <c r="J446" s="15"/>
      <c r="K446" s="13">
        <v>88857.210000000006</v>
      </c>
      <c r="L446" s="33"/>
      <c r="M446" s="15"/>
      <c r="N446" s="16">
        <f>IFERROR(B446-K446, "NA")</f>
      </c>
      <c r="O446" s="33"/>
      <c r="P446" s="15"/>
      <c r="Q446" s="13">
        <v>898540.43999999994</v>
      </c>
      <c r="R446" s="33"/>
      <c r="S446" s="15"/>
      <c r="T446" s="13">
        <v>791515.07999999996</v>
      </c>
      <c r="U446" s="33"/>
      <c r="V446" s="15"/>
      <c r="W446" s="16">
        <f>IFERROR(Q446-T446, "NA")</f>
      </c>
      <c r="X446" s="33"/>
      <c r="Y446" s="15"/>
      <c r="Z446" s="13">
        <v>733526.55000000005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417</v>
      </c>
      <c t="s" r="B3" s="3">
        <v>417</v>
      </c>
      <c t="s" r="C3" s="3">
        <v>417</v>
      </c>
      <c t="s" r="D3" s="3">
        <v>417</v>
      </c>
      <c t="s" r="E3" s="3">
        <v>417</v>
      </c>
      <c t="s" r="F3" s="3">
        <v>417</v>
      </c>
      <c t="s" r="G3" s="3">
        <v>417</v>
      </c>
      <c t="s" r="H3" s="3">
        <v>417</v>
      </c>
      <c t="s" r="I3" s="3">
        <v>417</v>
      </c>
      <c t="s" r="J3" s="3">
        <v>417</v>
      </c>
      <c t="s" r="K3" s="3">
        <v>417</v>
      </c>
      <c t="s" r="L3" s="3">
        <v>417</v>
      </c>
      <c t="s" r="M3" s="3">
        <v>417</v>
      </c>
      <c t="s" r="N3" s="3">
        <v>417</v>
      </c>
      <c t="s" r="O3" s="3">
        <v>417</v>
      </c>
      <c t="s" r="P3" s="3">
        <v>417</v>
      </c>
      <c t="s" r="Q3" s="3">
        <v>417</v>
      </c>
      <c t="s" r="R3" s="3">
        <v>417</v>
      </c>
      <c t="s" r="S3" s="3">
        <v>417</v>
      </c>
      <c t="s" r="T3" s="3">
        <v>417</v>
      </c>
      <c t="s" r="U3" s="3">
        <v>417</v>
      </c>
      <c t="s" r="V3" s="3">
        <v>417</v>
      </c>
      <c t="s" r="W3" s="3">
        <v>417</v>
      </c>
      <c t="s" r="X3" s="3">
        <v>417</v>
      </c>
      <c t="s" r="Y3" s="3">
        <v>417</v>
      </c>
      <c t="s" r="Z3" s="3">
        <v>417</v>
      </c>
      <c t="s" r="AA3" s="3">
        <v>417</v>
      </c>
      <c t="s" r="AB3" s="3">
        <v>417</v>
      </c>
      <c t="s" r="AC3" s="3">
        <v>417</v>
      </c>
      <c t="s" r="AD3" s="3">
        <v>417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59132.519999999997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531092.58999999997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51663.800000000003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60185.75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421663.29999999999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480452.39000000001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6986.75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5904.25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50091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53292.550000000003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106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192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1135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2590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50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15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3240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13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5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221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383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0.10000000000000001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9855.4200000000001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88515.440000000002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7536.5500000000002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2793.4400000000001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63746.889999999999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8105.5200000000004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50962.849999999999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1232.9000000000001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277.26999999999998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6696.5500000000002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7384.2700000000004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17.550000000000001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401.18000000000001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2120.5599999999999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17974.41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736.76999999999998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922.46000000000004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6055.8900000000003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7158.0500000000002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18532.470000000001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166447.5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10188.01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5385.21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76351.919999999998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71147.529999999999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480.00999999999999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791.04999999999995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4091.3899999999999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8119.5699999999997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6867.5500000000002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3296.4299999999998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64113.760000000002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60067.330000000002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1479.3900000000001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8273.2600000000002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1178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6873.1199999999999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20353.580000000002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182803.60999999999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2582.5999999999999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4035.3899999999999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26389.060000000001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20444.209999999999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9331.1299999999992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9615.0300000000007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109076.88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105666.37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36153.550000000003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7800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4387.25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20825.400000000001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32.799999999999997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4392.0900000000001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39447.089999999997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1796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4747.5799999999999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31964.52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7357.1700000000001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11.85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-13.75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1485.05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13386.620000000001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1499.74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13469.74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173.00999999999999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363.76999999999998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2228.7199999999998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2242.3400000000001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5.1100000000000003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721.50999999999999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896.10000000000002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10163.25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9100.8500000000004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-56.979999999999997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-95.969999999999999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-181.63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121.65000000000001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-540.75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-612.74000000000001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-6641.6999999999998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-59651.709999999999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-892.44000000000005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-1805.45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-7301.0100000000002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-13063.719999999999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-2678.5500000000002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-2166.3600000000001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-12301.91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-20324.73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-20.949999999999999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-767.79999999999995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-367.67000000000002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-1460.79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-89.090000000000003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-606.5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-924.62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-5642.8999999999996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-11541.83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-47.909999999999997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-158.66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-980.63999999999999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-3551.8899999999999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-7940.7700000000004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-145.97999999999999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-467.52999999999997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-1196.24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22924.560000000001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206726.78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5037.29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4148.6999999999998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45003.839999999997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48294.43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3488.3800000000001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2872.0300000000002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26303.630000000001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29292.860000000001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3646.8600000000001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5489.5100000000002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34940.790000000001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41814.230000000003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2482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2654.1999999999998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21006.889999999999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23109.68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1249.4000000000001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1044.1199999999999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10405.07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7586.6300000000001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630.15999999999997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695.92999999999995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6011.3400000000001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6236.0699999999997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4617.1800000000003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695.70000000000005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498.01999999999998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4994.3400000000001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5189.5600000000004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6696.7700000000004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5834.8299999999999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56696.510000000002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53654.139999999999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1178.3699999999999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10583.379999999999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1297.1700000000001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969.82000000000005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11071.440000000001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11370.73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58.450000000000003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66.659999999999997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557.39999999999998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564.76999999999998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3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41.159999999999997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57.890000000000001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929.69000000000005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7.3499999999999996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21.710000000000001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122.91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111.48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4499.21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40409.230000000003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3049.6900000000001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3687.75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26750.52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31333.52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983.23000000000002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866.94000000000005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9786.2099999999991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8291.2099999999991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20.600000000000001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456.17000000000002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258.49000000000001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3219.8299999999999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2297.5799999999999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94.890000000000001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118.20999999999999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1050.1800000000001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1019.39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139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36.310000000000002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983.69000000000005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356.24000000000001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-1120.54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-1469.27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-7385.2799999999997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-16767.669999999998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5846.1599999999999</v>
      </c>
      <c r="C178" s="14">
        <f>IFERROR(B178/B446, "NA")</f>
      </c>
      <c r="D178" s="15"/>
      <c r="E178" s="13">
        <v>5846.1599999999999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5846.1599999999999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49692.360000000001</v>
      </c>
      <c r="R178" s="14">
        <f>IFERROR(Q178/Q446, "NA")</f>
      </c>
      <c r="S178" s="15"/>
      <c r="T178" s="13">
        <v>49417.360000000001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49417.360000000001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18479.73</v>
      </c>
      <c r="C180" s="14">
        <f>IFERROR(B180/B446, "NA")</f>
      </c>
      <c r="D180" s="15"/>
      <c r="E180" s="13">
        <v>19817.959999999999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19074.029999999999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154511.25</v>
      </c>
      <c r="R180" s="14">
        <f>IFERROR(Q180/Q446, "NA")</f>
      </c>
      <c r="S180" s="15"/>
      <c r="T180" s="13">
        <v>174405.12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165326.29999999999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317.58999999999997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939.47000000000003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3042.3800000000001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4450.8800000000001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350</v>
      </c>
      <c r="C184" s="14">
        <f>IFERROR(B184/B446, "NA")</f>
      </c>
      <c r="D184" s="15"/>
      <c r="E184" s="13">
        <v>350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-800</v>
      </c>
      <c r="R184" s="14">
        <f>IFERROR(Q184/Q446, "NA")</f>
      </c>
      <c r="S184" s="15"/>
      <c r="T184" s="13">
        <v>3150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2050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2185.9899999999998</v>
      </c>
      <c r="C186" s="14">
        <f>IFERROR(B186/B446, "NA")</f>
      </c>
      <c r="D186" s="15"/>
      <c r="E186" s="13">
        <v>2538.6100000000001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2337.5799999999999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18449.360000000001</v>
      </c>
      <c r="R186" s="14">
        <f>IFERROR(Q186/Q446, "NA")</f>
      </c>
      <c r="S186" s="15"/>
      <c r="T186" s="13">
        <v>23889.880000000001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22156.220000000001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248</v>
      </c>
      <c r="C194" s="14">
        <f>IFERROR(B194/B446, "NA")</f>
      </c>
      <c r="D194" s="15"/>
      <c r="E194" s="13">
        <v>208.11000000000001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224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1865.52</v>
      </c>
      <c r="R194" s="14">
        <f>IFERROR(Q194/Q446, "NA")</f>
      </c>
      <c r="S194" s="15"/>
      <c r="T194" s="13">
        <v>1815.78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1908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735.5</v>
      </c>
      <c r="C195" s="14">
        <f>IFERROR(B195/B446, "NA")</f>
      </c>
      <c r="D195" s="15"/>
      <c r="E195" s="13">
        <v>227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249.03999999999999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11421.700000000001</v>
      </c>
      <c r="R195" s="14">
        <f>IFERROR(Q195/Q446, "NA")</f>
      </c>
      <c r="S195" s="15"/>
      <c r="T195" s="13">
        <v>2291.9000000000001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2108.4499999999998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1200.45</v>
      </c>
      <c r="C202" s="14">
        <f>IFERROR(B202/B446, "NA")</f>
      </c>
      <c r="D202" s="15"/>
      <c r="E202" s="13">
        <v>964.12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1612.8699999999999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10847.6</v>
      </c>
      <c r="R202" s="14">
        <f>IFERROR(Q202/Q446, "NA")</f>
      </c>
      <c r="S202" s="15"/>
      <c r="T202" s="13">
        <v>8659.1200000000008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13185.98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521.79999999999995</v>
      </c>
      <c r="C203" s="14">
        <f>IFERROR(B203/B446, "NA")</f>
      </c>
      <c r="D203" s="15"/>
      <c r="E203" s="13">
        <v>642.74000000000001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669.52999999999997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6867.5600000000004</v>
      </c>
      <c r="R203" s="14">
        <f>IFERROR(Q203/Q446, "NA")</f>
      </c>
      <c r="S203" s="15"/>
      <c r="T203" s="13">
        <v>5772.7399999999998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7271.79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69.010000000000005</v>
      </c>
      <c r="C204" s="14">
        <f>IFERROR(B204/B446, "NA")</f>
      </c>
      <c r="D204" s="15"/>
      <c r="E204" s="13">
        <v>214.25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380.68000000000001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1410.54</v>
      </c>
      <c r="R204" s="14">
        <f>IFERROR(Q204/Q446, "NA")</f>
      </c>
      <c r="S204" s="15"/>
      <c r="T204" s="13">
        <v>1924.26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2184.3699999999999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437.43000000000001</v>
      </c>
      <c r="C205" s="14">
        <f>IFERROR(B205/B446, "NA")</f>
      </c>
      <c r="D205" s="15"/>
      <c r="E205" s="13">
        <v>321.37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221.19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2152.3000000000002</v>
      </c>
      <c r="R205" s="14">
        <f>IFERROR(Q205/Q446, "NA")</f>
      </c>
      <c r="S205" s="15"/>
      <c r="T205" s="13">
        <v>2886.3600000000001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1908.3699999999999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107.12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298.62</v>
      </c>
      <c r="R206" s="14">
        <f>IFERROR(Q206/Q446, "NA")</f>
      </c>
      <c r="S206" s="15"/>
      <c r="T206" s="13">
        <v>962.11000000000001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1400.97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747.75999999999999</v>
      </c>
      <c r="R207" s="14">
        <f>IFERROR(Q207/Q446, "NA")</f>
      </c>
      <c r="S207" s="15"/>
      <c r="T207" s="13">
        <v>800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762.98000000000002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11.199999999999999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240.81999999999999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617.34000000000003</v>
      </c>
      <c r="R208" s="14">
        <f>IFERROR(Q208/Q446, "NA")</f>
      </c>
      <c r="S208" s="15"/>
      <c r="T208" s="13">
        <v>800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1120.46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3106.5999999999999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27901.599999999999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3302.8699999999999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414.82999999999998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10803.139999999999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15813.48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140.86000000000001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160.71000000000001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2271.23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326.67000000000002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20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255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2.4100000000000001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1971.04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215.49000000000001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16019.110000000001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12559.719999999999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237.96000000000001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150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3424.5</v>
      </c>
      <c r="R222" s="14">
        <f>IFERROR(Q222/Q446, "NA")</f>
      </c>
      <c r="S222" s="15"/>
      <c r="T222" s="13">
        <v>800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2280.27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1392.6099999999999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12507.610000000001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91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1130.26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982.75999999999999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1146.5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11612.879999999999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10624.940000000001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56.240000000000002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246.13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5677.5799999999999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50992.580000000002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1315.1900000000001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838.12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11541.6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9759.8899999999994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1714.29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1835.23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20501.689999999999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17662.169999999998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372.60000000000002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895.92999999999995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6082.4200000000001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1232.5699999999999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97.060000000000002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220.99000000000001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817.13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2310.4000000000001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79.260000000000005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275.66000000000003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1705.3399999999999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2198.0500000000002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1303.26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537.16999999999996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12287.709999999999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7692.0500000000002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4961.25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2373.0999999999999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t="16.5" customHeight="1">
      <c t="s" r="A262" s="18">
        <v>239</v>
      </c>
      <c r="B262" s="13">
        <v>445.47000000000003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2091.9400000000001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2904.3099999999999</v>
      </c>
      <c r="C266" s="14">
        <f>IFERROR(B266/B446, "NA")</f>
      </c>
      <c r="D266" s="15"/>
      <c r="E266" s="13">
        <v>3106.5999999999999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3125.54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26158.27</v>
      </c>
      <c r="R266" s="14">
        <f>IFERROR(Q266/Q446, "NA")</f>
      </c>
      <c r="S266" s="15"/>
      <c r="T266" s="13">
        <v>27901.599999999999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24777.669999999998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82.719999999999999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47.93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175.34999999999999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155.81</v>
      </c>
      <c r="C271" s="14">
        <f>IFERROR(B271/B446, "NA")</f>
      </c>
      <c r="D271" s="15"/>
      <c r="E271" s="13">
        <v>200.19999999999999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197.88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1148.8699999999999</v>
      </c>
      <c r="R271" s="14">
        <f>IFERROR(Q271/Q446, "NA")</f>
      </c>
      <c r="S271" s="15"/>
      <c r="T271" s="13">
        <v>1601.5999999999999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1610.71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1049.1800000000001</v>
      </c>
      <c r="C272" s="14">
        <f>IFERROR(B272/B446, "NA")</f>
      </c>
      <c r="D272" s="15"/>
      <c r="E272" s="13">
        <v>894.42999999999995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894.42999999999995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6581.7299999999996</v>
      </c>
      <c r="R272" s="14">
        <f>IFERROR(Q272/Q446, "NA")</f>
      </c>
      <c r="S272" s="15"/>
      <c r="T272" s="13">
        <v>7155.4399999999996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6511.0500000000002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825</v>
      </c>
      <c r="R289" s="14">
        <f>IFERROR(Q289/Q446, "NA")</f>
      </c>
      <c r="S289" s="15"/>
      <c r="T289" s="13">
        <v>1104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1100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226.36000000000001</v>
      </c>
      <c r="C290" s="14">
        <f>IFERROR(B290/B446, "NA")</f>
      </c>
      <c r="D290" s="15"/>
      <c r="E290" s="13">
        <v>211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206.28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1606.73</v>
      </c>
      <c r="R290" s="14">
        <f>IFERROR(Q290/Q446, "NA")</f>
      </c>
      <c r="S290" s="15"/>
      <c r="T290" s="13">
        <v>1688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1449.75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803.79999999999995</v>
      </c>
      <c r="C291" s="14">
        <f>IFERROR(B291/B446, "NA")</f>
      </c>
      <c r="D291" s="15"/>
      <c r="E291" s="13">
        <v>642.74000000000001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2869.3499999999999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4983.46</v>
      </c>
      <c r="R291" s="14">
        <f>IFERROR(Q291/Q446, "NA")</f>
      </c>
      <c r="S291" s="15"/>
      <c r="T291" s="13">
        <v>5772.7399999999998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6186.8100000000004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1297.1199999999999</v>
      </c>
      <c r="C292" s="14">
        <f>IFERROR(B292/B446, "NA")</f>
      </c>
      <c r="D292" s="15"/>
      <c r="E292" s="13">
        <v>428.5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379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9397.5699999999997</v>
      </c>
      <c r="R292" s="14">
        <f>IFERROR(Q292/Q446, "NA")</f>
      </c>
      <c r="S292" s="15"/>
      <c r="T292" s="13">
        <v>3848.5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2854.0300000000002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107.12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962.11000000000001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500.86000000000001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107.12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851.73000000000002</v>
      </c>
      <c r="R294" s="14">
        <f>IFERROR(Q294/Q446, "NA")</f>
      </c>
      <c r="S294" s="15"/>
      <c r="T294" s="13">
        <v>962.11000000000001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369.93000000000001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300</v>
      </c>
      <c r="C295" s="14">
        <f>IFERROR(B295/B446, "NA")</f>
      </c>
      <c r="D295" s="15"/>
      <c r="E295" s="13">
        <v>346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310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1529.97</v>
      </c>
      <c r="R295" s="14">
        <f>IFERROR(Q295/Q446, "NA")</f>
      </c>
      <c r="S295" s="15"/>
      <c r="T295" s="13">
        <v>2768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2708.9400000000001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375.06</v>
      </c>
      <c r="C300" s="14">
        <f>IFERROR(B300/B446, "NA")</f>
      </c>
      <c r="D300" s="15"/>
      <c r="E300" s="13">
        <v>575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393.49000000000001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3585.6300000000001</v>
      </c>
      <c r="R300" s="14">
        <f>IFERROR(Q300/Q446, "NA")</f>
      </c>
      <c r="S300" s="15"/>
      <c r="T300" s="13">
        <v>4600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2300.7199999999998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150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348.44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19.289999999999999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0.01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195.47999999999999</v>
      </c>
      <c r="R311" s="14">
        <f>IFERROR(Q311/Q446, "NA")</f>
      </c>
      <c r="S311" s="15"/>
      <c r="T311" s="13">
        <v>440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411.01999999999998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142.44999999999999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160.84999999999999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2718.2399999999998</v>
      </c>
      <c r="R313" s="14">
        <f>IFERROR(Q313/Q446, "NA")</f>
      </c>
      <c r="S313" s="15"/>
      <c r="T313" s="13">
        <v>280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1467.1199999999999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6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35</v>
      </c>
      <c r="R314" s="14">
        <f>IFERROR(Q314/Q446, "NA")</f>
      </c>
      <c r="S314" s="15"/>
      <c r="T314" s="13">
        <v>80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53.75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748.97000000000003</v>
      </c>
      <c r="C316" s="14">
        <f>IFERROR(B316/B446, "NA")</f>
      </c>
      <c r="D316" s="15"/>
      <c r="E316" s="13">
        <v>749.87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794.11000000000001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5991.7600000000002</v>
      </c>
      <c r="R316" s="14">
        <f>IFERROR(Q316/Q446, "NA")</f>
      </c>
      <c r="S316" s="15"/>
      <c r="T316" s="13">
        <v>6734.8699999999999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6352.8800000000001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49.380000000000003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407.50999999999999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491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490.60000000000002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3924.8000000000002</v>
      </c>
      <c r="R319" s="14">
        <f>IFERROR(Q319/Q446, "NA")</f>
      </c>
      <c r="S319" s="15"/>
      <c r="T319" s="13">
        <v>3928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3924.8000000000002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160.59999999999999</v>
      </c>
      <c r="C320" s="14">
        <f>IFERROR(B320/B446, "NA")</f>
      </c>
      <c r="D320" s="15"/>
      <c r="E320" s="13">
        <v>160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160.09999999999999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1283.1500000000001</v>
      </c>
      <c r="R320" s="14">
        <f>IFERROR(Q320/Q446, "NA")</f>
      </c>
      <c r="S320" s="15"/>
      <c r="T320" s="13">
        <v>1280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1411.3099999999999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1123.24</v>
      </c>
      <c r="C321" s="14">
        <f>IFERROR(B321/B446, "NA")</f>
      </c>
      <c r="D321" s="15"/>
      <c r="E321" s="13">
        <v>1121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1123.5799999999999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8559</v>
      </c>
      <c r="R321" s="14">
        <f>IFERROR(Q321/Q446, "NA")</f>
      </c>
      <c r="S321" s="15"/>
      <c r="T321" s="13">
        <v>8968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9286.3099999999995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1120.54</v>
      </c>
      <c r="C322" s="14">
        <f>IFERROR(B322/B446, "NA")</f>
      </c>
      <c r="D322" s="15"/>
      <c r="E322" s="13">
        <v>1606.8599999999999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1469.27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7385.2799999999997</v>
      </c>
      <c r="R322" s="14">
        <f>IFERROR(Q322/Q446, "NA")</f>
      </c>
      <c r="S322" s="15"/>
      <c r="T322" s="13">
        <v>14356.209999999999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16767.669999999998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280.20999999999998</v>
      </c>
      <c r="C323" s="14">
        <f>IFERROR(B323/B446, "NA")</f>
      </c>
      <c r="D323" s="15"/>
      <c r="E323" s="13">
        <v>366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338.98000000000002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3061.6799999999998</v>
      </c>
      <c r="R323" s="14">
        <f>IFERROR(Q323/Q446, "NA")</f>
      </c>
      <c r="S323" s="15"/>
      <c r="T323" s="13">
        <v>2928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2792.1300000000001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10.01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13932.27</v>
      </c>
      <c r="C330" s="14">
        <f>IFERROR(B330/B446, "NA")</f>
      </c>
      <c r="D330" s="15"/>
      <c r="E330" s="13">
        <v>13932.27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13526.48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109023.42</v>
      </c>
      <c r="R330" s="14">
        <f>IFERROR(Q330/Q446, "NA")</f>
      </c>
      <c r="S330" s="15"/>
      <c r="T330" s="13">
        <v>109023.42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105847.96000000001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2516.3899999999999</v>
      </c>
      <c r="C331" s="14">
        <f>IFERROR(B331/B446, "NA")</f>
      </c>
      <c r="D331" s="15"/>
      <c r="E331" s="13">
        <v>2126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2126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18569.560000000001</v>
      </c>
      <c r="R331" s="14">
        <f>IFERROR(Q331/Q446, "NA")</f>
      </c>
      <c r="S331" s="15"/>
      <c r="T331" s="13">
        <v>17008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17099.779999999999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180</v>
      </c>
      <c r="C333" s="14">
        <f>IFERROR(B333/B446, "NA")</f>
      </c>
      <c r="D333" s="15"/>
      <c r="E333" s="13">
        <v>180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180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1145.29</v>
      </c>
      <c r="R333" s="14">
        <f>IFERROR(Q333/Q446, "NA")</f>
      </c>
      <c r="S333" s="15"/>
      <c r="T333" s="13">
        <v>1440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1440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1254</v>
      </c>
      <c r="C334" s="14">
        <f>IFERROR(B334/B446, "NA")</f>
      </c>
      <c r="D334" s="15"/>
      <c r="E334" s="13">
        <v>1025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1024.7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10032</v>
      </c>
      <c r="R334" s="14">
        <f>IFERROR(Q334/Q446, "NA")</f>
      </c>
      <c r="S334" s="15"/>
      <c r="T334" s="13">
        <v>8200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8197.5400000000009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-1072.78</v>
      </c>
      <c r="C335" s="14">
        <f>IFERROR(B335/B446, "NA")</f>
      </c>
      <c r="D335" s="15"/>
      <c r="E335" s="13">
        <v>-1072.78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-1041.54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-2145.5599999999999</v>
      </c>
      <c r="R335" s="14">
        <f>IFERROR(Q335/Q446, "NA")</f>
      </c>
      <c r="S335" s="15"/>
      <c r="T335" s="13">
        <v>-2145.5599999999999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-2083.0799999999999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372</v>
      </c>
      <c r="C339" s="14">
        <f>IFERROR(B339/B446, "NA")</f>
      </c>
      <c r="D339" s="15"/>
      <c r="E339" s="13">
        <v>428.5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592.09000000000003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2963.8000000000002</v>
      </c>
      <c r="R339" s="14">
        <f>IFERROR(Q339/Q446, "NA")</f>
      </c>
      <c r="S339" s="15"/>
      <c r="T339" s="13">
        <v>3848.5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3261.1399999999999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339.02999999999997</v>
      </c>
      <c r="C340" s="14">
        <f>IFERROR(B340/B446, "NA")</f>
      </c>
      <c r="D340" s="15"/>
      <c r="E340" s="13">
        <v>321.37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317.66000000000003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3342.96</v>
      </c>
      <c r="R340" s="14">
        <f>IFERROR(Q340/Q446, "NA")</f>
      </c>
      <c r="S340" s="15"/>
      <c r="T340" s="13">
        <v>2886.3600000000001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2752.3099999999999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378</v>
      </c>
      <c r="C341" s="14">
        <f>IFERROR(B341/B446, "NA")</f>
      </c>
      <c r="D341" s="15"/>
      <c r="E341" s="13">
        <v>321.37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1025.1500000000001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1904.8399999999999</v>
      </c>
      <c r="R341" s="14">
        <f>IFERROR(Q341/Q446, "NA")</f>
      </c>
      <c r="S341" s="15"/>
      <c r="T341" s="13">
        <v>2886.3600000000001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4754.3299999999999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488.94</v>
      </c>
      <c r="C342" s="14">
        <f>IFERROR(B342/B446, "NA")</f>
      </c>
      <c r="D342" s="15"/>
      <c r="E342" s="13">
        <v>428.5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471.16000000000003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3879.2199999999998</v>
      </c>
      <c r="R342" s="14">
        <f>IFERROR(Q342/Q446, "NA")</f>
      </c>
      <c r="S342" s="15"/>
      <c r="T342" s="13">
        <v>3848.5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3771.8800000000001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9017.5400000000009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69437.580000000002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600.96000000000004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8552.1200000000008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8434.2199999999993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68415.449999999997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65291.120000000003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-186.19999999999999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-35.789999999999999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-1223.47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-233.97999999999999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-133.71000000000001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-94.989999999999995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281.14999999999998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-632.32000000000005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105373.55</v>
      </c>
      <c r="C446" s="33"/>
      <c r="D446" s="15"/>
      <c r="E446" s="13">
        <v>107124.12</v>
      </c>
      <c r="F446" s="33"/>
      <c r="G446" s="15"/>
      <c r="H446" s="16">
        <f>IFERROR(B446-E446, "NA")</f>
      </c>
      <c r="I446" s="33"/>
      <c r="J446" s="15"/>
      <c r="K446" s="13">
        <v>98641</v>
      </c>
      <c r="L446" s="33"/>
      <c r="M446" s="15"/>
      <c r="N446" s="16">
        <f>IFERROR(B446-K446, "NA")</f>
      </c>
      <c r="O446" s="33"/>
      <c r="P446" s="15"/>
      <c r="Q446" s="13">
        <v>902096.46999999997</v>
      </c>
      <c r="R446" s="33"/>
      <c r="S446" s="15"/>
      <c r="T446" s="13">
        <v>962124.26000000001</v>
      </c>
      <c r="U446" s="33"/>
      <c r="V446" s="15"/>
      <c r="W446" s="16">
        <f>IFERROR(Q446-T446, "NA")</f>
      </c>
      <c r="X446" s="33"/>
      <c r="Y446" s="15"/>
      <c r="Z446" s="13">
        <v>890074.17000000004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418</v>
      </c>
      <c t="s" r="B3" s="3">
        <v>418</v>
      </c>
      <c t="s" r="C3" s="3">
        <v>418</v>
      </c>
      <c t="s" r="D3" s="3">
        <v>418</v>
      </c>
      <c t="s" r="E3" s="3">
        <v>418</v>
      </c>
      <c t="s" r="F3" s="3">
        <v>418</v>
      </c>
      <c t="s" r="G3" s="3">
        <v>418</v>
      </c>
      <c t="s" r="H3" s="3">
        <v>418</v>
      </c>
      <c t="s" r="I3" s="3">
        <v>418</v>
      </c>
      <c t="s" r="J3" s="3">
        <v>418</v>
      </c>
      <c t="s" r="K3" s="3">
        <v>418</v>
      </c>
      <c t="s" r="L3" s="3">
        <v>418</v>
      </c>
      <c t="s" r="M3" s="3">
        <v>418</v>
      </c>
      <c t="s" r="N3" s="3">
        <v>418</v>
      </c>
      <c t="s" r="O3" s="3">
        <v>418</v>
      </c>
      <c t="s" r="P3" s="3">
        <v>418</v>
      </c>
      <c t="s" r="Q3" s="3">
        <v>418</v>
      </c>
      <c t="s" r="R3" s="3">
        <v>418</v>
      </c>
      <c t="s" r="S3" s="3">
        <v>418</v>
      </c>
      <c t="s" r="T3" s="3">
        <v>418</v>
      </c>
      <c t="s" r="U3" s="3">
        <v>418</v>
      </c>
      <c t="s" r="V3" s="3">
        <v>418</v>
      </c>
      <c t="s" r="W3" s="3">
        <v>418</v>
      </c>
      <c t="s" r="X3" s="3">
        <v>418</v>
      </c>
      <c t="s" r="Y3" s="3">
        <v>418</v>
      </c>
      <c t="s" r="Z3" s="3">
        <v>418</v>
      </c>
      <c t="s" r="AA3" s="3">
        <v>418</v>
      </c>
      <c t="s" r="AB3" s="3">
        <v>418</v>
      </c>
      <c t="s" r="AC3" s="3">
        <v>418</v>
      </c>
      <c t="s" r="AD3" s="3">
        <v>418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48306.480000000003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462827.31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39271.050000000003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48839.470000000001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361011.97999999998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408614.20000000001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5025.5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5611.6499999999996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41546.75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48328.300000000003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107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132.5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1303.5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1355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25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2470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55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96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367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0.20000000000000001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3.71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10813.370000000001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103603.60000000001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8974.6499999999996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5232.5900000000001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77982.199999999997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9604.7199999999993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62025.769999999997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785.91999999999996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380.42000000000002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6097.4099999999999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8107.4700000000003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38.490000000000002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852.64999999999998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1218.53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15876.690000000001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898.5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916.47000000000003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6990.3299999999999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7026.2700000000004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18392.84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176222.95000000001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8849.7999999999993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5048.3599999999997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81841.910000000003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63798.779999999999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543.50999999999999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1125.5599999999999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5346.0799999999999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10251.139999999999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9438.7700000000004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4651.7299999999996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93735.919999999998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76867.669999999998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1189.71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7539.0900000000001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662.54999999999995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521.39999999999998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7211.3599999999997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18696.02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179127.72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1488.9000000000001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1830.9400000000001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22078.810000000001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44745.830000000002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9290.3299999999999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10353.66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88147.570000000007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106730.85000000001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12.85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2000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23.300000000000001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35.75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56.200000000000003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8084.7700000000004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77460.660000000003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3916.3099999999999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3836.8099999999999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35042.480000000003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16010.440000000001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3034.8499999999999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2240.4200000000001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21054.25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39863.120000000003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5845.4899999999998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909.04999999999995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30951.09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5980.1199999999999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-17.850000000000001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2709.0500000000002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17966.900000000001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1515.8900000000001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14523.870000000001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156.99000000000001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246.84999999999999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1591.7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3964.4899999999998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642.27999999999997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944.63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7955.25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8896.0499999999993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-40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-72.310000000000002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60.590000000000003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-457.50999999999999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-744.70000000000005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-4749.8000000000002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-45508.129999999997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-795.92999999999995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-1044.28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-8906.7299999999996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-8264.3299999999999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-3077.2199999999998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-2405.75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-15828.43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-22831.709999999999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-27.66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-55.979999999999997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-1451.05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-3266.27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-105.51000000000001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-571.39999999999998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-83.260000000000005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-2976.1300000000001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-2154.54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-102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-121.45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-629.86000000000001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-3548.3800000000001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-5918.6599999999999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-640.94000000000005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-145.09999999999999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21727.810000000001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209632.17999999999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4720.6700000000001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4211.1800000000003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44434.690000000002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51932.129999999997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2861.3499999999999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2977.23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24159.650000000001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29134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3412.8499999999999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5158.3000000000002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34091.410000000003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41748.470000000001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2052.9899999999998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2618.8200000000002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20037.139999999999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23575.509999999998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1309.1400000000001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847.08000000000004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11594.889999999999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8466.3999999999996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586.63999999999999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622.88999999999999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6063.1999999999998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6837.25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5225.9200000000001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627.32000000000005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656.13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4526.5699999999997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4962.7399999999998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6389.6700000000001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6161.7399999999998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59753.809999999998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56005.470000000001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1111.6600000000001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10650.85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977.40999999999997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1423.27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10354.52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13142.23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26.559999999999999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37.880000000000003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374.19999999999999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431.67000000000002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59.57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-118.29000000000001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893.37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24.829999999999998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26.780000000000001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109.79000000000001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4143.4399999999996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39698.57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3005.5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3072.1100000000001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27404.130000000001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30105.32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431.93000000000001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989.97000000000003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6808.4899999999998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8913.3700000000008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747.67999999999995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222.40000000000001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3186.6700000000001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3402.8899999999999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3.5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89.25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81.870000000000005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1013.35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953.13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109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30.620000000000001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896.76999999999998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294.83999999999997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-1148.4200000000001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-1051.3399999999999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-8021.1499999999996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-16949.720000000001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5192.3199999999997</v>
      </c>
      <c r="C178" s="14">
        <f>IFERROR(B178/B446, "NA")</f>
      </c>
      <c r="D178" s="15"/>
      <c r="E178" s="13">
        <v>5192.3199999999997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5192.3199999999997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44134.720000000001</v>
      </c>
      <c r="R178" s="14">
        <f>IFERROR(Q178/Q446, "NA")</f>
      </c>
      <c r="S178" s="15"/>
      <c r="T178" s="13">
        <v>43859.720000000001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43859.720000000001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22715.150000000001</v>
      </c>
      <c r="C180" s="14">
        <f>IFERROR(B180/B446, "NA")</f>
      </c>
      <c r="D180" s="15"/>
      <c r="E180" s="13">
        <v>20616.150000000001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22269.110000000001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181885.44</v>
      </c>
      <c r="R180" s="14">
        <f>IFERROR(Q180/Q446, "NA")</f>
      </c>
      <c r="S180" s="15"/>
      <c r="T180" s="13">
        <v>192276.41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189023.70000000001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23.260000000000002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0.089999999999999997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958.28999999999996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1267.95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325</v>
      </c>
      <c r="C184" s="14">
        <f>IFERROR(B184/B446, "NA")</f>
      </c>
      <c r="D184" s="15"/>
      <c r="E184" s="13">
        <v>325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-850</v>
      </c>
      <c r="R184" s="14">
        <f>IFERROR(Q184/Q446, "NA")</f>
      </c>
      <c r="S184" s="15"/>
      <c r="T184" s="13">
        <v>2925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1800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2419.8000000000002</v>
      </c>
      <c r="C186" s="14">
        <f>IFERROR(B186/B446, "NA")</f>
      </c>
      <c r="D186" s="15"/>
      <c r="E186" s="13">
        <v>2591.6100000000001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2373.8099999999999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20724.290000000001</v>
      </c>
      <c r="R186" s="14">
        <f>IFERROR(Q186/Q446, "NA")</f>
      </c>
      <c r="S186" s="15"/>
      <c r="T186" s="13">
        <v>23075.73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21428.060000000001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301.04000000000002</v>
      </c>
      <c r="C194" s="14">
        <f>IFERROR(B194/B446, "NA")</f>
      </c>
      <c r="D194" s="15"/>
      <c r="E194" s="13">
        <v>209.06999999999999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301.04000000000002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2315.0900000000001</v>
      </c>
      <c r="R194" s="14">
        <f>IFERROR(Q194/Q446, "NA")</f>
      </c>
      <c r="S194" s="15"/>
      <c r="T194" s="13">
        <v>1912.49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2312.52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874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871.13999999999999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8093.5200000000004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6900.2799999999997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698.07000000000005</v>
      </c>
      <c r="C202" s="14">
        <f>IFERROR(B202/B446, "NA")</f>
      </c>
      <c r="D202" s="15"/>
      <c r="E202" s="13">
        <v>1111.6600000000001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843.84000000000003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7517.5</v>
      </c>
      <c r="R202" s="14">
        <f>IFERROR(Q202/Q446, "NA")</f>
      </c>
      <c r="S202" s="15"/>
      <c r="T202" s="13">
        <v>10650.85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8326.5300000000007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466.61000000000001</v>
      </c>
      <c r="C203" s="14">
        <f>IFERROR(B203/B446, "NA")</f>
      </c>
      <c r="D203" s="15"/>
      <c r="E203" s="13">
        <v>707.41999999999996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855.42999999999995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7415.1199999999999</v>
      </c>
      <c r="R203" s="14">
        <f>IFERROR(Q203/Q446, "NA")</f>
      </c>
      <c r="S203" s="15"/>
      <c r="T203" s="13">
        <v>6777.8100000000004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7547.8199999999997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47.479999999999997</v>
      </c>
      <c r="C204" s="14">
        <f>IFERROR(B204/B446, "NA")</f>
      </c>
      <c r="D204" s="15"/>
      <c r="E204" s="13">
        <v>202.12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75.790000000000006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552</v>
      </c>
      <c r="R204" s="14">
        <f>IFERROR(Q204/Q446, "NA")</f>
      </c>
      <c r="S204" s="15"/>
      <c r="T204" s="13">
        <v>1936.52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1116.98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364.24000000000001</v>
      </c>
      <c r="C205" s="14">
        <f>IFERROR(B205/B446, "NA")</f>
      </c>
      <c r="D205" s="15"/>
      <c r="E205" s="13">
        <v>303.18000000000001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364.24000000000001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3188.4400000000001</v>
      </c>
      <c r="R205" s="14">
        <f>IFERROR(Q205/Q446, "NA")</f>
      </c>
      <c r="S205" s="15"/>
      <c r="T205" s="13">
        <v>2904.77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3096.04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12.630000000000001</v>
      </c>
      <c r="C206" s="14">
        <f>IFERROR(B206/B446, "NA")</f>
      </c>
      <c r="D206" s="15"/>
      <c r="E206" s="13">
        <v>101.06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113.56999999999999</v>
      </c>
      <c r="R206" s="14">
        <f>IFERROR(Q206/Q446, "NA")</f>
      </c>
      <c r="S206" s="15"/>
      <c r="T206" s="13">
        <v>968.25999999999999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865.24000000000001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291.23000000000002</v>
      </c>
      <c r="R207" s="14">
        <f>IFERROR(Q207/Q446, "NA")</f>
      </c>
      <c r="S207" s="15"/>
      <c r="T207" s="13">
        <v>800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762.98000000000002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187.59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125.31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939.69000000000005</v>
      </c>
      <c r="R208" s="14">
        <f>IFERROR(Q208/Q446, "NA")</f>
      </c>
      <c r="S208" s="15"/>
      <c r="T208" s="13">
        <v>800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1207.5599999999999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2930.73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28079.48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1620.6900000000001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458.89999999999998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9485.6700000000001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14491.209999999999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163.59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190.40000000000001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1920.3299999999999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371.44999999999999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25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310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2.1000000000000001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1500.7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309.45999999999998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18773.740000000002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14719.940000000001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87.989999999999995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557.02999999999997</v>
      </c>
      <c r="R222" s="14">
        <f>IFERROR(Q222/Q446, "NA")</f>
      </c>
      <c r="S222" s="15"/>
      <c r="T222" s="13">
        <v>800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874.13999999999999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1313.77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12587.35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154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231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1428.05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756.42999999999995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1064.0999999999999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8736.9899999999998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10514.48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113.61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413.38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6164.6300000000001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59063.739999999998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1237.22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772.85000000000002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12367.639999999999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8896.9899999999998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1745.0599999999999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2047.4100000000001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17612.52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20851.599999999999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806.66999999999996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792.36000000000001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7078.7299999999996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3122.3000000000002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109.17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301.26999999999998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1086.03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2906.54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243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273.87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2097.0999999999999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2158.6700000000001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1835.6800000000001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740.97000000000003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17764.98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10360.51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606.84000000000003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452.30000000000001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4206.1000000000004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5884.8000000000002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1169.0999999999999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5636.6300000000001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556.78999999999996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2466.3299999999999</v>
      </c>
      <c r="C266" s="14">
        <f>IFERROR(B266/B446, "NA")</f>
      </c>
      <c r="D266" s="15"/>
      <c r="E266" s="13">
        <v>2728.6100000000001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2721.8600000000001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23158.73</v>
      </c>
      <c r="R266" s="14">
        <f>IFERROR(Q266/Q446, "NA")</f>
      </c>
      <c r="S266" s="15"/>
      <c r="T266" s="13">
        <v>26142.970000000001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24142.32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74.099999999999994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84.900000000000006</v>
      </c>
      <c r="C271" s="14">
        <f>IFERROR(B271/B446, "NA")</f>
      </c>
      <c r="D271" s="15"/>
      <c r="E271" s="13">
        <v>111.38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89.790000000000006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538.20000000000005</v>
      </c>
      <c r="R271" s="14">
        <f>IFERROR(Q271/Q446, "NA")</f>
      </c>
      <c r="S271" s="15"/>
      <c r="T271" s="13">
        <v>891.03999999999996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977.13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487.12</v>
      </c>
      <c r="C272" s="14">
        <f>IFERROR(B272/B446, "NA")</f>
      </c>
      <c r="D272" s="15"/>
      <c r="E272" s="13">
        <v>1183.75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1183.75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6700.0299999999997</v>
      </c>
      <c r="R272" s="14">
        <f>IFERROR(Q272/Q446, "NA")</f>
      </c>
      <c r="S272" s="15"/>
      <c r="T272" s="13">
        <v>9470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8658.7800000000007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158.30000000000001</v>
      </c>
      <c r="C289" s="14">
        <f>IFERROR(B289/B446, "NA")</f>
      </c>
      <c r="D289" s="15"/>
      <c r="E289" s="13">
        <v>158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158.33000000000001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1266.7</v>
      </c>
      <c r="R289" s="14">
        <f>IFERROR(Q289/Q446, "NA")</f>
      </c>
      <c r="S289" s="15"/>
      <c r="T289" s="13">
        <v>1264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1266.6600000000001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250.05000000000001</v>
      </c>
      <c r="C290" s="14">
        <f>IFERROR(B290/B446, "NA")</f>
      </c>
      <c r="D290" s="15"/>
      <c r="E290" s="13">
        <v>233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216.02000000000001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1996.6500000000001</v>
      </c>
      <c r="R290" s="14">
        <f>IFERROR(Q290/Q446, "NA")</f>
      </c>
      <c r="S290" s="15"/>
      <c r="T290" s="13">
        <v>1864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1692.5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101.73999999999999</v>
      </c>
      <c r="C291" s="14">
        <f>IFERROR(B291/B446, "NA")</f>
      </c>
      <c r="D291" s="15"/>
      <c r="E291" s="13">
        <v>303.18000000000001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1413.0699999999999</v>
      </c>
      <c r="R291" s="14">
        <f>IFERROR(Q291/Q446, "NA")</f>
      </c>
      <c r="S291" s="15"/>
      <c r="T291" s="13">
        <v>2631.3800000000001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215.74000000000001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404.24000000000001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9378.0499999999993</v>
      </c>
      <c r="R292" s="14">
        <f>IFERROR(Q292/Q446, "NA")</f>
      </c>
      <c r="S292" s="15"/>
      <c r="T292" s="13">
        <v>3873.04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2499.5799999999999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101.06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522.95000000000005</v>
      </c>
      <c r="R293" s="14">
        <f>IFERROR(Q293/Q446, "NA")</f>
      </c>
      <c r="S293" s="15"/>
      <c r="T293" s="13">
        <v>968.25999999999999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101.06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968.25999999999999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630.96000000000004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300</v>
      </c>
      <c r="C295" s="14">
        <f>IFERROR(B295/B446, "NA")</f>
      </c>
      <c r="D295" s="15"/>
      <c r="E295" s="13">
        <v>412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430.73000000000002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1713.96</v>
      </c>
      <c r="R295" s="14">
        <f>IFERROR(Q295/Q446, "NA")</f>
      </c>
      <c r="S295" s="15"/>
      <c r="T295" s="13">
        <v>3296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3221.8600000000001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505.27999999999997</v>
      </c>
      <c r="C300" s="14">
        <f>IFERROR(B300/B446, "NA")</f>
      </c>
      <c r="D300" s="15"/>
      <c r="E300" s="13">
        <v>469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469.19999999999999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3925.5100000000002</v>
      </c>
      <c r="R300" s="14">
        <f>IFERROR(Q300/Q446, "NA")</f>
      </c>
      <c r="S300" s="15"/>
      <c r="T300" s="13">
        <v>3752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3533.1500000000001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291.68000000000001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217.93000000000001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156.11000000000001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30.41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890.96000000000004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157.72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11.210000000000001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177.94999999999999</v>
      </c>
      <c r="R311" s="14">
        <f>IFERROR(Q311/Q446, "NA")</f>
      </c>
      <c r="S311" s="15"/>
      <c r="T311" s="13">
        <v>440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170.41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1016.48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456.73000000000002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5350.0299999999997</v>
      </c>
      <c r="R313" s="14">
        <f>IFERROR(Q313/Q446, "NA")</f>
      </c>
      <c r="S313" s="15"/>
      <c r="T313" s="13">
        <v>280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3984.5300000000002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3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13</v>
      </c>
      <c r="R314" s="14">
        <f>IFERROR(Q314/Q446, "NA")</f>
      </c>
      <c r="S314" s="15"/>
      <c r="T314" s="13">
        <v>90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40.850000000000001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483.44999999999999</v>
      </c>
      <c r="C316" s="14">
        <f>IFERROR(B316/B446, "NA")</f>
      </c>
      <c r="D316" s="15"/>
      <c r="E316" s="13">
        <v>404.24000000000001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533.34000000000003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4117.0100000000002</v>
      </c>
      <c r="R316" s="14">
        <f>IFERROR(Q316/Q446, "NA")</f>
      </c>
      <c r="S316" s="15"/>
      <c r="T316" s="13">
        <v>3873.04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3266.6999999999998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-0.62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347.50999999999999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396.27999999999997</v>
      </c>
      <c r="C320" s="14">
        <f>IFERROR(B320/B446, "NA")</f>
      </c>
      <c r="D320" s="15"/>
      <c r="E320" s="13">
        <v>308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307.43000000000001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3004.0300000000002</v>
      </c>
      <c r="R320" s="14">
        <f>IFERROR(Q320/Q446, "NA")</f>
      </c>
      <c r="S320" s="15"/>
      <c r="T320" s="13">
        <v>2464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2322.4299999999998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1111.4200000000001</v>
      </c>
      <c r="C321" s="14">
        <f>IFERROR(B321/B446, "NA")</f>
      </c>
      <c r="D321" s="15"/>
      <c r="E321" s="13">
        <v>1186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1188.23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8901.1000000000004</v>
      </c>
      <c r="R321" s="14">
        <f>IFERROR(Q321/Q446, "NA")</f>
      </c>
      <c r="S321" s="15"/>
      <c r="T321" s="13">
        <v>9488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9349.7099999999991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1148.4200000000001</v>
      </c>
      <c r="C322" s="14">
        <f>IFERROR(B322/B446, "NA")</f>
      </c>
      <c r="D322" s="15"/>
      <c r="E322" s="13">
        <v>1515.8900000000001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1051.3399999999999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8021.1499999999996</v>
      </c>
      <c r="R322" s="14">
        <f>IFERROR(Q322/Q446, "NA")</f>
      </c>
      <c r="S322" s="15"/>
      <c r="T322" s="13">
        <v>14426.76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16949.720000000001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368.00999999999999</v>
      </c>
      <c r="C323" s="14">
        <f>IFERROR(B323/B446, "NA")</f>
      </c>
      <c r="D323" s="15"/>
      <c r="E323" s="13">
        <v>252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252.08000000000001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3461.75</v>
      </c>
      <c r="R323" s="14">
        <f>IFERROR(Q323/Q446, "NA")</f>
      </c>
      <c r="S323" s="15"/>
      <c r="T323" s="13">
        <v>2016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4550.54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20560.52</v>
      </c>
      <c r="C330" s="14">
        <f>IFERROR(B330/B446, "NA")</f>
      </c>
      <c r="D330" s="15"/>
      <c r="E330" s="13">
        <v>20560.52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20059.040000000001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160973.79999999999</v>
      </c>
      <c r="R330" s="14">
        <f>IFERROR(Q330/Q446, "NA")</f>
      </c>
      <c r="S330" s="15"/>
      <c r="T330" s="13">
        <v>160973.79999999999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157047.57000000001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126.95999999999999</v>
      </c>
      <c r="C331" s="14">
        <f>IFERROR(B331/B446, "NA")</f>
      </c>
      <c r="D331" s="15"/>
      <c r="E331" s="13">
        <v>658.50999999999999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788.50999999999999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5081.8400000000001</v>
      </c>
      <c r="R331" s="14">
        <f>IFERROR(Q331/Q446, "NA")</f>
      </c>
      <c r="S331" s="15"/>
      <c r="T331" s="13">
        <v>5268.0799999999999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5719.79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847.80999999999995</v>
      </c>
      <c r="C334" s="14">
        <f>IFERROR(B334/B446, "NA")</f>
      </c>
      <c r="D334" s="15"/>
      <c r="E334" s="13">
        <v>856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855.92999999999995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6831.1999999999998</v>
      </c>
      <c r="R334" s="14">
        <f>IFERROR(Q334/Q446, "NA")</f>
      </c>
      <c r="S334" s="15"/>
      <c r="T334" s="13">
        <v>6848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6752.1499999999996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-1583.1600000000001</v>
      </c>
      <c r="C335" s="14">
        <f>IFERROR(B335/B446, "NA")</f>
      </c>
      <c r="D335" s="15"/>
      <c r="E335" s="13">
        <v>-1583.1600000000001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-1544.55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-3127.71</v>
      </c>
      <c r="R335" s="14">
        <f>IFERROR(Q335/Q446, "NA")</f>
      </c>
      <c r="S335" s="15"/>
      <c r="T335" s="13">
        <v>-3127.71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-3051.4200000000001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2467.8600000000001</v>
      </c>
      <c r="C339" s="14">
        <f>IFERROR(B339/B446, "NA")</f>
      </c>
      <c r="D339" s="15"/>
      <c r="E339" s="13">
        <v>2122.25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2534.4899999999998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17729.16</v>
      </c>
      <c r="R339" s="14">
        <f>IFERROR(Q339/Q446, "NA")</f>
      </c>
      <c r="S339" s="15"/>
      <c r="T339" s="13">
        <v>20333.419999999998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17648.84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412.17000000000002</v>
      </c>
      <c r="C340" s="14">
        <f>IFERROR(B340/B446, "NA")</f>
      </c>
      <c r="D340" s="15"/>
      <c r="E340" s="13">
        <v>707.41999999999996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392.86000000000001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6756.6499999999996</v>
      </c>
      <c r="R340" s="14">
        <f>IFERROR(Q340/Q446, "NA")</f>
      </c>
      <c r="S340" s="15"/>
      <c r="T340" s="13">
        <v>6777.8100000000004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6850.1400000000003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800.16999999999996</v>
      </c>
      <c r="C341" s="14">
        <f>IFERROR(B341/B446, "NA")</f>
      </c>
      <c r="D341" s="15"/>
      <c r="E341" s="13">
        <v>707.41999999999996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981.28999999999996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6678.0799999999999</v>
      </c>
      <c r="R341" s="14">
        <f>IFERROR(Q341/Q446, "NA")</f>
      </c>
      <c r="S341" s="15"/>
      <c r="T341" s="13">
        <v>6777.8100000000004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7244.54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1066.1900000000001</v>
      </c>
      <c r="C342" s="14">
        <f>IFERROR(B342/B446, "NA")</f>
      </c>
      <c r="D342" s="15"/>
      <c r="E342" s="13">
        <v>909.53999999999996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1031.99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8461.1200000000008</v>
      </c>
      <c r="R342" s="14">
        <f>IFERROR(Q342/Q446, "NA")</f>
      </c>
      <c r="S342" s="15"/>
      <c r="T342" s="13">
        <v>8714.3299999999999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8218.2399999999998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11152.24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85126.720000000001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10743.030000000001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10315.540000000001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85943.610000000001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79405.699999999997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-53.299999999999997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-60.039999999999999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-333.24000000000001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-13.470000000000001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-2.0099999999999998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-40.490000000000002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-163.19999999999999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-313.14999999999998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98964.729999999996</v>
      </c>
      <c r="C446" s="33"/>
      <c r="D446" s="15"/>
      <c r="E446" s="13">
        <v>101059.57000000001</v>
      </c>
      <c r="F446" s="33"/>
      <c r="G446" s="15"/>
      <c r="H446" s="16">
        <f>IFERROR(B446-E446, "NA")</f>
      </c>
      <c r="I446" s="33"/>
      <c r="J446" s="15"/>
      <c r="K446" s="13">
        <v>92566.589999999997</v>
      </c>
      <c r="L446" s="33"/>
      <c r="M446" s="15"/>
      <c r="N446" s="16">
        <f>IFERROR(B446-K446, "NA")</f>
      </c>
      <c r="O446" s="33"/>
      <c r="P446" s="15"/>
      <c r="Q446" s="13">
        <v>880495.80000000005</v>
      </c>
      <c r="R446" s="33"/>
      <c r="S446" s="15"/>
      <c r="T446" s="13">
        <v>968257.97999999998</v>
      </c>
      <c r="U446" s="33"/>
      <c r="V446" s="15"/>
      <c r="W446" s="16">
        <f>IFERROR(Q446-T446, "NA")</f>
      </c>
      <c r="X446" s="33"/>
      <c r="Y446" s="15"/>
      <c r="Z446" s="13">
        <v>898178.37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terms:created xsi:type="dcterms:W3CDTF">2026-09-15T19:22:53Z</dcterms:created>
  <dcterms:modified xsi:type="dcterms:W3CDTF">2026-09-15T19:22:53Z</dcterms:modified>
</cp:coreProperties>
</file>