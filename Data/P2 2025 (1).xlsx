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D8000FA2-DBC4-4C68-9F2C-972837F873FD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O439" i="7" s="1"/>
  <c r="H444" i="7"/>
  <c r="Z442" i="7"/>
  <c r="AA442" i="7" s="1"/>
  <c r="T442" i="7"/>
  <c r="U442" i="7" s="1"/>
  <c r="Q442" i="7"/>
  <c r="R442" i="7" s="1"/>
  <c r="L442" i="7"/>
  <c r="K442" i="7"/>
  <c r="H442" i="7"/>
  <c r="I442" i="7" s="1"/>
  <c r="E442" i="7"/>
  <c r="F442" i="7" s="1"/>
  <c r="B442" i="7"/>
  <c r="C442" i="7" s="1"/>
  <c r="Z441" i="7"/>
  <c r="AA441" i="7" s="1"/>
  <c r="T441" i="7"/>
  <c r="U441" i="7" s="1"/>
  <c r="R441" i="7"/>
  <c r="Q441" i="7"/>
  <c r="W441" i="7" s="1"/>
  <c r="X441" i="7" s="1"/>
  <c r="K441" i="7"/>
  <c r="L441" i="7" s="1"/>
  <c r="F441" i="7"/>
  <c r="E441" i="7"/>
  <c r="B441" i="7"/>
  <c r="H441" i="7" s="1"/>
  <c r="I441" i="7" s="1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W439" i="7"/>
  <c r="X439" i="7" s="1"/>
  <c r="U439" i="7"/>
  <c r="R439" i="7"/>
  <c r="N439" i="7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X437" i="7"/>
  <c r="W437" i="7"/>
  <c r="U437" i="7"/>
  <c r="R437" i="7"/>
  <c r="N437" i="7"/>
  <c r="O437" i="7" s="1"/>
  <c r="L437" i="7"/>
  <c r="I437" i="7"/>
  <c r="H437" i="7"/>
  <c r="F437" i="7"/>
  <c r="C437" i="7"/>
  <c r="AC436" i="7"/>
  <c r="AD436" i="7" s="1"/>
  <c r="AA436" i="7"/>
  <c r="X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W435" i="7"/>
  <c r="X435" i="7" s="1"/>
  <c r="U435" i="7"/>
  <c r="R435" i="7"/>
  <c r="N435" i="7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X433" i="7"/>
  <c r="W433" i="7"/>
  <c r="U433" i="7"/>
  <c r="R433" i="7"/>
  <c r="N433" i="7"/>
  <c r="O433" i="7" s="1"/>
  <c r="L433" i="7"/>
  <c r="I433" i="7"/>
  <c r="H433" i="7"/>
  <c r="F433" i="7"/>
  <c r="C433" i="7"/>
  <c r="AC432" i="7"/>
  <c r="AD432" i="7" s="1"/>
  <c r="AA432" i="7"/>
  <c r="X432" i="7"/>
  <c r="W432" i="7"/>
  <c r="U432" i="7"/>
  <c r="R432" i="7"/>
  <c r="O432" i="7"/>
  <c r="N432" i="7"/>
  <c r="L432" i="7"/>
  <c r="H432" i="7"/>
  <c r="I432" i="7" s="1"/>
  <c r="F432" i="7"/>
  <c r="C432" i="7"/>
  <c r="Z429" i="7"/>
  <c r="AA429" i="7" s="1"/>
  <c r="U429" i="7"/>
  <c r="T429" i="7"/>
  <c r="Q429" i="7"/>
  <c r="W429" i="7" s="1"/>
  <c r="X429" i="7" s="1"/>
  <c r="K429" i="7"/>
  <c r="L429" i="7" s="1"/>
  <c r="E429" i="7"/>
  <c r="F429" i="7" s="1"/>
  <c r="B429" i="7"/>
  <c r="C429" i="7" s="1"/>
  <c r="AA428" i="7"/>
  <c r="Z428" i="7"/>
  <c r="W428" i="7"/>
  <c r="X428" i="7" s="1"/>
  <c r="T428" i="7"/>
  <c r="U428" i="7" s="1"/>
  <c r="Q428" i="7"/>
  <c r="R428" i="7" s="1"/>
  <c r="K428" i="7"/>
  <c r="L428" i="7" s="1"/>
  <c r="E428" i="7"/>
  <c r="F428" i="7" s="1"/>
  <c r="C428" i="7"/>
  <c r="B428" i="7"/>
  <c r="H428" i="7" s="1"/>
  <c r="I428" i="7" s="1"/>
  <c r="AC427" i="7"/>
  <c r="AD427" i="7" s="1"/>
  <c r="AA427" i="7"/>
  <c r="W427" i="7"/>
  <c r="X427" i="7" s="1"/>
  <c r="U427" i="7"/>
  <c r="R427" i="7"/>
  <c r="N427" i="7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X425" i="7"/>
  <c r="W425" i="7"/>
  <c r="U425" i="7"/>
  <c r="R425" i="7"/>
  <c r="N425" i="7"/>
  <c r="O425" i="7" s="1"/>
  <c r="L425" i="7"/>
  <c r="I425" i="7"/>
  <c r="H425" i="7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W423" i="7"/>
  <c r="X423" i="7" s="1"/>
  <c r="U423" i="7"/>
  <c r="R423" i="7"/>
  <c r="N423" i="7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X421" i="7"/>
  <c r="W421" i="7"/>
  <c r="U421" i="7"/>
  <c r="R421" i="7"/>
  <c r="N421" i="7"/>
  <c r="O421" i="7" s="1"/>
  <c r="L421" i="7"/>
  <c r="I421" i="7"/>
  <c r="H421" i="7"/>
  <c r="F421" i="7"/>
  <c r="C421" i="7"/>
  <c r="AC420" i="7"/>
  <c r="AD420" i="7" s="1"/>
  <c r="AA420" i="7"/>
  <c r="X420" i="7"/>
  <c r="W420" i="7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W419" i="7"/>
  <c r="X419" i="7" s="1"/>
  <c r="U419" i="7"/>
  <c r="R419" i="7"/>
  <c r="N419" i="7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X417" i="7"/>
  <c r="W417" i="7"/>
  <c r="U417" i="7"/>
  <c r="R417" i="7"/>
  <c r="N417" i="7"/>
  <c r="O417" i="7" s="1"/>
  <c r="L417" i="7"/>
  <c r="I417" i="7"/>
  <c r="H417" i="7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N415" i="7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X413" i="7"/>
  <c r="W413" i="7"/>
  <c r="U413" i="7"/>
  <c r="R413" i="7"/>
  <c r="N413" i="7"/>
  <c r="O413" i="7" s="1"/>
  <c r="L413" i="7"/>
  <c r="I413" i="7"/>
  <c r="H413" i="7"/>
  <c r="F413" i="7"/>
  <c r="C413" i="7"/>
  <c r="AC412" i="7"/>
  <c r="AD412" i="7" s="1"/>
  <c r="AA412" i="7"/>
  <c r="W412" i="7"/>
  <c r="X412" i="7" s="1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N411" i="7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C409" i="7"/>
  <c r="AD409" i="7" s="1"/>
  <c r="AA409" i="7"/>
  <c r="X409" i="7"/>
  <c r="W409" i="7"/>
  <c r="U409" i="7"/>
  <c r="R409" i="7"/>
  <c r="N409" i="7"/>
  <c r="O409" i="7" s="1"/>
  <c r="L409" i="7"/>
  <c r="I409" i="7"/>
  <c r="H409" i="7"/>
  <c r="F409" i="7"/>
  <c r="C409" i="7"/>
  <c r="AC408" i="7"/>
  <c r="AD408" i="7" s="1"/>
  <c r="AA408" i="7"/>
  <c r="X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N407" i="7"/>
  <c r="L407" i="7"/>
  <c r="H407" i="7"/>
  <c r="I407" i="7" s="1"/>
  <c r="F407" i="7"/>
  <c r="C407" i="7"/>
  <c r="Z403" i="7"/>
  <c r="AA403" i="7" s="1"/>
  <c r="T403" i="7"/>
  <c r="Q403" i="7"/>
  <c r="R403" i="7" s="1"/>
  <c r="N403" i="7"/>
  <c r="O403" i="7" s="1"/>
  <c r="L403" i="7"/>
  <c r="K403" i="7"/>
  <c r="E403" i="7"/>
  <c r="F403" i="7" s="1"/>
  <c r="B403" i="7"/>
  <c r="AD402" i="7"/>
  <c r="AC402" i="7"/>
  <c r="AA402" i="7"/>
  <c r="X402" i="7"/>
  <c r="W402" i="7"/>
  <c r="U402" i="7"/>
  <c r="R402" i="7"/>
  <c r="N402" i="7"/>
  <c r="O402" i="7" s="1"/>
  <c r="L402" i="7"/>
  <c r="H402" i="7"/>
  <c r="I402" i="7" s="1"/>
  <c r="F402" i="7"/>
  <c r="C402" i="7"/>
  <c r="AD401" i="7"/>
  <c r="AC401" i="7"/>
  <c r="AA401" i="7"/>
  <c r="X401" i="7"/>
  <c r="W401" i="7"/>
  <c r="U401" i="7"/>
  <c r="R401" i="7"/>
  <c r="N401" i="7"/>
  <c r="O401" i="7" s="1"/>
  <c r="L401" i="7"/>
  <c r="I401" i="7"/>
  <c r="H401" i="7"/>
  <c r="F401" i="7"/>
  <c r="C401" i="7"/>
  <c r="AC400" i="7"/>
  <c r="AD400" i="7" s="1"/>
  <c r="AA400" i="7"/>
  <c r="W400" i="7"/>
  <c r="X400" i="7" s="1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W399" i="7"/>
  <c r="X399" i="7" s="1"/>
  <c r="U399" i="7"/>
  <c r="R399" i="7"/>
  <c r="O399" i="7"/>
  <c r="N399" i="7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C397" i="7"/>
  <c r="AD397" i="7" s="1"/>
  <c r="AA397" i="7"/>
  <c r="X397" i="7"/>
  <c r="W397" i="7"/>
  <c r="U397" i="7"/>
  <c r="R397" i="7"/>
  <c r="N397" i="7"/>
  <c r="O397" i="7" s="1"/>
  <c r="L397" i="7"/>
  <c r="I397" i="7"/>
  <c r="H397" i="7"/>
  <c r="F397" i="7"/>
  <c r="C397" i="7"/>
  <c r="Z396" i="7"/>
  <c r="AA396" i="7" s="1"/>
  <c r="T396" i="7"/>
  <c r="Q396" i="7"/>
  <c r="R396" i="7" s="1"/>
  <c r="L396" i="7"/>
  <c r="K396" i="7"/>
  <c r="E396" i="7"/>
  <c r="F396" i="7" s="1"/>
  <c r="B396" i="7"/>
  <c r="AD395" i="7"/>
  <c r="AC395" i="7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X394" i="7"/>
  <c r="W394" i="7"/>
  <c r="U394" i="7"/>
  <c r="R394" i="7"/>
  <c r="N394" i="7"/>
  <c r="O394" i="7" s="1"/>
  <c r="L394" i="7"/>
  <c r="I394" i="7"/>
  <c r="H394" i="7"/>
  <c r="F394" i="7"/>
  <c r="C394" i="7"/>
  <c r="Z393" i="7"/>
  <c r="AA393" i="7" s="1"/>
  <c r="T393" i="7"/>
  <c r="Q393" i="7"/>
  <c r="R393" i="7" s="1"/>
  <c r="N393" i="7"/>
  <c r="O393" i="7" s="1"/>
  <c r="L393" i="7"/>
  <c r="K393" i="7"/>
  <c r="E393" i="7"/>
  <c r="F393" i="7" s="1"/>
  <c r="B393" i="7"/>
  <c r="AD392" i="7"/>
  <c r="AC392" i="7"/>
  <c r="AA392" i="7"/>
  <c r="X392" i="7"/>
  <c r="W392" i="7"/>
  <c r="U392" i="7"/>
  <c r="R392" i="7"/>
  <c r="N392" i="7"/>
  <c r="O392" i="7" s="1"/>
  <c r="L392" i="7"/>
  <c r="H392" i="7"/>
  <c r="I392" i="7" s="1"/>
  <c r="F392" i="7"/>
  <c r="C392" i="7"/>
  <c r="AD391" i="7"/>
  <c r="AC391" i="7"/>
  <c r="AA391" i="7"/>
  <c r="X391" i="7"/>
  <c r="W391" i="7"/>
  <c r="U391" i="7"/>
  <c r="R391" i="7"/>
  <c r="N391" i="7"/>
  <c r="O391" i="7" s="1"/>
  <c r="L391" i="7"/>
  <c r="I391" i="7"/>
  <c r="H391" i="7"/>
  <c r="F391" i="7"/>
  <c r="C391" i="7"/>
  <c r="AC390" i="7"/>
  <c r="AD390" i="7" s="1"/>
  <c r="AA390" i="7"/>
  <c r="W390" i="7"/>
  <c r="X390" i="7" s="1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W389" i="7"/>
  <c r="X389" i="7" s="1"/>
  <c r="U389" i="7"/>
  <c r="R389" i="7"/>
  <c r="O389" i="7"/>
  <c r="N389" i="7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N388" i="7"/>
  <c r="O388" i="7" s="1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N386" i="7"/>
  <c r="O386" i="7" s="1"/>
  <c r="L386" i="7"/>
  <c r="I386" i="7"/>
  <c r="H386" i="7"/>
  <c r="F386" i="7"/>
  <c r="C386" i="7"/>
  <c r="AC385" i="7"/>
  <c r="AD385" i="7" s="1"/>
  <c r="AA385" i="7"/>
  <c r="W385" i="7"/>
  <c r="X385" i="7" s="1"/>
  <c r="U385" i="7"/>
  <c r="R385" i="7"/>
  <c r="O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O383" i="7"/>
  <c r="N383" i="7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N382" i="7"/>
  <c r="O382" i="7" s="1"/>
  <c r="L382" i="7"/>
  <c r="H382" i="7"/>
  <c r="I382" i="7" s="1"/>
  <c r="F382" i="7"/>
  <c r="C382" i="7"/>
  <c r="AC381" i="7"/>
  <c r="AD381" i="7" s="1"/>
  <c r="AA381" i="7"/>
  <c r="X381" i="7"/>
  <c r="W381" i="7"/>
  <c r="U381" i="7"/>
  <c r="R381" i="7"/>
  <c r="N381" i="7"/>
  <c r="O381" i="7" s="1"/>
  <c r="L381" i="7"/>
  <c r="I381" i="7"/>
  <c r="H381" i="7"/>
  <c r="F381" i="7"/>
  <c r="C381" i="7"/>
  <c r="AC380" i="7"/>
  <c r="AD380" i="7" s="1"/>
  <c r="AA380" i="7"/>
  <c r="X380" i="7"/>
  <c r="W380" i="7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W379" i="7"/>
  <c r="X379" i="7" s="1"/>
  <c r="U379" i="7"/>
  <c r="R379" i="7"/>
  <c r="O379" i="7"/>
  <c r="N379" i="7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X377" i="7"/>
  <c r="W377" i="7"/>
  <c r="U377" i="7"/>
  <c r="R377" i="7"/>
  <c r="N377" i="7"/>
  <c r="O377" i="7" s="1"/>
  <c r="L377" i="7"/>
  <c r="I377" i="7"/>
  <c r="H377" i="7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I376" i="7"/>
  <c r="H376" i="7"/>
  <c r="F376" i="7"/>
  <c r="C376" i="7"/>
  <c r="AC375" i="7"/>
  <c r="AD375" i="7" s="1"/>
  <c r="AA375" i="7"/>
  <c r="W375" i="7"/>
  <c r="X375" i="7" s="1"/>
  <c r="U375" i="7"/>
  <c r="R375" i="7"/>
  <c r="O375" i="7"/>
  <c r="N375" i="7"/>
  <c r="L375" i="7"/>
  <c r="H375" i="7"/>
  <c r="I375" i="7" s="1"/>
  <c r="F375" i="7"/>
  <c r="C375" i="7"/>
  <c r="AD374" i="7"/>
  <c r="AC374" i="7"/>
  <c r="AA374" i="7"/>
  <c r="X374" i="7"/>
  <c r="W374" i="7"/>
  <c r="U374" i="7"/>
  <c r="R374" i="7"/>
  <c r="N374" i="7"/>
  <c r="O374" i="7" s="1"/>
  <c r="L374" i="7"/>
  <c r="H374" i="7"/>
  <c r="I374" i="7" s="1"/>
  <c r="F374" i="7"/>
  <c r="C374" i="7"/>
  <c r="AD373" i="7"/>
  <c r="AC373" i="7"/>
  <c r="AA373" i="7"/>
  <c r="X373" i="7"/>
  <c r="W373" i="7"/>
  <c r="U373" i="7"/>
  <c r="R373" i="7"/>
  <c r="N373" i="7"/>
  <c r="O373" i="7" s="1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N370" i="7"/>
  <c r="O370" i="7" s="1"/>
  <c r="L370" i="7"/>
  <c r="H370" i="7"/>
  <c r="I370" i="7" s="1"/>
  <c r="F370" i="7"/>
  <c r="C370" i="7"/>
  <c r="AD369" i="7"/>
  <c r="AC369" i="7"/>
  <c r="AA369" i="7"/>
  <c r="X369" i="7"/>
  <c r="W369" i="7"/>
  <c r="U369" i="7"/>
  <c r="R369" i="7"/>
  <c r="N369" i="7"/>
  <c r="O369" i="7" s="1"/>
  <c r="L369" i="7"/>
  <c r="I369" i="7"/>
  <c r="H369" i="7"/>
  <c r="F369" i="7"/>
  <c r="C369" i="7"/>
  <c r="Z368" i="7"/>
  <c r="AA368" i="7" s="1"/>
  <c r="T368" i="7"/>
  <c r="Q368" i="7"/>
  <c r="R368" i="7" s="1"/>
  <c r="O368" i="7"/>
  <c r="N368" i="7"/>
  <c r="L368" i="7"/>
  <c r="K368" i="7"/>
  <c r="H368" i="7"/>
  <c r="I368" i="7" s="1"/>
  <c r="E368" i="7"/>
  <c r="F368" i="7" s="1"/>
  <c r="B368" i="7"/>
  <c r="C368" i="7" s="1"/>
  <c r="AD367" i="7"/>
  <c r="AC367" i="7"/>
  <c r="AA367" i="7"/>
  <c r="X367" i="7"/>
  <c r="W367" i="7"/>
  <c r="U367" i="7"/>
  <c r="R367" i="7"/>
  <c r="N367" i="7"/>
  <c r="O367" i="7" s="1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N366" i="7"/>
  <c r="O366" i="7" s="1"/>
  <c r="L366" i="7"/>
  <c r="I366" i="7"/>
  <c r="H366" i="7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H364" i="7"/>
  <c r="I364" i="7" s="1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D362" i="7"/>
  <c r="AC362" i="7"/>
  <c r="AA362" i="7"/>
  <c r="X362" i="7"/>
  <c r="W362" i="7"/>
  <c r="U362" i="7"/>
  <c r="R362" i="7"/>
  <c r="N362" i="7"/>
  <c r="O362" i="7" s="1"/>
  <c r="L362" i="7"/>
  <c r="I362" i="7"/>
  <c r="H362" i="7"/>
  <c r="F362" i="7"/>
  <c r="C362" i="7"/>
  <c r="AC361" i="7"/>
  <c r="AD361" i="7" s="1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H360" i="7"/>
  <c r="I360" i="7" s="1"/>
  <c r="F360" i="7"/>
  <c r="C360" i="7"/>
  <c r="Z358" i="7"/>
  <c r="AA358" i="7" s="1"/>
  <c r="T358" i="7"/>
  <c r="U358" i="7" s="1"/>
  <c r="R358" i="7"/>
  <c r="Q358" i="7"/>
  <c r="K358" i="7"/>
  <c r="L358" i="7" s="1"/>
  <c r="F358" i="7"/>
  <c r="E358" i="7"/>
  <c r="B358" i="7"/>
  <c r="AC357" i="7"/>
  <c r="AD357" i="7" s="1"/>
  <c r="AA357" i="7"/>
  <c r="X357" i="7"/>
  <c r="W357" i="7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H356" i="7"/>
  <c r="I356" i="7" s="1"/>
  <c r="F356" i="7"/>
  <c r="C356" i="7"/>
  <c r="AC355" i="7"/>
  <c r="AD355" i="7" s="1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C354" i="7"/>
  <c r="AD354" i="7" s="1"/>
  <c r="AA354" i="7"/>
  <c r="X354" i="7"/>
  <c r="W354" i="7"/>
  <c r="U354" i="7"/>
  <c r="R354" i="7"/>
  <c r="N354" i="7"/>
  <c r="O354" i="7" s="1"/>
  <c r="L354" i="7"/>
  <c r="H354" i="7"/>
  <c r="I354" i="7" s="1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D350" i="7"/>
  <c r="AC350" i="7"/>
  <c r="AA350" i="7"/>
  <c r="X350" i="7"/>
  <c r="W350" i="7"/>
  <c r="U350" i="7"/>
  <c r="R350" i="7"/>
  <c r="O350" i="7"/>
  <c r="N350" i="7"/>
  <c r="L350" i="7"/>
  <c r="H350" i="7"/>
  <c r="I350" i="7" s="1"/>
  <c r="F350" i="7"/>
  <c r="C350" i="7"/>
  <c r="AC349" i="7"/>
  <c r="AD349" i="7" s="1"/>
  <c r="AA349" i="7"/>
  <c r="X349" i="7"/>
  <c r="W349" i="7"/>
  <c r="U349" i="7"/>
  <c r="R349" i="7"/>
  <c r="O349" i="7"/>
  <c r="N349" i="7"/>
  <c r="L349" i="7"/>
  <c r="I349" i="7"/>
  <c r="H349" i="7"/>
  <c r="F349" i="7"/>
  <c r="C349" i="7"/>
  <c r="AC347" i="7"/>
  <c r="AD347" i="7" s="1"/>
  <c r="AA347" i="7"/>
  <c r="W347" i="7"/>
  <c r="X347" i="7" s="1"/>
  <c r="U347" i="7"/>
  <c r="R347" i="7"/>
  <c r="O347" i="7"/>
  <c r="N347" i="7"/>
  <c r="L347" i="7"/>
  <c r="H347" i="7"/>
  <c r="I347" i="7" s="1"/>
  <c r="F347" i="7"/>
  <c r="C347" i="7"/>
  <c r="AC344" i="7"/>
  <c r="AD344" i="7" s="1"/>
  <c r="Z344" i="7"/>
  <c r="AA344" i="7" s="1"/>
  <c r="T344" i="7"/>
  <c r="Q344" i="7"/>
  <c r="R344" i="7" s="1"/>
  <c r="N344" i="7"/>
  <c r="O344" i="7" s="1"/>
  <c r="L344" i="7"/>
  <c r="K344" i="7"/>
  <c r="E344" i="7"/>
  <c r="F344" i="7" s="1"/>
  <c r="C344" i="7"/>
  <c r="B344" i="7"/>
  <c r="Z343" i="7"/>
  <c r="AA343" i="7" s="1"/>
  <c r="W343" i="7"/>
  <c r="X343" i="7" s="1"/>
  <c r="T343" i="7"/>
  <c r="U343" i="7" s="1"/>
  <c r="R343" i="7"/>
  <c r="Q343" i="7"/>
  <c r="N343" i="7"/>
  <c r="O343" i="7" s="1"/>
  <c r="K343" i="7"/>
  <c r="L343" i="7" s="1"/>
  <c r="H343" i="7"/>
  <c r="I343" i="7" s="1"/>
  <c r="E343" i="7"/>
  <c r="F343" i="7" s="1"/>
  <c r="B343" i="7"/>
  <c r="C343" i="7" s="1"/>
  <c r="Z342" i="7"/>
  <c r="AA342" i="7" s="1"/>
  <c r="X342" i="7"/>
  <c r="W342" i="7"/>
  <c r="T342" i="7"/>
  <c r="U342" i="7" s="1"/>
  <c r="Q342" i="7"/>
  <c r="R342" i="7" s="1"/>
  <c r="O342" i="7"/>
  <c r="L342" i="7"/>
  <c r="K342" i="7"/>
  <c r="E342" i="7"/>
  <c r="F342" i="7" s="1"/>
  <c r="B342" i="7"/>
  <c r="N342" i="7" s="1"/>
  <c r="AD341" i="7"/>
  <c r="AC341" i="7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D340" i="7"/>
  <c r="AC340" i="7"/>
  <c r="AA340" i="7"/>
  <c r="X340" i="7"/>
  <c r="W340" i="7"/>
  <c r="U340" i="7"/>
  <c r="R340" i="7"/>
  <c r="O340" i="7"/>
  <c r="N340" i="7"/>
  <c r="L340" i="7"/>
  <c r="H340" i="7"/>
  <c r="I340" i="7" s="1"/>
  <c r="F340" i="7"/>
  <c r="C340" i="7"/>
  <c r="AC339" i="7"/>
  <c r="AD339" i="7" s="1"/>
  <c r="AA339" i="7"/>
  <c r="X339" i="7"/>
  <c r="W339" i="7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N337" i="7"/>
  <c r="O337" i="7" s="1"/>
  <c r="L337" i="7"/>
  <c r="H337" i="7"/>
  <c r="I337" i="7" s="1"/>
  <c r="F337" i="7"/>
  <c r="C337" i="7"/>
  <c r="AC335" i="7"/>
  <c r="AD335" i="7" s="1"/>
  <c r="AA335" i="7"/>
  <c r="X335" i="7"/>
  <c r="W335" i="7"/>
  <c r="U335" i="7"/>
  <c r="R335" i="7"/>
  <c r="O335" i="7"/>
  <c r="N335" i="7"/>
  <c r="L335" i="7"/>
  <c r="H335" i="7"/>
  <c r="I335" i="7" s="1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O333" i="7"/>
  <c r="N333" i="7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N332" i="7"/>
  <c r="O332" i="7" s="1"/>
  <c r="L332" i="7"/>
  <c r="H332" i="7"/>
  <c r="I332" i="7" s="1"/>
  <c r="F332" i="7"/>
  <c r="C332" i="7"/>
  <c r="AD331" i="7"/>
  <c r="AC331" i="7"/>
  <c r="AA331" i="7"/>
  <c r="X331" i="7"/>
  <c r="W331" i="7"/>
  <c r="U331" i="7"/>
  <c r="R331" i="7"/>
  <c r="O331" i="7"/>
  <c r="N331" i="7"/>
  <c r="L331" i="7"/>
  <c r="H331" i="7"/>
  <c r="I331" i="7" s="1"/>
  <c r="F331" i="7"/>
  <c r="C331" i="7"/>
  <c r="AC330" i="7"/>
  <c r="AD330" i="7" s="1"/>
  <c r="AA330" i="7"/>
  <c r="X330" i="7"/>
  <c r="W330" i="7"/>
  <c r="U330" i="7"/>
  <c r="R330" i="7"/>
  <c r="O330" i="7"/>
  <c r="N330" i="7"/>
  <c r="L330" i="7"/>
  <c r="H330" i="7"/>
  <c r="I330" i="7" s="1"/>
  <c r="F330" i="7"/>
  <c r="C330" i="7"/>
  <c r="AD329" i="7"/>
  <c r="AC329" i="7"/>
  <c r="AA329" i="7"/>
  <c r="W329" i="7"/>
  <c r="X329" i="7" s="1"/>
  <c r="U329" i="7"/>
  <c r="R329" i="7"/>
  <c r="N329" i="7"/>
  <c r="O329" i="7" s="1"/>
  <c r="L329" i="7"/>
  <c r="H329" i="7"/>
  <c r="I329" i="7" s="1"/>
  <c r="F329" i="7"/>
  <c r="C329" i="7"/>
  <c r="AD328" i="7"/>
  <c r="AC328" i="7"/>
  <c r="AA328" i="7"/>
  <c r="X328" i="7"/>
  <c r="W328" i="7"/>
  <c r="U328" i="7"/>
  <c r="R328" i="7"/>
  <c r="N328" i="7"/>
  <c r="O328" i="7" s="1"/>
  <c r="L328" i="7"/>
  <c r="H328" i="7"/>
  <c r="I328" i="7" s="1"/>
  <c r="F328" i="7"/>
  <c r="C328" i="7"/>
  <c r="AA325" i="7"/>
  <c r="Z325" i="7"/>
  <c r="T325" i="7"/>
  <c r="U325" i="7" s="1"/>
  <c r="Q325" i="7"/>
  <c r="AC325" i="7" s="1"/>
  <c r="AD325" i="7" s="1"/>
  <c r="O325" i="7"/>
  <c r="K325" i="7"/>
  <c r="L325" i="7" s="1"/>
  <c r="E325" i="7"/>
  <c r="F325" i="7" s="1"/>
  <c r="B325" i="7"/>
  <c r="N325" i="7" s="1"/>
  <c r="Z324" i="7"/>
  <c r="AA324" i="7" s="1"/>
  <c r="T324" i="7"/>
  <c r="U324" i="7" s="1"/>
  <c r="R324" i="7"/>
  <c r="Q324" i="7"/>
  <c r="L324" i="7"/>
  <c r="K324" i="7"/>
  <c r="I324" i="7"/>
  <c r="H324" i="7"/>
  <c r="E324" i="7"/>
  <c r="F324" i="7" s="1"/>
  <c r="B324" i="7"/>
  <c r="C324" i="7" s="1"/>
  <c r="AD323" i="7"/>
  <c r="AC323" i="7"/>
  <c r="AA323" i="7"/>
  <c r="X323" i="7"/>
  <c r="W323" i="7"/>
  <c r="U323" i="7"/>
  <c r="R323" i="7"/>
  <c r="N323" i="7"/>
  <c r="O323" i="7" s="1"/>
  <c r="L323" i="7"/>
  <c r="H323" i="7"/>
  <c r="I323" i="7" s="1"/>
  <c r="F323" i="7"/>
  <c r="C323" i="7"/>
  <c r="AC322" i="7"/>
  <c r="AD322" i="7" s="1"/>
  <c r="AA322" i="7"/>
  <c r="W322" i="7"/>
  <c r="X322" i="7" s="1"/>
  <c r="U322" i="7"/>
  <c r="R322" i="7"/>
  <c r="O322" i="7"/>
  <c r="N322" i="7"/>
  <c r="L322" i="7"/>
  <c r="I322" i="7"/>
  <c r="H322" i="7"/>
  <c r="F322" i="7"/>
  <c r="C322" i="7"/>
  <c r="AC321" i="7"/>
  <c r="AD321" i="7" s="1"/>
  <c r="AA321" i="7"/>
  <c r="W321" i="7"/>
  <c r="X321" i="7" s="1"/>
  <c r="U321" i="7"/>
  <c r="R321" i="7"/>
  <c r="O321" i="7"/>
  <c r="N321" i="7"/>
  <c r="L321" i="7"/>
  <c r="H321" i="7"/>
  <c r="I321" i="7" s="1"/>
  <c r="F321" i="7"/>
  <c r="C321" i="7"/>
  <c r="AC320" i="7"/>
  <c r="AD320" i="7" s="1"/>
  <c r="AA320" i="7"/>
  <c r="X320" i="7"/>
  <c r="W320" i="7"/>
  <c r="U320" i="7"/>
  <c r="R320" i="7"/>
  <c r="N320" i="7"/>
  <c r="O320" i="7" s="1"/>
  <c r="L320" i="7"/>
  <c r="H320" i="7"/>
  <c r="I320" i="7" s="1"/>
  <c r="F320" i="7"/>
  <c r="C320" i="7"/>
  <c r="AD319" i="7"/>
  <c r="AC319" i="7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C318" i="7"/>
  <c r="AD318" i="7" s="1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N317" i="7"/>
  <c r="O317" i="7" s="1"/>
  <c r="L317" i="7"/>
  <c r="H317" i="7"/>
  <c r="I317" i="7" s="1"/>
  <c r="F317" i="7"/>
  <c r="C317" i="7"/>
  <c r="AD316" i="7"/>
  <c r="AC316" i="7"/>
  <c r="AA316" i="7"/>
  <c r="X316" i="7"/>
  <c r="W316" i="7"/>
  <c r="U316" i="7"/>
  <c r="R316" i="7"/>
  <c r="N316" i="7"/>
  <c r="O316" i="7" s="1"/>
  <c r="L316" i="7"/>
  <c r="H316" i="7"/>
  <c r="I316" i="7" s="1"/>
  <c r="F316" i="7"/>
  <c r="C316" i="7"/>
  <c r="AD315" i="7"/>
  <c r="AC315" i="7"/>
  <c r="AA315" i="7"/>
  <c r="X315" i="7"/>
  <c r="W315" i="7"/>
  <c r="U315" i="7"/>
  <c r="R315" i="7"/>
  <c r="N315" i="7"/>
  <c r="O315" i="7" s="1"/>
  <c r="L315" i="7"/>
  <c r="H315" i="7"/>
  <c r="I315" i="7" s="1"/>
  <c r="F315" i="7"/>
  <c r="C315" i="7"/>
  <c r="AC314" i="7"/>
  <c r="AD314" i="7" s="1"/>
  <c r="AA314" i="7"/>
  <c r="W314" i="7"/>
  <c r="X314" i="7" s="1"/>
  <c r="U314" i="7"/>
  <c r="R314" i="7"/>
  <c r="O314" i="7"/>
  <c r="N314" i="7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O313" i="7"/>
  <c r="N313" i="7"/>
  <c r="L313" i="7"/>
  <c r="H313" i="7"/>
  <c r="I313" i="7" s="1"/>
  <c r="F313" i="7"/>
  <c r="C313" i="7"/>
  <c r="AC312" i="7"/>
  <c r="AD312" i="7" s="1"/>
  <c r="AA312" i="7"/>
  <c r="X312" i="7"/>
  <c r="W312" i="7"/>
  <c r="U312" i="7"/>
  <c r="R312" i="7"/>
  <c r="N312" i="7"/>
  <c r="O312" i="7" s="1"/>
  <c r="L312" i="7"/>
  <c r="I312" i="7"/>
  <c r="H312" i="7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C310" i="7"/>
  <c r="AD310" i="7" s="1"/>
  <c r="AA310" i="7"/>
  <c r="W310" i="7"/>
  <c r="X310" i="7" s="1"/>
  <c r="U310" i="7"/>
  <c r="R310" i="7"/>
  <c r="O310" i="7"/>
  <c r="N310" i="7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H309" i="7"/>
  <c r="I309" i="7" s="1"/>
  <c r="F309" i="7"/>
  <c r="C309" i="7"/>
  <c r="AD308" i="7"/>
  <c r="AC308" i="7"/>
  <c r="AA308" i="7"/>
  <c r="X308" i="7"/>
  <c r="W308" i="7"/>
  <c r="U308" i="7"/>
  <c r="R308" i="7"/>
  <c r="N308" i="7"/>
  <c r="O308" i="7" s="1"/>
  <c r="L308" i="7"/>
  <c r="I308" i="7"/>
  <c r="H308" i="7"/>
  <c r="F308" i="7"/>
  <c r="C308" i="7"/>
  <c r="AD307" i="7"/>
  <c r="AC307" i="7"/>
  <c r="AA307" i="7"/>
  <c r="X307" i="7"/>
  <c r="W307" i="7"/>
  <c r="U307" i="7"/>
  <c r="R307" i="7"/>
  <c r="N307" i="7"/>
  <c r="O307" i="7" s="1"/>
  <c r="L307" i="7"/>
  <c r="I307" i="7"/>
  <c r="H307" i="7"/>
  <c r="F307" i="7"/>
  <c r="C307" i="7"/>
  <c r="AC306" i="7"/>
  <c r="AD306" i="7" s="1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D305" i="7"/>
  <c r="AC305" i="7"/>
  <c r="AA305" i="7"/>
  <c r="W305" i="7"/>
  <c r="X305" i="7" s="1"/>
  <c r="U305" i="7"/>
  <c r="R305" i="7"/>
  <c r="N305" i="7"/>
  <c r="O305" i="7" s="1"/>
  <c r="L305" i="7"/>
  <c r="H305" i="7"/>
  <c r="I305" i="7" s="1"/>
  <c r="F305" i="7"/>
  <c r="C305" i="7"/>
  <c r="AC304" i="7"/>
  <c r="AD304" i="7" s="1"/>
  <c r="AA304" i="7"/>
  <c r="X304" i="7"/>
  <c r="W304" i="7"/>
  <c r="U304" i="7"/>
  <c r="R304" i="7"/>
  <c r="N304" i="7"/>
  <c r="O304" i="7" s="1"/>
  <c r="L304" i="7"/>
  <c r="H304" i="7"/>
  <c r="I304" i="7" s="1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H301" i="7"/>
  <c r="I301" i="7" s="1"/>
  <c r="F301" i="7"/>
  <c r="C301" i="7"/>
  <c r="AC300" i="7"/>
  <c r="AD300" i="7" s="1"/>
  <c r="AA300" i="7"/>
  <c r="X300" i="7"/>
  <c r="W300" i="7"/>
  <c r="U300" i="7"/>
  <c r="R300" i="7"/>
  <c r="N300" i="7"/>
  <c r="O300" i="7" s="1"/>
  <c r="L300" i="7"/>
  <c r="I300" i="7"/>
  <c r="H300" i="7"/>
  <c r="F300" i="7"/>
  <c r="C300" i="7"/>
  <c r="AD299" i="7"/>
  <c r="AC299" i="7"/>
  <c r="AA299" i="7"/>
  <c r="W299" i="7"/>
  <c r="X299" i="7" s="1"/>
  <c r="U299" i="7"/>
  <c r="R299" i="7"/>
  <c r="N299" i="7"/>
  <c r="O299" i="7" s="1"/>
  <c r="L299" i="7"/>
  <c r="H299" i="7"/>
  <c r="I299" i="7" s="1"/>
  <c r="F299" i="7"/>
  <c r="C299" i="7"/>
  <c r="AC298" i="7"/>
  <c r="AD298" i="7" s="1"/>
  <c r="AA298" i="7"/>
  <c r="W298" i="7"/>
  <c r="X298" i="7" s="1"/>
  <c r="U298" i="7"/>
  <c r="R298" i="7"/>
  <c r="O298" i="7"/>
  <c r="N298" i="7"/>
  <c r="L298" i="7"/>
  <c r="I298" i="7"/>
  <c r="H298" i="7"/>
  <c r="F298" i="7"/>
  <c r="C298" i="7"/>
  <c r="AC297" i="7"/>
  <c r="AD297" i="7" s="1"/>
  <c r="AA297" i="7"/>
  <c r="W297" i="7"/>
  <c r="X297" i="7" s="1"/>
  <c r="U297" i="7"/>
  <c r="R297" i="7"/>
  <c r="O297" i="7"/>
  <c r="N297" i="7"/>
  <c r="L297" i="7"/>
  <c r="H297" i="7"/>
  <c r="I297" i="7" s="1"/>
  <c r="F297" i="7"/>
  <c r="C297" i="7"/>
  <c r="AC295" i="7"/>
  <c r="AD295" i="7" s="1"/>
  <c r="AA295" i="7"/>
  <c r="Z295" i="7"/>
  <c r="U295" i="7"/>
  <c r="T295" i="7"/>
  <c r="Q295" i="7"/>
  <c r="W295" i="7" s="1"/>
  <c r="X295" i="7" s="1"/>
  <c r="N295" i="7"/>
  <c r="O295" i="7" s="1"/>
  <c r="K295" i="7"/>
  <c r="L295" i="7" s="1"/>
  <c r="E295" i="7"/>
  <c r="F295" i="7" s="1"/>
  <c r="C295" i="7"/>
  <c r="B295" i="7"/>
  <c r="H295" i="7" s="1"/>
  <c r="I295" i="7" s="1"/>
  <c r="AC294" i="7"/>
  <c r="AD294" i="7" s="1"/>
  <c r="AA294" i="7"/>
  <c r="W294" i="7"/>
  <c r="X294" i="7" s="1"/>
  <c r="U294" i="7"/>
  <c r="R294" i="7"/>
  <c r="O294" i="7"/>
  <c r="N294" i="7"/>
  <c r="L294" i="7"/>
  <c r="I294" i="7"/>
  <c r="H294" i="7"/>
  <c r="F294" i="7"/>
  <c r="C294" i="7"/>
  <c r="AC293" i="7"/>
  <c r="AD293" i="7" s="1"/>
  <c r="AA293" i="7"/>
  <c r="W293" i="7"/>
  <c r="X293" i="7" s="1"/>
  <c r="U293" i="7"/>
  <c r="R293" i="7"/>
  <c r="O293" i="7"/>
  <c r="N293" i="7"/>
  <c r="L293" i="7"/>
  <c r="H293" i="7"/>
  <c r="I293" i="7" s="1"/>
  <c r="F293" i="7"/>
  <c r="C293" i="7"/>
  <c r="AD292" i="7"/>
  <c r="AC292" i="7"/>
  <c r="AA292" i="7"/>
  <c r="X292" i="7"/>
  <c r="W292" i="7"/>
  <c r="U292" i="7"/>
  <c r="R292" i="7"/>
  <c r="N292" i="7"/>
  <c r="O292" i="7" s="1"/>
  <c r="L292" i="7"/>
  <c r="H292" i="7"/>
  <c r="I292" i="7" s="1"/>
  <c r="F292" i="7"/>
  <c r="C292" i="7"/>
  <c r="AD291" i="7"/>
  <c r="AC291" i="7"/>
  <c r="AA291" i="7"/>
  <c r="X291" i="7"/>
  <c r="W291" i="7"/>
  <c r="U291" i="7"/>
  <c r="R291" i="7"/>
  <c r="N291" i="7"/>
  <c r="O291" i="7" s="1"/>
  <c r="L291" i="7"/>
  <c r="H291" i="7"/>
  <c r="I291" i="7" s="1"/>
  <c r="F291" i="7"/>
  <c r="C291" i="7"/>
  <c r="AC290" i="7"/>
  <c r="AD290" i="7" s="1"/>
  <c r="AA290" i="7"/>
  <c r="W290" i="7"/>
  <c r="X290" i="7" s="1"/>
  <c r="U290" i="7"/>
  <c r="R290" i="7"/>
  <c r="O290" i="7"/>
  <c r="N290" i="7"/>
  <c r="L290" i="7"/>
  <c r="I290" i="7"/>
  <c r="H290" i="7"/>
  <c r="F290" i="7"/>
  <c r="C290" i="7"/>
  <c r="AC289" i="7"/>
  <c r="AD289" i="7" s="1"/>
  <c r="AA289" i="7"/>
  <c r="W289" i="7"/>
  <c r="X289" i="7" s="1"/>
  <c r="U289" i="7"/>
  <c r="R289" i="7"/>
  <c r="N289" i="7"/>
  <c r="O289" i="7" s="1"/>
  <c r="L289" i="7"/>
  <c r="H289" i="7"/>
  <c r="I289" i="7" s="1"/>
  <c r="F289" i="7"/>
  <c r="C289" i="7"/>
  <c r="AD288" i="7"/>
  <c r="AC288" i="7"/>
  <c r="AA288" i="7"/>
  <c r="X288" i="7"/>
  <c r="W288" i="7"/>
  <c r="U288" i="7"/>
  <c r="R288" i="7"/>
  <c r="N288" i="7"/>
  <c r="O288" i="7" s="1"/>
  <c r="L288" i="7"/>
  <c r="I288" i="7"/>
  <c r="H288" i="7"/>
  <c r="F288" i="7"/>
  <c r="C288" i="7"/>
  <c r="AD287" i="7"/>
  <c r="AC287" i="7"/>
  <c r="AA287" i="7"/>
  <c r="X287" i="7"/>
  <c r="W287" i="7"/>
  <c r="U287" i="7"/>
  <c r="R287" i="7"/>
  <c r="N287" i="7"/>
  <c r="O287" i="7" s="1"/>
  <c r="L287" i="7"/>
  <c r="I287" i="7"/>
  <c r="H287" i="7"/>
  <c r="F287" i="7"/>
  <c r="C287" i="7"/>
  <c r="AC286" i="7"/>
  <c r="AD286" i="7" s="1"/>
  <c r="AA286" i="7"/>
  <c r="W286" i="7"/>
  <c r="X286" i="7" s="1"/>
  <c r="U286" i="7"/>
  <c r="R286" i="7"/>
  <c r="O286" i="7"/>
  <c r="N286" i="7"/>
  <c r="L286" i="7"/>
  <c r="I286" i="7"/>
  <c r="H286" i="7"/>
  <c r="F286" i="7"/>
  <c r="C286" i="7"/>
  <c r="Z284" i="7"/>
  <c r="AA284" i="7" s="1"/>
  <c r="T284" i="7"/>
  <c r="U284" i="7" s="1"/>
  <c r="Q284" i="7"/>
  <c r="L284" i="7"/>
  <c r="K284" i="7"/>
  <c r="I284" i="7"/>
  <c r="H284" i="7"/>
  <c r="E284" i="7"/>
  <c r="F284" i="7" s="1"/>
  <c r="B284" i="7"/>
  <c r="C284" i="7" s="1"/>
  <c r="AD283" i="7"/>
  <c r="AC283" i="7"/>
  <c r="AA283" i="7"/>
  <c r="X283" i="7"/>
  <c r="W283" i="7"/>
  <c r="U283" i="7"/>
  <c r="R283" i="7"/>
  <c r="N283" i="7"/>
  <c r="O283" i="7" s="1"/>
  <c r="L283" i="7"/>
  <c r="I283" i="7"/>
  <c r="H283" i="7"/>
  <c r="F283" i="7"/>
  <c r="C283" i="7"/>
  <c r="AC282" i="7"/>
  <c r="AD282" i="7" s="1"/>
  <c r="AA282" i="7"/>
  <c r="W282" i="7"/>
  <c r="X282" i="7" s="1"/>
  <c r="U282" i="7"/>
  <c r="R282" i="7"/>
  <c r="O282" i="7"/>
  <c r="N282" i="7"/>
  <c r="L282" i="7"/>
  <c r="I282" i="7"/>
  <c r="H282" i="7"/>
  <c r="F282" i="7"/>
  <c r="C282" i="7"/>
  <c r="AD281" i="7"/>
  <c r="AC281" i="7"/>
  <c r="AA281" i="7"/>
  <c r="W281" i="7"/>
  <c r="X281" i="7" s="1"/>
  <c r="U281" i="7"/>
  <c r="R281" i="7"/>
  <c r="O281" i="7"/>
  <c r="N281" i="7"/>
  <c r="L281" i="7"/>
  <c r="H281" i="7"/>
  <c r="I281" i="7" s="1"/>
  <c r="F281" i="7"/>
  <c r="C281" i="7"/>
  <c r="AC280" i="7"/>
  <c r="AD280" i="7" s="1"/>
  <c r="AA280" i="7"/>
  <c r="X280" i="7"/>
  <c r="W280" i="7"/>
  <c r="U280" i="7"/>
  <c r="R280" i="7"/>
  <c r="N280" i="7"/>
  <c r="O280" i="7" s="1"/>
  <c r="L280" i="7"/>
  <c r="H280" i="7"/>
  <c r="I280" i="7" s="1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I279" i="7"/>
  <c r="H279" i="7"/>
  <c r="F279" i="7"/>
  <c r="C279" i="7"/>
  <c r="AC278" i="7"/>
  <c r="AD278" i="7" s="1"/>
  <c r="AA278" i="7"/>
  <c r="W278" i="7"/>
  <c r="X278" i="7" s="1"/>
  <c r="U278" i="7"/>
  <c r="R278" i="7"/>
  <c r="O278" i="7"/>
  <c r="N278" i="7"/>
  <c r="L278" i="7"/>
  <c r="I278" i="7"/>
  <c r="H278" i="7"/>
  <c r="F278" i="7"/>
  <c r="C278" i="7"/>
  <c r="AD277" i="7"/>
  <c r="AC277" i="7"/>
  <c r="AA277" i="7"/>
  <c r="W277" i="7"/>
  <c r="X277" i="7" s="1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N276" i="7"/>
  <c r="O276" i="7" s="1"/>
  <c r="L276" i="7"/>
  <c r="H276" i="7"/>
  <c r="I276" i="7" s="1"/>
  <c r="F276" i="7"/>
  <c r="C276" i="7"/>
  <c r="AD275" i="7"/>
  <c r="AC275" i="7"/>
  <c r="AA275" i="7"/>
  <c r="X275" i="7"/>
  <c r="W275" i="7"/>
  <c r="U275" i="7"/>
  <c r="R275" i="7"/>
  <c r="N275" i="7"/>
  <c r="O275" i="7" s="1"/>
  <c r="L275" i="7"/>
  <c r="H275" i="7"/>
  <c r="I275" i="7" s="1"/>
  <c r="F275" i="7"/>
  <c r="C275" i="7"/>
  <c r="AA273" i="7"/>
  <c r="Z273" i="7"/>
  <c r="X273" i="7"/>
  <c r="W273" i="7"/>
  <c r="T273" i="7"/>
  <c r="U273" i="7" s="1"/>
  <c r="Q273" i="7"/>
  <c r="R273" i="7" s="1"/>
  <c r="K273" i="7"/>
  <c r="L273" i="7" s="1"/>
  <c r="I273" i="7"/>
  <c r="H273" i="7"/>
  <c r="E273" i="7"/>
  <c r="F273" i="7" s="1"/>
  <c r="C273" i="7"/>
  <c r="B273" i="7"/>
  <c r="AC272" i="7"/>
  <c r="AD272" i="7" s="1"/>
  <c r="AA272" i="7"/>
  <c r="X272" i="7"/>
  <c r="W272" i="7"/>
  <c r="U272" i="7"/>
  <c r="R272" i="7"/>
  <c r="N272" i="7"/>
  <c r="O272" i="7" s="1"/>
  <c r="L272" i="7"/>
  <c r="H272" i="7"/>
  <c r="I272" i="7" s="1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H271" i="7"/>
  <c r="I271" i="7" s="1"/>
  <c r="F271" i="7"/>
  <c r="C271" i="7"/>
  <c r="AC270" i="7"/>
  <c r="AD270" i="7" s="1"/>
  <c r="AA270" i="7"/>
  <c r="W270" i="7"/>
  <c r="X270" i="7" s="1"/>
  <c r="U270" i="7"/>
  <c r="R270" i="7"/>
  <c r="O270" i="7"/>
  <c r="N270" i="7"/>
  <c r="L270" i="7"/>
  <c r="I270" i="7"/>
  <c r="H270" i="7"/>
  <c r="F270" i="7"/>
  <c r="C270" i="7"/>
  <c r="AC269" i="7"/>
  <c r="AD269" i="7" s="1"/>
  <c r="AA269" i="7"/>
  <c r="W269" i="7"/>
  <c r="X269" i="7" s="1"/>
  <c r="U269" i="7"/>
  <c r="R269" i="7"/>
  <c r="O269" i="7"/>
  <c r="N269" i="7"/>
  <c r="L269" i="7"/>
  <c r="H269" i="7"/>
  <c r="I269" i="7" s="1"/>
  <c r="F269" i="7"/>
  <c r="C269" i="7"/>
  <c r="AC267" i="7"/>
  <c r="AD267" i="7" s="1"/>
  <c r="AA267" i="7"/>
  <c r="Z267" i="7"/>
  <c r="U267" i="7"/>
  <c r="T267" i="7"/>
  <c r="R267" i="7"/>
  <c r="Q267" i="7"/>
  <c r="W267" i="7" s="1"/>
  <c r="X267" i="7" s="1"/>
  <c r="N267" i="7"/>
  <c r="O267" i="7" s="1"/>
  <c r="K267" i="7"/>
  <c r="L267" i="7" s="1"/>
  <c r="E267" i="7"/>
  <c r="F267" i="7" s="1"/>
  <c r="C267" i="7"/>
  <c r="B267" i="7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C265" i="7"/>
  <c r="AD265" i="7" s="1"/>
  <c r="AA265" i="7"/>
  <c r="W265" i="7"/>
  <c r="X265" i="7" s="1"/>
  <c r="U265" i="7"/>
  <c r="R265" i="7"/>
  <c r="O265" i="7"/>
  <c r="N265" i="7"/>
  <c r="L265" i="7"/>
  <c r="H265" i="7"/>
  <c r="I265" i="7" s="1"/>
  <c r="F265" i="7"/>
  <c r="C265" i="7"/>
  <c r="AC263" i="7"/>
  <c r="AD263" i="7" s="1"/>
  <c r="AA263" i="7"/>
  <c r="Z263" i="7"/>
  <c r="U263" i="7"/>
  <c r="T263" i="7"/>
  <c r="Q263" i="7"/>
  <c r="W263" i="7" s="1"/>
  <c r="X263" i="7" s="1"/>
  <c r="N263" i="7"/>
  <c r="O263" i="7" s="1"/>
  <c r="K263" i="7"/>
  <c r="L263" i="7" s="1"/>
  <c r="E263" i="7"/>
  <c r="F263" i="7" s="1"/>
  <c r="B263" i="7"/>
  <c r="H263" i="7" s="1"/>
  <c r="I263" i="7" s="1"/>
  <c r="AA262" i="7"/>
  <c r="Z262" i="7"/>
  <c r="T262" i="7"/>
  <c r="Q262" i="7"/>
  <c r="R262" i="7" s="1"/>
  <c r="K262" i="7"/>
  <c r="L262" i="7" s="1"/>
  <c r="I262" i="7"/>
  <c r="H262" i="7"/>
  <c r="E262" i="7"/>
  <c r="F262" i="7" s="1"/>
  <c r="C262" i="7"/>
  <c r="B262" i="7"/>
  <c r="N262" i="7" s="1"/>
  <c r="O262" i="7" s="1"/>
  <c r="AD261" i="7"/>
  <c r="AC261" i="7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X260" i="7"/>
  <c r="W260" i="7"/>
  <c r="U260" i="7"/>
  <c r="R260" i="7"/>
  <c r="N260" i="7"/>
  <c r="O260" i="7" s="1"/>
  <c r="L260" i="7"/>
  <c r="H260" i="7"/>
  <c r="I260" i="7" s="1"/>
  <c r="F260" i="7"/>
  <c r="C260" i="7"/>
  <c r="AC259" i="7"/>
  <c r="AD259" i="7" s="1"/>
  <c r="AA259" i="7"/>
  <c r="W259" i="7"/>
  <c r="X259" i="7" s="1"/>
  <c r="U259" i="7"/>
  <c r="R259" i="7"/>
  <c r="O259" i="7"/>
  <c r="N259" i="7"/>
  <c r="L259" i="7"/>
  <c r="I259" i="7"/>
  <c r="H259" i="7"/>
  <c r="F259" i="7"/>
  <c r="C259" i="7"/>
  <c r="AC258" i="7"/>
  <c r="AD258" i="7" s="1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N257" i="7"/>
  <c r="O257" i="7" s="1"/>
  <c r="L257" i="7"/>
  <c r="I257" i="7"/>
  <c r="H257" i="7"/>
  <c r="F257" i="7"/>
  <c r="C257" i="7"/>
  <c r="AD256" i="7"/>
  <c r="AC256" i="7"/>
  <c r="AA256" i="7"/>
  <c r="X256" i="7"/>
  <c r="W256" i="7"/>
  <c r="U256" i="7"/>
  <c r="R256" i="7"/>
  <c r="N256" i="7"/>
  <c r="O256" i="7" s="1"/>
  <c r="L256" i="7"/>
  <c r="I256" i="7"/>
  <c r="H256" i="7"/>
  <c r="F256" i="7"/>
  <c r="C256" i="7"/>
  <c r="AC255" i="7"/>
  <c r="AD255" i="7" s="1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D254" i="7"/>
  <c r="AC254" i="7"/>
  <c r="AA254" i="7"/>
  <c r="W254" i="7"/>
  <c r="X254" i="7" s="1"/>
  <c r="U254" i="7"/>
  <c r="R254" i="7"/>
  <c r="O254" i="7"/>
  <c r="N254" i="7"/>
  <c r="L254" i="7"/>
  <c r="H254" i="7"/>
  <c r="I254" i="7" s="1"/>
  <c r="F254" i="7"/>
  <c r="C254" i="7"/>
  <c r="AC253" i="7"/>
  <c r="AD253" i="7" s="1"/>
  <c r="AA253" i="7"/>
  <c r="X253" i="7"/>
  <c r="W253" i="7"/>
  <c r="U253" i="7"/>
  <c r="R253" i="7"/>
  <c r="N253" i="7"/>
  <c r="O253" i="7" s="1"/>
  <c r="L253" i="7"/>
  <c r="H253" i="7"/>
  <c r="I253" i="7" s="1"/>
  <c r="F253" i="7"/>
  <c r="C253" i="7"/>
  <c r="AD252" i="7"/>
  <c r="AC252" i="7"/>
  <c r="AA252" i="7"/>
  <c r="W252" i="7"/>
  <c r="X252" i="7" s="1"/>
  <c r="U252" i="7"/>
  <c r="R252" i="7"/>
  <c r="N252" i="7"/>
  <c r="O252" i="7" s="1"/>
  <c r="L252" i="7"/>
  <c r="I252" i="7"/>
  <c r="H252" i="7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D250" i="7"/>
  <c r="AC250" i="7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N249" i="7"/>
  <c r="O249" i="7" s="1"/>
  <c r="L249" i="7"/>
  <c r="I249" i="7"/>
  <c r="H249" i="7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H248" i="7"/>
  <c r="I248" i="7" s="1"/>
  <c r="F248" i="7"/>
  <c r="C248" i="7"/>
  <c r="AC247" i="7"/>
  <c r="AD247" i="7" s="1"/>
  <c r="AA247" i="7"/>
  <c r="W247" i="7"/>
  <c r="X247" i="7" s="1"/>
  <c r="U247" i="7"/>
  <c r="R247" i="7"/>
  <c r="O247" i="7"/>
  <c r="N247" i="7"/>
  <c r="L247" i="7"/>
  <c r="I247" i="7"/>
  <c r="H247" i="7"/>
  <c r="F247" i="7"/>
  <c r="C247" i="7"/>
  <c r="AC246" i="7"/>
  <c r="AD246" i="7" s="1"/>
  <c r="AA246" i="7"/>
  <c r="W246" i="7"/>
  <c r="X246" i="7" s="1"/>
  <c r="U246" i="7"/>
  <c r="R246" i="7"/>
  <c r="O246" i="7"/>
  <c r="N246" i="7"/>
  <c r="L246" i="7"/>
  <c r="H246" i="7"/>
  <c r="I246" i="7" s="1"/>
  <c r="F246" i="7"/>
  <c r="C246" i="7"/>
  <c r="AC245" i="7"/>
  <c r="AD245" i="7" s="1"/>
  <c r="AA245" i="7"/>
  <c r="X245" i="7"/>
  <c r="W245" i="7"/>
  <c r="U245" i="7"/>
  <c r="R245" i="7"/>
  <c r="N245" i="7"/>
  <c r="O245" i="7" s="1"/>
  <c r="L245" i="7"/>
  <c r="I245" i="7"/>
  <c r="H245" i="7"/>
  <c r="F245" i="7"/>
  <c r="C245" i="7"/>
  <c r="AD244" i="7"/>
  <c r="AC244" i="7"/>
  <c r="AA244" i="7"/>
  <c r="W244" i="7"/>
  <c r="X244" i="7" s="1"/>
  <c r="U244" i="7"/>
  <c r="R244" i="7"/>
  <c r="N244" i="7"/>
  <c r="O244" i="7" s="1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I243" i="7"/>
  <c r="H243" i="7"/>
  <c r="F243" i="7"/>
  <c r="C243" i="7"/>
  <c r="AD242" i="7"/>
  <c r="AC242" i="7"/>
  <c r="AA242" i="7"/>
  <c r="W242" i="7"/>
  <c r="X242" i="7" s="1"/>
  <c r="U242" i="7"/>
  <c r="R242" i="7"/>
  <c r="N242" i="7"/>
  <c r="O242" i="7" s="1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N241" i="7"/>
  <c r="O241" i="7" s="1"/>
  <c r="L241" i="7"/>
  <c r="I241" i="7"/>
  <c r="H241" i="7"/>
  <c r="F241" i="7"/>
  <c r="C241" i="7"/>
  <c r="AD240" i="7"/>
  <c r="AC240" i="7"/>
  <c r="AA240" i="7"/>
  <c r="X240" i="7"/>
  <c r="W240" i="7"/>
  <c r="U240" i="7"/>
  <c r="R240" i="7"/>
  <c r="N240" i="7"/>
  <c r="O240" i="7" s="1"/>
  <c r="L240" i="7"/>
  <c r="H240" i="7"/>
  <c r="I240" i="7" s="1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I238" i="7"/>
  <c r="H238" i="7"/>
  <c r="F238" i="7"/>
  <c r="C238" i="7"/>
  <c r="AC236" i="7"/>
  <c r="AD236" i="7" s="1"/>
  <c r="Z236" i="7"/>
  <c r="AA236" i="7" s="1"/>
  <c r="T236" i="7"/>
  <c r="U236" i="7" s="1"/>
  <c r="R236" i="7"/>
  <c r="Q236" i="7"/>
  <c r="W236" i="7" s="1"/>
  <c r="X236" i="7" s="1"/>
  <c r="L236" i="7"/>
  <c r="K236" i="7"/>
  <c r="I236" i="7"/>
  <c r="H236" i="7"/>
  <c r="E236" i="7"/>
  <c r="F236" i="7" s="1"/>
  <c r="B236" i="7"/>
  <c r="C236" i="7" s="1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I234" i="7"/>
  <c r="H234" i="7"/>
  <c r="F234" i="7"/>
  <c r="C234" i="7"/>
  <c r="AC233" i="7"/>
  <c r="AD233" i="7" s="1"/>
  <c r="AA233" i="7"/>
  <c r="X233" i="7"/>
  <c r="W233" i="7"/>
  <c r="U233" i="7"/>
  <c r="R233" i="7"/>
  <c r="O233" i="7"/>
  <c r="N233" i="7"/>
  <c r="L233" i="7"/>
  <c r="H233" i="7"/>
  <c r="I233" i="7" s="1"/>
  <c r="F233" i="7"/>
  <c r="C233" i="7"/>
  <c r="AC232" i="7"/>
  <c r="AD232" i="7" s="1"/>
  <c r="AA232" i="7"/>
  <c r="X232" i="7"/>
  <c r="W232" i="7"/>
  <c r="U232" i="7"/>
  <c r="R232" i="7"/>
  <c r="N232" i="7"/>
  <c r="O232" i="7" s="1"/>
  <c r="L232" i="7"/>
  <c r="I232" i="7"/>
  <c r="H232" i="7"/>
  <c r="F232" i="7"/>
  <c r="C232" i="7"/>
  <c r="AD231" i="7"/>
  <c r="AC231" i="7"/>
  <c r="AA231" i="7"/>
  <c r="W231" i="7"/>
  <c r="X231" i="7" s="1"/>
  <c r="U231" i="7"/>
  <c r="R231" i="7"/>
  <c r="O231" i="7"/>
  <c r="N231" i="7"/>
  <c r="L231" i="7"/>
  <c r="H231" i="7"/>
  <c r="I231" i="7" s="1"/>
  <c r="F231" i="7"/>
  <c r="C231" i="7"/>
  <c r="AC230" i="7"/>
  <c r="AD230" i="7" s="1"/>
  <c r="AA230" i="7"/>
  <c r="W230" i="7"/>
  <c r="X230" i="7" s="1"/>
  <c r="U230" i="7"/>
  <c r="R230" i="7"/>
  <c r="O230" i="7"/>
  <c r="N230" i="7"/>
  <c r="L230" i="7"/>
  <c r="I230" i="7"/>
  <c r="H230" i="7"/>
  <c r="F230" i="7"/>
  <c r="C230" i="7"/>
  <c r="AC229" i="7"/>
  <c r="AD229" i="7" s="1"/>
  <c r="AA229" i="7"/>
  <c r="W229" i="7"/>
  <c r="X229" i="7" s="1"/>
  <c r="U229" i="7"/>
  <c r="R229" i="7"/>
  <c r="O229" i="7"/>
  <c r="N229" i="7"/>
  <c r="L229" i="7"/>
  <c r="H229" i="7"/>
  <c r="I229" i="7" s="1"/>
  <c r="F229" i="7"/>
  <c r="C229" i="7"/>
  <c r="AA227" i="7"/>
  <c r="Z227" i="7"/>
  <c r="U227" i="7"/>
  <c r="T227" i="7"/>
  <c r="Q227" i="7"/>
  <c r="O227" i="7"/>
  <c r="K227" i="7"/>
  <c r="L227" i="7" s="1"/>
  <c r="E227" i="7"/>
  <c r="F227" i="7" s="1"/>
  <c r="C227" i="7"/>
  <c r="B227" i="7"/>
  <c r="N227" i="7" s="1"/>
  <c r="AD226" i="7"/>
  <c r="AC226" i="7"/>
  <c r="AA226" i="7"/>
  <c r="X226" i="7"/>
  <c r="W226" i="7"/>
  <c r="U226" i="7"/>
  <c r="R226" i="7"/>
  <c r="O226" i="7"/>
  <c r="N226" i="7"/>
  <c r="L226" i="7"/>
  <c r="H226" i="7"/>
  <c r="I226" i="7" s="1"/>
  <c r="F226" i="7"/>
  <c r="C226" i="7"/>
  <c r="AD225" i="7"/>
  <c r="AC225" i="7"/>
  <c r="AA225" i="7"/>
  <c r="W225" i="7"/>
  <c r="X225" i="7" s="1"/>
  <c r="U225" i="7"/>
  <c r="R225" i="7"/>
  <c r="O225" i="7"/>
  <c r="N225" i="7"/>
  <c r="L225" i="7"/>
  <c r="I225" i="7"/>
  <c r="H225" i="7"/>
  <c r="F225" i="7"/>
  <c r="C225" i="7"/>
  <c r="AC224" i="7"/>
  <c r="AD224" i="7" s="1"/>
  <c r="AA224" i="7"/>
  <c r="X224" i="7"/>
  <c r="W224" i="7"/>
  <c r="U224" i="7"/>
  <c r="R224" i="7"/>
  <c r="O224" i="7"/>
  <c r="N224" i="7"/>
  <c r="L224" i="7"/>
  <c r="H224" i="7"/>
  <c r="I224" i="7" s="1"/>
  <c r="F224" i="7"/>
  <c r="C224" i="7"/>
  <c r="AC223" i="7"/>
  <c r="AD223" i="7" s="1"/>
  <c r="AA223" i="7"/>
  <c r="W223" i="7"/>
  <c r="X223" i="7" s="1"/>
  <c r="U223" i="7"/>
  <c r="R223" i="7"/>
  <c r="N223" i="7"/>
  <c r="O223" i="7" s="1"/>
  <c r="L223" i="7"/>
  <c r="H223" i="7"/>
  <c r="I223" i="7" s="1"/>
  <c r="F223" i="7"/>
  <c r="C223" i="7"/>
  <c r="AD222" i="7"/>
  <c r="AC222" i="7"/>
  <c r="AA222" i="7"/>
  <c r="W222" i="7"/>
  <c r="X222" i="7" s="1"/>
  <c r="U222" i="7"/>
  <c r="R222" i="7"/>
  <c r="O222" i="7"/>
  <c r="N222" i="7"/>
  <c r="L222" i="7"/>
  <c r="H222" i="7"/>
  <c r="I222" i="7" s="1"/>
  <c r="F222" i="7"/>
  <c r="C222" i="7"/>
  <c r="AC221" i="7"/>
  <c r="AD221" i="7" s="1"/>
  <c r="AA221" i="7"/>
  <c r="W221" i="7"/>
  <c r="X221" i="7" s="1"/>
  <c r="U221" i="7"/>
  <c r="R221" i="7"/>
  <c r="N221" i="7"/>
  <c r="O221" i="7" s="1"/>
  <c r="L221" i="7"/>
  <c r="I221" i="7"/>
  <c r="H221" i="7"/>
  <c r="F221" i="7"/>
  <c r="C221" i="7"/>
  <c r="AD220" i="7"/>
  <c r="AC220" i="7"/>
  <c r="AA220" i="7"/>
  <c r="X220" i="7"/>
  <c r="W220" i="7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X219" i="7"/>
  <c r="W219" i="7"/>
  <c r="U219" i="7"/>
  <c r="R219" i="7"/>
  <c r="N219" i="7"/>
  <c r="O219" i="7" s="1"/>
  <c r="L219" i="7"/>
  <c r="H219" i="7"/>
  <c r="I219" i="7" s="1"/>
  <c r="F219" i="7"/>
  <c r="C219" i="7"/>
  <c r="Z218" i="7"/>
  <c r="AA218" i="7" s="1"/>
  <c r="T218" i="7"/>
  <c r="R218" i="7"/>
  <c r="Q218" i="7"/>
  <c r="N218" i="7"/>
  <c r="O218" i="7" s="1"/>
  <c r="L218" i="7"/>
  <c r="K218" i="7"/>
  <c r="I218" i="7"/>
  <c r="H218" i="7"/>
  <c r="F218" i="7"/>
  <c r="E218" i="7"/>
  <c r="B218" i="7"/>
  <c r="C218" i="7" s="1"/>
  <c r="AD217" i="7"/>
  <c r="AC217" i="7"/>
  <c r="AA217" i="7"/>
  <c r="X217" i="7"/>
  <c r="W217" i="7"/>
  <c r="U217" i="7"/>
  <c r="R217" i="7"/>
  <c r="N217" i="7"/>
  <c r="O217" i="7" s="1"/>
  <c r="L217" i="7"/>
  <c r="I217" i="7"/>
  <c r="H217" i="7"/>
  <c r="F217" i="7"/>
  <c r="C217" i="7"/>
  <c r="AC216" i="7"/>
  <c r="AD216" i="7" s="1"/>
  <c r="AA216" i="7"/>
  <c r="X216" i="7"/>
  <c r="W216" i="7"/>
  <c r="U216" i="7"/>
  <c r="R216" i="7"/>
  <c r="N216" i="7"/>
  <c r="O216" i="7" s="1"/>
  <c r="L216" i="7"/>
  <c r="I216" i="7"/>
  <c r="H216" i="7"/>
  <c r="F216" i="7"/>
  <c r="C216" i="7"/>
  <c r="AD215" i="7"/>
  <c r="AC215" i="7"/>
  <c r="AA215" i="7"/>
  <c r="X215" i="7"/>
  <c r="W215" i="7"/>
  <c r="U215" i="7"/>
  <c r="R215" i="7"/>
  <c r="O215" i="7"/>
  <c r="N215" i="7"/>
  <c r="L215" i="7"/>
  <c r="H215" i="7"/>
  <c r="I215" i="7" s="1"/>
  <c r="F215" i="7"/>
  <c r="C215" i="7"/>
  <c r="AC214" i="7"/>
  <c r="AD214" i="7" s="1"/>
  <c r="AA214" i="7"/>
  <c r="W214" i="7"/>
  <c r="X214" i="7" s="1"/>
  <c r="U214" i="7"/>
  <c r="R214" i="7"/>
  <c r="O214" i="7"/>
  <c r="N214" i="7"/>
  <c r="L214" i="7"/>
  <c r="I214" i="7"/>
  <c r="H214" i="7"/>
  <c r="F214" i="7"/>
  <c r="C214" i="7"/>
  <c r="AC213" i="7"/>
  <c r="AD213" i="7" s="1"/>
  <c r="AA213" i="7"/>
  <c r="W213" i="7"/>
  <c r="X213" i="7" s="1"/>
  <c r="U213" i="7"/>
  <c r="R213" i="7"/>
  <c r="O213" i="7"/>
  <c r="N213" i="7"/>
  <c r="L213" i="7"/>
  <c r="I213" i="7"/>
  <c r="H213" i="7"/>
  <c r="F213" i="7"/>
  <c r="C213" i="7"/>
  <c r="AC211" i="7"/>
  <c r="AD211" i="7" s="1"/>
  <c r="AA211" i="7"/>
  <c r="W211" i="7"/>
  <c r="X211" i="7" s="1"/>
  <c r="U211" i="7"/>
  <c r="R211" i="7"/>
  <c r="N211" i="7"/>
  <c r="O211" i="7" s="1"/>
  <c r="L211" i="7"/>
  <c r="I211" i="7"/>
  <c r="H211" i="7"/>
  <c r="F211" i="7"/>
  <c r="C211" i="7"/>
  <c r="Z209" i="7"/>
  <c r="AA209" i="7" s="1"/>
  <c r="T209" i="7"/>
  <c r="R209" i="7"/>
  <c r="Q209" i="7"/>
  <c r="AC209" i="7" s="1"/>
  <c r="AD209" i="7" s="1"/>
  <c r="K209" i="7"/>
  <c r="L209" i="7" s="1"/>
  <c r="F209" i="7"/>
  <c r="E209" i="7"/>
  <c r="B209" i="7"/>
  <c r="AD208" i="7"/>
  <c r="AC208" i="7"/>
  <c r="AA208" i="7"/>
  <c r="W208" i="7"/>
  <c r="X208" i="7" s="1"/>
  <c r="U208" i="7"/>
  <c r="R208" i="7"/>
  <c r="O208" i="7"/>
  <c r="N208" i="7"/>
  <c r="L208" i="7"/>
  <c r="I208" i="7"/>
  <c r="H208" i="7"/>
  <c r="F208" i="7"/>
  <c r="C208" i="7"/>
  <c r="AC207" i="7"/>
  <c r="AD207" i="7" s="1"/>
  <c r="AA207" i="7"/>
  <c r="X207" i="7"/>
  <c r="W207" i="7"/>
  <c r="U207" i="7"/>
  <c r="R207" i="7"/>
  <c r="N207" i="7"/>
  <c r="O207" i="7" s="1"/>
  <c r="L207" i="7"/>
  <c r="H207" i="7"/>
  <c r="I207" i="7" s="1"/>
  <c r="F207" i="7"/>
  <c r="C207" i="7"/>
  <c r="AD206" i="7"/>
  <c r="AC206" i="7"/>
  <c r="AA206" i="7"/>
  <c r="X206" i="7"/>
  <c r="W206" i="7"/>
  <c r="U206" i="7"/>
  <c r="R206" i="7"/>
  <c r="N206" i="7"/>
  <c r="O206" i="7" s="1"/>
  <c r="L206" i="7"/>
  <c r="H206" i="7"/>
  <c r="I206" i="7" s="1"/>
  <c r="F206" i="7"/>
  <c r="C206" i="7"/>
  <c r="AD205" i="7"/>
  <c r="AC205" i="7"/>
  <c r="AA205" i="7"/>
  <c r="W205" i="7"/>
  <c r="X205" i="7" s="1"/>
  <c r="U205" i="7"/>
  <c r="R205" i="7"/>
  <c r="O205" i="7"/>
  <c r="N205" i="7"/>
  <c r="L205" i="7"/>
  <c r="I205" i="7"/>
  <c r="H205" i="7"/>
  <c r="F205" i="7"/>
  <c r="C205" i="7"/>
  <c r="AC204" i="7"/>
  <c r="AD204" i="7" s="1"/>
  <c r="AA204" i="7"/>
  <c r="X204" i="7"/>
  <c r="W204" i="7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X203" i="7"/>
  <c r="W203" i="7"/>
  <c r="U203" i="7"/>
  <c r="R203" i="7"/>
  <c r="N203" i="7"/>
  <c r="O203" i="7" s="1"/>
  <c r="L203" i="7"/>
  <c r="I203" i="7"/>
  <c r="H203" i="7"/>
  <c r="F203" i="7"/>
  <c r="C203" i="7"/>
  <c r="AD202" i="7"/>
  <c r="AC202" i="7"/>
  <c r="AA202" i="7"/>
  <c r="W202" i="7"/>
  <c r="X202" i="7" s="1"/>
  <c r="U202" i="7"/>
  <c r="R202" i="7"/>
  <c r="O202" i="7"/>
  <c r="N202" i="7"/>
  <c r="L202" i="7"/>
  <c r="H202" i="7"/>
  <c r="I202" i="7" s="1"/>
  <c r="F202" i="7"/>
  <c r="C202" i="7"/>
  <c r="AD201" i="7"/>
  <c r="AC201" i="7"/>
  <c r="AA201" i="7"/>
  <c r="W201" i="7"/>
  <c r="X201" i="7" s="1"/>
  <c r="U201" i="7"/>
  <c r="R201" i="7"/>
  <c r="N201" i="7"/>
  <c r="O201" i="7" s="1"/>
  <c r="L201" i="7"/>
  <c r="I201" i="7"/>
  <c r="H201" i="7"/>
  <c r="F201" i="7"/>
  <c r="C201" i="7"/>
  <c r="Z197" i="7"/>
  <c r="AA197" i="7" s="1"/>
  <c r="T197" i="7"/>
  <c r="R197" i="7"/>
  <c r="Q197" i="7"/>
  <c r="AC197" i="7" s="1"/>
  <c r="AD197" i="7" s="1"/>
  <c r="K197" i="7"/>
  <c r="L197" i="7" s="1"/>
  <c r="F197" i="7"/>
  <c r="E197" i="7"/>
  <c r="B197" i="7"/>
  <c r="Z196" i="7"/>
  <c r="AA196" i="7" s="1"/>
  <c r="T196" i="7"/>
  <c r="U196" i="7" s="1"/>
  <c r="Q196" i="7"/>
  <c r="L196" i="7"/>
  <c r="K196" i="7"/>
  <c r="H196" i="7"/>
  <c r="I196" i="7" s="1"/>
  <c r="F196" i="7"/>
  <c r="E196" i="7"/>
  <c r="C196" i="7"/>
  <c r="B196" i="7"/>
  <c r="N196" i="7" s="1"/>
  <c r="O196" i="7" s="1"/>
  <c r="AD195" i="7"/>
  <c r="AC195" i="7"/>
  <c r="AA195" i="7"/>
  <c r="X195" i="7"/>
  <c r="W195" i="7"/>
  <c r="U195" i="7"/>
  <c r="R195" i="7"/>
  <c r="O195" i="7"/>
  <c r="N195" i="7"/>
  <c r="L195" i="7"/>
  <c r="H195" i="7"/>
  <c r="I195" i="7" s="1"/>
  <c r="F195" i="7"/>
  <c r="C195" i="7"/>
  <c r="AC194" i="7"/>
  <c r="AD194" i="7" s="1"/>
  <c r="AA194" i="7"/>
  <c r="W194" i="7"/>
  <c r="X194" i="7" s="1"/>
  <c r="U194" i="7"/>
  <c r="R194" i="7"/>
  <c r="N194" i="7"/>
  <c r="O194" i="7" s="1"/>
  <c r="L194" i="7"/>
  <c r="I194" i="7"/>
  <c r="H194" i="7"/>
  <c r="F194" i="7"/>
  <c r="C194" i="7"/>
  <c r="AA193" i="7"/>
  <c r="Z193" i="7"/>
  <c r="T193" i="7"/>
  <c r="U193" i="7" s="1"/>
  <c r="Q193" i="7"/>
  <c r="N193" i="7"/>
  <c r="O193" i="7" s="1"/>
  <c r="L193" i="7"/>
  <c r="K193" i="7"/>
  <c r="H193" i="7"/>
  <c r="I193" i="7" s="1"/>
  <c r="F193" i="7"/>
  <c r="E193" i="7"/>
  <c r="C193" i="7"/>
  <c r="B193" i="7"/>
  <c r="AD192" i="7"/>
  <c r="AC192" i="7"/>
  <c r="AA192" i="7"/>
  <c r="X192" i="7"/>
  <c r="W192" i="7"/>
  <c r="U192" i="7"/>
  <c r="R192" i="7"/>
  <c r="N192" i="7"/>
  <c r="O192" i="7" s="1"/>
  <c r="L192" i="7"/>
  <c r="H192" i="7"/>
  <c r="I192" i="7" s="1"/>
  <c r="F192" i="7"/>
  <c r="C192" i="7"/>
  <c r="AC191" i="7"/>
  <c r="AD191" i="7" s="1"/>
  <c r="AA191" i="7"/>
  <c r="W191" i="7"/>
  <c r="X191" i="7" s="1"/>
  <c r="U191" i="7"/>
  <c r="R191" i="7"/>
  <c r="O191" i="7"/>
  <c r="N191" i="7"/>
  <c r="L191" i="7"/>
  <c r="I191" i="7"/>
  <c r="H191" i="7"/>
  <c r="F191" i="7"/>
  <c r="C191" i="7"/>
  <c r="AC190" i="7"/>
  <c r="AD190" i="7" s="1"/>
  <c r="AA190" i="7"/>
  <c r="W190" i="7"/>
  <c r="X190" i="7" s="1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N189" i="7"/>
  <c r="O189" i="7" s="1"/>
  <c r="L189" i="7"/>
  <c r="H189" i="7"/>
  <c r="I189" i="7" s="1"/>
  <c r="F189" i="7"/>
  <c r="C189" i="7"/>
  <c r="AD188" i="7"/>
  <c r="AC188" i="7"/>
  <c r="AA188" i="7"/>
  <c r="W188" i="7"/>
  <c r="X188" i="7" s="1"/>
  <c r="U188" i="7"/>
  <c r="R188" i="7"/>
  <c r="O188" i="7"/>
  <c r="N188" i="7"/>
  <c r="L188" i="7"/>
  <c r="H188" i="7"/>
  <c r="I188" i="7" s="1"/>
  <c r="F188" i="7"/>
  <c r="C188" i="7"/>
  <c r="AD187" i="7"/>
  <c r="AC187" i="7"/>
  <c r="AA187" i="7"/>
  <c r="W187" i="7"/>
  <c r="X187" i="7" s="1"/>
  <c r="U187" i="7"/>
  <c r="R187" i="7"/>
  <c r="N187" i="7"/>
  <c r="O187" i="7" s="1"/>
  <c r="L187" i="7"/>
  <c r="I187" i="7"/>
  <c r="H187" i="7"/>
  <c r="F187" i="7"/>
  <c r="C187" i="7"/>
  <c r="AD186" i="7"/>
  <c r="AC186" i="7"/>
  <c r="AA186" i="7"/>
  <c r="X186" i="7"/>
  <c r="W186" i="7"/>
  <c r="U186" i="7"/>
  <c r="R186" i="7"/>
  <c r="N186" i="7"/>
  <c r="O186" i="7" s="1"/>
  <c r="L186" i="7"/>
  <c r="H186" i="7"/>
  <c r="I186" i="7" s="1"/>
  <c r="F186" i="7"/>
  <c r="C186" i="7"/>
  <c r="AC184" i="7"/>
  <c r="AD184" i="7" s="1"/>
  <c r="AA184" i="7"/>
  <c r="W184" i="7"/>
  <c r="X184" i="7" s="1"/>
  <c r="U184" i="7"/>
  <c r="R184" i="7"/>
  <c r="N184" i="7"/>
  <c r="O184" i="7" s="1"/>
  <c r="L184" i="7"/>
  <c r="I184" i="7"/>
  <c r="H184" i="7"/>
  <c r="F184" i="7"/>
  <c r="C184" i="7"/>
  <c r="AD183" i="7"/>
  <c r="AC183" i="7"/>
  <c r="AA183" i="7"/>
  <c r="X183" i="7"/>
  <c r="W183" i="7"/>
  <c r="U183" i="7"/>
  <c r="R183" i="7"/>
  <c r="O183" i="7"/>
  <c r="N183" i="7"/>
  <c r="L183" i="7"/>
  <c r="H183" i="7"/>
  <c r="I183" i="7" s="1"/>
  <c r="F183" i="7"/>
  <c r="C183" i="7"/>
  <c r="AC182" i="7"/>
  <c r="AD182" i="7" s="1"/>
  <c r="AA182" i="7"/>
  <c r="Z182" i="7"/>
  <c r="W182" i="7"/>
  <c r="X182" i="7" s="1"/>
  <c r="T182" i="7"/>
  <c r="U182" i="7" s="1"/>
  <c r="R182" i="7"/>
  <c r="Q182" i="7"/>
  <c r="K182" i="7"/>
  <c r="L182" i="7" s="1"/>
  <c r="H182" i="7"/>
  <c r="I182" i="7" s="1"/>
  <c r="E182" i="7"/>
  <c r="F182" i="7" s="1"/>
  <c r="C182" i="7"/>
  <c r="B182" i="7"/>
  <c r="AC181" i="7"/>
  <c r="AD181" i="7" s="1"/>
  <c r="AA181" i="7"/>
  <c r="X181" i="7"/>
  <c r="W181" i="7"/>
  <c r="U181" i="7"/>
  <c r="R181" i="7"/>
  <c r="N181" i="7"/>
  <c r="O181" i="7" s="1"/>
  <c r="L181" i="7"/>
  <c r="I181" i="7"/>
  <c r="H181" i="7"/>
  <c r="F181" i="7"/>
  <c r="C181" i="7"/>
  <c r="AD180" i="7"/>
  <c r="AC180" i="7"/>
  <c r="AA180" i="7"/>
  <c r="W180" i="7"/>
  <c r="X180" i="7" s="1"/>
  <c r="U180" i="7"/>
  <c r="R180" i="7"/>
  <c r="O180" i="7"/>
  <c r="N180" i="7"/>
  <c r="L180" i="7"/>
  <c r="H180" i="7"/>
  <c r="I180" i="7" s="1"/>
  <c r="F180" i="7"/>
  <c r="C180" i="7"/>
  <c r="AD179" i="7"/>
  <c r="AC179" i="7"/>
  <c r="AA179" i="7"/>
  <c r="W179" i="7"/>
  <c r="X179" i="7" s="1"/>
  <c r="U179" i="7"/>
  <c r="R179" i="7"/>
  <c r="N179" i="7"/>
  <c r="O179" i="7" s="1"/>
  <c r="L179" i="7"/>
  <c r="I179" i="7"/>
  <c r="H179" i="7"/>
  <c r="F179" i="7"/>
  <c r="C179" i="7"/>
  <c r="AD178" i="7"/>
  <c r="AC178" i="7"/>
  <c r="AA178" i="7"/>
  <c r="W178" i="7"/>
  <c r="X178" i="7" s="1"/>
  <c r="U178" i="7"/>
  <c r="R178" i="7"/>
  <c r="O178" i="7"/>
  <c r="N178" i="7"/>
  <c r="L178" i="7"/>
  <c r="H178" i="7"/>
  <c r="I178" i="7" s="1"/>
  <c r="F178" i="7"/>
  <c r="C178" i="7"/>
  <c r="AC177" i="7"/>
  <c r="AD177" i="7" s="1"/>
  <c r="AA177" i="7"/>
  <c r="X177" i="7"/>
  <c r="W177" i="7"/>
  <c r="U177" i="7"/>
  <c r="R177" i="7"/>
  <c r="N177" i="7"/>
  <c r="O177" i="7" s="1"/>
  <c r="L177" i="7"/>
  <c r="H177" i="7"/>
  <c r="I177" i="7" s="1"/>
  <c r="F177" i="7"/>
  <c r="C177" i="7"/>
  <c r="AD175" i="7"/>
  <c r="AC175" i="7"/>
  <c r="AA175" i="7"/>
  <c r="X175" i="7"/>
  <c r="W175" i="7"/>
  <c r="U175" i="7"/>
  <c r="R175" i="7"/>
  <c r="N175" i="7"/>
  <c r="O175" i="7" s="1"/>
  <c r="L175" i="7"/>
  <c r="H175" i="7"/>
  <c r="I175" i="7" s="1"/>
  <c r="F175" i="7"/>
  <c r="C175" i="7"/>
  <c r="T172" i="7"/>
  <c r="AA171" i="7"/>
  <c r="Z171" i="7"/>
  <c r="U171" i="7"/>
  <c r="T171" i="7"/>
  <c r="Q171" i="7"/>
  <c r="L171" i="7"/>
  <c r="K171" i="7"/>
  <c r="I171" i="7"/>
  <c r="E171" i="7"/>
  <c r="F171" i="7" s="1"/>
  <c r="B171" i="7"/>
  <c r="H171" i="7" s="1"/>
  <c r="AC170" i="7"/>
  <c r="AD170" i="7" s="1"/>
  <c r="AA170" i="7"/>
  <c r="Z170" i="7"/>
  <c r="U170" i="7"/>
  <c r="T170" i="7"/>
  <c r="W170" i="7" s="1"/>
  <c r="X170" i="7" s="1"/>
  <c r="R170" i="7"/>
  <c r="Q170" i="7"/>
  <c r="O170" i="7"/>
  <c r="K170" i="7"/>
  <c r="L170" i="7" s="1"/>
  <c r="E170" i="7"/>
  <c r="F170" i="7" s="1"/>
  <c r="C170" i="7"/>
  <c r="B170" i="7"/>
  <c r="N170" i="7" s="1"/>
  <c r="AC169" i="7"/>
  <c r="AD169" i="7" s="1"/>
  <c r="AA169" i="7"/>
  <c r="W169" i="7"/>
  <c r="X169" i="7" s="1"/>
  <c r="U169" i="7"/>
  <c r="R169" i="7"/>
  <c r="N169" i="7"/>
  <c r="O169" i="7" s="1"/>
  <c r="L169" i="7"/>
  <c r="I169" i="7"/>
  <c r="H169" i="7"/>
  <c r="F169" i="7"/>
  <c r="C169" i="7"/>
  <c r="AD168" i="7"/>
  <c r="AC168" i="7"/>
  <c r="AA168" i="7"/>
  <c r="W168" i="7"/>
  <c r="X168" i="7" s="1"/>
  <c r="U168" i="7"/>
  <c r="R168" i="7"/>
  <c r="O168" i="7"/>
  <c r="N168" i="7"/>
  <c r="L168" i="7"/>
  <c r="H168" i="7"/>
  <c r="I168" i="7" s="1"/>
  <c r="F168" i="7"/>
  <c r="C168" i="7"/>
  <c r="AD167" i="7"/>
  <c r="AC167" i="7"/>
  <c r="AA167" i="7"/>
  <c r="W167" i="7"/>
  <c r="X167" i="7" s="1"/>
  <c r="U167" i="7"/>
  <c r="R167" i="7"/>
  <c r="N167" i="7"/>
  <c r="O167" i="7" s="1"/>
  <c r="L167" i="7"/>
  <c r="I167" i="7"/>
  <c r="H167" i="7"/>
  <c r="F167" i="7"/>
  <c r="C167" i="7"/>
  <c r="AA166" i="7"/>
  <c r="Z166" i="7"/>
  <c r="T166" i="7"/>
  <c r="U166" i="7" s="1"/>
  <c r="Q166" i="7"/>
  <c r="L166" i="7"/>
  <c r="K166" i="7"/>
  <c r="E166" i="7"/>
  <c r="F166" i="7" s="1"/>
  <c r="C166" i="7"/>
  <c r="B166" i="7"/>
  <c r="AD165" i="7"/>
  <c r="AC165" i="7"/>
  <c r="AA165" i="7"/>
  <c r="W165" i="7"/>
  <c r="X165" i="7" s="1"/>
  <c r="U165" i="7"/>
  <c r="R165" i="7"/>
  <c r="O165" i="7"/>
  <c r="N165" i="7"/>
  <c r="L165" i="7"/>
  <c r="H165" i="7"/>
  <c r="I165" i="7" s="1"/>
  <c r="F165" i="7"/>
  <c r="C165" i="7"/>
  <c r="AC164" i="7"/>
  <c r="AD164" i="7" s="1"/>
  <c r="AA164" i="7"/>
  <c r="W164" i="7"/>
  <c r="X164" i="7" s="1"/>
  <c r="U164" i="7"/>
  <c r="R164" i="7"/>
  <c r="N164" i="7"/>
  <c r="O164" i="7" s="1"/>
  <c r="L164" i="7"/>
  <c r="I164" i="7"/>
  <c r="H164" i="7"/>
  <c r="F164" i="7"/>
  <c r="C164" i="7"/>
  <c r="AD163" i="7"/>
  <c r="AC163" i="7"/>
  <c r="AA163" i="7"/>
  <c r="X163" i="7"/>
  <c r="W163" i="7"/>
  <c r="U163" i="7"/>
  <c r="R163" i="7"/>
  <c r="O163" i="7"/>
  <c r="N163" i="7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N162" i="7"/>
  <c r="O162" i="7" s="1"/>
  <c r="L162" i="7"/>
  <c r="H162" i="7"/>
  <c r="I162" i="7" s="1"/>
  <c r="F162" i="7"/>
  <c r="C162" i="7"/>
  <c r="AD161" i="7"/>
  <c r="AC161" i="7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W160" i="7"/>
  <c r="X160" i="7" s="1"/>
  <c r="U160" i="7"/>
  <c r="R160" i="7"/>
  <c r="O160" i="7"/>
  <c r="N160" i="7"/>
  <c r="L160" i="7"/>
  <c r="I160" i="7"/>
  <c r="H160" i="7"/>
  <c r="F160" i="7"/>
  <c r="C160" i="7"/>
  <c r="AC158" i="7"/>
  <c r="AD158" i="7" s="1"/>
  <c r="Z158" i="7"/>
  <c r="AA158" i="7" s="1"/>
  <c r="T158" i="7"/>
  <c r="U158" i="7" s="1"/>
  <c r="R158" i="7"/>
  <c r="Q158" i="7"/>
  <c r="W158" i="7" s="1"/>
  <c r="X158" i="7" s="1"/>
  <c r="N158" i="7"/>
  <c r="O158" i="7" s="1"/>
  <c r="L158" i="7"/>
  <c r="K158" i="7"/>
  <c r="E158" i="7"/>
  <c r="F158" i="7" s="1"/>
  <c r="C158" i="7"/>
  <c r="B158" i="7"/>
  <c r="H158" i="7" s="1"/>
  <c r="I158" i="7" s="1"/>
  <c r="AD157" i="7"/>
  <c r="AC157" i="7"/>
  <c r="AA157" i="7"/>
  <c r="X157" i="7"/>
  <c r="W157" i="7"/>
  <c r="U157" i="7"/>
  <c r="R157" i="7"/>
  <c r="O157" i="7"/>
  <c r="N157" i="7"/>
  <c r="L157" i="7"/>
  <c r="H157" i="7"/>
  <c r="I157" i="7" s="1"/>
  <c r="F157" i="7"/>
  <c r="C157" i="7"/>
  <c r="AC156" i="7"/>
  <c r="AD156" i="7" s="1"/>
  <c r="AA156" i="7"/>
  <c r="X156" i="7"/>
  <c r="W156" i="7"/>
  <c r="U156" i="7"/>
  <c r="R156" i="7"/>
  <c r="N156" i="7"/>
  <c r="O156" i="7" s="1"/>
  <c r="L156" i="7"/>
  <c r="I156" i="7"/>
  <c r="H156" i="7"/>
  <c r="F156" i="7"/>
  <c r="C156" i="7"/>
  <c r="AD155" i="7"/>
  <c r="AC155" i="7"/>
  <c r="AA155" i="7"/>
  <c r="W155" i="7"/>
  <c r="X155" i="7" s="1"/>
  <c r="U155" i="7"/>
  <c r="R155" i="7"/>
  <c r="O155" i="7"/>
  <c r="N155" i="7"/>
  <c r="L155" i="7"/>
  <c r="I155" i="7"/>
  <c r="H155" i="7"/>
  <c r="F155" i="7"/>
  <c r="C155" i="7"/>
  <c r="AC154" i="7"/>
  <c r="AD154" i="7" s="1"/>
  <c r="AA154" i="7"/>
  <c r="W154" i="7"/>
  <c r="X154" i="7" s="1"/>
  <c r="U154" i="7"/>
  <c r="R154" i="7"/>
  <c r="O154" i="7"/>
  <c r="N154" i="7"/>
  <c r="L154" i="7"/>
  <c r="I154" i="7"/>
  <c r="H154" i="7"/>
  <c r="F154" i="7"/>
  <c r="C154" i="7"/>
  <c r="AD153" i="7"/>
  <c r="AC153" i="7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C151" i="7"/>
  <c r="AD151" i="7" s="1"/>
  <c r="AA151" i="7"/>
  <c r="X151" i="7"/>
  <c r="W151" i="7"/>
  <c r="U151" i="7"/>
  <c r="R151" i="7"/>
  <c r="N151" i="7"/>
  <c r="O151" i="7" s="1"/>
  <c r="L151" i="7"/>
  <c r="H151" i="7"/>
  <c r="I151" i="7" s="1"/>
  <c r="F151" i="7"/>
  <c r="C151" i="7"/>
  <c r="AA149" i="7"/>
  <c r="Z149" i="7"/>
  <c r="T149" i="7"/>
  <c r="U149" i="7" s="1"/>
  <c r="R149" i="7"/>
  <c r="Q149" i="7"/>
  <c r="AC149" i="7" s="1"/>
  <c r="AD149" i="7" s="1"/>
  <c r="N149" i="7"/>
  <c r="O149" i="7" s="1"/>
  <c r="L149" i="7"/>
  <c r="K149" i="7"/>
  <c r="H149" i="7"/>
  <c r="I149" i="7" s="1"/>
  <c r="F149" i="7"/>
  <c r="E149" i="7"/>
  <c r="C149" i="7"/>
  <c r="B149" i="7"/>
  <c r="Z148" i="7"/>
  <c r="AA148" i="7" s="1"/>
  <c r="T148" i="7"/>
  <c r="U148" i="7" s="1"/>
  <c r="Q148" i="7"/>
  <c r="L148" i="7"/>
  <c r="K148" i="7"/>
  <c r="E148" i="7"/>
  <c r="F148" i="7" s="1"/>
  <c r="B148" i="7"/>
  <c r="AD147" i="7"/>
  <c r="AC147" i="7"/>
  <c r="AA147" i="7"/>
  <c r="W147" i="7"/>
  <c r="X147" i="7" s="1"/>
  <c r="U147" i="7"/>
  <c r="R147" i="7"/>
  <c r="O147" i="7"/>
  <c r="N147" i="7"/>
  <c r="L147" i="7"/>
  <c r="H147" i="7"/>
  <c r="I147" i="7" s="1"/>
  <c r="F147" i="7"/>
  <c r="C147" i="7"/>
  <c r="AC146" i="7"/>
  <c r="AD146" i="7" s="1"/>
  <c r="AA146" i="7"/>
  <c r="W146" i="7"/>
  <c r="X146" i="7" s="1"/>
  <c r="U146" i="7"/>
  <c r="R146" i="7"/>
  <c r="O146" i="7"/>
  <c r="N146" i="7"/>
  <c r="L146" i="7"/>
  <c r="I146" i="7"/>
  <c r="H146" i="7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H145" i="7"/>
  <c r="I145" i="7" s="1"/>
  <c r="F145" i="7"/>
  <c r="C145" i="7"/>
  <c r="AD144" i="7"/>
  <c r="AC144" i="7"/>
  <c r="AA144" i="7"/>
  <c r="X144" i="7"/>
  <c r="W144" i="7"/>
  <c r="U144" i="7"/>
  <c r="R144" i="7"/>
  <c r="N144" i="7"/>
  <c r="O144" i="7" s="1"/>
  <c r="L144" i="7"/>
  <c r="H144" i="7"/>
  <c r="I144" i="7" s="1"/>
  <c r="F144" i="7"/>
  <c r="C144" i="7"/>
  <c r="AD143" i="7"/>
  <c r="AC143" i="7"/>
  <c r="AA143" i="7"/>
  <c r="X143" i="7"/>
  <c r="W143" i="7"/>
  <c r="U143" i="7"/>
  <c r="R143" i="7"/>
  <c r="O143" i="7"/>
  <c r="N143" i="7"/>
  <c r="L143" i="7"/>
  <c r="H143" i="7"/>
  <c r="I143" i="7" s="1"/>
  <c r="F143" i="7"/>
  <c r="C143" i="7"/>
  <c r="AA141" i="7"/>
  <c r="Z141" i="7"/>
  <c r="U141" i="7"/>
  <c r="T141" i="7"/>
  <c r="Q141" i="7"/>
  <c r="K141" i="7"/>
  <c r="L141" i="7" s="1"/>
  <c r="E141" i="7"/>
  <c r="F141" i="7" s="1"/>
  <c r="C141" i="7"/>
  <c r="B141" i="7"/>
  <c r="AD140" i="7"/>
  <c r="AC140" i="7"/>
  <c r="AA140" i="7"/>
  <c r="X140" i="7"/>
  <c r="W140" i="7"/>
  <c r="U140" i="7"/>
  <c r="R140" i="7"/>
  <c r="N140" i="7"/>
  <c r="O140" i="7" s="1"/>
  <c r="L140" i="7"/>
  <c r="H140" i="7"/>
  <c r="I140" i="7" s="1"/>
  <c r="F140" i="7"/>
  <c r="C140" i="7"/>
  <c r="AD139" i="7"/>
  <c r="AC139" i="7"/>
  <c r="AA139" i="7"/>
  <c r="X139" i="7"/>
  <c r="W139" i="7"/>
  <c r="U139" i="7"/>
  <c r="R139" i="7"/>
  <c r="O139" i="7"/>
  <c r="N139" i="7"/>
  <c r="L139" i="7"/>
  <c r="H139" i="7"/>
  <c r="I139" i="7" s="1"/>
  <c r="F139" i="7"/>
  <c r="C139" i="7"/>
  <c r="AC138" i="7"/>
  <c r="AD138" i="7" s="1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C137" i="7"/>
  <c r="AD137" i="7" s="1"/>
  <c r="AA137" i="7"/>
  <c r="X137" i="7"/>
  <c r="W137" i="7"/>
  <c r="U137" i="7"/>
  <c r="R137" i="7"/>
  <c r="O137" i="7"/>
  <c r="N137" i="7"/>
  <c r="L137" i="7"/>
  <c r="H137" i="7"/>
  <c r="I137" i="7" s="1"/>
  <c r="F137" i="7"/>
  <c r="C137" i="7"/>
  <c r="AC136" i="7"/>
  <c r="AD136" i="7" s="1"/>
  <c r="AA136" i="7"/>
  <c r="X136" i="7"/>
  <c r="W136" i="7"/>
  <c r="U136" i="7"/>
  <c r="R136" i="7"/>
  <c r="N136" i="7"/>
  <c r="O136" i="7" s="1"/>
  <c r="L136" i="7"/>
  <c r="H136" i="7"/>
  <c r="I136" i="7" s="1"/>
  <c r="F136" i="7"/>
  <c r="C136" i="7"/>
  <c r="AD135" i="7"/>
  <c r="AC135" i="7"/>
  <c r="AA135" i="7"/>
  <c r="W135" i="7"/>
  <c r="X135" i="7" s="1"/>
  <c r="U135" i="7"/>
  <c r="R135" i="7"/>
  <c r="O135" i="7"/>
  <c r="N135" i="7"/>
  <c r="L135" i="7"/>
  <c r="H135" i="7"/>
  <c r="I135" i="7" s="1"/>
  <c r="F135" i="7"/>
  <c r="C135" i="7"/>
  <c r="AC134" i="7"/>
  <c r="AD134" i="7" s="1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C133" i="7"/>
  <c r="AD133" i="7" s="1"/>
  <c r="AA133" i="7"/>
  <c r="X133" i="7"/>
  <c r="W133" i="7"/>
  <c r="U133" i="7"/>
  <c r="R133" i="7"/>
  <c r="N133" i="7"/>
  <c r="O133" i="7" s="1"/>
  <c r="L133" i="7"/>
  <c r="H133" i="7"/>
  <c r="I133" i="7" s="1"/>
  <c r="F133" i="7"/>
  <c r="C133" i="7"/>
  <c r="AD132" i="7"/>
  <c r="AC132" i="7"/>
  <c r="AA132" i="7"/>
  <c r="X132" i="7"/>
  <c r="W132" i="7"/>
  <c r="U132" i="7"/>
  <c r="R132" i="7"/>
  <c r="N132" i="7"/>
  <c r="O132" i="7" s="1"/>
  <c r="L132" i="7"/>
  <c r="I132" i="7"/>
  <c r="H132" i="7"/>
  <c r="F132" i="7"/>
  <c r="C132" i="7"/>
  <c r="AD131" i="7"/>
  <c r="AC131" i="7"/>
  <c r="AA131" i="7"/>
  <c r="X131" i="7"/>
  <c r="W131" i="7"/>
  <c r="U131" i="7"/>
  <c r="R131" i="7"/>
  <c r="O131" i="7"/>
  <c r="N131" i="7"/>
  <c r="L131" i="7"/>
  <c r="H131" i="7"/>
  <c r="I131" i="7" s="1"/>
  <c r="F131" i="7"/>
  <c r="C131" i="7"/>
  <c r="AC130" i="7"/>
  <c r="AD130" i="7" s="1"/>
  <c r="AA130" i="7"/>
  <c r="W130" i="7"/>
  <c r="X130" i="7" s="1"/>
  <c r="U130" i="7"/>
  <c r="R130" i="7"/>
  <c r="O130" i="7"/>
  <c r="N130" i="7"/>
  <c r="L130" i="7"/>
  <c r="I130" i="7"/>
  <c r="H130" i="7"/>
  <c r="F130" i="7"/>
  <c r="C130" i="7"/>
  <c r="AC129" i="7"/>
  <c r="AD129" i="7" s="1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C127" i="7"/>
  <c r="AD127" i="7" s="1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Z124" i="7"/>
  <c r="Z172" i="7" s="1"/>
  <c r="AA172" i="7" s="1"/>
  <c r="T124" i="7"/>
  <c r="U124" i="7" s="1"/>
  <c r="R124" i="7"/>
  <c r="Q124" i="7"/>
  <c r="AC124" i="7" s="1"/>
  <c r="AD124" i="7" s="1"/>
  <c r="K124" i="7"/>
  <c r="K172" i="7" s="1"/>
  <c r="F124" i="7"/>
  <c r="E124" i="7"/>
  <c r="B124" i="7"/>
  <c r="AC123" i="7"/>
  <c r="AD123" i="7" s="1"/>
  <c r="AA123" i="7"/>
  <c r="X123" i="7"/>
  <c r="W123" i="7"/>
  <c r="U123" i="7"/>
  <c r="R123" i="7"/>
  <c r="O123" i="7"/>
  <c r="N123" i="7"/>
  <c r="L123" i="7"/>
  <c r="H123" i="7"/>
  <c r="I123" i="7" s="1"/>
  <c r="F123" i="7"/>
  <c r="C123" i="7"/>
  <c r="Z122" i="7"/>
  <c r="AA122" i="7" s="1"/>
  <c r="U122" i="7"/>
  <c r="T122" i="7"/>
  <c r="R122" i="7"/>
  <c r="Q122" i="7"/>
  <c r="W122" i="7" s="1"/>
  <c r="X122" i="7" s="1"/>
  <c r="K122" i="7"/>
  <c r="L122" i="7" s="1"/>
  <c r="E122" i="7"/>
  <c r="F122" i="7" s="1"/>
  <c r="C122" i="7"/>
  <c r="B122" i="7"/>
  <c r="AC121" i="7"/>
  <c r="AD121" i="7" s="1"/>
  <c r="AA121" i="7"/>
  <c r="W121" i="7"/>
  <c r="X121" i="7" s="1"/>
  <c r="U121" i="7"/>
  <c r="R121" i="7"/>
  <c r="O121" i="7"/>
  <c r="N121" i="7"/>
  <c r="L121" i="7"/>
  <c r="I121" i="7"/>
  <c r="H121" i="7"/>
  <c r="F121" i="7"/>
  <c r="C121" i="7"/>
  <c r="AC120" i="7"/>
  <c r="AD120" i="7" s="1"/>
  <c r="AA120" i="7"/>
  <c r="X120" i="7"/>
  <c r="W120" i="7"/>
  <c r="U120" i="7"/>
  <c r="R120" i="7"/>
  <c r="N120" i="7"/>
  <c r="O120" i="7" s="1"/>
  <c r="L120" i="7"/>
  <c r="I120" i="7"/>
  <c r="H120" i="7"/>
  <c r="F120" i="7"/>
  <c r="C120" i="7"/>
  <c r="AC119" i="7"/>
  <c r="AD119" i="7" s="1"/>
  <c r="AA119" i="7"/>
  <c r="W119" i="7"/>
  <c r="X119" i="7" s="1"/>
  <c r="U119" i="7"/>
  <c r="R119" i="7"/>
  <c r="N119" i="7"/>
  <c r="O119" i="7" s="1"/>
  <c r="L119" i="7"/>
  <c r="H119" i="7"/>
  <c r="I119" i="7" s="1"/>
  <c r="F119" i="7"/>
  <c r="C119" i="7"/>
  <c r="Z118" i="7"/>
  <c r="AA118" i="7" s="1"/>
  <c r="T118" i="7"/>
  <c r="R118" i="7"/>
  <c r="Q118" i="7"/>
  <c r="AC118" i="7" s="1"/>
  <c r="AD118" i="7" s="1"/>
  <c r="K118" i="7"/>
  <c r="L118" i="7" s="1"/>
  <c r="H118" i="7"/>
  <c r="I118" i="7" s="1"/>
  <c r="F118" i="7"/>
  <c r="E118" i="7"/>
  <c r="B118" i="7"/>
  <c r="C118" i="7" s="1"/>
  <c r="AC117" i="7"/>
  <c r="AD117" i="7" s="1"/>
  <c r="AA117" i="7"/>
  <c r="X117" i="7"/>
  <c r="W117" i="7"/>
  <c r="U117" i="7"/>
  <c r="R117" i="7"/>
  <c r="N117" i="7"/>
  <c r="O117" i="7" s="1"/>
  <c r="L117" i="7"/>
  <c r="H117" i="7"/>
  <c r="I117" i="7" s="1"/>
  <c r="F117" i="7"/>
  <c r="C117" i="7"/>
  <c r="AC116" i="7"/>
  <c r="AD116" i="7" s="1"/>
  <c r="AA116" i="7"/>
  <c r="W116" i="7"/>
  <c r="X116" i="7" s="1"/>
  <c r="U116" i="7"/>
  <c r="R116" i="7"/>
  <c r="N116" i="7"/>
  <c r="O116" i="7" s="1"/>
  <c r="L116" i="7"/>
  <c r="H116" i="7"/>
  <c r="I116" i="7" s="1"/>
  <c r="F116" i="7"/>
  <c r="C116" i="7"/>
  <c r="AD115" i="7"/>
  <c r="AC115" i="7"/>
  <c r="AA115" i="7"/>
  <c r="W115" i="7"/>
  <c r="X115" i="7" s="1"/>
  <c r="U115" i="7"/>
  <c r="R115" i="7"/>
  <c r="O115" i="7"/>
  <c r="N115" i="7"/>
  <c r="L115" i="7"/>
  <c r="I115" i="7"/>
  <c r="H115" i="7"/>
  <c r="F115" i="7"/>
  <c r="C115" i="7"/>
  <c r="AC114" i="7"/>
  <c r="AD114" i="7" s="1"/>
  <c r="AA114" i="7"/>
  <c r="W114" i="7"/>
  <c r="X114" i="7" s="1"/>
  <c r="U114" i="7"/>
  <c r="R114" i="7"/>
  <c r="N114" i="7"/>
  <c r="O114" i="7" s="1"/>
  <c r="L114" i="7"/>
  <c r="I114" i="7"/>
  <c r="H114" i="7"/>
  <c r="F114" i="7"/>
  <c r="C114" i="7"/>
  <c r="AC113" i="7"/>
  <c r="AD113" i="7" s="1"/>
  <c r="AA113" i="7"/>
  <c r="X113" i="7"/>
  <c r="W113" i="7"/>
  <c r="U113" i="7"/>
  <c r="R113" i="7"/>
  <c r="O113" i="7"/>
  <c r="N113" i="7"/>
  <c r="L113" i="7"/>
  <c r="H113" i="7"/>
  <c r="I113" i="7" s="1"/>
  <c r="F113" i="7"/>
  <c r="C113" i="7"/>
  <c r="AD112" i="7"/>
  <c r="AC112" i="7"/>
  <c r="AA112" i="7"/>
  <c r="W112" i="7"/>
  <c r="X112" i="7" s="1"/>
  <c r="U112" i="7"/>
  <c r="R112" i="7"/>
  <c r="N112" i="7"/>
  <c r="O112" i="7" s="1"/>
  <c r="L112" i="7"/>
  <c r="I112" i="7"/>
  <c r="H112" i="7"/>
  <c r="F112" i="7"/>
  <c r="C112" i="7"/>
  <c r="AD111" i="7"/>
  <c r="AC111" i="7"/>
  <c r="AA111" i="7"/>
  <c r="X111" i="7"/>
  <c r="W111" i="7"/>
  <c r="U111" i="7"/>
  <c r="R111" i="7"/>
  <c r="N111" i="7"/>
  <c r="O111" i="7" s="1"/>
  <c r="L111" i="7"/>
  <c r="H111" i="7"/>
  <c r="I111" i="7" s="1"/>
  <c r="F111" i="7"/>
  <c r="C111" i="7"/>
  <c r="AC110" i="7"/>
  <c r="AD110" i="7" s="1"/>
  <c r="AA110" i="7"/>
  <c r="W110" i="7"/>
  <c r="X110" i="7" s="1"/>
  <c r="U110" i="7"/>
  <c r="R110" i="7"/>
  <c r="O110" i="7"/>
  <c r="N110" i="7"/>
  <c r="L110" i="7"/>
  <c r="I110" i="7"/>
  <c r="H110" i="7"/>
  <c r="F110" i="7"/>
  <c r="C110" i="7"/>
  <c r="AC109" i="7"/>
  <c r="AD109" i="7" s="1"/>
  <c r="AA109" i="7"/>
  <c r="W109" i="7"/>
  <c r="X109" i="7" s="1"/>
  <c r="U109" i="7"/>
  <c r="R109" i="7"/>
  <c r="O109" i="7"/>
  <c r="N109" i="7"/>
  <c r="L109" i="7"/>
  <c r="H109" i="7"/>
  <c r="I109" i="7" s="1"/>
  <c r="F109" i="7"/>
  <c r="C109" i="7"/>
  <c r="AC108" i="7"/>
  <c r="AD108" i="7" s="1"/>
  <c r="AA108" i="7"/>
  <c r="X108" i="7"/>
  <c r="W108" i="7"/>
  <c r="U108" i="7"/>
  <c r="R108" i="7"/>
  <c r="N108" i="7"/>
  <c r="O108" i="7" s="1"/>
  <c r="L108" i="7"/>
  <c r="H108" i="7"/>
  <c r="I108" i="7" s="1"/>
  <c r="F108" i="7"/>
  <c r="C108" i="7"/>
  <c r="AD107" i="7"/>
  <c r="AC107" i="7"/>
  <c r="AA107" i="7"/>
  <c r="W107" i="7"/>
  <c r="X107" i="7" s="1"/>
  <c r="U107" i="7"/>
  <c r="R107" i="7"/>
  <c r="N107" i="7"/>
  <c r="O107" i="7" s="1"/>
  <c r="L107" i="7"/>
  <c r="H107" i="7"/>
  <c r="I107" i="7" s="1"/>
  <c r="F107" i="7"/>
  <c r="C107" i="7"/>
  <c r="AD106" i="7"/>
  <c r="AC106" i="7"/>
  <c r="AA106" i="7"/>
  <c r="W106" i="7"/>
  <c r="X106" i="7" s="1"/>
  <c r="U106" i="7"/>
  <c r="R106" i="7"/>
  <c r="N106" i="7"/>
  <c r="O106" i="7" s="1"/>
  <c r="L106" i="7"/>
  <c r="I106" i="7"/>
  <c r="H106" i="7"/>
  <c r="F106" i="7"/>
  <c r="C106" i="7"/>
  <c r="AC105" i="7"/>
  <c r="AD105" i="7" s="1"/>
  <c r="AA105" i="7"/>
  <c r="X105" i="7"/>
  <c r="W105" i="7"/>
  <c r="U105" i="7"/>
  <c r="R105" i="7"/>
  <c r="N105" i="7"/>
  <c r="O105" i="7" s="1"/>
  <c r="L105" i="7"/>
  <c r="H105" i="7"/>
  <c r="I105" i="7" s="1"/>
  <c r="F105" i="7"/>
  <c r="C105" i="7"/>
  <c r="AC104" i="7"/>
  <c r="AD104" i="7" s="1"/>
  <c r="AA104" i="7"/>
  <c r="W104" i="7"/>
  <c r="X104" i="7" s="1"/>
  <c r="U104" i="7"/>
  <c r="R104" i="7"/>
  <c r="N104" i="7"/>
  <c r="O104" i="7" s="1"/>
  <c r="L104" i="7"/>
  <c r="H104" i="7"/>
  <c r="I104" i="7" s="1"/>
  <c r="F104" i="7"/>
  <c r="C104" i="7"/>
  <c r="AD103" i="7"/>
  <c r="AC103" i="7"/>
  <c r="AA103" i="7"/>
  <c r="W103" i="7"/>
  <c r="X103" i="7" s="1"/>
  <c r="U103" i="7"/>
  <c r="R103" i="7"/>
  <c r="N103" i="7"/>
  <c r="O103" i="7" s="1"/>
  <c r="L103" i="7"/>
  <c r="H103" i="7"/>
  <c r="I103" i="7" s="1"/>
  <c r="F103" i="7"/>
  <c r="C103" i="7"/>
  <c r="AD102" i="7"/>
  <c r="AC102" i="7"/>
  <c r="AA102" i="7"/>
  <c r="W102" i="7"/>
  <c r="X102" i="7" s="1"/>
  <c r="U102" i="7"/>
  <c r="R102" i="7"/>
  <c r="N102" i="7"/>
  <c r="O102" i="7" s="1"/>
  <c r="L102" i="7"/>
  <c r="I102" i="7"/>
  <c r="H102" i="7"/>
  <c r="F102" i="7"/>
  <c r="C102" i="7"/>
  <c r="AC101" i="7"/>
  <c r="AD101" i="7" s="1"/>
  <c r="AA101" i="7"/>
  <c r="W101" i="7"/>
  <c r="X101" i="7" s="1"/>
  <c r="U101" i="7"/>
  <c r="R101" i="7"/>
  <c r="N101" i="7"/>
  <c r="O101" i="7" s="1"/>
  <c r="L101" i="7"/>
  <c r="H101" i="7"/>
  <c r="I101" i="7" s="1"/>
  <c r="F101" i="7"/>
  <c r="C101" i="7"/>
  <c r="AC100" i="7"/>
  <c r="AD100" i="7" s="1"/>
  <c r="AA100" i="7"/>
  <c r="W100" i="7"/>
  <c r="X100" i="7" s="1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W99" i="7"/>
  <c r="X99" i="7" s="1"/>
  <c r="U99" i="7"/>
  <c r="R99" i="7"/>
  <c r="N99" i="7"/>
  <c r="O99" i="7" s="1"/>
  <c r="L99" i="7"/>
  <c r="I99" i="7"/>
  <c r="H99" i="7"/>
  <c r="F99" i="7"/>
  <c r="C99" i="7"/>
  <c r="AC98" i="7"/>
  <c r="AD98" i="7" s="1"/>
  <c r="AA98" i="7"/>
  <c r="W98" i="7"/>
  <c r="X98" i="7" s="1"/>
  <c r="U98" i="7"/>
  <c r="R98" i="7"/>
  <c r="N98" i="7"/>
  <c r="O98" i="7" s="1"/>
  <c r="L98" i="7"/>
  <c r="I98" i="7"/>
  <c r="H98" i="7"/>
  <c r="F98" i="7"/>
  <c r="C98" i="7"/>
  <c r="AC97" i="7"/>
  <c r="AD97" i="7" s="1"/>
  <c r="AA97" i="7"/>
  <c r="W97" i="7"/>
  <c r="X97" i="7" s="1"/>
  <c r="U97" i="7"/>
  <c r="R97" i="7"/>
  <c r="O97" i="7"/>
  <c r="N97" i="7"/>
  <c r="L97" i="7"/>
  <c r="H97" i="7"/>
  <c r="I97" i="7" s="1"/>
  <c r="F97" i="7"/>
  <c r="C97" i="7"/>
  <c r="AC96" i="7"/>
  <c r="AD96" i="7" s="1"/>
  <c r="AA96" i="7"/>
  <c r="W96" i="7"/>
  <c r="X96" i="7" s="1"/>
  <c r="U96" i="7"/>
  <c r="R96" i="7"/>
  <c r="N96" i="7"/>
  <c r="O96" i="7" s="1"/>
  <c r="L96" i="7"/>
  <c r="I96" i="7"/>
  <c r="H96" i="7"/>
  <c r="F96" i="7"/>
  <c r="C96" i="7"/>
  <c r="AD95" i="7"/>
  <c r="AC95" i="7"/>
  <c r="AA95" i="7"/>
  <c r="W95" i="7"/>
  <c r="X95" i="7" s="1"/>
  <c r="U95" i="7"/>
  <c r="R95" i="7"/>
  <c r="N95" i="7"/>
  <c r="O95" i="7" s="1"/>
  <c r="L95" i="7"/>
  <c r="I95" i="7"/>
  <c r="H95" i="7"/>
  <c r="F95" i="7"/>
  <c r="C95" i="7"/>
  <c r="AC94" i="7"/>
  <c r="AD94" i="7" s="1"/>
  <c r="AA94" i="7"/>
  <c r="W94" i="7"/>
  <c r="X94" i="7" s="1"/>
  <c r="U94" i="7"/>
  <c r="R94" i="7"/>
  <c r="O94" i="7"/>
  <c r="N94" i="7"/>
  <c r="L94" i="7"/>
  <c r="I94" i="7"/>
  <c r="H94" i="7"/>
  <c r="F94" i="7"/>
  <c r="C94" i="7"/>
  <c r="AD92" i="7"/>
  <c r="AC92" i="7"/>
  <c r="AA92" i="7"/>
  <c r="W92" i="7"/>
  <c r="X92" i="7" s="1"/>
  <c r="U92" i="7"/>
  <c r="R92" i="7"/>
  <c r="N92" i="7"/>
  <c r="O92" i="7" s="1"/>
  <c r="L92" i="7"/>
  <c r="H92" i="7"/>
  <c r="I92" i="7" s="1"/>
  <c r="F92" i="7"/>
  <c r="C92" i="7"/>
  <c r="AC91" i="7"/>
  <c r="AD91" i="7" s="1"/>
  <c r="AA91" i="7"/>
  <c r="X91" i="7"/>
  <c r="W91" i="7"/>
  <c r="U91" i="7"/>
  <c r="R91" i="7"/>
  <c r="N91" i="7"/>
  <c r="O91" i="7" s="1"/>
  <c r="L91" i="7"/>
  <c r="I91" i="7"/>
  <c r="H91" i="7"/>
  <c r="F91" i="7"/>
  <c r="C91" i="7"/>
  <c r="AD90" i="7"/>
  <c r="AC90" i="7"/>
  <c r="AA90" i="7"/>
  <c r="W90" i="7"/>
  <c r="X90" i="7" s="1"/>
  <c r="U90" i="7"/>
  <c r="R90" i="7"/>
  <c r="O90" i="7"/>
  <c r="N90" i="7"/>
  <c r="L90" i="7"/>
  <c r="H90" i="7"/>
  <c r="I90" i="7" s="1"/>
  <c r="F90" i="7"/>
  <c r="C90" i="7"/>
  <c r="AD89" i="7"/>
  <c r="AC89" i="7"/>
  <c r="AA89" i="7"/>
  <c r="W89" i="7"/>
  <c r="X89" i="7" s="1"/>
  <c r="U89" i="7"/>
  <c r="R89" i="7"/>
  <c r="N89" i="7"/>
  <c r="O89" i="7" s="1"/>
  <c r="L89" i="7"/>
  <c r="I89" i="7"/>
  <c r="H89" i="7"/>
  <c r="F89" i="7"/>
  <c r="C89" i="7"/>
  <c r="Z88" i="7"/>
  <c r="AA88" i="7" s="1"/>
  <c r="T88" i="7"/>
  <c r="U88" i="7" s="1"/>
  <c r="Q88" i="7"/>
  <c r="AC88" i="7" s="1"/>
  <c r="AD88" i="7" s="1"/>
  <c r="K88" i="7"/>
  <c r="L88" i="7" s="1"/>
  <c r="E88" i="7"/>
  <c r="F88" i="7" s="1"/>
  <c r="B88" i="7"/>
  <c r="AC87" i="7"/>
  <c r="AD87" i="7" s="1"/>
  <c r="AA87" i="7"/>
  <c r="W87" i="7"/>
  <c r="X87" i="7" s="1"/>
  <c r="U87" i="7"/>
  <c r="R87" i="7"/>
  <c r="O87" i="7"/>
  <c r="N87" i="7"/>
  <c r="L87" i="7"/>
  <c r="H87" i="7"/>
  <c r="I87" i="7" s="1"/>
  <c r="F87" i="7"/>
  <c r="C87" i="7"/>
  <c r="AD86" i="7"/>
  <c r="AC86" i="7"/>
  <c r="AA86" i="7"/>
  <c r="W86" i="7"/>
  <c r="X86" i="7" s="1"/>
  <c r="U86" i="7"/>
  <c r="R86" i="7"/>
  <c r="N86" i="7"/>
  <c r="O86" i="7" s="1"/>
  <c r="L86" i="7"/>
  <c r="H86" i="7"/>
  <c r="I86" i="7" s="1"/>
  <c r="F86" i="7"/>
  <c r="C86" i="7"/>
  <c r="AC85" i="7"/>
  <c r="AD85" i="7" s="1"/>
  <c r="AA85" i="7"/>
  <c r="X85" i="7"/>
  <c r="W85" i="7"/>
  <c r="U85" i="7"/>
  <c r="R85" i="7"/>
  <c r="N85" i="7"/>
  <c r="O85" i="7" s="1"/>
  <c r="L85" i="7"/>
  <c r="H85" i="7"/>
  <c r="I85" i="7" s="1"/>
  <c r="F85" i="7"/>
  <c r="C85" i="7"/>
  <c r="AC84" i="7"/>
  <c r="AD84" i="7" s="1"/>
  <c r="AA84" i="7"/>
  <c r="W84" i="7"/>
  <c r="X84" i="7" s="1"/>
  <c r="U84" i="7"/>
  <c r="R84" i="7"/>
  <c r="N84" i="7"/>
  <c r="O84" i="7" s="1"/>
  <c r="L84" i="7"/>
  <c r="H84" i="7"/>
  <c r="I84" i="7" s="1"/>
  <c r="F84" i="7"/>
  <c r="C84" i="7"/>
  <c r="AC83" i="7"/>
  <c r="AD83" i="7" s="1"/>
  <c r="AA83" i="7"/>
  <c r="W83" i="7"/>
  <c r="X83" i="7" s="1"/>
  <c r="U83" i="7"/>
  <c r="R83" i="7"/>
  <c r="O83" i="7"/>
  <c r="N83" i="7"/>
  <c r="L83" i="7"/>
  <c r="H83" i="7"/>
  <c r="I83" i="7" s="1"/>
  <c r="F83" i="7"/>
  <c r="C83" i="7"/>
  <c r="AD82" i="7"/>
  <c r="AC82" i="7"/>
  <c r="AA82" i="7"/>
  <c r="W82" i="7"/>
  <c r="X82" i="7" s="1"/>
  <c r="U82" i="7"/>
  <c r="R82" i="7"/>
  <c r="N82" i="7"/>
  <c r="O82" i="7" s="1"/>
  <c r="L82" i="7"/>
  <c r="H82" i="7"/>
  <c r="I82" i="7" s="1"/>
  <c r="F82" i="7"/>
  <c r="C82" i="7"/>
  <c r="AC81" i="7"/>
  <c r="AD81" i="7" s="1"/>
  <c r="AA81" i="7"/>
  <c r="X81" i="7"/>
  <c r="W81" i="7"/>
  <c r="U81" i="7"/>
  <c r="R81" i="7"/>
  <c r="N81" i="7"/>
  <c r="O81" i="7" s="1"/>
  <c r="L81" i="7"/>
  <c r="H81" i="7"/>
  <c r="I81" i="7" s="1"/>
  <c r="F81" i="7"/>
  <c r="C81" i="7"/>
  <c r="AC80" i="7"/>
  <c r="AD80" i="7" s="1"/>
  <c r="AA80" i="7"/>
  <c r="X80" i="7"/>
  <c r="W80" i="7"/>
  <c r="U80" i="7"/>
  <c r="R80" i="7"/>
  <c r="N80" i="7"/>
  <c r="O80" i="7" s="1"/>
  <c r="L80" i="7"/>
  <c r="H80" i="7"/>
  <c r="I80" i="7" s="1"/>
  <c r="F80" i="7"/>
  <c r="C80" i="7"/>
  <c r="AC79" i="7"/>
  <c r="AD79" i="7" s="1"/>
  <c r="AA79" i="7"/>
  <c r="W79" i="7"/>
  <c r="X79" i="7" s="1"/>
  <c r="U79" i="7"/>
  <c r="R79" i="7"/>
  <c r="O79" i="7"/>
  <c r="N79" i="7"/>
  <c r="L79" i="7"/>
  <c r="H79" i="7"/>
  <c r="I79" i="7" s="1"/>
  <c r="F79" i="7"/>
  <c r="C79" i="7"/>
  <c r="AC78" i="7"/>
  <c r="AD78" i="7" s="1"/>
  <c r="AA78" i="7"/>
  <c r="W78" i="7"/>
  <c r="X78" i="7" s="1"/>
  <c r="U78" i="7"/>
  <c r="R78" i="7"/>
  <c r="N78" i="7"/>
  <c r="O78" i="7" s="1"/>
  <c r="L78" i="7"/>
  <c r="H78" i="7"/>
  <c r="I78" i="7" s="1"/>
  <c r="F78" i="7"/>
  <c r="C78" i="7"/>
  <c r="AC77" i="7"/>
  <c r="AD77" i="7" s="1"/>
  <c r="AA77" i="7"/>
  <c r="X77" i="7"/>
  <c r="W77" i="7"/>
  <c r="U77" i="7"/>
  <c r="R77" i="7"/>
  <c r="N77" i="7"/>
  <c r="O77" i="7" s="1"/>
  <c r="L77" i="7"/>
  <c r="I77" i="7"/>
  <c r="H77" i="7"/>
  <c r="F77" i="7"/>
  <c r="C77" i="7"/>
  <c r="AC76" i="7"/>
  <c r="AD76" i="7" s="1"/>
  <c r="AA76" i="7"/>
  <c r="X76" i="7"/>
  <c r="W76" i="7"/>
  <c r="U76" i="7"/>
  <c r="R76" i="7"/>
  <c r="N76" i="7"/>
  <c r="O76" i="7" s="1"/>
  <c r="L76" i="7"/>
  <c r="H76" i="7"/>
  <c r="I76" i="7" s="1"/>
  <c r="F76" i="7"/>
  <c r="C76" i="7"/>
  <c r="AC75" i="7"/>
  <c r="AD75" i="7" s="1"/>
  <c r="AA75" i="7"/>
  <c r="W75" i="7"/>
  <c r="X75" i="7" s="1"/>
  <c r="U75" i="7"/>
  <c r="R75" i="7"/>
  <c r="O75" i="7"/>
  <c r="N75" i="7"/>
  <c r="L75" i="7"/>
  <c r="H75" i="7"/>
  <c r="I75" i="7" s="1"/>
  <c r="F75" i="7"/>
  <c r="C75" i="7"/>
  <c r="AC73" i="7"/>
  <c r="AD73" i="7" s="1"/>
  <c r="Z73" i="7"/>
  <c r="AA73" i="7" s="1"/>
  <c r="T73" i="7"/>
  <c r="U73" i="7" s="1"/>
  <c r="R73" i="7"/>
  <c r="Q73" i="7"/>
  <c r="K73" i="7"/>
  <c r="L73" i="7" s="1"/>
  <c r="E73" i="7"/>
  <c r="B73" i="7"/>
  <c r="C73" i="7" s="1"/>
  <c r="AC72" i="7"/>
  <c r="AD72" i="7" s="1"/>
  <c r="AA72" i="7"/>
  <c r="W72" i="7"/>
  <c r="X72" i="7" s="1"/>
  <c r="U72" i="7"/>
  <c r="R72" i="7"/>
  <c r="N72" i="7"/>
  <c r="O72" i="7" s="1"/>
  <c r="L72" i="7"/>
  <c r="I72" i="7"/>
  <c r="H72" i="7"/>
  <c r="F72" i="7"/>
  <c r="C72" i="7"/>
  <c r="AC71" i="7"/>
  <c r="AD71" i="7" s="1"/>
  <c r="AA71" i="7"/>
  <c r="W71" i="7"/>
  <c r="X71" i="7" s="1"/>
  <c r="U71" i="7"/>
  <c r="R71" i="7"/>
  <c r="O71" i="7"/>
  <c r="N71" i="7"/>
  <c r="L71" i="7"/>
  <c r="H71" i="7"/>
  <c r="I71" i="7" s="1"/>
  <c r="F71" i="7"/>
  <c r="C71" i="7"/>
  <c r="AD70" i="7"/>
  <c r="AC70" i="7"/>
  <c r="AA70" i="7"/>
  <c r="W70" i="7"/>
  <c r="X70" i="7" s="1"/>
  <c r="U70" i="7"/>
  <c r="R70" i="7"/>
  <c r="N70" i="7"/>
  <c r="O70" i="7" s="1"/>
  <c r="L70" i="7"/>
  <c r="H70" i="7"/>
  <c r="I70" i="7" s="1"/>
  <c r="F70" i="7"/>
  <c r="C70" i="7"/>
  <c r="AD69" i="7"/>
  <c r="AC69" i="7"/>
  <c r="AA69" i="7"/>
  <c r="X69" i="7"/>
  <c r="W69" i="7"/>
  <c r="U69" i="7"/>
  <c r="R69" i="7"/>
  <c r="N69" i="7"/>
  <c r="O69" i="7" s="1"/>
  <c r="L69" i="7"/>
  <c r="I69" i="7"/>
  <c r="H69" i="7"/>
  <c r="F69" i="7"/>
  <c r="C69" i="7"/>
  <c r="AC68" i="7"/>
  <c r="AD68" i="7" s="1"/>
  <c r="AA68" i="7"/>
  <c r="W68" i="7"/>
  <c r="X68" i="7" s="1"/>
  <c r="U68" i="7"/>
  <c r="R68" i="7"/>
  <c r="N68" i="7"/>
  <c r="O68" i="7" s="1"/>
  <c r="L68" i="7"/>
  <c r="I68" i="7"/>
  <c r="H68" i="7"/>
  <c r="F68" i="7"/>
  <c r="C68" i="7"/>
  <c r="AC67" i="7"/>
  <c r="AD67" i="7" s="1"/>
  <c r="AA67" i="7"/>
  <c r="W67" i="7"/>
  <c r="X67" i="7" s="1"/>
  <c r="U67" i="7"/>
  <c r="R67" i="7"/>
  <c r="O67" i="7"/>
  <c r="N67" i="7"/>
  <c r="L67" i="7"/>
  <c r="H67" i="7"/>
  <c r="I67" i="7" s="1"/>
  <c r="F67" i="7"/>
  <c r="C67" i="7"/>
  <c r="AD66" i="7"/>
  <c r="AC66" i="7"/>
  <c r="AA66" i="7"/>
  <c r="W66" i="7"/>
  <c r="X66" i="7" s="1"/>
  <c r="U66" i="7"/>
  <c r="R66" i="7"/>
  <c r="N66" i="7"/>
  <c r="O66" i="7" s="1"/>
  <c r="L66" i="7"/>
  <c r="H66" i="7"/>
  <c r="I66" i="7" s="1"/>
  <c r="F66" i="7"/>
  <c r="C66" i="7"/>
  <c r="AD65" i="7"/>
  <c r="AC65" i="7"/>
  <c r="AA65" i="7"/>
  <c r="X65" i="7"/>
  <c r="W65" i="7"/>
  <c r="U65" i="7"/>
  <c r="R65" i="7"/>
  <c r="N65" i="7"/>
  <c r="O65" i="7" s="1"/>
  <c r="L65" i="7"/>
  <c r="I65" i="7"/>
  <c r="H65" i="7"/>
  <c r="F65" i="7"/>
  <c r="C65" i="7"/>
  <c r="AC64" i="7"/>
  <c r="AD64" i="7" s="1"/>
  <c r="AA64" i="7"/>
  <c r="W64" i="7"/>
  <c r="X64" i="7" s="1"/>
  <c r="U64" i="7"/>
  <c r="R64" i="7"/>
  <c r="N64" i="7"/>
  <c r="O64" i="7" s="1"/>
  <c r="L64" i="7"/>
  <c r="I64" i="7"/>
  <c r="H64" i="7"/>
  <c r="F64" i="7"/>
  <c r="C64" i="7"/>
  <c r="Z62" i="7"/>
  <c r="AA62" i="7" s="1"/>
  <c r="T62" i="7"/>
  <c r="W62" i="7" s="1"/>
  <c r="X62" i="7" s="1"/>
  <c r="Q62" i="7"/>
  <c r="R62" i="7" s="1"/>
  <c r="K62" i="7"/>
  <c r="L62" i="7" s="1"/>
  <c r="I62" i="7"/>
  <c r="H62" i="7"/>
  <c r="E62" i="7"/>
  <c r="F62" i="7" s="1"/>
  <c r="B62" i="7"/>
  <c r="C62" i="7" s="1"/>
  <c r="Z61" i="7"/>
  <c r="AA61" i="7" s="1"/>
  <c r="T61" i="7"/>
  <c r="U61" i="7" s="1"/>
  <c r="Q61" i="7"/>
  <c r="O61" i="7"/>
  <c r="N61" i="7"/>
  <c r="K61" i="7"/>
  <c r="L61" i="7" s="1"/>
  <c r="E61" i="7"/>
  <c r="F61" i="7" s="1"/>
  <c r="C61" i="7"/>
  <c r="B61" i="7"/>
  <c r="AC60" i="7"/>
  <c r="AD60" i="7" s="1"/>
  <c r="AA60" i="7"/>
  <c r="W60" i="7"/>
  <c r="X60" i="7" s="1"/>
  <c r="U60" i="7"/>
  <c r="R60" i="7"/>
  <c r="O60" i="7"/>
  <c r="N60" i="7"/>
  <c r="L60" i="7"/>
  <c r="H60" i="7"/>
  <c r="I60" i="7" s="1"/>
  <c r="F60" i="7"/>
  <c r="C60" i="7"/>
  <c r="AD59" i="7"/>
  <c r="AC59" i="7"/>
  <c r="AA59" i="7"/>
  <c r="X59" i="7"/>
  <c r="W59" i="7"/>
  <c r="U59" i="7"/>
  <c r="R59" i="7"/>
  <c r="O59" i="7"/>
  <c r="N59" i="7"/>
  <c r="L59" i="7"/>
  <c r="H59" i="7"/>
  <c r="I59" i="7" s="1"/>
  <c r="F59" i="7"/>
  <c r="C59" i="7"/>
  <c r="AC58" i="7"/>
  <c r="AD58" i="7" s="1"/>
  <c r="AA58" i="7"/>
  <c r="X58" i="7"/>
  <c r="W58" i="7"/>
  <c r="U58" i="7"/>
  <c r="R58" i="7"/>
  <c r="N58" i="7"/>
  <c r="O58" i="7" s="1"/>
  <c r="L58" i="7"/>
  <c r="H58" i="7"/>
  <c r="I58" i="7" s="1"/>
  <c r="F58" i="7"/>
  <c r="C58" i="7"/>
  <c r="AC57" i="7"/>
  <c r="AD57" i="7" s="1"/>
  <c r="AA57" i="7"/>
  <c r="W57" i="7"/>
  <c r="X57" i="7" s="1"/>
  <c r="U57" i="7"/>
  <c r="R57" i="7"/>
  <c r="O57" i="7"/>
  <c r="N57" i="7"/>
  <c r="L57" i="7"/>
  <c r="I57" i="7"/>
  <c r="H57" i="7"/>
  <c r="F57" i="7"/>
  <c r="C57" i="7"/>
  <c r="AC56" i="7"/>
  <c r="AD56" i="7" s="1"/>
  <c r="AA56" i="7"/>
  <c r="W56" i="7"/>
  <c r="X56" i="7" s="1"/>
  <c r="U56" i="7"/>
  <c r="R56" i="7"/>
  <c r="O56" i="7"/>
  <c r="N56" i="7"/>
  <c r="L56" i="7"/>
  <c r="H56" i="7"/>
  <c r="I56" i="7" s="1"/>
  <c r="F56" i="7"/>
  <c r="C56" i="7"/>
  <c r="AD55" i="7"/>
  <c r="AC55" i="7"/>
  <c r="AA55" i="7"/>
  <c r="X55" i="7"/>
  <c r="W55" i="7"/>
  <c r="U55" i="7"/>
  <c r="R55" i="7"/>
  <c r="N55" i="7"/>
  <c r="O55" i="7" s="1"/>
  <c r="L55" i="7"/>
  <c r="H55" i="7"/>
  <c r="I55" i="7" s="1"/>
  <c r="F55" i="7"/>
  <c r="C55" i="7"/>
  <c r="AD54" i="7"/>
  <c r="AC54" i="7"/>
  <c r="AA54" i="7"/>
  <c r="X54" i="7"/>
  <c r="W54" i="7"/>
  <c r="U54" i="7"/>
  <c r="R54" i="7"/>
  <c r="N54" i="7"/>
  <c r="O54" i="7" s="1"/>
  <c r="L54" i="7"/>
  <c r="I54" i="7"/>
  <c r="H54" i="7"/>
  <c r="F54" i="7"/>
  <c r="C54" i="7"/>
  <c r="AC53" i="7"/>
  <c r="AD53" i="7" s="1"/>
  <c r="AA53" i="7"/>
  <c r="W53" i="7"/>
  <c r="X53" i="7" s="1"/>
  <c r="U53" i="7"/>
  <c r="R53" i="7"/>
  <c r="O53" i="7"/>
  <c r="N53" i="7"/>
  <c r="L53" i="7"/>
  <c r="H53" i="7"/>
  <c r="I53" i="7" s="1"/>
  <c r="F53" i="7"/>
  <c r="C53" i="7"/>
  <c r="AC52" i="7"/>
  <c r="AD52" i="7" s="1"/>
  <c r="AA52" i="7"/>
  <c r="W52" i="7"/>
  <c r="X52" i="7" s="1"/>
  <c r="U52" i="7"/>
  <c r="R52" i="7"/>
  <c r="O52" i="7"/>
  <c r="N52" i="7"/>
  <c r="L52" i="7"/>
  <c r="H52" i="7"/>
  <c r="I52" i="7" s="1"/>
  <c r="F52" i="7"/>
  <c r="C52" i="7"/>
  <c r="AC51" i="7"/>
  <c r="AD51" i="7" s="1"/>
  <c r="AA51" i="7"/>
  <c r="X51" i="7"/>
  <c r="W51" i="7"/>
  <c r="U51" i="7"/>
  <c r="R51" i="7"/>
  <c r="O51" i="7"/>
  <c r="N51" i="7"/>
  <c r="L51" i="7"/>
  <c r="H51" i="7"/>
  <c r="I51" i="7" s="1"/>
  <c r="F51" i="7"/>
  <c r="C51" i="7"/>
  <c r="AC50" i="7"/>
  <c r="AD50" i="7" s="1"/>
  <c r="AA50" i="7"/>
  <c r="X50" i="7"/>
  <c r="W50" i="7"/>
  <c r="U50" i="7"/>
  <c r="R50" i="7"/>
  <c r="N50" i="7"/>
  <c r="O50" i="7" s="1"/>
  <c r="L50" i="7"/>
  <c r="I50" i="7"/>
  <c r="H50" i="7"/>
  <c r="F50" i="7"/>
  <c r="C50" i="7"/>
  <c r="AC49" i="7"/>
  <c r="AD49" i="7" s="1"/>
  <c r="AA49" i="7"/>
  <c r="X49" i="7"/>
  <c r="W49" i="7"/>
  <c r="U49" i="7"/>
  <c r="R49" i="7"/>
  <c r="O49" i="7"/>
  <c r="N49" i="7"/>
  <c r="L49" i="7"/>
  <c r="I49" i="7"/>
  <c r="H49" i="7"/>
  <c r="F49" i="7"/>
  <c r="C49" i="7"/>
  <c r="AC48" i="7"/>
  <c r="AD48" i="7" s="1"/>
  <c r="AA48" i="7"/>
  <c r="W48" i="7"/>
  <c r="X48" i="7" s="1"/>
  <c r="U48" i="7"/>
  <c r="R48" i="7"/>
  <c r="O48" i="7"/>
  <c r="N48" i="7"/>
  <c r="L48" i="7"/>
  <c r="H48" i="7"/>
  <c r="I48" i="7" s="1"/>
  <c r="F48" i="7"/>
  <c r="C48" i="7"/>
  <c r="AC47" i="7"/>
  <c r="AD47" i="7" s="1"/>
  <c r="AA47" i="7"/>
  <c r="X47" i="7"/>
  <c r="W47" i="7"/>
  <c r="U47" i="7"/>
  <c r="R47" i="7"/>
  <c r="N47" i="7"/>
  <c r="O47" i="7" s="1"/>
  <c r="L47" i="7"/>
  <c r="H47" i="7"/>
  <c r="I47" i="7" s="1"/>
  <c r="F47" i="7"/>
  <c r="C47" i="7"/>
  <c r="AD46" i="7"/>
  <c r="AC46" i="7"/>
  <c r="AA46" i="7"/>
  <c r="X46" i="7"/>
  <c r="W46" i="7"/>
  <c r="U46" i="7"/>
  <c r="R46" i="7"/>
  <c r="N46" i="7"/>
  <c r="O46" i="7" s="1"/>
  <c r="L46" i="7"/>
  <c r="H46" i="7"/>
  <c r="I46" i="7" s="1"/>
  <c r="F46" i="7"/>
  <c r="C46" i="7"/>
  <c r="AC44" i="7"/>
  <c r="AD44" i="7" s="1"/>
  <c r="AA44" i="7"/>
  <c r="X44" i="7"/>
  <c r="W44" i="7"/>
  <c r="U44" i="7"/>
  <c r="R44" i="7"/>
  <c r="O44" i="7"/>
  <c r="N44" i="7"/>
  <c r="L44" i="7"/>
  <c r="H44" i="7"/>
  <c r="I44" i="7" s="1"/>
  <c r="F44" i="7"/>
  <c r="C44" i="7"/>
  <c r="AC43" i="7"/>
  <c r="AD43" i="7" s="1"/>
  <c r="AA43" i="7"/>
  <c r="W43" i="7"/>
  <c r="X43" i="7" s="1"/>
  <c r="U43" i="7"/>
  <c r="R43" i="7"/>
  <c r="O43" i="7"/>
  <c r="N43" i="7"/>
  <c r="L43" i="7"/>
  <c r="H43" i="7"/>
  <c r="I43" i="7" s="1"/>
  <c r="F43" i="7"/>
  <c r="C43" i="7"/>
  <c r="AD42" i="7"/>
  <c r="AC42" i="7"/>
  <c r="AA42" i="7"/>
  <c r="X42" i="7"/>
  <c r="W42" i="7"/>
  <c r="U42" i="7"/>
  <c r="R42" i="7"/>
  <c r="O42" i="7"/>
  <c r="N42" i="7"/>
  <c r="L42" i="7"/>
  <c r="H42" i="7"/>
  <c r="I42" i="7" s="1"/>
  <c r="F42" i="7"/>
  <c r="C42" i="7"/>
  <c r="AC40" i="7"/>
  <c r="AD40" i="7" s="1"/>
  <c r="AA40" i="7"/>
  <c r="Z40" i="7"/>
  <c r="T40" i="7"/>
  <c r="U40" i="7" s="1"/>
  <c r="R40" i="7"/>
  <c r="Q40" i="7"/>
  <c r="W40" i="7" s="1"/>
  <c r="X40" i="7" s="1"/>
  <c r="N40" i="7"/>
  <c r="O40" i="7" s="1"/>
  <c r="K40" i="7"/>
  <c r="L40" i="7" s="1"/>
  <c r="F40" i="7"/>
  <c r="E40" i="7"/>
  <c r="B40" i="7"/>
  <c r="AC39" i="7"/>
  <c r="AD39" i="7" s="1"/>
  <c r="AA39" i="7"/>
  <c r="W39" i="7"/>
  <c r="X39" i="7" s="1"/>
  <c r="U39" i="7"/>
  <c r="R39" i="7"/>
  <c r="O39" i="7"/>
  <c r="N39" i="7"/>
  <c r="L39" i="7"/>
  <c r="H39" i="7"/>
  <c r="I39" i="7" s="1"/>
  <c r="F39" i="7"/>
  <c r="C39" i="7"/>
  <c r="AD38" i="7"/>
  <c r="AC38" i="7"/>
  <c r="AA38" i="7"/>
  <c r="X38" i="7"/>
  <c r="W38" i="7"/>
  <c r="U38" i="7"/>
  <c r="R38" i="7"/>
  <c r="N38" i="7"/>
  <c r="O38" i="7" s="1"/>
  <c r="L38" i="7"/>
  <c r="H38" i="7"/>
  <c r="I38" i="7" s="1"/>
  <c r="F38" i="7"/>
  <c r="C38" i="7"/>
  <c r="AD37" i="7"/>
  <c r="AC37" i="7"/>
  <c r="AA37" i="7"/>
  <c r="X37" i="7"/>
  <c r="W37" i="7"/>
  <c r="U37" i="7"/>
  <c r="R37" i="7"/>
  <c r="N37" i="7"/>
  <c r="O37" i="7" s="1"/>
  <c r="L37" i="7"/>
  <c r="H37" i="7"/>
  <c r="I37" i="7" s="1"/>
  <c r="F37" i="7"/>
  <c r="C37" i="7"/>
  <c r="AC36" i="7"/>
  <c r="AD36" i="7" s="1"/>
  <c r="AA36" i="7"/>
  <c r="X36" i="7"/>
  <c r="W36" i="7"/>
  <c r="U36" i="7"/>
  <c r="R36" i="7"/>
  <c r="O36" i="7"/>
  <c r="N36" i="7"/>
  <c r="L36" i="7"/>
  <c r="H36" i="7"/>
  <c r="I36" i="7" s="1"/>
  <c r="F36" i="7"/>
  <c r="C36" i="7"/>
  <c r="AC35" i="7"/>
  <c r="AD35" i="7" s="1"/>
  <c r="AA35" i="7"/>
  <c r="W35" i="7"/>
  <c r="X35" i="7" s="1"/>
  <c r="U35" i="7"/>
  <c r="R35" i="7"/>
  <c r="O35" i="7"/>
  <c r="N35" i="7"/>
  <c r="L35" i="7"/>
  <c r="H35" i="7"/>
  <c r="I35" i="7" s="1"/>
  <c r="F35" i="7"/>
  <c r="C35" i="7"/>
  <c r="AD34" i="7"/>
  <c r="AC34" i="7"/>
  <c r="AA34" i="7"/>
  <c r="X34" i="7"/>
  <c r="W34" i="7"/>
  <c r="U34" i="7"/>
  <c r="R34" i="7"/>
  <c r="O34" i="7"/>
  <c r="N34" i="7"/>
  <c r="L34" i="7"/>
  <c r="H34" i="7"/>
  <c r="I34" i="7" s="1"/>
  <c r="F34" i="7"/>
  <c r="C34" i="7"/>
  <c r="AC33" i="7"/>
  <c r="AD33" i="7" s="1"/>
  <c r="AA33" i="7"/>
  <c r="X33" i="7"/>
  <c r="W33" i="7"/>
  <c r="U33" i="7"/>
  <c r="R33" i="7"/>
  <c r="N33" i="7"/>
  <c r="O33" i="7" s="1"/>
  <c r="L33" i="7"/>
  <c r="H33" i="7"/>
  <c r="I33" i="7" s="1"/>
  <c r="F33" i="7"/>
  <c r="C33" i="7"/>
  <c r="AC32" i="7"/>
  <c r="AD32" i="7" s="1"/>
  <c r="AA32" i="7"/>
  <c r="W32" i="7"/>
  <c r="X32" i="7" s="1"/>
  <c r="U32" i="7"/>
  <c r="R32" i="7"/>
  <c r="O32" i="7"/>
  <c r="N32" i="7"/>
  <c r="L32" i="7"/>
  <c r="I32" i="7"/>
  <c r="H32" i="7"/>
  <c r="F32" i="7"/>
  <c r="C32" i="7"/>
  <c r="AC31" i="7"/>
  <c r="AD31" i="7" s="1"/>
  <c r="AA31" i="7"/>
  <c r="W31" i="7"/>
  <c r="X31" i="7" s="1"/>
  <c r="U31" i="7"/>
  <c r="R31" i="7"/>
  <c r="O31" i="7"/>
  <c r="N31" i="7"/>
  <c r="L31" i="7"/>
  <c r="H31" i="7"/>
  <c r="I31" i="7" s="1"/>
  <c r="F31" i="7"/>
  <c r="C31" i="7"/>
  <c r="Z29" i="7"/>
  <c r="AA29" i="7" s="1"/>
  <c r="U29" i="7"/>
  <c r="T29" i="7"/>
  <c r="R29" i="7"/>
  <c r="Q29" i="7"/>
  <c r="AC29" i="7" s="1"/>
  <c r="AD29" i="7" s="1"/>
  <c r="K29" i="7"/>
  <c r="L29" i="7" s="1"/>
  <c r="E29" i="7"/>
  <c r="B29" i="7"/>
  <c r="C29" i="7" s="1"/>
  <c r="AC28" i="7"/>
  <c r="AD28" i="7" s="1"/>
  <c r="AA28" i="7"/>
  <c r="W28" i="7"/>
  <c r="X28" i="7" s="1"/>
  <c r="U28" i="7"/>
  <c r="R28" i="7"/>
  <c r="O28" i="7"/>
  <c r="N28" i="7"/>
  <c r="L28" i="7"/>
  <c r="I28" i="7"/>
  <c r="H28" i="7"/>
  <c r="F28" i="7"/>
  <c r="C28" i="7"/>
  <c r="AC27" i="7"/>
  <c r="AD27" i="7" s="1"/>
  <c r="AA27" i="7"/>
  <c r="W27" i="7"/>
  <c r="X27" i="7" s="1"/>
  <c r="U27" i="7"/>
  <c r="R27" i="7"/>
  <c r="O27" i="7"/>
  <c r="N27" i="7"/>
  <c r="L27" i="7"/>
  <c r="H27" i="7"/>
  <c r="I27" i="7" s="1"/>
  <c r="F27" i="7"/>
  <c r="C27" i="7"/>
  <c r="AD26" i="7"/>
  <c r="AC26" i="7"/>
  <c r="AA26" i="7"/>
  <c r="X26" i="7"/>
  <c r="W26" i="7"/>
  <c r="U26" i="7"/>
  <c r="R26" i="7"/>
  <c r="N26" i="7"/>
  <c r="O26" i="7" s="1"/>
  <c r="L26" i="7"/>
  <c r="H26" i="7"/>
  <c r="I26" i="7" s="1"/>
  <c r="F26" i="7"/>
  <c r="C26" i="7"/>
  <c r="AC25" i="7"/>
  <c r="AD25" i="7" s="1"/>
  <c r="AA25" i="7"/>
  <c r="X25" i="7"/>
  <c r="W25" i="7"/>
  <c r="U25" i="7"/>
  <c r="R25" i="7"/>
  <c r="N25" i="7"/>
  <c r="O25" i="7" s="1"/>
  <c r="L25" i="7"/>
  <c r="H25" i="7"/>
  <c r="I25" i="7" s="1"/>
  <c r="F25" i="7"/>
  <c r="C25" i="7"/>
  <c r="AC24" i="7"/>
  <c r="AD24" i="7" s="1"/>
  <c r="AA24" i="7"/>
  <c r="X24" i="7"/>
  <c r="W24" i="7"/>
  <c r="U24" i="7"/>
  <c r="R24" i="7"/>
  <c r="O24" i="7"/>
  <c r="N24" i="7"/>
  <c r="L24" i="7"/>
  <c r="I24" i="7"/>
  <c r="H24" i="7"/>
  <c r="F24" i="7"/>
  <c r="C24" i="7"/>
  <c r="AC23" i="7"/>
  <c r="AD23" i="7" s="1"/>
  <c r="AA23" i="7"/>
  <c r="W23" i="7"/>
  <c r="X23" i="7" s="1"/>
  <c r="U23" i="7"/>
  <c r="R23" i="7"/>
  <c r="O23" i="7"/>
  <c r="N23" i="7"/>
  <c r="L23" i="7"/>
  <c r="H23" i="7"/>
  <c r="I23" i="7" s="1"/>
  <c r="F23" i="7"/>
  <c r="C23" i="7"/>
  <c r="AC22" i="7"/>
  <c r="AD22" i="7" s="1"/>
  <c r="AA22" i="7"/>
  <c r="X22" i="7"/>
  <c r="W22" i="7"/>
  <c r="U22" i="7"/>
  <c r="R22" i="7"/>
  <c r="O22" i="7"/>
  <c r="N22" i="7"/>
  <c r="L22" i="7"/>
  <c r="H22" i="7"/>
  <c r="I22" i="7" s="1"/>
  <c r="F22" i="7"/>
  <c r="C22" i="7"/>
  <c r="AC21" i="7"/>
  <c r="AD21" i="7" s="1"/>
  <c r="AA21" i="7"/>
  <c r="X21" i="7"/>
  <c r="W21" i="7"/>
  <c r="U21" i="7"/>
  <c r="R21" i="7"/>
  <c r="N21" i="7"/>
  <c r="O21" i="7" s="1"/>
  <c r="L21" i="7"/>
  <c r="I21" i="7"/>
  <c r="H21" i="7"/>
  <c r="F21" i="7"/>
  <c r="C21" i="7"/>
  <c r="AC19" i="7"/>
  <c r="AD19" i="7" s="1"/>
  <c r="AA19" i="7"/>
  <c r="W19" i="7"/>
  <c r="X19" i="7" s="1"/>
  <c r="U19" i="7"/>
  <c r="R19" i="7"/>
  <c r="O19" i="7"/>
  <c r="N19" i="7"/>
  <c r="L19" i="7"/>
  <c r="H19" i="7"/>
  <c r="I19" i="7" s="1"/>
  <c r="F19" i="7"/>
  <c r="C19" i="7"/>
  <c r="Z18" i="7"/>
  <c r="AA18" i="7" s="1"/>
  <c r="T18" i="7"/>
  <c r="Q18" i="7"/>
  <c r="R18" i="7" s="1"/>
  <c r="L18" i="7"/>
  <c r="K18" i="7"/>
  <c r="E18" i="7"/>
  <c r="F18" i="7" s="1"/>
  <c r="B18" i="7"/>
  <c r="AD17" i="7"/>
  <c r="AC17" i="7"/>
  <c r="AA17" i="7"/>
  <c r="X17" i="7"/>
  <c r="W17" i="7"/>
  <c r="U17" i="7"/>
  <c r="R17" i="7"/>
  <c r="N17" i="7"/>
  <c r="O17" i="7" s="1"/>
  <c r="L17" i="7"/>
  <c r="I17" i="7"/>
  <c r="H17" i="7"/>
  <c r="F17" i="7"/>
  <c r="C17" i="7"/>
  <c r="AC16" i="7"/>
  <c r="AD16" i="7" s="1"/>
  <c r="AA16" i="7"/>
  <c r="W16" i="7"/>
  <c r="X16" i="7" s="1"/>
  <c r="U16" i="7"/>
  <c r="R16" i="7"/>
  <c r="O16" i="7"/>
  <c r="N16" i="7"/>
  <c r="L16" i="7"/>
  <c r="H16" i="7"/>
  <c r="I16" i="7" s="1"/>
  <c r="F16" i="7"/>
  <c r="C16" i="7"/>
  <c r="AC15" i="7"/>
  <c r="AD15" i="7" s="1"/>
  <c r="AA15" i="7"/>
  <c r="X15" i="7"/>
  <c r="W15" i="7"/>
  <c r="U15" i="7"/>
  <c r="R15" i="7"/>
  <c r="O15" i="7"/>
  <c r="N15" i="7"/>
  <c r="L15" i="7"/>
  <c r="H15" i="7"/>
  <c r="I15" i="7" s="1"/>
  <c r="F15" i="7"/>
  <c r="C15" i="7"/>
  <c r="AC14" i="7"/>
  <c r="AD14" i="7" s="1"/>
  <c r="AA14" i="7"/>
  <c r="X14" i="7"/>
  <c r="W14" i="7"/>
  <c r="U14" i="7"/>
  <c r="R14" i="7"/>
  <c r="N14" i="7"/>
  <c r="O14" i="7" s="1"/>
  <c r="L14" i="7"/>
  <c r="H14" i="7"/>
  <c r="I14" i="7" s="1"/>
  <c r="F14" i="7"/>
  <c r="C14" i="7"/>
  <c r="AD13" i="7"/>
  <c r="AC13" i="7"/>
  <c r="AA13" i="7"/>
  <c r="X13" i="7"/>
  <c r="W13" i="7"/>
  <c r="U13" i="7"/>
  <c r="R13" i="7"/>
  <c r="N13" i="7"/>
  <c r="O13" i="7" s="1"/>
  <c r="L13" i="7"/>
  <c r="H13" i="7"/>
  <c r="I13" i="7" s="1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C11" i="7"/>
  <c r="AD11" i="7" s="1"/>
  <c r="AA11" i="7"/>
  <c r="X11" i="7"/>
  <c r="W11" i="7"/>
  <c r="U11" i="7"/>
  <c r="R11" i="7"/>
  <c r="O11" i="7"/>
  <c r="N11" i="7"/>
  <c r="L11" i="7"/>
  <c r="H11" i="7"/>
  <c r="I11" i="7" s="1"/>
  <c r="F11" i="7"/>
  <c r="C11" i="7"/>
  <c r="AC10" i="7"/>
  <c r="AD10" i="7" s="1"/>
  <c r="AA10" i="7"/>
  <c r="X10" i="7"/>
  <c r="W10" i="7"/>
  <c r="U10" i="7"/>
  <c r="R10" i="7"/>
  <c r="O10" i="7"/>
  <c r="N10" i="7"/>
  <c r="L10" i="7"/>
  <c r="H10" i="7"/>
  <c r="I10" i="7" s="1"/>
  <c r="F10" i="7"/>
  <c r="C10" i="7"/>
  <c r="AC8" i="7"/>
  <c r="AD8" i="7" s="1"/>
  <c r="AA8" i="7"/>
  <c r="X8" i="7"/>
  <c r="W8" i="7"/>
  <c r="U8" i="7"/>
  <c r="R8" i="7"/>
  <c r="O8" i="7"/>
  <c r="N8" i="7"/>
  <c r="L8" i="7"/>
  <c r="I8" i="7"/>
  <c r="H8" i="7"/>
  <c r="F8" i="7"/>
  <c r="C8" i="7"/>
  <c r="AC444" i="6"/>
  <c r="W444" i="6"/>
  <c r="N444" i="6"/>
  <c r="H444" i="6"/>
  <c r="I440" i="6" s="1"/>
  <c r="Z442" i="6"/>
  <c r="AA442" i="6" s="1"/>
  <c r="T442" i="6"/>
  <c r="U442" i="6" s="1"/>
  <c r="R442" i="6"/>
  <c r="Q442" i="6"/>
  <c r="AC442" i="6" s="1"/>
  <c r="AD442" i="6" s="1"/>
  <c r="L442" i="6"/>
  <c r="K442" i="6"/>
  <c r="H442" i="6"/>
  <c r="I442" i="6" s="1"/>
  <c r="E442" i="6"/>
  <c r="F442" i="6" s="1"/>
  <c r="C442" i="6"/>
  <c r="B442" i="6"/>
  <c r="N442" i="6" s="1"/>
  <c r="O442" i="6" s="1"/>
  <c r="Z441" i="6"/>
  <c r="AA441" i="6" s="1"/>
  <c r="W441" i="6"/>
  <c r="X441" i="6" s="1"/>
  <c r="U441" i="6"/>
  <c r="T441" i="6"/>
  <c r="Q441" i="6"/>
  <c r="R441" i="6" s="1"/>
  <c r="K441" i="6"/>
  <c r="L441" i="6" s="1"/>
  <c r="E441" i="6"/>
  <c r="F441" i="6" s="1"/>
  <c r="B441" i="6"/>
  <c r="AD440" i="6"/>
  <c r="AC440" i="6"/>
  <c r="AA440" i="6"/>
  <c r="W440" i="6"/>
  <c r="U440" i="6"/>
  <c r="R440" i="6"/>
  <c r="O440" i="6"/>
  <c r="N440" i="6"/>
  <c r="L440" i="6"/>
  <c r="H440" i="6"/>
  <c r="F440" i="6"/>
  <c r="C440" i="6"/>
  <c r="AC439" i="6"/>
  <c r="AD439" i="6" s="1"/>
  <c r="AA439" i="6"/>
  <c r="X439" i="6"/>
  <c r="W439" i="6"/>
  <c r="U439" i="6"/>
  <c r="R439" i="6"/>
  <c r="N439" i="6"/>
  <c r="L439" i="6"/>
  <c r="H439" i="6"/>
  <c r="I439" i="6" s="1"/>
  <c r="F439" i="6"/>
  <c r="C439" i="6"/>
  <c r="AC438" i="6"/>
  <c r="AD438" i="6" s="1"/>
  <c r="AA438" i="6"/>
  <c r="W438" i="6"/>
  <c r="X438" i="6" s="1"/>
  <c r="U438" i="6"/>
  <c r="R438" i="6"/>
  <c r="N438" i="6"/>
  <c r="L438" i="6"/>
  <c r="H438" i="6"/>
  <c r="I438" i="6" s="1"/>
  <c r="F438" i="6"/>
  <c r="C438" i="6"/>
  <c r="AD437" i="6"/>
  <c r="AC437" i="6"/>
  <c r="AA437" i="6"/>
  <c r="W437" i="6"/>
  <c r="U437" i="6"/>
  <c r="R437" i="6"/>
  <c r="N437" i="6"/>
  <c r="O437" i="6" s="1"/>
  <c r="L437" i="6"/>
  <c r="H437" i="6"/>
  <c r="I437" i="6" s="1"/>
  <c r="F437" i="6"/>
  <c r="C437" i="6"/>
  <c r="AC436" i="6"/>
  <c r="AD436" i="6" s="1"/>
  <c r="AA436" i="6"/>
  <c r="W436" i="6"/>
  <c r="U436" i="6"/>
  <c r="R436" i="6"/>
  <c r="N436" i="6"/>
  <c r="O436" i="6" s="1"/>
  <c r="L436" i="6"/>
  <c r="I436" i="6"/>
  <c r="H436" i="6"/>
  <c r="F436" i="6"/>
  <c r="C436" i="6"/>
  <c r="AC435" i="6"/>
  <c r="AD435" i="6" s="1"/>
  <c r="AA435" i="6"/>
  <c r="W435" i="6"/>
  <c r="X435" i="6" s="1"/>
  <c r="U435" i="6"/>
  <c r="R435" i="6"/>
  <c r="N435" i="6"/>
  <c r="L435" i="6"/>
  <c r="H435" i="6"/>
  <c r="I435" i="6" s="1"/>
  <c r="F435" i="6"/>
  <c r="C435" i="6"/>
  <c r="AC434" i="6"/>
  <c r="AD434" i="6" s="1"/>
  <c r="AA434" i="6"/>
  <c r="W434" i="6"/>
  <c r="X434" i="6" s="1"/>
  <c r="U434" i="6"/>
  <c r="R434" i="6"/>
  <c r="N434" i="6"/>
  <c r="L434" i="6"/>
  <c r="H434" i="6"/>
  <c r="I434" i="6" s="1"/>
  <c r="F434" i="6"/>
  <c r="C434" i="6"/>
  <c r="AD433" i="6"/>
  <c r="AC433" i="6"/>
  <c r="AA433" i="6"/>
  <c r="W433" i="6"/>
  <c r="U433" i="6"/>
  <c r="R433" i="6"/>
  <c r="N433" i="6"/>
  <c r="O433" i="6" s="1"/>
  <c r="L433" i="6"/>
  <c r="H433" i="6"/>
  <c r="I433" i="6" s="1"/>
  <c r="F433" i="6"/>
  <c r="C433" i="6"/>
  <c r="AC432" i="6"/>
  <c r="AD432" i="6" s="1"/>
  <c r="AA432" i="6"/>
  <c r="W432" i="6"/>
  <c r="U432" i="6"/>
  <c r="R432" i="6"/>
  <c r="N432" i="6"/>
  <c r="O432" i="6" s="1"/>
  <c r="L432" i="6"/>
  <c r="I432" i="6"/>
  <c r="H432" i="6"/>
  <c r="F432" i="6"/>
  <c r="C432" i="6"/>
  <c r="Z429" i="6"/>
  <c r="T429" i="6"/>
  <c r="U429" i="6" s="1"/>
  <c r="Q429" i="6"/>
  <c r="L429" i="6"/>
  <c r="K429" i="6"/>
  <c r="E429" i="6"/>
  <c r="F429" i="6" s="1"/>
  <c r="C429" i="6"/>
  <c r="B429" i="6"/>
  <c r="Z428" i="6"/>
  <c r="AA428" i="6" s="1"/>
  <c r="T428" i="6"/>
  <c r="W428" i="6" s="1"/>
  <c r="X428" i="6" s="1"/>
  <c r="R428" i="6"/>
  <c r="Q428" i="6"/>
  <c r="AC428" i="6" s="1"/>
  <c r="AD428" i="6" s="1"/>
  <c r="K428" i="6"/>
  <c r="L428" i="6" s="1"/>
  <c r="H428" i="6"/>
  <c r="I428" i="6" s="1"/>
  <c r="F428" i="6"/>
  <c r="E428" i="6"/>
  <c r="B428" i="6"/>
  <c r="C428" i="6" s="1"/>
  <c r="AC427" i="6"/>
  <c r="AD427" i="6" s="1"/>
  <c r="AA427" i="6"/>
  <c r="X427" i="6"/>
  <c r="W427" i="6"/>
  <c r="U427" i="6"/>
  <c r="R427" i="6"/>
  <c r="N427" i="6"/>
  <c r="L427" i="6"/>
  <c r="I427" i="6"/>
  <c r="H427" i="6"/>
  <c r="F427" i="6"/>
  <c r="C427" i="6"/>
  <c r="AC426" i="6"/>
  <c r="AD426" i="6" s="1"/>
  <c r="AA426" i="6"/>
  <c r="W426" i="6"/>
  <c r="X426" i="6" s="1"/>
  <c r="U426" i="6"/>
  <c r="R426" i="6"/>
  <c r="N426" i="6"/>
  <c r="L426" i="6"/>
  <c r="H426" i="6"/>
  <c r="I426" i="6" s="1"/>
  <c r="F426" i="6"/>
  <c r="C426" i="6"/>
  <c r="AD425" i="6"/>
  <c r="AC425" i="6"/>
  <c r="AA425" i="6"/>
  <c r="W425" i="6"/>
  <c r="U425" i="6"/>
  <c r="R425" i="6"/>
  <c r="N425" i="6"/>
  <c r="O425" i="6" s="1"/>
  <c r="L425" i="6"/>
  <c r="H425" i="6"/>
  <c r="I425" i="6" s="1"/>
  <c r="F425" i="6"/>
  <c r="C425" i="6"/>
  <c r="AC424" i="6"/>
  <c r="AD424" i="6" s="1"/>
  <c r="AA424" i="6"/>
  <c r="W424" i="6"/>
  <c r="U424" i="6"/>
  <c r="R424" i="6"/>
  <c r="N424" i="6"/>
  <c r="O424" i="6" s="1"/>
  <c r="L424" i="6"/>
  <c r="I424" i="6"/>
  <c r="H424" i="6"/>
  <c r="F424" i="6"/>
  <c r="C424" i="6"/>
  <c r="AC423" i="6"/>
  <c r="AD423" i="6" s="1"/>
  <c r="AA423" i="6"/>
  <c r="X423" i="6"/>
  <c r="W423" i="6"/>
  <c r="U423" i="6"/>
  <c r="R423" i="6"/>
  <c r="N423" i="6"/>
  <c r="L423" i="6"/>
  <c r="I423" i="6"/>
  <c r="H423" i="6"/>
  <c r="F423" i="6"/>
  <c r="C423" i="6"/>
  <c r="AC422" i="6"/>
  <c r="AD422" i="6" s="1"/>
  <c r="AA422" i="6"/>
  <c r="W422" i="6"/>
  <c r="X422" i="6" s="1"/>
  <c r="U422" i="6"/>
  <c r="R422" i="6"/>
  <c r="N422" i="6"/>
  <c r="L422" i="6"/>
  <c r="H422" i="6"/>
  <c r="I422" i="6" s="1"/>
  <c r="F422" i="6"/>
  <c r="C422" i="6"/>
  <c r="AD421" i="6"/>
  <c r="AC421" i="6"/>
  <c r="AA421" i="6"/>
  <c r="W421" i="6"/>
  <c r="U421" i="6"/>
  <c r="R421" i="6"/>
  <c r="N421" i="6"/>
  <c r="O421" i="6" s="1"/>
  <c r="L421" i="6"/>
  <c r="H421" i="6"/>
  <c r="I421" i="6" s="1"/>
  <c r="F421" i="6"/>
  <c r="C421" i="6"/>
  <c r="AC420" i="6"/>
  <c r="AD420" i="6" s="1"/>
  <c r="AA420" i="6"/>
  <c r="W420" i="6"/>
  <c r="U420" i="6"/>
  <c r="R420" i="6"/>
  <c r="O420" i="6"/>
  <c r="N420" i="6"/>
  <c r="L420" i="6"/>
  <c r="I420" i="6"/>
  <c r="H420" i="6"/>
  <c r="F420" i="6"/>
  <c r="C420" i="6"/>
  <c r="AC419" i="6"/>
  <c r="AD419" i="6" s="1"/>
  <c r="AA419" i="6"/>
  <c r="X419" i="6"/>
  <c r="W419" i="6"/>
  <c r="U419" i="6"/>
  <c r="R419" i="6"/>
  <c r="N419" i="6"/>
  <c r="L419" i="6"/>
  <c r="H419" i="6"/>
  <c r="I419" i="6" s="1"/>
  <c r="F419" i="6"/>
  <c r="C419" i="6"/>
  <c r="AC418" i="6"/>
  <c r="AD418" i="6" s="1"/>
  <c r="AA418" i="6"/>
  <c r="W418" i="6"/>
  <c r="X418" i="6" s="1"/>
  <c r="U418" i="6"/>
  <c r="R418" i="6"/>
  <c r="N418" i="6"/>
  <c r="L418" i="6"/>
  <c r="H418" i="6"/>
  <c r="I418" i="6" s="1"/>
  <c r="F418" i="6"/>
  <c r="C418" i="6"/>
  <c r="AD417" i="6"/>
  <c r="AC417" i="6"/>
  <c r="AA417" i="6"/>
  <c r="W417" i="6"/>
  <c r="U417" i="6"/>
  <c r="R417" i="6"/>
  <c r="N417" i="6"/>
  <c r="O417" i="6" s="1"/>
  <c r="L417" i="6"/>
  <c r="H417" i="6"/>
  <c r="I417" i="6" s="1"/>
  <c r="F417" i="6"/>
  <c r="C417" i="6"/>
  <c r="AC416" i="6"/>
  <c r="AD416" i="6" s="1"/>
  <c r="AA416" i="6"/>
  <c r="W416" i="6"/>
  <c r="U416" i="6"/>
  <c r="R416" i="6"/>
  <c r="O416" i="6"/>
  <c r="N416" i="6"/>
  <c r="L416" i="6"/>
  <c r="I416" i="6"/>
  <c r="H416" i="6"/>
  <c r="F416" i="6"/>
  <c r="C416" i="6"/>
  <c r="AC415" i="6"/>
  <c r="AD415" i="6" s="1"/>
  <c r="AA415" i="6"/>
  <c r="X415" i="6"/>
  <c r="W415" i="6"/>
  <c r="U415" i="6"/>
  <c r="R415" i="6"/>
  <c r="N415" i="6"/>
  <c r="L415" i="6"/>
  <c r="H415" i="6"/>
  <c r="I415" i="6" s="1"/>
  <c r="F415" i="6"/>
  <c r="C415" i="6"/>
  <c r="AC414" i="6"/>
  <c r="AD414" i="6" s="1"/>
  <c r="AA414" i="6"/>
  <c r="W414" i="6"/>
  <c r="X414" i="6" s="1"/>
  <c r="U414" i="6"/>
  <c r="R414" i="6"/>
  <c r="N414" i="6"/>
  <c r="L414" i="6"/>
  <c r="H414" i="6"/>
  <c r="I414" i="6" s="1"/>
  <c r="F414" i="6"/>
  <c r="C414" i="6"/>
  <c r="AD413" i="6"/>
  <c r="AC413" i="6"/>
  <c r="AA413" i="6"/>
  <c r="X413" i="6"/>
  <c r="W413" i="6"/>
  <c r="U413" i="6"/>
  <c r="R413" i="6"/>
  <c r="N413" i="6"/>
  <c r="O413" i="6" s="1"/>
  <c r="L413" i="6"/>
  <c r="H413" i="6"/>
  <c r="I413" i="6" s="1"/>
  <c r="F413" i="6"/>
  <c r="C413" i="6"/>
  <c r="AD412" i="6"/>
  <c r="AC412" i="6"/>
  <c r="AA412" i="6"/>
  <c r="W412" i="6"/>
  <c r="U412" i="6"/>
  <c r="R412" i="6"/>
  <c r="O412" i="6"/>
  <c r="N412" i="6"/>
  <c r="L412" i="6"/>
  <c r="I412" i="6"/>
  <c r="H412" i="6"/>
  <c r="F412" i="6"/>
  <c r="C412" i="6"/>
  <c r="AC411" i="6"/>
  <c r="AD411" i="6" s="1"/>
  <c r="AA411" i="6"/>
  <c r="W411" i="6"/>
  <c r="X411" i="6" s="1"/>
  <c r="U411" i="6"/>
  <c r="R411" i="6"/>
  <c r="O411" i="6"/>
  <c r="N411" i="6"/>
  <c r="L411" i="6"/>
  <c r="I411" i="6"/>
  <c r="H411" i="6"/>
  <c r="F411" i="6"/>
  <c r="C411" i="6"/>
  <c r="AC410" i="6"/>
  <c r="AD410" i="6" s="1"/>
  <c r="AA410" i="6"/>
  <c r="W410" i="6"/>
  <c r="X410" i="6" s="1"/>
  <c r="U410" i="6"/>
  <c r="R410" i="6"/>
  <c r="O410" i="6"/>
  <c r="N410" i="6"/>
  <c r="L410" i="6"/>
  <c r="H410" i="6"/>
  <c r="I410" i="6" s="1"/>
  <c r="F410" i="6"/>
  <c r="C410" i="6"/>
  <c r="AD409" i="6"/>
  <c r="AC409" i="6"/>
  <c r="AA409" i="6"/>
  <c r="W409" i="6"/>
  <c r="U409" i="6"/>
  <c r="R409" i="6"/>
  <c r="N409" i="6"/>
  <c r="O409" i="6" s="1"/>
  <c r="L409" i="6"/>
  <c r="H409" i="6"/>
  <c r="I409" i="6" s="1"/>
  <c r="F409" i="6"/>
  <c r="C409" i="6"/>
  <c r="AC408" i="6"/>
  <c r="AD408" i="6" s="1"/>
  <c r="AA408" i="6"/>
  <c r="X408" i="6"/>
  <c r="W408" i="6"/>
  <c r="U408" i="6"/>
  <c r="R408" i="6"/>
  <c r="N408" i="6"/>
  <c r="O408" i="6" s="1"/>
  <c r="L408" i="6"/>
  <c r="H408" i="6"/>
  <c r="I408" i="6" s="1"/>
  <c r="F408" i="6"/>
  <c r="C408" i="6"/>
  <c r="AC407" i="6"/>
  <c r="AD407" i="6" s="1"/>
  <c r="AA407" i="6"/>
  <c r="W407" i="6"/>
  <c r="X407" i="6" s="1"/>
  <c r="U407" i="6"/>
  <c r="R407" i="6"/>
  <c r="O407" i="6"/>
  <c r="N407" i="6"/>
  <c r="L407" i="6"/>
  <c r="H407" i="6"/>
  <c r="I407" i="6" s="1"/>
  <c r="F407" i="6"/>
  <c r="C407" i="6"/>
  <c r="AD403" i="6"/>
  <c r="AC403" i="6"/>
  <c r="AA403" i="6"/>
  <c r="Z403" i="6"/>
  <c r="T403" i="6"/>
  <c r="U403" i="6" s="1"/>
  <c r="Q403" i="6"/>
  <c r="W403" i="6" s="1"/>
  <c r="X403" i="6" s="1"/>
  <c r="K403" i="6"/>
  <c r="L403" i="6" s="1"/>
  <c r="E403" i="6"/>
  <c r="F403" i="6" s="1"/>
  <c r="B403" i="6"/>
  <c r="H403" i="6" s="1"/>
  <c r="I403" i="6" s="1"/>
  <c r="AC402" i="6"/>
  <c r="AD402" i="6" s="1"/>
  <c r="AA402" i="6"/>
  <c r="X402" i="6"/>
  <c r="W402" i="6"/>
  <c r="U402" i="6"/>
  <c r="R402" i="6"/>
  <c r="O402" i="6"/>
  <c r="N402" i="6"/>
  <c r="L402" i="6"/>
  <c r="H402" i="6"/>
  <c r="I402" i="6" s="1"/>
  <c r="F402" i="6"/>
  <c r="C402" i="6"/>
  <c r="AC401" i="6"/>
  <c r="AD401" i="6" s="1"/>
  <c r="AA401" i="6"/>
  <c r="W401" i="6"/>
  <c r="U401" i="6"/>
  <c r="R401" i="6"/>
  <c r="N401" i="6"/>
  <c r="O401" i="6" s="1"/>
  <c r="L401" i="6"/>
  <c r="H401" i="6"/>
  <c r="I401" i="6" s="1"/>
  <c r="F401" i="6"/>
  <c r="C401" i="6"/>
  <c r="AC400" i="6"/>
  <c r="AD400" i="6" s="1"/>
  <c r="AA400" i="6"/>
  <c r="W400" i="6"/>
  <c r="U400" i="6"/>
  <c r="R400" i="6"/>
  <c r="N400" i="6"/>
  <c r="O400" i="6" s="1"/>
  <c r="L400" i="6"/>
  <c r="H400" i="6"/>
  <c r="I400" i="6" s="1"/>
  <c r="F400" i="6"/>
  <c r="C400" i="6"/>
  <c r="AC399" i="6"/>
  <c r="AD399" i="6" s="1"/>
  <c r="AA399" i="6"/>
  <c r="W399" i="6"/>
  <c r="X399" i="6" s="1"/>
  <c r="U399" i="6"/>
  <c r="R399" i="6"/>
  <c r="O399" i="6"/>
  <c r="N399" i="6"/>
  <c r="L399" i="6"/>
  <c r="H399" i="6"/>
  <c r="I399" i="6" s="1"/>
  <c r="F399" i="6"/>
  <c r="C399" i="6"/>
  <c r="AC398" i="6"/>
  <c r="AD398" i="6" s="1"/>
  <c r="AA398" i="6"/>
  <c r="W398" i="6"/>
  <c r="X398" i="6" s="1"/>
  <c r="U398" i="6"/>
  <c r="R398" i="6"/>
  <c r="O398" i="6"/>
  <c r="N398" i="6"/>
  <c r="L398" i="6"/>
  <c r="H398" i="6"/>
  <c r="I398" i="6" s="1"/>
  <c r="F398" i="6"/>
  <c r="C398" i="6"/>
  <c r="AC397" i="6"/>
  <c r="AD397" i="6" s="1"/>
  <c r="AA397" i="6"/>
  <c r="W397" i="6"/>
  <c r="U397" i="6"/>
  <c r="R397" i="6"/>
  <c r="N397" i="6"/>
  <c r="O397" i="6" s="1"/>
  <c r="L397" i="6"/>
  <c r="H397" i="6"/>
  <c r="I397" i="6" s="1"/>
  <c r="F397" i="6"/>
  <c r="C397" i="6"/>
  <c r="Z396" i="6"/>
  <c r="AA396" i="6" s="1"/>
  <c r="T396" i="6"/>
  <c r="Q396" i="6"/>
  <c r="R396" i="6" s="1"/>
  <c r="K396" i="6"/>
  <c r="L396" i="6" s="1"/>
  <c r="E396" i="6"/>
  <c r="H396" i="6" s="1"/>
  <c r="I396" i="6" s="1"/>
  <c r="B396" i="6"/>
  <c r="C396" i="6" s="1"/>
  <c r="AC395" i="6"/>
  <c r="AD395" i="6" s="1"/>
  <c r="AA395" i="6"/>
  <c r="W395" i="6"/>
  <c r="X395" i="6" s="1"/>
  <c r="U395" i="6"/>
  <c r="R395" i="6"/>
  <c r="O395" i="6"/>
  <c r="N395" i="6"/>
  <c r="L395" i="6"/>
  <c r="H395" i="6"/>
  <c r="I395" i="6" s="1"/>
  <c r="F395" i="6"/>
  <c r="C395" i="6"/>
  <c r="AC394" i="6"/>
  <c r="AD394" i="6" s="1"/>
  <c r="AA394" i="6"/>
  <c r="W394" i="6"/>
  <c r="U394" i="6"/>
  <c r="R394" i="6"/>
  <c r="O394" i="6"/>
  <c r="N394" i="6"/>
  <c r="L394" i="6"/>
  <c r="H394" i="6"/>
  <c r="F394" i="6"/>
  <c r="C394" i="6"/>
  <c r="AA393" i="6"/>
  <c r="Z393" i="6"/>
  <c r="AC393" i="6" s="1"/>
  <c r="AD393" i="6" s="1"/>
  <c r="W393" i="6"/>
  <c r="X393" i="6" s="1"/>
  <c r="T393" i="6"/>
  <c r="U393" i="6" s="1"/>
  <c r="Q393" i="6"/>
  <c r="R393" i="6" s="1"/>
  <c r="K393" i="6"/>
  <c r="H393" i="6"/>
  <c r="I393" i="6" s="1"/>
  <c r="F393" i="6"/>
  <c r="E393" i="6"/>
  <c r="B393" i="6"/>
  <c r="C393" i="6" s="1"/>
  <c r="AC392" i="6"/>
  <c r="AD392" i="6" s="1"/>
  <c r="AA392" i="6"/>
  <c r="W392" i="6"/>
  <c r="X392" i="6" s="1"/>
  <c r="U392" i="6"/>
  <c r="R392" i="6"/>
  <c r="O392" i="6"/>
  <c r="N392" i="6"/>
  <c r="L392" i="6"/>
  <c r="H392" i="6"/>
  <c r="I392" i="6" s="1"/>
  <c r="F392" i="6"/>
  <c r="C392" i="6"/>
  <c r="AD391" i="6"/>
  <c r="AC391" i="6"/>
  <c r="AA391" i="6"/>
  <c r="W391" i="6"/>
  <c r="U391" i="6"/>
  <c r="R391" i="6"/>
  <c r="N391" i="6"/>
  <c r="O391" i="6" s="1"/>
  <c r="L391" i="6"/>
  <c r="H391" i="6"/>
  <c r="I391" i="6" s="1"/>
  <c r="F391" i="6"/>
  <c r="C391" i="6"/>
  <c r="AC390" i="6"/>
  <c r="AD390" i="6" s="1"/>
  <c r="AA390" i="6"/>
  <c r="X390" i="6"/>
  <c r="W390" i="6"/>
  <c r="U390" i="6"/>
  <c r="R390" i="6"/>
  <c r="N390" i="6"/>
  <c r="O390" i="6" s="1"/>
  <c r="L390" i="6"/>
  <c r="H390" i="6"/>
  <c r="I390" i="6" s="1"/>
  <c r="F390" i="6"/>
  <c r="C390" i="6"/>
  <c r="AC389" i="6"/>
  <c r="AD389" i="6" s="1"/>
  <c r="AA389" i="6"/>
  <c r="W389" i="6"/>
  <c r="X389" i="6" s="1"/>
  <c r="U389" i="6"/>
  <c r="R389" i="6"/>
  <c r="O389" i="6"/>
  <c r="N389" i="6"/>
  <c r="L389" i="6"/>
  <c r="H389" i="6"/>
  <c r="I389" i="6" s="1"/>
  <c r="F389" i="6"/>
  <c r="C389" i="6"/>
  <c r="AC388" i="6"/>
  <c r="AD388" i="6" s="1"/>
  <c r="AA388" i="6"/>
  <c r="W388" i="6"/>
  <c r="X388" i="6" s="1"/>
  <c r="U388" i="6"/>
  <c r="R388" i="6"/>
  <c r="O388" i="6"/>
  <c r="N388" i="6"/>
  <c r="L388" i="6"/>
  <c r="H388" i="6"/>
  <c r="F388" i="6"/>
  <c r="C388" i="6"/>
  <c r="AC386" i="6"/>
  <c r="AD386" i="6" s="1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W385" i="6"/>
  <c r="U385" i="6"/>
  <c r="R385" i="6"/>
  <c r="O385" i="6"/>
  <c r="N385" i="6"/>
  <c r="L385" i="6"/>
  <c r="I385" i="6"/>
  <c r="H385" i="6"/>
  <c r="F385" i="6"/>
  <c r="C385" i="6"/>
  <c r="AC383" i="6"/>
  <c r="AD383" i="6" s="1"/>
  <c r="AA383" i="6"/>
  <c r="W383" i="6"/>
  <c r="X383" i="6" s="1"/>
  <c r="U383" i="6"/>
  <c r="R383" i="6"/>
  <c r="O383" i="6"/>
  <c r="N383" i="6"/>
  <c r="L383" i="6"/>
  <c r="I383" i="6"/>
  <c r="H383" i="6"/>
  <c r="F383" i="6"/>
  <c r="C383" i="6"/>
  <c r="AC382" i="6"/>
  <c r="AD382" i="6" s="1"/>
  <c r="AA382" i="6"/>
  <c r="W382" i="6"/>
  <c r="X382" i="6" s="1"/>
  <c r="U382" i="6"/>
  <c r="R382" i="6"/>
  <c r="O382" i="6"/>
  <c r="N382" i="6"/>
  <c r="L382" i="6"/>
  <c r="H382" i="6"/>
  <c r="I382" i="6" s="1"/>
  <c r="F382" i="6"/>
  <c r="C382" i="6"/>
  <c r="AD381" i="6"/>
  <c r="AC381" i="6"/>
  <c r="AA381" i="6"/>
  <c r="W381" i="6"/>
  <c r="U381" i="6"/>
  <c r="R381" i="6"/>
  <c r="N381" i="6"/>
  <c r="O381" i="6" s="1"/>
  <c r="L381" i="6"/>
  <c r="H381" i="6"/>
  <c r="I381" i="6" s="1"/>
  <c r="F381" i="6"/>
  <c r="C381" i="6"/>
  <c r="AC380" i="6"/>
  <c r="AD380" i="6" s="1"/>
  <c r="AA380" i="6"/>
  <c r="X380" i="6"/>
  <c r="W380" i="6"/>
  <c r="U380" i="6"/>
  <c r="R380" i="6"/>
  <c r="N380" i="6"/>
  <c r="O380" i="6" s="1"/>
  <c r="L380" i="6"/>
  <c r="I380" i="6"/>
  <c r="H380" i="6"/>
  <c r="F380" i="6"/>
  <c r="C380" i="6"/>
  <c r="AC379" i="6"/>
  <c r="AD379" i="6" s="1"/>
  <c r="AA379" i="6"/>
  <c r="W379" i="6"/>
  <c r="X379" i="6" s="1"/>
  <c r="U379" i="6"/>
  <c r="R379" i="6"/>
  <c r="O379" i="6"/>
  <c r="N379" i="6"/>
  <c r="L379" i="6"/>
  <c r="H379" i="6"/>
  <c r="I379" i="6" s="1"/>
  <c r="F379" i="6"/>
  <c r="C379" i="6"/>
  <c r="AC378" i="6"/>
  <c r="AD378" i="6" s="1"/>
  <c r="AA378" i="6"/>
  <c r="W378" i="6"/>
  <c r="X378" i="6" s="1"/>
  <c r="U378" i="6"/>
  <c r="R378" i="6"/>
  <c r="O378" i="6"/>
  <c r="N378" i="6"/>
  <c r="L378" i="6"/>
  <c r="H378" i="6"/>
  <c r="F378" i="6"/>
  <c r="C378" i="6"/>
  <c r="AC377" i="6"/>
  <c r="AD377" i="6" s="1"/>
  <c r="AA377" i="6"/>
  <c r="X377" i="6"/>
  <c r="W377" i="6"/>
  <c r="U377" i="6"/>
  <c r="R377" i="6"/>
  <c r="O377" i="6"/>
  <c r="N377" i="6"/>
  <c r="L377" i="6"/>
  <c r="H377" i="6"/>
  <c r="I377" i="6" s="1"/>
  <c r="F377" i="6"/>
  <c r="C377" i="6"/>
  <c r="AC376" i="6"/>
  <c r="AD376" i="6" s="1"/>
  <c r="AA376" i="6"/>
  <c r="W376" i="6"/>
  <c r="U376" i="6"/>
  <c r="R376" i="6"/>
  <c r="O376" i="6"/>
  <c r="N376" i="6"/>
  <c r="L376" i="6"/>
  <c r="I376" i="6"/>
  <c r="H376" i="6"/>
  <c r="F376" i="6"/>
  <c r="C376" i="6"/>
  <c r="AC375" i="6"/>
  <c r="AD375" i="6" s="1"/>
  <c r="AA375" i="6"/>
  <c r="W375" i="6"/>
  <c r="X375" i="6" s="1"/>
  <c r="U375" i="6"/>
  <c r="R375" i="6"/>
  <c r="O375" i="6"/>
  <c r="N375" i="6"/>
  <c r="L375" i="6"/>
  <c r="I375" i="6"/>
  <c r="H375" i="6"/>
  <c r="F375" i="6"/>
  <c r="C375" i="6"/>
  <c r="AC374" i="6"/>
  <c r="AD374" i="6" s="1"/>
  <c r="AA374" i="6"/>
  <c r="X374" i="6"/>
  <c r="W374" i="6"/>
  <c r="U374" i="6"/>
  <c r="R374" i="6"/>
  <c r="O374" i="6"/>
  <c r="N374" i="6"/>
  <c r="L374" i="6"/>
  <c r="H374" i="6"/>
  <c r="I374" i="6" s="1"/>
  <c r="F374" i="6"/>
  <c r="C374" i="6"/>
  <c r="AD373" i="6"/>
  <c r="AC373" i="6"/>
  <c r="AA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W372" i="6"/>
  <c r="X372" i="6" s="1"/>
  <c r="U372" i="6"/>
  <c r="R372" i="6"/>
  <c r="N372" i="6"/>
  <c r="O372" i="6" s="1"/>
  <c r="L372" i="6"/>
  <c r="I372" i="6"/>
  <c r="H372" i="6"/>
  <c r="F372" i="6"/>
  <c r="C372" i="6"/>
  <c r="AC371" i="6"/>
  <c r="AD371" i="6" s="1"/>
  <c r="AA371" i="6"/>
  <c r="W371" i="6"/>
  <c r="X371" i="6" s="1"/>
  <c r="U371" i="6"/>
  <c r="R371" i="6"/>
  <c r="O371" i="6"/>
  <c r="N371" i="6"/>
  <c r="L371" i="6"/>
  <c r="H371" i="6"/>
  <c r="I371" i="6" s="1"/>
  <c r="F371" i="6"/>
  <c r="C371" i="6"/>
  <c r="AC370" i="6"/>
  <c r="AD370" i="6" s="1"/>
  <c r="AA370" i="6"/>
  <c r="W370" i="6"/>
  <c r="X370" i="6" s="1"/>
  <c r="U370" i="6"/>
  <c r="R370" i="6"/>
  <c r="O370" i="6"/>
  <c r="N370" i="6"/>
  <c r="L370" i="6"/>
  <c r="H370" i="6"/>
  <c r="I370" i="6" s="1"/>
  <c r="F370" i="6"/>
  <c r="C370" i="6"/>
  <c r="AC369" i="6"/>
  <c r="AD369" i="6" s="1"/>
  <c r="AA369" i="6"/>
  <c r="W369" i="6"/>
  <c r="U369" i="6"/>
  <c r="R369" i="6"/>
  <c r="N369" i="6"/>
  <c r="O369" i="6" s="1"/>
  <c r="L369" i="6"/>
  <c r="I369" i="6"/>
  <c r="H369" i="6"/>
  <c r="F369" i="6"/>
  <c r="C369" i="6"/>
  <c r="Z368" i="6"/>
  <c r="AC368" i="6" s="1"/>
  <c r="AD368" i="6" s="1"/>
  <c r="X368" i="6"/>
  <c r="T368" i="6"/>
  <c r="U368" i="6" s="1"/>
  <c r="Q368" i="6"/>
  <c r="W368" i="6" s="1"/>
  <c r="N368" i="6"/>
  <c r="O368" i="6" s="1"/>
  <c r="L368" i="6"/>
  <c r="K368" i="6"/>
  <c r="E368" i="6"/>
  <c r="F368" i="6" s="1"/>
  <c r="B368" i="6"/>
  <c r="H368" i="6" s="1"/>
  <c r="I368" i="6" s="1"/>
  <c r="AC367" i="6"/>
  <c r="AD367" i="6" s="1"/>
  <c r="AA367" i="6"/>
  <c r="W367" i="6"/>
  <c r="X367" i="6" s="1"/>
  <c r="U367" i="6"/>
  <c r="R367" i="6"/>
  <c r="N367" i="6"/>
  <c r="O367" i="6" s="1"/>
  <c r="L367" i="6"/>
  <c r="H367" i="6"/>
  <c r="I367" i="6" s="1"/>
  <c r="F367" i="6"/>
  <c r="C367" i="6"/>
  <c r="AC366" i="6"/>
  <c r="AD366" i="6" s="1"/>
  <c r="AA366" i="6"/>
  <c r="X366" i="6"/>
  <c r="W366" i="6"/>
  <c r="U366" i="6"/>
  <c r="R366" i="6"/>
  <c r="N366" i="6"/>
  <c r="O366" i="6" s="1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H365" i="6"/>
  <c r="I365" i="6" s="1"/>
  <c r="F365" i="6"/>
  <c r="C365" i="6"/>
  <c r="AC364" i="6"/>
  <c r="AD364" i="6" s="1"/>
  <c r="AA364" i="6"/>
  <c r="W364" i="6"/>
  <c r="X364" i="6" s="1"/>
  <c r="U364" i="6"/>
  <c r="R364" i="6"/>
  <c r="O364" i="6"/>
  <c r="N364" i="6"/>
  <c r="L364" i="6"/>
  <c r="I364" i="6"/>
  <c r="H364" i="6"/>
  <c r="F364" i="6"/>
  <c r="C364" i="6"/>
  <c r="AC363" i="6"/>
  <c r="AD363" i="6" s="1"/>
  <c r="AA363" i="6"/>
  <c r="W363" i="6"/>
  <c r="X363" i="6" s="1"/>
  <c r="U363" i="6"/>
  <c r="R363" i="6"/>
  <c r="N363" i="6"/>
  <c r="O363" i="6" s="1"/>
  <c r="L363" i="6"/>
  <c r="H363" i="6"/>
  <c r="I363" i="6" s="1"/>
  <c r="F363" i="6"/>
  <c r="C363" i="6"/>
  <c r="AC362" i="6"/>
  <c r="AD362" i="6" s="1"/>
  <c r="AA362" i="6"/>
  <c r="W362" i="6"/>
  <c r="U362" i="6"/>
  <c r="R362" i="6"/>
  <c r="O362" i="6"/>
  <c r="N362" i="6"/>
  <c r="L362" i="6"/>
  <c r="H362" i="6"/>
  <c r="I362" i="6" s="1"/>
  <c r="F362" i="6"/>
  <c r="C362" i="6"/>
  <c r="AD361" i="6"/>
  <c r="AC361" i="6"/>
  <c r="AA361" i="6"/>
  <c r="W361" i="6"/>
  <c r="X361" i="6" s="1"/>
  <c r="U361" i="6"/>
  <c r="R361" i="6"/>
  <c r="O361" i="6"/>
  <c r="N361" i="6"/>
  <c r="L361" i="6"/>
  <c r="H361" i="6"/>
  <c r="I361" i="6" s="1"/>
  <c r="F361" i="6"/>
  <c r="C361" i="6"/>
  <c r="AC360" i="6"/>
  <c r="AD360" i="6" s="1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Z358" i="6"/>
  <c r="AA358" i="6" s="1"/>
  <c r="T358" i="6"/>
  <c r="W358" i="6" s="1"/>
  <c r="X358" i="6" s="1"/>
  <c r="Q358" i="6"/>
  <c r="R358" i="6" s="1"/>
  <c r="K358" i="6"/>
  <c r="L358" i="6" s="1"/>
  <c r="H358" i="6"/>
  <c r="I358" i="6" s="1"/>
  <c r="F358" i="6"/>
  <c r="E358" i="6"/>
  <c r="B358" i="6"/>
  <c r="C358" i="6" s="1"/>
  <c r="AC357" i="6"/>
  <c r="AD357" i="6" s="1"/>
  <c r="AA357" i="6"/>
  <c r="W357" i="6"/>
  <c r="X357" i="6" s="1"/>
  <c r="U357" i="6"/>
  <c r="R357" i="6"/>
  <c r="O357" i="6"/>
  <c r="N357" i="6"/>
  <c r="L357" i="6"/>
  <c r="I357" i="6"/>
  <c r="H357" i="6"/>
  <c r="F357" i="6"/>
  <c r="C357" i="6"/>
  <c r="AC356" i="6"/>
  <c r="AD356" i="6" s="1"/>
  <c r="AA356" i="6"/>
  <c r="W356" i="6"/>
  <c r="X356" i="6" s="1"/>
  <c r="U356" i="6"/>
  <c r="R356" i="6"/>
  <c r="O356" i="6"/>
  <c r="N356" i="6"/>
  <c r="L356" i="6"/>
  <c r="I356" i="6"/>
  <c r="H356" i="6"/>
  <c r="F356" i="6"/>
  <c r="C356" i="6"/>
  <c r="AD355" i="6"/>
  <c r="AC355" i="6"/>
  <c r="AA355" i="6"/>
  <c r="W355" i="6"/>
  <c r="X355" i="6" s="1"/>
  <c r="U355" i="6"/>
  <c r="R355" i="6"/>
  <c r="N355" i="6"/>
  <c r="O355" i="6" s="1"/>
  <c r="L355" i="6"/>
  <c r="H355" i="6"/>
  <c r="I355" i="6" s="1"/>
  <c r="F355" i="6"/>
  <c r="C355" i="6"/>
  <c r="AC354" i="6"/>
  <c r="AD354" i="6" s="1"/>
  <c r="AA354" i="6"/>
  <c r="X354" i="6"/>
  <c r="W354" i="6"/>
  <c r="U354" i="6"/>
  <c r="R354" i="6"/>
  <c r="O354" i="6"/>
  <c r="N354" i="6"/>
  <c r="L354" i="6"/>
  <c r="H354" i="6"/>
  <c r="I354" i="6" s="1"/>
  <c r="F354" i="6"/>
  <c r="C354" i="6"/>
  <c r="AC353" i="6"/>
  <c r="AD353" i="6" s="1"/>
  <c r="AA353" i="6"/>
  <c r="W353" i="6"/>
  <c r="X353" i="6" s="1"/>
  <c r="U353" i="6"/>
  <c r="R353" i="6"/>
  <c r="O353" i="6"/>
  <c r="N353" i="6"/>
  <c r="L353" i="6"/>
  <c r="H353" i="6"/>
  <c r="I353" i="6" s="1"/>
  <c r="F353" i="6"/>
  <c r="C353" i="6"/>
  <c r="AC352" i="6"/>
  <c r="AD352" i="6" s="1"/>
  <c r="AA352" i="6"/>
  <c r="W352" i="6"/>
  <c r="X352" i="6" s="1"/>
  <c r="U352" i="6"/>
  <c r="R352" i="6"/>
  <c r="O352" i="6"/>
  <c r="N352" i="6"/>
  <c r="L352" i="6"/>
  <c r="I352" i="6"/>
  <c r="H352" i="6"/>
  <c r="F352" i="6"/>
  <c r="C352" i="6"/>
  <c r="AC351" i="6"/>
  <c r="AD351" i="6" s="1"/>
  <c r="AA351" i="6"/>
  <c r="W351" i="6"/>
  <c r="X351" i="6" s="1"/>
  <c r="U351" i="6"/>
  <c r="R351" i="6"/>
  <c r="N351" i="6"/>
  <c r="O351" i="6" s="1"/>
  <c r="L351" i="6"/>
  <c r="H351" i="6"/>
  <c r="I351" i="6" s="1"/>
  <c r="F351" i="6"/>
  <c r="C351" i="6"/>
  <c r="AC350" i="6"/>
  <c r="AD350" i="6" s="1"/>
  <c r="AA350" i="6"/>
  <c r="W350" i="6"/>
  <c r="U350" i="6"/>
  <c r="R350" i="6"/>
  <c r="O350" i="6"/>
  <c r="N350" i="6"/>
  <c r="L350" i="6"/>
  <c r="H350" i="6"/>
  <c r="I350" i="6" s="1"/>
  <c r="F350" i="6"/>
  <c r="C350" i="6"/>
  <c r="AD349" i="6"/>
  <c r="AC349" i="6"/>
  <c r="AA349" i="6"/>
  <c r="W349" i="6"/>
  <c r="U349" i="6"/>
  <c r="R349" i="6"/>
  <c r="N349" i="6"/>
  <c r="O349" i="6" s="1"/>
  <c r="L349" i="6"/>
  <c r="H349" i="6"/>
  <c r="I349" i="6" s="1"/>
  <c r="F349" i="6"/>
  <c r="C349" i="6"/>
  <c r="AC347" i="6"/>
  <c r="AD347" i="6" s="1"/>
  <c r="AA347" i="6"/>
  <c r="W347" i="6"/>
  <c r="X347" i="6" s="1"/>
  <c r="U347" i="6"/>
  <c r="R347" i="6"/>
  <c r="O347" i="6"/>
  <c r="N347" i="6"/>
  <c r="L347" i="6"/>
  <c r="I347" i="6"/>
  <c r="H347" i="6"/>
  <c r="F347" i="6"/>
  <c r="C347" i="6"/>
  <c r="Z344" i="6"/>
  <c r="AC344" i="6" s="1"/>
  <c r="AD344" i="6" s="1"/>
  <c r="W344" i="6"/>
  <c r="X344" i="6" s="1"/>
  <c r="T344" i="6"/>
  <c r="U344" i="6" s="1"/>
  <c r="R344" i="6"/>
  <c r="Q344" i="6"/>
  <c r="K344" i="6"/>
  <c r="N344" i="6" s="1"/>
  <c r="O344" i="6" s="1"/>
  <c r="H344" i="6"/>
  <c r="I344" i="6" s="1"/>
  <c r="E344" i="6"/>
  <c r="F344" i="6" s="1"/>
  <c r="B344" i="6"/>
  <c r="C344" i="6" s="1"/>
  <c r="Z343" i="6"/>
  <c r="AA343" i="6" s="1"/>
  <c r="U343" i="6"/>
  <c r="T343" i="6"/>
  <c r="Q343" i="6"/>
  <c r="N343" i="6"/>
  <c r="O343" i="6" s="1"/>
  <c r="K343" i="6"/>
  <c r="L343" i="6" s="1"/>
  <c r="E343" i="6"/>
  <c r="F343" i="6" s="1"/>
  <c r="B343" i="6"/>
  <c r="AA342" i="6"/>
  <c r="Z342" i="6"/>
  <c r="T342" i="6"/>
  <c r="U342" i="6" s="1"/>
  <c r="Q342" i="6"/>
  <c r="W342" i="6" s="1"/>
  <c r="X342" i="6" s="1"/>
  <c r="N342" i="6"/>
  <c r="O342" i="6" s="1"/>
  <c r="K342" i="6"/>
  <c r="L342" i="6" s="1"/>
  <c r="E342" i="6"/>
  <c r="F342" i="6" s="1"/>
  <c r="C342" i="6"/>
  <c r="B342" i="6"/>
  <c r="AD341" i="6"/>
  <c r="AC341" i="6"/>
  <c r="AA341" i="6"/>
  <c r="W341" i="6"/>
  <c r="X341" i="6" s="1"/>
  <c r="U341" i="6"/>
  <c r="R341" i="6"/>
  <c r="O341" i="6"/>
  <c r="N341" i="6"/>
  <c r="L341" i="6"/>
  <c r="H341" i="6"/>
  <c r="I341" i="6" s="1"/>
  <c r="F341" i="6"/>
  <c r="C341" i="6"/>
  <c r="AC340" i="6"/>
  <c r="AD340" i="6" s="1"/>
  <c r="AA340" i="6"/>
  <c r="X340" i="6"/>
  <c r="W340" i="6"/>
  <c r="U340" i="6"/>
  <c r="R340" i="6"/>
  <c r="N340" i="6"/>
  <c r="O340" i="6" s="1"/>
  <c r="L340" i="6"/>
  <c r="H340" i="6"/>
  <c r="I340" i="6" s="1"/>
  <c r="F340" i="6"/>
  <c r="C340" i="6"/>
  <c r="AC339" i="6"/>
  <c r="AD339" i="6" s="1"/>
  <c r="AA339" i="6"/>
  <c r="X339" i="6"/>
  <c r="W339" i="6"/>
  <c r="U339" i="6"/>
  <c r="R339" i="6"/>
  <c r="O339" i="6"/>
  <c r="N339" i="6"/>
  <c r="L339" i="6"/>
  <c r="H339" i="6"/>
  <c r="I339" i="6" s="1"/>
  <c r="F339" i="6"/>
  <c r="C339" i="6"/>
  <c r="AC338" i="6"/>
  <c r="AD338" i="6" s="1"/>
  <c r="AA338" i="6"/>
  <c r="W338" i="6"/>
  <c r="X338" i="6" s="1"/>
  <c r="U338" i="6"/>
  <c r="R338" i="6"/>
  <c r="O338" i="6"/>
  <c r="N338" i="6"/>
  <c r="L338" i="6"/>
  <c r="I338" i="6"/>
  <c r="H338" i="6"/>
  <c r="F338" i="6"/>
  <c r="C338" i="6"/>
  <c r="AC337" i="6"/>
  <c r="AD337" i="6" s="1"/>
  <c r="AA337" i="6"/>
  <c r="W337" i="6"/>
  <c r="X337" i="6" s="1"/>
  <c r="U337" i="6"/>
  <c r="R337" i="6"/>
  <c r="N337" i="6"/>
  <c r="O337" i="6" s="1"/>
  <c r="L337" i="6"/>
  <c r="H337" i="6"/>
  <c r="I337" i="6" s="1"/>
  <c r="F337" i="6"/>
  <c r="C337" i="6"/>
  <c r="AC335" i="6"/>
  <c r="AD335" i="6" s="1"/>
  <c r="AA335" i="6"/>
  <c r="X335" i="6"/>
  <c r="W335" i="6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H334" i="6"/>
  <c r="I334" i="6" s="1"/>
  <c r="F334" i="6"/>
  <c r="C334" i="6"/>
  <c r="AC333" i="6"/>
  <c r="AD333" i="6" s="1"/>
  <c r="AA333" i="6"/>
  <c r="W333" i="6"/>
  <c r="X333" i="6" s="1"/>
  <c r="U333" i="6"/>
  <c r="R333" i="6"/>
  <c r="O333" i="6"/>
  <c r="N333" i="6"/>
  <c r="L333" i="6"/>
  <c r="I333" i="6"/>
  <c r="H333" i="6"/>
  <c r="F333" i="6"/>
  <c r="C333" i="6"/>
  <c r="AC332" i="6"/>
  <c r="AD332" i="6" s="1"/>
  <c r="AA332" i="6"/>
  <c r="W332" i="6"/>
  <c r="X332" i="6" s="1"/>
  <c r="U332" i="6"/>
  <c r="R332" i="6"/>
  <c r="N332" i="6"/>
  <c r="O332" i="6" s="1"/>
  <c r="L332" i="6"/>
  <c r="H332" i="6"/>
  <c r="I332" i="6" s="1"/>
  <c r="F332" i="6"/>
  <c r="C332" i="6"/>
  <c r="AC331" i="6"/>
  <c r="AD331" i="6" s="1"/>
  <c r="AA331" i="6"/>
  <c r="W331" i="6"/>
  <c r="U331" i="6"/>
  <c r="R331" i="6"/>
  <c r="O331" i="6"/>
  <c r="N331" i="6"/>
  <c r="L331" i="6"/>
  <c r="H331" i="6"/>
  <c r="I331" i="6" s="1"/>
  <c r="F331" i="6"/>
  <c r="C331" i="6"/>
  <c r="AC330" i="6"/>
  <c r="AD330" i="6" s="1"/>
  <c r="AA330" i="6"/>
  <c r="W330" i="6"/>
  <c r="X330" i="6" s="1"/>
  <c r="U330" i="6"/>
  <c r="R330" i="6"/>
  <c r="O330" i="6"/>
  <c r="N330" i="6"/>
  <c r="L330" i="6"/>
  <c r="H330" i="6"/>
  <c r="I330" i="6" s="1"/>
  <c r="F330" i="6"/>
  <c r="C330" i="6"/>
  <c r="AC329" i="6"/>
  <c r="AD329" i="6" s="1"/>
  <c r="AA329" i="6"/>
  <c r="X329" i="6"/>
  <c r="W329" i="6"/>
  <c r="U329" i="6"/>
  <c r="R329" i="6"/>
  <c r="O329" i="6"/>
  <c r="N329" i="6"/>
  <c r="L329" i="6"/>
  <c r="H329" i="6"/>
  <c r="I329" i="6" s="1"/>
  <c r="F329" i="6"/>
  <c r="C329" i="6"/>
  <c r="AC328" i="6"/>
  <c r="AD328" i="6" s="1"/>
  <c r="AA328" i="6"/>
  <c r="X328" i="6"/>
  <c r="W328" i="6"/>
  <c r="U328" i="6"/>
  <c r="R328" i="6"/>
  <c r="N328" i="6"/>
  <c r="O328" i="6" s="1"/>
  <c r="L328" i="6"/>
  <c r="H328" i="6"/>
  <c r="I328" i="6" s="1"/>
  <c r="F328" i="6"/>
  <c r="C328" i="6"/>
  <c r="AC325" i="6"/>
  <c r="AD325" i="6" s="1"/>
  <c r="Z325" i="6"/>
  <c r="AA325" i="6" s="1"/>
  <c r="T325" i="6"/>
  <c r="U325" i="6" s="1"/>
  <c r="Q325" i="6"/>
  <c r="W325" i="6" s="1"/>
  <c r="X325" i="6" s="1"/>
  <c r="K325" i="6"/>
  <c r="L325" i="6" s="1"/>
  <c r="E325" i="6"/>
  <c r="F325" i="6" s="1"/>
  <c r="C325" i="6"/>
  <c r="B325" i="6"/>
  <c r="AA324" i="6"/>
  <c r="Z324" i="6"/>
  <c r="U324" i="6"/>
  <c r="T324" i="6"/>
  <c r="Q324" i="6"/>
  <c r="N324" i="6"/>
  <c r="O324" i="6" s="1"/>
  <c r="K324" i="6"/>
  <c r="L324" i="6" s="1"/>
  <c r="H324" i="6"/>
  <c r="I324" i="6" s="1"/>
  <c r="E324" i="6"/>
  <c r="F324" i="6" s="1"/>
  <c r="C324" i="6"/>
  <c r="B324" i="6"/>
  <c r="AD323" i="6"/>
  <c r="AC323" i="6"/>
  <c r="AA323" i="6"/>
  <c r="X323" i="6"/>
  <c r="W323" i="6"/>
  <c r="U323" i="6"/>
  <c r="R323" i="6"/>
  <c r="N323" i="6"/>
  <c r="O323" i="6" s="1"/>
  <c r="L323" i="6"/>
  <c r="H323" i="6"/>
  <c r="I323" i="6" s="1"/>
  <c r="F323" i="6"/>
  <c r="C323" i="6"/>
  <c r="AD322" i="6"/>
  <c r="AC322" i="6"/>
  <c r="AA322" i="6"/>
  <c r="W322" i="6"/>
  <c r="U322" i="6"/>
  <c r="R322" i="6"/>
  <c r="N322" i="6"/>
  <c r="O322" i="6" s="1"/>
  <c r="L322" i="6"/>
  <c r="I322" i="6"/>
  <c r="H322" i="6"/>
  <c r="F322" i="6"/>
  <c r="C322" i="6"/>
  <c r="AC321" i="6"/>
  <c r="AD321" i="6" s="1"/>
  <c r="AA321" i="6"/>
  <c r="X321" i="6"/>
  <c r="W321" i="6"/>
  <c r="U321" i="6"/>
  <c r="R321" i="6"/>
  <c r="O321" i="6"/>
  <c r="N321" i="6"/>
  <c r="L321" i="6"/>
  <c r="H321" i="6"/>
  <c r="I321" i="6" s="1"/>
  <c r="F321" i="6"/>
  <c r="C321" i="6"/>
  <c r="AD320" i="6"/>
  <c r="AC320" i="6"/>
  <c r="AA320" i="6"/>
  <c r="X320" i="6"/>
  <c r="W320" i="6"/>
  <c r="U320" i="6"/>
  <c r="R320" i="6"/>
  <c r="O320" i="6"/>
  <c r="N320" i="6"/>
  <c r="L320" i="6"/>
  <c r="H320" i="6"/>
  <c r="I320" i="6" s="1"/>
  <c r="F320" i="6"/>
  <c r="C320" i="6"/>
  <c r="AD319" i="6"/>
  <c r="AC319" i="6"/>
  <c r="AA319" i="6"/>
  <c r="W319" i="6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W318" i="6"/>
  <c r="X318" i="6" s="1"/>
  <c r="U318" i="6"/>
  <c r="R318" i="6"/>
  <c r="O318" i="6"/>
  <c r="N318" i="6"/>
  <c r="L318" i="6"/>
  <c r="I318" i="6"/>
  <c r="H318" i="6"/>
  <c r="F318" i="6"/>
  <c r="C318" i="6"/>
  <c r="AC317" i="6"/>
  <c r="AD317" i="6" s="1"/>
  <c r="AA317" i="6"/>
  <c r="W317" i="6"/>
  <c r="X317" i="6" s="1"/>
  <c r="U317" i="6"/>
  <c r="R317" i="6"/>
  <c r="O317" i="6"/>
  <c r="N317" i="6"/>
  <c r="L317" i="6"/>
  <c r="I317" i="6"/>
  <c r="H317" i="6"/>
  <c r="F317" i="6"/>
  <c r="C317" i="6"/>
  <c r="AC316" i="6"/>
  <c r="AD316" i="6" s="1"/>
  <c r="AA316" i="6"/>
  <c r="W316" i="6"/>
  <c r="X316" i="6" s="1"/>
  <c r="U316" i="6"/>
  <c r="R316" i="6"/>
  <c r="O316" i="6"/>
  <c r="N316" i="6"/>
  <c r="L316" i="6"/>
  <c r="H316" i="6"/>
  <c r="I316" i="6" s="1"/>
  <c r="F316" i="6"/>
  <c r="C316" i="6"/>
  <c r="AC315" i="6"/>
  <c r="AD315" i="6" s="1"/>
  <c r="AA315" i="6"/>
  <c r="W315" i="6"/>
  <c r="U315" i="6"/>
  <c r="R315" i="6"/>
  <c r="N315" i="6"/>
  <c r="O315" i="6" s="1"/>
  <c r="L315" i="6"/>
  <c r="I315" i="6"/>
  <c r="H315" i="6"/>
  <c r="F315" i="6"/>
  <c r="C315" i="6"/>
  <c r="AC314" i="6"/>
  <c r="AD314" i="6" s="1"/>
  <c r="AA314" i="6"/>
  <c r="X314" i="6"/>
  <c r="W314" i="6"/>
  <c r="U314" i="6"/>
  <c r="R314" i="6"/>
  <c r="N314" i="6"/>
  <c r="O314" i="6" s="1"/>
  <c r="L314" i="6"/>
  <c r="H314" i="6"/>
  <c r="I314" i="6" s="1"/>
  <c r="F314" i="6"/>
  <c r="C314" i="6"/>
  <c r="AC313" i="6"/>
  <c r="AD313" i="6" s="1"/>
  <c r="AA313" i="6"/>
  <c r="W313" i="6"/>
  <c r="X313" i="6" s="1"/>
  <c r="U313" i="6"/>
  <c r="R313" i="6"/>
  <c r="O313" i="6"/>
  <c r="N313" i="6"/>
  <c r="L313" i="6"/>
  <c r="I313" i="6"/>
  <c r="H313" i="6"/>
  <c r="F313" i="6"/>
  <c r="C313" i="6"/>
  <c r="AC312" i="6"/>
  <c r="AD312" i="6" s="1"/>
  <c r="AA312" i="6"/>
  <c r="W312" i="6"/>
  <c r="U312" i="6"/>
  <c r="R312" i="6"/>
  <c r="N312" i="6"/>
  <c r="O312" i="6" s="1"/>
  <c r="L312" i="6"/>
  <c r="H312" i="6"/>
  <c r="I312" i="6" s="1"/>
  <c r="F312" i="6"/>
  <c r="C312" i="6"/>
  <c r="AC311" i="6"/>
  <c r="AD311" i="6" s="1"/>
  <c r="AA311" i="6"/>
  <c r="X311" i="6"/>
  <c r="W311" i="6"/>
  <c r="U311" i="6"/>
  <c r="R311" i="6"/>
  <c r="O311" i="6"/>
  <c r="N311" i="6"/>
  <c r="L311" i="6"/>
  <c r="H311" i="6"/>
  <c r="I311" i="6" s="1"/>
  <c r="F311" i="6"/>
  <c r="C311" i="6"/>
  <c r="AD310" i="6"/>
  <c r="AC310" i="6"/>
  <c r="AA310" i="6"/>
  <c r="X310" i="6"/>
  <c r="W310" i="6"/>
  <c r="U310" i="6"/>
  <c r="R310" i="6"/>
  <c r="N310" i="6"/>
  <c r="O310" i="6" s="1"/>
  <c r="L310" i="6"/>
  <c r="H310" i="6"/>
  <c r="I310" i="6" s="1"/>
  <c r="F310" i="6"/>
  <c r="C310" i="6"/>
  <c r="AC309" i="6"/>
  <c r="AD309" i="6" s="1"/>
  <c r="AA309" i="6"/>
  <c r="W309" i="6"/>
  <c r="U309" i="6"/>
  <c r="R309" i="6"/>
  <c r="O309" i="6"/>
  <c r="N309" i="6"/>
  <c r="L309" i="6"/>
  <c r="H309" i="6"/>
  <c r="I309" i="6" s="1"/>
  <c r="F309" i="6"/>
  <c r="C309" i="6"/>
  <c r="AC308" i="6"/>
  <c r="AD308" i="6" s="1"/>
  <c r="AA308" i="6"/>
  <c r="X308" i="6"/>
  <c r="W308" i="6"/>
  <c r="U308" i="6"/>
  <c r="R308" i="6"/>
  <c r="N308" i="6"/>
  <c r="O308" i="6" s="1"/>
  <c r="L308" i="6"/>
  <c r="H308" i="6"/>
  <c r="I308" i="6" s="1"/>
  <c r="F308" i="6"/>
  <c r="C308" i="6"/>
  <c r="AD307" i="6"/>
  <c r="AC307" i="6"/>
  <c r="AA307" i="6"/>
  <c r="X307" i="6"/>
  <c r="W307" i="6"/>
  <c r="U307" i="6"/>
  <c r="R307" i="6"/>
  <c r="N307" i="6"/>
  <c r="O307" i="6" s="1"/>
  <c r="L307" i="6"/>
  <c r="H307" i="6"/>
  <c r="I307" i="6" s="1"/>
  <c r="F307" i="6"/>
  <c r="C307" i="6"/>
  <c r="AD306" i="6"/>
  <c r="AC306" i="6"/>
  <c r="AA306" i="6"/>
  <c r="W306" i="6"/>
  <c r="U306" i="6"/>
  <c r="R306" i="6"/>
  <c r="N306" i="6"/>
  <c r="O306" i="6" s="1"/>
  <c r="L306" i="6"/>
  <c r="I306" i="6"/>
  <c r="H306" i="6"/>
  <c r="F306" i="6"/>
  <c r="C306" i="6"/>
  <c r="AC305" i="6"/>
  <c r="AD305" i="6" s="1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D304" i="6"/>
  <c r="AC304" i="6"/>
  <c r="AA304" i="6"/>
  <c r="W304" i="6"/>
  <c r="X304" i="6" s="1"/>
  <c r="U304" i="6"/>
  <c r="R304" i="6"/>
  <c r="O304" i="6"/>
  <c r="N304" i="6"/>
  <c r="L304" i="6"/>
  <c r="H304" i="6"/>
  <c r="I304" i="6" s="1"/>
  <c r="F304" i="6"/>
  <c r="C304" i="6"/>
  <c r="AD303" i="6"/>
  <c r="AC303" i="6"/>
  <c r="AA303" i="6"/>
  <c r="W303" i="6"/>
  <c r="U303" i="6"/>
  <c r="R303" i="6"/>
  <c r="N303" i="6"/>
  <c r="O303" i="6" s="1"/>
  <c r="L303" i="6"/>
  <c r="I303" i="6"/>
  <c r="H303" i="6"/>
  <c r="F303" i="6"/>
  <c r="C303" i="6"/>
  <c r="AD302" i="6"/>
  <c r="AC302" i="6"/>
  <c r="AA302" i="6"/>
  <c r="W302" i="6"/>
  <c r="X302" i="6" s="1"/>
  <c r="U302" i="6"/>
  <c r="R302" i="6"/>
  <c r="O302" i="6"/>
  <c r="N302" i="6"/>
  <c r="L302" i="6"/>
  <c r="I302" i="6"/>
  <c r="H302" i="6"/>
  <c r="F302" i="6"/>
  <c r="C302" i="6"/>
  <c r="AC301" i="6"/>
  <c r="AD301" i="6" s="1"/>
  <c r="AA301" i="6"/>
  <c r="W301" i="6"/>
  <c r="X301" i="6" s="1"/>
  <c r="U301" i="6"/>
  <c r="R301" i="6"/>
  <c r="O301" i="6"/>
  <c r="N301" i="6"/>
  <c r="L301" i="6"/>
  <c r="I301" i="6"/>
  <c r="H301" i="6"/>
  <c r="F301" i="6"/>
  <c r="C301" i="6"/>
  <c r="AC300" i="6"/>
  <c r="AD300" i="6" s="1"/>
  <c r="AA300" i="6"/>
  <c r="W300" i="6"/>
  <c r="X300" i="6" s="1"/>
  <c r="U300" i="6"/>
  <c r="R300" i="6"/>
  <c r="O300" i="6"/>
  <c r="N300" i="6"/>
  <c r="L300" i="6"/>
  <c r="H300" i="6"/>
  <c r="I300" i="6" s="1"/>
  <c r="F300" i="6"/>
  <c r="C300" i="6"/>
  <c r="AC299" i="6"/>
  <c r="AD299" i="6" s="1"/>
  <c r="AA299" i="6"/>
  <c r="W299" i="6"/>
  <c r="U299" i="6"/>
  <c r="R299" i="6"/>
  <c r="O299" i="6"/>
  <c r="N299" i="6"/>
  <c r="L299" i="6"/>
  <c r="I299" i="6"/>
  <c r="H299" i="6"/>
  <c r="F299" i="6"/>
  <c r="C299" i="6"/>
  <c r="AC298" i="6"/>
  <c r="AD298" i="6" s="1"/>
  <c r="AA298" i="6"/>
  <c r="W298" i="6"/>
  <c r="X298" i="6" s="1"/>
  <c r="U298" i="6"/>
  <c r="R298" i="6"/>
  <c r="O298" i="6"/>
  <c r="N298" i="6"/>
  <c r="L298" i="6"/>
  <c r="I298" i="6"/>
  <c r="H298" i="6"/>
  <c r="F298" i="6"/>
  <c r="C298" i="6"/>
  <c r="AC297" i="6"/>
  <c r="AD297" i="6" s="1"/>
  <c r="AA297" i="6"/>
  <c r="W297" i="6"/>
  <c r="X297" i="6" s="1"/>
  <c r="U297" i="6"/>
  <c r="R297" i="6"/>
  <c r="O297" i="6"/>
  <c r="N297" i="6"/>
  <c r="L297" i="6"/>
  <c r="I297" i="6"/>
  <c r="H297" i="6"/>
  <c r="F297" i="6"/>
  <c r="C297" i="6"/>
  <c r="Z295" i="6"/>
  <c r="AA295" i="6" s="1"/>
  <c r="T295" i="6"/>
  <c r="U295" i="6" s="1"/>
  <c r="Q295" i="6"/>
  <c r="W295" i="6" s="1"/>
  <c r="X295" i="6" s="1"/>
  <c r="K295" i="6"/>
  <c r="L295" i="6" s="1"/>
  <c r="F295" i="6"/>
  <c r="E295" i="6"/>
  <c r="B295" i="6"/>
  <c r="N295" i="6" s="1"/>
  <c r="O295" i="6" s="1"/>
  <c r="AD294" i="6"/>
  <c r="AC294" i="6"/>
  <c r="AA294" i="6"/>
  <c r="W294" i="6"/>
  <c r="X294" i="6" s="1"/>
  <c r="U294" i="6"/>
  <c r="R294" i="6"/>
  <c r="N294" i="6"/>
  <c r="O294" i="6" s="1"/>
  <c r="L294" i="6"/>
  <c r="I294" i="6"/>
  <c r="H294" i="6"/>
  <c r="F294" i="6"/>
  <c r="C294" i="6"/>
  <c r="AC293" i="6"/>
  <c r="AD293" i="6" s="1"/>
  <c r="AA293" i="6"/>
  <c r="X293" i="6"/>
  <c r="W293" i="6"/>
  <c r="U293" i="6"/>
  <c r="R293" i="6"/>
  <c r="O293" i="6"/>
  <c r="N293" i="6"/>
  <c r="L293" i="6"/>
  <c r="H293" i="6"/>
  <c r="I293" i="6" s="1"/>
  <c r="F293" i="6"/>
  <c r="C293" i="6"/>
  <c r="AD292" i="6"/>
  <c r="AC292" i="6"/>
  <c r="AA292" i="6"/>
  <c r="X292" i="6"/>
  <c r="W292" i="6"/>
  <c r="U292" i="6"/>
  <c r="R292" i="6"/>
  <c r="O292" i="6"/>
  <c r="N292" i="6"/>
  <c r="L292" i="6"/>
  <c r="H292" i="6"/>
  <c r="I292" i="6" s="1"/>
  <c r="F292" i="6"/>
  <c r="C292" i="6"/>
  <c r="AD291" i="6"/>
  <c r="AC291" i="6"/>
  <c r="AA291" i="6"/>
  <c r="W291" i="6"/>
  <c r="U291" i="6"/>
  <c r="R291" i="6"/>
  <c r="O291" i="6"/>
  <c r="N291" i="6"/>
  <c r="L291" i="6"/>
  <c r="I291" i="6"/>
  <c r="H291" i="6"/>
  <c r="F291" i="6"/>
  <c r="C291" i="6"/>
  <c r="AC290" i="6"/>
  <c r="AD290" i="6" s="1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C289" i="6"/>
  <c r="AD289" i="6" s="1"/>
  <c r="AA289" i="6"/>
  <c r="W289" i="6"/>
  <c r="X289" i="6" s="1"/>
  <c r="U289" i="6"/>
  <c r="R289" i="6"/>
  <c r="O289" i="6"/>
  <c r="N289" i="6"/>
  <c r="L289" i="6"/>
  <c r="I289" i="6"/>
  <c r="H289" i="6"/>
  <c r="F289" i="6"/>
  <c r="C289" i="6"/>
  <c r="AC288" i="6"/>
  <c r="AD288" i="6" s="1"/>
  <c r="AA288" i="6"/>
  <c r="W288" i="6"/>
  <c r="X288" i="6" s="1"/>
  <c r="U288" i="6"/>
  <c r="R288" i="6"/>
  <c r="O288" i="6"/>
  <c r="N288" i="6"/>
  <c r="L288" i="6"/>
  <c r="H288" i="6"/>
  <c r="I288" i="6" s="1"/>
  <c r="F288" i="6"/>
  <c r="C288" i="6"/>
  <c r="AC287" i="6"/>
  <c r="AD287" i="6" s="1"/>
  <c r="AA287" i="6"/>
  <c r="W287" i="6"/>
  <c r="U287" i="6"/>
  <c r="R287" i="6"/>
  <c r="N287" i="6"/>
  <c r="O287" i="6" s="1"/>
  <c r="L287" i="6"/>
  <c r="I287" i="6"/>
  <c r="H287" i="6"/>
  <c r="F287" i="6"/>
  <c r="C287" i="6"/>
  <c r="AC286" i="6"/>
  <c r="AD286" i="6" s="1"/>
  <c r="AA286" i="6"/>
  <c r="X286" i="6"/>
  <c r="W286" i="6"/>
  <c r="U286" i="6"/>
  <c r="R286" i="6"/>
  <c r="N286" i="6"/>
  <c r="O286" i="6" s="1"/>
  <c r="L286" i="6"/>
  <c r="H286" i="6"/>
  <c r="I286" i="6" s="1"/>
  <c r="F286" i="6"/>
  <c r="C286" i="6"/>
  <c r="Z284" i="6"/>
  <c r="AC284" i="6" s="1"/>
  <c r="AD284" i="6" s="1"/>
  <c r="W284" i="6"/>
  <c r="X284" i="6" s="1"/>
  <c r="U284" i="6"/>
  <c r="T284" i="6"/>
  <c r="Q284" i="6"/>
  <c r="R284" i="6" s="1"/>
  <c r="K284" i="6"/>
  <c r="L284" i="6" s="1"/>
  <c r="H284" i="6"/>
  <c r="I284" i="6" s="1"/>
  <c r="E284" i="6"/>
  <c r="F284" i="6" s="1"/>
  <c r="B284" i="6"/>
  <c r="C284" i="6" s="1"/>
  <c r="AC283" i="6"/>
  <c r="AD283" i="6" s="1"/>
  <c r="AA283" i="6"/>
  <c r="X283" i="6"/>
  <c r="W283" i="6"/>
  <c r="U283" i="6"/>
  <c r="R283" i="6"/>
  <c r="O283" i="6"/>
  <c r="N283" i="6"/>
  <c r="L283" i="6"/>
  <c r="H283" i="6"/>
  <c r="I283" i="6" s="1"/>
  <c r="F283" i="6"/>
  <c r="C283" i="6"/>
  <c r="AC282" i="6"/>
  <c r="AD282" i="6" s="1"/>
  <c r="AA282" i="6"/>
  <c r="W282" i="6"/>
  <c r="X282" i="6" s="1"/>
  <c r="U282" i="6"/>
  <c r="R282" i="6"/>
  <c r="O282" i="6"/>
  <c r="N282" i="6"/>
  <c r="L282" i="6"/>
  <c r="H282" i="6"/>
  <c r="I282" i="6" s="1"/>
  <c r="F282" i="6"/>
  <c r="C282" i="6"/>
  <c r="AC281" i="6"/>
  <c r="AD281" i="6" s="1"/>
  <c r="AA281" i="6"/>
  <c r="W281" i="6"/>
  <c r="X281" i="6" s="1"/>
  <c r="U281" i="6"/>
  <c r="R281" i="6"/>
  <c r="O281" i="6"/>
  <c r="N281" i="6"/>
  <c r="L281" i="6"/>
  <c r="I281" i="6"/>
  <c r="H281" i="6"/>
  <c r="F281" i="6"/>
  <c r="C281" i="6"/>
  <c r="AC280" i="6"/>
  <c r="AD280" i="6" s="1"/>
  <c r="AA280" i="6"/>
  <c r="W280" i="6"/>
  <c r="X280" i="6" s="1"/>
  <c r="U280" i="6"/>
  <c r="R280" i="6"/>
  <c r="N280" i="6"/>
  <c r="O280" i="6" s="1"/>
  <c r="L280" i="6"/>
  <c r="H280" i="6"/>
  <c r="I280" i="6" s="1"/>
  <c r="F280" i="6"/>
  <c r="C280" i="6"/>
  <c r="AC279" i="6"/>
  <c r="AD279" i="6" s="1"/>
  <c r="AA279" i="6"/>
  <c r="W279" i="6"/>
  <c r="U279" i="6"/>
  <c r="R279" i="6"/>
  <c r="O279" i="6"/>
  <c r="N279" i="6"/>
  <c r="L279" i="6"/>
  <c r="H279" i="6"/>
  <c r="I279" i="6" s="1"/>
  <c r="F279" i="6"/>
  <c r="C279" i="6"/>
  <c r="AC278" i="6"/>
  <c r="AD278" i="6" s="1"/>
  <c r="AA278" i="6"/>
  <c r="W278" i="6"/>
  <c r="X278" i="6" s="1"/>
  <c r="U278" i="6"/>
  <c r="R278" i="6"/>
  <c r="O278" i="6"/>
  <c r="N278" i="6"/>
  <c r="L278" i="6"/>
  <c r="H278" i="6"/>
  <c r="I278" i="6" s="1"/>
  <c r="F278" i="6"/>
  <c r="C278" i="6"/>
  <c r="AC277" i="6"/>
  <c r="AD277" i="6" s="1"/>
  <c r="AA277" i="6"/>
  <c r="X277" i="6"/>
  <c r="W277" i="6"/>
  <c r="U277" i="6"/>
  <c r="R277" i="6"/>
  <c r="O277" i="6"/>
  <c r="N277" i="6"/>
  <c r="L277" i="6"/>
  <c r="H277" i="6"/>
  <c r="I277" i="6" s="1"/>
  <c r="F277" i="6"/>
  <c r="C277" i="6"/>
  <c r="AD276" i="6"/>
  <c r="AC276" i="6"/>
  <c r="AA276" i="6"/>
  <c r="W276" i="6"/>
  <c r="X276" i="6" s="1"/>
  <c r="U276" i="6"/>
  <c r="R276" i="6"/>
  <c r="N276" i="6"/>
  <c r="O276" i="6" s="1"/>
  <c r="L276" i="6"/>
  <c r="H276" i="6"/>
  <c r="I276" i="6" s="1"/>
  <c r="F276" i="6"/>
  <c r="C276" i="6"/>
  <c r="AC275" i="6"/>
  <c r="AD275" i="6" s="1"/>
  <c r="AA275" i="6"/>
  <c r="X275" i="6"/>
  <c r="W275" i="6"/>
  <c r="U275" i="6"/>
  <c r="R275" i="6"/>
  <c r="N275" i="6"/>
  <c r="O275" i="6" s="1"/>
  <c r="L275" i="6"/>
  <c r="H275" i="6"/>
  <c r="I275" i="6" s="1"/>
  <c r="F275" i="6"/>
  <c r="C275" i="6"/>
  <c r="Z273" i="6"/>
  <c r="W273" i="6"/>
  <c r="X273" i="6" s="1"/>
  <c r="T273" i="6"/>
  <c r="U273" i="6" s="1"/>
  <c r="Q273" i="6"/>
  <c r="R273" i="6" s="1"/>
  <c r="N273" i="6"/>
  <c r="O273" i="6" s="1"/>
  <c r="L273" i="6"/>
  <c r="K273" i="6"/>
  <c r="H273" i="6"/>
  <c r="I273" i="6" s="1"/>
  <c r="E273" i="6"/>
  <c r="F273" i="6" s="1"/>
  <c r="C273" i="6"/>
  <c r="B273" i="6"/>
  <c r="AD272" i="6"/>
  <c r="AC272" i="6"/>
  <c r="AA272" i="6"/>
  <c r="X272" i="6"/>
  <c r="W272" i="6"/>
  <c r="U272" i="6"/>
  <c r="R272" i="6"/>
  <c r="N272" i="6"/>
  <c r="O272" i="6" s="1"/>
  <c r="L272" i="6"/>
  <c r="H272" i="6"/>
  <c r="I272" i="6" s="1"/>
  <c r="F272" i="6"/>
  <c r="C272" i="6"/>
  <c r="AC271" i="6"/>
  <c r="AD271" i="6" s="1"/>
  <c r="AA271" i="6"/>
  <c r="X271" i="6"/>
  <c r="W271" i="6"/>
  <c r="U271" i="6"/>
  <c r="R271" i="6"/>
  <c r="N271" i="6"/>
  <c r="O271" i="6" s="1"/>
  <c r="L271" i="6"/>
  <c r="H271" i="6"/>
  <c r="I271" i="6" s="1"/>
  <c r="F271" i="6"/>
  <c r="C271" i="6"/>
  <c r="AD270" i="6"/>
  <c r="AC270" i="6"/>
  <c r="AA270" i="6"/>
  <c r="X270" i="6"/>
  <c r="W270" i="6"/>
  <c r="U270" i="6"/>
  <c r="R270" i="6"/>
  <c r="N270" i="6"/>
  <c r="O270" i="6" s="1"/>
  <c r="L270" i="6"/>
  <c r="H270" i="6"/>
  <c r="I270" i="6" s="1"/>
  <c r="F270" i="6"/>
  <c r="C270" i="6"/>
  <c r="AC269" i="6"/>
  <c r="AD269" i="6" s="1"/>
  <c r="AA269" i="6"/>
  <c r="W269" i="6"/>
  <c r="X269" i="6" s="1"/>
  <c r="U269" i="6"/>
  <c r="R269" i="6"/>
  <c r="O269" i="6"/>
  <c r="N269" i="6"/>
  <c r="L269" i="6"/>
  <c r="H269" i="6"/>
  <c r="I269" i="6" s="1"/>
  <c r="F269" i="6"/>
  <c r="C269" i="6"/>
  <c r="Z267" i="6"/>
  <c r="AA267" i="6" s="1"/>
  <c r="U267" i="6"/>
  <c r="T267" i="6"/>
  <c r="Q267" i="6"/>
  <c r="K267" i="6"/>
  <c r="L267" i="6" s="1"/>
  <c r="F267" i="6"/>
  <c r="E267" i="6"/>
  <c r="B267" i="6"/>
  <c r="AD266" i="6"/>
  <c r="AC266" i="6"/>
  <c r="AA266" i="6"/>
  <c r="W266" i="6"/>
  <c r="X266" i="6" s="1"/>
  <c r="U266" i="6"/>
  <c r="R266" i="6"/>
  <c r="N266" i="6"/>
  <c r="O266" i="6" s="1"/>
  <c r="L266" i="6"/>
  <c r="I266" i="6"/>
  <c r="H266" i="6"/>
  <c r="F266" i="6"/>
  <c r="C266" i="6"/>
  <c r="AC265" i="6"/>
  <c r="AD265" i="6" s="1"/>
  <c r="AA265" i="6"/>
  <c r="X265" i="6"/>
  <c r="W265" i="6"/>
  <c r="U265" i="6"/>
  <c r="R265" i="6"/>
  <c r="O265" i="6"/>
  <c r="N265" i="6"/>
  <c r="L265" i="6"/>
  <c r="H265" i="6"/>
  <c r="I265" i="6" s="1"/>
  <c r="F265" i="6"/>
  <c r="C265" i="6"/>
  <c r="Z263" i="6"/>
  <c r="AA263" i="6" s="1"/>
  <c r="T263" i="6"/>
  <c r="R263" i="6"/>
  <c r="Q263" i="6"/>
  <c r="N263" i="6"/>
  <c r="O263" i="6" s="1"/>
  <c r="L263" i="6"/>
  <c r="K263" i="6"/>
  <c r="E263" i="6"/>
  <c r="H263" i="6" s="1"/>
  <c r="I263" i="6" s="1"/>
  <c r="B263" i="6"/>
  <c r="C263" i="6" s="1"/>
  <c r="Z262" i="6"/>
  <c r="AC262" i="6" s="1"/>
  <c r="AD262" i="6" s="1"/>
  <c r="T262" i="6"/>
  <c r="U262" i="6" s="1"/>
  <c r="Q262" i="6"/>
  <c r="R262" i="6" s="1"/>
  <c r="K262" i="6"/>
  <c r="N262" i="6" s="1"/>
  <c r="O262" i="6" s="1"/>
  <c r="F262" i="6"/>
  <c r="E262" i="6"/>
  <c r="B262" i="6"/>
  <c r="C262" i="6" s="1"/>
  <c r="AD261" i="6"/>
  <c r="AC261" i="6"/>
  <c r="AA261" i="6"/>
  <c r="W261" i="6"/>
  <c r="X261" i="6" s="1"/>
  <c r="U261" i="6"/>
  <c r="R261" i="6"/>
  <c r="N261" i="6"/>
  <c r="O261" i="6" s="1"/>
  <c r="L261" i="6"/>
  <c r="H261" i="6"/>
  <c r="I261" i="6" s="1"/>
  <c r="F261" i="6"/>
  <c r="C261" i="6"/>
  <c r="AC260" i="6"/>
  <c r="AD260" i="6" s="1"/>
  <c r="AA260" i="6"/>
  <c r="X260" i="6"/>
  <c r="W260" i="6"/>
  <c r="U260" i="6"/>
  <c r="R260" i="6"/>
  <c r="O260" i="6"/>
  <c r="N260" i="6"/>
  <c r="L260" i="6"/>
  <c r="H260" i="6"/>
  <c r="I260" i="6" s="1"/>
  <c r="F260" i="6"/>
  <c r="C260" i="6"/>
  <c r="AD259" i="6"/>
  <c r="AC259" i="6"/>
  <c r="AA259" i="6"/>
  <c r="X259" i="6"/>
  <c r="W259" i="6"/>
  <c r="U259" i="6"/>
  <c r="R259" i="6"/>
  <c r="N259" i="6"/>
  <c r="O259" i="6" s="1"/>
  <c r="L259" i="6"/>
  <c r="H259" i="6"/>
  <c r="I259" i="6" s="1"/>
  <c r="F259" i="6"/>
  <c r="C259" i="6"/>
  <c r="AC258" i="6"/>
  <c r="AD258" i="6" s="1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C257" i="6"/>
  <c r="AD257" i="6" s="1"/>
  <c r="AA257" i="6"/>
  <c r="W257" i="6"/>
  <c r="X257" i="6" s="1"/>
  <c r="U257" i="6"/>
  <c r="R257" i="6"/>
  <c r="N257" i="6"/>
  <c r="O257" i="6" s="1"/>
  <c r="L257" i="6"/>
  <c r="H257" i="6"/>
  <c r="I257" i="6" s="1"/>
  <c r="F257" i="6"/>
  <c r="C257" i="6"/>
  <c r="AD256" i="6"/>
  <c r="AC256" i="6"/>
  <c r="AA256" i="6"/>
  <c r="X256" i="6"/>
  <c r="W256" i="6"/>
  <c r="U256" i="6"/>
  <c r="R256" i="6"/>
  <c r="N256" i="6"/>
  <c r="O256" i="6" s="1"/>
  <c r="L256" i="6"/>
  <c r="H256" i="6"/>
  <c r="I256" i="6" s="1"/>
  <c r="F256" i="6"/>
  <c r="C256" i="6"/>
  <c r="AD255" i="6"/>
  <c r="AC255" i="6"/>
  <c r="AA255" i="6"/>
  <c r="X255" i="6"/>
  <c r="W255" i="6"/>
  <c r="U255" i="6"/>
  <c r="R255" i="6"/>
  <c r="N255" i="6"/>
  <c r="O255" i="6" s="1"/>
  <c r="L255" i="6"/>
  <c r="H255" i="6"/>
  <c r="I255" i="6" s="1"/>
  <c r="F255" i="6"/>
  <c r="C255" i="6"/>
  <c r="AC254" i="6"/>
  <c r="AD254" i="6" s="1"/>
  <c r="AA254" i="6"/>
  <c r="X254" i="6"/>
  <c r="W254" i="6"/>
  <c r="U254" i="6"/>
  <c r="R254" i="6"/>
  <c r="O254" i="6"/>
  <c r="N254" i="6"/>
  <c r="L254" i="6"/>
  <c r="I254" i="6"/>
  <c r="H254" i="6"/>
  <c r="F254" i="6"/>
  <c r="C254" i="6"/>
  <c r="AD253" i="6"/>
  <c r="AC253" i="6"/>
  <c r="AA253" i="6"/>
  <c r="W253" i="6"/>
  <c r="X253" i="6" s="1"/>
  <c r="U253" i="6"/>
  <c r="R253" i="6"/>
  <c r="N253" i="6"/>
  <c r="O253" i="6" s="1"/>
  <c r="L253" i="6"/>
  <c r="H253" i="6"/>
  <c r="I253" i="6" s="1"/>
  <c r="F253" i="6"/>
  <c r="C253" i="6"/>
  <c r="AD252" i="6"/>
  <c r="AC252" i="6"/>
  <c r="AA252" i="6"/>
  <c r="X252" i="6"/>
  <c r="W252" i="6"/>
  <c r="U252" i="6"/>
  <c r="R252" i="6"/>
  <c r="N252" i="6"/>
  <c r="O252" i="6" s="1"/>
  <c r="L252" i="6"/>
  <c r="H252" i="6"/>
  <c r="I252" i="6" s="1"/>
  <c r="F252" i="6"/>
  <c r="C252" i="6"/>
  <c r="AC251" i="6"/>
  <c r="AD251" i="6" s="1"/>
  <c r="AA251" i="6"/>
  <c r="W251" i="6"/>
  <c r="X251" i="6" s="1"/>
  <c r="U251" i="6"/>
  <c r="R251" i="6"/>
  <c r="O251" i="6"/>
  <c r="N251" i="6"/>
  <c r="L251" i="6"/>
  <c r="I251" i="6"/>
  <c r="H251" i="6"/>
  <c r="F251" i="6"/>
  <c r="C251" i="6"/>
  <c r="AC250" i="6"/>
  <c r="AD250" i="6" s="1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C249" i="6"/>
  <c r="AD249" i="6" s="1"/>
  <c r="AA249" i="6"/>
  <c r="W249" i="6"/>
  <c r="X249" i="6" s="1"/>
  <c r="U249" i="6"/>
  <c r="R249" i="6"/>
  <c r="N249" i="6"/>
  <c r="O249" i="6" s="1"/>
  <c r="L249" i="6"/>
  <c r="H249" i="6"/>
  <c r="I249" i="6" s="1"/>
  <c r="F249" i="6"/>
  <c r="C249" i="6"/>
  <c r="AD248" i="6"/>
  <c r="AC248" i="6"/>
  <c r="AA248" i="6"/>
  <c r="X248" i="6"/>
  <c r="W248" i="6"/>
  <c r="U248" i="6"/>
  <c r="R248" i="6"/>
  <c r="N248" i="6"/>
  <c r="O248" i="6" s="1"/>
  <c r="L248" i="6"/>
  <c r="I248" i="6"/>
  <c r="H248" i="6"/>
  <c r="F248" i="6"/>
  <c r="C248" i="6"/>
  <c r="AC247" i="6"/>
  <c r="AD247" i="6" s="1"/>
  <c r="AA247" i="6"/>
  <c r="X247" i="6"/>
  <c r="W247" i="6"/>
  <c r="U247" i="6"/>
  <c r="R247" i="6"/>
  <c r="O247" i="6"/>
  <c r="N247" i="6"/>
  <c r="L247" i="6"/>
  <c r="H247" i="6"/>
  <c r="I247" i="6" s="1"/>
  <c r="F247" i="6"/>
  <c r="C247" i="6"/>
  <c r="AC246" i="6"/>
  <c r="AD246" i="6" s="1"/>
  <c r="AA246" i="6"/>
  <c r="W246" i="6"/>
  <c r="X246" i="6" s="1"/>
  <c r="U246" i="6"/>
  <c r="R246" i="6"/>
  <c r="O246" i="6"/>
  <c r="N246" i="6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O245" i="6"/>
  <c r="N245" i="6"/>
  <c r="L245" i="6"/>
  <c r="H245" i="6"/>
  <c r="I245" i="6" s="1"/>
  <c r="F245" i="6"/>
  <c r="C245" i="6"/>
  <c r="AC244" i="6"/>
  <c r="AD244" i="6" s="1"/>
  <c r="AA244" i="6"/>
  <c r="X244" i="6"/>
  <c r="W244" i="6"/>
  <c r="U244" i="6"/>
  <c r="R244" i="6"/>
  <c r="O244" i="6"/>
  <c r="N244" i="6"/>
  <c r="L244" i="6"/>
  <c r="H244" i="6"/>
  <c r="I244" i="6" s="1"/>
  <c r="F244" i="6"/>
  <c r="C244" i="6"/>
  <c r="AC243" i="6"/>
  <c r="AD243" i="6" s="1"/>
  <c r="AA243" i="6"/>
  <c r="W243" i="6"/>
  <c r="X243" i="6" s="1"/>
  <c r="U243" i="6"/>
  <c r="R243" i="6"/>
  <c r="O243" i="6"/>
  <c r="N243" i="6"/>
  <c r="L243" i="6"/>
  <c r="H243" i="6"/>
  <c r="I243" i="6" s="1"/>
  <c r="F243" i="6"/>
  <c r="C243" i="6"/>
  <c r="AC242" i="6"/>
  <c r="AD242" i="6" s="1"/>
  <c r="AA242" i="6"/>
  <c r="X242" i="6"/>
  <c r="W242" i="6"/>
  <c r="U242" i="6"/>
  <c r="R242" i="6"/>
  <c r="O242" i="6"/>
  <c r="N242" i="6"/>
  <c r="L242" i="6"/>
  <c r="H242" i="6"/>
  <c r="I242" i="6" s="1"/>
  <c r="F242" i="6"/>
  <c r="C242" i="6"/>
  <c r="AD241" i="6"/>
  <c r="AC241" i="6"/>
  <c r="AA241" i="6"/>
  <c r="X241" i="6"/>
  <c r="W241" i="6"/>
  <c r="U241" i="6"/>
  <c r="R241" i="6"/>
  <c r="N241" i="6"/>
  <c r="O241" i="6" s="1"/>
  <c r="L241" i="6"/>
  <c r="H241" i="6"/>
  <c r="I241" i="6" s="1"/>
  <c r="F241" i="6"/>
  <c r="C241" i="6"/>
  <c r="AC240" i="6"/>
  <c r="AD240" i="6" s="1"/>
  <c r="AA240" i="6"/>
  <c r="X240" i="6"/>
  <c r="W240" i="6"/>
  <c r="U240" i="6"/>
  <c r="R240" i="6"/>
  <c r="O240" i="6"/>
  <c r="N240" i="6"/>
  <c r="L240" i="6"/>
  <c r="H240" i="6"/>
  <c r="I240" i="6" s="1"/>
  <c r="F240" i="6"/>
  <c r="C240" i="6"/>
  <c r="AC238" i="6"/>
  <c r="AD238" i="6" s="1"/>
  <c r="AA238" i="6"/>
  <c r="X238" i="6"/>
  <c r="W238" i="6"/>
  <c r="U238" i="6"/>
  <c r="R238" i="6"/>
  <c r="O238" i="6"/>
  <c r="N238" i="6"/>
  <c r="L238" i="6"/>
  <c r="I238" i="6"/>
  <c r="H238" i="6"/>
  <c r="F238" i="6"/>
  <c r="C238" i="6"/>
  <c r="AC236" i="6"/>
  <c r="AD236" i="6" s="1"/>
  <c r="AA236" i="6"/>
  <c r="Z236" i="6"/>
  <c r="W236" i="6"/>
  <c r="X236" i="6" s="1"/>
  <c r="U236" i="6"/>
  <c r="T236" i="6"/>
  <c r="Q236" i="6"/>
  <c r="R236" i="6" s="1"/>
  <c r="N236" i="6"/>
  <c r="O236" i="6" s="1"/>
  <c r="K236" i="6"/>
  <c r="L236" i="6" s="1"/>
  <c r="E236" i="6"/>
  <c r="F236" i="6" s="1"/>
  <c r="B236" i="6"/>
  <c r="AD235" i="6"/>
  <c r="AC235" i="6"/>
  <c r="AA235" i="6"/>
  <c r="X235" i="6"/>
  <c r="W235" i="6"/>
  <c r="U235" i="6"/>
  <c r="R235" i="6"/>
  <c r="O235" i="6"/>
  <c r="N235" i="6"/>
  <c r="L235" i="6"/>
  <c r="H235" i="6"/>
  <c r="I235" i="6" s="1"/>
  <c r="F235" i="6"/>
  <c r="C235" i="6"/>
  <c r="AC234" i="6"/>
  <c r="AD234" i="6" s="1"/>
  <c r="AA234" i="6"/>
  <c r="W234" i="6"/>
  <c r="X234" i="6" s="1"/>
  <c r="U234" i="6"/>
  <c r="R234" i="6"/>
  <c r="N234" i="6"/>
  <c r="O234" i="6" s="1"/>
  <c r="L234" i="6"/>
  <c r="I234" i="6"/>
  <c r="H234" i="6"/>
  <c r="F234" i="6"/>
  <c r="C234" i="6"/>
  <c r="AC233" i="6"/>
  <c r="AD233" i="6" s="1"/>
  <c r="AA233" i="6"/>
  <c r="X233" i="6"/>
  <c r="W233" i="6"/>
  <c r="U233" i="6"/>
  <c r="R233" i="6"/>
  <c r="O233" i="6"/>
  <c r="N233" i="6"/>
  <c r="L233" i="6"/>
  <c r="H233" i="6"/>
  <c r="I233" i="6" s="1"/>
  <c r="F233" i="6"/>
  <c r="C233" i="6"/>
  <c r="AD232" i="6"/>
  <c r="AC232" i="6"/>
  <c r="AA232" i="6"/>
  <c r="X232" i="6"/>
  <c r="W232" i="6"/>
  <c r="U232" i="6"/>
  <c r="R232" i="6"/>
  <c r="N232" i="6"/>
  <c r="O232" i="6" s="1"/>
  <c r="L232" i="6"/>
  <c r="H232" i="6"/>
  <c r="I232" i="6" s="1"/>
  <c r="F232" i="6"/>
  <c r="C232" i="6"/>
  <c r="AC231" i="6"/>
  <c r="AD231" i="6" s="1"/>
  <c r="AA231" i="6"/>
  <c r="X231" i="6"/>
  <c r="W231" i="6"/>
  <c r="U231" i="6"/>
  <c r="R231" i="6"/>
  <c r="N231" i="6"/>
  <c r="O231" i="6" s="1"/>
  <c r="L231" i="6"/>
  <c r="I231" i="6"/>
  <c r="H231" i="6"/>
  <c r="F231" i="6"/>
  <c r="C231" i="6"/>
  <c r="AD230" i="6"/>
  <c r="AC230" i="6"/>
  <c r="AA230" i="6"/>
  <c r="W230" i="6"/>
  <c r="X230" i="6" s="1"/>
  <c r="U230" i="6"/>
  <c r="R230" i="6"/>
  <c r="O230" i="6"/>
  <c r="N230" i="6"/>
  <c r="L230" i="6"/>
  <c r="I230" i="6"/>
  <c r="H230" i="6"/>
  <c r="F230" i="6"/>
  <c r="C230" i="6"/>
  <c r="AC229" i="6"/>
  <c r="AD229" i="6" s="1"/>
  <c r="AA229" i="6"/>
  <c r="X229" i="6"/>
  <c r="W229" i="6"/>
  <c r="U229" i="6"/>
  <c r="R229" i="6"/>
  <c r="O229" i="6"/>
  <c r="N229" i="6"/>
  <c r="L229" i="6"/>
  <c r="I229" i="6"/>
  <c r="H229" i="6"/>
  <c r="F229" i="6"/>
  <c r="C229" i="6"/>
  <c r="AC227" i="6"/>
  <c r="AD227" i="6" s="1"/>
  <c r="Z227" i="6"/>
  <c r="AA227" i="6" s="1"/>
  <c r="W227" i="6"/>
  <c r="X227" i="6" s="1"/>
  <c r="U227" i="6"/>
  <c r="T227" i="6"/>
  <c r="R227" i="6"/>
  <c r="Q227" i="6"/>
  <c r="K227" i="6"/>
  <c r="L227" i="6" s="1"/>
  <c r="E227" i="6"/>
  <c r="F227" i="6" s="1"/>
  <c r="B227" i="6"/>
  <c r="AC226" i="6"/>
  <c r="AD226" i="6" s="1"/>
  <c r="AA226" i="6"/>
  <c r="W226" i="6"/>
  <c r="X226" i="6" s="1"/>
  <c r="U226" i="6"/>
  <c r="R226" i="6"/>
  <c r="N226" i="6"/>
  <c r="O226" i="6" s="1"/>
  <c r="L226" i="6"/>
  <c r="I226" i="6"/>
  <c r="H226" i="6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C224" i="6"/>
  <c r="AD224" i="6" s="1"/>
  <c r="AA224" i="6"/>
  <c r="W224" i="6"/>
  <c r="X224" i="6" s="1"/>
  <c r="U224" i="6"/>
  <c r="R224" i="6"/>
  <c r="N224" i="6"/>
  <c r="O224" i="6" s="1"/>
  <c r="L224" i="6"/>
  <c r="H224" i="6"/>
  <c r="I224" i="6" s="1"/>
  <c r="F224" i="6"/>
  <c r="C224" i="6"/>
  <c r="AD223" i="6"/>
  <c r="AC223" i="6"/>
  <c r="AA223" i="6"/>
  <c r="W223" i="6"/>
  <c r="X223" i="6" s="1"/>
  <c r="U223" i="6"/>
  <c r="R223" i="6"/>
  <c r="O223" i="6"/>
  <c r="N223" i="6"/>
  <c r="L223" i="6"/>
  <c r="I223" i="6"/>
  <c r="H223" i="6"/>
  <c r="F223" i="6"/>
  <c r="C223" i="6"/>
  <c r="AC222" i="6"/>
  <c r="AD222" i="6" s="1"/>
  <c r="AA222" i="6"/>
  <c r="W222" i="6"/>
  <c r="X222" i="6" s="1"/>
  <c r="U222" i="6"/>
  <c r="R222" i="6"/>
  <c r="N222" i="6"/>
  <c r="O222" i="6" s="1"/>
  <c r="L222" i="6"/>
  <c r="I222" i="6"/>
  <c r="H222" i="6"/>
  <c r="F222" i="6"/>
  <c r="C222" i="6"/>
  <c r="AC221" i="6"/>
  <c r="AD221" i="6" s="1"/>
  <c r="AA221" i="6"/>
  <c r="W221" i="6"/>
  <c r="X221" i="6" s="1"/>
  <c r="U221" i="6"/>
  <c r="R221" i="6"/>
  <c r="O221" i="6"/>
  <c r="N221" i="6"/>
  <c r="L221" i="6"/>
  <c r="I221" i="6"/>
  <c r="H221" i="6"/>
  <c r="F221" i="6"/>
  <c r="C221" i="6"/>
  <c r="AC220" i="6"/>
  <c r="AD220" i="6" s="1"/>
  <c r="AA220" i="6"/>
  <c r="W220" i="6"/>
  <c r="X220" i="6" s="1"/>
  <c r="U220" i="6"/>
  <c r="R220" i="6"/>
  <c r="N220" i="6"/>
  <c r="O220" i="6" s="1"/>
  <c r="L220" i="6"/>
  <c r="I220" i="6"/>
  <c r="H220" i="6"/>
  <c r="F220" i="6"/>
  <c r="C220" i="6"/>
  <c r="AD219" i="6"/>
  <c r="AC219" i="6"/>
  <c r="AA219" i="6"/>
  <c r="W219" i="6"/>
  <c r="X219" i="6" s="1"/>
  <c r="U219" i="6"/>
  <c r="R219" i="6"/>
  <c r="O219" i="6"/>
  <c r="N219" i="6"/>
  <c r="L219" i="6"/>
  <c r="H219" i="6"/>
  <c r="I219" i="6" s="1"/>
  <c r="F219" i="6"/>
  <c r="C219" i="6"/>
  <c r="AA218" i="6"/>
  <c r="Z218" i="6"/>
  <c r="W218" i="6"/>
  <c r="X218" i="6" s="1"/>
  <c r="U218" i="6"/>
  <c r="T218" i="6"/>
  <c r="Q218" i="6"/>
  <c r="R218" i="6" s="1"/>
  <c r="L218" i="6"/>
  <c r="K218" i="6"/>
  <c r="I218" i="6"/>
  <c r="H218" i="6"/>
  <c r="E218" i="6"/>
  <c r="F218" i="6" s="1"/>
  <c r="C218" i="6"/>
  <c r="B218" i="6"/>
  <c r="N218" i="6" s="1"/>
  <c r="O218" i="6" s="1"/>
  <c r="AD217" i="6"/>
  <c r="AC217" i="6"/>
  <c r="AA217" i="6"/>
  <c r="X217" i="6"/>
  <c r="W217" i="6"/>
  <c r="U217" i="6"/>
  <c r="R217" i="6"/>
  <c r="N217" i="6"/>
  <c r="O217" i="6" s="1"/>
  <c r="L217" i="6"/>
  <c r="H217" i="6"/>
  <c r="I217" i="6" s="1"/>
  <c r="F217" i="6"/>
  <c r="C217" i="6"/>
  <c r="AD216" i="6"/>
  <c r="AC216" i="6"/>
  <c r="AA216" i="6"/>
  <c r="X216" i="6"/>
  <c r="W216" i="6"/>
  <c r="U216" i="6"/>
  <c r="R216" i="6"/>
  <c r="N216" i="6"/>
  <c r="O216" i="6" s="1"/>
  <c r="L216" i="6"/>
  <c r="H216" i="6"/>
  <c r="I216" i="6" s="1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I215" i="6"/>
  <c r="H215" i="6"/>
  <c r="F215" i="6"/>
  <c r="C215" i="6"/>
  <c r="AD214" i="6"/>
  <c r="AC214" i="6"/>
  <c r="AA214" i="6"/>
  <c r="X214" i="6"/>
  <c r="W214" i="6"/>
  <c r="U214" i="6"/>
  <c r="R214" i="6"/>
  <c r="N214" i="6"/>
  <c r="O214" i="6" s="1"/>
  <c r="L214" i="6"/>
  <c r="H214" i="6"/>
  <c r="I214" i="6" s="1"/>
  <c r="F214" i="6"/>
  <c r="C214" i="6"/>
  <c r="AD213" i="6"/>
  <c r="AC213" i="6"/>
  <c r="AA213" i="6"/>
  <c r="W213" i="6"/>
  <c r="X213" i="6" s="1"/>
  <c r="U213" i="6"/>
  <c r="R213" i="6"/>
  <c r="N213" i="6"/>
  <c r="O213" i="6" s="1"/>
  <c r="L213" i="6"/>
  <c r="H213" i="6"/>
  <c r="I213" i="6" s="1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AA209" i="6"/>
  <c r="Z209" i="6"/>
  <c r="T209" i="6"/>
  <c r="U209" i="6" s="1"/>
  <c r="Q209" i="6"/>
  <c r="O209" i="6"/>
  <c r="K209" i="6"/>
  <c r="L209" i="6" s="1"/>
  <c r="I209" i="6"/>
  <c r="H209" i="6"/>
  <c r="F209" i="6"/>
  <c r="E209" i="6"/>
  <c r="C209" i="6"/>
  <c r="B209" i="6"/>
  <c r="N209" i="6" s="1"/>
  <c r="AC208" i="6"/>
  <c r="AD208" i="6" s="1"/>
  <c r="AA208" i="6"/>
  <c r="W208" i="6"/>
  <c r="X208" i="6" s="1"/>
  <c r="U208" i="6"/>
  <c r="R208" i="6"/>
  <c r="N208" i="6"/>
  <c r="O208" i="6" s="1"/>
  <c r="L208" i="6"/>
  <c r="H208" i="6"/>
  <c r="I208" i="6" s="1"/>
  <c r="F208" i="6"/>
  <c r="C208" i="6"/>
  <c r="AD207" i="6"/>
  <c r="AC207" i="6"/>
  <c r="AA207" i="6"/>
  <c r="W207" i="6"/>
  <c r="X207" i="6" s="1"/>
  <c r="U207" i="6"/>
  <c r="R207" i="6"/>
  <c r="O207" i="6"/>
  <c r="N207" i="6"/>
  <c r="L207" i="6"/>
  <c r="I207" i="6"/>
  <c r="H207" i="6"/>
  <c r="F207" i="6"/>
  <c r="C207" i="6"/>
  <c r="AC206" i="6"/>
  <c r="AD206" i="6" s="1"/>
  <c r="AA206" i="6"/>
  <c r="W206" i="6"/>
  <c r="X206" i="6" s="1"/>
  <c r="U206" i="6"/>
  <c r="R206" i="6"/>
  <c r="N206" i="6"/>
  <c r="O206" i="6" s="1"/>
  <c r="L206" i="6"/>
  <c r="I206" i="6"/>
  <c r="H206" i="6"/>
  <c r="F206" i="6"/>
  <c r="C206" i="6"/>
  <c r="AC205" i="6"/>
  <c r="AD205" i="6" s="1"/>
  <c r="AA205" i="6"/>
  <c r="W205" i="6"/>
  <c r="X205" i="6" s="1"/>
  <c r="U205" i="6"/>
  <c r="R205" i="6"/>
  <c r="O205" i="6"/>
  <c r="N205" i="6"/>
  <c r="L205" i="6"/>
  <c r="I205" i="6"/>
  <c r="H205" i="6"/>
  <c r="F205" i="6"/>
  <c r="C205" i="6"/>
  <c r="AC204" i="6"/>
  <c r="AD204" i="6" s="1"/>
  <c r="AA204" i="6"/>
  <c r="W204" i="6"/>
  <c r="X204" i="6" s="1"/>
  <c r="U204" i="6"/>
  <c r="R204" i="6"/>
  <c r="N204" i="6"/>
  <c r="O204" i="6" s="1"/>
  <c r="L204" i="6"/>
  <c r="I204" i="6"/>
  <c r="H204" i="6"/>
  <c r="F204" i="6"/>
  <c r="C204" i="6"/>
  <c r="AD203" i="6"/>
  <c r="AC203" i="6"/>
  <c r="AA203" i="6"/>
  <c r="W203" i="6"/>
  <c r="X203" i="6" s="1"/>
  <c r="U203" i="6"/>
  <c r="R203" i="6"/>
  <c r="O203" i="6"/>
  <c r="N203" i="6"/>
  <c r="L203" i="6"/>
  <c r="H203" i="6"/>
  <c r="I203" i="6" s="1"/>
  <c r="F203" i="6"/>
  <c r="C203" i="6"/>
  <c r="AC202" i="6"/>
  <c r="AD202" i="6" s="1"/>
  <c r="AA202" i="6"/>
  <c r="W202" i="6"/>
  <c r="X202" i="6" s="1"/>
  <c r="U202" i="6"/>
  <c r="R202" i="6"/>
  <c r="O202" i="6"/>
  <c r="N202" i="6"/>
  <c r="L202" i="6"/>
  <c r="I202" i="6"/>
  <c r="H202" i="6"/>
  <c r="F202" i="6"/>
  <c r="C202" i="6"/>
  <c r="AC201" i="6"/>
  <c r="AD201" i="6" s="1"/>
  <c r="AA201" i="6"/>
  <c r="W201" i="6"/>
  <c r="X201" i="6" s="1"/>
  <c r="U201" i="6"/>
  <c r="R201" i="6"/>
  <c r="N201" i="6"/>
  <c r="O201" i="6" s="1"/>
  <c r="L201" i="6"/>
  <c r="H201" i="6"/>
  <c r="I201" i="6" s="1"/>
  <c r="F201" i="6"/>
  <c r="C201" i="6"/>
  <c r="AA197" i="6"/>
  <c r="Z197" i="6"/>
  <c r="U197" i="6"/>
  <c r="T197" i="6"/>
  <c r="R197" i="6"/>
  <c r="Q197" i="6"/>
  <c r="K197" i="6"/>
  <c r="L197" i="6" s="1"/>
  <c r="E197" i="6"/>
  <c r="C197" i="6"/>
  <c r="B197" i="6"/>
  <c r="Z196" i="6"/>
  <c r="AA196" i="6" s="1"/>
  <c r="W196" i="6"/>
  <c r="X196" i="6" s="1"/>
  <c r="U196" i="6"/>
  <c r="T196" i="6"/>
  <c r="Q196" i="6"/>
  <c r="R196" i="6" s="1"/>
  <c r="K196" i="6"/>
  <c r="I196" i="6"/>
  <c r="E196" i="6"/>
  <c r="F196" i="6" s="1"/>
  <c r="C196" i="6"/>
  <c r="B196" i="6"/>
  <c r="H196" i="6" s="1"/>
  <c r="AD195" i="6"/>
  <c r="AC195" i="6"/>
  <c r="AA195" i="6"/>
  <c r="W195" i="6"/>
  <c r="X195" i="6" s="1"/>
  <c r="U195" i="6"/>
  <c r="R195" i="6"/>
  <c r="O195" i="6"/>
  <c r="N195" i="6"/>
  <c r="L195" i="6"/>
  <c r="I195" i="6"/>
  <c r="H195" i="6"/>
  <c r="F195" i="6"/>
  <c r="C195" i="6"/>
  <c r="AC194" i="6"/>
  <c r="AD194" i="6" s="1"/>
  <c r="AA194" i="6"/>
  <c r="X194" i="6"/>
  <c r="W194" i="6"/>
  <c r="U194" i="6"/>
  <c r="R194" i="6"/>
  <c r="N194" i="6"/>
  <c r="O194" i="6" s="1"/>
  <c r="L194" i="6"/>
  <c r="H194" i="6"/>
  <c r="I194" i="6" s="1"/>
  <c r="F194" i="6"/>
  <c r="C194" i="6"/>
  <c r="AD193" i="6"/>
  <c r="Z193" i="6"/>
  <c r="AA193" i="6" s="1"/>
  <c r="W193" i="6"/>
  <c r="X193" i="6" s="1"/>
  <c r="U193" i="6"/>
  <c r="T193" i="6"/>
  <c r="R193" i="6"/>
  <c r="Q193" i="6"/>
  <c r="AC193" i="6" s="1"/>
  <c r="N193" i="6"/>
  <c r="O193" i="6" s="1"/>
  <c r="K193" i="6"/>
  <c r="L193" i="6" s="1"/>
  <c r="F193" i="6"/>
  <c r="E193" i="6"/>
  <c r="B193" i="6"/>
  <c r="AD192" i="6"/>
  <c r="AC192" i="6"/>
  <c r="AA192" i="6"/>
  <c r="W192" i="6"/>
  <c r="X192" i="6" s="1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X191" i="6"/>
  <c r="W191" i="6"/>
  <c r="U191" i="6"/>
  <c r="R191" i="6"/>
  <c r="N191" i="6"/>
  <c r="O191" i="6" s="1"/>
  <c r="L191" i="6"/>
  <c r="H191" i="6"/>
  <c r="I191" i="6" s="1"/>
  <c r="F191" i="6"/>
  <c r="C191" i="6"/>
  <c r="AC190" i="6"/>
  <c r="AD190" i="6" s="1"/>
  <c r="AA190" i="6"/>
  <c r="W190" i="6"/>
  <c r="X190" i="6" s="1"/>
  <c r="U190" i="6"/>
  <c r="R190" i="6"/>
  <c r="N190" i="6"/>
  <c r="O190" i="6" s="1"/>
  <c r="L190" i="6"/>
  <c r="H190" i="6"/>
  <c r="I190" i="6" s="1"/>
  <c r="F190" i="6"/>
  <c r="C190" i="6"/>
  <c r="AD189" i="6"/>
  <c r="AC189" i="6"/>
  <c r="AA189" i="6"/>
  <c r="W189" i="6"/>
  <c r="X189" i="6" s="1"/>
  <c r="U189" i="6"/>
  <c r="R189" i="6"/>
  <c r="N189" i="6"/>
  <c r="O189" i="6" s="1"/>
  <c r="L189" i="6"/>
  <c r="I189" i="6"/>
  <c r="H189" i="6"/>
  <c r="F189" i="6"/>
  <c r="C189" i="6"/>
  <c r="AC188" i="6"/>
  <c r="AD188" i="6" s="1"/>
  <c r="AA188" i="6"/>
  <c r="W188" i="6"/>
  <c r="X188" i="6" s="1"/>
  <c r="U188" i="6"/>
  <c r="R188" i="6"/>
  <c r="O188" i="6"/>
  <c r="N188" i="6"/>
  <c r="L188" i="6"/>
  <c r="I188" i="6"/>
  <c r="H188" i="6"/>
  <c r="F188" i="6"/>
  <c r="C188" i="6"/>
  <c r="AC187" i="6"/>
  <c r="AD187" i="6" s="1"/>
  <c r="AA187" i="6"/>
  <c r="W187" i="6"/>
  <c r="X187" i="6" s="1"/>
  <c r="U187" i="6"/>
  <c r="R187" i="6"/>
  <c r="O187" i="6"/>
  <c r="N187" i="6"/>
  <c r="L187" i="6"/>
  <c r="I187" i="6"/>
  <c r="H187" i="6"/>
  <c r="F187" i="6"/>
  <c r="C187" i="6"/>
  <c r="AC186" i="6"/>
  <c r="AD186" i="6" s="1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D184" i="6"/>
  <c r="AC184" i="6"/>
  <c r="AA184" i="6"/>
  <c r="W184" i="6"/>
  <c r="X184" i="6" s="1"/>
  <c r="U184" i="6"/>
  <c r="R184" i="6"/>
  <c r="O184" i="6"/>
  <c r="N184" i="6"/>
  <c r="L184" i="6"/>
  <c r="I184" i="6"/>
  <c r="H184" i="6"/>
  <c r="F184" i="6"/>
  <c r="C184" i="6"/>
  <c r="AC183" i="6"/>
  <c r="AD183" i="6" s="1"/>
  <c r="AA183" i="6"/>
  <c r="W183" i="6"/>
  <c r="X183" i="6" s="1"/>
  <c r="U183" i="6"/>
  <c r="R183" i="6"/>
  <c r="O183" i="6"/>
  <c r="N183" i="6"/>
  <c r="L183" i="6"/>
  <c r="I183" i="6"/>
  <c r="H183" i="6"/>
  <c r="F183" i="6"/>
  <c r="C183" i="6"/>
  <c r="Z182" i="6"/>
  <c r="T182" i="6"/>
  <c r="U182" i="6" s="1"/>
  <c r="R182" i="6"/>
  <c r="Q182" i="6"/>
  <c r="L182" i="6"/>
  <c r="K182" i="6"/>
  <c r="F182" i="6"/>
  <c r="E182" i="6"/>
  <c r="H182" i="6" s="1"/>
  <c r="I182" i="6" s="1"/>
  <c r="C182" i="6"/>
  <c r="B182" i="6"/>
  <c r="N182" i="6" s="1"/>
  <c r="O182" i="6" s="1"/>
  <c r="AD181" i="6"/>
  <c r="AC181" i="6"/>
  <c r="AA181" i="6"/>
  <c r="W181" i="6"/>
  <c r="X181" i="6" s="1"/>
  <c r="U181" i="6"/>
  <c r="R181" i="6"/>
  <c r="N181" i="6"/>
  <c r="O181" i="6" s="1"/>
  <c r="L181" i="6"/>
  <c r="H181" i="6"/>
  <c r="I181" i="6" s="1"/>
  <c r="F181" i="6"/>
  <c r="C181" i="6"/>
  <c r="AD180" i="6"/>
  <c r="AC180" i="6"/>
  <c r="AA180" i="6"/>
  <c r="W180" i="6"/>
  <c r="X180" i="6" s="1"/>
  <c r="U180" i="6"/>
  <c r="R180" i="6"/>
  <c r="O180" i="6"/>
  <c r="N180" i="6"/>
  <c r="L180" i="6"/>
  <c r="I180" i="6"/>
  <c r="H180" i="6"/>
  <c r="F180" i="6"/>
  <c r="C180" i="6"/>
  <c r="AC179" i="6"/>
  <c r="AD179" i="6" s="1"/>
  <c r="AA179" i="6"/>
  <c r="X179" i="6"/>
  <c r="W179" i="6"/>
  <c r="U179" i="6"/>
  <c r="R179" i="6"/>
  <c r="N179" i="6"/>
  <c r="O179" i="6" s="1"/>
  <c r="L179" i="6"/>
  <c r="H179" i="6"/>
  <c r="I179" i="6" s="1"/>
  <c r="F179" i="6"/>
  <c r="C179" i="6"/>
  <c r="AD178" i="6"/>
  <c r="AC178" i="6"/>
  <c r="AA178" i="6"/>
  <c r="X178" i="6"/>
  <c r="W178" i="6"/>
  <c r="U178" i="6"/>
  <c r="R178" i="6"/>
  <c r="N178" i="6"/>
  <c r="O178" i="6" s="1"/>
  <c r="L178" i="6"/>
  <c r="H178" i="6"/>
  <c r="I178" i="6" s="1"/>
  <c r="F178" i="6"/>
  <c r="C178" i="6"/>
  <c r="AD177" i="6"/>
  <c r="AC177" i="6"/>
  <c r="AA177" i="6"/>
  <c r="X177" i="6"/>
  <c r="W177" i="6"/>
  <c r="U177" i="6"/>
  <c r="R177" i="6"/>
  <c r="N177" i="6"/>
  <c r="O177" i="6" s="1"/>
  <c r="L177" i="6"/>
  <c r="H177" i="6"/>
  <c r="I177" i="6" s="1"/>
  <c r="F177" i="6"/>
  <c r="C177" i="6"/>
  <c r="AD175" i="6"/>
  <c r="AC175" i="6"/>
  <c r="AA175" i="6"/>
  <c r="W175" i="6"/>
  <c r="X175" i="6" s="1"/>
  <c r="U175" i="6"/>
  <c r="R175" i="6"/>
  <c r="N175" i="6"/>
  <c r="O175" i="6" s="1"/>
  <c r="L175" i="6"/>
  <c r="I175" i="6"/>
  <c r="H175" i="6"/>
  <c r="F175" i="6"/>
  <c r="C175" i="6"/>
  <c r="Q172" i="6"/>
  <c r="E172" i="6"/>
  <c r="AA171" i="6"/>
  <c r="Z171" i="6"/>
  <c r="T171" i="6"/>
  <c r="R171" i="6"/>
  <c r="Q171" i="6"/>
  <c r="L171" i="6"/>
  <c r="K171" i="6"/>
  <c r="F171" i="6"/>
  <c r="E171" i="6"/>
  <c r="B171" i="6"/>
  <c r="Z170" i="6"/>
  <c r="AA170" i="6" s="1"/>
  <c r="T170" i="6"/>
  <c r="U170" i="6" s="1"/>
  <c r="Q170" i="6"/>
  <c r="N170" i="6"/>
  <c r="O170" i="6" s="1"/>
  <c r="L170" i="6"/>
  <c r="K170" i="6"/>
  <c r="F170" i="6"/>
  <c r="E170" i="6"/>
  <c r="B170" i="6"/>
  <c r="C170" i="6" s="1"/>
  <c r="AD169" i="6"/>
  <c r="AC169" i="6"/>
  <c r="AA169" i="6"/>
  <c r="X169" i="6"/>
  <c r="W169" i="6"/>
  <c r="U169" i="6"/>
  <c r="R169" i="6"/>
  <c r="N169" i="6"/>
  <c r="O169" i="6" s="1"/>
  <c r="L169" i="6"/>
  <c r="H169" i="6"/>
  <c r="I169" i="6" s="1"/>
  <c r="F169" i="6"/>
  <c r="C169" i="6"/>
  <c r="AC168" i="6"/>
  <c r="AD168" i="6" s="1"/>
  <c r="AA168" i="6"/>
  <c r="W168" i="6"/>
  <c r="X168" i="6" s="1"/>
  <c r="U168" i="6"/>
  <c r="R168" i="6"/>
  <c r="O168" i="6"/>
  <c r="N168" i="6"/>
  <c r="L168" i="6"/>
  <c r="I168" i="6"/>
  <c r="H168" i="6"/>
  <c r="F168" i="6"/>
  <c r="C168" i="6"/>
  <c r="AC167" i="6"/>
  <c r="AD167" i="6" s="1"/>
  <c r="AA167" i="6"/>
  <c r="W167" i="6"/>
  <c r="X167" i="6" s="1"/>
  <c r="U167" i="6"/>
  <c r="R167" i="6"/>
  <c r="N167" i="6"/>
  <c r="O167" i="6" s="1"/>
  <c r="L167" i="6"/>
  <c r="I167" i="6"/>
  <c r="H167" i="6"/>
  <c r="F167" i="6"/>
  <c r="C167" i="6"/>
  <c r="Z166" i="6"/>
  <c r="AC166" i="6" s="1"/>
  <c r="AD166" i="6" s="1"/>
  <c r="U166" i="6"/>
  <c r="T166" i="6"/>
  <c r="Q166" i="6"/>
  <c r="L166" i="6"/>
  <c r="K166" i="6"/>
  <c r="I166" i="6"/>
  <c r="F166" i="6"/>
  <c r="E166" i="6"/>
  <c r="B166" i="6"/>
  <c r="H166" i="6" s="1"/>
  <c r="AC165" i="6"/>
  <c r="AD165" i="6" s="1"/>
  <c r="AA165" i="6"/>
  <c r="W165" i="6"/>
  <c r="X165" i="6" s="1"/>
  <c r="U165" i="6"/>
  <c r="R165" i="6"/>
  <c r="N165" i="6"/>
  <c r="O165" i="6" s="1"/>
  <c r="L165" i="6"/>
  <c r="I165" i="6"/>
  <c r="H165" i="6"/>
  <c r="F165" i="6"/>
  <c r="C165" i="6"/>
  <c r="AC164" i="6"/>
  <c r="AD164" i="6" s="1"/>
  <c r="AA164" i="6"/>
  <c r="X164" i="6"/>
  <c r="W164" i="6"/>
  <c r="U164" i="6"/>
  <c r="R164" i="6"/>
  <c r="O164" i="6"/>
  <c r="N164" i="6"/>
  <c r="L164" i="6"/>
  <c r="H164" i="6"/>
  <c r="I164" i="6" s="1"/>
  <c r="F164" i="6"/>
  <c r="C164" i="6"/>
  <c r="AC163" i="6"/>
  <c r="AD163" i="6" s="1"/>
  <c r="AA163" i="6"/>
  <c r="X163" i="6"/>
  <c r="W163" i="6"/>
  <c r="U163" i="6"/>
  <c r="R163" i="6"/>
  <c r="N163" i="6"/>
  <c r="O163" i="6" s="1"/>
  <c r="L163" i="6"/>
  <c r="I163" i="6"/>
  <c r="H163" i="6"/>
  <c r="F163" i="6"/>
  <c r="C163" i="6"/>
  <c r="AD162" i="6"/>
  <c r="AC162" i="6"/>
  <c r="AA162" i="6"/>
  <c r="W162" i="6"/>
  <c r="X162" i="6" s="1"/>
  <c r="U162" i="6"/>
  <c r="R162" i="6"/>
  <c r="N162" i="6"/>
  <c r="O162" i="6" s="1"/>
  <c r="L162" i="6"/>
  <c r="H162" i="6"/>
  <c r="I162" i="6" s="1"/>
  <c r="F162" i="6"/>
  <c r="C162" i="6"/>
  <c r="AC161" i="6"/>
  <c r="AD161" i="6" s="1"/>
  <c r="AA161" i="6"/>
  <c r="W161" i="6"/>
  <c r="X161" i="6" s="1"/>
  <c r="U161" i="6"/>
  <c r="R161" i="6"/>
  <c r="O161" i="6"/>
  <c r="N161" i="6"/>
  <c r="L161" i="6"/>
  <c r="I161" i="6"/>
  <c r="H161" i="6"/>
  <c r="F161" i="6"/>
  <c r="C161" i="6"/>
  <c r="AC160" i="6"/>
  <c r="AD160" i="6" s="1"/>
  <c r="AA160" i="6"/>
  <c r="X160" i="6"/>
  <c r="W160" i="6"/>
  <c r="U160" i="6"/>
  <c r="R160" i="6"/>
  <c r="N160" i="6"/>
  <c r="O160" i="6" s="1"/>
  <c r="L160" i="6"/>
  <c r="H160" i="6"/>
  <c r="I160" i="6" s="1"/>
  <c r="F160" i="6"/>
  <c r="C160" i="6"/>
  <c r="Z158" i="6"/>
  <c r="AA158" i="6" s="1"/>
  <c r="W158" i="6"/>
  <c r="X158" i="6" s="1"/>
  <c r="U158" i="6"/>
  <c r="T158" i="6"/>
  <c r="R158" i="6"/>
  <c r="Q158" i="6"/>
  <c r="AC158" i="6" s="1"/>
  <c r="AD158" i="6" s="1"/>
  <c r="K158" i="6"/>
  <c r="L158" i="6" s="1"/>
  <c r="E158" i="6"/>
  <c r="F158" i="6" s="1"/>
  <c r="B158" i="6"/>
  <c r="AD157" i="6"/>
  <c r="AC157" i="6"/>
  <c r="AA157" i="6"/>
  <c r="W157" i="6"/>
  <c r="X157" i="6" s="1"/>
  <c r="U157" i="6"/>
  <c r="R157" i="6"/>
  <c r="N157" i="6"/>
  <c r="O157" i="6" s="1"/>
  <c r="L157" i="6"/>
  <c r="I157" i="6"/>
  <c r="H157" i="6"/>
  <c r="F157" i="6"/>
  <c r="C157" i="6"/>
  <c r="AD156" i="6"/>
  <c r="AC156" i="6"/>
  <c r="AA156" i="6"/>
  <c r="X156" i="6"/>
  <c r="W156" i="6"/>
  <c r="U156" i="6"/>
  <c r="R156" i="6"/>
  <c r="O156" i="6"/>
  <c r="N156" i="6"/>
  <c r="L156" i="6"/>
  <c r="H156" i="6"/>
  <c r="I156" i="6" s="1"/>
  <c r="F156" i="6"/>
  <c r="C156" i="6"/>
  <c r="AC155" i="6"/>
  <c r="AD155" i="6" s="1"/>
  <c r="AA155" i="6"/>
  <c r="W155" i="6"/>
  <c r="X155" i="6" s="1"/>
  <c r="U155" i="6"/>
  <c r="R155" i="6"/>
  <c r="N155" i="6"/>
  <c r="O155" i="6" s="1"/>
  <c r="L155" i="6"/>
  <c r="H155" i="6"/>
  <c r="I155" i="6" s="1"/>
  <c r="F155" i="6"/>
  <c r="C155" i="6"/>
  <c r="AD154" i="6"/>
  <c r="AC154" i="6"/>
  <c r="AA154" i="6"/>
  <c r="X154" i="6"/>
  <c r="W154" i="6"/>
  <c r="U154" i="6"/>
  <c r="R154" i="6"/>
  <c r="N154" i="6"/>
  <c r="O154" i="6" s="1"/>
  <c r="L154" i="6"/>
  <c r="I154" i="6"/>
  <c r="H154" i="6"/>
  <c r="F154" i="6"/>
  <c r="C154" i="6"/>
  <c r="AC153" i="6"/>
  <c r="AD153" i="6" s="1"/>
  <c r="AA153" i="6"/>
  <c r="W153" i="6"/>
  <c r="X153" i="6" s="1"/>
  <c r="U153" i="6"/>
  <c r="R153" i="6"/>
  <c r="O153" i="6"/>
  <c r="N153" i="6"/>
  <c r="L153" i="6"/>
  <c r="I153" i="6"/>
  <c r="H153" i="6"/>
  <c r="F153" i="6"/>
  <c r="C153" i="6"/>
  <c r="AD151" i="6"/>
  <c r="AC151" i="6"/>
  <c r="AA151" i="6"/>
  <c r="W151" i="6"/>
  <c r="X151" i="6" s="1"/>
  <c r="U151" i="6"/>
  <c r="R151" i="6"/>
  <c r="N151" i="6"/>
  <c r="O151" i="6" s="1"/>
  <c r="L151" i="6"/>
  <c r="I151" i="6"/>
  <c r="H151" i="6"/>
  <c r="F151" i="6"/>
  <c r="C151" i="6"/>
  <c r="Z149" i="6"/>
  <c r="AA149" i="6" s="1"/>
  <c r="U149" i="6"/>
  <c r="T149" i="6"/>
  <c r="Q149" i="6"/>
  <c r="AC149" i="6" s="1"/>
  <c r="AD149" i="6" s="1"/>
  <c r="L149" i="6"/>
  <c r="K149" i="6"/>
  <c r="I149" i="6"/>
  <c r="F149" i="6"/>
  <c r="E149" i="6"/>
  <c r="C149" i="6"/>
  <c r="B149" i="6"/>
  <c r="H149" i="6" s="1"/>
  <c r="AC148" i="6"/>
  <c r="AD148" i="6" s="1"/>
  <c r="AA148" i="6"/>
  <c r="Z148" i="6"/>
  <c r="T148" i="6"/>
  <c r="U148" i="6" s="1"/>
  <c r="Q148" i="6"/>
  <c r="K148" i="6"/>
  <c r="L148" i="6" s="1"/>
  <c r="H148" i="6"/>
  <c r="I148" i="6" s="1"/>
  <c r="F148" i="6"/>
  <c r="E148" i="6"/>
  <c r="C148" i="6"/>
  <c r="B148" i="6"/>
  <c r="AC147" i="6"/>
  <c r="AD147" i="6" s="1"/>
  <c r="AA147" i="6"/>
  <c r="W147" i="6"/>
  <c r="X147" i="6" s="1"/>
  <c r="U147" i="6"/>
  <c r="R147" i="6"/>
  <c r="N147" i="6"/>
  <c r="O147" i="6" s="1"/>
  <c r="L147" i="6"/>
  <c r="I147" i="6"/>
  <c r="H147" i="6"/>
  <c r="F147" i="6"/>
  <c r="C147" i="6"/>
  <c r="AD146" i="6"/>
  <c r="AC146" i="6"/>
  <c r="AA146" i="6"/>
  <c r="W146" i="6"/>
  <c r="X146" i="6" s="1"/>
  <c r="U146" i="6"/>
  <c r="R146" i="6"/>
  <c r="O146" i="6"/>
  <c r="N146" i="6"/>
  <c r="L146" i="6"/>
  <c r="H146" i="6"/>
  <c r="I146" i="6" s="1"/>
  <c r="F146" i="6"/>
  <c r="C146" i="6"/>
  <c r="AC145" i="6"/>
  <c r="AD145" i="6" s="1"/>
  <c r="AA145" i="6"/>
  <c r="W145" i="6"/>
  <c r="X145" i="6" s="1"/>
  <c r="U145" i="6"/>
  <c r="R145" i="6"/>
  <c r="O145" i="6"/>
  <c r="N145" i="6"/>
  <c r="L145" i="6"/>
  <c r="I145" i="6"/>
  <c r="H145" i="6"/>
  <c r="F145" i="6"/>
  <c r="C145" i="6"/>
  <c r="AC144" i="6"/>
  <c r="AD144" i="6" s="1"/>
  <c r="AA144" i="6"/>
  <c r="W144" i="6"/>
  <c r="X144" i="6" s="1"/>
  <c r="U144" i="6"/>
  <c r="R144" i="6"/>
  <c r="N144" i="6"/>
  <c r="O144" i="6" s="1"/>
  <c r="L144" i="6"/>
  <c r="H144" i="6"/>
  <c r="I144" i="6" s="1"/>
  <c r="F144" i="6"/>
  <c r="C144" i="6"/>
  <c r="AD143" i="6"/>
  <c r="AC143" i="6"/>
  <c r="AA143" i="6"/>
  <c r="X143" i="6"/>
  <c r="W143" i="6"/>
  <c r="U143" i="6"/>
  <c r="R143" i="6"/>
  <c r="N143" i="6"/>
  <c r="O143" i="6" s="1"/>
  <c r="L143" i="6"/>
  <c r="H143" i="6"/>
  <c r="I143" i="6" s="1"/>
  <c r="F143" i="6"/>
  <c r="C143" i="6"/>
  <c r="Z141" i="6"/>
  <c r="AA141" i="6" s="1"/>
  <c r="X141" i="6"/>
  <c r="T141" i="6"/>
  <c r="W141" i="6" s="1"/>
  <c r="R141" i="6"/>
  <c r="Q141" i="6"/>
  <c r="AC141" i="6" s="1"/>
  <c r="AD141" i="6" s="1"/>
  <c r="L141" i="6"/>
  <c r="K141" i="6"/>
  <c r="I141" i="6"/>
  <c r="H141" i="6"/>
  <c r="F141" i="6"/>
  <c r="E141" i="6"/>
  <c r="B141" i="6"/>
  <c r="C141" i="6" s="1"/>
  <c r="AD140" i="6"/>
  <c r="AC140" i="6"/>
  <c r="AA140" i="6"/>
  <c r="X140" i="6"/>
  <c r="W140" i="6"/>
  <c r="U140" i="6"/>
  <c r="R140" i="6"/>
  <c r="N140" i="6"/>
  <c r="O140" i="6" s="1"/>
  <c r="L140" i="6"/>
  <c r="H140" i="6"/>
  <c r="I140" i="6" s="1"/>
  <c r="F140" i="6"/>
  <c r="C140" i="6"/>
  <c r="AC139" i="6"/>
  <c r="AD139" i="6" s="1"/>
  <c r="AA139" i="6"/>
  <c r="W139" i="6"/>
  <c r="X139" i="6" s="1"/>
  <c r="U139" i="6"/>
  <c r="R139" i="6"/>
  <c r="N139" i="6"/>
  <c r="O139" i="6" s="1"/>
  <c r="L139" i="6"/>
  <c r="H139" i="6"/>
  <c r="I139" i="6" s="1"/>
  <c r="F139" i="6"/>
  <c r="C139" i="6"/>
  <c r="AD138" i="6"/>
  <c r="AC138" i="6"/>
  <c r="AA138" i="6"/>
  <c r="X138" i="6"/>
  <c r="W138" i="6"/>
  <c r="U138" i="6"/>
  <c r="R138" i="6"/>
  <c r="N138" i="6"/>
  <c r="O138" i="6" s="1"/>
  <c r="L138" i="6"/>
  <c r="H138" i="6"/>
  <c r="I138" i="6" s="1"/>
  <c r="F138" i="6"/>
  <c r="C138" i="6"/>
  <c r="AC137" i="6"/>
  <c r="AD137" i="6" s="1"/>
  <c r="AA137" i="6"/>
  <c r="W137" i="6"/>
  <c r="X137" i="6" s="1"/>
  <c r="U137" i="6"/>
  <c r="R137" i="6"/>
  <c r="O137" i="6"/>
  <c r="N137" i="6"/>
  <c r="L137" i="6"/>
  <c r="I137" i="6"/>
  <c r="H137" i="6"/>
  <c r="F137" i="6"/>
  <c r="C137" i="6"/>
  <c r="AC136" i="6"/>
  <c r="AD136" i="6" s="1"/>
  <c r="AA136" i="6"/>
  <c r="W136" i="6"/>
  <c r="X136" i="6" s="1"/>
  <c r="U136" i="6"/>
  <c r="R136" i="6"/>
  <c r="N136" i="6"/>
  <c r="O136" i="6" s="1"/>
  <c r="L136" i="6"/>
  <c r="I136" i="6"/>
  <c r="H136" i="6"/>
  <c r="F136" i="6"/>
  <c r="C136" i="6"/>
  <c r="AC135" i="6"/>
  <c r="AD135" i="6" s="1"/>
  <c r="AA135" i="6"/>
  <c r="X135" i="6"/>
  <c r="W135" i="6"/>
  <c r="U135" i="6"/>
  <c r="R135" i="6"/>
  <c r="N135" i="6"/>
  <c r="O135" i="6" s="1"/>
  <c r="L135" i="6"/>
  <c r="I135" i="6"/>
  <c r="H135" i="6"/>
  <c r="F135" i="6"/>
  <c r="C135" i="6"/>
  <c r="AD134" i="6"/>
  <c r="AC134" i="6"/>
  <c r="AA134" i="6"/>
  <c r="W134" i="6"/>
  <c r="X134" i="6" s="1"/>
  <c r="U134" i="6"/>
  <c r="R134" i="6"/>
  <c r="O134" i="6"/>
  <c r="N134" i="6"/>
  <c r="L134" i="6"/>
  <c r="I134" i="6"/>
  <c r="H134" i="6"/>
  <c r="F134" i="6"/>
  <c r="C134" i="6"/>
  <c r="AC133" i="6"/>
  <c r="AD133" i="6" s="1"/>
  <c r="AA133" i="6"/>
  <c r="W133" i="6"/>
  <c r="X133" i="6" s="1"/>
  <c r="U133" i="6"/>
  <c r="R133" i="6"/>
  <c r="N133" i="6"/>
  <c r="O133" i="6" s="1"/>
  <c r="L133" i="6"/>
  <c r="I133" i="6"/>
  <c r="H133" i="6"/>
  <c r="F133" i="6"/>
  <c r="C133" i="6"/>
  <c r="AC132" i="6"/>
  <c r="AD132" i="6" s="1"/>
  <c r="AA132" i="6"/>
  <c r="X132" i="6"/>
  <c r="W132" i="6"/>
  <c r="U132" i="6"/>
  <c r="R132" i="6"/>
  <c r="O132" i="6"/>
  <c r="N132" i="6"/>
  <c r="L132" i="6"/>
  <c r="H132" i="6"/>
  <c r="I132" i="6" s="1"/>
  <c r="F132" i="6"/>
  <c r="C132" i="6"/>
  <c r="AC131" i="6"/>
  <c r="AD131" i="6" s="1"/>
  <c r="AA131" i="6"/>
  <c r="X131" i="6"/>
  <c r="W131" i="6"/>
  <c r="U131" i="6"/>
  <c r="R131" i="6"/>
  <c r="N131" i="6"/>
  <c r="O131" i="6" s="1"/>
  <c r="L131" i="6"/>
  <c r="I131" i="6"/>
  <c r="H131" i="6"/>
  <c r="F131" i="6"/>
  <c r="C131" i="6"/>
  <c r="AD130" i="6"/>
  <c r="AC130" i="6"/>
  <c r="AA130" i="6"/>
  <c r="W130" i="6"/>
  <c r="X130" i="6" s="1"/>
  <c r="U130" i="6"/>
  <c r="R130" i="6"/>
  <c r="N130" i="6"/>
  <c r="O130" i="6" s="1"/>
  <c r="L130" i="6"/>
  <c r="H130" i="6"/>
  <c r="I130" i="6" s="1"/>
  <c r="F130" i="6"/>
  <c r="C130" i="6"/>
  <c r="AC129" i="6"/>
  <c r="AD129" i="6" s="1"/>
  <c r="AA129" i="6"/>
  <c r="W129" i="6"/>
  <c r="X129" i="6" s="1"/>
  <c r="U129" i="6"/>
  <c r="R129" i="6"/>
  <c r="O129" i="6"/>
  <c r="N129" i="6"/>
  <c r="L129" i="6"/>
  <c r="I129" i="6"/>
  <c r="H129" i="6"/>
  <c r="F129" i="6"/>
  <c r="C129" i="6"/>
  <c r="AD127" i="6"/>
  <c r="AC127" i="6"/>
  <c r="AA127" i="6"/>
  <c r="W127" i="6"/>
  <c r="X127" i="6" s="1"/>
  <c r="U127" i="6"/>
  <c r="R127" i="6"/>
  <c r="N127" i="6"/>
  <c r="O127" i="6" s="1"/>
  <c r="L127" i="6"/>
  <c r="H127" i="6"/>
  <c r="I127" i="6" s="1"/>
  <c r="F127" i="6"/>
  <c r="C127" i="6"/>
  <c r="Z124" i="6"/>
  <c r="W124" i="6"/>
  <c r="X124" i="6" s="1"/>
  <c r="U124" i="6"/>
  <c r="T124" i="6"/>
  <c r="R124" i="6"/>
  <c r="Q124" i="6"/>
  <c r="K124" i="6"/>
  <c r="F124" i="6"/>
  <c r="E124" i="6"/>
  <c r="B124" i="6"/>
  <c r="N124" i="6" s="1"/>
  <c r="O124" i="6" s="1"/>
  <c r="AD123" i="6"/>
  <c r="AC123" i="6"/>
  <c r="AA123" i="6"/>
  <c r="W123" i="6"/>
  <c r="X123" i="6" s="1"/>
  <c r="U123" i="6"/>
  <c r="R123" i="6"/>
  <c r="N123" i="6"/>
  <c r="O123" i="6" s="1"/>
  <c r="L123" i="6"/>
  <c r="I123" i="6"/>
  <c r="H123" i="6"/>
  <c r="F123" i="6"/>
  <c r="C123" i="6"/>
  <c r="AA122" i="6"/>
  <c r="Z122" i="6"/>
  <c r="U122" i="6"/>
  <c r="T122" i="6"/>
  <c r="Q122" i="6"/>
  <c r="N122" i="6"/>
  <c r="O122" i="6" s="1"/>
  <c r="L122" i="6"/>
  <c r="K122" i="6"/>
  <c r="E122" i="6"/>
  <c r="F122" i="6" s="1"/>
  <c r="B122" i="6"/>
  <c r="C122" i="6" s="1"/>
  <c r="AD121" i="6"/>
  <c r="AC121" i="6"/>
  <c r="AA121" i="6"/>
  <c r="W121" i="6"/>
  <c r="X121" i="6" s="1"/>
  <c r="U121" i="6"/>
  <c r="R121" i="6"/>
  <c r="N121" i="6"/>
  <c r="O121" i="6" s="1"/>
  <c r="L121" i="6"/>
  <c r="I121" i="6"/>
  <c r="H121" i="6"/>
  <c r="F121" i="6"/>
  <c r="C121" i="6"/>
  <c r="AC120" i="6"/>
  <c r="AD120" i="6" s="1"/>
  <c r="AA120" i="6"/>
  <c r="W120" i="6"/>
  <c r="X120" i="6" s="1"/>
  <c r="U120" i="6"/>
  <c r="R120" i="6"/>
  <c r="N120" i="6"/>
  <c r="O120" i="6" s="1"/>
  <c r="L120" i="6"/>
  <c r="I120" i="6"/>
  <c r="H120" i="6"/>
  <c r="F120" i="6"/>
  <c r="C120" i="6"/>
  <c r="AD119" i="6"/>
  <c r="AC119" i="6"/>
  <c r="AA119" i="6"/>
  <c r="W119" i="6"/>
  <c r="X119" i="6" s="1"/>
  <c r="U119" i="6"/>
  <c r="R119" i="6"/>
  <c r="N119" i="6"/>
  <c r="O119" i="6" s="1"/>
  <c r="L119" i="6"/>
  <c r="I119" i="6"/>
  <c r="H119" i="6"/>
  <c r="F119" i="6"/>
  <c r="C119" i="6"/>
  <c r="Z118" i="6"/>
  <c r="AC118" i="6" s="1"/>
  <c r="AD118" i="6" s="1"/>
  <c r="U118" i="6"/>
  <c r="T118" i="6"/>
  <c r="Q118" i="6"/>
  <c r="N118" i="6"/>
  <c r="O118" i="6" s="1"/>
  <c r="L118" i="6"/>
  <c r="K118" i="6"/>
  <c r="I118" i="6"/>
  <c r="F118" i="6"/>
  <c r="E118" i="6"/>
  <c r="C118" i="6"/>
  <c r="B118" i="6"/>
  <c r="H118" i="6" s="1"/>
  <c r="AC117" i="6"/>
  <c r="AD117" i="6" s="1"/>
  <c r="AA117" i="6"/>
  <c r="W117" i="6"/>
  <c r="X117" i="6" s="1"/>
  <c r="U117" i="6"/>
  <c r="R117" i="6"/>
  <c r="N117" i="6"/>
  <c r="O117" i="6" s="1"/>
  <c r="L117" i="6"/>
  <c r="I117" i="6"/>
  <c r="H117" i="6"/>
  <c r="F117" i="6"/>
  <c r="C117" i="6"/>
  <c r="AC116" i="6"/>
  <c r="AD116" i="6" s="1"/>
  <c r="AA116" i="6"/>
  <c r="W116" i="6"/>
  <c r="X116" i="6" s="1"/>
  <c r="U116" i="6"/>
  <c r="R116" i="6"/>
  <c r="O116" i="6"/>
  <c r="N116" i="6"/>
  <c r="L116" i="6"/>
  <c r="H116" i="6"/>
  <c r="I116" i="6" s="1"/>
  <c r="F116" i="6"/>
  <c r="C116" i="6"/>
  <c r="AC115" i="6"/>
  <c r="AD115" i="6" s="1"/>
  <c r="AA115" i="6"/>
  <c r="W115" i="6"/>
  <c r="X115" i="6" s="1"/>
  <c r="U115" i="6"/>
  <c r="R115" i="6"/>
  <c r="N115" i="6"/>
  <c r="O115" i="6" s="1"/>
  <c r="L115" i="6"/>
  <c r="I115" i="6"/>
  <c r="H115" i="6"/>
  <c r="F115" i="6"/>
  <c r="C115" i="6"/>
  <c r="AD114" i="6"/>
  <c r="AC114" i="6"/>
  <c r="AA114" i="6"/>
  <c r="X114" i="6"/>
  <c r="W114" i="6"/>
  <c r="U114" i="6"/>
  <c r="R114" i="6"/>
  <c r="N114" i="6"/>
  <c r="O114" i="6" s="1"/>
  <c r="L114" i="6"/>
  <c r="H114" i="6"/>
  <c r="I114" i="6" s="1"/>
  <c r="F114" i="6"/>
  <c r="C114" i="6"/>
  <c r="AC113" i="6"/>
  <c r="AD113" i="6" s="1"/>
  <c r="AA113" i="6"/>
  <c r="W113" i="6"/>
  <c r="X113" i="6" s="1"/>
  <c r="U113" i="6"/>
  <c r="R113" i="6"/>
  <c r="O113" i="6"/>
  <c r="N113" i="6"/>
  <c r="L113" i="6"/>
  <c r="I113" i="6"/>
  <c r="H113" i="6"/>
  <c r="F113" i="6"/>
  <c r="C113" i="6"/>
  <c r="AC112" i="6"/>
  <c r="AD112" i="6" s="1"/>
  <c r="AA112" i="6"/>
  <c r="W112" i="6"/>
  <c r="X112" i="6" s="1"/>
  <c r="U112" i="6"/>
  <c r="R112" i="6"/>
  <c r="N112" i="6"/>
  <c r="O112" i="6" s="1"/>
  <c r="L112" i="6"/>
  <c r="H112" i="6"/>
  <c r="I112" i="6" s="1"/>
  <c r="F112" i="6"/>
  <c r="C112" i="6"/>
  <c r="AD111" i="6"/>
  <c r="AC111" i="6"/>
  <c r="AA111" i="6"/>
  <c r="X111" i="6"/>
  <c r="W111" i="6"/>
  <c r="U111" i="6"/>
  <c r="R111" i="6"/>
  <c r="N111" i="6"/>
  <c r="O111" i="6" s="1"/>
  <c r="L111" i="6"/>
  <c r="H111" i="6"/>
  <c r="I111" i="6" s="1"/>
  <c r="F111" i="6"/>
  <c r="C111" i="6"/>
  <c r="AD110" i="6"/>
  <c r="AC110" i="6"/>
  <c r="AA110" i="6"/>
  <c r="X110" i="6"/>
  <c r="W110" i="6"/>
  <c r="U110" i="6"/>
  <c r="R110" i="6"/>
  <c r="N110" i="6"/>
  <c r="O110" i="6" s="1"/>
  <c r="L110" i="6"/>
  <c r="H110" i="6"/>
  <c r="I110" i="6" s="1"/>
  <c r="F110" i="6"/>
  <c r="C110" i="6"/>
  <c r="AD109" i="6"/>
  <c r="AC109" i="6"/>
  <c r="AA109" i="6"/>
  <c r="W109" i="6"/>
  <c r="X109" i="6" s="1"/>
  <c r="U109" i="6"/>
  <c r="R109" i="6"/>
  <c r="N109" i="6"/>
  <c r="O109" i="6" s="1"/>
  <c r="L109" i="6"/>
  <c r="I109" i="6"/>
  <c r="H109" i="6"/>
  <c r="F109" i="6"/>
  <c r="C109" i="6"/>
  <c r="AD108" i="6"/>
  <c r="AC108" i="6"/>
  <c r="AA108" i="6"/>
  <c r="X108" i="6"/>
  <c r="W108" i="6"/>
  <c r="U108" i="6"/>
  <c r="R108" i="6"/>
  <c r="O108" i="6"/>
  <c r="N108" i="6"/>
  <c r="L108" i="6"/>
  <c r="H108" i="6"/>
  <c r="I108" i="6" s="1"/>
  <c r="F108" i="6"/>
  <c r="C108" i="6"/>
  <c r="AC107" i="6"/>
  <c r="AD107" i="6" s="1"/>
  <c r="AA107" i="6"/>
  <c r="W107" i="6"/>
  <c r="X107" i="6" s="1"/>
  <c r="U107" i="6"/>
  <c r="R107" i="6"/>
  <c r="N107" i="6"/>
  <c r="O107" i="6" s="1"/>
  <c r="L107" i="6"/>
  <c r="H107" i="6"/>
  <c r="I107" i="6" s="1"/>
  <c r="F107" i="6"/>
  <c r="C107" i="6"/>
  <c r="AD106" i="6"/>
  <c r="AC106" i="6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C105" i="6"/>
  <c r="AD105" i="6" s="1"/>
  <c r="AA105" i="6"/>
  <c r="W105" i="6"/>
  <c r="X105" i="6" s="1"/>
  <c r="U105" i="6"/>
  <c r="R105" i="6"/>
  <c r="N105" i="6"/>
  <c r="O105" i="6" s="1"/>
  <c r="L105" i="6"/>
  <c r="I105" i="6"/>
  <c r="H105" i="6"/>
  <c r="F105" i="6"/>
  <c r="C105" i="6"/>
  <c r="AD104" i="6"/>
  <c r="AC104" i="6"/>
  <c r="AA104" i="6"/>
  <c r="W104" i="6"/>
  <c r="X104" i="6" s="1"/>
  <c r="U104" i="6"/>
  <c r="R104" i="6"/>
  <c r="N104" i="6"/>
  <c r="O104" i="6" s="1"/>
  <c r="L104" i="6"/>
  <c r="I104" i="6"/>
  <c r="H104" i="6"/>
  <c r="F104" i="6"/>
  <c r="C104" i="6"/>
  <c r="AC103" i="6"/>
  <c r="AD103" i="6" s="1"/>
  <c r="AA103" i="6"/>
  <c r="W103" i="6"/>
  <c r="X103" i="6" s="1"/>
  <c r="U103" i="6"/>
  <c r="R103" i="6"/>
  <c r="N103" i="6"/>
  <c r="O103" i="6" s="1"/>
  <c r="L103" i="6"/>
  <c r="I103" i="6"/>
  <c r="H103" i="6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I102" i="6"/>
  <c r="H102" i="6"/>
  <c r="F102" i="6"/>
  <c r="C102" i="6"/>
  <c r="AD101" i="6"/>
  <c r="AC101" i="6"/>
  <c r="AA101" i="6"/>
  <c r="W101" i="6"/>
  <c r="X101" i="6" s="1"/>
  <c r="U101" i="6"/>
  <c r="R101" i="6"/>
  <c r="N101" i="6"/>
  <c r="O101" i="6" s="1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W99" i="6"/>
  <c r="X99" i="6" s="1"/>
  <c r="U99" i="6"/>
  <c r="R99" i="6"/>
  <c r="N99" i="6"/>
  <c r="O99" i="6" s="1"/>
  <c r="L99" i="6"/>
  <c r="I99" i="6"/>
  <c r="H99" i="6"/>
  <c r="F99" i="6"/>
  <c r="C99" i="6"/>
  <c r="AC98" i="6"/>
  <c r="AD98" i="6" s="1"/>
  <c r="AA98" i="6"/>
  <c r="W98" i="6"/>
  <c r="X98" i="6" s="1"/>
  <c r="U98" i="6"/>
  <c r="R98" i="6"/>
  <c r="O98" i="6"/>
  <c r="N98" i="6"/>
  <c r="L98" i="6"/>
  <c r="I98" i="6"/>
  <c r="H98" i="6"/>
  <c r="F98" i="6"/>
  <c r="C98" i="6"/>
  <c r="AC97" i="6"/>
  <c r="AD97" i="6" s="1"/>
  <c r="AA97" i="6"/>
  <c r="W97" i="6"/>
  <c r="X97" i="6" s="1"/>
  <c r="U97" i="6"/>
  <c r="R97" i="6"/>
  <c r="N97" i="6"/>
  <c r="O97" i="6" s="1"/>
  <c r="L97" i="6"/>
  <c r="H97" i="6"/>
  <c r="I97" i="6" s="1"/>
  <c r="F97" i="6"/>
  <c r="C97" i="6"/>
  <c r="AC96" i="6"/>
  <c r="AD96" i="6" s="1"/>
  <c r="AA96" i="6"/>
  <c r="X96" i="6"/>
  <c r="W96" i="6"/>
  <c r="U96" i="6"/>
  <c r="R96" i="6"/>
  <c r="N96" i="6"/>
  <c r="O96" i="6" s="1"/>
  <c r="L96" i="6"/>
  <c r="H96" i="6"/>
  <c r="I96" i="6" s="1"/>
  <c r="F96" i="6"/>
  <c r="C96" i="6"/>
  <c r="AD95" i="6"/>
  <c r="AC95" i="6"/>
  <c r="AA95" i="6"/>
  <c r="W95" i="6"/>
  <c r="X95" i="6" s="1"/>
  <c r="U95" i="6"/>
  <c r="R95" i="6"/>
  <c r="N95" i="6"/>
  <c r="O95" i="6" s="1"/>
  <c r="L95" i="6"/>
  <c r="I95" i="6"/>
  <c r="H95" i="6"/>
  <c r="F95" i="6"/>
  <c r="C95" i="6"/>
  <c r="AC94" i="6"/>
  <c r="AD94" i="6" s="1"/>
  <c r="AA94" i="6"/>
  <c r="W94" i="6"/>
  <c r="X94" i="6" s="1"/>
  <c r="U94" i="6"/>
  <c r="R94" i="6"/>
  <c r="O94" i="6"/>
  <c r="N94" i="6"/>
  <c r="L94" i="6"/>
  <c r="I94" i="6"/>
  <c r="H94" i="6"/>
  <c r="F94" i="6"/>
  <c r="C94" i="6"/>
  <c r="AD92" i="6"/>
  <c r="AC92" i="6"/>
  <c r="AA92" i="6"/>
  <c r="W92" i="6"/>
  <c r="X92" i="6" s="1"/>
  <c r="U92" i="6"/>
  <c r="R92" i="6"/>
  <c r="O92" i="6"/>
  <c r="N92" i="6"/>
  <c r="L92" i="6"/>
  <c r="H92" i="6"/>
  <c r="I92" i="6" s="1"/>
  <c r="F92" i="6"/>
  <c r="C92" i="6"/>
  <c r="AC91" i="6"/>
  <c r="AD91" i="6" s="1"/>
  <c r="AA91" i="6"/>
  <c r="X91" i="6"/>
  <c r="W91" i="6"/>
  <c r="U91" i="6"/>
  <c r="R91" i="6"/>
  <c r="N91" i="6"/>
  <c r="O91" i="6" s="1"/>
  <c r="L91" i="6"/>
  <c r="H91" i="6"/>
  <c r="I91" i="6" s="1"/>
  <c r="F91" i="6"/>
  <c r="C91" i="6"/>
  <c r="AD90" i="6"/>
  <c r="AC90" i="6"/>
  <c r="AA90" i="6"/>
  <c r="W90" i="6"/>
  <c r="X90" i="6" s="1"/>
  <c r="U90" i="6"/>
  <c r="R90" i="6"/>
  <c r="N90" i="6"/>
  <c r="O90" i="6" s="1"/>
  <c r="L90" i="6"/>
  <c r="I90" i="6"/>
  <c r="H90" i="6"/>
  <c r="F90" i="6"/>
  <c r="C90" i="6"/>
  <c r="AC89" i="6"/>
  <c r="AD89" i="6" s="1"/>
  <c r="AA89" i="6"/>
  <c r="W89" i="6"/>
  <c r="X89" i="6" s="1"/>
  <c r="U89" i="6"/>
  <c r="R89" i="6"/>
  <c r="O89" i="6"/>
  <c r="N89" i="6"/>
  <c r="L89" i="6"/>
  <c r="I89" i="6"/>
  <c r="H89" i="6"/>
  <c r="F89" i="6"/>
  <c r="C89" i="6"/>
  <c r="Z88" i="6"/>
  <c r="AA88" i="6" s="1"/>
  <c r="X88" i="6"/>
  <c r="U88" i="6"/>
  <c r="T88" i="6"/>
  <c r="Q88" i="6"/>
  <c r="W88" i="6" s="1"/>
  <c r="L88" i="6"/>
  <c r="K88" i="6"/>
  <c r="I88" i="6"/>
  <c r="H88" i="6"/>
  <c r="E88" i="6"/>
  <c r="F88" i="6" s="1"/>
  <c r="B88" i="6"/>
  <c r="C88" i="6" s="1"/>
  <c r="AD87" i="6"/>
  <c r="AC87" i="6"/>
  <c r="AA87" i="6"/>
  <c r="W87" i="6"/>
  <c r="X87" i="6" s="1"/>
  <c r="U87" i="6"/>
  <c r="R87" i="6"/>
  <c r="O87" i="6"/>
  <c r="N87" i="6"/>
  <c r="L87" i="6"/>
  <c r="H87" i="6"/>
  <c r="I87" i="6" s="1"/>
  <c r="F87" i="6"/>
  <c r="C87" i="6"/>
  <c r="AC86" i="6"/>
  <c r="AD86" i="6" s="1"/>
  <c r="AA86" i="6"/>
  <c r="W86" i="6"/>
  <c r="X86" i="6" s="1"/>
  <c r="U86" i="6"/>
  <c r="R86" i="6"/>
  <c r="O86" i="6"/>
  <c r="N86" i="6"/>
  <c r="L86" i="6"/>
  <c r="I86" i="6"/>
  <c r="H86" i="6"/>
  <c r="F86" i="6"/>
  <c r="C86" i="6"/>
  <c r="AC85" i="6"/>
  <c r="AD85" i="6" s="1"/>
  <c r="AA85" i="6"/>
  <c r="W85" i="6"/>
  <c r="X85" i="6" s="1"/>
  <c r="U85" i="6"/>
  <c r="R85" i="6"/>
  <c r="N85" i="6"/>
  <c r="O85" i="6" s="1"/>
  <c r="L85" i="6"/>
  <c r="H85" i="6"/>
  <c r="I85" i="6" s="1"/>
  <c r="F85" i="6"/>
  <c r="C85" i="6"/>
  <c r="AC84" i="6"/>
  <c r="AD84" i="6" s="1"/>
  <c r="AA84" i="6"/>
  <c r="X84" i="6"/>
  <c r="W84" i="6"/>
  <c r="U84" i="6"/>
  <c r="R84" i="6"/>
  <c r="N84" i="6"/>
  <c r="O84" i="6" s="1"/>
  <c r="L84" i="6"/>
  <c r="I84" i="6"/>
  <c r="H84" i="6"/>
  <c r="F84" i="6"/>
  <c r="C84" i="6"/>
  <c r="AD83" i="6"/>
  <c r="AC83" i="6"/>
  <c r="AA83" i="6"/>
  <c r="W83" i="6"/>
  <c r="X83" i="6" s="1"/>
  <c r="U83" i="6"/>
  <c r="R83" i="6"/>
  <c r="O83" i="6"/>
  <c r="N83" i="6"/>
  <c r="L83" i="6"/>
  <c r="H83" i="6"/>
  <c r="I83" i="6" s="1"/>
  <c r="F83" i="6"/>
  <c r="C83" i="6"/>
  <c r="AC82" i="6"/>
  <c r="AD82" i="6" s="1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N81" i="6"/>
  <c r="O81" i="6" s="1"/>
  <c r="L81" i="6"/>
  <c r="H81" i="6"/>
  <c r="I81" i="6" s="1"/>
  <c r="F81" i="6"/>
  <c r="C81" i="6"/>
  <c r="AD80" i="6"/>
  <c r="AC80" i="6"/>
  <c r="AA80" i="6"/>
  <c r="X80" i="6"/>
  <c r="W80" i="6"/>
  <c r="U80" i="6"/>
  <c r="R80" i="6"/>
  <c r="N80" i="6"/>
  <c r="O80" i="6" s="1"/>
  <c r="L80" i="6"/>
  <c r="I80" i="6"/>
  <c r="H80" i="6"/>
  <c r="F80" i="6"/>
  <c r="C80" i="6"/>
  <c r="AD79" i="6"/>
  <c r="AC79" i="6"/>
  <c r="AA79" i="6"/>
  <c r="X79" i="6"/>
  <c r="W79" i="6"/>
  <c r="U79" i="6"/>
  <c r="R79" i="6"/>
  <c r="O79" i="6"/>
  <c r="N79" i="6"/>
  <c r="L79" i="6"/>
  <c r="H79" i="6"/>
  <c r="I79" i="6" s="1"/>
  <c r="F79" i="6"/>
  <c r="C79" i="6"/>
  <c r="AC78" i="6"/>
  <c r="AD78" i="6" s="1"/>
  <c r="AA78" i="6"/>
  <c r="W78" i="6"/>
  <c r="X78" i="6" s="1"/>
  <c r="U78" i="6"/>
  <c r="R78" i="6"/>
  <c r="O78" i="6"/>
  <c r="N78" i="6"/>
  <c r="L78" i="6"/>
  <c r="I78" i="6"/>
  <c r="H78" i="6"/>
  <c r="F78" i="6"/>
  <c r="C78" i="6"/>
  <c r="AC77" i="6"/>
  <c r="AD77" i="6" s="1"/>
  <c r="AA77" i="6"/>
  <c r="W77" i="6"/>
  <c r="X77" i="6" s="1"/>
  <c r="U77" i="6"/>
  <c r="R77" i="6"/>
  <c r="N77" i="6"/>
  <c r="O77" i="6" s="1"/>
  <c r="L77" i="6"/>
  <c r="H77" i="6"/>
  <c r="I77" i="6" s="1"/>
  <c r="F77" i="6"/>
  <c r="C77" i="6"/>
  <c r="AC76" i="6"/>
  <c r="AD76" i="6" s="1"/>
  <c r="AA76" i="6"/>
  <c r="X76" i="6"/>
  <c r="W76" i="6"/>
  <c r="U76" i="6"/>
  <c r="R76" i="6"/>
  <c r="N76" i="6"/>
  <c r="O76" i="6" s="1"/>
  <c r="L76" i="6"/>
  <c r="I76" i="6"/>
  <c r="H76" i="6"/>
  <c r="F76" i="6"/>
  <c r="C76" i="6"/>
  <c r="AD75" i="6"/>
  <c r="AC75" i="6"/>
  <c r="AA75" i="6"/>
  <c r="W75" i="6"/>
  <c r="X75" i="6" s="1"/>
  <c r="U75" i="6"/>
  <c r="R75" i="6"/>
  <c r="O75" i="6"/>
  <c r="N75" i="6"/>
  <c r="L75" i="6"/>
  <c r="H75" i="6"/>
  <c r="I75" i="6" s="1"/>
  <c r="F75" i="6"/>
  <c r="C75" i="6"/>
  <c r="AC73" i="6"/>
  <c r="AD73" i="6" s="1"/>
  <c r="AA73" i="6"/>
  <c r="Z73" i="6"/>
  <c r="T73" i="6"/>
  <c r="U73" i="6" s="1"/>
  <c r="Q73" i="6"/>
  <c r="R73" i="6" s="1"/>
  <c r="L73" i="6"/>
  <c r="K73" i="6"/>
  <c r="E73" i="6"/>
  <c r="F73" i="6" s="1"/>
  <c r="C73" i="6"/>
  <c r="B73" i="6"/>
  <c r="AD72" i="6"/>
  <c r="AC72" i="6"/>
  <c r="AA72" i="6"/>
  <c r="X72" i="6"/>
  <c r="W72" i="6"/>
  <c r="U72" i="6"/>
  <c r="R72" i="6"/>
  <c r="N72" i="6"/>
  <c r="O72" i="6" s="1"/>
  <c r="L72" i="6"/>
  <c r="H72" i="6"/>
  <c r="I72" i="6" s="1"/>
  <c r="F72" i="6"/>
  <c r="C72" i="6"/>
  <c r="AD71" i="6"/>
  <c r="AC71" i="6"/>
  <c r="AA71" i="6"/>
  <c r="X71" i="6"/>
  <c r="W71" i="6"/>
  <c r="U71" i="6"/>
  <c r="R71" i="6"/>
  <c r="N71" i="6"/>
  <c r="O71" i="6" s="1"/>
  <c r="L71" i="6"/>
  <c r="H71" i="6"/>
  <c r="I71" i="6" s="1"/>
  <c r="F71" i="6"/>
  <c r="C71" i="6"/>
  <c r="AC70" i="6"/>
  <c r="AD70" i="6" s="1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X69" i="6"/>
  <c r="W69" i="6"/>
  <c r="U69" i="6"/>
  <c r="R69" i="6"/>
  <c r="N69" i="6"/>
  <c r="O69" i="6" s="1"/>
  <c r="L69" i="6"/>
  <c r="H69" i="6"/>
  <c r="I69" i="6" s="1"/>
  <c r="F69" i="6"/>
  <c r="C69" i="6"/>
  <c r="AC68" i="6"/>
  <c r="AD68" i="6" s="1"/>
  <c r="AA68" i="6"/>
  <c r="X68" i="6"/>
  <c r="W68" i="6"/>
  <c r="U68" i="6"/>
  <c r="R68" i="6"/>
  <c r="N68" i="6"/>
  <c r="O68" i="6" s="1"/>
  <c r="L68" i="6"/>
  <c r="I68" i="6"/>
  <c r="H68" i="6"/>
  <c r="F68" i="6"/>
  <c r="C68" i="6"/>
  <c r="AD67" i="6"/>
  <c r="AC67" i="6"/>
  <c r="AA67" i="6"/>
  <c r="W67" i="6"/>
  <c r="X67" i="6" s="1"/>
  <c r="U67" i="6"/>
  <c r="R67" i="6"/>
  <c r="O67" i="6"/>
  <c r="N67" i="6"/>
  <c r="L67" i="6"/>
  <c r="H67" i="6"/>
  <c r="I67" i="6" s="1"/>
  <c r="F67" i="6"/>
  <c r="C67" i="6"/>
  <c r="AC66" i="6"/>
  <c r="AD66" i="6" s="1"/>
  <c r="AA66" i="6"/>
  <c r="W66" i="6"/>
  <c r="X66" i="6" s="1"/>
  <c r="U66" i="6"/>
  <c r="R66" i="6"/>
  <c r="O66" i="6"/>
  <c r="N66" i="6"/>
  <c r="L66" i="6"/>
  <c r="I66" i="6"/>
  <c r="H66" i="6"/>
  <c r="F66" i="6"/>
  <c r="C66" i="6"/>
  <c r="AC65" i="6"/>
  <c r="AD65" i="6" s="1"/>
  <c r="AA65" i="6"/>
  <c r="W65" i="6"/>
  <c r="X65" i="6" s="1"/>
  <c r="U65" i="6"/>
  <c r="R65" i="6"/>
  <c r="O65" i="6"/>
  <c r="N65" i="6"/>
  <c r="L65" i="6"/>
  <c r="H65" i="6"/>
  <c r="I65" i="6" s="1"/>
  <c r="F65" i="6"/>
  <c r="C65" i="6"/>
  <c r="AD64" i="6"/>
  <c r="AC64" i="6"/>
  <c r="AA64" i="6"/>
  <c r="X64" i="6"/>
  <c r="W64" i="6"/>
  <c r="U64" i="6"/>
  <c r="R64" i="6"/>
  <c r="N64" i="6"/>
  <c r="O64" i="6" s="1"/>
  <c r="L64" i="6"/>
  <c r="I64" i="6"/>
  <c r="H64" i="6"/>
  <c r="F64" i="6"/>
  <c r="C64" i="6"/>
  <c r="Z62" i="6"/>
  <c r="AA62" i="6" s="1"/>
  <c r="T62" i="6"/>
  <c r="R62" i="6"/>
  <c r="Q62" i="6"/>
  <c r="K62" i="6"/>
  <c r="L62" i="6" s="1"/>
  <c r="H62" i="6"/>
  <c r="I62" i="6" s="1"/>
  <c r="F62" i="6"/>
  <c r="E62" i="6"/>
  <c r="B62" i="6"/>
  <c r="C62" i="6" s="1"/>
  <c r="Z61" i="6"/>
  <c r="AA61" i="6" s="1"/>
  <c r="X61" i="6"/>
  <c r="U61" i="6"/>
  <c r="T61" i="6"/>
  <c r="Q61" i="6"/>
  <c r="W61" i="6" s="1"/>
  <c r="L61" i="6"/>
  <c r="K61" i="6"/>
  <c r="H61" i="6"/>
  <c r="I61" i="6" s="1"/>
  <c r="E61" i="6"/>
  <c r="F61" i="6" s="1"/>
  <c r="B61" i="6"/>
  <c r="C61" i="6" s="1"/>
  <c r="AD60" i="6"/>
  <c r="AC60" i="6"/>
  <c r="AA60" i="6"/>
  <c r="W60" i="6"/>
  <c r="X60" i="6" s="1"/>
  <c r="U60" i="6"/>
  <c r="R60" i="6"/>
  <c r="O60" i="6"/>
  <c r="N60" i="6"/>
  <c r="L60" i="6"/>
  <c r="I60" i="6"/>
  <c r="H60" i="6"/>
  <c r="F60" i="6"/>
  <c r="C60" i="6"/>
  <c r="AC59" i="6"/>
  <c r="AD59" i="6" s="1"/>
  <c r="AA59" i="6"/>
  <c r="W59" i="6"/>
  <c r="X59" i="6" s="1"/>
  <c r="U59" i="6"/>
  <c r="R59" i="6"/>
  <c r="O59" i="6"/>
  <c r="N59" i="6"/>
  <c r="L59" i="6"/>
  <c r="I59" i="6"/>
  <c r="H59" i="6"/>
  <c r="F59" i="6"/>
  <c r="C59" i="6"/>
  <c r="AD58" i="6"/>
  <c r="AC58" i="6"/>
  <c r="AA58" i="6"/>
  <c r="W58" i="6"/>
  <c r="X58" i="6" s="1"/>
  <c r="U58" i="6"/>
  <c r="R58" i="6"/>
  <c r="N58" i="6"/>
  <c r="O58" i="6" s="1"/>
  <c r="L58" i="6"/>
  <c r="H58" i="6"/>
  <c r="I58" i="6" s="1"/>
  <c r="F58" i="6"/>
  <c r="C58" i="6"/>
  <c r="AD57" i="6"/>
  <c r="AC57" i="6"/>
  <c r="AA57" i="6"/>
  <c r="X57" i="6"/>
  <c r="W57" i="6"/>
  <c r="U57" i="6"/>
  <c r="R57" i="6"/>
  <c r="N57" i="6"/>
  <c r="O57" i="6" s="1"/>
  <c r="L57" i="6"/>
  <c r="H57" i="6"/>
  <c r="I57" i="6" s="1"/>
  <c r="F57" i="6"/>
  <c r="C57" i="6"/>
  <c r="AD56" i="6"/>
  <c r="AC56" i="6"/>
  <c r="AA56" i="6"/>
  <c r="X56" i="6"/>
  <c r="W56" i="6"/>
  <c r="U56" i="6"/>
  <c r="R56" i="6"/>
  <c r="O56" i="6"/>
  <c r="N56" i="6"/>
  <c r="L56" i="6"/>
  <c r="H56" i="6"/>
  <c r="I56" i="6" s="1"/>
  <c r="F56" i="6"/>
  <c r="C56" i="6"/>
  <c r="AC55" i="6"/>
  <c r="AD55" i="6" s="1"/>
  <c r="AA55" i="6"/>
  <c r="W55" i="6"/>
  <c r="X55" i="6" s="1"/>
  <c r="U55" i="6"/>
  <c r="R55" i="6"/>
  <c r="O55" i="6"/>
  <c r="N55" i="6"/>
  <c r="L55" i="6"/>
  <c r="I55" i="6"/>
  <c r="H55" i="6"/>
  <c r="F55" i="6"/>
  <c r="C55" i="6"/>
  <c r="AC54" i="6"/>
  <c r="AD54" i="6" s="1"/>
  <c r="AA54" i="6"/>
  <c r="W54" i="6"/>
  <c r="X54" i="6" s="1"/>
  <c r="U54" i="6"/>
  <c r="R54" i="6"/>
  <c r="N54" i="6"/>
  <c r="O54" i="6" s="1"/>
  <c r="L54" i="6"/>
  <c r="H54" i="6"/>
  <c r="I54" i="6" s="1"/>
  <c r="F54" i="6"/>
  <c r="C54" i="6"/>
  <c r="AC53" i="6"/>
  <c r="AD53" i="6" s="1"/>
  <c r="AA53" i="6"/>
  <c r="X53" i="6"/>
  <c r="W53" i="6"/>
  <c r="U53" i="6"/>
  <c r="R53" i="6"/>
  <c r="N53" i="6"/>
  <c r="O53" i="6" s="1"/>
  <c r="L53" i="6"/>
  <c r="I53" i="6"/>
  <c r="H53" i="6"/>
  <c r="F53" i="6"/>
  <c r="C53" i="6"/>
  <c r="AD52" i="6"/>
  <c r="AC52" i="6"/>
  <c r="AA52" i="6"/>
  <c r="W52" i="6"/>
  <c r="X52" i="6" s="1"/>
  <c r="U52" i="6"/>
  <c r="R52" i="6"/>
  <c r="N52" i="6"/>
  <c r="O52" i="6" s="1"/>
  <c r="L52" i="6"/>
  <c r="I52" i="6"/>
  <c r="H52" i="6"/>
  <c r="F52" i="6"/>
  <c r="C52" i="6"/>
  <c r="AC51" i="6"/>
  <c r="AD51" i="6" s="1"/>
  <c r="AA51" i="6"/>
  <c r="W51" i="6"/>
  <c r="X51" i="6" s="1"/>
  <c r="U51" i="6"/>
  <c r="R51" i="6"/>
  <c r="O51" i="6"/>
  <c r="N51" i="6"/>
  <c r="L51" i="6"/>
  <c r="I51" i="6"/>
  <c r="H51" i="6"/>
  <c r="F51" i="6"/>
  <c r="C51" i="6"/>
  <c r="AD50" i="6"/>
  <c r="AC50" i="6"/>
  <c r="AA50" i="6"/>
  <c r="W50" i="6"/>
  <c r="X50" i="6" s="1"/>
  <c r="U50" i="6"/>
  <c r="R50" i="6"/>
  <c r="N50" i="6"/>
  <c r="O50" i="6" s="1"/>
  <c r="L50" i="6"/>
  <c r="H50" i="6"/>
  <c r="I50" i="6" s="1"/>
  <c r="F50" i="6"/>
  <c r="C50" i="6"/>
  <c r="AC49" i="6"/>
  <c r="AD49" i="6" s="1"/>
  <c r="AA49" i="6"/>
  <c r="X49" i="6"/>
  <c r="W49" i="6"/>
  <c r="U49" i="6"/>
  <c r="R49" i="6"/>
  <c r="N49" i="6"/>
  <c r="O49" i="6" s="1"/>
  <c r="L49" i="6"/>
  <c r="I49" i="6"/>
  <c r="H49" i="6"/>
  <c r="F49" i="6"/>
  <c r="C49" i="6"/>
  <c r="AD48" i="6"/>
  <c r="AC48" i="6"/>
  <c r="AA48" i="6"/>
  <c r="W48" i="6"/>
  <c r="X48" i="6" s="1"/>
  <c r="U48" i="6"/>
  <c r="R48" i="6"/>
  <c r="N48" i="6"/>
  <c r="O48" i="6" s="1"/>
  <c r="L48" i="6"/>
  <c r="H48" i="6"/>
  <c r="I48" i="6" s="1"/>
  <c r="F48" i="6"/>
  <c r="C48" i="6"/>
  <c r="AC47" i="6"/>
  <c r="AD47" i="6" s="1"/>
  <c r="AA47" i="6"/>
  <c r="W47" i="6"/>
  <c r="X47" i="6" s="1"/>
  <c r="U47" i="6"/>
  <c r="R47" i="6"/>
  <c r="O47" i="6"/>
  <c r="N47" i="6"/>
  <c r="L47" i="6"/>
  <c r="I47" i="6"/>
  <c r="H47" i="6"/>
  <c r="F47" i="6"/>
  <c r="C47" i="6"/>
  <c r="AC46" i="6"/>
  <c r="AD46" i="6" s="1"/>
  <c r="AA46" i="6"/>
  <c r="W46" i="6"/>
  <c r="X46" i="6" s="1"/>
  <c r="U46" i="6"/>
  <c r="R46" i="6"/>
  <c r="N46" i="6"/>
  <c r="O46" i="6" s="1"/>
  <c r="L46" i="6"/>
  <c r="H46" i="6"/>
  <c r="I46" i="6" s="1"/>
  <c r="F46" i="6"/>
  <c r="C46" i="6"/>
  <c r="AC44" i="6"/>
  <c r="AD44" i="6" s="1"/>
  <c r="AA44" i="6"/>
  <c r="X44" i="6"/>
  <c r="W44" i="6"/>
  <c r="U44" i="6"/>
  <c r="R44" i="6"/>
  <c r="N44" i="6"/>
  <c r="O44" i="6" s="1"/>
  <c r="L44" i="6"/>
  <c r="I44" i="6"/>
  <c r="H44" i="6"/>
  <c r="F44" i="6"/>
  <c r="C44" i="6"/>
  <c r="AD43" i="6"/>
  <c r="AC43" i="6"/>
  <c r="AA43" i="6"/>
  <c r="W43" i="6"/>
  <c r="X43" i="6" s="1"/>
  <c r="U43" i="6"/>
  <c r="R43" i="6"/>
  <c r="N43" i="6"/>
  <c r="O43" i="6" s="1"/>
  <c r="L43" i="6"/>
  <c r="H43" i="6"/>
  <c r="I43" i="6" s="1"/>
  <c r="F43" i="6"/>
  <c r="C43" i="6"/>
  <c r="AC42" i="6"/>
  <c r="AD42" i="6" s="1"/>
  <c r="AA42" i="6"/>
  <c r="W42" i="6"/>
  <c r="X42" i="6" s="1"/>
  <c r="U42" i="6"/>
  <c r="R42" i="6"/>
  <c r="O42" i="6"/>
  <c r="N42" i="6"/>
  <c r="L42" i="6"/>
  <c r="I42" i="6"/>
  <c r="H42" i="6"/>
  <c r="F42" i="6"/>
  <c r="C42" i="6"/>
  <c r="AC40" i="6"/>
  <c r="AD40" i="6" s="1"/>
  <c r="Z40" i="6"/>
  <c r="AA40" i="6" s="1"/>
  <c r="T40" i="6"/>
  <c r="U40" i="6" s="1"/>
  <c r="R40" i="6"/>
  <c r="Q40" i="6"/>
  <c r="W40" i="6" s="1"/>
  <c r="X40" i="6" s="1"/>
  <c r="N40" i="6"/>
  <c r="O40" i="6" s="1"/>
  <c r="L40" i="6"/>
  <c r="K40" i="6"/>
  <c r="E40" i="6"/>
  <c r="F40" i="6" s="1"/>
  <c r="B40" i="6"/>
  <c r="C40" i="6" s="1"/>
  <c r="AD39" i="6"/>
  <c r="AC39" i="6"/>
  <c r="AA39" i="6"/>
  <c r="W39" i="6"/>
  <c r="X39" i="6" s="1"/>
  <c r="U39" i="6"/>
  <c r="R39" i="6"/>
  <c r="N39" i="6"/>
  <c r="O39" i="6" s="1"/>
  <c r="L39" i="6"/>
  <c r="I39" i="6"/>
  <c r="H39" i="6"/>
  <c r="F39" i="6"/>
  <c r="C39" i="6"/>
  <c r="AC38" i="6"/>
  <c r="AD38" i="6" s="1"/>
  <c r="AA38" i="6"/>
  <c r="W38" i="6"/>
  <c r="X38" i="6" s="1"/>
  <c r="U38" i="6"/>
  <c r="R38" i="6"/>
  <c r="O38" i="6"/>
  <c r="N38" i="6"/>
  <c r="L38" i="6"/>
  <c r="I38" i="6"/>
  <c r="H38" i="6"/>
  <c r="F38" i="6"/>
  <c r="C38" i="6"/>
  <c r="AD37" i="6"/>
  <c r="AC37" i="6"/>
  <c r="AA37" i="6"/>
  <c r="W37" i="6"/>
  <c r="X37" i="6" s="1"/>
  <c r="U37" i="6"/>
  <c r="R37" i="6"/>
  <c r="O37" i="6"/>
  <c r="N37" i="6"/>
  <c r="L37" i="6"/>
  <c r="H37" i="6"/>
  <c r="I37" i="6" s="1"/>
  <c r="F37" i="6"/>
  <c r="C37" i="6"/>
  <c r="AC36" i="6"/>
  <c r="AD36" i="6" s="1"/>
  <c r="AA36" i="6"/>
  <c r="X36" i="6"/>
  <c r="W36" i="6"/>
  <c r="U36" i="6"/>
  <c r="R36" i="6"/>
  <c r="N36" i="6"/>
  <c r="O36" i="6" s="1"/>
  <c r="L36" i="6"/>
  <c r="I36" i="6"/>
  <c r="H36" i="6"/>
  <c r="F36" i="6"/>
  <c r="C36" i="6"/>
  <c r="AD35" i="6"/>
  <c r="AC35" i="6"/>
  <c r="AA35" i="6"/>
  <c r="W35" i="6"/>
  <c r="X35" i="6" s="1"/>
  <c r="U35" i="6"/>
  <c r="R35" i="6"/>
  <c r="N35" i="6"/>
  <c r="O35" i="6" s="1"/>
  <c r="L35" i="6"/>
  <c r="I35" i="6"/>
  <c r="H35" i="6"/>
  <c r="F35" i="6"/>
  <c r="C35" i="6"/>
  <c r="AC34" i="6"/>
  <c r="AD34" i="6" s="1"/>
  <c r="AA34" i="6"/>
  <c r="W34" i="6"/>
  <c r="X34" i="6" s="1"/>
  <c r="U34" i="6"/>
  <c r="R34" i="6"/>
  <c r="O34" i="6"/>
  <c r="N34" i="6"/>
  <c r="L34" i="6"/>
  <c r="I34" i="6"/>
  <c r="H34" i="6"/>
  <c r="F34" i="6"/>
  <c r="C34" i="6"/>
  <c r="AD33" i="6"/>
  <c r="AC33" i="6"/>
  <c r="AA33" i="6"/>
  <c r="W33" i="6"/>
  <c r="X33" i="6" s="1"/>
  <c r="U33" i="6"/>
  <c r="R33" i="6"/>
  <c r="N33" i="6"/>
  <c r="O33" i="6" s="1"/>
  <c r="L33" i="6"/>
  <c r="H33" i="6"/>
  <c r="I33" i="6" s="1"/>
  <c r="F33" i="6"/>
  <c r="C33" i="6"/>
  <c r="AC32" i="6"/>
  <c r="AD32" i="6" s="1"/>
  <c r="AA32" i="6"/>
  <c r="X32" i="6"/>
  <c r="W32" i="6"/>
  <c r="U32" i="6"/>
  <c r="R32" i="6"/>
  <c r="N32" i="6"/>
  <c r="O32" i="6" s="1"/>
  <c r="L32" i="6"/>
  <c r="I32" i="6"/>
  <c r="H32" i="6"/>
  <c r="F32" i="6"/>
  <c r="C32" i="6"/>
  <c r="AD31" i="6"/>
  <c r="AC31" i="6"/>
  <c r="AA31" i="6"/>
  <c r="W31" i="6"/>
  <c r="X31" i="6" s="1"/>
  <c r="U31" i="6"/>
  <c r="R31" i="6"/>
  <c r="N31" i="6"/>
  <c r="O31" i="6" s="1"/>
  <c r="L31" i="6"/>
  <c r="I31" i="6"/>
  <c r="H31" i="6"/>
  <c r="F31" i="6"/>
  <c r="C31" i="6"/>
  <c r="AA29" i="6"/>
  <c r="Z29" i="6"/>
  <c r="X29" i="6"/>
  <c r="W29" i="6"/>
  <c r="T29" i="6"/>
  <c r="U29" i="6" s="1"/>
  <c r="Q29" i="6"/>
  <c r="R29" i="6" s="1"/>
  <c r="K29" i="6"/>
  <c r="L29" i="6" s="1"/>
  <c r="H29" i="6"/>
  <c r="I29" i="6" s="1"/>
  <c r="E29" i="6"/>
  <c r="F29" i="6" s="1"/>
  <c r="C29" i="6"/>
  <c r="B29" i="6"/>
  <c r="AC28" i="6"/>
  <c r="AD28" i="6" s="1"/>
  <c r="AA28" i="6"/>
  <c r="X28" i="6"/>
  <c r="W28" i="6"/>
  <c r="U28" i="6"/>
  <c r="R28" i="6"/>
  <c r="N28" i="6"/>
  <c r="O28" i="6" s="1"/>
  <c r="L28" i="6"/>
  <c r="H28" i="6"/>
  <c r="I28" i="6" s="1"/>
  <c r="F28" i="6"/>
  <c r="C28" i="6"/>
  <c r="AD27" i="6"/>
  <c r="AC27" i="6"/>
  <c r="AA27" i="6"/>
  <c r="W27" i="6"/>
  <c r="X27" i="6" s="1"/>
  <c r="U27" i="6"/>
  <c r="R27" i="6"/>
  <c r="O27" i="6"/>
  <c r="N27" i="6"/>
  <c r="L27" i="6"/>
  <c r="H27" i="6"/>
  <c r="I27" i="6" s="1"/>
  <c r="F27" i="6"/>
  <c r="C27" i="6"/>
  <c r="AC26" i="6"/>
  <c r="AD26" i="6" s="1"/>
  <c r="AA26" i="6"/>
  <c r="W26" i="6"/>
  <c r="X26" i="6" s="1"/>
  <c r="U26" i="6"/>
  <c r="R26" i="6"/>
  <c r="O26" i="6"/>
  <c r="N26" i="6"/>
  <c r="L26" i="6"/>
  <c r="I26" i="6"/>
  <c r="H26" i="6"/>
  <c r="F26" i="6"/>
  <c r="C26" i="6"/>
  <c r="AC25" i="6"/>
  <c r="AD25" i="6" s="1"/>
  <c r="AA25" i="6"/>
  <c r="W25" i="6"/>
  <c r="X25" i="6" s="1"/>
  <c r="U25" i="6"/>
  <c r="R25" i="6"/>
  <c r="O25" i="6"/>
  <c r="N25" i="6"/>
  <c r="L25" i="6"/>
  <c r="H25" i="6"/>
  <c r="I25" i="6" s="1"/>
  <c r="F25" i="6"/>
  <c r="C25" i="6"/>
  <c r="AD24" i="6"/>
  <c r="AC24" i="6"/>
  <c r="AA24" i="6"/>
  <c r="X24" i="6"/>
  <c r="W24" i="6"/>
  <c r="U24" i="6"/>
  <c r="R24" i="6"/>
  <c r="N24" i="6"/>
  <c r="O24" i="6" s="1"/>
  <c r="L24" i="6"/>
  <c r="H24" i="6"/>
  <c r="I24" i="6" s="1"/>
  <c r="F24" i="6"/>
  <c r="C24" i="6"/>
  <c r="AD23" i="6"/>
  <c r="AC23" i="6"/>
  <c r="AA23" i="6"/>
  <c r="X23" i="6"/>
  <c r="W23" i="6"/>
  <c r="U23" i="6"/>
  <c r="R23" i="6"/>
  <c r="N23" i="6"/>
  <c r="O23" i="6" s="1"/>
  <c r="L23" i="6"/>
  <c r="I23" i="6"/>
  <c r="H23" i="6"/>
  <c r="F23" i="6"/>
  <c r="C23" i="6"/>
  <c r="AC22" i="6"/>
  <c r="AD22" i="6" s="1"/>
  <c r="AA22" i="6"/>
  <c r="W22" i="6"/>
  <c r="X22" i="6" s="1"/>
  <c r="U22" i="6"/>
  <c r="R22" i="6"/>
  <c r="O22" i="6"/>
  <c r="N22" i="6"/>
  <c r="L22" i="6"/>
  <c r="I22" i="6"/>
  <c r="H22" i="6"/>
  <c r="F22" i="6"/>
  <c r="C22" i="6"/>
  <c r="AD21" i="6"/>
  <c r="AC21" i="6"/>
  <c r="AA21" i="6"/>
  <c r="W21" i="6"/>
  <c r="X21" i="6" s="1"/>
  <c r="U21" i="6"/>
  <c r="R21" i="6"/>
  <c r="O21" i="6"/>
  <c r="N21" i="6"/>
  <c r="L21" i="6"/>
  <c r="H21" i="6"/>
  <c r="I21" i="6" s="1"/>
  <c r="F21" i="6"/>
  <c r="C21" i="6"/>
  <c r="AC19" i="6"/>
  <c r="AD19" i="6" s="1"/>
  <c r="AA19" i="6"/>
  <c r="X19" i="6"/>
  <c r="W19" i="6"/>
  <c r="U19" i="6"/>
  <c r="R19" i="6"/>
  <c r="N19" i="6"/>
  <c r="O19" i="6" s="1"/>
  <c r="L19" i="6"/>
  <c r="H19" i="6"/>
  <c r="I19" i="6" s="1"/>
  <c r="F19" i="6"/>
  <c r="C19" i="6"/>
  <c r="Z18" i="6"/>
  <c r="AA18" i="6" s="1"/>
  <c r="T18" i="6"/>
  <c r="R18" i="6"/>
  <c r="Q18" i="6"/>
  <c r="AC18" i="6" s="1"/>
  <c r="AD18" i="6" s="1"/>
  <c r="L18" i="6"/>
  <c r="K18" i="6"/>
  <c r="N18" i="6" s="1"/>
  <c r="O18" i="6" s="1"/>
  <c r="H18" i="6"/>
  <c r="I18" i="6" s="1"/>
  <c r="F18" i="6"/>
  <c r="E18" i="6"/>
  <c r="C18" i="6"/>
  <c r="B18" i="6"/>
  <c r="AC17" i="6"/>
  <c r="AD17" i="6" s="1"/>
  <c r="AA17" i="6"/>
  <c r="W17" i="6"/>
  <c r="X17" i="6" s="1"/>
  <c r="U17" i="6"/>
  <c r="R17" i="6"/>
  <c r="N17" i="6"/>
  <c r="O17" i="6" s="1"/>
  <c r="L17" i="6"/>
  <c r="H17" i="6"/>
  <c r="I17" i="6" s="1"/>
  <c r="F17" i="6"/>
  <c r="C17" i="6"/>
  <c r="AC16" i="6"/>
  <c r="AD16" i="6" s="1"/>
  <c r="AA16" i="6"/>
  <c r="X16" i="6"/>
  <c r="W16" i="6"/>
  <c r="U16" i="6"/>
  <c r="R16" i="6"/>
  <c r="N16" i="6"/>
  <c r="O16" i="6" s="1"/>
  <c r="L16" i="6"/>
  <c r="I16" i="6"/>
  <c r="H16" i="6"/>
  <c r="F16" i="6"/>
  <c r="C16" i="6"/>
  <c r="AD15" i="6"/>
  <c r="AC15" i="6"/>
  <c r="AA15" i="6"/>
  <c r="W15" i="6"/>
  <c r="X15" i="6" s="1"/>
  <c r="U15" i="6"/>
  <c r="R15" i="6"/>
  <c r="N15" i="6"/>
  <c r="O15" i="6" s="1"/>
  <c r="L15" i="6"/>
  <c r="I15" i="6"/>
  <c r="H15" i="6"/>
  <c r="F15" i="6"/>
  <c r="C15" i="6"/>
  <c r="AC14" i="6"/>
  <c r="AD14" i="6" s="1"/>
  <c r="AA14" i="6"/>
  <c r="W14" i="6"/>
  <c r="X14" i="6" s="1"/>
  <c r="U14" i="6"/>
  <c r="R14" i="6"/>
  <c r="O14" i="6"/>
  <c r="N14" i="6"/>
  <c r="L14" i="6"/>
  <c r="I14" i="6"/>
  <c r="H14" i="6"/>
  <c r="F14" i="6"/>
  <c r="C14" i="6"/>
  <c r="AD13" i="6"/>
  <c r="AC13" i="6"/>
  <c r="AA13" i="6"/>
  <c r="W13" i="6"/>
  <c r="X13" i="6" s="1"/>
  <c r="U13" i="6"/>
  <c r="R13" i="6"/>
  <c r="N13" i="6"/>
  <c r="O13" i="6" s="1"/>
  <c r="L13" i="6"/>
  <c r="H13" i="6"/>
  <c r="I13" i="6" s="1"/>
  <c r="F13" i="6"/>
  <c r="C13" i="6"/>
  <c r="AC12" i="6"/>
  <c r="AD12" i="6" s="1"/>
  <c r="AA12" i="6"/>
  <c r="X12" i="6"/>
  <c r="W12" i="6"/>
  <c r="U12" i="6"/>
  <c r="R12" i="6"/>
  <c r="N12" i="6"/>
  <c r="O12" i="6" s="1"/>
  <c r="L12" i="6"/>
  <c r="I12" i="6"/>
  <c r="H12" i="6"/>
  <c r="F12" i="6"/>
  <c r="C12" i="6"/>
  <c r="AD11" i="6"/>
  <c r="AC11" i="6"/>
  <c r="AA11" i="6"/>
  <c r="W11" i="6"/>
  <c r="X11" i="6" s="1"/>
  <c r="U11" i="6"/>
  <c r="R11" i="6"/>
  <c r="N11" i="6"/>
  <c r="O11" i="6" s="1"/>
  <c r="L11" i="6"/>
  <c r="I11" i="6"/>
  <c r="H11" i="6"/>
  <c r="F11" i="6"/>
  <c r="C11" i="6"/>
  <c r="AC10" i="6"/>
  <c r="AD10" i="6" s="1"/>
  <c r="AA10" i="6"/>
  <c r="W10" i="6"/>
  <c r="X10" i="6" s="1"/>
  <c r="U10" i="6"/>
  <c r="R10" i="6"/>
  <c r="O10" i="6"/>
  <c r="N10" i="6"/>
  <c r="L10" i="6"/>
  <c r="I10" i="6"/>
  <c r="H10" i="6"/>
  <c r="F10" i="6"/>
  <c r="C10" i="6"/>
  <c r="AD8" i="6"/>
  <c r="AC8" i="6"/>
  <c r="AA8" i="6"/>
  <c r="W8" i="6"/>
  <c r="X8" i="6" s="1"/>
  <c r="U8" i="6"/>
  <c r="R8" i="6"/>
  <c r="N8" i="6"/>
  <c r="O8" i="6" s="1"/>
  <c r="L8" i="6"/>
  <c r="H8" i="6"/>
  <c r="I8" i="6" s="1"/>
  <c r="F8" i="6"/>
  <c r="C8" i="6"/>
  <c r="AC444" i="5"/>
  <c r="AD320" i="5" s="1"/>
  <c r="W444" i="5"/>
  <c r="X372" i="5" s="1"/>
  <c r="N444" i="5"/>
  <c r="H444" i="5"/>
  <c r="I414" i="5" s="1"/>
  <c r="Z442" i="5"/>
  <c r="AA442" i="5" s="1"/>
  <c r="X442" i="5"/>
  <c r="W442" i="5"/>
  <c r="U442" i="5"/>
  <c r="T442" i="5"/>
  <c r="Q442" i="5"/>
  <c r="R442" i="5" s="1"/>
  <c r="N442" i="5"/>
  <c r="O442" i="5" s="1"/>
  <c r="L442" i="5"/>
  <c r="K442" i="5"/>
  <c r="E442" i="5"/>
  <c r="F442" i="5" s="1"/>
  <c r="B442" i="5"/>
  <c r="H442" i="5" s="1"/>
  <c r="I442" i="5" s="1"/>
  <c r="AA441" i="5"/>
  <c r="Z441" i="5"/>
  <c r="T441" i="5"/>
  <c r="U441" i="5" s="1"/>
  <c r="Q441" i="5"/>
  <c r="W441" i="5" s="1"/>
  <c r="X441" i="5" s="1"/>
  <c r="K441" i="5"/>
  <c r="L441" i="5" s="1"/>
  <c r="E441" i="5"/>
  <c r="C441" i="5"/>
  <c r="B441" i="5"/>
  <c r="N441" i="5" s="1"/>
  <c r="O441" i="5" s="1"/>
  <c r="AC440" i="5"/>
  <c r="AA440" i="5"/>
  <c r="W440" i="5"/>
  <c r="X440" i="5" s="1"/>
  <c r="U440" i="5"/>
  <c r="R440" i="5"/>
  <c r="N440" i="5"/>
  <c r="O440" i="5" s="1"/>
  <c r="L440" i="5"/>
  <c r="H440" i="5"/>
  <c r="I440" i="5" s="1"/>
  <c r="F440" i="5"/>
  <c r="C440" i="5"/>
  <c r="AC439" i="5"/>
  <c r="AA439" i="5"/>
  <c r="W439" i="5"/>
  <c r="U439" i="5"/>
  <c r="R439" i="5"/>
  <c r="N439" i="5"/>
  <c r="O439" i="5" s="1"/>
  <c r="L439" i="5"/>
  <c r="I439" i="5"/>
  <c r="H439" i="5"/>
  <c r="F439" i="5"/>
  <c r="C439" i="5"/>
  <c r="AC438" i="5"/>
  <c r="AA438" i="5"/>
  <c r="W438" i="5"/>
  <c r="X438" i="5" s="1"/>
  <c r="U438" i="5"/>
  <c r="R438" i="5"/>
  <c r="N438" i="5"/>
  <c r="O438" i="5" s="1"/>
  <c r="L438" i="5"/>
  <c r="I438" i="5"/>
  <c r="H438" i="5"/>
  <c r="F438" i="5"/>
  <c r="C438" i="5"/>
  <c r="AC437" i="5"/>
  <c r="AA437" i="5"/>
  <c r="W437" i="5"/>
  <c r="U437" i="5"/>
  <c r="R437" i="5"/>
  <c r="O437" i="5"/>
  <c r="N437" i="5"/>
  <c r="L437" i="5"/>
  <c r="I437" i="5"/>
  <c r="H437" i="5"/>
  <c r="F437" i="5"/>
  <c r="C437" i="5"/>
  <c r="AC436" i="5"/>
  <c r="AD436" i="5" s="1"/>
  <c r="AA436" i="5"/>
  <c r="W436" i="5"/>
  <c r="X436" i="5" s="1"/>
  <c r="U436" i="5"/>
  <c r="R436" i="5"/>
  <c r="N436" i="5"/>
  <c r="O436" i="5" s="1"/>
  <c r="L436" i="5"/>
  <c r="I436" i="5"/>
  <c r="H436" i="5"/>
  <c r="F436" i="5"/>
  <c r="C436" i="5"/>
  <c r="AC435" i="5"/>
  <c r="AA435" i="5"/>
  <c r="W435" i="5"/>
  <c r="X435" i="5" s="1"/>
  <c r="U435" i="5"/>
  <c r="R435" i="5"/>
  <c r="O435" i="5"/>
  <c r="N435" i="5"/>
  <c r="L435" i="5"/>
  <c r="I435" i="5"/>
  <c r="H435" i="5"/>
  <c r="F435" i="5"/>
  <c r="C435" i="5"/>
  <c r="AC434" i="5"/>
  <c r="AA434" i="5"/>
  <c r="W434" i="5"/>
  <c r="U434" i="5"/>
  <c r="R434" i="5"/>
  <c r="O434" i="5"/>
  <c r="N434" i="5"/>
  <c r="L434" i="5"/>
  <c r="I434" i="5"/>
  <c r="H434" i="5"/>
  <c r="F434" i="5"/>
  <c r="C434" i="5"/>
  <c r="AC433" i="5"/>
  <c r="AA433" i="5"/>
  <c r="W433" i="5"/>
  <c r="U433" i="5"/>
  <c r="R433" i="5"/>
  <c r="O433" i="5"/>
  <c r="N433" i="5"/>
  <c r="L433" i="5"/>
  <c r="H433" i="5"/>
  <c r="I433" i="5" s="1"/>
  <c r="F433" i="5"/>
  <c r="C433" i="5"/>
  <c r="AC432" i="5"/>
  <c r="AA432" i="5"/>
  <c r="X432" i="5"/>
  <c r="W432" i="5"/>
  <c r="U432" i="5"/>
  <c r="R432" i="5"/>
  <c r="N432" i="5"/>
  <c r="O432" i="5" s="1"/>
  <c r="L432" i="5"/>
  <c r="H432" i="5"/>
  <c r="I432" i="5" s="1"/>
  <c r="F432" i="5"/>
  <c r="C432" i="5"/>
  <c r="Z429" i="5"/>
  <c r="AA429" i="5" s="1"/>
  <c r="W429" i="5"/>
  <c r="U429" i="5"/>
  <c r="T429" i="5"/>
  <c r="R429" i="5"/>
  <c r="Q429" i="5"/>
  <c r="K429" i="5"/>
  <c r="L429" i="5" s="1"/>
  <c r="H429" i="5"/>
  <c r="I429" i="5" s="1"/>
  <c r="F429" i="5"/>
  <c r="E429" i="5"/>
  <c r="B429" i="5"/>
  <c r="C429" i="5" s="1"/>
  <c r="AC428" i="5"/>
  <c r="AA428" i="5"/>
  <c r="Z428" i="5"/>
  <c r="T428" i="5"/>
  <c r="U428" i="5" s="1"/>
  <c r="Q428" i="5"/>
  <c r="W428" i="5" s="1"/>
  <c r="X428" i="5" s="1"/>
  <c r="N428" i="5"/>
  <c r="O428" i="5" s="1"/>
  <c r="L428" i="5"/>
  <c r="K428" i="5"/>
  <c r="E428" i="5"/>
  <c r="F428" i="5" s="1"/>
  <c r="C428" i="5"/>
  <c r="B428" i="5"/>
  <c r="H428" i="5" s="1"/>
  <c r="I428" i="5" s="1"/>
  <c r="AC427" i="5"/>
  <c r="AA427" i="5"/>
  <c r="W427" i="5"/>
  <c r="U427" i="5"/>
  <c r="R427" i="5"/>
  <c r="O427" i="5"/>
  <c r="N427" i="5"/>
  <c r="L427" i="5"/>
  <c r="H427" i="5"/>
  <c r="I427" i="5" s="1"/>
  <c r="F427" i="5"/>
  <c r="C427" i="5"/>
  <c r="AC426" i="5"/>
  <c r="AD426" i="5" s="1"/>
  <c r="AA426" i="5"/>
  <c r="W426" i="5"/>
  <c r="U426" i="5"/>
  <c r="R426" i="5"/>
  <c r="N426" i="5"/>
  <c r="O426" i="5" s="1"/>
  <c r="L426" i="5"/>
  <c r="I426" i="5"/>
  <c r="H426" i="5"/>
  <c r="F426" i="5"/>
  <c r="C426" i="5"/>
  <c r="AC425" i="5"/>
  <c r="AA425" i="5"/>
  <c r="X425" i="5"/>
  <c r="W425" i="5"/>
  <c r="U425" i="5"/>
  <c r="R425" i="5"/>
  <c r="N425" i="5"/>
  <c r="O425" i="5" s="1"/>
  <c r="L425" i="5"/>
  <c r="H425" i="5"/>
  <c r="I425" i="5" s="1"/>
  <c r="F425" i="5"/>
  <c r="C425" i="5"/>
  <c r="AC424" i="5"/>
  <c r="AA424" i="5"/>
  <c r="W424" i="5"/>
  <c r="X424" i="5" s="1"/>
  <c r="U424" i="5"/>
  <c r="R424" i="5"/>
  <c r="N424" i="5"/>
  <c r="O424" i="5" s="1"/>
  <c r="L424" i="5"/>
  <c r="H424" i="5"/>
  <c r="I424" i="5" s="1"/>
  <c r="F424" i="5"/>
  <c r="C424" i="5"/>
  <c r="AD423" i="5"/>
  <c r="AC423" i="5"/>
  <c r="AA423" i="5"/>
  <c r="W423" i="5"/>
  <c r="X423" i="5" s="1"/>
  <c r="U423" i="5"/>
  <c r="R423" i="5"/>
  <c r="N423" i="5"/>
  <c r="O423" i="5" s="1"/>
  <c r="L423" i="5"/>
  <c r="I423" i="5"/>
  <c r="H423" i="5"/>
  <c r="F423" i="5"/>
  <c r="C423" i="5"/>
  <c r="AC422" i="5"/>
  <c r="AA422" i="5"/>
  <c r="W422" i="5"/>
  <c r="U422" i="5"/>
  <c r="R422" i="5"/>
  <c r="N422" i="5"/>
  <c r="O422" i="5" s="1"/>
  <c r="L422" i="5"/>
  <c r="I422" i="5"/>
  <c r="H422" i="5"/>
  <c r="F422" i="5"/>
  <c r="C422" i="5"/>
  <c r="AC421" i="5"/>
  <c r="AA421" i="5"/>
  <c r="W421" i="5"/>
  <c r="X421" i="5" s="1"/>
  <c r="U421" i="5"/>
  <c r="R421" i="5"/>
  <c r="O421" i="5"/>
  <c r="N421" i="5"/>
  <c r="L421" i="5"/>
  <c r="I421" i="5"/>
  <c r="H421" i="5"/>
  <c r="F421" i="5"/>
  <c r="C421" i="5"/>
  <c r="AC420" i="5"/>
  <c r="AA420" i="5"/>
  <c r="W420" i="5"/>
  <c r="U420" i="5"/>
  <c r="R420" i="5"/>
  <c r="N420" i="5"/>
  <c r="O420" i="5" s="1"/>
  <c r="L420" i="5"/>
  <c r="I420" i="5"/>
  <c r="H420" i="5"/>
  <c r="F420" i="5"/>
  <c r="C420" i="5"/>
  <c r="AC419" i="5"/>
  <c r="AA419" i="5"/>
  <c r="X419" i="5"/>
  <c r="W419" i="5"/>
  <c r="U419" i="5"/>
  <c r="R419" i="5"/>
  <c r="N419" i="5"/>
  <c r="O419" i="5" s="1"/>
  <c r="L419" i="5"/>
  <c r="H419" i="5"/>
  <c r="I419" i="5" s="1"/>
  <c r="F419" i="5"/>
  <c r="C419" i="5"/>
  <c r="AC418" i="5"/>
  <c r="AA418" i="5"/>
  <c r="W418" i="5"/>
  <c r="U418" i="5"/>
  <c r="R418" i="5"/>
  <c r="O418" i="5"/>
  <c r="N418" i="5"/>
  <c r="L418" i="5"/>
  <c r="I418" i="5"/>
  <c r="H418" i="5"/>
  <c r="F418" i="5"/>
  <c r="C418" i="5"/>
  <c r="AC417" i="5"/>
  <c r="AA417" i="5"/>
  <c r="W417" i="5"/>
  <c r="U417" i="5"/>
  <c r="R417" i="5"/>
  <c r="O417" i="5"/>
  <c r="N417" i="5"/>
  <c r="L417" i="5"/>
  <c r="H417" i="5"/>
  <c r="I417" i="5" s="1"/>
  <c r="F417" i="5"/>
  <c r="C417" i="5"/>
  <c r="AC416" i="5"/>
  <c r="AA416" i="5"/>
  <c r="X416" i="5"/>
  <c r="W416" i="5"/>
  <c r="U416" i="5"/>
  <c r="R416" i="5"/>
  <c r="N416" i="5"/>
  <c r="O416" i="5" s="1"/>
  <c r="L416" i="5"/>
  <c r="I416" i="5"/>
  <c r="H416" i="5"/>
  <c r="F416" i="5"/>
  <c r="C416" i="5"/>
  <c r="AC415" i="5"/>
  <c r="AA415" i="5"/>
  <c r="W415" i="5"/>
  <c r="X415" i="5" s="1"/>
  <c r="U415" i="5"/>
  <c r="R415" i="5"/>
  <c r="N415" i="5"/>
  <c r="O415" i="5" s="1"/>
  <c r="L415" i="5"/>
  <c r="H415" i="5"/>
  <c r="I415" i="5" s="1"/>
  <c r="F415" i="5"/>
  <c r="C415" i="5"/>
  <c r="AC414" i="5"/>
  <c r="AA414" i="5"/>
  <c r="W414" i="5"/>
  <c r="U414" i="5"/>
  <c r="R414" i="5"/>
  <c r="N414" i="5"/>
  <c r="O414" i="5" s="1"/>
  <c r="L414" i="5"/>
  <c r="H414" i="5"/>
  <c r="F414" i="5"/>
  <c r="C414" i="5"/>
  <c r="AC413" i="5"/>
  <c r="AA413" i="5"/>
  <c r="X413" i="5"/>
  <c r="W413" i="5"/>
  <c r="U413" i="5"/>
  <c r="R413" i="5"/>
  <c r="N413" i="5"/>
  <c r="O413" i="5" s="1"/>
  <c r="L413" i="5"/>
  <c r="I413" i="5"/>
  <c r="H413" i="5"/>
  <c r="F413" i="5"/>
  <c r="C413" i="5"/>
  <c r="AC412" i="5"/>
  <c r="AA412" i="5"/>
  <c r="X412" i="5"/>
  <c r="W412" i="5"/>
  <c r="U412" i="5"/>
  <c r="R412" i="5"/>
  <c r="N412" i="5"/>
  <c r="O412" i="5" s="1"/>
  <c r="L412" i="5"/>
  <c r="H412" i="5"/>
  <c r="I412" i="5" s="1"/>
  <c r="F412" i="5"/>
  <c r="C412" i="5"/>
  <c r="AC411" i="5"/>
  <c r="AA411" i="5"/>
  <c r="W411" i="5"/>
  <c r="U411" i="5"/>
  <c r="R411" i="5"/>
  <c r="N411" i="5"/>
  <c r="O411" i="5" s="1"/>
  <c r="L411" i="5"/>
  <c r="H411" i="5"/>
  <c r="I411" i="5" s="1"/>
  <c r="F411" i="5"/>
  <c r="C411" i="5"/>
  <c r="AD410" i="5"/>
  <c r="AC410" i="5"/>
  <c r="AA410" i="5"/>
  <c r="W410" i="5"/>
  <c r="U410" i="5"/>
  <c r="R410" i="5"/>
  <c r="N410" i="5"/>
  <c r="O410" i="5" s="1"/>
  <c r="L410" i="5"/>
  <c r="I410" i="5"/>
  <c r="H410" i="5"/>
  <c r="F410" i="5"/>
  <c r="C410" i="5"/>
  <c r="AC409" i="5"/>
  <c r="AA409" i="5"/>
  <c r="W409" i="5"/>
  <c r="X409" i="5" s="1"/>
  <c r="U409" i="5"/>
  <c r="R409" i="5"/>
  <c r="N409" i="5"/>
  <c r="O409" i="5" s="1"/>
  <c r="L409" i="5"/>
  <c r="H409" i="5"/>
  <c r="I409" i="5" s="1"/>
  <c r="F409" i="5"/>
  <c r="C409" i="5"/>
  <c r="AC408" i="5"/>
  <c r="AA408" i="5"/>
  <c r="W408" i="5"/>
  <c r="X408" i="5" s="1"/>
  <c r="U408" i="5"/>
  <c r="R408" i="5"/>
  <c r="N408" i="5"/>
  <c r="O408" i="5" s="1"/>
  <c r="L408" i="5"/>
  <c r="H408" i="5"/>
  <c r="I408" i="5" s="1"/>
  <c r="F408" i="5"/>
  <c r="C408" i="5"/>
  <c r="AC407" i="5"/>
  <c r="AA407" i="5"/>
  <c r="W407" i="5"/>
  <c r="X407" i="5" s="1"/>
  <c r="U407" i="5"/>
  <c r="R407" i="5"/>
  <c r="N407" i="5"/>
  <c r="O407" i="5" s="1"/>
  <c r="L407" i="5"/>
  <c r="I407" i="5"/>
  <c r="H407" i="5"/>
  <c r="F407" i="5"/>
  <c r="C407" i="5"/>
  <c r="Z403" i="5"/>
  <c r="AA403" i="5" s="1"/>
  <c r="U403" i="5"/>
  <c r="T403" i="5"/>
  <c r="Q403" i="5"/>
  <c r="O403" i="5"/>
  <c r="N403" i="5"/>
  <c r="K403" i="5"/>
  <c r="L403" i="5" s="1"/>
  <c r="E403" i="5"/>
  <c r="F403" i="5" s="1"/>
  <c r="C403" i="5"/>
  <c r="B403" i="5"/>
  <c r="H403" i="5" s="1"/>
  <c r="I403" i="5" s="1"/>
  <c r="AC402" i="5"/>
  <c r="AA402" i="5"/>
  <c r="W402" i="5"/>
  <c r="U402" i="5"/>
  <c r="R402" i="5"/>
  <c r="O402" i="5"/>
  <c r="N402" i="5"/>
  <c r="L402" i="5"/>
  <c r="H402" i="5"/>
  <c r="F402" i="5"/>
  <c r="C402" i="5"/>
  <c r="AC401" i="5"/>
  <c r="AA401" i="5"/>
  <c r="X401" i="5"/>
  <c r="W401" i="5"/>
  <c r="U401" i="5"/>
  <c r="R401" i="5"/>
  <c r="N401" i="5"/>
  <c r="O401" i="5" s="1"/>
  <c r="L401" i="5"/>
  <c r="I401" i="5"/>
  <c r="H401" i="5"/>
  <c r="F401" i="5"/>
  <c r="C401" i="5"/>
  <c r="AC400" i="5"/>
  <c r="AA400" i="5"/>
  <c r="X400" i="5"/>
  <c r="W400" i="5"/>
  <c r="U400" i="5"/>
  <c r="R400" i="5"/>
  <c r="N400" i="5"/>
  <c r="O400" i="5" s="1"/>
  <c r="L400" i="5"/>
  <c r="H400" i="5"/>
  <c r="I400" i="5" s="1"/>
  <c r="F400" i="5"/>
  <c r="C400" i="5"/>
  <c r="AC399" i="5"/>
  <c r="AA399" i="5"/>
  <c r="W399" i="5"/>
  <c r="U399" i="5"/>
  <c r="R399" i="5"/>
  <c r="O399" i="5"/>
  <c r="N399" i="5"/>
  <c r="L399" i="5"/>
  <c r="I399" i="5"/>
  <c r="H399" i="5"/>
  <c r="F399" i="5"/>
  <c r="C399" i="5"/>
  <c r="AC398" i="5"/>
  <c r="AA398" i="5"/>
  <c r="W398" i="5"/>
  <c r="U398" i="5"/>
  <c r="R398" i="5"/>
  <c r="N398" i="5"/>
  <c r="O398" i="5" s="1"/>
  <c r="L398" i="5"/>
  <c r="I398" i="5"/>
  <c r="H398" i="5"/>
  <c r="F398" i="5"/>
  <c r="C398" i="5"/>
  <c r="AC397" i="5"/>
  <c r="AA397" i="5"/>
  <c r="X397" i="5"/>
  <c r="W397" i="5"/>
  <c r="U397" i="5"/>
  <c r="R397" i="5"/>
  <c r="O397" i="5"/>
  <c r="N397" i="5"/>
  <c r="L397" i="5"/>
  <c r="H397" i="5"/>
  <c r="I397" i="5" s="1"/>
  <c r="F397" i="5"/>
  <c r="C397" i="5"/>
  <c r="AA396" i="5"/>
  <c r="Z396" i="5"/>
  <c r="W396" i="5"/>
  <c r="X396" i="5" s="1"/>
  <c r="U396" i="5"/>
  <c r="T396" i="5"/>
  <c r="Q396" i="5"/>
  <c r="K396" i="5"/>
  <c r="L396" i="5" s="1"/>
  <c r="F396" i="5"/>
  <c r="E396" i="5"/>
  <c r="C396" i="5"/>
  <c r="B396" i="5"/>
  <c r="H396" i="5" s="1"/>
  <c r="I396" i="5" s="1"/>
  <c r="AC395" i="5"/>
  <c r="AA395" i="5"/>
  <c r="W395" i="5"/>
  <c r="X395" i="5" s="1"/>
  <c r="U395" i="5"/>
  <c r="R395" i="5"/>
  <c r="O395" i="5"/>
  <c r="N395" i="5"/>
  <c r="L395" i="5"/>
  <c r="I395" i="5"/>
  <c r="H395" i="5"/>
  <c r="F395" i="5"/>
  <c r="C395" i="5"/>
  <c r="AC394" i="5"/>
  <c r="AA394" i="5"/>
  <c r="W394" i="5"/>
  <c r="X394" i="5" s="1"/>
  <c r="U394" i="5"/>
  <c r="R394" i="5"/>
  <c r="O394" i="5"/>
  <c r="N394" i="5"/>
  <c r="L394" i="5"/>
  <c r="H394" i="5"/>
  <c r="I394" i="5" s="1"/>
  <c r="F394" i="5"/>
  <c r="C394" i="5"/>
  <c r="Z393" i="5"/>
  <c r="X393" i="5"/>
  <c r="W393" i="5"/>
  <c r="U393" i="5"/>
  <c r="T393" i="5"/>
  <c r="R393" i="5"/>
  <c r="Q393" i="5"/>
  <c r="N393" i="5"/>
  <c r="O393" i="5" s="1"/>
  <c r="L393" i="5"/>
  <c r="K393" i="5"/>
  <c r="F393" i="5"/>
  <c r="E393" i="5"/>
  <c r="C393" i="5"/>
  <c r="B393" i="5"/>
  <c r="AC392" i="5"/>
  <c r="AD392" i="5" s="1"/>
  <c r="AA392" i="5"/>
  <c r="W392" i="5"/>
  <c r="X392" i="5" s="1"/>
  <c r="U392" i="5"/>
  <c r="R392" i="5"/>
  <c r="O392" i="5"/>
  <c r="N392" i="5"/>
  <c r="L392" i="5"/>
  <c r="I392" i="5"/>
  <c r="H392" i="5"/>
  <c r="F392" i="5"/>
  <c r="C392" i="5"/>
  <c r="AC391" i="5"/>
  <c r="AD391" i="5" s="1"/>
  <c r="AA391" i="5"/>
  <c r="W391" i="5"/>
  <c r="X391" i="5" s="1"/>
  <c r="U391" i="5"/>
  <c r="R391" i="5"/>
  <c r="O391" i="5"/>
  <c r="N391" i="5"/>
  <c r="L391" i="5"/>
  <c r="H391" i="5"/>
  <c r="I391" i="5" s="1"/>
  <c r="F391" i="5"/>
  <c r="C391" i="5"/>
  <c r="AC390" i="5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C389" i="5"/>
  <c r="AA389" i="5"/>
  <c r="X389" i="5"/>
  <c r="W389" i="5"/>
  <c r="U389" i="5"/>
  <c r="R389" i="5"/>
  <c r="N389" i="5"/>
  <c r="O389" i="5" s="1"/>
  <c r="L389" i="5"/>
  <c r="H389" i="5"/>
  <c r="I389" i="5" s="1"/>
  <c r="F389" i="5"/>
  <c r="C389" i="5"/>
  <c r="AC388" i="5"/>
  <c r="AA388" i="5"/>
  <c r="W388" i="5"/>
  <c r="U388" i="5"/>
  <c r="R388" i="5"/>
  <c r="O388" i="5"/>
  <c r="N388" i="5"/>
  <c r="L388" i="5"/>
  <c r="H388" i="5"/>
  <c r="F388" i="5"/>
  <c r="C388" i="5"/>
  <c r="AC386" i="5"/>
  <c r="AD386" i="5" s="1"/>
  <c r="AA386" i="5"/>
  <c r="X386" i="5"/>
  <c r="W386" i="5"/>
  <c r="U386" i="5"/>
  <c r="R386" i="5"/>
  <c r="N386" i="5"/>
  <c r="O386" i="5" s="1"/>
  <c r="L386" i="5"/>
  <c r="I386" i="5"/>
  <c r="H386" i="5"/>
  <c r="F386" i="5"/>
  <c r="C386" i="5"/>
  <c r="AC385" i="5"/>
  <c r="AA385" i="5"/>
  <c r="X385" i="5"/>
  <c r="W385" i="5"/>
  <c r="U385" i="5"/>
  <c r="R385" i="5"/>
  <c r="N385" i="5"/>
  <c r="O385" i="5" s="1"/>
  <c r="L385" i="5"/>
  <c r="H385" i="5"/>
  <c r="I385" i="5" s="1"/>
  <c r="F385" i="5"/>
  <c r="C385" i="5"/>
  <c r="AC383" i="5"/>
  <c r="AA383" i="5"/>
  <c r="X383" i="5"/>
  <c r="W383" i="5"/>
  <c r="U383" i="5"/>
  <c r="R383" i="5"/>
  <c r="O383" i="5"/>
  <c r="N383" i="5"/>
  <c r="L383" i="5"/>
  <c r="H383" i="5"/>
  <c r="I383" i="5" s="1"/>
  <c r="F383" i="5"/>
  <c r="C383" i="5"/>
  <c r="AD382" i="5"/>
  <c r="AC382" i="5"/>
  <c r="AA382" i="5"/>
  <c r="W382" i="5"/>
  <c r="U382" i="5"/>
  <c r="R382" i="5"/>
  <c r="N382" i="5"/>
  <c r="O382" i="5" s="1"/>
  <c r="L382" i="5"/>
  <c r="I382" i="5"/>
  <c r="H382" i="5"/>
  <c r="F382" i="5"/>
  <c r="C382" i="5"/>
  <c r="AC381" i="5"/>
  <c r="AA381" i="5"/>
  <c r="X381" i="5"/>
  <c r="W381" i="5"/>
  <c r="U381" i="5"/>
  <c r="R381" i="5"/>
  <c r="N381" i="5"/>
  <c r="O381" i="5" s="1"/>
  <c r="L381" i="5"/>
  <c r="H381" i="5"/>
  <c r="I381" i="5" s="1"/>
  <c r="F381" i="5"/>
  <c r="C381" i="5"/>
  <c r="AC380" i="5"/>
  <c r="AA380" i="5"/>
  <c r="X380" i="5"/>
  <c r="W380" i="5"/>
  <c r="U380" i="5"/>
  <c r="R380" i="5"/>
  <c r="N380" i="5"/>
  <c r="O380" i="5" s="1"/>
  <c r="L380" i="5"/>
  <c r="I380" i="5"/>
  <c r="H380" i="5"/>
  <c r="F380" i="5"/>
  <c r="C380" i="5"/>
  <c r="AC379" i="5"/>
  <c r="AA379" i="5"/>
  <c r="W379" i="5"/>
  <c r="X379" i="5" s="1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N378" i="5"/>
  <c r="O378" i="5" s="1"/>
  <c r="L378" i="5"/>
  <c r="I378" i="5"/>
  <c r="H378" i="5"/>
  <c r="F378" i="5"/>
  <c r="C378" i="5"/>
  <c r="AC377" i="5"/>
  <c r="AA377" i="5"/>
  <c r="X377" i="5"/>
  <c r="W377" i="5"/>
  <c r="U377" i="5"/>
  <c r="R377" i="5"/>
  <c r="O377" i="5"/>
  <c r="N377" i="5"/>
  <c r="L377" i="5"/>
  <c r="H377" i="5"/>
  <c r="I377" i="5" s="1"/>
  <c r="F377" i="5"/>
  <c r="C377" i="5"/>
  <c r="AC376" i="5"/>
  <c r="AA376" i="5"/>
  <c r="X376" i="5"/>
  <c r="W376" i="5"/>
  <c r="U376" i="5"/>
  <c r="R376" i="5"/>
  <c r="N376" i="5"/>
  <c r="O376" i="5" s="1"/>
  <c r="L376" i="5"/>
  <c r="I376" i="5"/>
  <c r="H376" i="5"/>
  <c r="F376" i="5"/>
  <c r="C376" i="5"/>
  <c r="AC375" i="5"/>
  <c r="AA375" i="5"/>
  <c r="W375" i="5"/>
  <c r="X375" i="5" s="1"/>
  <c r="U375" i="5"/>
  <c r="R375" i="5"/>
  <c r="N375" i="5"/>
  <c r="O375" i="5" s="1"/>
  <c r="L375" i="5"/>
  <c r="I375" i="5"/>
  <c r="H375" i="5"/>
  <c r="F375" i="5"/>
  <c r="C375" i="5"/>
  <c r="AC374" i="5"/>
  <c r="AA374" i="5"/>
  <c r="W374" i="5"/>
  <c r="X374" i="5" s="1"/>
  <c r="U374" i="5"/>
  <c r="R374" i="5"/>
  <c r="O374" i="5"/>
  <c r="N374" i="5"/>
  <c r="L374" i="5"/>
  <c r="I374" i="5"/>
  <c r="H374" i="5"/>
  <c r="F374" i="5"/>
  <c r="C374" i="5"/>
  <c r="AC373" i="5"/>
  <c r="AD373" i="5" s="1"/>
  <c r="AA373" i="5"/>
  <c r="X373" i="5"/>
  <c r="W373" i="5"/>
  <c r="U373" i="5"/>
  <c r="R373" i="5"/>
  <c r="O373" i="5"/>
  <c r="N373" i="5"/>
  <c r="L373" i="5"/>
  <c r="H373" i="5"/>
  <c r="I373" i="5" s="1"/>
  <c r="F373" i="5"/>
  <c r="C373" i="5"/>
  <c r="AC372" i="5"/>
  <c r="AA372" i="5"/>
  <c r="W372" i="5"/>
  <c r="U372" i="5"/>
  <c r="R372" i="5"/>
  <c r="N372" i="5"/>
  <c r="O372" i="5" s="1"/>
  <c r="L372" i="5"/>
  <c r="H372" i="5"/>
  <c r="I372" i="5" s="1"/>
  <c r="F372" i="5"/>
  <c r="C372" i="5"/>
  <c r="AD371" i="5"/>
  <c r="AC371" i="5"/>
  <c r="AA371" i="5"/>
  <c r="X371" i="5"/>
  <c r="W371" i="5"/>
  <c r="U371" i="5"/>
  <c r="R371" i="5"/>
  <c r="N371" i="5"/>
  <c r="O371" i="5" s="1"/>
  <c r="L371" i="5"/>
  <c r="I371" i="5"/>
  <c r="H371" i="5"/>
  <c r="F371" i="5"/>
  <c r="C371" i="5"/>
  <c r="AC370" i="5"/>
  <c r="AA370" i="5"/>
  <c r="W370" i="5"/>
  <c r="X370" i="5" s="1"/>
  <c r="U370" i="5"/>
  <c r="R370" i="5"/>
  <c r="O370" i="5"/>
  <c r="N370" i="5"/>
  <c r="L370" i="5"/>
  <c r="H370" i="5"/>
  <c r="F370" i="5"/>
  <c r="C370" i="5"/>
  <c r="AC369" i="5"/>
  <c r="AA369" i="5"/>
  <c r="X369" i="5"/>
  <c r="W369" i="5"/>
  <c r="U369" i="5"/>
  <c r="R369" i="5"/>
  <c r="O369" i="5"/>
  <c r="N369" i="5"/>
  <c r="L369" i="5"/>
  <c r="I369" i="5"/>
  <c r="H369" i="5"/>
  <c r="F369" i="5"/>
  <c r="C369" i="5"/>
  <c r="AA368" i="5"/>
  <c r="Z368" i="5"/>
  <c r="U368" i="5"/>
  <c r="T368" i="5"/>
  <c r="Q368" i="5"/>
  <c r="AC368" i="5" s="1"/>
  <c r="AD368" i="5" s="1"/>
  <c r="L368" i="5"/>
  <c r="K368" i="5"/>
  <c r="F368" i="5"/>
  <c r="E368" i="5"/>
  <c r="B368" i="5"/>
  <c r="AC367" i="5"/>
  <c r="AA367" i="5"/>
  <c r="W367" i="5"/>
  <c r="U367" i="5"/>
  <c r="R367" i="5"/>
  <c r="N367" i="5"/>
  <c r="O367" i="5" s="1"/>
  <c r="L367" i="5"/>
  <c r="I367" i="5"/>
  <c r="H367" i="5"/>
  <c r="F367" i="5"/>
  <c r="C367" i="5"/>
  <c r="AC366" i="5"/>
  <c r="AD366" i="5" s="1"/>
  <c r="AA366" i="5"/>
  <c r="X366" i="5"/>
  <c r="W366" i="5"/>
  <c r="U366" i="5"/>
  <c r="R366" i="5"/>
  <c r="O366" i="5"/>
  <c r="N366" i="5"/>
  <c r="L366" i="5"/>
  <c r="I366" i="5"/>
  <c r="H366" i="5"/>
  <c r="F366" i="5"/>
  <c r="C366" i="5"/>
  <c r="AC365" i="5"/>
  <c r="AA365" i="5"/>
  <c r="W365" i="5"/>
  <c r="X365" i="5" s="1"/>
  <c r="U365" i="5"/>
  <c r="R365" i="5"/>
  <c r="N365" i="5"/>
  <c r="O365" i="5" s="1"/>
  <c r="L365" i="5"/>
  <c r="H365" i="5"/>
  <c r="I365" i="5" s="1"/>
  <c r="F365" i="5"/>
  <c r="C365" i="5"/>
  <c r="AD364" i="5"/>
  <c r="AC364" i="5"/>
  <c r="AA364" i="5"/>
  <c r="W364" i="5"/>
  <c r="X364" i="5" s="1"/>
  <c r="U364" i="5"/>
  <c r="R364" i="5"/>
  <c r="N364" i="5"/>
  <c r="O364" i="5" s="1"/>
  <c r="L364" i="5"/>
  <c r="I364" i="5"/>
  <c r="H364" i="5"/>
  <c r="F364" i="5"/>
  <c r="C364" i="5"/>
  <c r="AC363" i="5"/>
  <c r="AA363" i="5"/>
  <c r="W363" i="5"/>
  <c r="X363" i="5" s="1"/>
  <c r="U363" i="5"/>
  <c r="R363" i="5"/>
  <c r="O363" i="5"/>
  <c r="N363" i="5"/>
  <c r="L363" i="5"/>
  <c r="I363" i="5"/>
  <c r="H363" i="5"/>
  <c r="F363" i="5"/>
  <c r="C363" i="5"/>
  <c r="AC362" i="5"/>
  <c r="AA362" i="5"/>
  <c r="W362" i="5"/>
  <c r="X362" i="5" s="1"/>
  <c r="U362" i="5"/>
  <c r="R362" i="5"/>
  <c r="O362" i="5"/>
  <c r="N362" i="5"/>
  <c r="L362" i="5"/>
  <c r="I362" i="5"/>
  <c r="H362" i="5"/>
  <c r="F362" i="5"/>
  <c r="C362" i="5"/>
  <c r="AC361" i="5"/>
  <c r="AD361" i="5" s="1"/>
  <c r="AA361" i="5"/>
  <c r="W361" i="5"/>
  <c r="X361" i="5" s="1"/>
  <c r="U361" i="5"/>
  <c r="R361" i="5"/>
  <c r="N361" i="5"/>
  <c r="O361" i="5" s="1"/>
  <c r="L361" i="5"/>
  <c r="I361" i="5"/>
  <c r="H361" i="5"/>
  <c r="F361" i="5"/>
  <c r="C361" i="5"/>
  <c r="AC360" i="5"/>
  <c r="AA360" i="5"/>
  <c r="W360" i="5"/>
  <c r="X360" i="5" s="1"/>
  <c r="U360" i="5"/>
  <c r="R360" i="5"/>
  <c r="O360" i="5"/>
  <c r="N360" i="5"/>
  <c r="L360" i="5"/>
  <c r="H360" i="5"/>
  <c r="I360" i="5" s="1"/>
  <c r="F360" i="5"/>
  <c r="C360" i="5"/>
  <c r="AA358" i="5"/>
  <c r="Z358" i="5"/>
  <c r="W358" i="5"/>
  <c r="X358" i="5" s="1"/>
  <c r="U358" i="5"/>
  <c r="T358" i="5"/>
  <c r="Q358" i="5"/>
  <c r="R358" i="5" s="1"/>
  <c r="L358" i="5"/>
  <c r="K358" i="5"/>
  <c r="H358" i="5"/>
  <c r="I358" i="5" s="1"/>
  <c r="E358" i="5"/>
  <c r="F358" i="5" s="1"/>
  <c r="C358" i="5"/>
  <c r="B358" i="5"/>
  <c r="N358" i="5" s="1"/>
  <c r="O358" i="5" s="1"/>
  <c r="AC357" i="5"/>
  <c r="AD357" i="5" s="1"/>
  <c r="AA357" i="5"/>
  <c r="X357" i="5"/>
  <c r="W357" i="5"/>
  <c r="U357" i="5"/>
  <c r="R357" i="5"/>
  <c r="N357" i="5"/>
  <c r="O357" i="5" s="1"/>
  <c r="L357" i="5"/>
  <c r="I357" i="5"/>
  <c r="H357" i="5"/>
  <c r="F357" i="5"/>
  <c r="C357" i="5"/>
  <c r="AC356" i="5"/>
  <c r="AA356" i="5"/>
  <c r="W356" i="5"/>
  <c r="X356" i="5" s="1"/>
  <c r="U356" i="5"/>
  <c r="R356" i="5"/>
  <c r="N356" i="5"/>
  <c r="O356" i="5" s="1"/>
  <c r="L356" i="5"/>
  <c r="H356" i="5"/>
  <c r="I356" i="5" s="1"/>
  <c r="F356" i="5"/>
  <c r="C356" i="5"/>
  <c r="AC355" i="5"/>
  <c r="AA355" i="5"/>
  <c r="W355" i="5"/>
  <c r="X355" i="5" s="1"/>
  <c r="U355" i="5"/>
  <c r="R355" i="5"/>
  <c r="N355" i="5"/>
  <c r="O355" i="5" s="1"/>
  <c r="L355" i="5"/>
  <c r="H355" i="5"/>
  <c r="F355" i="5"/>
  <c r="C355" i="5"/>
  <c r="AC354" i="5"/>
  <c r="AD354" i="5" s="1"/>
  <c r="AA354" i="5"/>
  <c r="X354" i="5"/>
  <c r="W354" i="5"/>
  <c r="U354" i="5"/>
  <c r="R354" i="5"/>
  <c r="O354" i="5"/>
  <c r="N354" i="5"/>
  <c r="L354" i="5"/>
  <c r="H354" i="5"/>
  <c r="I354" i="5" s="1"/>
  <c r="F354" i="5"/>
  <c r="C354" i="5"/>
  <c r="AD353" i="5"/>
  <c r="AC353" i="5"/>
  <c r="AA353" i="5"/>
  <c r="X353" i="5"/>
  <c r="W353" i="5"/>
  <c r="U353" i="5"/>
  <c r="R353" i="5"/>
  <c r="N353" i="5"/>
  <c r="O353" i="5" s="1"/>
  <c r="L353" i="5"/>
  <c r="I353" i="5"/>
  <c r="H353" i="5"/>
  <c r="F353" i="5"/>
  <c r="C353" i="5"/>
  <c r="AC352" i="5"/>
  <c r="AA352" i="5"/>
  <c r="X352" i="5"/>
  <c r="W352" i="5"/>
  <c r="U352" i="5"/>
  <c r="R352" i="5"/>
  <c r="N352" i="5"/>
  <c r="O352" i="5" s="1"/>
  <c r="L352" i="5"/>
  <c r="I352" i="5"/>
  <c r="H352" i="5"/>
  <c r="F352" i="5"/>
  <c r="C352" i="5"/>
  <c r="AC351" i="5"/>
  <c r="AA351" i="5"/>
  <c r="W351" i="5"/>
  <c r="U351" i="5"/>
  <c r="R351" i="5"/>
  <c r="O351" i="5"/>
  <c r="N351" i="5"/>
  <c r="L351" i="5"/>
  <c r="I351" i="5"/>
  <c r="H351" i="5"/>
  <c r="F351" i="5"/>
  <c r="C351" i="5"/>
  <c r="AD350" i="5"/>
  <c r="AC350" i="5"/>
  <c r="AA350" i="5"/>
  <c r="X350" i="5"/>
  <c r="W350" i="5"/>
  <c r="U350" i="5"/>
  <c r="R350" i="5"/>
  <c r="O350" i="5"/>
  <c r="N350" i="5"/>
  <c r="L350" i="5"/>
  <c r="H350" i="5"/>
  <c r="I350" i="5" s="1"/>
  <c r="F350" i="5"/>
  <c r="C350" i="5"/>
  <c r="AC349" i="5"/>
  <c r="AA349" i="5"/>
  <c r="X349" i="5"/>
  <c r="W349" i="5"/>
  <c r="U349" i="5"/>
  <c r="R349" i="5"/>
  <c r="N349" i="5"/>
  <c r="O349" i="5" s="1"/>
  <c r="L349" i="5"/>
  <c r="H349" i="5"/>
  <c r="I349" i="5" s="1"/>
  <c r="F349" i="5"/>
  <c r="C349" i="5"/>
  <c r="AC347" i="5"/>
  <c r="AA347" i="5"/>
  <c r="W347" i="5"/>
  <c r="X347" i="5" s="1"/>
  <c r="U347" i="5"/>
  <c r="R347" i="5"/>
  <c r="O347" i="5"/>
  <c r="N347" i="5"/>
  <c r="L347" i="5"/>
  <c r="I347" i="5"/>
  <c r="H347" i="5"/>
  <c r="F347" i="5"/>
  <c r="C347" i="5"/>
  <c r="AC344" i="5"/>
  <c r="AA344" i="5"/>
  <c r="Z344" i="5"/>
  <c r="W344" i="5"/>
  <c r="X344" i="5" s="1"/>
  <c r="U344" i="5"/>
  <c r="T344" i="5"/>
  <c r="R344" i="5"/>
  <c r="Q344" i="5"/>
  <c r="N344" i="5"/>
  <c r="O344" i="5" s="1"/>
  <c r="K344" i="5"/>
  <c r="L344" i="5" s="1"/>
  <c r="F344" i="5"/>
  <c r="E344" i="5"/>
  <c r="C344" i="5"/>
  <c r="B344" i="5"/>
  <c r="AA343" i="5"/>
  <c r="Z343" i="5"/>
  <c r="T343" i="5"/>
  <c r="R343" i="5"/>
  <c r="Q343" i="5"/>
  <c r="AC343" i="5" s="1"/>
  <c r="AD343" i="5" s="1"/>
  <c r="L343" i="5"/>
  <c r="K343" i="5"/>
  <c r="I343" i="5"/>
  <c r="H343" i="5"/>
  <c r="F343" i="5"/>
  <c r="E343" i="5"/>
  <c r="C343" i="5"/>
  <c r="B343" i="5"/>
  <c r="N343" i="5" s="1"/>
  <c r="O343" i="5" s="1"/>
  <c r="AA342" i="5"/>
  <c r="Z342" i="5"/>
  <c r="U342" i="5"/>
  <c r="T342" i="5"/>
  <c r="R342" i="5"/>
  <c r="Q342" i="5"/>
  <c r="AC342" i="5" s="1"/>
  <c r="AD342" i="5" s="1"/>
  <c r="O342" i="5"/>
  <c r="N342" i="5"/>
  <c r="L342" i="5"/>
  <c r="K342" i="5"/>
  <c r="E342" i="5"/>
  <c r="F342" i="5" s="1"/>
  <c r="C342" i="5"/>
  <c r="B342" i="5"/>
  <c r="AD341" i="5"/>
  <c r="AC341" i="5"/>
  <c r="AA341" i="5"/>
  <c r="W341" i="5"/>
  <c r="U341" i="5"/>
  <c r="R341" i="5"/>
  <c r="O341" i="5"/>
  <c r="N341" i="5"/>
  <c r="L341" i="5"/>
  <c r="I341" i="5"/>
  <c r="H341" i="5"/>
  <c r="F341" i="5"/>
  <c r="C341" i="5"/>
  <c r="AD340" i="5"/>
  <c r="AC340" i="5"/>
  <c r="AA340" i="5"/>
  <c r="X340" i="5"/>
  <c r="W340" i="5"/>
  <c r="U340" i="5"/>
  <c r="R340" i="5"/>
  <c r="N340" i="5"/>
  <c r="O340" i="5" s="1"/>
  <c r="L340" i="5"/>
  <c r="H340" i="5"/>
  <c r="I340" i="5" s="1"/>
  <c r="F340" i="5"/>
  <c r="C340" i="5"/>
  <c r="AC339" i="5"/>
  <c r="AA339" i="5"/>
  <c r="X339" i="5"/>
  <c r="W339" i="5"/>
  <c r="U339" i="5"/>
  <c r="R339" i="5"/>
  <c r="N339" i="5"/>
  <c r="O339" i="5" s="1"/>
  <c r="L339" i="5"/>
  <c r="H339" i="5"/>
  <c r="I339" i="5" s="1"/>
  <c r="F339" i="5"/>
  <c r="C339" i="5"/>
  <c r="AC338" i="5"/>
  <c r="AA338" i="5"/>
  <c r="W338" i="5"/>
  <c r="X338" i="5" s="1"/>
  <c r="U338" i="5"/>
  <c r="R338" i="5"/>
  <c r="O338" i="5"/>
  <c r="N338" i="5"/>
  <c r="L338" i="5"/>
  <c r="I338" i="5"/>
  <c r="H338" i="5"/>
  <c r="F338" i="5"/>
  <c r="C338" i="5"/>
  <c r="AD337" i="5"/>
  <c r="AC337" i="5"/>
  <c r="AA337" i="5"/>
  <c r="W337" i="5"/>
  <c r="X337" i="5" s="1"/>
  <c r="U337" i="5"/>
  <c r="R337" i="5"/>
  <c r="O337" i="5"/>
  <c r="N337" i="5"/>
  <c r="L337" i="5"/>
  <c r="I337" i="5"/>
  <c r="H337" i="5"/>
  <c r="F337" i="5"/>
  <c r="C337" i="5"/>
  <c r="AC335" i="5"/>
  <c r="AD335" i="5" s="1"/>
  <c r="AA335" i="5"/>
  <c r="W335" i="5"/>
  <c r="X335" i="5" s="1"/>
  <c r="U335" i="5"/>
  <c r="R335" i="5"/>
  <c r="O335" i="5"/>
  <c r="N335" i="5"/>
  <c r="L335" i="5"/>
  <c r="I335" i="5"/>
  <c r="H335" i="5"/>
  <c r="F335" i="5"/>
  <c r="C335" i="5"/>
  <c r="AC334" i="5"/>
  <c r="AA334" i="5"/>
  <c r="W334" i="5"/>
  <c r="X334" i="5" s="1"/>
  <c r="U334" i="5"/>
  <c r="R334" i="5"/>
  <c r="N334" i="5"/>
  <c r="O334" i="5" s="1"/>
  <c r="L334" i="5"/>
  <c r="I334" i="5"/>
  <c r="H334" i="5"/>
  <c r="F334" i="5"/>
  <c r="C334" i="5"/>
  <c r="AC333" i="5"/>
  <c r="AA333" i="5"/>
  <c r="X333" i="5"/>
  <c r="W333" i="5"/>
  <c r="U333" i="5"/>
  <c r="R333" i="5"/>
  <c r="O333" i="5"/>
  <c r="N333" i="5"/>
  <c r="L333" i="5"/>
  <c r="I333" i="5"/>
  <c r="H333" i="5"/>
  <c r="F333" i="5"/>
  <c r="C333" i="5"/>
  <c r="AD332" i="5"/>
  <c r="AC332" i="5"/>
  <c r="AA332" i="5"/>
  <c r="W332" i="5"/>
  <c r="X332" i="5" s="1"/>
  <c r="U332" i="5"/>
  <c r="R332" i="5"/>
  <c r="O332" i="5"/>
  <c r="N332" i="5"/>
  <c r="L332" i="5"/>
  <c r="I332" i="5"/>
  <c r="H332" i="5"/>
  <c r="F332" i="5"/>
  <c r="C332" i="5"/>
  <c r="AC331" i="5"/>
  <c r="AD331" i="5" s="1"/>
  <c r="AA331" i="5"/>
  <c r="W331" i="5"/>
  <c r="X331" i="5" s="1"/>
  <c r="U331" i="5"/>
  <c r="R331" i="5"/>
  <c r="O331" i="5"/>
  <c r="N331" i="5"/>
  <c r="L331" i="5"/>
  <c r="H331" i="5"/>
  <c r="I331" i="5" s="1"/>
  <c r="F331" i="5"/>
  <c r="C331" i="5"/>
  <c r="AC330" i="5"/>
  <c r="AA330" i="5"/>
  <c r="X330" i="5"/>
  <c r="W330" i="5"/>
  <c r="U330" i="5"/>
  <c r="R330" i="5"/>
  <c r="N330" i="5"/>
  <c r="O330" i="5" s="1"/>
  <c r="L330" i="5"/>
  <c r="H330" i="5"/>
  <c r="I330" i="5" s="1"/>
  <c r="F330" i="5"/>
  <c r="C330" i="5"/>
  <c r="AD329" i="5"/>
  <c r="AC329" i="5"/>
  <c r="AA329" i="5"/>
  <c r="W329" i="5"/>
  <c r="X329" i="5" s="1"/>
  <c r="U329" i="5"/>
  <c r="R329" i="5"/>
  <c r="N329" i="5"/>
  <c r="O329" i="5" s="1"/>
  <c r="L329" i="5"/>
  <c r="I329" i="5"/>
  <c r="H329" i="5"/>
  <c r="F329" i="5"/>
  <c r="C329" i="5"/>
  <c r="AC328" i="5"/>
  <c r="AA328" i="5"/>
  <c r="W328" i="5"/>
  <c r="X328" i="5" s="1"/>
  <c r="U328" i="5"/>
  <c r="R328" i="5"/>
  <c r="N328" i="5"/>
  <c r="O328" i="5" s="1"/>
  <c r="L328" i="5"/>
  <c r="H328" i="5"/>
  <c r="F328" i="5"/>
  <c r="C328" i="5"/>
  <c r="Z325" i="5"/>
  <c r="AA325" i="5" s="1"/>
  <c r="T325" i="5"/>
  <c r="U325" i="5" s="1"/>
  <c r="Q325" i="5"/>
  <c r="L325" i="5"/>
  <c r="K325" i="5"/>
  <c r="E325" i="5"/>
  <c r="B325" i="5"/>
  <c r="C325" i="5" s="1"/>
  <c r="Z324" i="5"/>
  <c r="AA324" i="5" s="1"/>
  <c r="U324" i="5"/>
  <c r="T324" i="5"/>
  <c r="W324" i="5" s="1"/>
  <c r="X324" i="5" s="1"/>
  <c r="R324" i="5"/>
  <c r="Q324" i="5"/>
  <c r="L324" i="5"/>
  <c r="K324" i="5"/>
  <c r="F324" i="5"/>
  <c r="E324" i="5"/>
  <c r="B324" i="5"/>
  <c r="AC323" i="5"/>
  <c r="AD323" i="5" s="1"/>
  <c r="AA323" i="5"/>
  <c r="X323" i="5"/>
  <c r="W323" i="5"/>
  <c r="U323" i="5"/>
  <c r="R323" i="5"/>
  <c r="O323" i="5"/>
  <c r="N323" i="5"/>
  <c r="L323" i="5"/>
  <c r="I323" i="5"/>
  <c r="H323" i="5"/>
  <c r="F323" i="5"/>
  <c r="C323" i="5"/>
  <c r="AC322" i="5"/>
  <c r="AD322" i="5" s="1"/>
  <c r="AA322" i="5"/>
  <c r="W322" i="5"/>
  <c r="X322" i="5" s="1"/>
  <c r="U322" i="5"/>
  <c r="R322" i="5"/>
  <c r="N322" i="5"/>
  <c r="O322" i="5" s="1"/>
  <c r="L322" i="5"/>
  <c r="H322" i="5"/>
  <c r="I322" i="5" s="1"/>
  <c r="F322" i="5"/>
  <c r="C322" i="5"/>
  <c r="AD321" i="5"/>
  <c r="AC321" i="5"/>
  <c r="AA321" i="5"/>
  <c r="W321" i="5"/>
  <c r="X321" i="5" s="1"/>
  <c r="U321" i="5"/>
  <c r="R321" i="5"/>
  <c r="N321" i="5"/>
  <c r="O321" i="5" s="1"/>
  <c r="L321" i="5"/>
  <c r="I321" i="5"/>
  <c r="H321" i="5"/>
  <c r="F321" i="5"/>
  <c r="C321" i="5"/>
  <c r="AC320" i="5"/>
  <c r="AA320" i="5"/>
  <c r="W320" i="5"/>
  <c r="X320" i="5" s="1"/>
  <c r="U320" i="5"/>
  <c r="R320" i="5"/>
  <c r="O320" i="5"/>
  <c r="N320" i="5"/>
  <c r="L320" i="5"/>
  <c r="I320" i="5"/>
  <c r="H320" i="5"/>
  <c r="F320" i="5"/>
  <c r="C320" i="5"/>
  <c r="AC319" i="5"/>
  <c r="AD319" i="5" s="1"/>
  <c r="AA319" i="5"/>
  <c r="X319" i="5"/>
  <c r="W319" i="5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X318" i="5"/>
  <c r="W318" i="5"/>
  <c r="U318" i="5"/>
  <c r="R318" i="5"/>
  <c r="N318" i="5"/>
  <c r="O318" i="5" s="1"/>
  <c r="L318" i="5"/>
  <c r="I318" i="5"/>
  <c r="H318" i="5"/>
  <c r="F318" i="5"/>
  <c r="C318" i="5"/>
  <c r="AD317" i="5"/>
  <c r="AC317" i="5"/>
  <c r="AA317" i="5"/>
  <c r="W317" i="5"/>
  <c r="X317" i="5" s="1"/>
  <c r="U317" i="5"/>
  <c r="R317" i="5"/>
  <c r="O317" i="5"/>
  <c r="N317" i="5"/>
  <c r="L317" i="5"/>
  <c r="H317" i="5"/>
  <c r="I317" i="5" s="1"/>
  <c r="F317" i="5"/>
  <c r="C317" i="5"/>
  <c r="AC316" i="5"/>
  <c r="AD316" i="5" s="1"/>
  <c r="AA316" i="5"/>
  <c r="W316" i="5"/>
  <c r="X316" i="5" s="1"/>
  <c r="U316" i="5"/>
  <c r="R316" i="5"/>
  <c r="O316" i="5"/>
  <c r="N316" i="5"/>
  <c r="L316" i="5"/>
  <c r="I316" i="5"/>
  <c r="H316" i="5"/>
  <c r="F316" i="5"/>
  <c r="C316" i="5"/>
  <c r="AD315" i="5"/>
  <c r="AC315" i="5"/>
  <c r="AA315" i="5"/>
  <c r="W315" i="5"/>
  <c r="X315" i="5" s="1"/>
  <c r="U315" i="5"/>
  <c r="R315" i="5"/>
  <c r="N315" i="5"/>
  <c r="O315" i="5" s="1"/>
  <c r="L315" i="5"/>
  <c r="H315" i="5"/>
  <c r="I315" i="5" s="1"/>
  <c r="F315" i="5"/>
  <c r="C315" i="5"/>
  <c r="AD314" i="5"/>
  <c r="AC314" i="5"/>
  <c r="AA314" i="5"/>
  <c r="X314" i="5"/>
  <c r="W314" i="5"/>
  <c r="U314" i="5"/>
  <c r="R314" i="5"/>
  <c r="N314" i="5"/>
  <c r="O314" i="5" s="1"/>
  <c r="L314" i="5"/>
  <c r="I314" i="5"/>
  <c r="H314" i="5"/>
  <c r="F314" i="5"/>
  <c r="C314" i="5"/>
  <c r="AC313" i="5"/>
  <c r="AA313" i="5"/>
  <c r="X313" i="5"/>
  <c r="W313" i="5"/>
  <c r="U313" i="5"/>
  <c r="R313" i="5"/>
  <c r="N313" i="5"/>
  <c r="O313" i="5" s="1"/>
  <c r="L313" i="5"/>
  <c r="I313" i="5"/>
  <c r="H313" i="5"/>
  <c r="F313" i="5"/>
  <c r="C313" i="5"/>
  <c r="AC312" i="5"/>
  <c r="AA312" i="5"/>
  <c r="W312" i="5"/>
  <c r="X312" i="5" s="1"/>
  <c r="U312" i="5"/>
  <c r="R312" i="5"/>
  <c r="N312" i="5"/>
  <c r="O312" i="5" s="1"/>
  <c r="L312" i="5"/>
  <c r="H312" i="5"/>
  <c r="F312" i="5"/>
  <c r="C312" i="5"/>
  <c r="AC311" i="5"/>
  <c r="AD311" i="5" s="1"/>
  <c r="AA311" i="5"/>
  <c r="X311" i="5"/>
  <c r="W311" i="5"/>
  <c r="U311" i="5"/>
  <c r="R311" i="5"/>
  <c r="O311" i="5"/>
  <c r="N311" i="5"/>
  <c r="L311" i="5"/>
  <c r="H311" i="5"/>
  <c r="I311" i="5" s="1"/>
  <c r="F311" i="5"/>
  <c r="C311" i="5"/>
  <c r="AC310" i="5"/>
  <c r="AD310" i="5" s="1"/>
  <c r="AA310" i="5"/>
  <c r="X310" i="5"/>
  <c r="W310" i="5"/>
  <c r="U310" i="5"/>
  <c r="R310" i="5"/>
  <c r="N310" i="5"/>
  <c r="O310" i="5" s="1"/>
  <c r="L310" i="5"/>
  <c r="I310" i="5"/>
  <c r="H310" i="5"/>
  <c r="F310" i="5"/>
  <c r="C310" i="5"/>
  <c r="AD309" i="5"/>
  <c r="AC309" i="5"/>
  <c r="AA309" i="5"/>
  <c r="W309" i="5"/>
  <c r="X309" i="5" s="1"/>
  <c r="U309" i="5"/>
  <c r="R309" i="5"/>
  <c r="N309" i="5"/>
  <c r="O309" i="5" s="1"/>
  <c r="L309" i="5"/>
  <c r="I309" i="5"/>
  <c r="H309" i="5"/>
  <c r="F309" i="5"/>
  <c r="C309" i="5"/>
  <c r="AD308" i="5"/>
  <c r="AC308" i="5"/>
  <c r="AA308" i="5"/>
  <c r="W308" i="5"/>
  <c r="U308" i="5"/>
  <c r="R308" i="5"/>
  <c r="O308" i="5"/>
  <c r="N308" i="5"/>
  <c r="L308" i="5"/>
  <c r="I308" i="5"/>
  <c r="H308" i="5"/>
  <c r="F308" i="5"/>
  <c r="C308" i="5"/>
  <c r="AC307" i="5"/>
  <c r="AD307" i="5" s="1"/>
  <c r="AA307" i="5"/>
  <c r="X307" i="5"/>
  <c r="W307" i="5"/>
  <c r="U307" i="5"/>
  <c r="R307" i="5"/>
  <c r="O307" i="5"/>
  <c r="N307" i="5"/>
  <c r="L307" i="5"/>
  <c r="H307" i="5"/>
  <c r="I307" i="5" s="1"/>
  <c r="F307" i="5"/>
  <c r="C307" i="5"/>
  <c r="AC306" i="5"/>
  <c r="AA306" i="5"/>
  <c r="W306" i="5"/>
  <c r="X306" i="5" s="1"/>
  <c r="U306" i="5"/>
  <c r="R306" i="5"/>
  <c r="N306" i="5"/>
  <c r="O306" i="5" s="1"/>
  <c r="L306" i="5"/>
  <c r="H306" i="5"/>
  <c r="I306" i="5" s="1"/>
  <c r="F306" i="5"/>
  <c r="C306" i="5"/>
  <c r="AD305" i="5"/>
  <c r="AC305" i="5"/>
  <c r="AA305" i="5"/>
  <c r="W305" i="5"/>
  <c r="X305" i="5" s="1"/>
  <c r="U305" i="5"/>
  <c r="R305" i="5"/>
  <c r="O305" i="5"/>
  <c r="N305" i="5"/>
  <c r="L305" i="5"/>
  <c r="I305" i="5"/>
  <c r="H305" i="5"/>
  <c r="F305" i="5"/>
  <c r="C305" i="5"/>
  <c r="AC304" i="5"/>
  <c r="AD304" i="5" s="1"/>
  <c r="AA304" i="5"/>
  <c r="W304" i="5"/>
  <c r="X304" i="5" s="1"/>
  <c r="U304" i="5"/>
  <c r="R304" i="5"/>
  <c r="O304" i="5"/>
  <c r="N304" i="5"/>
  <c r="L304" i="5"/>
  <c r="I304" i="5"/>
  <c r="H304" i="5"/>
  <c r="F304" i="5"/>
  <c r="C304" i="5"/>
  <c r="AC303" i="5"/>
  <c r="AD303" i="5" s="1"/>
  <c r="AA303" i="5"/>
  <c r="W303" i="5"/>
  <c r="X303" i="5" s="1"/>
  <c r="U303" i="5"/>
  <c r="R303" i="5"/>
  <c r="O303" i="5"/>
  <c r="N303" i="5"/>
  <c r="L303" i="5"/>
  <c r="I303" i="5"/>
  <c r="H303" i="5"/>
  <c r="F303" i="5"/>
  <c r="C303" i="5"/>
  <c r="AD302" i="5"/>
  <c r="AC302" i="5"/>
  <c r="AA302" i="5"/>
  <c r="W302" i="5"/>
  <c r="X302" i="5" s="1"/>
  <c r="U302" i="5"/>
  <c r="R302" i="5"/>
  <c r="N302" i="5"/>
  <c r="O302" i="5" s="1"/>
  <c r="L302" i="5"/>
  <c r="I302" i="5"/>
  <c r="H302" i="5"/>
  <c r="F302" i="5"/>
  <c r="C302" i="5"/>
  <c r="AC301" i="5"/>
  <c r="AA301" i="5"/>
  <c r="X301" i="5"/>
  <c r="W301" i="5"/>
  <c r="U301" i="5"/>
  <c r="R301" i="5"/>
  <c r="O301" i="5"/>
  <c r="N301" i="5"/>
  <c r="L301" i="5"/>
  <c r="H301" i="5"/>
  <c r="I301" i="5" s="1"/>
  <c r="F301" i="5"/>
  <c r="C301" i="5"/>
  <c r="AD300" i="5"/>
  <c r="AC300" i="5"/>
  <c r="AA300" i="5"/>
  <c r="W300" i="5"/>
  <c r="X300" i="5" s="1"/>
  <c r="U300" i="5"/>
  <c r="R300" i="5"/>
  <c r="O300" i="5"/>
  <c r="N300" i="5"/>
  <c r="L300" i="5"/>
  <c r="I300" i="5"/>
  <c r="H300" i="5"/>
  <c r="F300" i="5"/>
  <c r="C300" i="5"/>
  <c r="AD299" i="5"/>
  <c r="AC299" i="5"/>
  <c r="AA299" i="5"/>
  <c r="X299" i="5"/>
  <c r="W299" i="5"/>
  <c r="U299" i="5"/>
  <c r="R299" i="5"/>
  <c r="N299" i="5"/>
  <c r="O299" i="5" s="1"/>
  <c r="L299" i="5"/>
  <c r="H299" i="5"/>
  <c r="I299" i="5" s="1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D297" i="5"/>
  <c r="AC297" i="5"/>
  <c r="AA297" i="5"/>
  <c r="W297" i="5"/>
  <c r="X297" i="5" s="1"/>
  <c r="U297" i="5"/>
  <c r="R297" i="5"/>
  <c r="N297" i="5"/>
  <c r="O297" i="5" s="1"/>
  <c r="L297" i="5"/>
  <c r="I297" i="5"/>
  <c r="H297" i="5"/>
  <c r="F297" i="5"/>
  <c r="C297" i="5"/>
  <c r="AA295" i="5"/>
  <c r="Z295" i="5"/>
  <c r="W295" i="5"/>
  <c r="X295" i="5" s="1"/>
  <c r="U295" i="5"/>
  <c r="T295" i="5"/>
  <c r="R295" i="5"/>
  <c r="Q295" i="5"/>
  <c r="AC295" i="5" s="1"/>
  <c r="AD295" i="5" s="1"/>
  <c r="K295" i="5"/>
  <c r="L295" i="5" s="1"/>
  <c r="E295" i="5"/>
  <c r="C295" i="5"/>
  <c r="B295" i="5"/>
  <c r="N295" i="5" s="1"/>
  <c r="O295" i="5" s="1"/>
  <c r="AD294" i="5"/>
  <c r="AC294" i="5"/>
  <c r="AA294" i="5"/>
  <c r="X294" i="5"/>
  <c r="W294" i="5"/>
  <c r="U294" i="5"/>
  <c r="R294" i="5"/>
  <c r="N294" i="5"/>
  <c r="O294" i="5" s="1"/>
  <c r="L294" i="5"/>
  <c r="H294" i="5"/>
  <c r="I294" i="5" s="1"/>
  <c r="F294" i="5"/>
  <c r="C294" i="5"/>
  <c r="AD293" i="5"/>
  <c r="AC293" i="5"/>
  <c r="AA293" i="5"/>
  <c r="X293" i="5"/>
  <c r="W293" i="5"/>
  <c r="U293" i="5"/>
  <c r="R293" i="5"/>
  <c r="N293" i="5"/>
  <c r="O293" i="5" s="1"/>
  <c r="L293" i="5"/>
  <c r="H293" i="5"/>
  <c r="I293" i="5" s="1"/>
  <c r="F293" i="5"/>
  <c r="C293" i="5"/>
  <c r="AD292" i="5"/>
  <c r="AC292" i="5"/>
  <c r="AA292" i="5"/>
  <c r="W292" i="5"/>
  <c r="U292" i="5"/>
  <c r="R292" i="5"/>
  <c r="O292" i="5"/>
  <c r="N292" i="5"/>
  <c r="L292" i="5"/>
  <c r="I292" i="5"/>
  <c r="H292" i="5"/>
  <c r="F292" i="5"/>
  <c r="C292" i="5"/>
  <c r="AC291" i="5"/>
  <c r="AD291" i="5" s="1"/>
  <c r="AA291" i="5"/>
  <c r="X291" i="5"/>
  <c r="W291" i="5"/>
  <c r="U291" i="5"/>
  <c r="R291" i="5"/>
  <c r="N291" i="5"/>
  <c r="O291" i="5" s="1"/>
  <c r="L291" i="5"/>
  <c r="I291" i="5"/>
  <c r="H291" i="5"/>
  <c r="F291" i="5"/>
  <c r="C291" i="5"/>
  <c r="AC290" i="5"/>
  <c r="AD290" i="5" s="1"/>
  <c r="AA290" i="5"/>
  <c r="W290" i="5"/>
  <c r="X290" i="5" s="1"/>
  <c r="U290" i="5"/>
  <c r="R290" i="5"/>
  <c r="N290" i="5"/>
  <c r="O290" i="5" s="1"/>
  <c r="L290" i="5"/>
  <c r="I290" i="5"/>
  <c r="H290" i="5"/>
  <c r="F290" i="5"/>
  <c r="C290" i="5"/>
  <c r="AD289" i="5"/>
  <c r="AC289" i="5"/>
  <c r="AA289" i="5"/>
  <c r="W289" i="5"/>
  <c r="X289" i="5" s="1"/>
  <c r="U289" i="5"/>
  <c r="R289" i="5"/>
  <c r="N289" i="5"/>
  <c r="O289" i="5" s="1"/>
  <c r="L289" i="5"/>
  <c r="I289" i="5"/>
  <c r="H289" i="5"/>
  <c r="F289" i="5"/>
  <c r="C289" i="5"/>
  <c r="AC288" i="5"/>
  <c r="AD288" i="5" s="1"/>
  <c r="AA288" i="5"/>
  <c r="W288" i="5"/>
  <c r="X288" i="5" s="1"/>
  <c r="U288" i="5"/>
  <c r="R288" i="5"/>
  <c r="N288" i="5"/>
  <c r="O288" i="5" s="1"/>
  <c r="L288" i="5"/>
  <c r="I288" i="5"/>
  <c r="H288" i="5"/>
  <c r="F288" i="5"/>
  <c r="C288" i="5"/>
  <c r="AC287" i="5"/>
  <c r="AA287" i="5"/>
  <c r="X287" i="5"/>
  <c r="W287" i="5"/>
  <c r="U287" i="5"/>
  <c r="R287" i="5"/>
  <c r="O287" i="5"/>
  <c r="N287" i="5"/>
  <c r="L287" i="5"/>
  <c r="H287" i="5"/>
  <c r="I287" i="5" s="1"/>
  <c r="F287" i="5"/>
  <c r="C287" i="5"/>
  <c r="AD286" i="5"/>
  <c r="AC286" i="5"/>
  <c r="AA286" i="5"/>
  <c r="W286" i="5"/>
  <c r="X286" i="5" s="1"/>
  <c r="U286" i="5"/>
  <c r="R286" i="5"/>
  <c r="N286" i="5"/>
  <c r="O286" i="5" s="1"/>
  <c r="L286" i="5"/>
  <c r="I286" i="5"/>
  <c r="H286" i="5"/>
  <c r="F286" i="5"/>
  <c r="C286" i="5"/>
  <c r="AA284" i="5"/>
  <c r="Z284" i="5"/>
  <c r="T284" i="5"/>
  <c r="U284" i="5" s="1"/>
  <c r="R284" i="5"/>
  <c r="Q284" i="5"/>
  <c r="AC284" i="5" s="1"/>
  <c r="AD284" i="5" s="1"/>
  <c r="K284" i="5"/>
  <c r="H284" i="5"/>
  <c r="I284" i="5" s="1"/>
  <c r="F284" i="5"/>
  <c r="E284" i="5"/>
  <c r="C284" i="5"/>
  <c r="B284" i="5"/>
  <c r="AD283" i="5"/>
  <c r="AC283" i="5"/>
  <c r="AA283" i="5"/>
  <c r="X283" i="5"/>
  <c r="W283" i="5"/>
  <c r="U283" i="5"/>
  <c r="R283" i="5"/>
  <c r="N283" i="5"/>
  <c r="O283" i="5" s="1"/>
  <c r="L283" i="5"/>
  <c r="H283" i="5"/>
  <c r="I283" i="5" s="1"/>
  <c r="F283" i="5"/>
  <c r="C283" i="5"/>
  <c r="AC282" i="5"/>
  <c r="AD282" i="5" s="1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C281" i="5"/>
  <c r="AA281" i="5"/>
  <c r="W281" i="5"/>
  <c r="X281" i="5" s="1"/>
  <c r="U281" i="5"/>
  <c r="R281" i="5"/>
  <c r="N281" i="5"/>
  <c r="O281" i="5" s="1"/>
  <c r="L281" i="5"/>
  <c r="H281" i="5"/>
  <c r="I281" i="5" s="1"/>
  <c r="F281" i="5"/>
  <c r="C281" i="5"/>
  <c r="AD280" i="5"/>
  <c r="AC280" i="5"/>
  <c r="AA280" i="5"/>
  <c r="W280" i="5"/>
  <c r="X280" i="5" s="1"/>
  <c r="U280" i="5"/>
  <c r="R280" i="5"/>
  <c r="N280" i="5"/>
  <c r="O280" i="5" s="1"/>
  <c r="L280" i="5"/>
  <c r="H280" i="5"/>
  <c r="F280" i="5"/>
  <c r="C280" i="5"/>
  <c r="AD279" i="5"/>
  <c r="AC279" i="5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C278" i="5"/>
  <c r="AD278" i="5" s="1"/>
  <c r="AA278" i="5"/>
  <c r="X278" i="5"/>
  <c r="W278" i="5"/>
  <c r="U278" i="5"/>
  <c r="R278" i="5"/>
  <c r="N278" i="5"/>
  <c r="O278" i="5" s="1"/>
  <c r="L278" i="5"/>
  <c r="I278" i="5"/>
  <c r="H278" i="5"/>
  <c r="F278" i="5"/>
  <c r="C278" i="5"/>
  <c r="AD277" i="5"/>
  <c r="AC277" i="5"/>
  <c r="AA277" i="5"/>
  <c r="W277" i="5"/>
  <c r="X277" i="5" s="1"/>
  <c r="U277" i="5"/>
  <c r="R277" i="5"/>
  <c r="N277" i="5"/>
  <c r="O277" i="5" s="1"/>
  <c r="L277" i="5"/>
  <c r="I277" i="5"/>
  <c r="H277" i="5"/>
  <c r="F277" i="5"/>
  <c r="C277" i="5"/>
  <c r="AC276" i="5"/>
  <c r="AA276" i="5"/>
  <c r="W276" i="5"/>
  <c r="U276" i="5"/>
  <c r="R276" i="5"/>
  <c r="N276" i="5"/>
  <c r="O276" i="5" s="1"/>
  <c r="L276" i="5"/>
  <c r="I276" i="5"/>
  <c r="H276" i="5"/>
  <c r="F276" i="5"/>
  <c r="C276" i="5"/>
  <c r="AD275" i="5"/>
  <c r="AC275" i="5"/>
  <c r="AA275" i="5"/>
  <c r="X275" i="5"/>
  <c r="W275" i="5"/>
  <c r="U275" i="5"/>
  <c r="R275" i="5"/>
  <c r="O275" i="5"/>
  <c r="N275" i="5"/>
  <c r="L275" i="5"/>
  <c r="I275" i="5"/>
  <c r="H275" i="5"/>
  <c r="F275" i="5"/>
  <c r="C275" i="5"/>
  <c r="AA273" i="5"/>
  <c r="Z273" i="5"/>
  <c r="AC273" i="5" s="1"/>
  <c r="AD273" i="5" s="1"/>
  <c r="W273" i="5"/>
  <c r="X273" i="5" s="1"/>
  <c r="U273" i="5"/>
  <c r="T273" i="5"/>
  <c r="Q273" i="5"/>
  <c r="R273" i="5" s="1"/>
  <c r="N273" i="5"/>
  <c r="O273" i="5" s="1"/>
  <c r="L273" i="5"/>
  <c r="K273" i="5"/>
  <c r="F273" i="5"/>
  <c r="E273" i="5"/>
  <c r="B273" i="5"/>
  <c r="AC272" i="5"/>
  <c r="AD272" i="5" s="1"/>
  <c r="AA272" i="5"/>
  <c r="W272" i="5"/>
  <c r="X272" i="5" s="1"/>
  <c r="U272" i="5"/>
  <c r="R272" i="5"/>
  <c r="N272" i="5"/>
  <c r="O272" i="5" s="1"/>
  <c r="L272" i="5"/>
  <c r="I272" i="5"/>
  <c r="H272" i="5"/>
  <c r="F272" i="5"/>
  <c r="C272" i="5"/>
  <c r="AC271" i="5"/>
  <c r="AA271" i="5"/>
  <c r="X271" i="5"/>
  <c r="W271" i="5"/>
  <c r="U271" i="5"/>
  <c r="R271" i="5"/>
  <c r="O271" i="5"/>
  <c r="N271" i="5"/>
  <c r="L271" i="5"/>
  <c r="H271" i="5"/>
  <c r="I271" i="5" s="1"/>
  <c r="F271" i="5"/>
  <c r="C271" i="5"/>
  <c r="AC270" i="5"/>
  <c r="AD270" i="5" s="1"/>
  <c r="AA270" i="5"/>
  <c r="W270" i="5"/>
  <c r="X270" i="5" s="1"/>
  <c r="U270" i="5"/>
  <c r="R270" i="5"/>
  <c r="N270" i="5"/>
  <c r="O270" i="5" s="1"/>
  <c r="L270" i="5"/>
  <c r="I270" i="5"/>
  <c r="H270" i="5"/>
  <c r="F270" i="5"/>
  <c r="C270" i="5"/>
  <c r="AC269" i="5"/>
  <c r="AA269" i="5"/>
  <c r="X269" i="5"/>
  <c r="W269" i="5"/>
  <c r="U269" i="5"/>
  <c r="R269" i="5"/>
  <c r="O269" i="5"/>
  <c r="N269" i="5"/>
  <c r="L269" i="5"/>
  <c r="I269" i="5"/>
  <c r="H269" i="5"/>
  <c r="F269" i="5"/>
  <c r="C269" i="5"/>
  <c r="AA267" i="5"/>
  <c r="Z267" i="5"/>
  <c r="W267" i="5"/>
  <c r="X267" i="5" s="1"/>
  <c r="U267" i="5"/>
  <c r="T267" i="5"/>
  <c r="Q267" i="5"/>
  <c r="L267" i="5"/>
  <c r="K267" i="5"/>
  <c r="E267" i="5"/>
  <c r="F267" i="5" s="1"/>
  <c r="C267" i="5"/>
  <c r="B267" i="5"/>
  <c r="N267" i="5" s="1"/>
  <c r="O267" i="5" s="1"/>
  <c r="AC266" i="5"/>
  <c r="AD266" i="5" s="1"/>
  <c r="AA266" i="5"/>
  <c r="X266" i="5"/>
  <c r="W266" i="5"/>
  <c r="U266" i="5"/>
  <c r="R266" i="5"/>
  <c r="N266" i="5"/>
  <c r="O266" i="5" s="1"/>
  <c r="L266" i="5"/>
  <c r="I266" i="5"/>
  <c r="H266" i="5"/>
  <c r="F266" i="5"/>
  <c r="C266" i="5"/>
  <c r="AD265" i="5"/>
  <c r="AC265" i="5"/>
  <c r="AA265" i="5"/>
  <c r="W265" i="5"/>
  <c r="X265" i="5" s="1"/>
  <c r="U265" i="5"/>
  <c r="R265" i="5"/>
  <c r="N265" i="5"/>
  <c r="O265" i="5" s="1"/>
  <c r="L265" i="5"/>
  <c r="H265" i="5"/>
  <c r="I265" i="5" s="1"/>
  <c r="F265" i="5"/>
  <c r="C265" i="5"/>
  <c r="AD263" i="5"/>
  <c r="AA263" i="5"/>
  <c r="Z263" i="5"/>
  <c r="X263" i="5"/>
  <c r="U263" i="5"/>
  <c r="T263" i="5"/>
  <c r="W263" i="5" s="1"/>
  <c r="R263" i="5"/>
  <c r="Q263" i="5"/>
  <c r="AC263" i="5" s="1"/>
  <c r="K263" i="5"/>
  <c r="L263" i="5" s="1"/>
  <c r="F263" i="5"/>
  <c r="E263" i="5"/>
  <c r="H263" i="5" s="1"/>
  <c r="I263" i="5" s="1"/>
  <c r="C263" i="5"/>
  <c r="B263" i="5"/>
  <c r="Z262" i="5"/>
  <c r="AA262" i="5" s="1"/>
  <c r="W262" i="5"/>
  <c r="X262" i="5" s="1"/>
  <c r="U262" i="5"/>
  <c r="T262" i="5"/>
  <c r="Q262" i="5"/>
  <c r="K262" i="5"/>
  <c r="F262" i="5"/>
  <c r="E262" i="5"/>
  <c r="C262" i="5"/>
  <c r="B262" i="5"/>
  <c r="AC261" i="5"/>
  <c r="AD261" i="5" s="1"/>
  <c r="AA261" i="5"/>
  <c r="W261" i="5"/>
  <c r="U261" i="5"/>
  <c r="R261" i="5"/>
  <c r="N261" i="5"/>
  <c r="O261" i="5" s="1"/>
  <c r="L261" i="5"/>
  <c r="I261" i="5"/>
  <c r="H261" i="5"/>
  <c r="F261" i="5"/>
  <c r="C261" i="5"/>
  <c r="AD260" i="5"/>
  <c r="AC260" i="5"/>
  <c r="AA260" i="5"/>
  <c r="W260" i="5"/>
  <c r="X260" i="5" s="1"/>
  <c r="U260" i="5"/>
  <c r="R260" i="5"/>
  <c r="N260" i="5"/>
  <c r="O260" i="5" s="1"/>
  <c r="L260" i="5"/>
  <c r="I260" i="5"/>
  <c r="H260" i="5"/>
  <c r="F260" i="5"/>
  <c r="C260" i="5"/>
  <c r="AC259" i="5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W258" i="5"/>
  <c r="X258" i="5" s="1"/>
  <c r="U258" i="5"/>
  <c r="R258" i="5"/>
  <c r="N258" i="5"/>
  <c r="O258" i="5" s="1"/>
  <c r="L258" i="5"/>
  <c r="I258" i="5"/>
  <c r="H258" i="5"/>
  <c r="F258" i="5"/>
  <c r="C258" i="5"/>
  <c r="AC257" i="5"/>
  <c r="AD257" i="5" s="1"/>
  <c r="AA257" i="5"/>
  <c r="W257" i="5"/>
  <c r="X257" i="5" s="1"/>
  <c r="U257" i="5"/>
  <c r="R257" i="5"/>
  <c r="O257" i="5"/>
  <c r="N257" i="5"/>
  <c r="L257" i="5"/>
  <c r="I257" i="5"/>
  <c r="H257" i="5"/>
  <c r="F257" i="5"/>
  <c r="C257" i="5"/>
  <c r="AC256" i="5"/>
  <c r="AA256" i="5"/>
  <c r="W256" i="5"/>
  <c r="X256" i="5" s="1"/>
  <c r="U256" i="5"/>
  <c r="R256" i="5"/>
  <c r="O256" i="5"/>
  <c r="N256" i="5"/>
  <c r="L256" i="5"/>
  <c r="I256" i="5"/>
  <c r="H256" i="5"/>
  <c r="F256" i="5"/>
  <c r="C256" i="5"/>
  <c r="AC255" i="5"/>
  <c r="AD255" i="5" s="1"/>
  <c r="AA255" i="5"/>
  <c r="W255" i="5"/>
  <c r="X255" i="5" s="1"/>
  <c r="U255" i="5"/>
  <c r="R255" i="5"/>
  <c r="N255" i="5"/>
  <c r="O255" i="5" s="1"/>
  <c r="L255" i="5"/>
  <c r="I255" i="5"/>
  <c r="H255" i="5"/>
  <c r="F255" i="5"/>
  <c r="C255" i="5"/>
  <c r="AC254" i="5"/>
  <c r="AD254" i="5" s="1"/>
  <c r="AA254" i="5"/>
  <c r="X254" i="5"/>
  <c r="W254" i="5"/>
  <c r="U254" i="5"/>
  <c r="R254" i="5"/>
  <c r="O254" i="5"/>
  <c r="N254" i="5"/>
  <c r="L254" i="5"/>
  <c r="I254" i="5"/>
  <c r="H254" i="5"/>
  <c r="F254" i="5"/>
  <c r="C254" i="5"/>
  <c r="AC253" i="5"/>
  <c r="AD253" i="5" s="1"/>
  <c r="AA253" i="5"/>
  <c r="W253" i="5"/>
  <c r="X253" i="5" s="1"/>
  <c r="U253" i="5"/>
  <c r="R253" i="5"/>
  <c r="N253" i="5"/>
  <c r="O253" i="5" s="1"/>
  <c r="L253" i="5"/>
  <c r="I253" i="5"/>
  <c r="H253" i="5"/>
  <c r="F253" i="5"/>
  <c r="C253" i="5"/>
  <c r="AD252" i="5"/>
  <c r="AC252" i="5"/>
  <c r="AA252" i="5"/>
  <c r="W252" i="5"/>
  <c r="X252" i="5" s="1"/>
  <c r="U252" i="5"/>
  <c r="R252" i="5"/>
  <c r="N252" i="5"/>
  <c r="O252" i="5" s="1"/>
  <c r="L252" i="5"/>
  <c r="H252" i="5"/>
  <c r="I252" i="5" s="1"/>
  <c r="F252" i="5"/>
  <c r="C252" i="5"/>
  <c r="AC251" i="5"/>
  <c r="AD251" i="5" s="1"/>
  <c r="AA251" i="5"/>
  <c r="W251" i="5"/>
  <c r="X251" i="5" s="1"/>
  <c r="U251" i="5"/>
  <c r="R251" i="5"/>
  <c r="N251" i="5"/>
  <c r="O251" i="5" s="1"/>
  <c r="L251" i="5"/>
  <c r="I251" i="5"/>
  <c r="H251" i="5"/>
  <c r="F251" i="5"/>
  <c r="C251" i="5"/>
  <c r="AD250" i="5"/>
  <c r="AC250" i="5"/>
  <c r="AA250" i="5"/>
  <c r="W250" i="5"/>
  <c r="X250" i="5" s="1"/>
  <c r="U250" i="5"/>
  <c r="R250" i="5"/>
  <c r="N250" i="5"/>
  <c r="O250" i="5" s="1"/>
  <c r="L250" i="5"/>
  <c r="H250" i="5"/>
  <c r="I250" i="5" s="1"/>
  <c r="F250" i="5"/>
  <c r="C250" i="5"/>
  <c r="AD249" i="5"/>
  <c r="AC249" i="5"/>
  <c r="AA249" i="5"/>
  <c r="X249" i="5"/>
  <c r="W249" i="5"/>
  <c r="U249" i="5"/>
  <c r="R249" i="5"/>
  <c r="N249" i="5"/>
  <c r="O249" i="5" s="1"/>
  <c r="L249" i="5"/>
  <c r="H249" i="5"/>
  <c r="I249" i="5" s="1"/>
  <c r="F249" i="5"/>
  <c r="C249" i="5"/>
  <c r="AC248" i="5"/>
  <c r="AA248" i="5"/>
  <c r="X248" i="5"/>
  <c r="W248" i="5"/>
  <c r="U248" i="5"/>
  <c r="R248" i="5"/>
  <c r="O248" i="5"/>
  <c r="N248" i="5"/>
  <c r="L248" i="5"/>
  <c r="H248" i="5"/>
  <c r="I248" i="5" s="1"/>
  <c r="F248" i="5"/>
  <c r="C248" i="5"/>
  <c r="AC247" i="5"/>
  <c r="AD247" i="5" s="1"/>
  <c r="AA247" i="5"/>
  <c r="W247" i="5"/>
  <c r="X247" i="5" s="1"/>
  <c r="U247" i="5"/>
  <c r="R247" i="5"/>
  <c r="N247" i="5"/>
  <c r="O247" i="5" s="1"/>
  <c r="L247" i="5"/>
  <c r="I247" i="5"/>
  <c r="H247" i="5"/>
  <c r="F247" i="5"/>
  <c r="C247" i="5"/>
  <c r="AD246" i="5"/>
  <c r="AC246" i="5"/>
  <c r="AA246" i="5"/>
  <c r="X246" i="5"/>
  <c r="W246" i="5"/>
  <c r="U246" i="5"/>
  <c r="R246" i="5"/>
  <c r="O246" i="5"/>
  <c r="N246" i="5"/>
  <c r="L246" i="5"/>
  <c r="H246" i="5"/>
  <c r="I246" i="5" s="1"/>
  <c r="F246" i="5"/>
  <c r="C246" i="5"/>
  <c r="AC245" i="5"/>
  <c r="AD245" i="5" s="1"/>
  <c r="AA245" i="5"/>
  <c r="W245" i="5"/>
  <c r="X245" i="5" s="1"/>
  <c r="U245" i="5"/>
  <c r="R245" i="5"/>
  <c r="N245" i="5"/>
  <c r="O245" i="5" s="1"/>
  <c r="L245" i="5"/>
  <c r="H245" i="5"/>
  <c r="I245" i="5" s="1"/>
  <c r="F245" i="5"/>
  <c r="C245" i="5"/>
  <c r="AD244" i="5"/>
  <c r="AC244" i="5"/>
  <c r="AA244" i="5"/>
  <c r="X244" i="5"/>
  <c r="W244" i="5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W243" i="5"/>
  <c r="X243" i="5" s="1"/>
  <c r="U243" i="5"/>
  <c r="R243" i="5"/>
  <c r="O243" i="5"/>
  <c r="N243" i="5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N242" i="5"/>
  <c r="O242" i="5" s="1"/>
  <c r="L242" i="5"/>
  <c r="I242" i="5"/>
  <c r="H242" i="5"/>
  <c r="F242" i="5"/>
  <c r="C242" i="5"/>
  <c r="AD241" i="5"/>
  <c r="AC241" i="5"/>
  <c r="AA241" i="5"/>
  <c r="W241" i="5"/>
  <c r="X241" i="5" s="1"/>
  <c r="U241" i="5"/>
  <c r="R241" i="5"/>
  <c r="N241" i="5"/>
  <c r="O241" i="5" s="1"/>
  <c r="L241" i="5"/>
  <c r="H241" i="5"/>
  <c r="I241" i="5" s="1"/>
  <c r="F241" i="5"/>
  <c r="C241" i="5"/>
  <c r="AC240" i="5"/>
  <c r="AA240" i="5"/>
  <c r="W240" i="5"/>
  <c r="X240" i="5" s="1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AA236" i="5"/>
  <c r="Z236" i="5"/>
  <c r="T236" i="5"/>
  <c r="U236" i="5" s="1"/>
  <c r="Q236" i="5"/>
  <c r="AC236" i="5" s="1"/>
  <c r="AD236" i="5" s="1"/>
  <c r="N236" i="5"/>
  <c r="O236" i="5" s="1"/>
  <c r="L236" i="5"/>
  <c r="K236" i="5"/>
  <c r="H236" i="5"/>
  <c r="I236" i="5" s="1"/>
  <c r="F236" i="5"/>
  <c r="E236" i="5"/>
  <c r="C236" i="5"/>
  <c r="B236" i="5"/>
  <c r="AD235" i="5"/>
  <c r="AC235" i="5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C234" i="5"/>
  <c r="AD234" i="5" s="1"/>
  <c r="AA234" i="5"/>
  <c r="W234" i="5"/>
  <c r="X234" i="5" s="1"/>
  <c r="U234" i="5"/>
  <c r="R234" i="5"/>
  <c r="N234" i="5"/>
  <c r="O234" i="5" s="1"/>
  <c r="L234" i="5"/>
  <c r="I234" i="5"/>
  <c r="H234" i="5"/>
  <c r="F234" i="5"/>
  <c r="C234" i="5"/>
  <c r="AD233" i="5"/>
  <c r="AC233" i="5"/>
  <c r="AA233" i="5"/>
  <c r="W233" i="5"/>
  <c r="X233" i="5" s="1"/>
  <c r="U233" i="5"/>
  <c r="R233" i="5"/>
  <c r="N233" i="5"/>
  <c r="O233" i="5" s="1"/>
  <c r="L233" i="5"/>
  <c r="I233" i="5"/>
  <c r="H233" i="5"/>
  <c r="F233" i="5"/>
  <c r="C233" i="5"/>
  <c r="AD232" i="5"/>
  <c r="AC232" i="5"/>
  <c r="AA232" i="5"/>
  <c r="W232" i="5"/>
  <c r="X232" i="5" s="1"/>
  <c r="U232" i="5"/>
  <c r="R232" i="5"/>
  <c r="N232" i="5"/>
  <c r="O232" i="5" s="1"/>
  <c r="L232" i="5"/>
  <c r="H232" i="5"/>
  <c r="I232" i="5" s="1"/>
  <c r="F232" i="5"/>
  <c r="C232" i="5"/>
  <c r="AD231" i="5"/>
  <c r="AC231" i="5"/>
  <c r="AA231" i="5"/>
  <c r="X231" i="5"/>
  <c r="W231" i="5"/>
  <c r="U231" i="5"/>
  <c r="R231" i="5"/>
  <c r="N231" i="5"/>
  <c r="O231" i="5" s="1"/>
  <c r="L231" i="5"/>
  <c r="H231" i="5"/>
  <c r="I231" i="5" s="1"/>
  <c r="F231" i="5"/>
  <c r="C231" i="5"/>
  <c r="AC230" i="5"/>
  <c r="AD230" i="5" s="1"/>
  <c r="AA230" i="5"/>
  <c r="W230" i="5"/>
  <c r="X230" i="5" s="1"/>
  <c r="U230" i="5"/>
  <c r="R230" i="5"/>
  <c r="N230" i="5"/>
  <c r="O230" i="5" s="1"/>
  <c r="L230" i="5"/>
  <c r="I230" i="5"/>
  <c r="H230" i="5"/>
  <c r="F230" i="5"/>
  <c r="C230" i="5"/>
  <c r="AD229" i="5"/>
  <c r="AC229" i="5"/>
  <c r="AA229" i="5"/>
  <c r="X229" i="5"/>
  <c r="W229" i="5"/>
  <c r="U229" i="5"/>
  <c r="R229" i="5"/>
  <c r="O229" i="5"/>
  <c r="N229" i="5"/>
  <c r="L229" i="5"/>
  <c r="H229" i="5"/>
  <c r="I229" i="5" s="1"/>
  <c r="F229" i="5"/>
  <c r="C229" i="5"/>
  <c r="AC227" i="5"/>
  <c r="AD227" i="5" s="1"/>
  <c r="AA227" i="5"/>
  <c r="Z227" i="5"/>
  <c r="U227" i="5"/>
  <c r="T227" i="5"/>
  <c r="Q227" i="5"/>
  <c r="R227" i="5" s="1"/>
  <c r="L227" i="5"/>
  <c r="K227" i="5"/>
  <c r="E227" i="5"/>
  <c r="F227" i="5" s="1"/>
  <c r="C227" i="5"/>
  <c r="B227" i="5"/>
  <c r="AC226" i="5"/>
  <c r="AD226" i="5" s="1"/>
  <c r="AA226" i="5"/>
  <c r="W226" i="5"/>
  <c r="X226" i="5" s="1"/>
  <c r="U226" i="5"/>
  <c r="R226" i="5"/>
  <c r="O226" i="5"/>
  <c r="N226" i="5"/>
  <c r="L226" i="5"/>
  <c r="I226" i="5"/>
  <c r="H226" i="5"/>
  <c r="F226" i="5"/>
  <c r="C226" i="5"/>
  <c r="AC225" i="5"/>
  <c r="AD225" i="5" s="1"/>
  <c r="AA225" i="5"/>
  <c r="W225" i="5"/>
  <c r="X225" i="5" s="1"/>
  <c r="U225" i="5"/>
  <c r="R225" i="5"/>
  <c r="N225" i="5"/>
  <c r="O225" i="5" s="1"/>
  <c r="L225" i="5"/>
  <c r="I225" i="5"/>
  <c r="H225" i="5"/>
  <c r="F225" i="5"/>
  <c r="C225" i="5"/>
  <c r="AD224" i="5"/>
  <c r="AC224" i="5"/>
  <c r="AA224" i="5"/>
  <c r="W224" i="5"/>
  <c r="X224" i="5" s="1"/>
  <c r="U224" i="5"/>
  <c r="R224" i="5"/>
  <c r="N224" i="5"/>
  <c r="O224" i="5" s="1"/>
  <c r="L224" i="5"/>
  <c r="H224" i="5"/>
  <c r="I224" i="5" s="1"/>
  <c r="F224" i="5"/>
  <c r="C224" i="5"/>
  <c r="AC223" i="5"/>
  <c r="AA223" i="5"/>
  <c r="W223" i="5"/>
  <c r="X223" i="5" s="1"/>
  <c r="U223" i="5"/>
  <c r="R223" i="5"/>
  <c r="O223" i="5"/>
  <c r="N223" i="5"/>
  <c r="L223" i="5"/>
  <c r="I223" i="5"/>
  <c r="H223" i="5"/>
  <c r="F223" i="5"/>
  <c r="C223" i="5"/>
  <c r="AC222" i="5"/>
  <c r="AD222" i="5" s="1"/>
  <c r="AA222" i="5"/>
  <c r="W222" i="5"/>
  <c r="X222" i="5" s="1"/>
  <c r="U222" i="5"/>
  <c r="R222" i="5"/>
  <c r="O222" i="5"/>
  <c r="N222" i="5"/>
  <c r="L222" i="5"/>
  <c r="I222" i="5"/>
  <c r="H222" i="5"/>
  <c r="F222" i="5"/>
  <c r="C222" i="5"/>
  <c r="AC221" i="5"/>
  <c r="AD221" i="5" s="1"/>
  <c r="AA221" i="5"/>
  <c r="W221" i="5"/>
  <c r="X221" i="5" s="1"/>
  <c r="U221" i="5"/>
  <c r="R221" i="5"/>
  <c r="O221" i="5"/>
  <c r="N221" i="5"/>
  <c r="L221" i="5"/>
  <c r="H221" i="5"/>
  <c r="I221" i="5" s="1"/>
  <c r="F221" i="5"/>
  <c r="C221" i="5"/>
  <c r="AD220" i="5"/>
  <c r="AC220" i="5"/>
  <c r="AA220" i="5"/>
  <c r="X220" i="5"/>
  <c r="W220" i="5"/>
  <c r="U220" i="5"/>
  <c r="R220" i="5"/>
  <c r="N220" i="5"/>
  <c r="O220" i="5" s="1"/>
  <c r="L220" i="5"/>
  <c r="I220" i="5"/>
  <c r="H220" i="5"/>
  <c r="F220" i="5"/>
  <c r="C220" i="5"/>
  <c r="AD219" i="5"/>
  <c r="AC219" i="5"/>
  <c r="AA219" i="5"/>
  <c r="W219" i="5"/>
  <c r="X219" i="5" s="1"/>
  <c r="U219" i="5"/>
  <c r="R219" i="5"/>
  <c r="N219" i="5"/>
  <c r="O219" i="5" s="1"/>
  <c r="L219" i="5"/>
  <c r="H219" i="5"/>
  <c r="I219" i="5" s="1"/>
  <c r="F219" i="5"/>
  <c r="C219" i="5"/>
  <c r="AC218" i="5"/>
  <c r="AD218" i="5" s="1"/>
  <c r="AA218" i="5"/>
  <c r="Z218" i="5"/>
  <c r="W218" i="5"/>
  <c r="X218" i="5" s="1"/>
  <c r="U218" i="5"/>
  <c r="T218" i="5"/>
  <c r="R218" i="5"/>
  <c r="Q218" i="5"/>
  <c r="L218" i="5"/>
  <c r="K218" i="5"/>
  <c r="E218" i="5"/>
  <c r="H218" i="5" s="1"/>
  <c r="I218" i="5" s="1"/>
  <c r="C218" i="5"/>
  <c r="B218" i="5"/>
  <c r="N218" i="5" s="1"/>
  <c r="O218" i="5" s="1"/>
  <c r="AD217" i="5"/>
  <c r="AC217" i="5"/>
  <c r="AA217" i="5"/>
  <c r="X217" i="5"/>
  <c r="W217" i="5"/>
  <c r="U217" i="5"/>
  <c r="R217" i="5"/>
  <c r="N217" i="5"/>
  <c r="O217" i="5" s="1"/>
  <c r="L217" i="5"/>
  <c r="H217" i="5"/>
  <c r="I217" i="5" s="1"/>
  <c r="F217" i="5"/>
  <c r="C217" i="5"/>
  <c r="AD216" i="5"/>
  <c r="AC216" i="5"/>
  <c r="AA216" i="5"/>
  <c r="X216" i="5"/>
  <c r="W216" i="5"/>
  <c r="U216" i="5"/>
  <c r="R216" i="5"/>
  <c r="O216" i="5"/>
  <c r="N216" i="5"/>
  <c r="L216" i="5"/>
  <c r="H216" i="5"/>
  <c r="I216" i="5" s="1"/>
  <c r="F216" i="5"/>
  <c r="C216" i="5"/>
  <c r="AC215" i="5"/>
  <c r="AD215" i="5" s="1"/>
  <c r="AA215" i="5"/>
  <c r="W215" i="5"/>
  <c r="X215" i="5" s="1"/>
  <c r="U215" i="5"/>
  <c r="R215" i="5"/>
  <c r="N215" i="5"/>
  <c r="O215" i="5" s="1"/>
  <c r="L215" i="5"/>
  <c r="I215" i="5"/>
  <c r="H215" i="5"/>
  <c r="F215" i="5"/>
  <c r="C215" i="5"/>
  <c r="AD214" i="5"/>
  <c r="AC214" i="5"/>
  <c r="AA214" i="5"/>
  <c r="W214" i="5"/>
  <c r="X214" i="5" s="1"/>
  <c r="U214" i="5"/>
  <c r="R214" i="5"/>
  <c r="O214" i="5"/>
  <c r="N214" i="5"/>
  <c r="L214" i="5"/>
  <c r="H214" i="5"/>
  <c r="I214" i="5" s="1"/>
  <c r="F214" i="5"/>
  <c r="C214" i="5"/>
  <c r="AD213" i="5"/>
  <c r="AC213" i="5"/>
  <c r="AA213" i="5"/>
  <c r="W213" i="5"/>
  <c r="X213" i="5" s="1"/>
  <c r="U213" i="5"/>
  <c r="R213" i="5"/>
  <c r="N213" i="5"/>
  <c r="O213" i="5" s="1"/>
  <c r="L213" i="5"/>
  <c r="I213" i="5"/>
  <c r="H213" i="5"/>
  <c r="F213" i="5"/>
  <c r="C213" i="5"/>
  <c r="AD211" i="5"/>
  <c r="AC211" i="5"/>
  <c r="AA211" i="5"/>
  <c r="W211" i="5"/>
  <c r="X211" i="5" s="1"/>
  <c r="U211" i="5"/>
  <c r="R211" i="5"/>
  <c r="O211" i="5"/>
  <c r="N211" i="5"/>
  <c r="L211" i="5"/>
  <c r="H211" i="5"/>
  <c r="I211" i="5" s="1"/>
  <c r="F211" i="5"/>
  <c r="C211" i="5"/>
  <c r="AA209" i="5"/>
  <c r="Z209" i="5"/>
  <c r="T209" i="5"/>
  <c r="U209" i="5" s="1"/>
  <c r="Q209" i="5"/>
  <c r="L209" i="5"/>
  <c r="K209" i="5"/>
  <c r="H209" i="5"/>
  <c r="I209" i="5" s="1"/>
  <c r="F209" i="5"/>
  <c r="E209" i="5"/>
  <c r="C209" i="5"/>
  <c r="B209" i="5"/>
  <c r="AD208" i="5"/>
  <c r="AC208" i="5"/>
  <c r="AA208" i="5"/>
  <c r="W208" i="5"/>
  <c r="X208" i="5" s="1"/>
  <c r="U208" i="5"/>
  <c r="R208" i="5"/>
  <c r="N208" i="5"/>
  <c r="O208" i="5" s="1"/>
  <c r="L208" i="5"/>
  <c r="H208" i="5"/>
  <c r="I208" i="5" s="1"/>
  <c r="F208" i="5"/>
  <c r="C208" i="5"/>
  <c r="AC207" i="5"/>
  <c r="AA207" i="5"/>
  <c r="W207" i="5"/>
  <c r="X207" i="5" s="1"/>
  <c r="U207" i="5"/>
  <c r="R207" i="5"/>
  <c r="O207" i="5"/>
  <c r="N207" i="5"/>
  <c r="L207" i="5"/>
  <c r="I207" i="5"/>
  <c r="H207" i="5"/>
  <c r="F207" i="5"/>
  <c r="C207" i="5"/>
  <c r="AD206" i="5"/>
  <c r="AC206" i="5"/>
  <c r="AA206" i="5"/>
  <c r="W206" i="5"/>
  <c r="X206" i="5" s="1"/>
  <c r="U206" i="5"/>
  <c r="R206" i="5"/>
  <c r="O206" i="5"/>
  <c r="N206" i="5"/>
  <c r="L206" i="5"/>
  <c r="I206" i="5"/>
  <c r="H206" i="5"/>
  <c r="F206" i="5"/>
  <c r="C206" i="5"/>
  <c r="AC205" i="5"/>
  <c r="AD205" i="5" s="1"/>
  <c r="AA205" i="5"/>
  <c r="X205" i="5"/>
  <c r="W205" i="5"/>
  <c r="U205" i="5"/>
  <c r="R205" i="5"/>
  <c r="O205" i="5"/>
  <c r="N205" i="5"/>
  <c r="L205" i="5"/>
  <c r="H205" i="5"/>
  <c r="I205" i="5" s="1"/>
  <c r="F205" i="5"/>
  <c r="C205" i="5"/>
  <c r="AC204" i="5"/>
  <c r="AD204" i="5" s="1"/>
  <c r="AA204" i="5"/>
  <c r="X204" i="5"/>
  <c r="W204" i="5"/>
  <c r="U204" i="5"/>
  <c r="R204" i="5"/>
  <c r="N204" i="5"/>
  <c r="O204" i="5" s="1"/>
  <c r="L204" i="5"/>
  <c r="I204" i="5"/>
  <c r="H204" i="5"/>
  <c r="F204" i="5"/>
  <c r="C204" i="5"/>
  <c r="AD203" i="5"/>
  <c r="AC203" i="5"/>
  <c r="AA203" i="5"/>
  <c r="W203" i="5"/>
  <c r="X203" i="5" s="1"/>
  <c r="U203" i="5"/>
  <c r="R203" i="5"/>
  <c r="N203" i="5"/>
  <c r="O203" i="5" s="1"/>
  <c r="L203" i="5"/>
  <c r="H203" i="5"/>
  <c r="I203" i="5" s="1"/>
  <c r="F203" i="5"/>
  <c r="C203" i="5"/>
  <c r="AC202" i="5"/>
  <c r="AD202" i="5" s="1"/>
  <c r="AA202" i="5"/>
  <c r="W202" i="5"/>
  <c r="X202" i="5" s="1"/>
  <c r="U202" i="5"/>
  <c r="R202" i="5"/>
  <c r="O202" i="5"/>
  <c r="N202" i="5"/>
  <c r="L202" i="5"/>
  <c r="I202" i="5"/>
  <c r="H202" i="5"/>
  <c r="F202" i="5"/>
  <c r="C202" i="5"/>
  <c r="AC201" i="5"/>
  <c r="AD201" i="5" s="1"/>
  <c r="AA201" i="5"/>
  <c r="W201" i="5"/>
  <c r="X201" i="5" s="1"/>
  <c r="U201" i="5"/>
  <c r="R201" i="5"/>
  <c r="N201" i="5"/>
  <c r="O201" i="5" s="1"/>
  <c r="L201" i="5"/>
  <c r="H201" i="5"/>
  <c r="I201" i="5" s="1"/>
  <c r="F201" i="5"/>
  <c r="C201" i="5"/>
  <c r="Q198" i="5"/>
  <c r="AA197" i="5"/>
  <c r="Z197" i="5"/>
  <c r="X197" i="5"/>
  <c r="W197" i="5"/>
  <c r="U197" i="5"/>
  <c r="T197" i="5"/>
  <c r="R197" i="5"/>
  <c r="Q197" i="5"/>
  <c r="AC197" i="5" s="1"/>
  <c r="AD197" i="5" s="1"/>
  <c r="L197" i="5"/>
  <c r="K197" i="5"/>
  <c r="H197" i="5"/>
  <c r="I197" i="5" s="1"/>
  <c r="E197" i="5"/>
  <c r="F197" i="5" s="1"/>
  <c r="C197" i="5"/>
  <c r="B197" i="5"/>
  <c r="AC196" i="5"/>
  <c r="AD196" i="5" s="1"/>
  <c r="AA196" i="5"/>
  <c r="Z196" i="5"/>
  <c r="W196" i="5"/>
  <c r="X196" i="5" s="1"/>
  <c r="U196" i="5"/>
  <c r="T196" i="5"/>
  <c r="Q196" i="5"/>
  <c r="R196" i="5" s="1"/>
  <c r="N196" i="5"/>
  <c r="O196" i="5" s="1"/>
  <c r="K196" i="5"/>
  <c r="L196" i="5" s="1"/>
  <c r="E196" i="5"/>
  <c r="F196" i="5" s="1"/>
  <c r="B196" i="5"/>
  <c r="AD195" i="5"/>
  <c r="AC195" i="5"/>
  <c r="AA195" i="5"/>
  <c r="W195" i="5"/>
  <c r="X195" i="5" s="1"/>
  <c r="U195" i="5"/>
  <c r="R195" i="5"/>
  <c r="N195" i="5"/>
  <c r="O195" i="5" s="1"/>
  <c r="L195" i="5"/>
  <c r="I195" i="5"/>
  <c r="H195" i="5"/>
  <c r="F195" i="5"/>
  <c r="C195" i="5"/>
  <c r="AD194" i="5"/>
  <c r="AC194" i="5"/>
  <c r="AA194" i="5"/>
  <c r="X194" i="5"/>
  <c r="W194" i="5"/>
  <c r="U194" i="5"/>
  <c r="R194" i="5"/>
  <c r="N194" i="5"/>
  <c r="O194" i="5" s="1"/>
  <c r="L194" i="5"/>
  <c r="H194" i="5"/>
  <c r="I194" i="5" s="1"/>
  <c r="F194" i="5"/>
  <c r="C194" i="5"/>
  <c r="AA193" i="5"/>
  <c r="Z193" i="5"/>
  <c r="X193" i="5"/>
  <c r="W193" i="5"/>
  <c r="U193" i="5"/>
  <c r="T193" i="5"/>
  <c r="R193" i="5"/>
  <c r="Q193" i="5"/>
  <c r="AC193" i="5" s="1"/>
  <c r="AD193" i="5" s="1"/>
  <c r="L193" i="5"/>
  <c r="K193" i="5"/>
  <c r="E193" i="5"/>
  <c r="F193" i="5" s="1"/>
  <c r="C193" i="5"/>
  <c r="B193" i="5"/>
  <c r="AD192" i="5"/>
  <c r="AC192" i="5"/>
  <c r="AA192" i="5"/>
  <c r="W192" i="5"/>
  <c r="U192" i="5"/>
  <c r="R192" i="5"/>
  <c r="O192" i="5"/>
  <c r="N192" i="5"/>
  <c r="L192" i="5"/>
  <c r="I192" i="5"/>
  <c r="H192" i="5"/>
  <c r="F192" i="5"/>
  <c r="C192" i="5"/>
  <c r="AD191" i="5"/>
  <c r="AC191" i="5"/>
  <c r="AA191" i="5"/>
  <c r="X191" i="5"/>
  <c r="W191" i="5"/>
  <c r="U191" i="5"/>
  <c r="R191" i="5"/>
  <c r="N191" i="5"/>
  <c r="O191" i="5" s="1"/>
  <c r="L191" i="5"/>
  <c r="H191" i="5"/>
  <c r="I191" i="5" s="1"/>
  <c r="F191" i="5"/>
  <c r="C191" i="5"/>
  <c r="AC190" i="5"/>
  <c r="AD190" i="5" s="1"/>
  <c r="AA190" i="5"/>
  <c r="W190" i="5"/>
  <c r="X190" i="5" s="1"/>
  <c r="U190" i="5"/>
  <c r="R190" i="5"/>
  <c r="N190" i="5"/>
  <c r="O190" i="5" s="1"/>
  <c r="L190" i="5"/>
  <c r="I190" i="5"/>
  <c r="H190" i="5"/>
  <c r="F190" i="5"/>
  <c r="C190" i="5"/>
  <c r="AD189" i="5"/>
  <c r="AC189" i="5"/>
  <c r="AA189" i="5"/>
  <c r="W189" i="5"/>
  <c r="X189" i="5" s="1"/>
  <c r="U189" i="5"/>
  <c r="R189" i="5"/>
  <c r="N189" i="5"/>
  <c r="O189" i="5" s="1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I188" i="5"/>
  <c r="H188" i="5"/>
  <c r="F188" i="5"/>
  <c r="C188" i="5"/>
  <c r="AC187" i="5"/>
  <c r="AD187" i="5" s="1"/>
  <c r="AA187" i="5"/>
  <c r="X187" i="5"/>
  <c r="W187" i="5"/>
  <c r="U187" i="5"/>
  <c r="R187" i="5"/>
  <c r="O187" i="5"/>
  <c r="N187" i="5"/>
  <c r="L187" i="5"/>
  <c r="H187" i="5"/>
  <c r="I187" i="5" s="1"/>
  <c r="F187" i="5"/>
  <c r="C187" i="5"/>
  <c r="AD186" i="5"/>
  <c r="AC186" i="5"/>
  <c r="AA186" i="5"/>
  <c r="W186" i="5"/>
  <c r="X186" i="5" s="1"/>
  <c r="U186" i="5"/>
  <c r="R186" i="5"/>
  <c r="N186" i="5"/>
  <c r="O186" i="5" s="1"/>
  <c r="L186" i="5"/>
  <c r="I186" i="5"/>
  <c r="H186" i="5"/>
  <c r="F186" i="5"/>
  <c r="C186" i="5"/>
  <c r="AD184" i="5"/>
  <c r="AC184" i="5"/>
  <c r="AA184" i="5"/>
  <c r="X184" i="5"/>
  <c r="W184" i="5"/>
  <c r="U184" i="5"/>
  <c r="R184" i="5"/>
  <c r="N184" i="5"/>
  <c r="O184" i="5" s="1"/>
  <c r="L184" i="5"/>
  <c r="I184" i="5"/>
  <c r="H184" i="5"/>
  <c r="F184" i="5"/>
  <c r="C184" i="5"/>
  <c r="AC183" i="5"/>
  <c r="AD183" i="5" s="1"/>
  <c r="AA183" i="5"/>
  <c r="W183" i="5"/>
  <c r="X183" i="5" s="1"/>
  <c r="U183" i="5"/>
  <c r="R183" i="5"/>
  <c r="O183" i="5"/>
  <c r="N183" i="5"/>
  <c r="L183" i="5"/>
  <c r="I183" i="5"/>
  <c r="H183" i="5"/>
  <c r="F183" i="5"/>
  <c r="C183" i="5"/>
  <c r="Z182" i="5"/>
  <c r="AA182" i="5" s="1"/>
  <c r="U182" i="5"/>
  <c r="T182" i="5"/>
  <c r="R182" i="5"/>
  <c r="Q182" i="5"/>
  <c r="O182" i="5"/>
  <c r="L182" i="5"/>
  <c r="K182" i="5"/>
  <c r="F182" i="5"/>
  <c r="E182" i="5"/>
  <c r="H182" i="5" s="1"/>
  <c r="I182" i="5" s="1"/>
  <c r="C182" i="5"/>
  <c r="B182" i="5"/>
  <c r="N182" i="5" s="1"/>
  <c r="AD181" i="5"/>
  <c r="AC181" i="5"/>
  <c r="AA181" i="5"/>
  <c r="W181" i="5"/>
  <c r="X181" i="5" s="1"/>
  <c r="U181" i="5"/>
  <c r="R181" i="5"/>
  <c r="N181" i="5"/>
  <c r="O181" i="5" s="1"/>
  <c r="L181" i="5"/>
  <c r="I181" i="5"/>
  <c r="H181" i="5"/>
  <c r="F181" i="5"/>
  <c r="C181" i="5"/>
  <c r="AD180" i="5"/>
  <c r="AC180" i="5"/>
  <c r="AA180" i="5"/>
  <c r="W180" i="5"/>
  <c r="X180" i="5" s="1"/>
  <c r="U180" i="5"/>
  <c r="R180" i="5"/>
  <c r="N180" i="5"/>
  <c r="O180" i="5" s="1"/>
  <c r="L180" i="5"/>
  <c r="I180" i="5"/>
  <c r="H180" i="5"/>
  <c r="F180" i="5"/>
  <c r="C180" i="5"/>
  <c r="AC179" i="5"/>
  <c r="AD179" i="5" s="1"/>
  <c r="AA179" i="5"/>
  <c r="X179" i="5"/>
  <c r="W179" i="5"/>
  <c r="U179" i="5"/>
  <c r="R179" i="5"/>
  <c r="O179" i="5"/>
  <c r="N179" i="5"/>
  <c r="L179" i="5"/>
  <c r="H179" i="5"/>
  <c r="I179" i="5" s="1"/>
  <c r="F179" i="5"/>
  <c r="C179" i="5"/>
  <c r="AC178" i="5"/>
  <c r="AD178" i="5" s="1"/>
  <c r="AA178" i="5"/>
  <c r="X178" i="5"/>
  <c r="W178" i="5"/>
  <c r="U178" i="5"/>
  <c r="R178" i="5"/>
  <c r="N178" i="5"/>
  <c r="O178" i="5" s="1"/>
  <c r="L178" i="5"/>
  <c r="I178" i="5"/>
  <c r="H178" i="5"/>
  <c r="F178" i="5"/>
  <c r="C178" i="5"/>
  <c r="AD177" i="5"/>
  <c r="AC177" i="5"/>
  <c r="AA177" i="5"/>
  <c r="W177" i="5"/>
  <c r="X177" i="5" s="1"/>
  <c r="U177" i="5"/>
  <c r="R177" i="5"/>
  <c r="O177" i="5"/>
  <c r="N177" i="5"/>
  <c r="L177" i="5"/>
  <c r="I177" i="5"/>
  <c r="H177" i="5"/>
  <c r="F177" i="5"/>
  <c r="C177" i="5"/>
  <c r="AD175" i="5"/>
  <c r="AC175" i="5"/>
  <c r="AA175" i="5"/>
  <c r="W175" i="5"/>
  <c r="U175" i="5"/>
  <c r="R175" i="5"/>
  <c r="O175" i="5"/>
  <c r="N175" i="5"/>
  <c r="L175" i="5"/>
  <c r="I175" i="5"/>
  <c r="H175" i="5"/>
  <c r="F175" i="5"/>
  <c r="C175" i="5"/>
  <c r="Z172" i="5"/>
  <c r="R172" i="5"/>
  <c r="Q172" i="5"/>
  <c r="E172" i="5"/>
  <c r="B172" i="5"/>
  <c r="H172" i="5" s="1"/>
  <c r="I172" i="5" s="1"/>
  <c r="AA171" i="5"/>
  <c r="Z171" i="5"/>
  <c r="T171" i="5"/>
  <c r="W171" i="5" s="1"/>
  <c r="X171" i="5" s="1"/>
  <c r="R171" i="5"/>
  <c r="Q171" i="5"/>
  <c r="AC171" i="5" s="1"/>
  <c r="AD171" i="5" s="1"/>
  <c r="N171" i="5"/>
  <c r="O171" i="5" s="1"/>
  <c r="L171" i="5"/>
  <c r="K171" i="5"/>
  <c r="H171" i="5"/>
  <c r="I171" i="5" s="1"/>
  <c r="F171" i="5"/>
  <c r="E171" i="5"/>
  <c r="B171" i="5"/>
  <c r="C171" i="5" s="1"/>
  <c r="Z170" i="5"/>
  <c r="AA170" i="5" s="1"/>
  <c r="T170" i="5"/>
  <c r="U170" i="5" s="1"/>
  <c r="Q170" i="5"/>
  <c r="L170" i="5"/>
  <c r="K170" i="5"/>
  <c r="I170" i="5"/>
  <c r="H170" i="5"/>
  <c r="F170" i="5"/>
  <c r="E170" i="5"/>
  <c r="B170" i="5"/>
  <c r="AD169" i="5"/>
  <c r="AC169" i="5"/>
  <c r="AA169" i="5"/>
  <c r="X169" i="5"/>
  <c r="W169" i="5"/>
  <c r="U169" i="5"/>
  <c r="R169" i="5"/>
  <c r="O169" i="5"/>
  <c r="N169" i="5"/>
  <c r="L169" i="5"/>
  <c r="H169" i="5"/>
  <c r="I169" i="5" s="1"/>
  <c r="F169" i="5"/>
  <c r="C169" i="5"/>
  <c r="AC168" i="5"/>
  <c r="AD168" i="5" s="1"/>
  <c r="AA168" i="5"/>
  <c r="W168" i="5"/>
  <c r="X168" i="5" s="1"/>
  <c r="U168" i="5"/>
  <c r="R168" i="5"/>
  <c r="N168" i="5"/>
  <c r="O168" i="5" s="1"/>
  <c r="L168" i="5"/>
  <c r="I168" i="5"/>
  <c r="H168" i="5"/>
  <c r="F168" i="5"/>
  <c r="C168" i="5"/>
  <c r="AC167" i="5"/>
  <c r="AD167" i="5" s="1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AA166" i="5"/>
  <c r="Z166" i="5"/>
  <c r="U166" i="5"/>
  <c r="T166" i="5"/>
  <c r="Q166" i="5"/>
  <c r="N166" i="5"/>
  <c r="O166" i="5" s="1"/>
  <c r="L166" i="5"/>
  <c r="K166" i="5"/>
  <c r="I166" i="5"/>
  <c r="F166" i="5"/>
  <c r="E166" i="5"/>
  <c r="C166" i="5"/>
  <c r="B166" i="5"/>
  <c r="H166" i="5" s="1"/>
  <c r="AD165" i="5"/>
  <c r="AC165" i="5"/>
  <c r="AA165" i="5"/>
  <c r="W165" i="5"/>
  <c r="X165" i="5" s="1"/>
  <c r="U165" i="5"/>
  <c r="R165" i="5"/>
  <c r="O165" i="5"/>
  <c r="N165" i="5"/>
  <c r="L165" i="5"/>
  <c r="I165" i="5"/>
  <c r="H165" i="5"/>
  <c r="F165" i="5"/>
  <c r="C165" i="5"/>
  <c r="AC164" i="5"/>
  <c r="AD164" i="5" s="1"/>
  <c r="AA164" i="5"/>
  <c r="X164" i="5"/>
  <c r="W164" i="5"/>
  <c r="U164" i="5"/>
  <c r="R164" i="5"/>
  <c r="O164" i="5"/>
  <c r="N164" i="5"/>
  <c r="L164" i="5"/>
  <c r="H164" i="5"/>
  <c r="I164" i="5" s="1"/>
  <c r="F164" i="5"/>
  <c r="C164" i="5"/>
  <c r="AC163" i="5"/>
  <c r="AD163" i="5" s="1"/>
  <c r="AA163" i="5"/>
  <c r="X163" i="5"/>
  <c r="W163" i="5"/>
  <c r="U163" i="5"/>
  <c r="R163" i="5"/>
  <c r="N163" i="5"/>
  <c r="O163" i="5" s="1"/>
  <c r="L163" i="5"/>
  <c r="I163" i="5"/>
  <c r="H163" i="5"/>
  <c r="F163" i="5"/>
  <c r="C163" i="5"/>
  <c r="AD162" i="5"/>
  <c r="AC162" i="5"/>
  <c r="AA162" i="5"/>
  <c r="W162" i="5"/>
  <c r="X162" i="5" s="1"/>
  <c r="U162" i="5"/>
  <c r="R162" i="5"/>
  <c r="N162" i="5"/>
  <c r="O162" i="5" s="1"/>
  <c r="L162" i="5"/>
  <c r="H162" i="5"/>
  <c r="I162" i="5" s="1"/>
  <c r="F162" i="5"/>
  <c r="C162" i="5"/>
  <c r="AC161" i="5"/>
  <c r="AD161" i="5" s="1"/>
  <c r="AA161" i="5"/>
  <c r="W161" i="5"/>
  <c r="X161" i="5" s="1"/>
  <c r="U161" i="5"/>
  <c r="R161" i="5"/>
  <c r="O161" i="5"/>
  <c r="N161" i="5"/>
  <c r="L161" i="5"/>
  <c r="I161" i="5"/>
  <c r="H161" i="5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AA158" i="5"/>
  <c r="Z158" i="5"/>
  <c r="X158" i="5"/>
  <c r="W158" i="5"/>
  <c r="U158" i="5"/>
  <c r="T158" i="5"/>
  <c r="R158" i="5"/>
  <c r="Q158" i="5"/>
  <c r="O158" i="5"/>
  <c r="N158" i="5"/>
  <c r="L158" i="5"/>
  <c r="K158" i="5"/>
  <c r="E158" i="5"/>
  <c r="F158" i="5" s="1"/>
  <c r="B158" i="5"/>
  <c r="AC157" i="5"/>
  <c r="AD157" i="5" s="1"/>
  <c r="AA157" i="5"/>
  <c r="W157" i="5"/>
  <c r="X157" i="5" s="1"/>
  <c r="U157" i="5"/>
  <c r="R157" i="5"/>
  <c r="N157" i="5"/>
  <c r="O157" i="5" s="1"/>
  <c r="L157" i="5"/>
  <c r="I157" i="5"/>
  <c r="H157" i="5"/>
  <c r="F157" i="5"/>
  <c r="C157" i="5"/>
  <c r="AD156" i="5"/>
  <c r="AC156" i="5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C155" i="5"/>
  <c r="AD155" i="5" s="1"/>
  <c r="AA155" i="5"/>
  <c r="W155" i="5"/>
  <c r="X155" i="5" s="1"/>
  <c r="U155" i="5"/>
  <c r="R155" i="5"/>
  <c r="N155" i="5"/>
  <c r="O155" i="5" s="1"/>
  <c r="L155" i="5"/>
  <c r="H155" i="5"/>
  <c r="I155" i="5" s="1"/>
  <c r="F155" i="5"/>
  <c r="C155" i="5"/>
  <c r="AD154" i="5"/>
  <c r="AC154" i="5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C153" i="5"/>
  <c r="AD153" i="5" s="1"/>
  <c r="AA153" i="5"/>
  <c r="W153" i="5"/>
  <c r="X153" i="5" s="1"/>
  <c r="U153" i="5"/>
  <c r="R153" i="5"/>
  <c r="O153" i="5"/>
  <c r="N153" i="5"/>
  <c r="L153" i="5"/>
  <c r="I153" i="5"/>
  <c r="H153" i="5"/>
  <c r="F153" i="5"/>
  <c r="C153" i="5"/>
  <c r="AD151" i="5"/>
  <c r="AC151" i="5"/>
  <c r="AA151" i="5"/>
  <c r="W151" i="5"/>
  <c r="X151" i="5" s="1"/>
  <c r="U151" i="5"/>
  <c r="R151" i="5"/>
  <c r="O151" i="5"/>
  <c r="N151" i="5"/>
  <c r="L151" i="5"/>
  <c r="I151" i="5"/>
  <c r="H151" i="5"/>
  <c r="F151" i="5"/>
  <c r="C151" i="5"/>
  <c r="AC149" i="5"/>
  <c r="AD149" i="5" s="1"/>
  <c r="Z149" i="5"/>
  <c r="AA149" i="5" s="1"/>
  <c r="X149" i="5"/>
  <c r="U149" i="5"/>
  <c r="T149" i="5"/>
  <c r="R149" i="5"/>
  <c r="Q149" i="5"/>
  <c r="W149" i="5" s="1"/>
  <c r="L149" i="5"/>
  <c r="K149" i="5"/>
  <c r="F149" i="5"/>
  <c r="E149" i="5"/>
  <c r="B149" i="5"/>
  <c r="AC148" i="5"/>
  <c r="AD148" i="5" s="1"/>
  <c r="AA148" i="5"/>
  <c r="Z148" i="5"/>
  <c r="T148" i="5"/>
  <c r="U148" i="5" s="1"/>
  <c r="Q148" i="5"/>
  <c r="R148" i="5" s="1"/>
  <c r="K148" i="5"/>
  <c r="L148" i="5" s="1"/>
  <c r="H148" i="5"/>
  <c r="I148" i="5" s="1"/>
  <c r="E148" i="5"/>
  <c r="F148" i="5" s="1"/>
  <c r="C148" i="5"/>
  <c r="B148" i="5"/>
  <c r="AD147" i="5"/>
  <c r="AC147" i="5"/>
  <c r="AA147" i="5"/>
  <c r="X147" i="5"/>
  <c r="W147" i="5"/>
  <c r="U147" i="5"/>
  <c r="R147" i="5"/>
  <c r="N147" i="5"/>
  <c r="O147" i="5" s="1"/>
  <c r="L147" i="5"/>
  <c r="H147" i="5"/>
  <c r="I147" i="5" s="1"/>
  <c r="F147" i="5"/>
  <c r="C147" i="5"/>
  <c r="AD146" i="5"/>
  <c r="AC146" i="5"/>
  <c r="AA146" i="5"/>
  <c r="X146" i="5"/>
  <c r="W146" i="5"/>
  <c r="U146" i="5"/>
  <c r="R146" i="5"/>
  <c r="N146" i="5"/>
  <c r="O146" i="5" s="1"/>
  <c r="L146" i="5"/>
  <c r="H146" i="5"/>
  <c r="I146" i="5" s="1"/>
  <c r="F146" i="5"/>
  <c r="C146" i="5"/>
  <c r="AC145" i="5"/>
  <c r="AD145" i="5" s="1"/>
  <c r="AA145" i="5"/>
  <c r="W145" i="5"/>
  <c r="X145" i="5" s="1"/>
  <c r="U145" i="5"/>
  <c r="R145" i="5"/>
  <c r="O145" i="5"/>
  <c r="N145" i="5"/>
  <c r="L145" i="5"/>
  <c r="I145" i="5"/>
  <c r="H145" i="5"/>
  <c r="F145" i="5"/>
  <c r="C145" i="5"/>
  <c r="AC144" i="5"/>
  <c r="AD144" i="5" s="1"/>
  <c r="AA144" i="5"/>
  <c r="W144" i="5"/>
  <c r="X144" i="5" s="1"/>
  <c r="U144" i="5"/>
  <c r="R144" i="5"/>
  <c r="N144" i="5"/>
  <c r="O144" i="5" s="1"/>
  <c r="L144" i="5"/>
  <c r="I144" i="5"/>
  <c r="H144" i="5"/>
  <c r="F144" i="5"/>
  <c r="C144" i="5"/>
  <c r="AD143" i="5"/>
  <c r="AC143" i="5"/>
  <c r="AA143" i="5"/>
  <c r="W143" i="5"/>
  <c r="X143" i="5" s="1"/>
  <c r="U143" i="5"/>
  <c r="R143" i="5"/>
  <c r="O143" i="5"/>
  <c r="N143" i="5"/>
  <c r="L143" i="5"/>
  <c r="H143" i="5"/>
  <c r="I143" i="5" s="1"/>
  <c r="F143" i="5"/>
  <c r="C143" i="5"/>
  <c r="AA141" i="5"/>
  <c r="Z141" i="5"/>
  <c r="T141" i="5"/>
  <c r="U141" i="5" s="1"/>
  <c r="R141" i="5"/>
  <c r="Q141" i="5"/>
  <c r="AC141" i="5" s="1"/>
  <c r="AD141" i="5" s="1"/>
  <c r="L141" i="5"/>
  <c r="K141" i="5"/>
  <c r="E141" i="5"/>
  <c r="F141" i="5" s="1"/>
  <c r="C141" i="5"/>
  <c r="B141" i="5"/>
  <c r="N141" i="5" s="1"/>
  <c r="O141" i="5" s="1"/>
  <c r="AD140" i="5"/>
  <c r="AC140" i="5"/>
  <c r="AA140" i="5"/>
  <c r="X140" i="5"/>
  <c r="W140" i="5"/>
  <c r="U140" i="5"/>
  <c r="R140" i="5"/>
  <c r="N140" i="5"/>
  <c r="O140" i="5" s="1"/>
  <c r="L140" i="5"/>
  <c r="H140" i="5"/>
  <c r="I140" i="5" s="1"/>
  <c r="F140" i="5"/>
  <c r="C140" i="5"/>
  <c r="AD139" i="5"/>
  <c r="AC139" i="5"/>
  <c r="AA139" i="5"/>
  <c r="X139" i="5"/>
  <c r="W139" i="5"/>
  <c r="U139" i="5"/>
  <c r="R139" i="5"/>
  <c r="O139" i="5"/>
  <c r="N139" i="5"/>
  <c r="L139" i="5"/>
  <c r="H139" i="5"/>
  <c r="I139" i="5" s="1"/>
  <c r="F139" i="5"/>
  <c r="C139" i="5"/>
  <c r="AC138" i="5"/>
  <c r="AD138" i="5" s="1"/>
  <c r="AA138" i="5"/>
  <c r="W138" i="5"/>
  <c r="X138" i="5" s="1"/>
  <c r="U138" i="5"/>
  <c r="R138" i="5"/>
  <c r="N138" i="5"/>
  <c r="O138" i="5" s="1"/>
  <c r="L138" i="5"/>
  <c r="I138" i="5"/>
  <c r="H138" i="5"/>
  <c r="F138" i="5"/>
  <c r="C138" i="5"/>
  <c r="AD137" i="5"/>
  <c r="AC137" i="5"/>
  <c r="AA137" i="5"/>
  <c r="W137" i="5"/>
  <c r="X137" i="5" s="1"/>
  <c r="U137" i="5"/>
  <c r="R137" i="5"/>
  <c r="N137" i="5"/>
  <c r="O137" i="5" s="1"/>
  <c r="L137" i="5"/>
  <c r="I137" i="5"/>
  <c r="H137" i="5"/>
  <c r="F137" i="5"/>
  <c r="C137" i="5"/>
  <c r="AC136" i="5"/>
  <c r="AD136" i="5" s="1"/>
  <c r="AA136" i="5"/>
  <c r="W136" i="5"/>
  <c r="X136" i="5" s="1"/>
  <c r="U136" i="5"/>
  <c r="R136" i="5"/>
  <c r="N136" i="5"/>
  <c r="O136" i="5" s="1"/>
  <c r="L136" i="5"/>
  <c r="H136" i="5"/>
  <c r="I136" i="5" s="1"/>
  <c r="F136" i="5"/>
  <c r="C136" i="5"/>
  <c r="AD135" i="5"/>
  <c r="AC135" i="5"/>
  <c r="AA135" i="5"/>
  <c r="X135" i="5"/>
  <c r="W135" i="5"/>
  <c r="U135" i="5"/>
  <c r="R135" i="5"/>
  <c r="N135" i="5"/>
  <c r="O135" i="5" s="1"/>
  <c r="L135" i="5"/>
  <c r="H135" i="5"/>
  <c r="I135" i="5" s="1"/>
  <c r="F135" i="5"/>
  <c r="C135" i="5"/>
  <c r="AC134" i="5"/>
  <c r="AD134" i="5" s="1"/>
  <c r="AA134" i="5"/>
  <c r="W134" i="5"/>
  <c r="X134" i="5" s="1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W133" i="5"/>
  <c r="X133" i="5" s="1"/>
  <c r="U133" i="5"/>
  <c r="R133" i="5"/>
  <c r="N133" i="5"/>
  <c r="O133" i="5" s="1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D131" i="5"/>
  <c r="AC131" i="5"/>
  <c r="AA131" i="5"/>
  <c r="X131" i="5"/>
  <c r="W131" i="5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W130" i="5"/>
  <c r="X130" i="5" s="1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W129" i="5"/>
  <c r="X129" i="5" s="1"/>
  <c r="U129" i="5"/>
  <c r="R129" i="5"/>
  <c r="O129" i="5"/>
  <c r="N129" i="5"/>
  <c r="L129" i="5"/>
  <c r="H129" i="5"/>
  <c r="I129" i="5" s="1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AA124" i="5"/>
  <c r="Z124" i="5"/>
  <c r="W124" i="5"/>
  <c r="X124" i="5" s="1"/>
  <c r="U124" i="5"/>
  <c r="T124" i="5"/>
  <c r="R124" i="5"/>
  <c r="Q124" i="5"/>
  <c r="AC124" i="5" s="1"/>
  <c r="AD124" i="5" s="1"/>
  <c r="K124" i="5"/>
  <c r="K172" i="5" s="1"/>
  <c r="F124" i="5"/>
  <c r="E124" i="5"/>
  <c r="C124" i="5"/>
  <c r="B124" i="5"/>
  <c r="H124" i="5" s="1"/>
  <c r="I124" i="5" s="1"/>
  <c r="AC123" i="5"/>
  <c r="AD123" i="5" s="1"/>
  <c r="AA123" i="5"/>
  <c r="W123" i="5"/>
  <c r="X123" i="5" s="1"/>
  <c r="U123" i="5"/>
  <c r="R123" i="5"/>
  <c r="N123" i="5"/>
  <c r="O123" i="5" s="1"/>
  <c r="L123" i="5"/>
  <c r="I123" i="5"/>
  <c r="H123" i="5"/>
  <c r="F123" i="5"/>
  <c r="C123" i="5"/>
  <c r="Z122" i="5"/>
  <c r="AA122" i="5" s="1"/>
  <c r="U122" i="5"/>
  <c r="T122" i="5"/>
  <c r="R122" i="5"/>
  <c r="Q122" i="5"/>
  <c r="W122" i="5" s="1"/>
  <c r="X122" i="5" s="1"/>
  <c r="L122" i="5"/>
  <c r="K122" i="5"/>
  <c r="E122" i="5"/>
  <c r="F122" i="5" s="1"/>
  <c r="B122" i="5"/>
  <c r="N122" i="5" s="1"/>
  <c r="O122" i="5" s="1"/>
  <c r="AD121" i="5"/>
  <c r="AC121" i="5"/>
  <c r="AA121" i="5"/>
  <c r="W121" i="5"/>
  <c r="X121" i="5" s="1"/>
  <c r="U121" i="5"/>
  <c r="R121" i="5"/>
  <c r="N121" i="5"/>
  <c r="O121" i="5" s="1"/>
  <c r="L121" i="5"/>
  <c r="I121" i="5"/>
  <c r="H121" i="5"/>
  <c r="F121" i="5"/>
  <c r="C121" i="5"/>
  <c r="AD120" i="5"/>
  <c r="AC120" i="5"/>
  <c r="AA120" i="5"/>
  <c r="X120" i="5"/>
  <c r="W120" i="5"/>
  <c r="U120" i="5"/>
  <c r="R120" i="5"/>
  <c r="O120" i="5"/>
  <c r="N120" i="5"/>
  <c r="L120" i="5"/>
  <c r="H120" i="5"/>
  <c r="I120" i="5" s="1"/>
  <c r="F120" i="5"/>
  <c r="C120" i="5"/>
  <c r="AC119" i="5"/>
  <c r="AD119" i="5" s="1"/>
  <c r="AA119" i="5"/>
  <c r="W119" i="5"/>
  <c r="X119" i="5" s="1"/>
  <c r="U119" i="5"/>
  <c r="R119" i="5"/>
  <c r="N119" i="5"/>
  <c r="O119" i="5" s="1"/>
  <c r="L119" i="5"/>
  <c r="H119" i="5"/>
  <c r="I119" i="5" s="1"/>
  <c r="F119" i="5"/>
  <c r="C119" i="5"/>
  <c r="AA118" i="5"/>
  <c r="Z118" i="5"/>
  <c r="X118" i="5"/>
  <c r="W118" i="5"/>
  <c r="U118" i="5"/>
  <c r="T118" i="5"/>
  <c r="R118" i="5"/>
  <c r="Q118" i="5"/>
  <c r="AC118" i="5" s="1"/>
  <c r="AD118" i="5" s="1"/>
  <c r="L118" i="5"/>
  <c r="K118" i="5"/>
  <c r="I118" i="5"/>
  <c r="H118" i="5"/>
  <c r="F118" i="5"/>
  <c r="E118" i="5"/>
  <c r="C118" i="5"/>
  <c r="B118" i="5"/>
  <c r="N118" i="5" s="1"/>
  <c r="O118" i="5" s="1"/>
  <c r="AD117" i="5"/>
  <c r="AC117" i="5"/>
  <c r="AA117" i="5"/>
  <c r="W117" i="5"/>
  <c r="X117" i="5" s="1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D115" i="5"/>
  <c r="AC115" i="5"/>
  <c r="AA115" i="5"/>
  <c r="X115" i="5"/>
  <c r="W115" i="5"/>
  <c r="U115" i="5"/>
  <c r="R115" i="5"/>
  <c r="O115" i="5"/>
  <c r="N115" i="5"/>
  <c r="L115" i="5"/>
  <c r="I115" i="5"/>
  <c r="H115" i="5"/>
  <c r="F115" i="5"/>
  <c r="C115" i="5"/>
  <c r="AC114" i="5"/>
  <c r="AD114" i="5" s="1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D113" i="5"/>
  <c r="AC113" i="5"/>
  <c r="AA113" i="5"/>
  <c r="W113" i="5"/>
  <c r="X113" i="5" s="1"/>
  <c r="U113" i="5"/>
  <c r="R113" i="5"/>
  <c r="O113" i="5"/>
  <c r="N113" i="5"/>
  <c r="L113" i="5"/>
  <c r="I113" i="5"/>
  <c r="H113" i="5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W111" i="5"/>
  <c r="X111" i="5" s="1"/>
  <c r="U111" i="5"/>
  <c r="R111" i="5"/>
  <c r="N111" i="5"/>
  <c r="O111" i="5" s="1"/>
  <c r="L111" i="5"/>
  <c r="H111" i="5"/>
  <c r="I111" i="5" s="1"/>
  <c r="F111" i="5"/>
  <c r="C111" i="5"/>
  <c r="AC110" i="5"/>
  <c r="AD110" i="5" s="1"/>
  <c r="AA110" i="5"/>
  <c r="W110" i="5"/>
  <c r="X110" i="5" s="1"/>
  <c r="U110" i="5"/>
  <c r="R110" i="5"/>
  <c r="O110" i="5"/>
  <c r="N110" i="5"/>
  <c r="L110" i="5"/>
  <c r="I110" i="5"/>
  <c r="H110" i="5"/>
  <c r="F110" i="5"/>
  <c r="C110" i="5"/>
  <c r="AC109" i="5"/>
  <c r="AD109" i="5" s="1"/>
  <c r="AA109" i="5"/>
  <c r="W109" i="5"/>
  <c r="X109" i="5" s="1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X108" i="5"/>
  <c r="W108" i="5"/>
  <c r="U108" i="5"/>
  <c r="R108" i="5"/>
  <c r="N108" i="5"/>
  <c r="O108" i="5" s="1"/>
  <c r="L108" i="5"/>
  <c r="H108" i="5"/>
  <c r="I108" i="5" s="1"/>
  <c r="F108" i="5"/>
  <c r="C108" i="5"/>
  <c r="AD107" i="5"/>
  <c r="AC107" i="5"/>
  <c r="AA107" i="5"/>
  <c r="X107" i="5"/>
  <c r="W107" i="5"/>
  <c r="U107" i="5"/>
  <c r="R107" i="5"/>
  <c r="O107" i="5"/>
  <c r="N107" i="5"/>
  <c r="L107" i="5"/>
  <c r="H107" i="5"/>
  <c r="I107" i="5" s="1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D105" i="5"/>
  <c r="AC105" i="5"/>
  <c r="AA105" i="5"/>
  <c r="X105" i="5"/>
  <c r="W105" i="5"/>
  <c r="U105" i="5"/>
  <c r="R105" i="5"/>
  <c r="N105" i="5"/>
  <c r="O105" i="5" s="1"/>
  <c r="L105" i="5"/>
  <c r="H105" i="5"/>
  <c r="I105" i="5" s="1"/>
  <c r="F105" i="5"/>
  <c r="C105" i="5"/>
  <c r="AC104" i="5"/>
  <c r="AD104" i="5" s="1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X103" i="5"/>
  <c r="W103" i="5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W101" i="5"/>
  <c r="X101" i="5" s="1"/>
  <c r="U101" i="5"/>
  <c r="R101" i="5"/>
  <c r="N101" i="5"/>
  <c r="O101" i="5" s="1"/>
  <c r="L101" i="5"/>
  <c r="I101" i="5"/>
  <c r="H101" i="5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H100" i="5"/>
  <c r="I100" i="5" s="1"/>
  <c r="F100" i="5"/>
  <c r="C100" i="5"/>
  <c r="AD99" i="5"/>
  <c r="AC99" i="5"/>
  <c r="AA99" i="5"/>
  <c r="X99" i="5"/>
  <c r="W99" i="5"/>
  <c r="U99" i="5"/>
  <c r="R99" i="5"/>
  <c r="O99" i="5"/>
  <c r="N99" i="5"/>
  <c r="L99" i="5"/>
  <c r="I99" i="5"/>
  <c r="H99" i="5"/>
  <c r="F99" i="5"/>
  <c r="C99" i="5"/>
  <c r="AD98" i="5"/>
  <c r="AC98" i="5"/>
  <c r="AA98" i="5"/>
  <c r="W98" i="5"/>
  <c r="X98" i="5" s="1"/>
  <c r="U98" i="5"/>
  <c r="R98" i="5"/>
  <c r="N98" i="5"/>
  <c r="O98" i="5" s="1"/>
  <c r="L98" i="5"/>
  <c r="I98" i="5"/>
  <c r="H98" i="5"/>
  <c r="F98" i="5"/>
  <c r="C98" i="5"/>
  <c r="AD97" i="5"/>
  <c r="AC97" i="5"/>
  <c r="AA97" i="5"/>
  <c r="W97" i="5"/>
  <c r="X97" i="5" s="1"/>
  <c r="U97" i="5"/>
  <c r="R97" i="5"/>
  <c r="O97" i="5"/>
  <c r="N97" i="5"/>
  <c r="L97" i="5"/>
  <c r="H97" i="5"/>
  <c r="I97" i="5" s="1"/>
  <c r="F97" i="5"/>
  <c r="C97" i="5"/>
  <c r="AD96" i="5"/>
  <c r="AC96" i="5"/>
  <c r="AA96" i="5"/>
  <c r="W96" i="5"/>
  <c r="X96" i="5" s="1"/>
  <c r="U96" i="5"/>
  <c r="R96" i="5"/>
  <c r="N96" i="5"/>
  <c r="O96" i="5" s="1"/>
  <c r="L96" i="5"/>
  <c r="I96" i="5"/>
  <c r="H96" i="5"/>
  <c r="F96" i="5"/>
  <c r="C96" i="5"/>
  <c r="AD95" i="5"/>
  <c r="AC95" i="5"/>
  <c r="AA95" i="5"/>
  <c r="W95" i="5"/>
  <c r="X95" i="5" s="1"/>
  <c r="U95" i="5"/>
  <c r="R95" i="5"/>
  <c r="N95" i="5"/>
  <c r="O95" i="5" s="1"/>
  <c r="L95" i="5"/>
  <c r="H95" i="5"/>
  <c r="I95" i="5" s="1"/>
  <c r="F95" i="5"/>
  <c r="C95" i="5"/>
  <c r="AC94" i="5"/>
  <c r="AD94" i="5" s="1"/>
  <c r="AA94" i="5"/>
  <c r="W94" i="5"/>
  <c r="X94" i="5" s="1"/>
  <c r="U94" i="5"/>
  <c r="R94" i="5"/>
  <c r="O94" i="5"/>
  <c r="N94" i="5"/>
  <c r="L94" i="5"/>
  <c r="I94" i="5"/>
  <c r="H94" i="5"/>
  <c r="F94" i="5"/>
  <c r="C94" i="5"/>
  <c r="AC92" i="5"/>
  <c r="AD92" i="5" s="1"/>
  <c r="AA92" i="5"/>
  <c r="W92" i="5"/>
  <c r="X92" i="5" s="1"/>
  <c r="U92" i="5"/>
  <c r="R92" i="5"/>
  <c r="N92" i="5"/>
  <c r="O92" i="5" s="1"/>
  <c r="L92" i="5"/>
  <c r="I92" i="5"/>
  <c r="H92" i="5"/>
  <c r="F92" i="5"/>
  <c r="C92" i="5"/>
  <c r="AD91" i="5"/>
  <c r="AC91" i="5"/>
  <c r="AA91" i="5"/>
  <c r="X91" i="5"/>
  <c r="W91" i="5"/>
  <c r="U91" i="5"/>
  <c r="R91" i="5"/>
  <c r="N91" i="5"/>
  <c r="O91" i="5" s="1"/>
  <c r="L91" i="5"/>
  <c r="H91" i="5"/>
  <c r="I91" i="5" s="1"/>
  <c r="F91" i="5"/>
  <c r="C91" i="5"/>
  <c r="AD90" i="5"/>
  <c r="AC90" i="5"/>
  <c r="AA90" i="5"/>
  <c r="X90" i="5"/>
  <c r="W90" i="5"/>
  <c r="U90" i="5"/>
  <c r="R90" i="5"/>
  <c r="O90" i="5"/>
  <c r="N90" i="5"/>
  <c r="L90" i="5"/>
  <c r="H90" i="5"/>
  <c r="I90" i="5" s="1"/>
  <c r="F90" i="5"/>
  <c r="C90" i="5"/>
  <c r="AD89" i="5"/>
  <c r="AC89" i="5"/>
  <c r="AA89" i="5"/>
  <c r="W89" i="5"/>
  <c r="X89" i="5" s="1"/>
  <c r="U89" i="5"/>
  <c r="R89" i="5"/>
  <c r="N89" i="5"/>
  <c r="O89" i="5" s="1"/>
  <c r="L89" i="5"/>
  <c r="I89" i="5"/>
  <c r="H89" i="5"/>
  <c r="F89" i="5"/>
  <c r="C89" i="5"/>
  <c r="AA88" i="5"/>
  <c r="Z88" i="5"/>
  <c r="T88" i="5"/>
  <c r="U88" i="5" s="1"/>
  <c r="Q88" i="5"/>
  <c r="N88" i="5"/>
  <c r="O88" i="5" s="1"/>
  <c r="L88" i="5"/>
  <c r="K88" i="5"/>
  <c r="E88" i="5"/>
  <c r="B88" i="5"/>
  <c r="C88" i="5" s="1"/>
  <c r="AD87" i="5"/>
  <c r="AC87" i="5"/>
  <c r="AA87" i="5"/>
  <c r="W87" i="5"/>
  <c r="X87" i="5" s="1"/>
  <c r="U87" i="5"/>
  <c r="R87" i="5"/>
  <c r="N87" i="5"/>
  <c r="O87" i="5" s="1"/>
  <c r="L87" i="5"/>
  <c r="H87" i="5"/>
  <c r="I87" i="5" s="1"/>
  <c r="F87" i="5"/>
  <c r="C87" i="5"/>
  <c r="AC86" i="5"/>
  <c r="AD86" i="5" s="1"/>
  <c r="AA86" i="5"/>
  <c r="W86" i="5"/>
  <c r="X86" i="5" s="1"/>
  <c r="U86" i="5"/>
  <c r="R86" i="5"/>
  <c r="O86" i="5"/>
  <c r="N86" i="5"/>
  <c r="L86" i="5"/>
  <c r="I86" i="5"/>
  <c r="H86" i="5"/>
  <c r="F86" i="5"/>
  <c r="C86" i="5"/>
  <c r="AC85" i="5"/>
  <c r="AD85" i="5" s="1"/>
  <c r="AA85" i="5"/>
  <c r="W85" i="5"/>
  <c r="X85" i="5" s="1"/>
  <c r="U85" i="5"/>
  <c r="R85" i="5"/>
  <c r="N85" i="5"/>
  <c r="O85" i="5" s="1"/>
  <c r="L85" i="5"/>
  <c r="I85" i="5"/>
  <c r="H85" i="5"/>
  <c r="F85" i="5"/>
  <c r="C85" i="5"/>
  <c r="AD84" i="5"/>
  <c r="AC84" i="5"/>
  <c r="AA84" i="5"/>
  <c r="W84" i="5"/>
  <c r="X84" i="5" s="1"/>
  <c r="U84" i="5"/>
  <c r="R84" i="5"/>
  <c r="N84" i="5"/>
  <c r="O84" i="5" s="1"/>
  <c r="L84" i="5"/>
  <c r="H84" i="5"/>
  <c r="I84" i="5" s="1"/>
  <c r="F84" i="5"/>
  <c r="C84" i="5"/>
  <c r="AD83" i="5"/>
  <c r="AC83" i="5"/>
  <c r="AA83" i="5"/>
  <c r="X83" i="5"/>
  <c r="W83" i="5"/>
  <c r="U83" i="5"/>
  <c r="R83" i="5"/>
  <c r="O83" i="5"/>
  <c r="N83" i="5"/>
  <c r="L83" i="5"/>
  <c r="I83" i="5"/>
  <c r="H83" i="5"/>
  <c r="F83" i="5"/>
  <c r="C83" i="5"/>
  <c r="AC82" i="5"/>
  <c r="AD82" i="5" s="1"/>
  <c r="AA82" i="5"/>
  <c r="W82" i="5"/>
  <c r="X82" i="5" s="1"/>
  <c r="U82" i="5"/>
  <c r="R82" i="5"/>
  <c r="N82" i="5"/>
  <c r="O82" i="5" s="1"/>
  <c r="L82" i="5"/>
  <c r="I82" i="5"/>
  <c r="H82" i="5"/>
  <c r="F82" i="5"/>
  <c r="C82" i="5"/>
  <c r="AD81" i="5"/>
  <c r="AC81" i="5"/>
  <c r="AA81" i="5"/>
  <c r="X81" i="5"/>
  <c r="W81" i="5"/>
  <c r="U81" i="5"/>
  <c r="R81" i="5"/>
  <c r="O81" i="5"/>
  <c r="N81" i="5"/>
  <c r="L81" i="5"/>
  <c r="H81" i="5"/>
  <c r="I81" i="5" s="1"/>
  <c r="F81" i="5"/>
  <c r="C81" i="5"/>
  <c r="AC80" i="5"/>
  <c r="AD80" i="5" s="1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W79" i="5"/>
  <c r="X79" i="5" s="1"/>
  <c r="U79" i="5"/>
  <c r="R79" i="5"/>
  <c r="O79" i="5"/>
  <c r="N79" i="5"/>
  <c r="L79" i="5"/>
  <c r="H79" i="5"/>
  <c r="I79" i="5" s="1"/>
  <c r="F79" i="5"/>
  <c r="C79" i="5"/>
  <c r="AC78" i="5"/>
  <c r="AD78" i="5" s="1"/>
  <c r="AA78" i="5"/>
  <c r="W78" i="5"/>
  <c r="X78" i="5" s="1"/>
  <c r="U78" i="5"/>
  <c r="R78" i="5"/>
  <c r="O78" i="5"/>
  <c r="N78" i="5"/>
  <c r="L78" i="5"/>
  <c r="I78" i="5"/>
  <c r="H78" i="5"/>
  <c r="F78" i="5"/>
  <c r="C78" i="5"/>
  <c r="AD77" i="5"/>
  <c r="AC77" i="5"/>
  <c r="AA77" i="5"/>
  <c r="W77" i="5"/>
  <c r="X77" i="5" s="1"/>
  <c r="U77" i="5"/>
  <c r="R77" i="5"/>
  <c r="N77" i="5"/>
  <c r="O77" i="5" s="1"/>
  <c r="L77" i="5"/>
  <c r="I77" i="5"/>
  <c r="H77" i="5"/>
  <c r="F77" i="5"/>
  <c r="C77" i="5"/>
  <c r="AD76" i="5"/>
  <c r="AC76" i="5"/>
  <c r="AA76" i="5"/>
  <c r="X76" i="5"/>
  <c r="W76" i="5"/>
  <c r="U76" i="5"/>
  <c r="R76" i="5"/>
  <c r="N76" i="5"/>
  <c r="O76" i="5" s="1"/>
  <c r="L76" i="5"/>
  <c r="H76" i="5"/>
  <c r="I76" i="5" s="1"/>
  <c r="F76" i="5"/>
  <c r="C76" i="5"/>
  <c r="AD75" i="5"/>
  <c r="AC75" i="5"/>
  <c r="AA75" i="5"/>
  <c r="X75" i="5"/>
  <c r="W75" i="5"/>
  <c r="U75" i="5"/>
  <c r="R75" i="5"/>
  <c r="O75" i="5"/>
  <c r="N75" i="5"/>
  <c r="L75" i="5"/>
  <c r="H75" i="5"/>
  <c r="I75" i="5" s="1"/>
  <c r="F75" i="5"/>
  <c r="C75" i="5"/>
  <c r="AD73" i="5"/>
  <c r="AA73" i="5"/>
  <c r="Z73" i="5"/>
  <c r="T73" i="5"/>
  <c r="U73" i="5" s="1"/>
  <c r="R73" i="5"/>
  <c r="Q73" i="5"/>
  <c r="AC73" i="5" s="1"/>
  <c r="L73" i="5"/>
  <c r="K73" i="5"/>
  <c r="I73" i="5"/>
  <c r="E73" i="5"/>
  <c r="H73" i="5" s="1"/>
  <c r="C73" i="5"/>
  <c r="B73" i="5"/>
  <c r="AC72" i="5"/>
  <c r="AD72" i="5" s="1"/>
  <c r="AA72" i="5"/>
  <c r="W72" i="5"/>
  <c r="X72" i="5" s="1"/>
  <c r="U72" i="5"/>
  <c r="R72" i="5"/>
  <c r="N72" i="5"/>
  <c r="O72" i="5" s="1"/>
  <c r="L72" i="5"/>
  <c r="H72" i="5"/>
  <c r="I72" i="5" s="1"/>
  <c r="F72" i="5"/>
  <c r="C72" i="5"/>
  <c r="AD71" i="5"/>
  <c r="AC71" i="5"/>
  <c r="AA71" i="5"/>
  <c r="X71" i="5"/>
  <c r="W71" i="5"/>
  <c r="U71" i="5"/>
  <c r="R71" i="5"/>
  <c r="O71" i="5"/>
  <c r="N71" i="5"/>
  <c r="L71" i="5"/>
  <c r="H71" i="5"/>
  <c r="I71" i="5" s="1"/>
  <c r="F71" i="5"/>
  <c r="C71" i="5"/>
  <c r="AC70" i="5"/>
  <c r="AD70" i="5" s="1"/>
  <c r="AA70" i="5"/>
  <c r="W70" i="5"/>
  <c r="X70" i="5" s="1"/>
  <c r="U70" i="5"/>
  <c r="R70" i="5"/>
  <c r="N70" i="5"/>
  <c r="O70" i="5" s="1"/>
  <c r="L70" i="5"/>
  <c r="I70" i="5"/>
  <c r="H70" i="5"/>
  <c r="F70" i="5"/>
  <c r="C70" i="5"/>
  <c r="AC69" i="5"/>
  <c r="AD69" i="5" s="1"/>
  <c r="AA69" i="5"/>
  <c r="W69" i="5"/>
  <c r="X69" i="5" s="1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H68" i="5"/>
  <c r="I68" i="5" s="1"/>
  <c r="F68" i="5"/>
  <c r="C68" i="5"/>
  <c r="AD67" i="5"/>
  <c r="AC67" i="5"/>
  <c r="AA67" i="5"/>
  <c r="X67" i="5"/>
  <c r="W67" i="5"/>
  <c r="U67" i="5"/>
  <c r="R67" i="5"/>
  <c r="O67" i="5"/>
  <c r="N67" i="5"/>
  <c r="L67" i="5"/>
  <c r="I67" i="5"/>
  <c r="H67" i="5"/>
  <c r="F67" i="5"/>
  <c r="C67" i="5"/>
  <c r="AD66" i="5"/>
  <c r="AC66" i="5"/>
  <c r="AA66" i="5"/>
  <c r="W66" i="5"/>
  <c r="X66" i="5" s="1"/>
  <c r="U66" i="5"/>
  <c r="R66" i="5"/>
  <c r="N66" i="5"/>
  <c r="O66" i="5" s="1"/>
  <c r="L66" i="5"/>
  <c r="I66" i="5"/>
  <c r="H66" i="5"/>
  <c r="F66" i="5"/>
  <c r="C66" i="5"/>
  <c r="AD65" i="5"/>
  <c r="AC65" i="5"/>
  <c r="AA65" i="5"/>
  <c r="W65" i="5"/>
  <c r="X65" i="5" s="1"/>
  <c r="U65" i="5"/>
  <c r="R65" i="5"/>
  <c r="O65" i="5"/>
  <c r="N65" i="5"/>
  <c r="L65" i="5"/>
  <c r="I65" i="5"/>
  <c r="H65" i="5"/>
  <c r="F65" i="5"/>
  <c r="C65" i="5"/>
  <c r="AC64" i="5"/>
  <c r="AD64" i="5" s="1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W62" i="5"/>
  <c r="X62" i="5" s="1"/>
  <c r="U62" i="5"/>
  <c r="T62" i="5"/>
  <c r="R62" i="5"/>
  <c r="Q62" i="5"/>
  <c r="AC62" i="5" s="1"/>
  <c r="AD62" i="5" s="1"/>
  <c r="L62" i="5"/>
  <c r="K62" i="5"/>
  <c r="F62" i="5"/>
  <c r="E62" i="5"/>
  <c r="C62" i="5"/>
  <c r="B62" i="5"/>
  <c r="H62" i="5" s="1"/>
  <c r="I62" i="5" s="1"/>
  <c r="AA61" i="5"/>
  <c r="Z61" i="5"/>
  <c r="T61" i="5"/>
  <c r="U61" i="5" s="1"/>
  <c r="Q61" i="5"/>
  <c r="AC61" i="5" s="1"/>
  <c r="AD61" i="5" s="1"/>
  <c r="L61" i="5"/>
  <c r="K61" i="5"/>
  <c r="E61" i="5"/>
  <c r="F61" i="5" s="1"/>
  <c r="C61" i="5"/>
  <c r="B61" i="5"/>
  <c r="N61" i="5" s="1"/>
  <c r="O61" i="5" s="1"/>
  <c r="AD60" i="5"/>
  <c r="AC60" i="5"/>
  <c r="AA60" i="5"/>
  <c r="X60" i="5"/>
  <c r="W60" i="5"/>
  <c r="U60" i="5"/>
  <c r="R60" i="5"/>
  <c r="O60" i="5"/>
  <c r="N60" i="5"/>
  <c r="L60" i="5"/>
  <c r="I60" i="5"/>
  <c r="H60" i="5"/>
  <c r="F60" i="5"/>
  <c r="C60" i="5"/>
  <c r="AD59" i="5"/>
  <c r="AC59" i="5"/>
  <c r="AA59" i="5"/>
  <c r="W59" i="5"/>
  <c r="X59" i="5" s="1"/>
  <c r="U59" i="5"/>
  <c r="R59" i="5"/>
  <c r="N59" i="5"/>
  <c r="O59" i="5" s="1"/>
  <c r="L59" i="5"/>
  <c r="I59" i="5"/>
  <c r="H59" i="5"/>
  <c r="F59" i="5"/>
  <c r="C59" i="5"/>
  <c r="AD58" i="5"/>
  <c r="AC58" i="5"/>
  <c r="AA58" i="5"/>
  <c r="X58" i="5"/>
  <c r="W58" i="5"/>
  <c r="U58" i="5"/>
  <c r="R58" i="5"/>
  <c r="N58" i="5"/>
  <c r="O58" i="5" s="1"/>
  <c r="L58" i="5"/>
  <c r="H58" i="5"/>
  <c r="I58" i="5" s="1"/>
  <c r="F58" i="5"/>
  <c r="C58" i="5"/>
  <c r="AD57" i="5"/>
  <c r="AC57" i="5"/>
  <c r="AA57" i="5"/>
  <c r="W57" i="5"/>
  <c r="X57" i="5" s="1"/>
  <c r="U57" i="5"/>
  <c r="R57" i="5"/>
  <c r="N57" i="5"/>
  <c r="O57" i="5" s="1"/>
  <c r="L57" i="5"/>
  <c r="I57" i="5"/>
  <c r="H57" i="5"/>
  <c r="F57" i="5"/>
  <c r="C57" i="5"/>
  <c r="AD56" i="5"/>
  <c r="AC56" i="5"/>
  <c r="AA56" i="5"/>
  <c r="W56" i="5"/>
  <c r="X56" i="5" s="1"/>
  <c r="U56" i="5"/>
  <c r="R56" i="5"/>
  <c r="N56" i="5"/>
  <c r="O56" i="5" s="1"/>
  <c r="L56" i="5"/>
  <c r="H56" i="5"/>
  <c r="I56" i="5" s="1"/>
  <c r="F56" i="5"/>
  <c r="C56" i="5"/>
  <c r="AC55" i="5"/>
  <c r="AD55" i="5" s="1"/>
  <c r="AA55" i="5"/>
  <c r="W55" i="5"/>
  <c r="X55" i="5" s="1"/>
  <c r="U55" i="5"/>
  <c r="R55" i="5"/>
  <c r="O55" i="5"/>
  <c r="N55" i="5"/>
  <c r="L55" i="5"/>
  <c r="I55" i="5"/>
  <c r="H55" i="5"/>
  <c r="F55" i="5"/>
  <c r="C55" i="5"/>
  <c r="AC54" i="5"/>
  <c r="AD54" i="5" s="1"/>
  <c r="AA54" i="5"/>
  <c r="W54" i="5"/>
  <c r="X54" i="5" s="1"/>
  <c r="U54" i="5"/>
  <c r="R54" i="5"/>
  <c r="N54" i="5"/>
  <c r="O54" i="5" s="1"/>
  <c r="L54" i="5"/>
  <c r="I54" i="5"/>
  <c r="H54" i="5"/>
  <c r="F54" i="5"/>
  <c r="C54" i="5"/>
  <c r="AD53" i="5"/>
  <c r="AC53" i="5"/>
  <c r="AA53" i="5"/>
  <c r="W53" i="5"/>
  <c r="X53" i="5" s="1"/>
  <c r="U53" i="5"/>
  <c r="R53" i="5"/>
  <c r="N53" i="5"/>
  <c r="O53" i="5" s="1"/>
  <c r="L53" i="5"/>
  <c r="H53" i="5"/>
  <c r="I53" i="5" s="1"/>
  <c r="F53" i="5"/>
  <c r="C53" i="5"/>
  <c r="AD52" i="5"/>
  <c r="AC52" i="5"/>
  <c r="AA52" i="5"/>
  <c r="X52" i="5"/>
  <c r="W52" i="5"/>
  <c r="U52" i="5"/>
  <c r="R52" i="5"/>
  <c r="O52" i="5"/>
  <c r="N52" i="5"/>
  <c r="L52" i="5"/>
  <c r="I52" i="5"/>
  <c r="H52" i="5"/>
  <c r="F52" i="5"/>
  <c r="C52" i="5"/>
  <c r="AC51" i="5"/>
  <c r="AD51" i="5" s="1"/>
  <c r="AA51" i="5"/>
  <c r="W51" i="5"/>
  <c r="X51" i="5" s="1"/>
  <c r="U51" i="5"/>
  <c r="R51" i="5"/>
  <c r="N51" i="5"/>
  <c r="O51" i="5" s="1"/>
  <c r="L51" i="5"/>
  <c r="I51" i="5"/>
  <c r="H51" i="5"/>
  <c r="F51" i="5"/>
  <c r="C51" i="5"/>
  <c r="AD50" i="5"/>
  <c r="AC50" i="5"/>
  <c r="AA50" i="5"/>
  <c r="X50" i="5"/>
  <c r="W50" i="5"/>
  <c r="U50" i="5"/>
  <c r="R50" i="5"/>
  <c r="O50" i="5"/>
  <c r="N50" i="5"/>
  <c r="L50" i="5"/>
  <c r="H50" i="5"/>
  <c r="I50" i="5" s="1"/>
  <c r="F50" i="5"/>
  <c r="C50" i="5"/>
  <c r="AC49" i="5"/>
  <c r="AD49" i="5" s="1"/>
  <c r="AA49" i="5"/>
  <c r="W49" i="5"/>
  <c r="X49" i="5" s="1"/>
  <c r="U49" i="5"/>
  <c r="R49" i="5"/>
  <c r="N49" i="5"/>
  <c r="O49" i="5" s="1"/>
  <c r="L49" i="5"/>
  <c r="I49" i="5"/>
  <c r="H49" i="5"/>
  <c r="F49" i="5"/>
  <c r="C49" i="5"/>
  <c r="AD48" i="5"/>
  <c r="AC48" i="5"/>
  <c r="AA48" i="5"/>
  <c r="W48" i="5"/>
  <c r="X48" i="5" s="1"/>
  <c r="U48" i="5"/>
  <c r="R48" i="5"/>
  <c r="O48" i="5"/>
  <c r="N48" i="5"/>
  <c r="L48" i="5"/>
  <c r="H48" i="5"/>
  <c r="I48" i="5" s="1"/>
  <c r="F48" i="5"/>
  <c r="C48" i="5"/>
  <c r="AC47" i="5"/>
  <c r="AD47" i="5" s="1"/>
  <c r="AA47" i="5"/>
  <c r="W47" i="5"/>
  <c r="X47" i="5" s="1"/>
  <c r="U47" i="5"/>
  <c r="R47" i="5"/>
  <c r="O47" i="5"/>
  <c r="N47" i="5"/>
  <c r="L47" i="5"/>
  <c r="I47" i="5"/>
  <c r="H47" i="5"/>
  <c r="F47" i="5"/>
  <c r="C47" i="5"/>
  <c r="AD46" i="5"/>
  <c r="AC46" i="5"/>
  <c r="AA46" i="5"/>
  <c r="W46" i="5"/>
  <c r="X46" i="5" s="1"/>
  <c r="U46" i="5"/>
  <c r="R46" i="5"/>
  <c r="N46" i="5"/>
  <c r="O46" i="5" s="1"/>
  <c r="L46" i="5"/>
  <c r="I46" i="5"/>
  <c r="H46" i="5"/>
  <c r="F46" i="5"/>
  <c r="C46" i="5"/>
  <c r="AD44" i="5"/>
  <c r="AC44" i="5"/>
  <c r="AA44" i="5"/>
  <c r="X44" i="5"/>
  <c r="W44" i="5"/>
  <c r="U44" i="5"/>
  <c r="R44" i="5"/>
  <c r="N44" i="5"/>
  <c r="O44" i="5" s="1"/>
  <c r="L44" i="5"/>
  <c r="H44" i="5"/>
  <c r="I44" i="5" s="1"/>
  <c r="F44" i="5"/>
  <c r="C44" i="5"/>
  <c r="AD43" i="5"/>
  <c r="AC43" i="5"/>
  <c r="AA43" i="5"/>
  <c r="X43" i="5"/>
  <c r="W43" i="5"/>
  <c r="U43" i="5"/>
  <c r="R43" i="5"/>
  <c r="O43" i="5"/>
  <c r="N43" i="5"/>
  <c r="L43" i="5"/>
  <c r="H43" i="5"/>
  <c r="I43" i="5" s="1"/>
  <c r="F43" i="5"/>
  <c r="C43" i="5"/>
  <c r="AD42" i="5"/>
  <c r="AC42" i="5"/>
  <c r="AA42" i="5"/>
  <c r="W42" i="5"/>
  <c r="X42" i="5" s="1"/>
  <c r="U42" i="5"/>
  <c r="R42" i="5"/>
  <c r="N42" i="5"/>
  <c r="O42" i="5" s="1"/>
  <c r="L42" i="5"/>
  <c r="I42" i="5"/>
  <c r="H42" i="5"/>
  <c r="F42" i="5"/>
  <c r="C42" i="5"/>
  <c r="Z40" i="5"/>
  <c r="AA40" i="5" s="1"/>
  <c r="T40" i="5"/>
  <c r="U40" i="5" s="1"/>
  <c r="R40" i="5"/>
  <c r="Q40" i="5"/>
  <c r="N40" i="5"/>
  <c r="O40" i="5" s="1"/>
  <c r="L40" i="5"/>
  <c r="K40" i="5"/>
  <c r="F40" i="5"/>
  <c r="E40" i="5"/>
  <c r="B40" i="5"/>
  <c r="C40" i="5" s="1"/>
  <c r="AD39" i="5"/>
  <c r="AC39" i="5"/>
  <c r="AA39" i="5"/>
  <c r="W39" i="5"/>
  <c r="X39" i="5" s="1"/>
  <c r="U39" i="5"/>
  <c r="R39" i="5"/>
  <c r="O39" i="5"/>
  <c r="N39" i="5"/>
  <c r="L39" i="5"/>
  <c r="H39" i="5"/>
  <c r="I39" i="5" s="1"/>
  <c r="F39" i="5"/>
  <c r="C39" i="5"/>
  <c r="AC38" i="5"/>
  <c r="AD38" i="5" s="1"/>
  <c r="AA38" i="5"/>
  <c r="W38" i="5"/>
  <c r="X38" i="5" s="1"/>
  <c r="U38" i="5"/>
  <c r="R38" i="5"/>
  <c r="N38" i="5"/>
  <c r="O38" i="5" s="1"/>
  <c r="L38" i="5"/>
  <c r="I38" i="5"/>
  <c r="H38" i="5"/>
  <c r="F38" i="5"/>
  <c r="C38" i="5"/>
  <c r="AD37" i="5"/>
  <c r="AC37" i="5"/>
  <c r="AA37" i="5"/>
  <c r="W37" i="5"/>
  <c r="X37" i="5" s="1"/>
  <c r="U37" i="5"/>
  <c r="R37" i="5"/>
  <c r="N37" i="5"/>
  <c r="O37" i="5" s="1"/>
  <c r="L37" i="5"/>
  <c r="I37" i="5"/>
  <c r="H37" i="5"/>
  <c r="F37" i="5"/>
  <c r="C37" i="5"/>
  <c r="AD36" i="5"/>
  <c r="AC36" i="5"/>
  <c r="AA36" i="5"/>
  <c r="W36" i="5"/>
  <c r="X36" i="5" s="1"/>
  <c r="U36" i="5"/>
  <c r="R36" i="5"/>
  <c r="N36" i="5"/>
  <c r="O36" i="5" s="1"/>
  <c r="L36" i="5"/>
  <c r="H36" i="5"/>
  <c r="I36" i="5" s="1"/>
  <c r="F36" i="5"/>
  <c r="C36" i="5"/>
  <c r="AD35" i="5"/>
  <c r="AC35" i="5"/>
  <c r="AA35" i="5"/>
  <c r="X35" i="5"/>
  <c r="W35" i="5"/>
  <c r="U35" i="5"/>
  <c r="R35" i="5"/>
  <c r="O35" i="5"/>
  <c r="N35" i="5"/>
  <c r="L35" i="5"/>
  <c r="I35" i="5"/>
  <c r="H35" i="5"/>
  <c r="F35" i="5"/>
  <c r="C35" i="5"/>
  <c r="AD34" i="5"/>
  <c r="AC34" i="5"/>
  <c r="AA34" i="5"/>
  <c r="W34" i="5"/>
  <c r="X34" i="5" s="1"/>
  <c r="U34" i="5"/>
  <c r="R34" i="5"/>
  <c r="N34" i="5"/>
  <c r="O34" i="5" s="1"/>
  <c r="L34" i="5"/>
  <c r="I34" i="5"/>
  <c r="H34" i="5"/>
  <c r="F34" i="5"/>
  <c r="C34" i="5"/>
  <c r="AD33" i="5"/>
  <c r="AC33" i="5"/>
  <c r="AA33" i="5"/>
  <c r="W33" i="5"/>
  <c r="X33" i="5" s="1"/>
  <c r="U33" i="5"/>
  <c r="R33" i="5"/>
  <c r="O33" i="5"/>
  <c r="N33" i="5"/>
  <c r="L33" i="5"/>
  <c r="I33" i="5"/>
  <c r="H33" i="5"/>
  <c r="F33" i="5"/>
  <c r="C33" i="5"/>
  <c r="AD32" i="5"/>
  <c r="AC32" i="5"/>
  <c r="AA32" i="5"/>
  <c r="W32" i="5"/>
  <c r="X32" i="5" s="1"/>
  <c r="U32" i="5"/>
  <c r="R32" i="5"/>
  <c r="N32" i="5"/>
  <c r="O32" i="5" s="1"/>
  <c r="L32" i="5"/>
  <c r="I32" i="5"/>
  <c r="H32" i="5"/>
  <c r="F32" i="5"/>
  <c r="C32" i="5"/>
  <c r="AD31" i="5"/>
  <c r="AC31" i="5"/>
  <c r="AA31" i="5"/>
  <c r="W31" i="5"/>
  <c r="X31" i="5" s="1"/>
  <c r="U31" i="5"/>
  <c r="R31" i="5"/>
  <c r="N31" i="5"/>
  <c r="O31" i="5" s="1"/>
  <c r="L31" i="5"/>
  <c r="H31" i="5"/>
  <c r="I31" i="5" s="1"/>
  <c r="F31" i="5"/>
  <c r="C31" i="5"/>
  <c r="AC29" i="5"/>
  <c r="AD29" i="5" s="1"/>
  <c r="AA29" i="5"/>
  <c r="Z29" i="5"/>
  <c r="W29" i="5"/>
  <c r="X29" i="5" s="1"/>
  <c r="U29" i="5"/>
  <c r="T29" i="5"/>
  <c r="Q29" i="5"/>
  <c r="R29" i="5" s="1"/>
  <c r="O29" i="5"/>
  <c r="L29" i="5"/>
  <c r="K29" i="5"/>
  <c r="H29" i="5"/>
  <c r="I29" i="5" s="1"/>
  <c r="F29" i="5"/>
  <c r="E29" i="5"/>
  <c r="C29" i="5"/>
  <c r="B29" i="5"/>
  <c r="N29" i="5" s="1"/>
  <c r="AD28" i="5"/>
  <c r="AC28" i="5"/>
  <c r="AA28" i="5"/>
  <c r="X28" i="5"/>
  <c r="W28" i="5"/>
  <c r="U28" i="5"/>
  <c r="R28" i="5"/>
  <c r="N28" i="5"/>
  <c r="O28" i="5" s="1"/>
  <c r="L28" i="5"/>
  <c r="H28" i="5"/>
  <c r="I28" i="5" s="1"/>
  <c r="F28" i="5"/>
  <c r="C28" i="5"/>
  <c r="AD27" i="5"/>
  <c r="AC27" i="5"/>
  <c r="AA27" i="5"/>
  <c r="X27" i="5"/>
  <c r="W27" i="5"/>
  <c r="U27" i="5"/>
  <c r="R27" i="5"/>
  <c r="O27" i="5"/>
  <c r="N27" i="5"/>
  <c r="L27" i="5"/>
  <c r="H27" i="5"/>
  <c r="I27" i="5" s="1"/>
  <c r="F27" i="5"/>
  <c r="C27" i="5"/>
  <c r="AC26" i="5"/>
  <c r="AD26" i="5" s="1"/>
  <c r="AA26" i="5"/>
  <c r="W26" i="5"/>
  <c r="X26" i="5" s="1"/>
  <c r="U26" i="5"/>
  <c r="R26" i="5"/>
  <c r="N26" i="5"/>
  <c r="O26" i="5" s="1"/>
  <c r="L26" i="5"/>
  <c r="I26" i="5"/>
  <c r="H26" i="5"/>
  <c r="F26" i="5"/>
  <c r="C26" i="5"/>
  <c r="AD25" i="5"/>
  <c r="AC25" i="5"/>
  <c r="AA25" i="5"/>
  <c r="W25" i="5"/>
  <c r="X25" i="5" s="1"/>
  <c r="U25" i="5"/>
  <c r="R25" i="5"/>
  <c r="O25" i="5"/>
  <c r="N25" i="5"/>
  <c r="L25" i="5"/>
  <c r="H25" i="5"/>
  <c r="I25" i="5" s="1"/>
  <c r="F25" i="5"/>
  <c r="C25" i="5"/>
  <c r="AC24" i="5"/>
  <c r="AD24" i="5" s="1"/>
  <c r="AA24" i="5"/>
  <c r="W24" i="5"/>
  <c r="X24" i="5" s="1"/>
  <c r="U24" i="5"/>
  <c r="R24" i="5"/>
  <c r="N24" i="5"/>
  <c r="O24" i="5" s="1"/>
  <c r="L24" i="5"/>
  <c r="H24" i="5"/>
  <c r="I24" i="5" s="1"/>
  <c r="F24" i="5"/>
  <c r="C24" i="5"/>
  <c r="AD23" i="5"/>
  <c r="AC23" i="5"/>
  <c r="AA23" i="5"/>
  <c r="X23" i="5"/>
  <c r="W23" i="5"/>
  <c r="U23" i="5"/>
  <c r="R23" i="5"/>
  <c r="O23" i="5"/>
  <c r="N23" i="5"/>
  <c r="L23" i="5"/>
  <c r="H23" i="5"/>
  <c r="I23" i="5" s="1"/>
  <c r="F23" i="5"/>
  <c r="C23" i="5"/>
  <c r="AC22" i="5"/>
  <c r="AD22" i="5" s="1"/>
  <c r="AA22" i="5"/>
  <c r="W22" i="5"/>
  <c r="X22" i="5" s="1"/>
  <c r="U22" i="5"/>
  <c r="R22" i="5"/>
  <c r="N22" i="5"/>
  <c r="O22" i="5" s="1"/>
  <c r="L22" i="5"/>
  <c r="I22" i="5"/>
  <c r="H22" i="5"/>
  <c r="F22" i="5"/>
  <c r="C22" i="5"/>
  <c r="AC21" i="5"/>
  <c r="AD21" i="5" s="1"/>
  <c r="AA21" i="5"/>
  <c r="W21" i="5"/>
  <c r="X21" i="5" s="1"/>
  <c r="U21" i="5"/>
  <c r="R21" i="5"/>
  <c r="N21" i="5"/>
  <c r="O21" i="5" s="1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Z18" i="5"/>
  <c r="AA18" i="5" s="1"/>
  <c r="T18" i="5"/>
  <c r="W18" i="5" s="1"/>
  <c r="X18" i="5" s="1"/>
  <c r="R18" i="5"/>
  <c r="Q18" i="5"/>
  <c r="L18" i="5"/>
  <c r="K18" i="5"/>
  <c r="H18" i="5"/>
  <c r="I18" i="5" s="1"/>
  <c r="F18" i="5"/>
  <c r="E18" i="5"/>
  <c r="B18" i="5"/>
  <c r="C18" i="5" s="1"/>
  <c r="AD17" i="5"/>
  <c r="AC17" i="5"/>
  <c r="AA17" i="5"/>
  <c r="X17" i="5"/>
  <c r="W17" i="5"/>
  <c r="U17" i="5"/>
  <c r="R17" i="5"/>
  <c r="N17" i="5"/>
  <c r="O17" i="5" s="1"/>
  <c r="L17" i="5"/>
  <c r="H17" i="5"/>
  <c r="I17" i="5" s="1"/>
  <c r="F17" i="5"/>
  <c r="C17" i="5"/>
  <c r="AC16" i="5"/>
  <c r="AD16" i="5" s="1"/>
  <c r="AA16" i="5"/>
  <c r="W16" i="5"/>
  <c r="X16" i="5" s="1"/>
  <c r="U16" i="5"/>
  <c r="R16" i="5"/>
  <c r="N16" i="5"/>
  <c r="O16" i="5" s="1"/>
  <c r="L16" i="5"/>
  <c r="H16" i="5"/>
  <c r="I16" i="5" s="1"/>
  <c r="F16" i="5"/>
  <c r="C16" i="5"/>
  <c r="AD15" i="5"/>
  <c r="AC15" i="5"/>
  <c r="AA15" i="5"/>
  <c r="X15" i="5"/>
  <c r="W15" i="5"/>
  <c r="U15" i="5"/>
  <c r="R15" i="5"/>
  <c r="O15" i="5"/>
  <c r="N15" i="5"/>
  <c r="L15" i="5"/>
  <c r="H15" i="5"/>
  <c r="I15" i="5" s="1"/>
  <c r="F15" i="5"/>
  <c r="C15" i="5"/>
  <c r="AC14" i="5"/>
  <c r="AD14" i="5" s="1"/>
  <c r="AA14" i="5"/>
  <c r="W14" i="5"/>
  <c r="X14" i="5" s="1"/>
  <c r="U14" i="5"/>
  <c r="R14" i="5"/>
  <c r="N14" i="5"/>
  <c r="O14" i="5" s="1"/>
  <c r="L14" i="5"/>
  <c r="I14" i="5"/>
  <c r="H14" i="5"/>
  <c r="F14" i="5"/>
  <c r="C14" i="5"/>
  <c r="AD13" i="5"/>
  <c r="AC13" i="5"/>
  <c r="AA13" i="5"/>
  <c r="W13" i="5"/>
  <c r="X13" i="5" s="1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H12" i="5"/>
  <c r="I12" i="5" s="1"/>
  <c r="F12" i="5"/>
  <c r="C12" i="5"/>
  <c r="AD11" i="5"/>
  <c r="AC11" i="5"/>
  <c r="AA11" i="5"/>
  <c r="X11" i="5"/>
  <c r="W11" i="5"/>
  <c r="U11" i="5"/>
  <c r="R11" i="5"/>
  <c r="O11" i="5"/>
  <c r="N11" i="5"/>
  <c r="L11" i="5"/>
  <c r="I11" i="5"/>
  <c r="H11" i="5"/>
  <c r="F11" i="5"/>
  <c r="C11" i="5"/>
  <c r="AD10" i="5"/>
  <c r="AC10" i="5"/>
  <c r="AA10" i="5"/>
  <c r="W10" i="5"/>
  <c r="X10" i="5" s="1"/>
  <c r="U10" i="5"/>
  <c r="R10" i="5"/>
  <c r="N10" i="5"/>
  <c r="O10" i="5" s="1"/>
  <c r="L10" i="5"/>
  <c r="I10" i="5"/>
  <c r="H10" i="5"/>
  <c r="F10" i="5"/>
  <c r="C10" i="5"/>
  <c r="AD8" i="5"/>
  <c r="AC8" i="5"/>
  <c r="AA8" i="5"/>
  <c r="W8" i="5"/>
  <c r="X8" i="5" s="1"/>
  <c r="U8" i="5"/>
  <c r="R8" i="5"/>
  <c r="N8" i="5"/>
  <c r="O8" i="5" s="1"/>
  <c r="L8" i="5"/>
  <c r="H8" i="5"/>
  <c r="I8" i="5" s="1"/>
  <c r="F8" i="5"/>
  <c r="C8" i="5"/>
  <c r="AC444" i="4"/>
  <c r="AD423" i="4" s="1"/>
  <c r="W444" i="4"/>
  <c r="N444" i="4"/>
  <c r="H444" i="4"/>
  <c r="I438" i="4" s="1"/>
  <c r="AC442" i="4"/>
  <c r="AD442" i="4" s="1"/>
  <c r="Z442" i="4"/>
  <c r="AA442" i="4" s="1"/>
  <c r="W442" i="4"/>
  <c r="X442" i="4" s="1"/>
  <c r="U442" i="4"/>
  <c r="T442" i="4"/>
  <c r="R442" i="4"/>
  <c r="Q442" i="4"/>
  <c r="N442" i="4"/>
  <c r="O442" i="4" s="1"/>
  <c r="K442" i="4"/>
  <c r="L442" i="4" s="1"/>
  <c r="E442" i="4"/>
  <c r="F442" i="4" s="1"/>
  <c r="C442" i="4"/>
  <c r="B442" i="4"/>
  <c r="AA441" i="4"/>
  <c r="Z441" i="4"/>
  <c r="U441" i="4"/>
  <c r="T441" i="4"/>
  <c r="Q441" i="4"/>
  <c r="R441" i="4" s="1"/>
  <c r="K441" i="4"/>
  <c r="L441" i="4" s="1"/>
  <c r="E441" i="4"/>
  <c r="F441" i="4" s="1"/>
  <c r="C441" i="4"/>
  <c r="B441" i="4"/>
  <c r="AC440" i="4"/>
  <c r="AD440" i="4" s="1"/>
  <c r="AA440" i="4"/>
  <c r="X440" i="4"/>
  <c r="W440" i="4"/>
  <c r="U440" i="4"/>
  <c r="R440" i="4"/>
  <c r="N440" i="4"/>
  <c r="O440" i="4" s="1"/>
  <c r="L440" i="4"/>
  <c r="I440" i="4"/>
  <c r="H440" i="4"/>
  <c r="F440" i="4"/>
  <c r="C440" i="4"/>
  <c r="AD439" i="4"/>
  <c r="AC439" i="4"/>
  <c r="AA439" i="4"/>
  <c r="W439" i="4"/>
  <c r="X439" i="4" s="1"/>
  <c r="U439" i="4"/>
  <c r="R439" i="4"/>
  <c r="N439" i="4"/>
  <c r="L439" i="4"/>
  <c r="I439" i="4"/>
  <c r="H439" i="4"/>
  <c r="F439" i="4"/>
  <c r="C439" i="4"/>
  <c r="AD438" i="4"/>
  <c r="AC438" i="4"/>
  <c r="AA438" i="4"/>
  <c r="W438" i="4"/>
  <c r="X438" i="4" s="1"/>
  <c r="U438" i="4"/>
  <c r="R438" i="4"/>
  <c r="O438" i="4"/>
  <c r="N438" i="4"/>
  <c r="L438" i="4"/>
  <c r="H438" i="4"/>
  <c r="F438" i="4"/>
  <c r="C438" i="4"/>
  <c r="AC437" i="4"/>
  <c r="AD437" i="4" s="1"/>
  <c r="AA437" i="4"/>
  <c r="X437" i="4"/>
  <c r="W437" i="4"/>
  <c r="U437" i="4"/>
  <c r="R437" i="4"/>
  <c r="N437" i="4"/>
  <c r="L437" i="4"/>
  <c r="H437" i="4"/>
  <c r="I437" i="4" s="1"/>
  <c r="F437" i="4"/>
  <c r="C437" i="4"/>
  <c r="AC436" i="4"/>
  <c r="AD436" i="4" s="1"/>
  <c r="AA436" i="4"/>
  <c r="W436" i="4"/>
  <c r="X436" i="4" s="1"/>
  <c r="U436" i="4"/>
  <c r="R436" i="4"/>
  <c r="N436" i="4"/>
  <c r="O436" i="4" s="1"/>
  <c r="L436" i="4"/>
  <c r="I436" i="4"/>
  <c r="H436" i="4"/>
  <c r="F436" i="4"/>
  <c r="C436" i="4"/>
  <c r="AD435" i="4"/>
  <c r="AC435" i="4"/>
  <c r="AA435" i="4"/>
  <c r="W435" i="4"/>
  <c r="X435" i="4" s="1"/>
  <c r="U435" i="4"/>
  <c r="R435" i="4"/>
  <c r="N435" i="4"/>
  <c r="O435" i="4" s="1"/>
  <c r="L435" i="4"/>
  <c r="I435" i="4"/>
  <c r="H435" i="4"/>
  <c r="F435" i="4"/>
  <c r="C435" i="4"/>
  <c r="AD434" i="4"/>
  <c r="AC434" i="4"/>
  <c r="AA434" i="4"/>
  <c r="W434" i="4"/>
  <c r="U434" i="4"/>
  <c r="R434" i="4"/>
  <c r="N434" i="4"/>
  <c r="L434" i="4"/>
  <c r="I434" i="4"/>
  <c r="H434" i="4"/>
  <c r="F434" i="4"/>
  <c r="C434" i="4"/>
  <c r="AC433" i="4"/>
  <c r="AD433" i="4" s="1"/>
  <c r="AA433" i="4"/>
  <c r="X433" i="4"/>
  <c r="W433" i="4"/>
  <c r="U433" i="4"/>
  <c r="R433" i="4"/>
  <c r="O433" i="4"/>
  <c r="N433" i="4"/>
  <c r="L433" i="4"/>
  <c r="H433" i="4"/>
  <c r="I433" i="4" s="1"/>
  <c r="F433" i="4"/>
  <c r="C433" i="4"/>
  <c r="AC432" i="4"/>
  <c r="AD432" i="4" s="1"/>
  <c r="AA432" i="4"/>
  <c r="X432" i="4"/>
  <c r="W432" i="4"/>
  <c r="U432" i="4"/>
  <c r="R432" i="4"/>
  <c r="N432" i="4"/>
  <c r="O432" i="4" s="1"/>
  <c r="L432" i="4"/>
  <c r="I432" i="4"/>
  <c r="H432" i="4"/>
  <c r="F432" i="4"/>
  <c r="C432" i="4"/>
  <c r="Z429" i="4"/>
  <c r="AA429" i="4" s="1"/>
  <c r="W429" i="4"/>
  <c r="X429" i="4" s="1"/>
  <c r="U429" i="4"/>
  <c r="T429" i="4"/>
  <c r="R429" i="4"/>
  <c r="Q429" i="4"/>
  <c r="K429" i="4"/>
  <c r="L429" i="4" s="1"/>
  <c r="H429" i="4"/>
  <c r="I429" i="4" s="1"/>
  <c r="F429" i="4"/>
  <c r="E429" i="4"/>
  <c r="B429" i="4"/>
  <c r="C429" i="4" s="1"/>
  <c r="AC428" i="4"/>
  <c r="AD428" i="4" s="1"/>
  <c r="Z428" i="4"/>
  <c r="AA428" i="4" s="1"/>
  <c r="U428" i="4"/>
  <c r="T428" i="4"/>
  <c r="R428" i="4"/>
  <c r="Q428" i="4"/>
  <c r="L428" i="4"/>
  <c r="K428" i="4"/>
  <c r="F428" i="4"/>
  <c r="E428" i="4"/>
  <c r="B428" i="4"/>
  <c r="N428" i="4" s="1"/>
  <c r="O428" i="4" s="1"/>
  <c r="AD427" i="4"/>
  <c r="AC427" i="4"/>
  <c r="AA427" i="4"/>
  <c r="W427" i="4"/>
  <c r="X427" i="4" s="1"/>
  <c r="U427" i="4"/>
  <c r="R427" i="4"/>
  <c r="O427" i="4"/>
  <c r="N427" i="4"/>
  <c r="L427" i="4"/>
  <c r="I427" i="4"/>
  <c r="H427" i="4"/>
  <c r="F427" i="4"/>
  <c r="C427" i="4"/>
  <c r="AC426" i="4"/>
  <c r="AD426" i="4" s="1"/>
  <c r="AA426" i="4"/>
  <c r="W426" i="4"/>
  <c r="X426" i="4" s="1"/>
  <c r="U426" i="4"/>
  <c r="R426" i="4"/>
  <c r="O426" i="4"/>
  <c r="N426" i="4"/>
  <c r="L426" i="4"/>
  <c r="I426" i="4"/>
  <c r="H426" i="4"/>
  <c r="F426" i="4"/>
  <c r="C426" i="4"/>
  <c r="AC425" i="4"/>
  <c r="AD425" i="4" s="1"/>
  <c r="AA425" i="4"/>
  <c r="W425" i="4"/>
  <c r="X425" i="4" s="1"/>
  <c r="U425" i="4"/>
  <c r="R425" i="4"/>
  <c r="O425" i="4"/>
  <c r="N425" i="4"/>
  <c r="L425" i="4"/>
  <c r="H425" i="4"/>
  <c r="I425" i="4" s="1"/>
  <c r="F425" i="4"/>
  <c r="C425" i="4"/>
  <c r="AC424" i="4"/>
  <c r="AD424" i="4" s="1"/>
  <c r="AA424" i="4"/>
  <c r="X424" i="4"/>
  <c r="W424" i="4"/>
  <c r="U424" i="4"/>
  <c r="R424" i="4"/>
  <c r="N424" i="4"/>
  <c r="O424" i="4" s="1"/>
  <c r="L424" i="4"/>
  <c r="H424" i="4"/>
  <c r="I424" i="4" s="1"/>
  <c r="F424" i="4"/>
  <c r="C424" i="4"/>
  <c r="AC423" i="4"/>
  <c r="AA423" i="4"/>
  <c r="W423" i="4"/>
  <c r="X423" i="4" s="1"/>
  <c r="U423" i="4"/>
  <c r="R423" i="4"/>
  <c r="N423" i="4"/>
  <c r="O423" i="4" s="1"/>
  <c r="L423" i="4"/>
  <c r="H423" i="4"/>
  <c r="I423" i="4" s="1"/>
  <c r="F423" i="4"/>
  <c r="C423" i="4"/>
  <c r="AD422" i="4"/>
  <c r="AC422" i="4"/>
  <c r="AA422" i="4"/>
  <c r="W422" i="4"/>
  <c r="X422" i="4" s="1"/>
  <c r="U422" i="4"/>
  <c r="R422" i="4"/>
  <c r="O422" i="4"/>
  <c r="N422" i="4"/>
  <c r="L422" i="4"/>
  <c r="H422" i="4"/>
  <c r="F422" i="4"/>
  <c r="C422" i="4"/>
  <c r="AC421" i="4"/>
  <c r="AD421" i="4" s="1"/>
  <c r="AA421" i="4"/>
  <c r="X421" i="4"/>
  <c r="W421" i="4"/>
  <c r="U421" i="4"/>
  <c r="R421" i="4"/>
  <c r="N421" i="4"/>
  <c r="O421" i="4" s="1"/>
  <c r="L421" i="4"/>
  <c r="I421" i="4"/>
  <c r="H421" i="4"/>
  <c r="F421" i="4"/>
  <c r="C421" i="4"/>
  <c r="AD420" i="4"/>
  <c r="AC420" i="4"/>
  <c r="AA420" i="4"/>
  <c r="W420" i="4"/>
  <c r="X420" i="4" s="1"/>
  <c r="U420" i="4"/>
  <c r="R420" i="4"/>
  <c r="N420" i="4"/>
  <c r="L420" i="4"/>
  <c r="H420" i="4"/>
  <c r="I420" i="4" s="1"/>
  <c r="F420" i="4"/>
  <c r="C420" i="4"/>
  <c r="AD419" i="4"/>
  <c r="AC419" i="4"/>
  <c r="AA419" i="4"/>
  <c r="X419" i="4"/>
  <c r="W419" i="4"/>
  <c r="U419" i="4"/>
  <c r="R419" i="4"/>
  <c r="N419" i="4"/>
  <c r="O419" i="4" s="1"/>
  <c r="L419" i="4"/>
  <c r="H419" i="4"/>
  <c r="I419" i="4" s="1"/>
  <c r="F419" i="4"/>
  <c r="C419" i="4"/>
  <c r="AC418" i="4"/>
  <c r="AD418" i="4" s="1"/>
  <c r="AA418" i="4"/>
  <c r="W418" i="4"/>
  <c r="U418" i="4"/>
  <c r="R418" i="4"/>
  <c r="N418" i="4"/>
  <c r="O418" i="4" s="1"/>
  <c r="L418" i="4"/>
  <c r="I418" i="4"/>
  <c r="H418" i="4"/>
  <c r="F418" i="4"/>
  <c r="C418" i="4"/>
  <c r="AD417" i="4"/>
  <c r="AC417" i="4"/>
  <c r="AA417" i="4"/>
  <c r="W417" i="4"/>
  <c r="X417" i="4" s="1"/>
  <c r="U417" i="4"/>
  <c r="R417" i="4"/>
  <c r="N417" i="4"/>
  <c r="O417" i="4" s="1"/>
  <c r="L417" i="4"/>
  <c r="H417" i="4"/>
  <c r="I417" i="4" s="1"/>
  <c r="F417" i="4"/>
  <c r="C417" i="4"/>
  <c r="AC416" i="4"/>
  <c r="AD416" i="4" s="1"/>
  <c r="AA416" i="4"/>
  <c r="X416" i="4"/>
  <c r="W416" i="4"/>
  <c r="U416" i="4"/>
  <c r="R416" i="4"/>
  <c r="N416" i="4"/>
  <c r="O416" i="4" s="1"/>
  <c r="L416" i="4"/>
  <c r="I416" i="4"/>
  <c r="H416" i="4"/>
  <c r="F416" i="4"/>
  <c r="C416" i="4"/>
  <c r="AC415" i="4"/>
  <c r="AA415" i="4"/>
  <c r="W415" i="4"/>
  <c r="X415" i="4" s="1"/>
  <c r="U415" i="4"/>
  <c r="R415" i="4"/>
  <c r="O415" i="4"/>
  <c r="N415" i="4"/>
  <c r="L415" i="4"/>
  <c r="I415" i="4"/>
  <c r="H415" i="4"/>
  <c r="F415" i="4"/>
  <c r="C415" i="4"/>
  <c r="AC414" i="4"/>
  <c r="AD414" i="4" s="1"/>
  <c r="AA414" i="4"/>
  <c r="W414" i="4"/>
  <c r="X414" i="4" s="1"/>
  <c r="U414" i="4"/>
  <c r="R414" i="4"/>
  <c r="O414" i="4"/>
  <c r="N414" i="4"/>
  <c r="L414" i="4"/>
  <c r="I414" i="4"/>
  <c r="H414" i="4"/>
  <c r="F414" i="4"/>
  <c r="C414" i="4"/>
  <c r="AC413" i="4"/>
  <c r="AD413" i="4" s="1"/>
  <c r="AA413" i="4"/>
  <c r="X413" i="4"/>
  <c r="W413" i="4"/>
  <c r="U413" i="4"/>
  <c r="R413" i="4"/>
  <c r="N413" i="4"/>
  <c r="L413" i="4"/>
  <c r="H413" i="4"/>
  <c r="I413" i="4" s="1"/>
  <c r="F413" i="4"/>
  <c r="C413" i="4"/>
  <c r="AC412" i="4"/>
  <c r="AD412" i="4" s="1"/>
  <c r="AA412" i="4"/>
  <c r="W412" i="4"/>
  <c r="X412" i="4" s="1"/>
  <c r="U412" i="4"/>
  <c r="R412" i="4"/>
  <c r="N412" i="4"/>
  <c r="O412" i="4" s="1"/>
  <c r="L412" i="4"/>
  <c r="I412" i="4"/>
  <c r="H412" i="4"/>
  <c r="F412" i="4"/>
  <c r="C412" i="4"/>
  <c r="AD411" i="4"/>
  <c r="AC411" i="4"/>
  <c r="AA411" i="4"/>
  <c r="W411" i="4"/>
  <c r="X411" i="4" s="1"/>
  <c r="U411" i="4"/>
  <c r="R411" i="4"/>
  <c r="N411" i="4"/>
  <c r="O411" i="4" s="1"/>
  <c r="L411" i="4"/>
  <c r="I411" i="4"/>
  <c r="H411" i="4"/>
  <c r="F411" i="4"/>
  <c r="C411" i="4"/>
  <c r="AC410" i="4"/>
  <c r="AD410" i="4" s="1"/>
  <c r="AA410" i="4"/>
  <c r="W410" i="4"/>
  <c r="X410" i="4" s="1"/>
  <c r="U410" i="4"/>
  <c r="R410" i="4"/>
  <c r="N410" i="4"/>
  <c r="L410" i="4"/>
  <c r="I410" i="4"/>
  <c r="H410" i="4"/>
  <c r="F410" i="4"/>
  <c r="C410" i="4"/>
  <c r="AC409" i="4"/>
  <c r="AD409" i="4" s="1"/>
  <c r="AA409" i="4"/>
  <c r="W409" i="4"/>
  <c r="X409" i="4" s="1"/>
  <c r="U409" i="4"/>
  <c r="R409" i="4"/>
  <c r="O409" i="4"/>
  <c r="N409" i="4"/>
  <c r="L409" i="4"/>
  <c r="H409" i="4"/>
  <c r="I409" i="4" s="1"/>
  <c r="F409" i="4"/>
  <c r="C409" i="4"/>
  <c r="AD408" i="4"/>
  <c r="AC408" i="4"/>
  <c r="AA408" i="4"/>
  <c r="X408" i="4"/>
  <c r="W408" i="4"/>
  <c r="U408" i="4"/>
  <c r="R408" i="4"/>
  <c r="N408" i="4"/>
  <c r="O408" i="4" s="1"/>
  <c r="L408" i="4"/>
  <c r="H408" i="4"/>
  <c r="I408" i="4" s="1"/>
  <c r="F408" i="4"/>
  <c r="C408" i="4"/>
  <c r="AD407" i="4"/>
  <c r="AC407" i="4"/>
  <c r="AA407" i="4"/>
  <c r="X407" i="4"/>
  <c r="W407" i="4"/>
  <c r="U407" i="4"/>
  <c r="R407" i="4"/>
  <c r="N407" i="4"/>
  <c r="L407" i="4"/>
  <c r="I407" i="4"/>
  <c r="H407" i="4"/>
  <c r="F407" i="4"/>
  <c r="C407" i="4"/>
  <c r="AA403" i="4"/>
  <c r="Z403" i="4"/>
  <c r="U403" i="4"/>
  <c r="T403" i="4"/>
  <c r="Q403" i="4"/>
  <c r="N403" i="4"/>
  <c r="O403" i="4" s="1"/>
  <c r="K403" i="4"/>
  <c r="L403" i="4" s="1"/>
  <c r="I403" i="4"/>
  <c r="F403" i="4"/>
  <c r="E403" i="4"/>
  <c r="C403" i="4"/>
  <c r="B403" i="4"/>
  <c r="H403" i="4" s="1"/>
  <c r="AD402" i="4"/>
  <c r="AC402" i="4"/>
  <c r="AA402" i="4"/>
  <c r="W402" i="4"/>
  <c r="X402" i="4" s="1"/>
  <c r="U402" i="4"/>
  <c r="R402" i="4"/>
  <c r="O402" i="4"/>
  <c r="N402" i="4"/>
  <c r="L402" i="4"/>
  <c r="I402" i="4"/>
  <c r="H402" i="4"/>
  <c r="F402" i="4"/>
  <c r="C402" i="4"/>
  <c r="AC401" i="4"/>
  <c r="AD401" i="4" s="1"/>
  <c r="AA401" i="4"/>
  <c r="W401" i="4"/>
  <c r="X401" i="4" s="1"/>
  <c r="U401" i="4"/>
  <c r="R401" i="4"/>
  <c r="O401" i="4"/>
  <c r="N401" i="4"/>
  <c r="L401" i="4"/>
  <c r="I401" i="4"/>
  <c r="H401" i="4"/>
  <c r="F401" i="4"/>
  <c r="C401" i="4"/>
  <c r="AC400" i="4"/>
  <c r="AD400" i="4" s="1"/>
  <c r="AA400" i="4"/>
  <c r="W400" i="4"/>
  <c r="X400" i="4" s="1"/>
  <c r="U400" i="4"/>
  <c r="R400" i="4"/>
  <c r="N400" i="4"/>
  <c r="L400" i="4"/>
  <c r="I400" i="4"/>
  <c r="H400" i="4"/>
  <c r="F400" i="4"/>
  <c r="C400" i="4"/>
  <c r="AC399" i="4"/>
  <c r="AA399" i="4"/>
  <c r="W399" i="4"/>
  <c r="X399" i="4" s="1"/>
  <c r="U399" i="4"/>
  <c r="R399" i="4"/>
  <c r="O399" i="4"/>
  <c r="N399" i="4"/>
  <c r="L399" i="4"/>
  <c r="H399" i="4"/>
  <c r="I399" i="4" s="1"/>
  <c r="F399" i="4"/>
  <c r="C399" i="4"/>
  <c r="AC398" i="4"/>
  <c r="AD398" i="4" s="1"/>
  <c r="AA398" i="4"/>
  <c r="W398" i="4"/>
  <c r="X398" i="4" s="1"/>
  <c r="U398" i="4"/>
  <c r="R398" i="4"/>
  <c r="O398" i="4"/>
  <c r="N398" i="4"/>
  <c r="L398" i="4"/>
  <c r="I398" i="4"/>
  <c r="H398" i="4"/>
  <c r="F398" i="4"/>
  <c r="C398" i="4"/>
  <c r="AC397" i="4"/>
  <c r="AD397" i="4" s="1"/>
  <c r="AA397" i="4"/>
  <c r="X397" i="4"/>
  <c r="W397" i="4"/>
  <c r="U397" i="4"/>
  <c r="R397" i="4"/>
  <c r="N397" i="4"/>
  <c r="O397" i="4" s="1"/>
  <c r="L397" i="4"/>
  <c r="H397" i="4"/>
  <c r="I397" i="4" s="1"/>
  <c r="F397" i="4"/>
  <c r="C397" i="4"/>
  <c r="AC396" i="4"/>
  <c r="AD396" i="4" s="1"/>
  <c r="Z396" i="4"/>
  <c r="AA396" i="4" s="1"/>
  <c r="W396" i="4"/>
  <c r="X396" i="4" s="1"/>
  <c r="U396" i="4"/>
  <c r="T396" i="4"/>
  <c r="R396" i="4"/>
  <c r="Q396" i="4"/>
  <c r="K396" i="4"/>
  <c r="L396" i="4" s="1"/>
  <c r="F396" i="4"/>
  <c r="E396" i="4"/>
  <c r="C396" i="4"/>
  <c r="B396" i="4"/>
  <c r="AD395" i="4"/>
  <c r="AC395" i="4"/>
  <c r="AA395" i="4"/>
  <c r="W395" i="4"/>
  <c r="X395" i="4" s="1"/>
  <c r="U395" i="4"/>
  <c r="R395" i="4"/>
  <c r="O395" i="4"/>
  <c r="N395" i="4"/>
  <c r="L395" i="4"/>
  <c r="H395" i="4"/>
  <c r="F395" i="4"/>
  <c r="C395" i="4"/>
  <c r="AD394" i="4"/>
  <c r="AC394" i="4"/>
  <c r="AA394" i="4"/>
  <c r="X394" i="4"/>
  <c r="W394" i="4"/>
  <c r="U394" i="4"/>
  <c r="R394" i="4"/>
  <c r="N394" i="4"/>
  <c r="O394" i="4" s="1"/>
  <c r="L394" i="4"/>
  <c r="I394" i="4"/>
  <c r="H394" i="4"/>
  <c r="F394" i="4"/>
  <c r="C394" i="4"/>
  <c r="Z393" i="4"/>
  <c r="AC393" i="4" s="1"/>
  <c r="AD393" i="4" s="1"/>
  <c r="U393" i="4"/>
  <c r="T393" i="4"/>
  <c r="Q393" i="4"/>
  <c r="N393" i="4"/>
  <c r="O393" i="4" s="1"/>
  <c r="L393" i="4"/>
  <c r="K393" i="4"/>
  <c r="F393" i="4"/>
  <c r="E393" i="4"/>
  <c r="B393" i="4"/>
  <c r="AC392" i="4"/>
  <c r="AD392" i="4" s="1"/>
  <c r="AA392" i="4"/>
  <c r="W392" i="4"/>
  <c r="U392" i="4"/>
  <c r="R392" i="4"/>
  <c r="N392" i="4"/>
  <c r="O392" i="4" s="1"/>
  <c r="L392" i="4"/>
  <c r="I392" i="4"/>
  <c r="H392" i="4"/>
  <c r="F392" i="4"/>
  <c r="C392" i="4"/>
  <c r="AC391" i="4"/>
  <c r="AD391" i="4" s="1"/>
  <c r="AA391" i="4"/>
  <c r="X391" i="4"/>
  <c r="W391" i="4"/>
  <c r="U391" i="4"/>
  <c r="R391" i="4"/>
  <c r="O391" i="4"/>
  <c r="N391" i="4"/>
  <c r="L391" i="4"/>
  <c r="H391" i="4"/>
  <c r="I391" i="4" s="1"/>
  <c r="F391" i="4"/>
  <c r="C391" i="4"/>
  <c r="AC390" i="4"/>
  <c r="AA390" i="4"/>
  <c r="W390" i="4"/>
  <c r="X390" i="4" s="1"/>
  <c r="U390" i="4"/>
  <c r="R390" i="4"/>
  <c r="N390" i="4"/>
  <c r="O390" i="4" s="1"/>
  <c r="L390" i="4"/>
  <c r="H390" i="4"/>
  <c r="I390" i="4" s="1"/>
  <c r="F390" i="4"/>
  <c r="C390" i="4"/>
  <c r="AD389" i="4"/>
  <c r="AC389" i="4"/>
  <c r="AA389" i="4"/>
  <c r="W389" i="4"/>
  <c r="X389" i="4" s="1"/>
  <c r="U389" i="4"/>
  <c r="R389" i="4"/>
  <c r="N389" i="4"/>
  <c r="O389" i="4" s="1"/>
  <c r="L389" i="4"/>
  <c r="I389" i="4"/>
  <c r="H389" i="4"/>
  <c r="F389" i="4"/>
  <c r="C389" i="4"/>
  <c r="AD388" i="4"/>
  <c r="AC388" i="4"/>
  <c r="AA388" i="4"/>
  <c r="W388" i="4"/>
  <c r="X388" i="4" s="1"/>
  <c r="U388" i="4"/>
  <c r="R388" i="4"/>
  <c r="O388" i="4"/>
  <c r="N388" i="4"/>
  <c r="L388" i="4"/>
  <c r="I388" i="4"/>
  <c r="H388" i="4"/>
  <c r="F388" i="4"/>
  <c r="C388" i="4"/>
  <c r="AC386" i="4"/>
  <c r="AD386" i="4" s="1"/>
  <c r="AA386" i="4"/>
  <c r="W386" i="4"/>
  <c r="X386" i="4" s="1"/>
  <c r="U386" i="4"/>
  <c r="R386" i="4"/>
  <c r="O386" i="4"/>
  <c r="N386" i="4"/>
  <c r="L386" i="4"/>
  <c r="I386" i="4"/>
  <c r="H386" i="4"/>
  <c r="F386" i="4"/>
  <c r="C386" i="4"/>
  <c r="AC385" i="4"/>
  <c r="AD385" i="4" s="1"/>
  <c r="AA385" i="4"/>
  <c r="W385" i="4"/>
  <c r="X385" i="4" s="1"/>
  <c r="U385" i="4"/>
  <c r="R385" i="4"/>
  <c r="N385" i="4"/>
  <c r="L385" i="4"/>
  <c r="I385" i="4"/>
  <c r="H385" i="4"/>
  <c r="F385" i="4"/>
  <c r="C385" i="4"/>
  <c r="AC383" i="4"/>
  <c r="AA383" i="4"/>
  <c r="W383" i="4"/>
  <c r="X383" i="4" s="1"/>
  <c r="U383" i="4"/>
  <c r="R383" i="4"/>
  <c r="O383" i="4"/>
  <c r="N383" i="4"/>
  <c r="L383" i="4"/>
  <c r="H383" i="4"/>
  <c r="I383" i="4" s="1"/>
  <c r="F383" i="4"/>
  <c r="C383" i="4"/>
  <c r="AC382" i="4"/>
  <c r="AD382" i="4" s="1"/>
  <c r="AA382" i="4"/>
  <c r="W382" i="4"/>
  <c r="X382" i="4" s="1"/>
  <c r="U382" i="4"/>
  <c r="R382" i="4"/>
  <c r="O382" i="4"/>
  <c r="N382" i="4"/>
  <c r="L382" i="4"/>
  <c r="I382" i="4"/>
  <c r="H382" i="4"/>
  <c r="F382" i="4"/>
  <c r="C382" i="4"/>
  <c r="AC381" i="4"/>
  <c r="AD381" i="4" s="1"/>
  <c r="AA381" i="4"/>
  <c r="X381" i="4"/>
  <c r="W381" i="4"/>
  <c r="U381" i="4"/>
  <c r="R381" i="4"/>
  <c r="N381" i="4"/>
  <c r="O381" i="4" s="1"/>
  <c r="L381" i="4"/>
  <c r="H381" i="4"/>
  <c r="I381" i="4" s="1"/>
  <c r="F381" i="4"/>
  <c r="C381" i="4"/>
  <c r="AC380" i="4"/>
  <c r="AD380" i="4" s="1"/>
  <c r="AA380" i="4"/>
  <c r="X380" i="4"/>
  <c r="W380" i="4"/>
  <c r="U380" i="4"/>
  <c r="R380" i="4"/>
  <c r="N380" i="4"/>
  <c r="O380" i="4" s="1"/>
  <c r="L380" i="4"/>
  <c r="I380" i="4"/>
  <c r="H380" i="4"/>
  <c r="F380" i="4"/>
  <c r="C380" i="4"/>
  <c r="AD379" i="4"/>
  <c r="AC379" i="4"/>
  <c r="AA379" i="4"/>
  <c r="W379" i="4"/>
  <c r="X379" i="4" s="1"/>
  <c r="U379" i="4"/>
  <c r="R379" i="4"/>
  <c r="N379" i="4"/>
  <c r="O379" i="4" s="1"/>
  <c r="L379" i="4"/>
  <c r="H379" i="4"/>
  <c r="I379" i="4" s="1"/>
  <c r="F379" i="4"/>
  <c r="C379" i="4"/>
  <c r="AC378" i="4"/>
  <c r="AA378" i="4"/>
  <c r="W378" i="4"/>
  <c r="X378" i="4" s="1"/>
  <c r="U378" i="4"/>
  <c r="R378" i="4"/>
  <c r="N378" i="4"/>
  <c r="O378" i="4" s="1"/>
  <c r="L378" i="4"/>
  <c r="H378" i="4"/>
  <c r="F378" i="4"/>
  <c r="C378" i="4"/>
  <c r="AC377" i="4"/>
  <c r="AD377" i="4" s="1"/>
  <c r="AA377" i="4"/>
  <c r="X377" i="4"/>
  <c r="W377" i="4"/>
  <c r="U377" i="4"/>
  <c r="R377" i="4"/>
  <c r="N377" i="4"/>
  <c r="O377" i="4" s="1"/>
  <c r="L377" i="4"/>
  <c r="H377" i="4"/>
  <c r="I377" i="4" s="1"/>
  <c r="F377" i="4"/>
  <c r="C377" i="4"/>
  <c r="AD376" i="4"/>
  <c r="AC376" i="4"/>
  <c r="AA376" i="4"/>
  <c r="X376" i="4"/>
  <c r="W376" i="4"/>
  <c r="U376" i="4"/>
  <c r="R376" i="4"/>
  <c r="N376" i="4"/>
  <c r="L376" i="4"/>
  <c r="I376" i="4"/>
  <c r="H376" i="4"/>
  <c r="F376" i="4"/>
  <c r="C376" i="4"/>
  <c r="AD375" i="4"/>
  <c r="AC375" i="4"/>
  <c r="AA375" i="4"/>
  <c r="X375" i="4"/>
  <c r="W375" i="4"/>
  <c r="U375" i="4"/>
  <c r="R375" i="4"/>
  <c r="N375" i="4"/>
  <c r="O375" i="4" s="1"/>
  <c r="L375" i="4"/>
  <c r="H375" i="4"/>
  <c r="I375" i="4" s="1"/>
  <c r="F375" i="4"/>
  <c r="C375" i="4"/>
  <c r="AD374" i="4"/>
  <c r="AC374" i="4"/>
  <c r="AA374" i="4"/>
  <c r="W374" i="4"/>
  <c r="U374" i="4"/>
  <c r="R374" i="4"/>
  <c r="N374" i="4"/>
  <c r="O374" i="4" s="1"/>
  <c r="L374" i="4"/>
  <c r="I374" i="4"/>
  <c r="H374" i="4"/>
  <c r="F374" i="4"/>
  <c r="C374" i="4"/>
  <c r="AD373" i="4"/>
  <c r="AC373" i="4"/>
  <c r="AA373" i="4"/>
  <c r="X373" i="4"/>
  <c r="W373" i="4"/>
  <c r="U373" i="4"/>
  <c r="R373" i="4"/>
  <c r="N373" i="4"/>
  <c r="O373" i="4" s="1"/>
  <c r="L373" i="4"/>
  <c r="H373" i="4"/>
  <c r="I373" i="4" s="1"/>
  <c r="F373" i="4"/>
  <c r="C373" i="4"/>
  <c r="AC372" i="4"/>
  <c r="AA372" i="4"/>
  <c r="W372" i="4"/>
  <c r="X372" i="4" s="1"/>
  <c r="U372" i="4"/>
  <c r="R372" i="4"/>
  <c r="N372" i="4"/>
  <c r="L372" i="4"/>
  <c r="H372" i="4"/>
  <c r="I372" i="4" s="1"/>
  <c r="F372" i="4"/>
  <c r="C372" i="4"/>
  <c r="AD371" i="4"/>
  <c r="AC371" i="4"/>
  <c r="AA371" i="4"/>
  <c r="W371" i="4"/>
  <c r="X371" i="4" s="1"/>
  <c r="U371" i="4"/>
  <c r="R371" i="4"/>
  <c r="N371" i="4"/>
  <c r="O371" i="4" s="1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O370" i="4"/>
  <c r="N370" i="4"/>
  <c r="L370" i="4"/>
  <c r="I370" i="4"/>
  <c r="H370" i="4"/>
  <c r="F370" i="4"/>
  <c r="C370" i="4"/>
  <c r="AC369" i="4"/>
  <c r="AA369" i="4"/>
  <c r="W369" i="4"/>
  <c r="X369" i="4" s="1"/>
  <c r="U369" i="4"/>
  <c r="R369" i="4"/>
  <c r="O369" i="4"/>
  <c r="N369" i="4"/>
  <c r="L369" i="4"/>
  <c r="I369" i="4"/>
  <c r="H369" i="4"/>
  <c r="F369" i="4"/>
  <c r="C369" i="4"/>
  <c r="Z368" i="4"/>
  <c r="AA368" i="4" s="1"/>
  <c r="W368" i="4"/>
  <c r="X368" i="4" s="1"/>
  <c r="U368" i="4"/>
  <c r="T368" i="4"/>
  <c r="R368" i="4"/>
  <c r="Q368" i="4"/>
  <c r="N368" i="4"/>
  <c r="O368" i="4" s="1"/>
  <c r="L368" i="4"/>
  <c r="K368" i="4"/>
  <c r="E368" i="4"/>
  <c r="F368" i="4" s="1"/>
  <c r="C368" i="4"/>
  <c r="B368" i="4"/>
  <c r="AC367" i="4"/>
  <c r="AD367" i="4" s="1"/>
  <c r="AA367" i="4"/>
  <c r="W367" i="4"/>
  <c r="X367" i="4" s="1"/>
  <c r="U367" i="4"/>
  <c r="R367" i="4"/>
  <c r="O367" i="4"/>
  <c r="N367" i="4"/>
  <c r="L367" i="4"/>
  <c r="I367" i="4"/>
  <c r="H367" i="4"/>
  <c r="F367" i="4"/>
  <c r="C367" i="4"/>
  <c r="AC366" i="4"/>
  <c r="AD366" i="4" s="1"/>
  <c r="AA366" i="4"/>
  <c r="X366" i="4"/>
  <c r="W366" i="4"/>
  <c r="U366" i="4"/>
  <c r="R366" i="4"/>
  <c r="N366" i="4"/>
  <c r="O366" i="4" s="1"/>
  <c r="L366" i="4"/>
  <c r="H366" i="4"/>
  <c r="I366" i="4" s="1"/>
  <c r="F366" i="4"/>
  <c r="C366" i="4"/>
  <c r="AC365" i="4"/>
  <c r="AD365" i="4" s="1"/>
  <c r="AA365" i="4"/>
  <c r="X365" i="4"/>
  <c r="W365" i="4"/>
  <c r="U365" i="4"/>
  <c r="R365" i="4"/>
  <c r="N365" i="4"/>
  <c r="O365" i="4" s="1"/>
  <c r="L365" i="4"/>
  <c r="I365" i="4"/>
  <c r="H365" i="4"/>
  <c r="F365" i="4"/>
  <c r="C365" i="4"/>
  <c r="AD364" i="4"/>
  <c r="AC364" i="4"/>
  <c r="AA364" i="4"/>
  <c r="W364" i="4"/>
  <c r="X364" i="4" s="1"/>
  <c r="U364" i="4"/>
  <c r="R364" i="4"/>
  <c r="N364" i="4"/>
  <c r="O364" i="4" s="1"/>
  <c r="L364" i="4"/>
  <c r="I364" i="4"/>
  <c r="H364" i="4"/>
  <c r="F364" i="4"/>
  <c r="C364" i="4"/>
  <c r="AC363" i="4"/>
  <c r="AA363" i="4"/>
  <c r="W363" i="4"/>
  <c r="X363" i="4" s="1"/>
  <c r="U363" i="4"/>
  <c r="R363" i="4"/>
  <c r="N363" i="4"/>
  <c r="O363" i="4" s="1"/>
  <c r="L363" i="4"/>
  <c r="I363" i="4"/>
  <c r="H363" i="4"/>
  <c r="F363" i="4"/>
  <c r="C363" i="4"/>
  <c r="AD362" i="4"/>
  <c r="AC362" i="4"/>
  <c r="AA362" i="4"/>
  <c r="X362" i="4"/>
  <c r="W362" i="4"/>
  <c r="U362" i="4"/>
  <c r="R362" i="4"/>
  <c r="N362" i="4"/>
  <c r="O362" i="4" s="1"/>
  <c r="L362" i="4"/>
  <c r="I362" i="4"/>
  <c r="H362" i="4"/>
  <c r="F362" i="4"/>
  <c r="C362" i="4"/>
  <c r="AC361" i="4"/>
  <c r="AD361" i="4" s="1"/>
  <c r="AA361" i="4"/>
  <c r="W361" i="4"/>
  <c r="X361" i="4" s="1"/>
  <c r="U361" i="4"/>
  <c r="R361" i="4"/>
  <c r="N361" i="4"/>
  <c r="O361" i="4" s="1"/>
  <c r="L361" i="4"/>
  <c r="H361" i="4"/>
  <c r="I361" i="4" s="1"/>
  <c r="F361" i="4"/>
  <c r="C361" i="4"/>
  <c r="AC360" i="4"/>
  <c r="AA360" i="4"/>
  <c r="X360" i="4"/>
  <c r="W360" i="4"/>
  <c r="U360" i="4"/>
  <c r="R360" i="4"/>
  <c r="O360" i="4"/>
  <c r="N360" i="4"/>
  <c r="L360" i="4"/>
  <c r="I360" i="4"/>
  <c r="H360" i="4"/>
  <c r="F360" i="4"/>
  <c r="C360" i="4"/>
  <c r="AA358" i="4"/>
  <c r="Z358" i="4"/>
  <c r="W358" i="4"/>
  <c r="X358" i="4" s="1"/>
  <c r="U358" i="4"/>
  <c r="T358" i="4"/>
  <c r="Q358" i="4"/>
  <c r="R358" i="4" s="1"/>
  <c r="K358" i="4"/>
  <c r="L358" i="4" s="1"/>
  <c r="E358" i="4"/>
  <c r="C358" i="4"/>
  <c r="B358" i="4"/>
  <c r="N358" i="4" s="1"/>
  <c r="O358" i="4" s="1"/>
  <c r="AC357" i="4"/>
  <c r="AA357" i="4"/>
  <c r="W357" i="4"/>
  <c r="X357" i="4" s="1"/>
  <c r="U357" i="4"/>
  <c r="R357" i="4"/>
  <c r="N357" i="4"/>
  <c r="L357" i="4"/>
  <c r="H357" i="4"/>
  <c r="I357" i="4" s="1"/>
  <c r="F357" i="4"/>
  <c r="C357" i="4"/>
  <c r="AD356" i="4"/>
  <c r="AC356" i="4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O355" i="4"/>
  <c r="N355" i="4"/>
  <c r="L355" i="4"/>
  <c r="I355" i="4"/>
  <c r="H355" i="4"/>
  <c r="F355" i="4"/>
  <c r="C355" i="4"/>
  <c r="AC354" i="4"/>
  <c r="AA354" i="4"/>
  <c r="W354" i="4"/>
  <c r="X354" i="4" s="1"/>
  <c r="U354" i="4"/>
  <c r="R354" i="4"/>
  <c r="O354" i="4"/>
  <c r="N354" i="4"/>
  <c r="L354" i="4"/>
  <c r="I354" i="4"/>
  <c r="H354" i="4"/>
  <c r="F354" i="4"/>
  <c r="C354" i="4"/>
  <c r="AD353" i="4"/>
  <c r="AC353" i="4"/>
  <c r="AA353" i="4"/>
  <c r="W353" i="4"/>
  <c r="X353" i="4" s="1"/>
  <c r="U353" i="4"/>
  <c r="R353" i="4"/>
  <c r="N353" i="4"/>
  <c r="O353" i="4" s="1"/>
  <c r="L353" i="4"/>
  <c r="I353" i="4"/>
  <c r="H353" i="4"/>
  <c r="F353" i="4"/>
  <c r="C353" i="4"/>
  <c r="AC352" i="4"/>
  <c r="AA352" i="4"/>
  <c r="X352" i="4"/>
  <c r="W352" i="4"/>
  <c r="U352" i="4"/>
  <c r="R352" i="4"/>
  <c r="O352" i="4"/>
  <c r="N352" i="4"/>
  <c r="L352" i="4"/>
  <c r="I352" i="4"/>
  <c r="H352" i="4"/>
  <c r="F352" i="4"/>
  <c r="C352" i="4"/>
  <c r="AC351" i="4"/>
  <c r="AD351" i="4" s="1"/>
  <c r="AA351" i="4"/>
  <c r="W351" i="4"/>
  <c r="X351" i="4" s="1"/>
  <c r="U351" i="4"/>
  <c r="R351" i="4"/>
  <c r="O351" i="4"/>
  <c r="N351" i="4"/>
  <c r="L351" i="4"/>
  <c r="I351" i="4"/>
  <c r="H351" i="4"/>
  <c r="F351" i="4"/>
  <c r="C351" i="4"/>
  <c r="AD350" i="4"/>
  <c r="AC350" i="4"/>
  <c r="AA350" i="4"/>
  <c r="W350" i="4"/>
  <c r="X350" i="4" s="1"/>
  <c r="U350" i="4"/>
  <c r="R350" i="4"/>
  <c r="O350" i="4"/>
  <c r="N350" i="4"/>
  <c r="L350" i="4"/>
  <c r="H350" i="4"/>
  <c r="I350" i="4" s="1"/>
  <c r="F350" i="4"/>
  <c r="C350" i="4"/>
  <c r="AC349" i="4"/>
  <c r="AD349" i="4" s="1"/>
  <c r="AA349" i="4"/>
  <c r="X349" i="4"/>
  <c r="W349" i="4"/>
  <c r="U349" i="4"/>
  <c r="R349" i="4"/>
  <c r="N349" i="4"/>
  <c r="O349" i="4" s="1"/>
  <c r="L349" i="4"/>
  <c r="H349" i="4"/>
  <c r="I349" i="4" s="1"/>
  <c r="F349" i="4"/>
  <c r="C349" i="4"/>
  <c r="AD347" i="4"/>
  <c r="AC347" i="4"/>
  <c r="AA347" i="4"/>
  <c r="W347" i="4"/>
  <c r="X347" i="4" s="1"/>
  <c r="U347" i="4"/>
  <c r="R347" i="4"/>
  <c r="N347" i="4"/>
  <c r="O347" i="4" s="1"/>
  <c r="L347" i="4"/>
  <c r="H347" i="4"/>
  <c r="I347" i="4" s="1"/>
  <c r="F347" i="4"/>
  <c r="C347" i="4"/>
  <c r="Z344" i="4"/>
  <c r="AC344" i="4" s="1"/>
  <c r="AD344" i="4" s="1"/>
  <c r="X344" i="4"/>
  <c r="W344" i="4"/>
  <c r="U344" i="4"/>
  <c r="T344" i="4"/>
  <c r="Q344" i="4"/>
  <c r="R344" i="4" s="1"/>
  <c r="K344" i="4"/>
  <c r="N344" i="4" s="1"/>
  <c r="O344" i="4" s="1"/>
  <c r="I344" i="4"/>
  <c r="F344" i="4"/>
  <c r="E344" i="4"/>
  <c r="B344" i="4"/>
  <c r="H344" i="4" s="1"/>
  <c r="AA343" i="4"/>
  <c r="Z343" i="4"/>
  <c r="U343" i="4"/>
  <c r="T343" i="4"/>
  <c r="Q343" i="4"/>
  <c r="K343" i="4"/>
  <c r="L343" i="4" s="1"/>
  <c r="F343" i="4"/>
  <c r="E343" i="4"/>
  <c r="H343" i="4" s="1"/>
  <c r="I343" i="4" s="1"/>
  <c r="C343" i="4"/>
  <c r="B343" i="4"/>
  <c r="AA342" i="4"/>
  <c r="Z342" i="4"/>
  <c r="U342" i="4"/>
  <c r="T342" i="4"/>
  <c r="Q342" i="4"/>
  <c r="L342" i="4"/>
  <c r="K342" i="4"/>
  <c r="E342" i="4"/>
  <c r="F342" i="4" s="1"/>
  <c r="C342" i="4"/>
  <c r="B342" i="4"/>
  <c r="AC341" i="4"/>
  <c r="AD341" i="4" s="1"/>
  <c r="AA341" i="4"/>
  <c r="W341" i="4"/>
  <c r="X341" i="4" s="1"/>
  <c r="U341" i="4"/>
  <c r="R341" i="4"/>
  <c r="O341" i="4"/>
  <c r="N341" i="4"/>
  <c r="L341" i="4"/>
  <c r="I341" i="4"/>
  <c r="H341" i="4"/>
  <c r="F341" i="4"/>
  <c r="C341" i="4"/>
  <c r="AC340" i="4"/>
  <c r="AD340" i="4" s="1"/>
  <c r="AA340" i="4"/>
  <c r="W340" i="4"/>
  <c r="X340" i="4" s="1"/>
  <c r="U340" i="4"/>
  <c r="R340" i="4"/>
  <c r="N340" i="4"/>
  <c r="O340" i="4" s="1"/>
  <c r="L340" i="4"/>
  <c r="I340" i="4"/>
  <c r="H340" i="4"/>
  <c r="F340" i="4"/>
  <c r="C340" i="4"/>
  <c r="AC339" i="4"/>
  <c r="AD339" i="4" s="1"/>
  <c r="AA339" i="4"/>
  <c r="W339" i="4"/>
  <c r="X339" i="4" s="1"/>
  <c r="U339" i="4"/>
  <c r="R339" i="4"/>
  <c r="N339" i="4"/>
  <c r="L339" i="4"/>
  <c r="I339" i="4"/>
  <c r="H339" i="4"/>
  <c r="F339" i="4"/>
  <c r="C339" i="4"/>
  <c r="AC338" i="4"/>
  <c r="AA338" i="4"/>
  <c r="W338" i="4"/>
  <c r="X338" i="4" s="1"/>
  <c r="U338" i="4"/>
  <c r="R338" i="4"/>
  <c r="O338" i="4"/>
  <c r="N338" i="4"/>
  <c r="L338" i="4"/>
  <c r="H338" i="4"/>
  <c r="I338" i="4" s="1"/>
  <c r="F338" i="4"/>
  <c r="C338" i="4"/>
  <c r="AD337" i="4"/>
  <c r="AC337" i="4"/>
  <c r="AA337" i="4"/>
  <c r="W337" i="4"/>
  <c r="X337" i="4" s="1"/>
  <c r="U337" i="4"/>
  <c r="R337" i="4"/>
  <c r="O337" i="4"/>
  <c r="N337" i="4"/>
  <c r="L337" i="4"/>
  <c r="I337" i="4"/>
  <c r="H337" i="4"/>
  <c r="F337" i="4"/>
  <c r="C337" i="4"/>
  <c r="AC335" i="4"/>
  <c r="AD335" i="4" s="1"/>
  <c r="AA335" i="4"/>
  <c r="W335" i="4"/>
  <c r="X335" i="4" s="1"/>
  <c r="U335" i="4"/>
  <c r="R335" i="4"/>
  <c r="N335" i="4"/>
  <c r="O335" i="4" s="1"/>
  <c r="L335" i="4"/>
  <c r="I335" i="4"/>
  <c r="H335" i="4"/>
  <c r="F335" i="4"/>
  <c r="C335" i="4"/>
  <c r="AD334" i="4"/>
  <c r="AC334" i="4"/>
  <c r="AA334" i="4"/>
  <c r="W334" i="4"/>
  <c r="X334" i="4" s="1"/>
  <c r="U334" i="4"/>
  <c r="R334" i="4"/>
  <c r="N334" i="4"/>
  <c r="L334" i="4"/>
  <c r="H334" i="4"/>
  <c r="I334" i="4" s="1"/>
  <c r="F334" i="4"/>
  <c r="C334" i="4"/>
  <c r="AD333" i="4"/>
  <c r="AC333" i="4"/>
  <c r="AA333" i="4"/>
  <c r="X333" i="4"/>
  <c r="W333" i="4"/>
  <c r="U333" i="4"/>
  <c r="R333" i="4"/>
  <c r="N333" i="4"/>
  <c r="O333" i="4" s="1"/>
  <c r="L333" i="4"/>
  <c r="H333" i="4"/>
  <c r="I333" i="4" s="1"/>
  <c r="F333" i="4"/>
  <c r="C333" i="4"/>
  <c r="AC332" i="4"/>
  <c r="AD332" i="4" s="1"/>
  <c r="AA332" i="4"/>
  <c r="W332" i="4"/>
  <c r="X332" i="4" s="1"/>
  <c r="U332" i="4"/>
  <c r="R332" i="4"/>
  <c r="N332" i="4"/>
  <c r="O332" i="4" s="1"/>
  <c r="L332" i="4"/>
  <c r="I332" i="4"/>
  <c r="H332" i="4"/>
  <c r="F332" i="4"/>
  <c r="C332" i="4"/>
  <c r="AD331" i="4"/>
  <c r="AC331" i="4"/>
  <c r="AA331" i="4"/>
  <c r="X331" i="4"/>
  <c r="W331" i="4"/>
  <c r="U331" i="4"/>
  <c r="R331" i="4"/>
  <c r="N331" i="4"/>
  <c r="O331" i="4" s="1"/>
  <c r="L331" i="4"/>
  <c r="H331" i="4"/>
  <c r="I331" i="4" s="1"/>
  <c r="F331" i="4"/>
  <c r="C331" i="4"/>
  <c r="AD330" i="4"/>
  <c r="AC330" i="4"/>
  <c r="AA330" i="4"/>
  <c r="W330" i="4"/>
  <c r="X330" i="4" s="1"/>
  <c r="U330" i="4"/>
  <c r="R330" i="4"/>
  <c r="N330" i="4"/>
  <c r="O330" i="4" s="1"/>
  <c r="L330" i="4"/>
  <c r="H330" i="4"/>
  <c r="I330" i="4" s="1"/>
  <c r="F330" i="4"/>
  <c r="C330" i="4"/>
  <c r="AD329" i="4"/>
  <c r="AC329" i="4"/>
  <c r="AA329" i="4"/>
  <c r="X329" i="4"/>
  <c r="W329" i="4"/>
  <c r="U329" i="4"/>
  <c r="R329" i="4"/>
  <c r="N329" i="4"/>
  <c r="O329" i="4" s="1"/>
  <c r="L329" i="4"/>
  <c r="I329" i="4"/>
  <c r="H329" i="4"/>
  <c r="F329" i="4"/>
  <c r="C329" i="4"/>
  <c r="AC328" i="4"/>
  <c r="AD328" i="4" s="1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AA325" i="4"/>
  <c r="Z325" i="4"/>
  <c r="U325" i="4"/>
  <c r="T325" i="4"/>
  <c r="Q325" i="4"/>
  <c r="L325" i="4"/>
  <c r="K325" i="4"/>
  <c r="H325" i="4"/>
  <c r="I325" i="4" s="1"/>
  <c r="F325" i="4"/>
  <c r="E325" i="4"/>
  <c r="B325" i="4"/>
  <c r="C325" i="4" s="1"/>
  <c r="Z324" i="4"/>
  <c r="AA324" i="4" s="1"/>
  <c r="X324" i="4"/>
  <c r="W324" i="4"/>
  <c r="U324" i="4"/>
  <c r="T324" i="4"/>
  <c r="R324" i="4"/>
  <c r="Q324" i="4"/>
  <c r="N324" i="4"/>
  <c r="O324" i="4" s="1"/>
  <c r="L324" i="4"/>
  <c r="K324" i="4"/>
  <c r="F324" i="4"/>
  <c r="E324" i="4"/>
  <c r="B324" i="4"/>
  <c r="AC323" i="4"/>
  <c r="AD323" i="4" s="1"/>
  <c r="AA323" i="4"/>
  <c r="W323" i="4"/>
  <c r="X323" i="4" s="1"/>
  <c r="U323" i="4"/>
  <c r="R323" i="4"/>
  <c r="O323" i="4"/>
  <c r="N323" i="4"/>
  <c r="L323" i="4"/>
  <c r="I323" i="4"/>
  <c r="H323" i="4"/>
  <c r="F323" i="4"/>
  <c r="C323" i="4"/>
  <c r="AC322" i="4"/>
  <c r="AD322" i="4" s="1"/>
  <c r="AA322" i="4"/>
  <c r="X322" i="4"/>
  <c r="W322" i="4"/>
  <c r="U322" i="4"/>
  <c r="R322" i="4"/>
  <c r="N322" i="4"/>
  <c r="L322" i="4"/>
  <c r="H322" i="4"/>
  <c r="I322" i="4" s="1"/>
  <c r="F322" i="4"/>
  <c r="C322" i="4"/>
  <c r="AC321" i="4"/>
  <c r="AA321" i="4"/>
  <c r="W321" i="4"/>
  <c r="X321" i="4" s="1"/>
  <c r="U321" i="4"/>
  <c r="R321" i="4"/>
  <c r="O321" i="4"/>
  <c r="N321" i="4"/>
  <c r="L321" i="4"/>
  <c r="H321" i="4"/>
  <c r="I321" i="4" s="1"/>
  <c r="F321" i="4"/>
  <c r="C321" i="4"/>
  <c r="AD320" i="4"/>
  <c r="AC320" i="4"/>
  <c r="AA320" i="4"/>
  <c r="W320" i="4"/>
  <c r="X320" i="4" s="1"/>
  <c r="U320" i="4"/>
  <c r="R320" i="4"/>
  <c r="N320" i="4"/>
  <c r="O320" i="4" s="1"/>
  <c r="L320" i="4"/>
  <c r="I320" i="4"/>
  <c r="H320" i="4"/>
  <c r="F320" i="4"/>
  <c r="C320" i="4"/>
  <c r="AC319" i="4"/>
  <c r="AD319" i="4" s="1"/>
  <c r="AA319" i="4"/>
  <c r="X319" i="4"/>
  <c r="W319" i="4"/>
  <c r="U319" i="4"/>
  <c r="R319" i="4"/>
  <c r="N319" i="4"/>
  <c r="O319" i="4" s="1"/>
  <c r="L319" i="4"/>
  <c r="I319" i="4"/>
  <c r="H319" i="4"/>
  <c r="F319" i="4"/>
  <c r="C319" i="4"/>
  <c r="AD318" i="4"/>
  <c r="AC318" i="4"/>
  <c r="AA318" i="4"/>
  <c r="W318" i="4"/>
  <c r="X318" i="4" s="1"/>
  <c r="U318" i="4"/>
  <c r="R318" i="4"/>
  <c r="N318" i="4"/>
  <c r="L318" i="4"/>
  <c r="H318" i="4"/>
  <c r="I318" i="4" s="1"/>
  <c r="F318" i="4"/>
  <c r="C318" i="4"/>
  <c r="AD317" i="4"/>
  <c r="AC317" i="4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D316" i="4"/>
  <c r="AC316" i="4"/>
  <c r="AA316" i="4"/>
  <c r="W316" i="4"/>
  <c r="X316" i="4" s="1"/>
  <c r="U316" i="4"/>
  <c r="R316" i="4"/>
  <c r="N316" i="4"/>
  <c r="O316" i="4" s="1"/>
  <c r="L316" i="4"/>
  <c r="I316" i="4"/>
  <c r="H316" i="4"/>
  <c r="F316" i="4"/>
  <c r="C316" i="4"/>
  <c r="AD315" i="4"/>
  <c r="AC315" i="4"/>
  <c r="AA315" i="4"/>
  <c r="W315" i="4"/>
  <c r="X315" i="4" s="1"/>
  <c r="U315" i="4"/>
  <c r="R315" i="4"/>
  <c r="N315" i="4"/>
  <c r="O315" i="4" s="1"/>
  <c r="L315" i="4"/>
  <c r="H315" i="4"/>
  <c r="I315" i="4" s="1"/>
  <c r="F315" i="4"/>
  <c r="C315" i="4"/>
  <c r="AD314" i="4"/>
  <c r="AC314" i="4"/>
  <c r="AA314" i="4"/>
  <c r="W314" i="4"/>
  <c r="X314" i="4" s="1"/>
  <c r="U314" i="4"/>
  <c r="R314" i="4"/>
  <c r="N314" i="4"/>
  <c r="O314" i="4" s="1"/>
  <c r="L314" i="4"/>
  <c r="H314" i="4"/>
  <c r="I314" i="4" s="1"/>
  <c r="F314" i="4"/>
  <c r="C314" i="4"/>
  <c r="AD313" i="4"/>
  <c r="AC313" i="4"/>
  <c r="AA313" i="4"/>
  <c r="X313" i="4"/>
  <c r="W313" i="4"/>
  <c r="U313" i="4"/>
  <c r="R313" i="4"/>
  <c r="N313" i="4"/>
  <c r="O313" i="4" s="1"/>
  <c r="L313" i="4"/>
  <c r="H313" i="4"/>
  <c r="I313" i="4" s="1"/>
  <c r="F313" i="4"/>
  <c r="C313" i="4"/>
  <c r="AC312" i="4"/>
  <c r="AD312" i="4" s="1"/>
  <c r="AA312" i="4"/>
  <c r="W312" i="4"/>
  <c r="X312" i="4" s="1"/>
  <c r="U312" i="4"/>
  <c r="R312" i="4"/>
  <c r="N312" i="4"/>
  <c r="O312" i="4" s="1"/>
  <c r="L312" i="4"/>
  <c r="I312" i="4"/>
  <c r="H312" i="4"/>
  <c r="F312" i="4"/>
  <c r="C312" i="4"/>
  <c r="AD311" i="4"/>
  <c r="AC311" i="4"/>
  <c r="AA311" i="4"/>
  <c r="W311" i="4"/>
  <c r="X311" i="4" s="1"/>
  <c r="U311" i="4"/>
  <c r="R311" i="4"/>
  <c r="O311" i="4"/>
  <c r="N311" i="4"/>
  <c r="L311" i="4"/>
  <c r="I311" i="4"/>
  <c r="H311" i="4"/>
  <c r="F311" i="4"/>
  <c r="C311" i="4"/>
  <c r="AD310" i="4"/>
  <c r="AC310" i="4"/>
  <c r="AA310" i="4"/>
  <c r="W310" i="4"/>
  <c r="X310" i="4" s="1"/>
  <c r="U310" i="4"/>
  <c r="R310" i="4"/>
  <c r="N310" i="4"/>
  <c r="O310" i="4" s="1"/>
  <c r="L310" i="4"/>
  <c r="I310" i="4"/>
  <c r="H310" i="4"/>
  <c r="F310" i="4"/>
  <c r="C310" i="4"/>
  <c r="AC309" i="4"/>
  <c r="AA309" i="4"/>
  <c r="X309" i="4"/>
  <c r="W309" i="4"/>
  <c r="U309" i="4"/>
  <c r="R309" i="4"/>
  <c r="O309" i="4"/>
  <c r="N309" i="4"/>
  <c r="L309" i="4"/>
  <c r="I309" i="4"/>
  <c r="H309" i="4"/>
  <c r="F309" i="4"/>
  <c r="C309" i="4"/>
  <c r="AC308" i="4"/>
  <c r="AD308" i="4" s="1"/>
  <c r="AA308" i="4"/>
  <c r="W308" i="4"/>
  <c r="X308" i="4" s="1"/>
  <c r="U308" i="4"/>
  <c r="R308" i="4"/>
  <c r="O308" i="4"/>
  <c r="N308" i="4"/>
  <c r="L308" i="4"/>
  <c r="I308" i="4"/>
  <c r="H308" i="4"/>
  <c r="F308" i="4"/>
  <c r="C308" i="4"/>
  <c r="AD307" i="4"/>
  <c r="AC307" i="4"/>
  <c r="AA307" i="4"/>
  <c r="W307" i="4"/>
  <c r="X307" i="4" s="1"/>
  <c r="U307" i="4"/>
  <c r="R307" i="4"/>
  <c r="O307" i="4"/>
  <c r="N307" i="4"/>
  <c r="L307" i="4"/>
  <c r="I307" i="4"/>
  <c r="H307" i="4"/>
  <c r="F307" i="4"/>
  <c r="C307" i="4"/>
  <c r="AC306" i="4"/>
  <c r="AD306" i="4" s="1"/>
  <c r="AA306" i="4"/>
  <c r="W306" i="4"/>
  <c r="X306" i="4" s="1"/>
  <c r="U306" i="4"/>
  <c r="R306" i="4"/>
  <c r="N306" i="4"/>
  <c r="L306" i="4"/>
  <c r="H306" i="4"/>
  <c r="I306" i="4" s="1"/>
  <c r="F306" i="4"/>
  <c r="C306" i="4"/>
  <c r="AC305" i="4"/>
  <c r="AA305" i="4"/>
  <c r="W305" i="4"/>
  <c r="X305" i="4" s="1"/>
  <c r="U305" i="4"/>
  <c r="R305" i="4"/>
  <c r="O305" i="4"/>
  <c r="N305" i="4"/>
  <c r="L305" i="4"/>
  <c r="H305" i="4"/>
  <c r="I305" i="4" s="1"/>
  <c r="F305" i="4"/>
  <c r="C305" i="4"/>
  <c r="AD304" i="4"/>
  <c r="AC304" i="4"/>
  <c r="AA304" i="4"/>
  <c r="W304" i="4"/>
  <c r="X304" i="4" s="1"/>
  <c r="U304" i="4"/>
  <c r="R304" i="4"/>
  <c r="N304" i="4"/>
  <c r="O304" i="4" s="1"/>
  <c r="L304" i="4"/>
  <c r="I304" i="4"/>
  <c r="H304" i="4"/>
  <c r="F304" i="4"/>
  <c r="C304" i="4"/>
  <c r="AC303" i="4"/>
  <c r="AD303" i="4" s="1"/>
  <c r="AA303" i="4"/>
  <c r="X303" i="4"/>
  <c r="W303" i="4"/>
  <c r="U303" i="4"/>
  <c r="R303" i="4"/>
  <c r="N303" i="4"/>
  <c r="O303" i="4" s="1"/>
  <c r="L303" i="4"/>
  <c r="I303" i="4"/>
  <c r="H303" i="4"/>
  <c r="F303" i="4"/>
  <c r="C303" i="4"/>
  <c r="AD302" i="4"/>
  <c r="AC302" i="4"/>
  <c r="AA302" i="4"/>
  <c r="X302" i="4"/>
  <c r="W302" i="4"/>
  <c r="U302" i="4"/>
  <c r="R302" i="4"/>
  <c r="N302" i="4"/>
  <c r="L302" i="4"/>
  <c r="H302" i="4"/>
  <c r="I302" i="4" s="1"/>
  <c r="F302" i="4"/>
  <c r="C302" i="4"/>
  <c r="AD301" i="4"/>
  <c r="AC301" i="4"/>
  <c r="AA301" i="4"/>
  <c r="X301" i="4"/>
  <c r="W301" i="4"/>
  <c r="U301" i="4"/>
  <c r="R301" i="4"/>
  <c r="O301" i="4"/>
  <c r="N301" i="4"/>
  <c r="L301" i="4"/>
  <c r="H301" i="4"/>
  <c r="I301" i="4" s="1"/>
  <c r="F301" i="4"/>
  <c r="C301" i="4"/>
  <c r="AD300" i="4"/>
  <c r="AC300" i="4"/>
  <c r="AA300" i="4"/>
  <c r="W300" i="4"/>
  <c r="X300" i="4" s="1"/>
  <c r="U300" i="4"/>
  <c r="R300" i="4"/>
  <c r="N300" i="4"/>
  <c r="O300" i="4" s="1"/>
  <c r="L300" i="4"/>
  <c r="I300" i="4"/>
  <c r="H300" i="4"/>
  <c r="F300" i="4"/>
  <c r="C300" i="4"/>
  <c r="AD299" i="4"/>
  <c r="AC299" i="4"/>
  <c r="AA299" i="4"/>
  <c r="W299" i="4"/>
  <c r="X299" i="4" s="1"/>
  <c r="U299" i="4"/>
  <c r="R299" i="4"/>
  <c r="N299" i="4"/>
  <c r="O299" i="4" s="1"/>
  <c r="L299" i="4"/>
  <c r="H299" i="4"/>
  <c r="I299" i="4" s="1"/>
  <c r="F299" i="4"/>
  <c r="C299" i="4"/>
  <c r="AD298" i="4"/>
  <c r="AC298" i="4"/>
  <c r="AA298" i="4"/>
  <c r="W298" i="4"/>
  <c r="X298" i="4" s="1"/>
  <c r="U298" i="4"/>
  <c r="R298" i="4"/>
  <c r="N298" i="4"/>
  <c r="O298" i="4" s="1"/>
  <c r="L298" i="4"/>
  <c r="H298" i="4"/>
  <c r="I298" i="4" s="1"/>
  <c r="F298" i="4"/>
  <c r="C298" i="4"/>
  <c r="AD297" i="4"/>
  <c r="AC297" i="4"/>
  <c r="AA297" i="4"/>
  <c r="X297" i="4"/>
  <c r="W297" i="4"/>
  <c r="U297" i="4"/>
  <c r="R297" i="4"/>
  <c r="N297" i="4"/>
  <c r="O297" i="4" s="1"/>
  <c r="L297" i="4"/>
  <c r="H297" i="4"/>
  <c r="I297" i="4" s="1"/>
  <c r="F297" i="4"/>
  <c r="C297" i="4"/>
  <c r="AA295" i="4"/>
  <c r="Z295" i="4"/>
  <c r="X295" i="4"/>
  <c r="W295" i="4"/>
  <c r="T295" i="4"/>
  <c r="U295" i="4" s="1"/>
  <c r="Q295" i="4"/>
  <c r="R295" i="4" s="1"/>
  <c r="K295" i="4"/>
  <c r="L295" i="4" s="1"/>
  <c r="F295" i="4"/>
  <c r="E295" i="4"/>
  <c r="H295" i="4" s="1"/>
  <c r="I295" i="4" s="1"/>
  <c r="C295" i="4"/>
  <c r="B295" i="4"/>
  <c r="N295" i="4" s="1"/>
  <c r="O295" i="4" s="1"/>
  <c r="AD294" i="4"/>
  <c r="AC294" i="4"/>
  <c r="AA294" i="4"/>
  <c r="W294" i="4"/>
  <c r="X294" i="4" s="1"/>
  <c r="U294" i="4"/>
  <c r="R294" i="4"/>
  <c r="N294" i="4"/>
  <c r="O294" i="4" s="1"/>
  <c r="L294" i="4"/>
  <c r="I294" i="4"/>
  <c r="H294" i="4"/>
  <c r="F294" i="4"/>
  <c r="C294" i="4"/>
  <c r="AC293" i="4"/>
  <c r="AA293" i="4"/>
  <c r="W293" i="4"/>
  <c r="X293" i="4" s="1"/>
  <c r="U293" i="4"/>
  <c r="R293" i="4"/>
  <c r="O293" i="4"/>
  <c r="N293" i="4"/>
  <c r="L293" i="4"/>
  <c r="I293" i="4"/>
  <c r="H293" i="4"/>
  <c r="F293" i="4"/>
  <c r="C293" i="4"/>
  <c r="AC292" i="4"/>
  <c r="AD292" i="4" s="1"/>
  <c r="AA292" i="4"/>
  <c r="W292" i="4"/>
  <c r="X292" i="4" s="1"/>
  <c r="U292" i="4"/>
  <c r="R292" i="4"/>
  <c r="N292" i="4"/>
  <c r="O292" i="4" s="1"/>
  <c r="L292" i="4"/>
  <c r="I292" i="4"/>
  <c r="H292" i="4"/>
  <c r="F292" i="4"/>
  <c r="C292" i="4"/>
  <c r="AD291" i="4"/>
  <c r="AC291" i="4"/>
  <c r="AA291" i="4"/>
  <c r="W291" i="4"/>
  <c r="X291" i="4" s="1"/>
  <c r="U291" i="4"/>
  <c r="R291" i="4"/>
  <c r="N291" i="4"/>
  <c r="O291" i="4" s="1"/>
  <c r="L291" i="4"/>
  <c r="I291" i="4"/>
  <c r="H291" i="4"/>
  <c r="F291" i="4"/>
  <c r="C291" i="4"/>
  <c r="AC290" i="4"/>
  <c r="AD290" i="4" s="1"/>
  <c r="AA290" i="4"/>
  <c r="W290" i="4"/>
  <c r="X290" i="4" s="1"/>
  <c r="U290" i="4"/>
  <c r="R290" i="4"/>
  <c r="N290" i="4"/>
  <c r="L290" i="4"/>
  <c r="I290" i="4"/>
  <c r="H290" i="4"/>
  <c r="F290" i="4"/>
  <c r="C290" i="4"/>
  <c r="AC289" i="4"/>
  <c r="AA289" i="4"/>
  <c r="W289" i="4"/>
  <c r="X289" i="4" s="1"/>
  <c r="U289" i="4"/>
  <c r="R289" i="4"/>
  <c r="O289" i="4"/>
  <c r="N289" i="4"/>
  <c r="L289" i="4"/>
  <c r="H289" i="4"/>
  <c r="I289" i="4" s="1"/>
  <c r="F289" i="4"/>
  <c r="C289" i="4"/>
  <c r="AC288" i="4"/>
  <c r="AD288" i="4" s="1"/>
  <c r="AA288" i="4"/>
  <c r="W288" i="4"/>
  <c r="X288" i="4" s="1"/>
  <c r="U288" i="4"/>
  <c r="R288" i="4"/>
  <c r="O288" i="4"/>
  <c r="N288" i="4"/>
  <c r="L288" i="4"/>
  <c r="I288" i="4"/>
  <c r="H288" i="4"/>
  <c r="F288" i="4"/>
  <c r="C288" i="4"/>
  <c r="AC287" i="4"/>
  <c r="AD287" i="4" s="1"/>
  <c r="AA287" i="4"/>
  <c r="X287" i="4"/>
  <c r="W287" i="4"/>
  <c r="U287" i="4"/>
  <c r="R287" i="4"/>
  <c r="N287" i="4"/>
  <c r="O287" i="4" s="1"/>
  <c r="L287" i="4"/>
  <c r="H287" i="4"/>
  <c r="I287" i="4" s="1"/>
  <c r="F287" i="4"/>
  <c r="C287" i="4"/>
  <c r="AD286" i="4"/>
  <c r="AC286" i="4"/>
  <c r="AA286" i="4"/>
  <c r="X286" i="4"/>
  <c r="W286" i="4"/>
  <c r="U286" i="4"/>
  <c r="R286" i="4"/>
  <c r="N286" i="4"/>
  <c r="L286" i="4"/>
  <c r="H286" i="4"/>
  <c r="I286" i="4" s="1"/>
  <c r="F286" i="4"/>
  <c r="C286" i="4"/>
  <c r="AA284" i="4"/>
  <c r="Z284" i="4"/>
  <c r="T284" i="4"/>
  <c r="R284" i="4"/>
  <c r="Q284" i="4"/>
  <c r="AC284" i="4" s="1"/>
  <c r="AD284" i="4" s="1"/>
  <c r="L284" i="4"/>
  <c r="K284" i="4"/>
  <c r="H284" i="4"/>
  <c r="I284" i="4" s="1"/>
  <c r="F284" i="4"/>
  <c r="E284" i="4"/>
  <c r="C284" i="4"/>
  <c r="B284" i="4"/>
  <c r="N284" i="4" s="1"/>
  <c r="O284" i="4" s="1"/>
  <c r="AD283" i="4"/>
  <c r="AC283" i="4"/>
  <c r="AA283" i="4"/>
  <c r="X283" i="4"/>
  <c r="W283" i="4"/>
  <c r="U283" i="4"/>
  <c r="R283" i="4"/>
  <c r="N283" i="4"/>
  <c r="O283" i="4" s="1"/>
  <c r="L283" i="4"/>
  <c r="H283" i="4"/>
  <c r="I283" i="4" s="1"/>
  <c r="F283" i="4"/>
  <c r="C283" i="4"/>
  <c r="AD282" i="4"/>
  <c r="AC282" i="4"/>
  <c r="AA282" i="4"/>
  <c r="W282" i="4"/>
  <c r="X282" i="4" s="1"/>
  <c r="U282" i="4"/>
  <c r="R282" i="4"/>
  <c r="N282" i="4"/>
  <c r="O282" i="4" s="1"/>
  <c r="L282" i="4"/>
  <c r="H282" i="4"/>
  <c r="I282" i="4" s="1"/>
  <c r="F282" i="4"/>
  <c r="C282" i="4"/>
  <c r="AD281" i="4"/>
  <c r="AC281" i="4"/>
  <c r="AA281" i="4"/>
  <c r="X281" i="4"/>
  <c r="W281" i="4"/>
  <c r="U281" i="4"/>
  <c r="R281" i="4"/>
  <c r="N281" i="4"/>
  <c r="O281" i="4" s="1"/>
  <c r="L281" i="4"/>
  <c r="I281" i="4"/>
  <c r="H281" i="4"/>
  <c r="F281" i="4"/>
  <c r="C281" i="4"/>
  <c r="AC280" i="4"/>
  <c r="AD280" i="4" s="1"/>
  <c r="AA280" i="4"/>
  <c r="W280" i="4"/>
  <c r="X280" i="4" s="1"/>
  <c r="U280" i="4"/>
  <c r="R280" i="4"/>
  <c r="N280" i="4"/>
  <c r="O280" i="4" s="1"/>
  <c r="L280" i="4"/>
  <c r="I280" i="4"/>
  <c r="H280" i="4"/>
  <c r="F280" i="4"/>
  <c r="C280" i="4"/>
  <c r="AD279" i="4"/>
  <c r="AC279" i="4"/>
  <c r="AA279" i="4"/>
  <c r="W279" i="4"/>
  <c r="X279" i="4" s="1"/>
  <c r="U279" i="4"/>
  <c r="R279" i="4"/>
  <c r="O279" i="4"/>
  <c r="N279" i="4"/>
  <c r="L279" i="4"/>
  <c r="I279" i="4"/>
  <c r="H279" i="4"/>
  <c r="F279" i="4"/>
  <c r="C279" i="4"/>
  <c r="AC278" i="4"/>
  <c r="AD278" i="4" s="1"/>
  <c r="AA278" i="4"/>
  <c r="W278" i="4"/>
  <c r="X278" i="4" s="1"/>
  <c r="U278" i="4"/>
  <c r="R278" i="4"/>
  <c r="N278" i="4"/>
  <c r="O278" i="4" s="1"/>
  <c r="L278" i="4"/>
  <c r="H278" i="4"/>
  <c r="I278" i="4" s="1"/>
  <c r="F278" i="4"/>
  <c r="C278" i="4"/>
  <c r="AC277" i="4"/>
  <c r="AA277" i="4"/>
  <c r="X277" i="4"/>
  <c r="W277" i="4"/>
  <c r="U277" i="4"/>
  <c r="R277" i="4"/>
  <c r="O277" i="4"/>
  <c r="N277" i="4"/>
  <c r="L277" i="4"/>
  <c r="H277" i="4"/>
  <c r="I277" i="4" s="1"/>
  <c r="F277" i="4"/>
  <c r="C277" i="4"/>
  <c r="AC276" i="4"/>
  <c r="AD276" i="4" s="1"/>
  <c r="AA276" i="4"/>
  <c r="W276" i="4"/>
  <c r="X276" i="4" s="1"/>
  <c r="U276" i="4"/>
  <c r="R276" i="4"/>
  <c r="O276" i="4"/>
  <c r="N276" i="4"/>
  <c r="L276" i="4"/>
  <c r="I276" i="4"/>
  <c r="H276" i="4"/>
  <c r="F276" i="4"/>
  <c r="C276" i="4"/>
  <c r="AC275" i="4"/>
  <c r="AD275" i="4" s="1"/>
  <c r="AA275" i="4"/>
  <c r="W275" i="4"/>
  <c r="X275" i="4" s="1"/>
  <c r="U275" i="4"/>
  <c r="R275" i="4"/>
  <c r="N275" i="4"/>
  <c r="O275" i="4" s="1"/>
  <c r="L275" i="4"/>
  <c r="I275" i="4"/>
  <c r="H275" i="4"/>
  <c r="F275" i="4"/>
  <c r="C275" i="4"/>
  <c r="Z273" i="4"/>
  <c r="AC273" i="4" s="1"/>
  <c r="AD273" i="4" s="1"/>
  <c r="U273" i="4"/>
  <c r="T273" i="4"/>
  <c r="Q273" i="4"/>
  <c r="O273" i="4"/>
  <c r="N273" i="4"/>
  <c r="L273" i="4"/>
  <c r="K273" i="4"/>
  <c r="E273" i="4"/>
  <c r="F273" i="4" s="1"/>
  <c r="C273" i="4"/>
  <c r="B273" i="4"/>
  <c r="H273" i="4" s="1"/>
  <c r="I273" i="4" s="1"/>
  <c r="AD272" i="4"/>
  <c r="AC272" i="4"/>
  <c r="AA272" i="4"/>
  <c r="W272" i="4"/>
  <c r="X272" i="4" s="1"/>
  <c r="U272" i="4"/>
  <c r="R272" i="4"/>
  <c r="N272" i="4"/>
  <c r="O272" i="4" s="1"/>
  <c r="L272" i="4"/>
  <c r="I272" i="4"/>
  <c r="H272" i="4"/>
  <c r="F272" i="4"/>
  <c r="C272" i="4"/>
  <c r="AC271" i="4"/>
  <c r="AD271" i="4" s="1"/>
  <c r="AA271" i="4"/>
  <c r="W271" i="4"/>
  <c r="X271" i="4" s="1"/>
  <c r="U271" i="4"/>
  <c r="R271" i="4"/>
  <c r="N271" i="4"/>
  <c r="O271" i="4" s="1"/>
  <c r="L271" i="4"/>
  <c r="I271" i="4"/>
  <c r="H271" i="4"/>
  <c r="F271" i="4"/>
  <c r="C271" i="4"/>
  <c r="AD270" i="4"/>
  <c r="AC270" i="4"/>
  <c r="AA270" i="4"/>
  <c r="W270" i="4"/>
  <c r="X270" i="4" s="1"/>
  <c r="U270" i="4"/>
  <c r="R270" i="4"/>
  <c r="N270" i="4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AC267" i="4"/>
  <c r="AD267" i="4" s="1"/>
  <c r="AA267" i="4"/>
  <c r="Z267" i="4"/>
  <c r="T267" i="4"/>
  <c r="U267" i="4" s="1"/>
  <c r="R267" i="4"/>
  <c r="Q267" i="4"/>
  <c r="W267" i="4" s="1"/>
  <c r="X267" i="4" s="1"/>
  <c r="L267" i="4"/>
  <c r="K267" i="4"/>
  <c r="E267" i="4"/>
  <c r="C267" i="4"/>
  <c r="B267" i="4"/>
  <c r="N267" i="4" s="1"/>
  <c r="O267" i="4" s="1"/>
  <c r="AD266" i="4"/>
  <c r="AC266" i="4"/>
  <c r="AA266" i="4"/>
  <c r="W266" i="4"/>
  <c r="X266" i="4" s="1"/>
  <c r="U266" i="4"/>
  <c r="R266" i="4"/>
  <c r="N266" i="4"/>
  <c r="O266" i="4" s="1"/>
  <c r="L266" i="4"/>
  <c r="H266" i="4"/>
  <c r="I266" i="4" s="1"/>
  <c r="F266" i="4"/>
  <c r="C266" i="4"/>
  <c r="AD265" i="4"/>
  <c r="AC265" i="4"/>
  <c r="AA265" i="4"/>
  <c r="X265" i="4"/>
  <c r="W265" i="4"/>
  <c r="U265" i="4"/>
  <c r="R265" i="4"/>
  <c r="N265" i="4"/>
  <c r="O265" i="4" s="1"/>
  <c r="L265" i="4"/>
  <c r="I265" i="4"/>
  <c r="H265" i="4"/>
  <c r="F265" i="4"/>
  <c r="C265" i="4"/>
  <c r="AA263" i="4"/>
  <c r="Z263" i="4"/>
  <c r="T263" i="4"/>
  <c r="Q263" i="4"/>
  <c r="R263" i="4" s="1"/>
  <c r="K263" i="4"/>
  <c r="L263" i="4" s="1"/>
  <c r="I263" i="4"/>
  <c r="F263" i="4"/>
  <c r="E263" i="4"/>
  <c r="H263" i="4" s="1"/>
  <c r="C263" i="4"/>
  <c r="B263" i="4"/>
  <c r="AC262" i="4"/>
  <c r="AD262" i="4" s="1"/>
  <c r="AA262" i="4"/>
  <c r="Z262" i="4"/>
  <c r="X262" i="4"/>
  <c r="U262" i="4"/>
  <c r="T262" i="4"/>
  <c r="Q262" i="4"/>
  <c r="W262" i="4" s="1"/>
  <c r="L262" i="4"/>
  <c r="K262" i="4"/>
  <c r="F262" i="4"/>
  <c r="E262" i="4"/>
  <c r="C262" i="4"/>
  <c r="B262" i="4"/>
  <c r="AC261" i="4"/>
  <c r="AD261" i="4" s="1"/>
  <c r="AA261" i="4"/>
  <c r="W261" i="4"/>
  <c r="X261" i="4" s="1"/>
  <c r="U261" i="4"/>
  <c r="R261" i="4"/>
  <c r="N261" i="4"/>
  <c r="O261" i="4" s="1"/>
  <c r="L261" i="4"/>
  <c r="I261" i="4"/>
  <c r="H261" i="4"/>
  <c r="F261" i="4"/>
  <c r="C261" i="4"/>
  <c r="AD260" i="4"/>
  <c r="AC260" i="4"/>
  <c r="AA260" i="4"/>
  <c r="W260" i="4"/>
  <c r="X260" i="4" s="1"/>
  <c r="U260" i="4"/>
  <c r="R260" i="4"/>
  <c r="O260" i="4"/>
  <c r="N260" i="4"/>
  <c r="L260" i="4"/>
  <c r="I260" i="4"/>
  <c r="H260" i="4"/>
  <c r="F260" i="4"/>
  <c r="C260" i="4"/>
  <c r="AC259" i="4"/>
  <c r="AD259" i="4" s="1"/>
  <c r="AA259" i="4"/>
  <c r="W259" i="4"/>
  <c r="X259" i="4" s="1"/>
  <c r="U259" i="4"/>
  <c r="R259" i="4"/>
  <c r="N259" i="4"/>
  <c r="L259" i="4"/>
  <c r="H259" i="4"/>
  <c r="I259" i="4" s="1"/>
  <c r="F259" i="4"/>
  <c r="C259" i="4"/>
  <c r="AC258" i="4"/>
  <c r="AA258" i="4"/>
  <c r="W258" i="4"/>
  <c r="X258" i="4" s="1"/>
  <c r="U258" i="4"/>
  <c r="R258" i="4"/>
  <c r="O258" i="4"/>
  <c r="N258" i="4"/>
  <c r="L258" i="4"/>
  <c r="H258" i="4"/>
  <c r="I258" i="4" s="1"/>
  <c r="F258" i="4"/>
  <c r="C258" i="4"/>
  <c r="AC257" i="4"/>
  <c r="AD257" i="4" s="1"/>
  <c r="AA257" i="4"/>
  <c r="W257" i="4"/>
  <c r="X257" i="4" s="1"/>
  <c r="U257" i="4"/>
  <c r="R257" i="4"/>
  <c r="O257" i="4"/>
  <c r="N257" i="4"/>
  <c r="L257" i="4"/>
  <c r="I257" i="4"/>
  <c r="H257" i="4"/>
  <c r="F257" i="4"/>
  <c r="C257" i="4"/>
  <c r="AC256" i="4"/>
  <c r="AD256" i="4" s="1"/>
  <c r="AA256" i="4"/>
  <c r="W256" i="4"/>
  <c r="X256" i="4" s="1"/>
  <c r="U256" i="4"/>
  <c r="R256" i="4"/>
  <c r="N256" i="4"/>
  <c r="O256" i="4" s="1"/>
  <c r="L256" i="4"/>
  <c r="H256" i="4"/>
  <c r="I256" i="4" s="1"/>
  <c r="F256" i="4"/>
  <c r="C256" i="4"/>
  <c r="AD255" i="4"/>
  <c r="AC255" i="4"/>
  <c r="AA255" i="4"/>
  <c r="X255" i="4"/>
  <c r="W255" i="4"/>
  <c r="U255" i="4"/>
  <c r="R255" i="4"/>
  <c r="N255" i="4"/>
  <c r="L255" i="4"/>
  <c r="H255" i="4"/>
  <c r="I255" i="4" s="1"/>
  <c r="F255" i="4"/>
  <c r="C255" i="4"/>
  <c r="AD254" i="4"/>
  <c r="AC254" i="4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D253" i="4"/>
  <c r="AC253" i="4"/>
  <c r="AA253" i="4"/>
  <c r="W253" i="4"/>
  <c r="X253" i="4" s="1"/>
  <c r="U253" i="4"/>
  <c r="R253" i="4"/>
  <c r="N253" i="4"/>
  <c r="O253" i="4" s="1"/>
  <c r="L253" i="4"/>
  <c r="I253" i="4"/>
  <c r="H253" i="4"/>
  <c r="F253" i="4"/>
  <c r="C253" i="4"/>
  <c r="AD252" i="4"/>
  <c r="AC252" i="4"/>
  <c r="AA252" i="4"/>
  <c r="W252" i="4"/>
  <c r="X252" i="4" s="1"/>
  <c r="U252" i="4"/>
  <c r="R252" i="4"/>
  <c r="N252" i="4"/>
  <c r="O252" i="4" s="1"/>
  <c r="L252" i="4"/>
  <c r="H252" i="4"/>
  <c r="I252" i="4" s="1"/>
  <c r="F252" i="4"/>
  <c r="C252" i="4"/>
  <c r="AD251" i="4"/>
  <c r="AC251" i="4"/>
  <c r="AA251" i="4"/>
  <c r="W251" i="4"/>
  <c r="X251" i="4" s="1"/>
  <c r="U251" i="4"/>
  <c r="R251" i="4"/>
  <c r="N251" i="4"/>
  <c r="O251" i="4" s="1"/>
  <c r="L251" i="4"/>
  <c r="H251" i="4"/>
  <c r="I251" i="4" s="1"/>
  <c r="F251" i="4"/>
  <c r="C251" i="4"/>
  <c r="AD250" i="4"/>
  <c r="AC250" i="4"/>
  <c r="AA250" i="4"/>
  <c r="X250" i="4"/>
  <c r="W250" i="4"/>
  <c r="U250" i="4"/>
  <c r="R250" i="4"/>
  <c r="N250" i="4"/>
  <c r="O250" i="4" s="1"/>
  <c r="L250" i="4"/>
  <c r="I250" i="4"/>
  <c r="H250" i="4"/>
  <c r="F250" i="4"/>
  <c r="C250" i="4"/>
  <c r="AC249" i="4"/>
  <c r="AD249" i="4" s="1"/>
  <c r="AA249" i="4"/>
  <c r="W249" i="4"/>
  <c r="X249" i="4" s="1"/>
  <c r="U249" i="4"/>
  <c r="R249" i="4"/>
  <c r="N249" i="4"/>
  <c r="O249" i="4" s="1"/>
  <c r="L249" i="4"/>
  <c r="I249" i="4"/>
  <c r="H249" i="4"/>
  <c r="F249" i="4"/>
  <c r="C249" i="4"/>
  <c r="AD248" i="4"/>
  <c r="AC248" i="4"/>
  <c r="AA248" i="4"/>
  <c r="W248" i="4"/>
  <c r="X248" i="4" s="1"/>
  <c r="U248" i="4"/>
  <c r="R248" i="4"/>
  <c r="N248" i="4"/>
  <c r="O248" i="4" s="1"/>
  <c r="L248" i="4"/>
  <c r="I248" i="4"/>
  <c r="H248" i="4"/>
  <c r="F248" i="4"/>
  <c r="C248" i="4"/>
  <c r="AD247" i="4"/>
  <c r="AC247" i="4"/>
  <c r="AA247" i="4"/>
  <c r="W247" i="4"/>
  <c r="X247" i="4" s="1"/>
  <c r="U247" i="4"/>
  <c r="R247" i="4"/>
  <c r="N247" i="4"/>
  <c r="O247" i="4" s="1"/>
  <c r="L247" i="4"/>
  <c r="I247" i="4"/>
  <c r="H247" i="4"/>
  <c r="F247" i="4"/>
  <c r="C247" i="4"/>
  <c r="AC246" i="4"/>
  <c r="AA246" i="4"/>
  <c r="W246" i="4"/>
  <c r="X246" i="4" s="1"/>
  <c r="U246" i="4"/>
  <c r="R246" i="4"/>
  <c r="O246" i="4"/>
  <c r="N246" i="4"/>
  <c r="L246" i="4"/>
  <c r="H246" i="4"/>
  <c r="I246" i="4" s="1"/>
  <c r="F246" i="4"/>
  <c r="C246" i="4"/>
  <c r="AC245" i="4"/>
  <c r="AD245" i="4" s="1"/>
  <c r="AA245" i="4"/>
  <c r="W245" i="4"/>
  <c r="X245" i="4" s="1"/>
  <c r="U245" i="4"/>
  <c r="R245" i="4"/>
  <c r="N245" i="4"/>
  <c r="O245" i="4" s="1"/>
  <c r="L245" i="4"/>
  <c r="I245" i="4"/>
  <c r="H245" i="4"/>
  <c r="F245" i="4"/>
  <c r="C245" i="4"/>
  <c r="AC244" i="4"/>
  <c r="AD244" i="4" s="1"/>
  <c r="AA244" i="4"/>
  <c r="W244" i="4"/>
  <c r="X244" i="4" s="1"/>
  <c r="U244" i="4"/>
  <c r="R244" i="4"/>
  <c r="N244" i="4"/>
  <c r="O244" i="4" s="1"/>
  <c r="L244" i="4"/>
  <c r="I244" i="4"/>
  <c r="H244" i="4"/>
  <c r="F244" i="4"/>
  <c r="C244" i="4"/>
  <c r="AC243" i="4"/>
  <c r="AD243" i="4" s="1"/>
  <c r="AA243" i="4"/>
  <c r="X243" i="4"/>
  <c r="W243" i="4"/>
  <c r="U243" i="4"/>
  <c r="R243" i="4"/>
  <c r="N243" i="4"/>
  <c r="L243" i="4"/>
  <c r="I243" i="4"/>
  <c r="H243" i="4"/>
  <c r="F243" i="4"/>
  <c r="C243" i="4"/>
  <c r="AC242" i="4"/>
  <c r="AA242" i="4"/>
  <c r="W242" i="4"/>
  <c r="X242" i="4" s="1"/>
  <c r="U242" i="4"/>
  <c r="R242" i="4"/>
  <c r="O242" i="4"/>
  <c r="N242" i="4"/>
  <c r="L242" i="4"/>
  <c r="H242" i="4"/>
  <c r="I242" i="4" s="1"/>
  <c r="F242" i="4"/>
  <c r="C242" i="4"/>
  <c r="AC241" i="4"/>
  <c r="AD241" i="4" s="1"/>
  <c r="AA241" i="4"/>
  <c r="W241" i="4"/>
  <c r="X241" i="4" s="1"/>
  <c r="U241" i="4"/>
  <c r="R241" i="4"/>
  <c r="N241" i="4"/>
  <c r="O241" i="4" s="1"/>
  <c r="L241" i="4"/>
  <c r="I241" i="4"/>
  <c r="H241" i="4"/>
  <c r="F241" i="4"/>
  <c r="C241" i="4"/>
  <c r="AC240" i="4"/>
  <c r="AD240" i="4" s="1"/>
  <c r="AA240" i="4"/>
  <c r="X240" i="4"/>
  <c r="W240" i="4"/>
  <c r="U240" i="4"/>
  <c r="R240" i="4"/>
  <c r="N240" i="4"/>
  <c r="O240" i="4" s="1"/>
  <c r="L240" i="4"/>
  <c r="H240" i="4"/>
  <c r="I240" i="4" s="1"/>
  <c r="F240" i="4"/>
  <c r="C240" i="4"/>
  <c r="AD238" i="4"/>
  <c r="AC238" i="4"/>
  <c r="AA238" i="4"/>
  <c r="W238" i="4"/>
  <c r="X238" i="4" s="1"/>
  <c r="U238" i="4"/>
  <c r="R238" i="4"/>
  <c r="N238" i="4"/>
  <c r="L238" i="4"/>
  <c r="H238" i="4"/>
  <c r="I238" i="4" s="1"/>
  <c r="F238" i="4"/>
  <c r="C238" i="4"/>
  <c r="AA236" i="4"/>
  <c r="Z236" i="4"/>
  <c r="T236" i="4"/>
  <c r="R236" i="4"/>
  <c r="Q236" i="4"/>
  <c r="AC236" i="4" s="1"/>
  <c r="AD236" i="4" s="1"/>
  <c r="L236" i="4"/>
  <c r="K236" i="4"/>
  <c r="H236" i="4"/>
  <c r="I236" i="4" s="1"/>
  <c r="F236" i="4"/>
  <c r="E236" i="4"/>
  <c r="C236" i="4"/>
  <c r="B236" i="4"/>
  <c r="N236" i="4" s="1"/>
  <c r="O236" i="4" s="1"/>
  <c r="AD235" i="4"/>
  <c r="AC235" i="4"/>
  <c r="AA235" i="4"/>
  <c r="X235" i="4"/>
  <c r="W235" i="4"/>
  <c r="U235" i="4"/>
  <c r="R235" i="4"/>
  <c r="N235" i="4"/>
  <c r="O235" i="4" s="1"/>
  <c r="L235" i="4"/>
  <c r="H235" i="4"/>
  <c r="I235" i="4" s="1"/>
  <c r="F235" i="4"/>
  <c r="C235" i="4"/>
  <c r="AD234" i="4"/>
  <c r="AC234" i="4"/>
  <c r="AA234" i="4"/>
  <c r="W234" i="4"/>
  <c r="X234" i="4" s="1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N233" i="4"/>
  <c r="O233" i="4" s="1"/>
  <c r="L233" i="4"/>
  <c r="H233" i="4"/>
  <c r="I233" i="4" s="1"/>
  <c r="F233" i="4"/>
  <c r="C233" i="4"/>
  <c r="AC232" i="4"/>
  <c r="AD232" i="4" s="1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D231" i="4"/>
  <c r="AC231" i="4"/>
  <c r="AA231" i="4"/>
  <c r="W231" i="4"/>
  <c r="X231" i="4" s="1"/>
  <c r="U231" i="4"/>
  <c r="R231" i="4"/>
  <c r="O231" i="4"/>
  <c r="N231" i="4"/>
  <c r="L231" i="4"/>
  <c r="I231" i="4"/>
  <c r="H231" i="4"/>
  <c r="F231" i="4"/>
  <c r="C231" i="4"/>
  <c r="AC230" i="4"/>
  <c r="AD230" i="4" s="1"/>
  <c r="AA230" i="4"/>
  <c r="W230" i="4"/>
  <c r="X230" i="4" s="1"/>
  <c r="U230" i="4"/>
  <c r="R230" i="4"/>
  <c r="N230" i="4"/>
  <c r="O230" i="4" s="1"/>
  <c r="L230" i="4"/>
  <c r="H230" i="4"/>
  <c r="I230" i="4" s="1"/>
  <c r="F230" i="4"/>
  <c r="C230" i="4"/>
  <c r="AC229" i="4"/>
  <c r="AA229" i="4"/>
  <c r="W229" i="4"/>
  <c r="X229" i="4" s="1"/>
  <c r="U229" i="4"/>
  <c r="R229" i="4"/>
  <c r="O229" i="4"/>
  <c r="N229" i="4"/>
  <c r="L229" i="4"/>
  <c r="H229" i="4"/>
  <c r="I229" i="4" s="1"/>
  <c r="F229" i="4"/>
  <c r="C229" i="4"/>
  <c r="AC227" i="4"/>
  <c r="AD227" i="4" s="1"/>
  <c r="AA227" i="4"/>
  <c r="Z227" i="4"/>
  <c r="T227" i="4"/>
  <c r="U227" i="4" s="1"/>
  <c r="Q227" i="4"/>
  <c r="R227" i="4" s="1"/>
  <c r="K227" i="4"/>
  <c r="L227" i="4" s="1"/>
  <c r="H227" i="4"/>
  <c r="I227" i="4" s="1"/>
  <c r="F227" i="4"/>
  <c r="E227" i="4"/>
  <c r="C227" i="4"/>
  <c r="B227" i="4"/>
  <c r="AC226" i="4"/>
  <c r="AD226" i="4" s="1"/>
  <c r="AA226" i="4"/>
  <c r="W226" i="4"/>
  <c r="X226" i="4" s="1"/>
  <c r="U226" i="4"/>
  <c r="R226" i="4"/>
  <c r="N226" i="4"/>
  <c r="L226" i="4"/>
  <c r="H226" i="4"/>
  <c r="I226" i="4" s="1"/>
  <c r="F226" i="4"/>
  <c r="C226" i="4"/>
  <c r="AC225" i="4"/>
  <c r="AA225" i="4"/>
  <c r="W225" i="4"/>
  <c r="X225" i="4" s="1"/>
  <c r="U225" i="4"/>
  <c r="R225" i="4"/>
  <c r="O225" i="4"/>
  <c r="N225" i="4"/>
  <c r="L225" i="4"/>
  <c r="H225" i="4"/>
  <c r="I225" i="4" s="1"/>
  <c r="F225" i="4"/>
  <c r="C225" i="4"/>
  <c r="AC224" i="4"/>
  <c r="AD224" i="4" s="1"/>
  <c r="AA224" i="4"/>
  <c r="W224" i="4"/>
  <c r="X224" i="4" s="1"/>
  <c r="U224" i="4"/>
  <c r="R224" i="4"/>
  <c r="N224" i="4"/>
  <c r="O224" i="4" s="1"/>
  <c r="L224" i="4"/>
  <c r="I224" i="4"/>
  <c r="H224" i="4"/>
  <c r="F224" i="4"/>
  <c r="C224" i="4"/>
  <c r="AC223" i="4"/>
  <c r="AD223" i="4" s="1"/>
  <c r="AA223" i="4"/>
  <c r="W223" i="4"/>
  <c r="X223" i="4" s="1"/>
  <c r="U223" i="4"/>
  <c r="R223" i="4"/>
  <c r="N223" i="4"/>
  <c r="O223" i="4" s="1"/>
  <c r="L223" i="4"/>
  <c r="H223" i="4"/>
  <c r="I223" i="4" s="1"/>
  <c r="F223" i="4"/>
  <c r="C223" i="4"/>
  <c r="AD222" i="4"/>
  <c r="AC222" i="4"/>
  <c r="AA222" i="4"/>
  <c r="X222" i="4"/>
  <c r="W222" i="4"/>
  <c r="U222" i="4"/>
  <c r="R222" i="4"/>
  <c r="N222" i="4"/>
  <c r="L222" i="4"/>
  <c r="H222" i="4"/>
  <c r="I222" i="4" s="1"/>
  <c r="F222" i="4"/>
  <c r="C222" i="4"/>
  <c r="AC221" i="4"/>
  <c r="AD221" i="4" s="1"/>
  <c r="AA221" i="4"/>
  <c r="X221" i="4"/>
  <c r="W221" i="4"/>
  <c r="U221" i="4"/>
  <c r="R221" i="4"/>
  <c r="O221" i="4"/>
  <c r="N221" i="4"/>
  <c r="L221" i="4"/>
  <c r="H221" i="4"/>
  <c r="I221" i="4" s="1"/>
  <c r="F221" i="4"/>
  <c r="C221" i="4"/>
  <c r="AD220" i="4"/>
  <c r="AC220" i="4"/>
  <c r="AA220" i="4"/>
  <c r="X220" i="4"/>
  <c r="W220" i="4"/>
  <c r="U220" i="4"/>
  <c r="R220" i="4"/>
  <c r="N220" i="4"/>
  <c r="O220" i="4" s="1"/>
  <c r="L220" i="4"/>
  <c r="H220" i="4"/>
  <c r="I220" i="4" s="1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H219" i="4"/>
  <c r="I219" i="4" s="1"/>
  <c r="F219" i="4"/>
  <c r="C219" i="4"/>
  <c r="AC218" i="4"/>
  <c r="AD218" i="4" s="1"/>
  <c r="Z218" i="4"/>
  <c r="AA218" i="4" s="1"/>
  <c r="T218" i="4"/>
  <c r="U218" i="4" s="1"/>
  <c r="Q218" i="4"/>
  <c r="R218" i="4" s="1"/>
  <c r="K218" i="4"/>
  <c r="L218" i="4" s="1"/>
  <c r="E218" i="4"/>
  <c r="F218" i="4" s="1"/>
  <c r="B218" i="4"/>
  <c r="C218" i="4" s="1"/>
  <c r="AC217" i="4"/>
  <c r="AD217" i="4" s="1"/>
  <c r="AA217" i="4"/>
  <c r="X217" i="4"/>
  <c r="W217" i="4"/>
  <c r="U217" i="4"/>
  <c r="R217" i="4"/>
  <c r="N217" i="4"/>
  <c r="O217" i="4" s="1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O216" i="4"/>
  <c r="N216" i="4"/>
  <c r="L216" i="4"/>
  <c r="H216" i="4"/>
  <c r="I216" i="4" s="1"/>
  <c r="F216" i="4"/>
  <c r="C216" i="4"/>
  <c r="AC215" i="4"/>
  <c r="AD215" i="4" s="1"/>
  <c r="AA215" i="4"/>
  <c r="W215" i="4"/>
  <c r="X215" i="4" s="1"/>
  <c r="U215" i="4"/>
  <c r="R215" i="4"/>
  <c r="O215" i="4"/>
  <c r="N215" i="4"/>
  <c r="L215" i="4"/>
  <c r="H215" i="4"/>
  <c r="I215" i="4" s="1"/>
  <c r="F215" i="4"/>
  <c r="C215" i="4"/>
  <c r="AC214" i="4"/>
  <c r="AD214" i="4" s="1"/>
  <c r="AA214" i="4"/>
  <c r="X214" i="4"/>
  <c r="W214" i="4"/>
  <c r="U214" i="4"/>
  <c r="R214" i="4"/>
  <c r="N214" i="4"/>
  <c r="O214" i="4" s="1"/>
  <c r="L214" i="4"/>
  <c r="H214" i="4"/>
  <c r="I214" i="4" s="1"/>
  <c r="F214" i="4"/>
  <c r="C214" i="4"/>
  <c r="AC213" i="4"/>
  <c r="AD213" i="4" s="1"/>
  <c r="AA213" i="4"/>
  <c r="X213" i="4"/>
  <c r="W213" i="4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Z209" i="4"/>
  <c r="AA209" i="4" s="1"/>
  <c r="U209" i="4"/>
  <c r="T209" i="4"/>
  <c r="Q209" i="4"/>
  <c r="K209" i="4"/>
  <c r="N209" i="4" s="1"/>
  <c r="O209" i="4" s="1"/>
  <c r="E209" i="4"/>
  <c r="F209" i="4" s="1"/>
  <c r="B209" i="4"/>
  <c r="C209" i="4" s="1"/>
  <c r="AD208" i="4"/>
  <c r="AC208" i="4"/>
  <c r="AA208" i="4"/>
  <c r="X208" i="4"/>
  <c r="W208" i="4"/>
  <c r="U208" i="4"/>
  <c r="R208" i="4"/>
  <c r="N208" i="4"/>
  <c r="O208" i="4" s="1"/>
  <c r="L208" i="4"/>
  <c r="H208" i="4"/>
  <c r="I208" i="4" s="1"/>
  <c r="F208" i="4"/>
  <c r="C208" i="4"/>
  <c r="AC207" i="4"/>
  <c r="AD207" i="4" s="1"/>
  <c r="AA207" i="4"/>
  <c r="X207" i="4"/>
  <c r="W207" i="4"/>
  <c r="U207" i="4"/>
  <c r="R207" i="4"/>
  <c r="O207" i="4"/>
  <c r="N207" i="4"/>
  <c r="L207" i="4"/>
  <c r="H207" i="4"/>
  <c r="I207" i="4" s="1"/>
  <c r="F207" i="4"/>
  <c r="C207" i="4"/>
  <c r="AC206" i="4"/>
  <c r="AD206" i="4" s="1"/>
  <c r="AA206" i="4"/>
  <c r="W206" i="4"/>
  <c r="X206" i="4" s="1"/>
  <c r="U206" i="4"/>
  <c r="R206" i="4"/>
  <c r="O206" i="4"/>
  <c r="N206" i="4"/>
  <c r="L206" i="4"/>
  <c r="H206" i="4"/>
  <c r="I206" i="4" s="1"/>
  <c r="F206" i="4"/>
  <c r="C206" i="4"/>
  <c r="AC205" i="4"/>
  <c r="AD205" i="4" s="1"/>
  <c r="AA205" i="4"/>
  <c r="X205" i="4"/>
  <c r="W205" i="4"/>
  <c r="U205" i="4"/>
  <c r="R205" i="4"/>
  <c r="O205" i="4"/>
  <c r="N205" i="4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I204" i="4"/>
  <c r="H204" i="4"/>
  <c r="F204" i="4"/>
  <c r="C204" i="4"/>
  <c r="AC203" i="4"/>
  <c r="AD203" i="4" s="1"/>
  <c r="AA203" i="4"/>
  <c r="W203" i="4"/>
  <c r="X203" i="4" s="1"/>
  <c r="U203" i="4"/>
  <c r="R203" i="4"/>
  <c r="O203" i="4"/>
  <c r="N203" i="4"/>
  <c r="L203" i="4"/>
  <c r="I203" i="4"/>
  <c r="H203" i="4"/>
  <c r="F203" i="4"/>
  <c r="C203" i="4"/>
  <c r="AC202" i="4"/>
  <c r="AD202" i="4" s="1"/>
  <c r="AA202" i="4"/>
  <c r="W202" i="4"/>
  <c r="X202" i="4" s="1"/>
  <c r="U202" i="4"/>
  <c r="R202" i="4"/>
  <c r="O202" i="4"/>
  <c r="N202" i="4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AC197" i="4"/>
  <c r="AD197" i="4" s="1"/>
  <c r="Z197" i="4"/>
  <c r="AA197" i="4" s="1"/>
  <c r="T197" i="4"/>
  <c r="U197" i="4" s="1"/>
  <c r="Q197" i="4"/>
  <c r="R197" i="4" s="1"/>
  <c r="L197" i="4"/>
  <c r="K197" i="4"/>
  <c r="E197" i="4"/>
  <c r="F197" i="4" s="1"/>
  <c r="B197" i="4"/>
  <c r="C197" i="4" s="1"/>
  <c r="AA196" i="4"/>
  <c r="Z196" i="4"/>
  <c r="T196" i="4"/>
  <c r="U196" i="4" s="1"/>
  <c r="Q196" i="4"/>
  <c r="W196" i="4" s="1"/>
  <c r="X196" i="4" s="1"/>
  <c r="K196" i="4"/>
  <c r="L196" i="4" s="1"/>
  <c r="E196" i="4"/>
  <c r="F196" i="4" s="1"/>
  <c r="B196" i="4"/>
  <c r="H196" i="4" s="1"/>
  <c r="I196" i="4" s="1"/>
  <c r="AC195" i="4"/>
  <c r="AD195" i="4" s="1"/>
  <c r="AA195" i="4"/>
  <c r="X195" i="4"/>
  <c r="W195" i="4"/>
  <c r="U195" i="4"/>
  <c r="R195" i="4"/>
  <c r="O195" i="4"/>
  <c r="N195" i="4"/>
  <c r="L195" i="4"/>
  <c r="H195" i="4"/>
  <c r="I195" i="4" s="1"/>
  <c r="F195" i="4"/>
  <c r="C195" i="4"/>
  <c r="AC194" i="4"/>
  <c r="AD194" i="4" s="1"/>
  <c r="AA194" i="4"/>
  <c r="X194" i="4"/>
  <c r="W194" i="4"/>
  <c r="U194" i="4"/>
  <c r="R194" i="4"/>
  <c r="O194" i="4"/>
  <c r="N194" i="4"/>
  <c r="L194" i="4"/>
  <c r="H194" i="4"/>
  <c r="I194" i="4" s="1"/>
  <c r="F194" i="4"/>
  <c r="C194" i="4"/>
  <c r="AC193" i="4"/>
  <c r="AD193" i="4" s="1"/>
  <c r="AA193" i="4"/>
  <c r="Z193" i="4"/>
  <c r="T193" i="4"/>
  <c r="U193" i="4" s="1"/>
  <c r="Q193" i="4"/>
  <c r="W193" i="4" s="1"/>
  <c r="X193" i="4" s="1"/>
  <c r="N193" i="4"/>
  <c r="O193" i="4" s="1"/>
  <c r="K193" i="4"/>
  <c r="L193" i="4" s="1"/>
  <c r="E193" i="4"/>
  <c r="F193" i="4" s="1"/>
  <c r="B193" i="4"/>
  <c r="H193" i="4" s="1"/>
  <c r="I193" i="4" s="1"/>
  <c r="AC192" i="4"/>
  <c r="AD192" i="4" s="1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C191" i="4"/>
  <c r="AD191" i="4" s="1"/>
  <c r="AA191" i="4"/>
  <c r="X191" i="4"/>
  <c r="W191" i="4"/>
  <c r="U191" i="4"/>
  <c r="R191" i="4"/>
  <c r="N191" i="4"/>
  <c r="O191" i="4" s="1"/>
  <c r="L191" i="4"/>
  <c r="H191" i="4"/>
  <c r="I191" i="4" s="1"/>
  <c r="F191" i="4"/>
  <c r="C191" i="4"/>
  <c r="AD190" i="4"/>
  <c r="AC190" i="4"/>
  <c r="AA190" i="4"/>
  <c r="X190" i="4"/>
  <c r="W190" i="4"/>
  <c r="U190" i="4"/>
  <c r="R190" i="4"/>
  <c r="N190" i="4"/>
  <c r="O190" i="4" s="1"/>
  <c r="L190" i="4"/>
  <c r="H190" i="4"/>
  <c r="I190" i="4" s="1"/>
  <c r="F190" i="4"/>
  <c r="C190" i="4"/>
  <c r="AC189" i="4"/>
  <c r="AD189" i="4" s="1"/>
  <c r="AA189" i="4"/>
  <c r="X189" i="4"/>
  <c r="W189" i="4"/>
  <c r="U189" i="4"/>
  <c r="R189" i="4"/>
  <c r="O189" i="4"/>
  <c r="N189" i="4"/>
  <c r="L189" i="4"/>
  <c r="H189" i="4"/>
  <c r="I189" i="4" s="1"/>
  <c r="F189" i="4"/>
  <c r="C189" i="4"/>
  <c r="AC188" i="4"/>
  <c r="AD188" i="4" s="1"/>
  <c r="AA188" i="4"/>
  <c r="W188" i="4"/>
  <c r="X188" i="4" s="1"/>
  <c r="U188" i="4"/>
  <c r="R188" i="4"/>
  <c r="O188" i="4"/>
  <c r="N188" i="4"/>
  <c r="L188" i="4"/>
  <c r="H188" i="4"/>
  <c r="I188" i="4" s="1"/>
  <c r="F188" i="4"/>
  <c r="C188" i="4"/>
  <c r="AC187" i="4"/>
  <c r="AD187" i="4" s="1"/>
  <c r="AA187" i="4"/>
  <c r="X187" i="4"/>
  <c r="W187" i="4"/>
  <c r="U187" i="4"/>
  <c r="R187" i="4"/>
  <c r="O187" i="4"/>
  <c r="N187" i="4"/>
  <c r="L187" i="4"/>
  <c r="H187" i="4"/>
  <c r="I187" i="4" s="1"/>
  <c r="F187" i="4"/>
  <c r="C187" i="4"/>
  <c r="AD186" i="4"/>
  <c r="AC186" i="4"/>
  <c r="AA186" i="4"/>
  <c r="X186" i="4"/>
  <c r="W186" i="4"/>
  <c r="U186" i="4"/>
  <c r="R186" i="4"/>
  <c r="N186" i="4"/>
  <c r="O186" i="4" s="1"/>
  <c r="L186" i="4"/>
  <c r="I186" i="4"/>
  <c r="H186" i="4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H184" i="4"/>
  <c r="I184" i="4" s="1"/>
  <c r="F184" i="4"/>
  <c r="C184" i="4"/>
  <c r="AC183" i="4"/>
  <c r="AD183" i="4" s="1"/>
  <c r="AA183" i="4"/>
  <c r="X183" i="4"/>
  <c r="W183" i="4"/>
  <c r="U183" i="4"/>
  <c r="R183" i="4"/>
  <c r="N183" i="4"/>
  <c r="O183" i="4" s="1"/>
  <c r="L183" i="4"/>
  <c r="H183" i="4"/>
  <c r="I183" i="4" s="1"/>
  <c r="F183" i="4"/>
  <c r="C183" i="4"/>
  <c r="Z182" i="4"/>
  <c r="AA182" i="4" s="1"/>
  <c r="U182" i="4"/>
  <c r="T182" i="4"/>
  <c r="Q182" i="4"/>
  <c r="R182" i="4" s="1"/>
  <c r="L182" i="4"/>
  <c r="K182" i="4"/>
  <c r="I182" i="4"/>
  <c r="E182" i="4"/>
  <c r="F182" i="4" s="1"/>
  <c r="B182" i="4"/>
  <c r="H182" i="4" s="1"/>
  <c r="AD181" i="4"/>
  <c r="AC181" i="4"/>
  <c r="AA181" i="4"/>
  <c r="X181" i="4"/>
  <c r="W181" i="4"/>
  <c r="U181" i="4"/>
  <c r="R181" i="4"/>
  <c r="N181" i="4"/>
  <c r="O181" i="4" s="1"/>
  <c r="L181" i="4"/>
  <c r="I181" i="4"/>
  <c r="H181" i="4"/>
  <c r="F181" i="4"/>
  <c r="C181" i="4"/>
  <c r="AC180" i="4"/>
  <c r="AD180" i="4" s="1"/>
  <c r="AA180" i="4"/>
  <c r="W180" i="4"/>
  <c r="X180" i="4" s="1"/>
  <c r="U180" i="4"/>
  <c r="R180" i="4"/>
  <c r="N180" i="4"/>
  <c r="O180" i="4" s="1"/>
  <c r="L180" i="4"/>
  <c r="I180" i="4"/>
  <c r="H180" i="4"/>
  <c r="F180" i="4"/>
  <c r="C180" i="4"/>
  <c r="AC179" i="4"/>
  <c r="AD179" i="4" s="1"/>
  <c r="AA179" i="4"/>
  <c r="W179" i="4"/>
  <c r="X179" i="4" s="1"/>
  <c r="U179" i="4"/>
  <c r="R179" i="4"/>
  <c r="O179" i="4"/>
  <c r="N179" i="4"/>
  <c r="L179" i="4"/>
  <c r="H179" i="4"/>
  <c r="I179" i="4" s="1"/>
  <c r="F179" i="4"/>
  <c r="C179" i="4"/>
  <c r="AD178" i="4"/>
  <c r="AC178" i="4"/>
  <c r="AA178" i="4"/>
  <c r="W178" i="4"/>
  <c r="X178" i="4" s="1"/>
  <c r="U178" i="4"/>
  <c r="R178" i="4"/>
  <c r="N178" i="4"/>
  <c r="O178" i="4" s="1"/>
  <c r="L178" i="4"/>
  <c r="H178" i="4"/>
  <c r="I178" i="4" s="1"/>
  <c r="F178" i="4"/>
  <c r="C178" i="4"/>
  <c r="AD177" i="4"/>
  <c r="AC177" i="4"/>
  <c r="AA177" i="4"/>
  <c r="X177" i="4"/>
  <c r="W177" i="4"/>
  <c r="U177" i="4"/>
  <c r="R177" i="4"/>
  <c r="N177" i="4"/>
  <c r="O177" i="4" s="1"/>
  <c r="L177" i="4"/>
  <c r="I177" i="4"/>
  <c r="H177" i="4"/>
  <c r="F177" i="4"/>
  <c r="C177" i="4"/>
  <c r="AC175" i="4"/>
  <c r="AD175" i="4" s="1"/>
  <c r="AA175" i="4"/>
  <c r="W175" i="4"/>
  <c r="X175" i="4" s="1"/>
  <c r="U175" i="4"/>
  <c r="R175" i="4"/>
  <c r="N175" i="4"/>
  <c r="O175" i="4" s="1"/>
  <c r="L175" i="4"/>
  <c r="I175" i="4"/>
  <c r="H175" i="4"/>
  <c r="F175" i="4"/>
  <c r="C175" i="4"/>
  <c r="Q172" i="4"/>
  <c r="R172" i="4" s="1"/>
  <c r="E172" i="4"/>
  <c r="F172" i="4" s="1"/>
  <c r="AA171" i="4"/>
  <c r="Z171" i="4"/>
  <c r="T171" i="4"/>
  <c r="T172" i="4" s="1"/>
  <c r="T198" i="4" s="1"/>
  <c r="R171" i="4"/>
  <c r="Q171" i="4"/>
  <c r="AC171" i="4" s="1"/>
  <c r="AD171" i="4" s="1"/>
  <c r="K171" i="4"/>
  <c r="L171" i="4" s="1"/>
  <c r="H171" i="4"/>
  <c r="I171" i="4" s="1"/>
  <c r="F171" i="4"/>
  <c r="E171" i="4"/>
  <c r="C171" i="4"/>
  <c r="B171" i="4"/>
  <c r="N171" i="4" s="1"/>
  <c r="O171" i="4" s="1"/>
  <c r="Z170" i="4"/>
  <c r="AA170" i="4" s="1"/>
  <c r="U170" i="4"/>
  <c r="T170" i="4"/>
  <c r="Q170" i="4"/>
  <c r="R170" i="4" s="1"/>
  <c r="L170" i="4"/>
  <c r="K170" i="4"/>
  <c r="I170" i="4"/>
  <c r="E170" i="4"/>
  <c r="F170" i="4" s="1"/>
  <c r="B170" i="4"/>
  <c r="H170" i="4" s="1"/>
  <c r="AD169" i="4"/>
  <c r="AC169" i="4"/>
  <c r="AA169" i="4"/>
  <c r="X169" i="4"/>
  <c r="W169" i="4"/>
  <c r="U169" i="4"/>
  <c r="R169" i="4"/>
  <c r="O169" i="4"/>
  <c r="N169" i="4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O168" i="4"/>
  <c r="N168" i="4"/>
  <c r="L168" i="4"/>
  <c r="I168" i="4"/>
  <c r="H168" i="4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H167" i="4"/>
  <c r="I167" i="4" s="1"/>
  <c r="F167" i="4"/>
  <c r="C167" i="4"/>
  <c r="AD166" i="4"/>
  <c r="Z166" i="4"/>
  <c r="AA166" i="4" s="1"/>
  <c r="W166" i="4"/>
  <c r="X166" i="4" s="1"/>
  <c r="U166" i="4"/>
  <c r="T166" i="4"/>
  <c r="R166" i="4"/>
  <c r="Q166" i="4"/>
  <c r="AC166" i="4" s="1"/>
  <c r="K166" i="4"/>
  <c r="L166" i="4" s="1"/>
  <c r="F166" i="4"/>
  <c r="E166" i="4"/>
  <c r="B166" i="4"/>
  <c r="C166" i="4" s="1"/>
  <c r="AC165" i="4"/>
  <c r="AD165" i="4" s="1"/>
  <c r="AA165" i="4"/>
  <c r="W165" i="4"/>
  <c r="X165" i="4" s="1"/>
  <c r="U165" i="4"/>
  <c r="R165" i="4"/>
  <c r="O165" i="4"/>
  <c r="N165" i="4"/>
  <c r="L165" i="4"/>
  <c r="I165" i="4"/>
  <c r="H165" i="4"/>
  <c r="F165" i="4"/>
  <c r="C165" i="4"/>
  <c r="AC164" i="4"/>
  <c r="AD164" i="4" s="1"/>
  <c r="AA164" i="4"/>
  <c r="X164" i="4"/>
  <c r="W164" i="4"/>
  <c r="U164" i="4"/>
  <c r="R164" i="4"/>
  <c r="O164" i="4"/>
  <c r="N164" i="4"/>
  <c r="L164" i="4"/>
  <c r="H164" i="4"/>
  <c r="I164" i="4" s="1"/>
  <c r="F164" i="4"/>
  <c r="C164" i="4"/>
  <c r="AD163" i="4"/>
  <c r="AC163" i="4"/>
  <c r="AA163" i="4"/>
  <c r="X163" i="4"/>
  <c r="W163" i="4"/>
  <c r="U163" i="4"/>
  <c r="R163" i="4"/>
  <c r="N163" i="4"/>
  <c r="O163" i="4" s="1"/>
  <c r="L163" i="4"/>
  <c r="H163" i="4"/>
  <c r="I163" i="4" s="1"/>
  <c r="F163" i="4"/>
  <c r="C163" i="4"/>
  <c r="AD162" i="4"/>
  <c r="AC162" i="4"/>
  <c r="AA162" i="4"/>
  <c r="X162" i="4"/>
  <c r="W162" i="4"/>
  <c r="U162" i="4"/>
  <c r="R162" i="4"/>
  <c r="O162" i="4"/>
  <c r="N162" i="4"/>
  <c r="L162" i="4"/>
  <c r="I162" i="4"/>
  <c r="H162" i="4"/>
  <c r="F162" i="4"/>
  <c r="C162" i="4"/>
  <c r="AC161" i="4"/>
  <c r="AD161" i="4" s="1"/>
  <c r="AA161" i="4"/>
  <c r="W161" i="4"/>
  <c r="X161" i="4" s="1"/>
  <c r="U161" i="4"/>
  <c r="R161" i="4"/>
  <c r="O161" i="4"/>
  <c r="N161" i="4"/>
  <c r="L161" i="4"/>
  <c r="I161" i="4"/>
  <c r="H161" i="4"/>
  <c r="F161" i="4"/>
  <c r="C161" i="4"/>
  <c r="AC160" i="4"/>
  <c r="AD160" i="4" s="1"/>
  <c r="AA160" i="4"/>
  <c r="X160" i="4"/>
  <c r="W160" i="4"/>
  <c r="U160" i="4"/>
  <c r="R160" i="4"/>
  <c r="O160" i="4"/>
  <c r="N160" i="4"/>
  <c r="L160" i="4"/>
  <c r="H160" i="4"/>
  <c r="I160" i="4" s="1"/>
  <c r="F160" i="4"/>
  <c r="C160" i="4"/>
  <c r="AD158" i="4"/>
  <c r="Z158" i="4"/>
  <c r="AA158" i="4" s="1"/>
  <c r="W158" i="4"/>
  <c r="X158" i="4" s="1"/>
  <c r="U158" i="4"/>
  <c r="T158" i="4"/>
  <c r="R158" i="4"/>
  <c r="Q158" i="4"/>
  <c r="AC158" i="4" s="1"/>
  <c r="K158" i="4"/>
  <c r="L158" i="4" s="1"/>
  <c r="F158" i="4"/>
  <c r="E158" i="4"/>
  <c r="B158" i="4"/>
  <c r="C158" i="4" s="1"/>
  <c r="AC157" i="4"/>
  <c r="AD157" i="4" s="1"/>
  <c r="AA157" i="4"/>
  <c r="W157" i="4"/>
  <c r="X157" i="4" s="1"/>
  <c r="U157" i="4"/>
  <c r="R157" i="4"/>
  <c r="O157" i="4"/>
  <c r="N157" i="4"/>
  <c r="L157" i="4"/>
  <c r="I157" i="4"/>
  <c r="H157" i="4"/>
  <c r="F157" i="4"/>
  <c r="C157" i="4"/>
  <c r="AC156" i="4"/>
  <c r="AD156" i="4" s="1"/>
  <c r="AA156" i="4"/>
  <c r="X156" i="4"/>
  <c r="W156" i="4"/>
  <c r="U156" i="4"/>
  <c r="R156" i="4"/>
  <c r="O156" i="4"/>
  <c r="N156" i="4"/>
  <c r="L156" i="4"/>
  <c r="H156" i="4"/>
  <c r="I156" i="4" s="1"/>
  <c r="F156" i="4"/>
  <c r="C156" i="4"/>
  <c r="AD155" i="4"/>
  <c r="AC155" i="4"/>
  <c r="AA155" i="4"/>
  <c r="X155" i="4"/>
  <c r="W155" i="4"/>
  <c r="U155" i="4"/>
  <c r="R155" i="4"/>
  <c r="N155" i="4"/>
  <c r="O155" i="4" s="1"/>
  <c r="L155" i="4"/>
  <c r="H155" i="4"/>
  <c r="I155" i="4" s="1"/>
  <c r="F155" i="4"/>
  <c r="C155" i="4"/>
  <c r="AD154" i="4"/>
  <c r="AC154" i="4"/>
  <c r="AA154" i="4"/>
  <c r="X154" i="4"/>
  <c r="W154" i="4"/>
  <c r="U154" i="4"/>
  <c r="R154" i="4"/>
  <c r="O154" i="4"/>
  <c r="N154" i="4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O153" i="4"/>
  <c r="N153" i="4"/>
  <c r="L153" i="4"/>
  <c r="I153" i="4"/>
  <c r="H153" i="4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H151" i="4"/>
  <c r="I151" i="4" s="1"/>
  <c r="F151" i="4"/>
  <c r="C151" i="4"/>
  <c r="Z149" i="4"/>
  <c r="AA149" i="4" s="1"/>
  <c r="W149" i="4"/>
  <c r="X149" i="4" s="1"/>
  <c r="U149" i="4"/>
  <c r="T149" i="4"/>
  <c r="R149" i="4"/>
  <c r="Q149" i="4"/>
  <c r="AC149" i="4" s="1"/>
  <c r="AD149" i="4" s="1"/>
  <c r="K149" i="4"/>
  <c r="L149" i="4" s="1"/>
  <c r="F149" i="4"/>
  <c r="E149" i="4"/>
  <c r="B149" i="4"/>
  <c r="C149" i="4" s="1"/>
  <c r="AA148" i="4"/>
  <c r="Z148" i="4"/>
  <c r="X148" i="4"/>
  <c r="T148" i="4"/>
  <c r="U148" i="4" s="1"/>
  <c r="Q148" i="4"/>
  <c r="W148" i="4" s="1"/>
  <c r="L148" i="4"/>
  <c r="K148" i="4"/>
  <c r="E148" i="4"/>
  <c r="H148" i="4" s="1"/>
  <c r="I148" i="4" s="1"/>
  <c r="C148" i="4"/>
  <c r="B148" i="4"/>
  <c r="N148" i="4" s="1"/>
  <c r="O148" i="4" s="1"/>
  <c r="AD147" i="4"/>
  <c r="AC147" i="4"/>
  <c r="AA147" i="4"/>
  <c r="X147" i="4"/>
  <c r="W147" i="4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X146" i="4"/>
  <c r="W146" i="4"/>
  <c r="U146" i="4"/>
  <c r="R146" i="4"/>
  <c r="O146" i="4"/>
  <c r="N146" i="4"/>
  <c r="L146" i="4"/>
  <c r="I146" i="4"/>
  <c r="H146" i="4"/>
  <c r="F146" i="4"/>
  <c r="C146" i="4"/>
  <c r="AC145" i="4"/>
  <c r="AD145" i="4" s="1"/>
  <c r="AA145" i="4"/>
  <c r="W145" i="4"/>
  <c r="X145" i="4" s="1"/>
  <c r="U145" i="4"/>
  <c r="R145" i="4"/>
  <c r="O145" i="4"/>
  <c r="N145" i="4"/>
  <c r="L145" i="4"/>
  <c r="I145" i="4"/>
  <c r="H145" i="4"/>
  <c r="F145" i="4"/>
  <c r="C145" i="4"/>
  <c r="AC144" i="4"/>
  <c r="AD144" i="4" s="1"/>
  <c r="AA144" i="4"/>
  <c r="X144" i="4"/>
  <c r="W144" i="4"/>
  <c r="U144" i="4"/>
  <c r="R144" i="4"/>
  <c r="O144" i="4"/>
  <c r="N144" i="4"/>
  <c r="L144" i="4"/>
  <c r="H144" i="4"/>
  <c r="I144" i="4" s="1"/>
  <c r="F144" i="4"/>
  <c r="C144" i="4"/>
  <c r="AD143" i="4"/>
  <c r="AC143" i="4"/>
  <c r="AA143" i="4"/>
  <c r="X143" i="4"/>
  <c r="W143" i="4"/>
  <c r="U143" i="4"/>
  <c r="R143" i="4"/>
  <c r="N143" i="4"/>
  <c r="O143" i="4" s="1"/>
  <c r="L143" i="4"/>
  <c r="H143" i="4"/>
  <c r="I143" i="4" s="1"/>
  <c r="F143" i="4"/>
  <c r="C143" i="4"/>
  <c r="AA141" i="4"/>
  <c r="Z141" i="4"/>
  <c r="T141" i="4"/>
  <c r="W141" i="4" s="1"/>
  <c r="X141" i="4" s="1"/>
  <c r="R141" i="4"/>
  <c r="Q141" i="4"/>
  <c r="AC141" i="4" s="1"/>
  <c r="AD141" i="4" s="1"/>
  <c r="K141" i="4"/>
  <c r="L141" i="4" s="1"/>
  <c r="H141" i="4"/>
  <c r="I141" i="4" s="1"/>
  <c r="F141" i="4"/>
  <c r="E141" i="4"/>
  <c r="C141" i="4"/>
  <c r="B141" i="4"/>
  <c r="N141" i="4" s="1"/>
  <c r="O141" i="4" s="1"/>
  <c r="AC140" i="4"/>
  <c r="AD140" i="4" s="1"/>
  <c r="AA140" i="4"/>
  <c r="X140" i="4"/>
  <c r="W140" i="4"/>
  <c r="U140" i="4"/>
  <c r="R140" i="4"/>
  <c r="O140" i="4"/>
  <c r="N140" i="4"/>
  <c r="L140" i="4"/>
  <c r="H140" i="4"/>
  <c r="I140" i="4" s="1"/>
  <c r="F140" i="4"/>
  <c r="C140" i="4"/>
  <c r="AD139" i="4"/>
  <c r="AC139" i="4"/>
  <c r="AA139" i="4"/>
  <c r="X139" i="4"/>
  <c r="W139" i="4"/>
  <c r="U139" i="4"/>
  <c r="R139" i="4"/>
  <c r="N139" i="4"/>
  <c r="O139" i="4" s="1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O138" i="4"/>
  <c r="N138" i="4"/>
  <c r="L138" i="4"/>
  <c r="I138" i="4"/>
  <c r="H138" i="4"/>
  <c r="F138" i="4"/>
  <c r="C138" i="4"/>
  <c r="AC137" i="4"/>
  <c r="AD137" i="4" s="1"/>
  <c r="AA137" i="4"/>
  <c r="W137" i="4"/>
  <c r="X137" i="4" s="1"/>
  <c r="U137" i="4"/>
  <c r="R137" i="4"/>
  <c r="O137" i="4"/>
  <c r="N137" i="4"/>
  <c r="L137" i="4"/>
  <c r="I137" i="4"/>
  <c r="H137" i="4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D135" i="4"/>
  <c r="AC135" i="4"/>
  <c r="AA135" i="4"/>
  <c r="X135" i="4"/>
  <c r="W135" i="4"/>
  <c r="U135" i="4"/>
  <c r="R135" i="4"/>
  <c r="N135" i="4"/>
  <c r="O135" i="4" s="1"/>
  <c r="L135" i="4"/>
  <c r="H135" i="4"/>
  <c r="I135" i="4" s="1"/>
  <c r="F135" i="4"/>
  <c r="C135" i="4"/>
  <c r="AD134" i="4"/>
  <c r="AC134" i="4"/>
  <c r="AA134" i="4"/>
  <c r="X134" i="4"/>
  <c r="W134" i="4"/>
  <c r="U134" i="4"/>
  <c r="R134" i="4"/>
  <c r="O134" i="4"/>
  <c r="N134" i="4"/>
  <c r="L134" i="4"/>
  <c r="I134" i="4"/>
  <c r="H134" i="4"/>
  <c r="F134" i="4"/>
  <c r="C134" i="4"/>
  <c r="AC133" i="4"/>
  <c r="AD133" i="4" s="1"/>
  <c r="AA133" i="4"/>
  <c r="W133" i="4"/>
  <c r="X133" i="4" s="1"/>
  <c r="U133" i="4"/>
  <c r="R133" i="4"/>
  <c r="O133" i="4"/>
  <c r="N133" i="4"/>
  <c r="L133" i="4"/>
  <c r="I133" i="4"/>
  <c r="H133" i="4"/>
  <c r="F133" i="4"/>
  <c r="C133" i="4"/>
  <c r="AC132" i="4"/>
  <c r="AD132" i="4" s="1"/>
  <c r="AA132" i="4"/>
  <c r="X132" i="4"/>
  <c r="W132" i="4"/>
  <c r="U132" i="4"/>
  <c r="R132" i="4"/>
  <c r="O132" i="4"/>
  <c r="N132" i="4"/>
  <c r="L132" i="4"/>
  <c r="H132" i="4"/>
  <c r="I132" i="4" s="1"/>
  <c r="F132" i="4"/>
  <c r="C132" i="4"/>
  <c r="AD131" i="4"/>
  <c r="AC131" i="4"/>
  <c r="AA131" i="4"/>
  <c r="X131" i="4"/>
  <c r="W131" i="4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O130" i="4"/>
  <c r="N130" i="4"/>
  <c r="L130" i="4"/>
  <c r="I130" i="4"/>
  <c r="H130" i="4"/>
  <c r="F130" i="4"/>
  <c r="C130" i="4"/>
  <c r="AC129" i="4"/>
  <c r="AD129" i="4" s="1"/>
  <c r="AA129" i="4"/>
  <c r="W129" i="4"/>
  <c r="X129" i="4" s="1"/>
  <c r="U129" i="4"/>
  <c r="R129" i="4"/>
  <c r="O129" i="4"/>
  <c r="N129" i="4"/>
  <c r="L129" i="4"/>
  <c r="I129" i="4"/>
  <c r="H129" i="4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H127" i="4"/>
  <c r="I127" i="4" s="1"/>
  <c r="F127" i="4"/>
  <c r="C127" i="4"/>
  <c r="Z124" i="4"/>
  <c r="AA124" i="4" s="1"/>
  <c r="W124" i="4"/>
  <c r="X124" i="4" s="1"/>
  <c r="U124" i="4"/>
  <c r="T124" i="4"/>
  <c r="R124" i="4"/>
  <c r="Q124" i="4"/>
  <c r="AC124" i="4" s="1"/>
  <c r="AD124" i="4" s="1"/>
  <c r="K124" i="4"/>
  <c r="L124" i="4" s="1"/>
  <c r="F124" i="4"/>
  <c r="E124" i="4"/>
  <c r="B124" i="4"/>
  <c r="C124" i="4" s="1"/>
  <c r="AC123" i="4"/>
  <c r="AD123" i="4" s="1"/>
  <c r="AA123" i="4"/>
  <c r="W123" i="4"/>
  <c r="X123" i="4" s="1"/>
  <c r="U123" i="4"/>
  <c r="R123" i="4"/>
  <c r="O123" i="4"/>
  <c r="N123" i="4"/>
  <c r="L123" i="4"/>
  <c r="I123" i="4"/>
  <c r="H123" i="4"/>
  <c r="F123" i="4"/>
  <c r="C123" i="4"/>
  <c r="Z122" i="4"/>
  <c r="AA122" i="4" s="1"/>
  <c r="U122" i="4"/>
  <c r="T122" i="4"/>
  <c r="Q122" i="4"/>
  <c r="R122" i="4" s="1"/>
  <c r="L122" i="4"/>
  <c r="K122" i="4"/>
  <c r="I122" i="4"/>
  <c r="E122" i="4"/>
  <c r="F122" i="4" s="1"/>
  <c r="B122" i="4"/>
  <c r="H122" i="4" s="1"/>
  <c r="AD121" i="4"/>
  <c r="AC121" i="4"/>
  <c r="AA121" i="4"/>
  <c r="X121" i="4"/>
  <c r="W121" i="4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I120" i="4"/>
  <c r="H120" i="4"/>
  <c r="F120" i="4"/>
  <c r="C120" i="4"/>
  <c r="AC119" i="4"/>
  <c r="AD119" i="4" s="1"/>
  <c r="AA119" i="4"/>
  <c r="X119" i="4"/>
  <c r="W119" i="4"/>
  <c r="U119" i="4"/>
  <c r="R119" i="4"/>
  <c r="O119" i="4"/>
  <c r="N119" i="4"/>
  <c r="L119" i="4"/>
  <c r="H119" i="4"/>
  <c r="I119" i="4" s="1"/>
  <c r="F119" i="4"/>
  <c r="C119" i="4"/>
  <c r="Z118" i="4"/>
  <c r="AA118" i="4" s="1"/>
  <c r="W118" i="4"/>
  <c r="X118" i="4" s="1"/>
  <c r="U118" i="4"/>
  <c r="T118" i="4"/>
  <c r="R118" i="4"/>
  <c r="Q118" i="4"/>
  <c r="AC118" i="4" s="1"/>
  <c r="AD118" i="4" s="1"/>
  <c r="K118" i="4"/>
  <c r="L118" i="4" s="1"/>
  <c r="F118" i="4"/>
  <c r="E118" i="4"/>
  <c r="B118" i="4"/>
  <c r="C118" i="4" s="1"/>
  <c r="AC117" i="4"/>
  <c r="AD117" i="4" s="1"/>
  <c r="AA117" i="4"/>
  <c r="W117" i="4"/>
  <c r="X117" i="4" s="1"/>
  <c r="U117" i="4"/>
  <c r="R117" i="4"/>
  <c r="O117" i="4"/>
  <c r="N117" i="4"/>
  <c r="L117" i="4"/>
  <c r="I117" i="4"/>
  <c r="H117" i="4"/>
  <c r="F117" i="4"/>
  <c r="C117" i="4"/>
  <c r="AC116" i="4"/>
  <c r="AD116" i="4" s="1"/>
  <c r="AA116" i="4"/>
  <c r="X116" i="4"/>
  <c r="W116" i="4"/>
  <c r="U116" i="4"/>
  <c r="R116" i="4"/>
  <c r="O116" i="4"/>
  <c r="N116" i="4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N115" i="4"/>
  <c r="O115" i="4" s="1"/>
  <c r="L115" i="4"/>
  <c r="H115" i="4"/>
  <c r="I115" i="4" s="1"/>
  <c r="F115" i="4"/>
  <c r="C115" i="4"/>
  <c r="AD114" i="4"/>
  <c r="AC114" i="4"/>
  <c r="AA114" i="4"/>
  <c r="X114" i="4"/>
  <c r="W114" i="4"/>
  <c r="U114" i="4"/>
  <c r="R114" i="4"/>
  <c r="O114" i="4"/>
  <c r="N114" i="4"/>
  <c r="L114" i="4"/>
  <c r="I114" i="4"/>
  <c r="H114" i="4"/>
  <c r="F114" i="4"/>
  <c r="C114" i="4"/>
  <c r="AC113" i="4"/>
  <c r="AD113" i="4" s="1"/>
  <c r="AA113" i="4"/>
  <c r="W113" i="4"/>
  <c r="X113" i="4" s="1"/>
  <c r="U113" i="4"/>
  <c r="R113" i="4"/>
  <c r="O113" i="4"/>
  <c r="N113" i="4"/>
  <c r="L113" i="4"/>
  <c r="I113" i="4"/>
  <c r="H113" i="4"/>
  <c r="F113" i="4"/>
  <c r="C113" i="4"/>
  <c r="AC112" i="4"/>
  <c r="AD112" i="4" s="1"/>
  <c r="AA112" i="4"/>
  <c r="X112" i="4"/>
  <c r="W112" i="4"/>
  <c r="U112" i="4"/>
  <c r="R112" i="4"/>
  <c r="O112" i="4"/>
  <c r="N112" i="4"/>
  <c r="L112" i="4"/>
  <c r="H112" i="4"/>
  <c r="I112" i="4" s="1"/>
  <c r="F112" i="4"/>
  <c r="C112" i="4"/>
  <c r="AD111" i="4"/>
  <c r="AC111" i="4"/>
  <c r="AA111" i="4"/>
  <c r="X111" i="4"/>
  <c r="W111" i="4"/>
  <c r="U111" i="4"/>
  <c r="R111" i="4"/>
  <c r="N111" i="4"/>
  <c r="O111" i="4" s="1"/>
  <c r="L111" i="4"/>
  <c r="H111" i="4"/>
  <c r="I111" i="4" s="1"/>
  <c r="F111" i="4"/>
  <c r="C111" i="4"/>
  <c r="AD110" i="4"/>
  <c r="AC110" i="4"/>
  <c r="AA110" i="4"/>
  <c r="X110" i="4"/>
  <c r="W110" i="4"/>
  <c r="U110" i="4"/>
  <c r="R110" i="4"/>
  <c r="O110" i="4"/>
  <c r="N110" i="4"/>
  <c r="L110" i="4"/>
  <c r="I110" i="4"/>
  <c r="H110" i="4"/>
  <c r="F110" i="4"/>
  <c r="C110" i="4"/>
  <c r="AC109" i="4"/>
  <c r="AD109" i="4" s="1"/>
  <c r="AA109" i="4"/>
  <c r="W109" i="4"/>
  <c r="X109" i="4" s="1"/>
  <c r="U109" i="4"/>
  <c r="R109" i="4"/>
  <c r="O109" i="4"/>
  <c r="N109" i="4"/>
  <c r="L109" i="4"/>
  <c r="I109" i="4"/>
  <c r="H109" i="4"/>
  <c r="F109" i="4"/>
  <c r="C109" i="4"/>
  <c r="AC108" i="4"/>
  <c r="AD108" i="4" s="1"/>
  <c r="AA108" i="4"/>
  <c r="X108" i="4"/>
  <c r="W108" i="4"/>
  <c r="U108" i="4"/>
  <c r="R108" i="4"/>
  <c r="O108" i="4"/>
  <c r="N108" i="4"/>
  <c r="L108" i="4"/>
  <c r="H108" i="4"/>
  <c r="I108" i="4" s="1"/>
  <c r="F108" i="4"/>
  <c r="C108" i="4"/>
  <c r="AD107" i="4"/>
  <c r="AC107" i="4"/>
  <c r="AA107" i="4"/>
  <c r="X107" i="4"/>
  <c r="W107" i="4"/>
  <c r="U107" i="4"/>
  <c r="R107" i="4"/>
  <c r="N107" i="4"/>
  <c r="O107" i="4" s="1"/>
  <c r="L107" i="4"/>
  <c r="H107" i="4"/>
  <c r="I107" i="4" s="1"/>
  <c r="F107" i="4"/>
  <c r="C107" i="4"/>
  <c r="AD106" i="4"/>
  <c r="AC106" i="4"/>
  <c r="AA106" i="4"/>
  <c r="X106" i="4"/>
  <c r="W106" i="4"/>
  <c r="U106" i="4"/>
  <c r="R106" i="4"/>
  <c r="O106" i="4"/>
  <c r="N106" i="4"/>
  <c r="L106" i="4"/>
  <c r="I106" i="4"/>
  <c r="H106" i="4"/>
  <c r="F106" i="4"/>
  <c r="C106" i="4"/>
  <c r="AC105" i="4"/>
  <c r="AD105" i="4" s="1"/>
  <c r="AA105" i="4"/>
  <c r="W105" i="4"/>
  <c r="X105" i="4" s="1"/>
  <c r="U105" i="4"/>
  <c r="R105" i="4"/>
  <c r="O105" i="4"/>
  <c r="N105" i="4"/>
  <c r="L105" i="4"/>
  <c r="I105" i="4"/>
  <c r="H105" i="4"/>
  <c r="F105" i="4"/>
  <c r="C105" i="4"/>
  <c r="AC104" i="4"/>
  <c r="AD104" i="4" s="1"/>
  <c r="AA104" i="4"/>
  <c r="X104" i="4"/>
  <c r="W104" i="4"/>
  <c r="U104" i="4"/>
  <c r="R104" i="4"/>
  <c r="O104" i="4"/>
  <c r="N104" i="4"/>
  <c r="L104" i="4"/>
  <c r="H104" i="4"/>
  <c r="I104" i="4" s="1"/>
  <c r="F104" i="4"/>
  <c r="C104" i="4"/>
  <c r="AD103" i="4"/>
  <c r="AC103" i="4"/>
  <c r="AA103" i="4"/>
  <c r="X103" i="4"/>
  <c r="W103" i="4"/>
  <c r="U103" i="4"/>
  <c r="R103" i="4"/>
  <c r="N103" i="4"/>
  <c r="O103" i="4" s="1"/>
  <c r="L103" i="4"/>
  <c r="H103" i="4"/>
  <c r="I103" i="4" s="1"/>
  <c r="F103" i="4"/>
  <c r="C103" i="4"/>
  <c r="AD102" i="4"/>
  <c r="AC102" i="4"/>
  <c r="AA102" i="4"/>
  <c r="X102" i="4"/>
  <c r="W102" i="4"/>
  <c r="U102" i="4"/>
  <c r="R102" i="4"/>
  <c r="O102" i="4"/>
  <c r="N102" i="4"/>
  <c r="L102" i="4"/>
  <c r="I102" i="4"/>
  <c r="H102" i="4"/>
  <c r="F102" i="4"/>
  <c r="C102" i="4"/>
  <c r="AC101" i="4"/>
  <c r="AD101" i="4" s="1"/>
  <c r="AA101" i="4"/>
  <c r="W101" i="4"/>
  <c r="X101" i="4" s="1"/>
  <c r="U101" i="4"/>
  <c r="R101" i="4"/>
  <c r="O101" i="4"/>
  <c r="N101" i="4"/>
  <c r="L101" i="4"/>
  <c r="I101" i="4"/>
  <c r="H101" i="4"/>
  <c r="F101" i="4"/>
  <c r="C101" i="4"/>
  <c r="AC100" i="4"/>
  <c r="AD100" i="4" s="1"/>
  <c r="AA100" i="4"/>
  <c r="X100" i="4"/>
  <c r="W100" i="4"/>
  <c r="U100" i="4"/>
  <c r="R100" i="4"/>
  <c r="O100" i="4"/>
  <c r="N100" i="4"/>
  <c r="L100" i="4"/>
  <c r="H100" i="4"/>
  <c r="I100" i="4" s="1"/>
  <c r="F100" i="4"/>
  <c r="C100" i="4"/>
  <c r="AD99" i="4"/>
  <c r="AC99" i="4"/>
  <c r="AA99" i="4"/>
  <c r="X99" i="4"/>
  <c r="W99" i="4"/>
  <c r="U99" i="4"/>
  <c r="R99" i="4"/>
  <c r="N99" i="4"/>
  <c r="O99" i="4" s="1"/>
  <c r="L99" i="4"/>
  <c r="H99" i="4"/>
  <c r="I99" i="4" s="1"/>
  <c r="F99" i="4"/>
  <c r="C99" i="4"/>
  <c r="AD98" i="4"/>
  <c r="AC98" i="4"/>
  <c r="AA98" i="4"/>
  <c r="X98" i="4"/>
  <c r="W98" i="4"/>
  <c r="U98" i="4"/>
  <c r="R98" i="4"/>
  <c r="O98" i="4"/>
  <c r="N98" i="4"/>
  <c r="L98" i="4"/>
  <c r="I98" i="4"/>
  <c r="H98" i="4"/>
  <c r="F98" i="4"/>
  <c r="C98" i="4"/>
  <c r="AC97" i="4"/>
  <c r="AD97" i="4" s="1"/>
  <c r="AA97" i="4"/>
  <c r="W97" i="4"/>
  <c r="X97" i="4" s="1"/>
  <c r="U97" i="4"/>
  <c r="R97" i="4"/>
  <c r="O97" i="4"/>
  <c r="N97" i="4"/>
  <c r="L97" i="4"/>
  <c r="I97" i="4"/>
  <c r="H97" i="4"/>
  <c r="F97" i="4"/>
  <c r="C97" i="4"/>
  <c r="AC96" i="4"/>
  <c r="AD96" i="4" s="1"/>
  <c r="AA96" i="4"/>
  <c r="X96" i="4"/>
  <c r="W96" i="4"/>
  <c r="U96" i="4"/>
  <c r="R96" i="4"/>
  <c r="O96" i="4"/>
  <c r="N96" i="4"/>
  <c r="L96" i="4"/>
  <c r="H96" i="4"/>
  <c r="I96" i="4" s="1"/>
  <c r="F96" i="4"/>
  <c r="C96" i="4"/>
  <c r="AD95" i="4"/>
  <c r="AC95" i="4"/>
  <c r="AA95" i="4"/>
  <c r="X95" i="4"/>
  <c r="W95" i="4"/>
  <c r="U95" i="4"/>
  <c r="R95" i="4"/>
  <c r="N95" i="4"/>
  <c r="O95" i="4" s="1"/>
  <c r="L95" i="4"/>
  <c r="H95" i="4"/>
  <c r="I95" i="4" s="1"/>
  <c r="F95" i="4"/>
  <c r="C95" i="4"/>
  <c r="AD94" i="4"/>
  <c r="AC94" i="4"/>
  <c r="AA94" i="4"/>
  <c r="X94" i="4"/>
  <c r="W94" i="4"/>
  <c r="U94" i="4"/>
  <c r="R94" i="4"/>
  <c r="O94" i="4"/>
  <c r="N94" i="4"/>
  <c r="L94" i="4"/>
  <c r="I94" i="4"/>
  <c r="H94" i="4"/>
  <c r="F94" i="4"/>
  <c r="C94" i="4"/>
  <c r="AC92" i="4"/>
  <c r="AD92" i="4" s="1"/>
  <c r="AA92" i="4"/>
  <c r="W92" i="4"/>
  <c r="X92" i="4" s="1"/>
  <c r="U92" i="4"/>
  <c r="R92" i="4"/>
  <c r="O92" i="4"/>
  <c r="N92" i="4"/>
  <c r="L92" i="4"/>
  <c r="I92" i="4"/>
  <c r="H92" i="4"/>
  <c r="F92" i="4"/>
  <c r="C92" i="4"/>
  <c r="AC91" i="4"/>
  <c r="AD91" i="4" s="1"/>
  <c r="AA91" i="4"/>
  <c r="X91" i="4"/>
  <c r="W91" i="4"/>
  <c r="U91" i="4"/>
  <c r="R91" i="4"/>
  <c r="O91" i="4"/>
  <c r="N91" i="4"/>
  <c r="L91" i="4"/>
  <c r="H91" i="4"/>
  <c r="I91" i="4" s="1"/>
  <c r="F91" i="4"/>
  <c r="C91" i="4"/>
  <c r="AD90" i="4"/>
  <c r="AC90" i="4"/>
  <c r="AA90" i="4"/>
  <c r="X90" i="4"/>
  <c r="W90" i="4"/>
  <c r="U90" i="4"/>
  <c r="R90" i="4"/>
  <c r="N90" i="4"/>
  <c r="O90" i="4" s="1"/>
  <c r="L90" i="4"/>
  <c r="H90" i="4"/>
  <c r="I90" i="4" s="1"/>
  <c r="F90" i="4"/>
  <c r="C90" i="4"/>
  <c r="AD89" i="4"/>
  <c r="AC89" i="4"/>
  <c r="AA89" i="4"/>
  <c r="X89" i="4"/>
  <c r="W89" i="4"/>
  <c r="U89" i="4"/>
  <c r="R89" i="4"/>
  <c r="O89" i="4"/>
  <c r="N89" i="4"/>
  <c r="L89" i="4"/>
  <c r="I89" i="4"/>
  <c r="H89" i="4"/>
  <c r="F89" i="4"/>
  <c r="C89" i="4"/>
  <c r="AA88" i="4"/>
  <c r="Z88" i="4"/>
  <c r="T88" i="4"/>
  <c r="U88" i="4" s="1"/>
  <c r="Q88" i="4"/>
  <c r="AC88" i="4" s="1"/>
  <c r="AD88" i="4" s="1"/>
  <c r="L88" i="4"/>
  <c r="K88" i="4"/>
  <c r="H88" i="4"/>
  <c r="I88" i="4" s="1"/>
  <c r="E88" i="4"/>
  <c r="F88" i="4" s="1"/>
  <c r="C88" i="4"/>
  <c r="B88" i="4"/>
  <c r="N88" i="4" s="1"/>
  <c r="O88" i="4" s="1"/>
  <c r="AD87" i="4"/>
  <c r="AC87" i="4"/>
  <c r="AA87" i="4"/>
  <c r="X87" i="4"/>
  <c r="W87" i="4"/>
  <c r="U87" i="4"/>
  <c r="R87" i="4"/>
  <c r="N87" i="4"/>
  <c r="O87" i="4" s="1"/>
  <c r="L87" i="4"/>
  <c r="H87" i="4"/>
  <c r="I87" i="4" s="1"/>
  <c r="F87" i="4"/>
  <c r="C87" i="4"/>
  <c r="AD86" i="4"/>
  <c r="AC86" i="4"/>
  <c r="AA86" i="4"/>
  <c r="X86" i="4"/>
  <c r="W86" i="4"/>
  <c r="U86" i="4"/>
  <c r="R86" i="4"/>
  <c r="O86" i="4"/>
  <c r="N86" i="4"/>
  <c r="L86" i="4"/>
  <c r="I86" i="4"/>
  <c r="H86" i="4"/>
  <c r="F86" i="4"/>
  <c r="C86" i="4"/>
  <c r="AC85" i="4"/>
  <c r="AD85" i="4" s="1"/>
  <c r="AA85" i="4"/>
  <c r="W85" i="4"/>
  <c r="X85" i="4" s="1"/>
  <c r="U85" i="4"/>
  <c r="R85" i="4"/>
  <c r="O85" i="4"/>
  <c r="N85" i="4"/>
  <c r="L85" i="4"/>
  <c r="I85" i="4"/>
  <c r="H85" i="4"/>
  <c r="F85" i="4"/>
  <c r="C85" i="4"/>
  <c r="AC84" i="4"/>
  <c r="AD84" i="4" s="1"/>
  <c r="AA84" i="4"/>
  <c r="X84" i="4"/>
  <c r="W84" i="4"/>
  <c r="U84" i="4"/>
  <c r="R84" i="4"/>
  <c r="O84" i="4"/>
  <c r="N84" i="4"/>
  <c r="L84" i="4"/>
  <c r="H84" i="4"/>
  <c r="I84" i="4" s="1"/>
  <c r="F84" i="4"/>
  <c r="C84" i="4"/>
  <c r="AD83" i="4"/>
  <c r="AC83" i="4"/>
  <c r="AA83" i="4"/>
  <c r="X83" i="4"/>
  <c r="W83" i="4"/>
  <c r="U83" i="4"/>
  <c r="R83" i="4"/>
  <c r="N83" i="4"/>
  <c r="O83" i="4" s="1"/>
  <c r="L83" i="4"/>
  <c r="H83" i="4"/>
  <c r="I83" i="4" s="1"/>
  <c r="F83" i="4"/>
  <c r="C83" i="4"/>
  <c r="AD82" i="4"/>
  <c r="AC82" i="4"/>
  <c r="AA82" i="4"/>
  <c r="X82" i="4"/>
  <c r="W82" i="4"/>
  <c r="U82" i="4"/>
  <c r="R82" i="4"/>
  <c r="O82" i="4"/>
  <c r="N82" i="4"/>
  <c r="L82" i="4"/>
  <c r="I82" i="4"/>
  <c r="H82" i="4"/>
  <c r="F82" i="4"/>
  <c r="C82" i="4"/>
  <c r="AC81" i="4"/>
  <c r="AD81" i="4" s="1"/>
  <c r="AA81" i="4"/>
  <c r="W81" i="4"/>
  <c r="X81" i="4" s="1"/>
  <c r="U81" i="4"/>
  <c r="R81" i="4"/>
  <c r="O81" i="4"/>
  <c r="N81" i="4"/>
  <c r="L81" i="4"/>
  <c r="I81" i="4"/>
  <c r="H81" i="4"/>
  <c r="F81" i="4"/>
  <c r="C81" i="4"/>
  <c r="AC80" i="4"/>
  <c r="AD80" i="4" s="1"/>
  <c r="AA80" i="4"/>
  <c r="X80" i="4"/>
  <c r="W80" i="4"/>
  <c r="U80" i="4"/>
  <c r="R80" i="4"/>
  <c r="O80" i="4"/>
  <c r="N80" i="4"/>
  <c r="L80" i="4"/>
  <c r="H80" i="4"/>
  <c r="I80" i="4" s="1"/>
  <c r="F80" i="4"/>
  <c r="C80" i="4"/>
  <c r="AD79" i="4"/>
  <c r="AC79" i="4"/>
  <c r="AA79" i="4"/>
  <c r="X79" i="4"/>
  <c r="W79" i="4"/>
  <c r="U79" i="4"/>
  <c r="R79" i="4"/>
  <c r="N79" i="4"/>
  <c r="O79" i="4" s="1"/>
  <c r="L79" i="4"/>
  <c r="H79" i="4"/>
  <c r="I79" i="4" s="1"/>
  <c r="F79" i="4"/>
  <c r="C79" i="4"/>
  <c r="AD78" i="4"/>
  <c r="AC78" i="4"/>
  <c r="AA78" i="4"/>
  <c r="X78" i="4"/>
  <c r="W78" i="4"/>
  <c r="U78" i="4"/>
  <c r="R78" i="4"/>
  <c r="O78" i="4"/>
  <c r="N78" i="4"/>
  <c r="L78" i="4"/>
  <c r="I78" i="4"/>
  <c r="H78" i="4"/>
  <c r="F78" i="4"/>
  <c r="C78" i="4"/>
  <c r="AC77" i="4"/>
  <c r="AD77" i="4" s="1"/>
  <c r="AA77" i="4"/>
  <c r="W77" i="4"/>
  <c r="X77" i="4" s="1"/>
  <c r="U77" i="4"/>
  <c r="R77" i="4"/>
  <c r="O77" i="4"/>
  <c r="N77" i="4"/>
  <c r="L77" i="4"/>
  <c r="I77" i="4"/>
  <c r="H77" i="4"/>
  <c r="F77" i="4"/>
  <c r="C77" i="4"/>
  <c r="AC76" i="4"/>
  <c r="AD76" i="4" s="1"/>
  <c r="AA76" i="4"/>
  <c r="X76" i="4"/>
  <c r="W76" i="4"/>
  <c r="U76" i="4"/>
  <c r="R76" i="4"/>
  <c r="O76" i="4"/>
  <c r="N76" i="4"/>
  <c r="L76" i="4"/>
  <c r="H76" i="4"/>
  <c r="I76" i="4" s="1"/>
  <c r="F76" i="4"/>
  <c r="C76" i="4"/>
  <c r="AD75" i="4"/>
  <c r="AC75" i="4"/>
  <c r="AA75" i="4"/>
  <c r="X75" i="4"/>
  <c r="W75" i="4"/>
  <c r="U75" i="4"/>
  <c r="R75" i="4"/>
  <c r="N75" i="4"/>
  <c r="O75" i="4" s="1"/>
  <c r="L75" i="4"/>
  <c r="H75" i="4"/>
  <c r="I75" i="4" s="1"/>
  <c r="F75" i="4"/>
  <c r="C75" i="4"/>
  <c r="AA73" i="4"/>
  <c r="Z73" i="4"/>
  <c r="T73" i="4"/>
  <c r="W73" i="4" s="1"/>
  <c r="X73" i="4" s="1"/>
  <c r="R73" i="4"/>
  <c r="Q73" i="4"/>
  <c r="AC73" i="4" s="1"/>
  <c r="AD73" i="4" s="1"/>
  <c r="K73" i="4"/>
  <c r="L73" i="4" s="1"/>
  <c r="I73" i="4"/>
  <c r="H73" i="4"/>
  <c r="F73" i="4"/>
  <c r="E73" i="4"/>
  <c r="C73" i="4"/>
  <c r="B73" i="4"/>
  <c r="N73" i="4" s="1"/>
  <c r="O73" i="4" s="1"/>
  <c r="AC72" i="4"/>
  <c r="AD72" i="4" s="1"/>
  <c r="AA72" i="4"/>
  <c r="X72" i="4"/>
  <c r="W72" i="4"/>
  <c r="U72" i="4"/>
  <c r="R72" i="4"/>
  <c r="O72" i="4"/>
  <c r="N72" i="4"/>
  <c r="L72" i="4"/>
  <c r="I72" i="4"/>
  <c r="H72" i="4"/>
  <c r="F72" i="4"/>
  <c r="C72" i="4"/>
  <c r="AD71" i="4"/>
  <c r="AC71" i="4"/>
  <c r="AA71" i="4"/>
  <c r="X71" i="4"/>
  <c r="W71" i="4"/>
  <c r="U71" i="4"/>
  <c r="R71" i="4"/>
  <c r="N71" i="4"/>
  <c r="O71" i="4" s="1"/>
  <c r="L71" i="4"/>
  <c r="H71" i="4"/>
  <c r="I71" i="4" s="1"/>
  <c r="F71" i="4"/>
  <c r="C71" i="4"/>
  <c r="AD70" i="4"/>
  <c r="AC70" i="4"/>
  <c r="AA70" i="4"/>
  <c r="X70" i="4"/>
  <c r="W70" i="4"/>
  <c r="U70" i="4"/>
  <c r="R70" i="4"/>
  <c r="O70" i="4"/>
  <c r="N70" i="4"/>
  <c r="L70" i="4"/>
  <c r="I70" i="4"/>
  <c r="H70" i="4"/>
  <c r="F70" i="4"/>
  <c r="C70" i="4"/>
  <c r="AC69" i="4"/>
  <c r="AD69" i="4" s="1"/>
  <c r="AA69" i="4"/>
  <c r="W69" i="4"/>
  <c r="X69" i="4" s="1"/>
  <c r="U69" i="4"/>
  <c r="R69" i="4"/>
  <c r="N69" i="4"/>
  <c r="O69" i="4" s="1"/>
  <c r="L69" i="4"/>
  <c r="I69" i="4"/>
  <c r="H69" i="4"/>
  <c r="F69" i="4"/>
  <c r="C69" i="4"/>
  <c r="AC68" i="4"/>
  <c r="AD68" i="4" s="1"/>
  <c r="AA68" i="4"/>
  <c r="W68" i="4"/>
  <c r="X68" i="4" s="1"/>
  <c r="U68" i="4"/>
  <c r="R68" i="4"/>
  <c r="O68" i="4"/>
  <c r="N68" i="4"/>
  <c r="L68" i="4"/>
  <c r="H68" i="4"/>
  <c r="I68" i="4" s="1"/>
  <c r="F68" i="4"/>
  <c r="C68" i="4"/>
  <c r="AD67" i="4"/>
  <c r="AC67" i="4"/>
  <c r="AA67" i="4"/>
  <c r="W67" i="4"/>
  <c r="X67" i="4" s="1"/>
  <c r="U67" i="4"/>
  <c r="R67" i="4"/>
  <c r="N67" i="4"/>
  <c r="O67" i="4" s="1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O66" i="4" s="1"/>
  <c r="L66" i="4"/>
  <c r="I66" i="4"/>
  <c r="H66" i="4"/>
  <c r="F66" i="4"/>
  <c r="C66" i="4"/>
  <c r="AC65" i="4"/>
  <c r="AD65" i="4" s="1"/>
  <c r="AA65" i="4"/>
  <c r="W65" i="4"/>
  <c r="X65" i="4" s="1"/>
  <c r="U65" i="4"/>
  <c r="R65" i="4"/>
  <c r="O65" i="4"/>
  <c r="N65" i="4"/>
  <c r="L65" i="4"/>
  <c r="I65" i="4"/>
  <c r="H65" i="4"/>
  <c r="F65" i="4"/>
  <c r="C65" i="4"/>
  <c r="AC64" i="4"/>
  <c r="AD64" i="4" s="1"/>
  <c r="AA64" i="4"/>
  <c r="X64" i="4"/>
  <c r="W64" i="4"/>
  <c r="U64" i="4"/>
  <c r="R64" i="4"/>
  <c r="O64" i="4"/>
  <c r="N64" i="4"/>
  <c r="L64" i="4"/>
  <c r="I64" i="4"/>
  <c r="H64" i="4"/>
  <c r="F64" i="4"/>
  <c r="C64" i="4"/>
  <c r="Z62" i="4"/>
  <c r="AA62" i="4" s="1"/>
  <c r="W62" i="4"/>
  <c r="X62" i="4" s="1"/>
  <c r="U62" i="4"/>
  <c r="T62" i="4"/>
  <c r="R62" i="4"/>
  <c r="Q62" i="4"/>
  <c r="L62" i="4"/>
  <c r="K62" i="4"/>
  <c r="N62" i="4" s="1"/>
  <c r="O62" i="4" s="1"/>
  <c r="F62" i="4"/>
  <c r="E62" i="4"/>
  <c r="B62" i="4"/>
  <c r="AC61" i="4"/>
  <c r="AD61" i="4" s="1"/>
  <c r="AA61" i="4"/>
  <c r="Z61" i="4"/>
  <c r="T61" i="4"/>
  <c r="U61" i="4" s="1"/>
  <c r="R61" i="4"/>
  <c r="Q61" i="4"/>
  <c r="O61" i="4"/>
  <c r="L61" i="4"/>
  <c r="K61" i="4"/>
  <c r="H61" i="4"/>
  <c r="I61" i="4" s="1"/>
  <c r="F61" i="4"/>
  <c r="E61" i="4"/>
  <c r="C61" i="4"/>
  <c r="B61" i="4"/>
  <c r="N61" i="4" s="1"/>
  <c r="AD60" i="4"/>
  <c r="AC60" i="4"/>
  <c r="AA60" i="4"/>
  <c r="W60" i="4"/>
  <c r="X60" i="4" s="1"/>
  <c r="U60" i="4"/>
  <c r="R60" i="4"/>
  <c r="N60" i="4"/>
  <c r="O60" i="4" s="1"/>
  <c r="L60" i="4"/>
  <c r="H60" i="4"/>
  <c r="I60" i="4" s="1"/>
  <c r="F60" i="4"/>
  <c r="C60" i="4"/>
  <c r="AD59" i="4"/>
  <c r="AC59" i="4"/>
  <c r="AA59" i="4"/>
  <c r="X59" i="4"/>
  <c r="W59" i="4"/>
  <c r="U59" i="4"/>
  <c r="R59" i="4"/>
  <c r="N59" i="4"/>
  <c r="O59" i="4" s="1"/>
  <c r="L59" i="4"/>
  <c r="I59" i="4"/>
  <c r="H59" i="4"/>
  <c r="F59" i="4"/>
  <c r="C59" i="4"/>
  <c r="AD58" i="4"/>
  <c r="AC58" i="4"/>
  <c r="AA58" i="4"/>
  <c r="W58" i="4"/>
  <c r="X58" i="4" s="1"/>
  <c r="U58" i="4"/>
  <c r="R58" i="4"/>
  <c r="N58" i="4"/>
  <c r="O58" i="4" s="1"/>
  <c r="L58" i="4"/>
  <c r="I58" i="4"/>
  <c r="H58" i="4"/>
  <c r="F58" i="4"/>
  <c r="C58" i="4"/>
  <c r="AC57" i="4"/>
  <c r="AD57" i="4" s="1"/>
  <c r="AA57" i="4"/>
  <c r="W57" i="4"/>
  <c r="X57" i="4" s="1"/>
  <c r="U57" i="4"/>
  <c r="R57" i="4"/>
  <c r="O57" i="4"/>
  <c r="N57" i="4"/>
  <c r="L57" i="4"/>
  <c r="H57" i="4"/>
  <c r="I57" i="4" s="1"/>
  <c r="F57" i="4"/>
  <c r="C57" i="4"/>
  <c r="AD56" i="4"/>
  <c r="AC56" i="4"/>
  <c r="AA56" i="4"/>
  <c r="W56" i="4"/>
  <c r="X56" i="4" s="1"/>
  <c r="U56" i="4"/>
  <c r="R56" i="4"/>
  <c r="N56" i="4"/>
  <c r="O56" i="4" s="1"/>
  <c r="L56" i="4"/>
  <c r="H56" i="4"/>
  <c r="I56" i="4" s="1"/>
  <c r="F56" i="4"/>
  <c r="C56" i="4"/>
  <c r="AD55" i="4"/>
  <c r="AC55" i="4"/>
  <c r="AA55" i="4"/>
  <c r="X55" i="4"/>
  <c r="W55" i="4"/>
  <c r="U55" i="4"/>
  <c r="R55" i="4"/>
  <c r="N55" i="4"/>
  <c r="O55" i="4" s="1"/>
  <c r="L55" i="4"/>
  <c r="I55" i="4"/>
  <c r="H55" i="4"/>
  <c r="F55" i="4"/>
  <c r="C55" i="4"/>
  <c r="AD54" i="4"/>
  <c r="AC54" i="4"/>
  <c r="AA54" i="4"/>
  <c r="W54" i="4"/>
  <c r="X54" i="4" s="1"/>
  <c r="U54" i="4"/>
  <c r="R54" i="4"/>
  <c r="O54" i="4"/>
  <c r="N54" i="4"/>
  <c r="L54" i="4"/>
  <c r="I54" i="4"/>
  <c r="H54" i="4"/>
  <c r="F54" i="4"/>
  <c r="C54" i="4"/>
  <c r="AC53" i="4"/>
  <c r="AD53" i="4" s="1"/>
  <c r="AA53" i="4"/>
  <c r="X53" i="4"/>
  <c r="W53" i="4"/>
  <c r="U53" i="4"/>
  <c r="R53" i="4"/>
  <c r="O53" i="4"/>
  <c r="N53" i="4"/>
  <c r="L53" i="4"/>
  <c r="I53" i="4"/>
  <c r="H53" i="4"/>
  <c r="F53" i="4"/>
  <c r="C53" i="4"/>
  <c r="AD52" i="4"/>
  <c r="AC52" i="4"/>
  <c r="AA52" i="4"/>
  <c r="W52" i="4"/>
  <c r="X52" i="4" s="1"/>
  <c r="U52" i="4"/>
  <c r="R52" i="4"/>
  <c r="N52" i="4"/>
  <c r="O52" i="4" s="1"/>
  <c r="L52" i="4"/>
  <c r="H52" i="4"/>
  <c r="I52" i="4" s="1"/>
  <c r="F52" i="4"/>
  <c r="C52" i="4"/>
  <c r="AD51" i="4"/>
  <c r="AC51" i="4"/>
  <c r="AA51" i="4"/>
  <c r="X51" i="4"/>
  <c r="W51" i="4"/>
  <c r="U51" i="4"/>
  <c r="R51" i="4"/>
  <c r="N51" i="4"/>
  <c r="O51" i="4" s="1"/>
  <c r="L51" i="4"/>
  <c r="I51" i="4"/>
  <c r="H51" i="4"/>
  <c r="F51" i="4"/>
  <c r="C51" i="4"/>
  <c r="AD50" i="4"/>
  <c r="AC50" i="4"/>
  <c r="AA50" i="4"/>
  <c r="W50" i="4"/>
  <c r="X50" i="4" s="1"/>
  <c r="U50" i="4"/>
  <c r="R50" i="4"/>
  <c r="N50" i="4"/>
  <c r="O50" i="4" s="1"/>
  <c r="L50" i="4"/>
  <c r="I50" i="4"/>
  <c r="H50" i="4"/>
  <c r="F50" i="4"/>
  <c r="C50" i="4"/>
  <c r="AC49" i="4"/>
  <c r="AD49" i="4" s="1"/>
  <c r="AA49" i="4"/>
  <c r="W49" i="4"/>
  <c r="X49" i="4" s="1"/>
  <c r="U49" i="4"/>
  <c r="R49" i="4"/>
  <c r="O49" i="4"/>
  <c r="N49" i="4"/>
  <c r="L49" i="4"/>
  <c r="H49" i="4"/>
  <c r="I49" i="4" s="1"/>
  <c r="F49" i="4"/>
  <c r="C49" i="4"/>
  <c r="AD48" i="4"/>
  <c r="AC48" i="4"/>
  <c r="AA48" i="4"/>
  <c r="W48" i="4"/>
  <c r="X48" i="4" s="1"/>
  <c r="U48" i="4"/>
  <c r="R48" i="4"/>
  <c r="N48" i="4"/>
  <c r="O48" i="4" s="1"/>
  <c r="L48" i="4"/>
  <c r="H48" i="4"/>
  <c r="I48" i="4" s="1"/>
  <c r="F48" i="4"/>
  <c r="C48" i="4"/>
  <c r="AD47" i="4"/>
  <c r="AC47" i="4"/>
  <c r="AA47" i="4"/>
  <c r="X47" i="4"/>
  <c r="W47" i="4"/>
  <c r="U47" i="4"/>
  <c r="R47" i="4"/>
  <c r="N47" i="4"/>
  <c r="O47" i="4" s="1"/>
  <c r="L47" i="4"/>
  <c r="I47" i="4"/>
  <c r="H47" i="4"/>
  <c r="F47" i="4"/>
  <c r="C47" i="4"/>
  <c r="AD46" i="4"/>
  <c r="AC46" i="4"/>
  <c r="AA46" i="4"/>
  <c r="W46" i="4"/>
  <c r="X46" i="4" s="1"/>
  <c r="U46" i="4"/>
  <c r="R46" i="4"/>
  <c r="O46" i="4"/>
  <c r="N46" i="4"/>
  <c r="L46" i="4"/>
  <c r="I46" i="4"/>
  <c r="H46" i="4"/>
  <c r="F46" i="4"/>
  <c r="C46" i="4"/>
  <c r="AC44" i="4"/>
  <c r="AD44" i="4" s="1"/>
  <c r="AA44" i="4"/>
  <c r="X44" i="4"/>
  <c r="W44" i="4"/>
  <c r="U44" i="4"/>
  <c r="R44" i="4"/>
  <c r="O44" i="4"/>
  <c r="N44" i="4"/>
  <c r="L44" i="4"/>
  <c r="I44" i="4"/>
  <c r="H44" i="4"/>
  <c r="F44" i="4"/>
  <c r="C44" i="4"/>
  <c r="AD43" i="4"/>
  <c r="AC43" i="4"/>
  <c r="AA43" i="4"/>
  <c r="W43" i="4"/>
  <c r="X43" i="4" s="1"/>
  <c r="U43" i="4"/>
  <c r="R43" i="4"/>
  <c r="N43" i="4"/>
  <c r="O43" i="4" s="1"/>
  <c r="L43" i="4"/>
  <c r="H43" i="4"/>
  <c r="I43" i="4" s="1"/>
  <c r="F43" i="4"/>
  <c r="C43" i="4"/>
  <c r="AD42" i="4"/>
  <c r="AC42" i="4"/>
  <c r="AA42" i="4"/>
  <c r="X42" i="4"/>
  <c r="W42" i="4"/>
  <c r="U42" i="4"/>
  <c r="R42" i="4"/>
  <c r="N42" i="4"/>
  <c r="O42" i="4" s="1"/>
  <c r="L42" i="4"/>
  <c r="I42" i="4"/>
  <c r="H42" i="4"/>
  <c r="F42" i="4"/>
  <c r="C42" i="4"/>
  <c r="AA40" i="4"/>
  <c r="Z40" i="4"/>
  <c r="T40" i="4"/>
  <c r="U40" i="4" s="1"/>
  <c r="Q40" i="4"/>
  <c r="W40" i="4" s="1"/>
  <c r="X40" i="4" s="1"/>
  <c r="L40" i="4"/>
  <c r="K40" i="4"/>
  <c r="H40" i="4"/>
  <c r="I40" i="4" s="1"/>
  <c r="F40" i="4"/>
  <c r="E40" i="4"/>
  <c r="C40" i="4"/>
  <c r="B40" i="4"/>
  <c r="N40" i="4" s="1"/>
  <c r="O40" i="4" s="1"/>
  <c r="AD39" i="4"/>
  <c r="AC39" i="4"/>
  <c r="AA39" i="4"/>
  <c r="X39" i="4"/>
  <c r="W39" i="4"/>
  <c r="U39" i="4"/>
  <c r="R39" i="4"/>
  <c r="N39" i="4"/>
  <c r="O39" i="4" s="1"/>
  <c r="L39" i="4"/>
  <c r="H39" i="4"/>
  <c r="I39" i="4" s="1"/>
  <c r="F39" i="4"/>
  <c r="C39" i="4"/>
  <c r="AD38" i="4"/>
  <c r="AC38" i="4"/>
  <c r="AA38" i="4"/>
  <c r="X38" i="4"/>
  <c r="W38" i="4"/>
  <c r="U38" i="4"/>
  <c r="R38" i="4"/>
  <c r="O38" i="4"/>
  <c r="N38" i="4"/>
  <c r="L38" i="4"/>
  <c r="I38" i="4"/>
  <c r="H38" i="4"/>
  <c r="F38" i="4"/>
  <c r="C38" i="4"/>
  <c r="AD37" i="4"/>
  <c r="AC37" i="4"/>
  <c r="AA37" i="4"/>
  <c r="W37" i="4"/>
  <c r="X37" i="4" s="1"/>
  <c r="U37" i="4"/>
  <c r="R37" i="4"/>
  <c r="N37" i="4"/>
  <c r="O37" i="4" s="1"/>
  <c r="L37" i="4"/>
  <c r="I37" i="4"/>
  <c r="H37" i="4"/>
  <c r="F37" i="4"/>
  <c r="C37" i="4"/>
  <c r="AC36" i="4"/>
  <c r="AD36" i="4" s="1"/>
  <c r="AA36" i="4"/>
  <c r="W36" i="4"/>
  <c r="X36" i="4" s="1"/>
  <c r="U36" i="4"/>
  <c r="R36" i="4"/>
  <c r="O36" i="4"/>
  <c r="N36" i="4"/>
  <c r="L36" i="4"/>
  <c r="H36" i="4"/>
  <c r="I36" i="4" s="1"/>
  <c r="F36" i="4"/>
  <c r="C36" i="4"/>
  <c r="AD35" i="4"/>
  <c r="AC35" i="4"/>
  <c r="AA35" i="4"/>
  <c r="X35" i="4"/>
  <c r="W35" i="4"/>
  <c r="U35" i="4"/>
  <c r="R35" i="4"/>
  <c r="N35" i="4"/>
  <c r="O35" i="4" s="1"/>
  <c r="L35" i="4"/>
  <c r="H35" i="4"/>
  <c r="I35" i="4" s="1"/>
  <c r="F35" i="4"/>
  <c r="C35" i="4"/>
  <c r="AC34" i="4"/>
  <c r="AD34" i="4" s="1"/>
  <c r="AA34" i="4"/>
  <c r="X34" i="4"/>
  <c r="W34" i="4"/>
  <c r="U34" i="4"/>
  <c r="R34" i="4"/>
  <c r="O34" i="4"/>
  <c r="N34" i="4"/>
  <c r="L34" i="4"/>
  <c r="I34" i="4"/>
  <c r="H34" i="4"/>
  <c r="F34" i="4"/>
  <c r="C34" i="4"/>
  <c r="AC33" i="4"/>
  <c r="AD33" i="4" s="1"/>
  <c r="AA33" i="4"/>
  <c r="W33" i="4"/>
  <c r="X33" i="4" s="1"/>
  <c r="U33" i="4"/>
  <c r="R33" i="4"/>
  <c r="N33" i="4"/>
  <c r="O33" i="4" s="1"/>
  <c r="L33" i="4"/>
  <c r="H33" i="4"/>
  <c r="I33" i="4" s="1"/>
  <c r="F33" i="4"/>
  <c r="C33" i="4"/>
  <c r="AC32" i="4"/>
  <c r="AD32" i="4" s="1"/>
  <c r="AA32" i="4"/>
  <c r="W32" i="4"/>
  <c r="X32" i="4" s="1"/>
  <c r="U32" i="4"/>
  <c r="R32" i="4"/>
  <c r="O32" i="4"/>
  <c r="N32" i="4"/>
  <c r="L32" i="4"/>
  <c r="H32" i="4"/>
  <c r="I32" i="4" s="1"/>
  <c r="F32" i="4"/>
  <c r="C32" i="4"/>
  <c r="AD31" i="4"/>
  <c r="AC31" i="4"/>
  <c r="AA31" i="4"/>
  <c r="X31" i="4"/>
  <c r="W31" i="4"/>
  <c r="U31" i="4"/>
  <c r="R31" i="4"/>
  <c r="N31" i="4"/>
  <c r="O31" i="4" s="1"/>
  <c r="L31" i="4"/>
  <c r="H31" i="4"/>
  <c r="I31" i="4" s="1"/>
  <c r="F31" i="4"/>
  <c r="C31" i="4"/>
  <c r="AC29" i="4"/>
  <c r="AD29" i="4" s="1"/>
  <c r="AA29" i="4"/>
  <c r="Z29" i="4"/>
  <c r="W29" i="4"/>
  <c r="X29" i="4" s="1"/>
  <c r="U29" i="4"/>
  <c r="T29" i="4"/>
  <c r="Q29" i="4"/>
  <c r="R29" i="4" s="1"/>
  <c r="K29" i="4"/>
  <c r="L29" i="4" s="1"/>
  <c r="H29" i="4"/>
  <c r="I29" i="4" s="1"/>
  <c r="F29" i="4"/>
  <c r="E29" i="4"/>
  <c r="C29" i="4"/>
  <c r="B29" i="4"/>
  <c r="AC28" i="4"/>
  <c r="AD28" i="4" s="1"/>
  <c r="AA28" i="4"/>
  <c r="W28" i="4"/>
  <c r="X28" i="4" s="1"/>
  <c r="U28" i="4"/>
  <c r="R28" i="4"/>
  <c r="O28" i="4"/>
  <c r="N28" i="4"/>
  <c r="L28" i="4"/>
  <c r="H28" i="4"/>
  <c r="I28" i="4" s="1"/>
  <c r="F28" i="4"/>
  <c r="C28" i="4"/>
  <c r="AD27" i="4"/>
  <c r="AC27" i="4"/>
  <c r="AA27" i="4"/>
  <c r="X27" i="4"/>
  <c r="W27" i="4"/>
  <c r="U27" i="4"/>
  <c r="R27" i="4"/>
  <c r="O27" i="4"/>
  <c r="N27" i="4"/>
  <c r="L27" i="4"/>
  <c r="H27" i="4"/>
  <c r="I27" i="4" s="1"/>
  <c r="F27" i="4"/>
  <c r="C27" i="4"/>
  <c r="AC26" i="4"/>
  <c r="AD26" i="4" s="1"/>
  <c r="AA26" i="4"/>
  <c r="X26" i="4"/>
  <c r="W26" i="4"/>
  <c r="U26" i="4"/>
  <c r="R26" i="4"/>
  <c r="N26" i="4"/>
  <c r="O26" i="4" s="1"/>
  <c r="L26" i="4"/>
  <c r="I26" i="4"/>
  <c r="H26" i="4"/>
  <c r="F26" i="4"/>
  <c r="C26" i="4"/>
  <c r="AD25" i="4"/>
  <c r="AC25" i="4"/>
  <c r="AA25" i="4"/>
  <c r="X25" i="4"/>
  <c r="W25" i="4"/>
  <c r="U25" i="4"/>
  <c r="R25" i="4"/>
  <c r="N25" i="4"/>
  <c r="O25" i="4" s="1"/>
  <c r="L25" i="4"/>
  <c r="H25" i="4"/>
  <c r="I25" i="4" s="1"/>
  <c r="F25" i="4"/>
  <c r="C25" i="4"/>
  <c r="AC24" i="4"/>
  <c r="AD24" i="4" s="1"/>
  <c r="AA24" i="4"/>
  <c r="W24" i="4"/>
  <c r="X24" i="4" s="1"/>
  <c r="U24" i="4"/>
  <c r="R24" i="4"/>
  <c r="O24" i="4"/>
  <c r="N24" i="4"/>
  <c r="L24" i="4"/>
  <c r="H24" i="4"/>
  <c r="I24" i="4" s="1"/>
  <c r="F24" i="4"/>
  <c r="C24" i="4"/>
  <c r="AD23" i="4"/>
  <c r="AC23" i="4"/>
  <c r="AA23" i="4"/>
  <c r="W23" i="4"/>
  <c r="X23" i="4" s="1"/>
  <c r="U23" i="4"/>
  <c r="R23" i="4"/>
  <c r="N23" i="4"/>
  <c r="O23" i="4" s="1"/>
  <c r="L23" i="4"/>
  <c r="H23" i="4"/>
  <c r="I23" i="4" s="1"/>
  <c r="F23" i="4"/>
  <c r="C23" i="4"/>
  <c r="AC22" i="4"/>
  <c r="AD22" i="4" s="1"/>
  <c r="AA22" i="4"/>
  <c r="X22" i="4"/>
  <c r="W22" i="4"/>
  <c r="U22" i="4"/>
  <c r="R22" i="4"/>
  <c r="N22" i="4"/>
  <c r="O22" i="4" s="1"/>
  <c r="L22" i="4"/>
  <c r="I22" i="4"/>
  <c r="H22" i="4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W19" i="4"/>
  <c r="X19" i="4" s="1"/>
  <c r="U19" i="4"/>
  <c r="R19" i="4"/>
  <c r="O19" i="4"/>
  <c r="N19" i="4"/>
  <c r="L19" i="4"/>
  <c r="I19" i="4"/>
  <c r="H19" i="4"/>
  <c r="F19" i="4"/>
  <c r="C19" i="4"/>
  <c r="Z18" i="4"/>
  <c r="AA18" i="4" s="1"/>
  <c r="X18" i="4"/>
  <c r="W18" i="4"/>
  <c r="U18" i="4"/>
  <c r="T18" i="4"/>
  <c r="R18" i="4"/>
  <c r="Q18" i="4"/>
  <c r="N18" i="4"/>
  <c r="O18" i="4" s="1"/>
  <c r="K18" i="4"/>
  <c r="L18" i="4" s="1"/>
  <c r="F18" i="4"/>
  <c r="E18" i="4"/>
  <c r="B18" i="4"/>
  <c r="C18" i="4" s="1"/>
  <c r="AD17" i="4"/>
  <c r="AC17" i="4"/>
  <c r="AA17" i="4"/>
  <c r="X17" i="4"/>
  <c r="W17" i="4"/>
  <c r="U17" i="4"/>
  <c r="R17" i="4"/>
  <c r="N17" i="4"/>
  <c r="O17" i="4" s="1"/>
  <c r="L17" i="4"/>
  <c r="I17" i="4"/>
  <c r="H17" i="4"/>
  <c r="F17" i="4"/>
  <c r="C17" i="4"/>
  <c r="AC16" i="4"/>
  <c r="AD16" i="4" s="1"/>
  <c r="AA16" i="4"/>
  <c r="X16" i="4"/>
  <c r="W16" i="4"/>
  <c r="U16" i="4"/>
  <c r="R16" i="4"/>
  <c r="O16" i="4"/>
  <c r="N16" i="4"/>
  <c r="L16" i="4"/>
  <c r="H16" i="4"/>
  <c r="I16" i="4" s="1"/>
  <c r="F16" i="4"/>
  <c r="C16" i="4"/>
  <c r="AD15" i="4"/>
  <c r="AC15" i="4"/>
  <c r="AA15" i="4"/>
  <c r="W15" i="4"/>
  <c r="X15" i="4" s="1"/>
  <c r="U15" i="4"/>
  <c r="R15" i="4"/>
  <c r="O15" i="4"/>
  <c r="N15" i="4"/>
  <c r="L15" i="4"/>
  <c r="H15" i="4"/>
  <c r="I15" i="4" s="1"/>
  <c r="F15" i="4"/>
  <c r="C15" i="4"/>
  <c r="AD14" i="4"/>
  <c r="AC14" i="4"/>
  <c r="AA14" i="4"/>
  <c r="X14" i="4"/>
  <c r="W14" i="4"/>
  <c r="U14" i="4"/>
  <c r="R14" i="4"/>
  <c r="N14" i="4"/>
  <c r="O14" i="4" s="1"/>
  <c r="L14" i="4"/>
  <c r="I14" i="4"/>
  <c r="H14" i="4"/>
  <c r="F14" i="4"/>
  <c r="C14" i="4"/>
  <c r="AC13" i="4"/>
  <c r="AD13" i="4" s="1"/>
  <c r="AA13" i="4"/>
  <c r="X13" i="4"/>
  <c r="W13" i="4"/>
  <c r="U13" i="4"/>
  <c r="R13" i="4"/>
  <c r="N13" i="4"/>
  <c r="O13" i="4" s="1"/>
  <c r="L13" i="4"/>
  <c r="I13" i="4"/>
  <c r="H13" i="4"/>
  <c r="F13" i="4"/>
  <c r="C13" i="4"/>
  <c r="AC12" i="4"/>
  <c r="AD12" i="4" s="1"/>
  <c r="AA12" i="4"/>
  <c r="W12" i="4"/>
  <c r="X12" i="4" s="1"/>
  <c r="U12" i="4"/>
  <c r="R12" i="4"/>
  <c r="O12" i="4"/>
  <c r="N12" i="4"/>
  <c r="L12" i="4"/>
  <c r="H12" i="4"/>
  <c r="I12" i="4" s="1"/>
  <c r="F12" i="4"/>
  <c r="C12" i="4"/>
  <c r="AD11" i="4"/>
  <c r="AC11" i="4"/>
  <c r="AA11" i="4"/>
  <c r="X11" i="4"/>
  <c r="W11" i="4"/>
  <c r="U11" i="4"/>
  <c r="R11" i="4"/>
  <c r="O11" i="4"/>
  <c r="N11" i="4"/>
  <c r="L11" i="4"/>
  <c r="H11" i="4"/>
  <c r="I11" i="4" s="1"/>
  <c r="F11" i="4"/>
  <c r="C11" i="4"/>
  <c r="AC10" i="4"/>
  <c r="AD10" i="4" s="1"/>
  <c r="AA10" i="4"/>
  <c r="X10" i="4"/>
  <c r="W10" i="4"/>
  <c r="U10" i="4"/>
  <c r="R10" i="4"/>
  <c r="N10" i="4"/>
  <c r="O10" i="4" s="1"/>
  <c r="L10" i="4"/>
  <c r="I10" i="4"/>
  <c r="H10" i="4"/>
  <c r="F10" i="4"/>
  <c r="C10" i="4"/>
  <c r="AD8" i="4"/>
  <c r="AC8" i="4"/>
  <c r="AA8" i="4"/>
  <c r="W8" i="4"/>
  <c r="X8" i="4" s="1"/>
  <c r="U8" i="4"/>
  <c r="R8" i="4"/>
  <c r="O8" i="4"/>
  <c r="N8" i="4"/>
  <c r="L8" i="4"/>
  <c r="H8" i="4"/>
  <c r="I8" i="4" s="1"/>
  <c r="F8" i="4"/>
  <c r="C8" i="4"/>
  <c r="AC444" i="3"/>
  <c r="W444" i="3"/>
  <c r="N444" i="3"/>
  <c r="H444" i="3"/>
  <c r="Z442" i="3"/>
  <c r="AA442" i="3" s="1"/>
  <c r="X442" i="3"/>
  <c r="W442" i="3"/>
  <c r="U442" i="3"/>
  <c r="T442" i="3"/>
  <c r="Q442" i="3"/>
  <c r="R442" i="3" s="1"/>
  <c r="K442" i="3"/>
  <c r="L442" i="3" s="1"/>
  <c r="E442" i="3"/>
  <c r="F442" i="3" s="1"/>
  <c r="C442" i="3"/>
  <c r="B442" i="3"/>
  <c r="AC441" i="3"/>
  <c r="AD441" i="3" s="1"/>
  <c r="AA441" i="3"/>
  <c r="Z441" i="3"/>
  <c r="W441" i="3"/>
  <c r="X441" i="3" s="1"/>
  <c r="U441" i="3"/>
  <c r="T441" i="3"/>
  <c r="R441" i="3"/>
  <c r="Q441" i="3"/>
  <c r="K441" i="3"/>
  <c r="L441" i="3" s="1"/>
  <c r="I441" i="3"/>
  <c r="H441" i="3"/>
  <c r="F441" i="3"/>
  <c r="E441" i="3"/>
  <c r="C441" i="3"/>
  <c r="B441" i="3"/>
  <c r="AC440" i="3"/>
  <c r="AD440" i="3" s="1"/>
  <c r="AA440" i="3"/>
  <c r="X440" i="3"/>
  <c r="W440" i="3"/>
  <c r="U440" i="3"/>
  <c r="R440" i="3"/>
  <c r="N440" i="3"/>
  <c r="L440" i="3"/>
  <c r="H440" i="3"/>
  <c r="I440" i="3" s="1"/>
  <c r="F440" i="3"/>
  <c r="C440" i="3"/>
  <c r="AD439" i="3"/>
  <c r="AC439" i="3"/>
  <c r="AA439" i="3"/>
  <c r="W439" i="3"/>
  <c r="X439" i="3" s="1"/>
  <c r="U439" i="3"/>
  <c r="R439" i="3"/>
  <c r="N439" i="3"/>
  <c r="O439" i="3" s="1"/>
  <c r="L439" i="3"/>
  <c r="H439" i="3"/>
  <c r="I439" i="3" s="1"/>
  <c r="F439" i="3"/>
  <c r="C439" i="3"/>
  <c r="AC438" i="3"/>
  <c r="AD438" i="3" s="1"/>
  <c r="AA438" i="3"/>
  <c r="W438" i="3"/>
  <c r="U438" i="3"/>
  <c r="R438" i="3"/>
  <c r="N438" i="3"/>
  <c r="O438" i="3" s="1"/>
  <c r="L438" i="3"/>
  <c r="I438" i="3"/>
  <c r="H438" i="3"/>
  <c r="F438" i="3"/>
  <c r="C438" i="3"/>
  <c r="AD437" i="3"/>
  <c r="AC437" i="3"/>
  <c r="AA437" i="3"/>
  <c r="W437" i="3"/>
  <c r="X437" i="3" s="1"/>
  <c r="U437" i="3"/>
  <c r="R437" i="3"/>
  <c r="O437" i="3"/>
  <c r="N437" i="3"/>
  <c r="L437" i="3"/>
  <c r="H437" i="3"/>
  <c r="I437" i="3" s="1"/>
  <c r="F437" i="3"/>
  <c r="C437" i="3"/>
  <c r="AC436" i="3"/>
  <c r="AD436" i="3" s="1"/>
  <c r="AA436" i="3"/>
  <c r="X436" i="3"/>
  <c r="W436" i="3"/>
  <c r="U436" i="3"/>
  <c r="R436" i="3"/>
  <c r="N436" i="3"/>
  <c r="L436" i="3"/>
  <c r="I436" i="3"/>
  <c r="H436" i="3"/>
  <c r="F436" i="3"/>
  <c r="C436" i="3"/>
  <c r="AD435" i="3"/>
  <c r="AC435" i="3"/>
  <c r="AA435" i="3"/>
  <c r="W435" i="3"/>
  <c r="X435" i="3" s="1"/>
  <c r="U435" i="3"/>
  <c r="R435" i="3"/>
  <c r="N435" i="3"/>
  <c r="O435" i="3" s="1"/>
  <c r="L435" i="3"/>
  <c r="H435" i="3"/>
  <c r="I435" i="3" s="1"/>
  <c r="F435" i="3"/>
  <c r="C435" i="3"/>
  <c r="AC434" i="3"/>
  <c r="AD434" i="3" s="1"/>
  <c r="AA434" i="3"/>
  <c r="W434" i="3"/>
  <c r="U434" i="3"/>
  <c r="R434" i="3"/>
  <c r="N434" i="3"/>
  <c r="O434" i="3" s="1"/>
  <c r="L434" i="3"/>
  <c r="I434" i="3"/>
  <c r="H434" i="3"/>
  <c r="F434" i="3"/>
  <c r="C434" i="3"/>
  <c r="AD433" i="3"/>
  <c r="AC433" i="3"/>
  <c r="AA433" i="3"/>
  <c r="W433" i="3"/>
  <c r="X433" i="3" s="1"/>
  <c r="U433" i="3"/>
  <c r="R433" i="3"/>
  <c r="N433" i="3"/>
  <c r="O433" i="3" s="1"/>
  <c r="L433" i="3"/>
  <c r="I433" i="3"/>
  <c r="H433" i="3"/>
  <c r="F433" i="3"/>
  <c r="C433" i="3"/>
  <c r="AC432" i="3"/>
  <c r="AD432" i="3" s="1"/>
  <c r="AA432" i="3"/>
  <c r="X432" i="3"/>
  <c r="W432" i="3"/>
  <c r="U432" i="3"/>
  <c r="R432" i="3"/>
  <c r="N432" i="3"/>
  <c r="L432" i="3"/>
  <c r="H432" i="3"/>
  <c r="I432" i="3" s="1"/>
  <c r="F432" i="3"/>
  <c r="C432" i="3"/>
  <c r="Z429" i="3"/>
  <c r="AA429" i="3" s="1"/>
  <c r="T429" i="3"/>
  <c r="W429" i="3" s="1"/>
  <c r="X429" i="3" s="1"/>
  <c r="R429" i="3"/>
  <c r="Q429" i="3"/>
  <c r="AC429" i="3" s="1"/>
  <c r="AD429" i="3" s="1"/>
  <c r="K429" i="3"/>
  <c r="L429" i="3" s="1"/>
  <c r="F429" i="3"/>
  <c r="E429" i="3"/>
  <c r="B429" i="3"/>
  <c r="C429" i="3" s="1"/>
  <c r="AA428" i="3"/>
  <c r="Z428" i="3"/>
  <c r="T428" i="3"/>
  <c r="U428" i="3" s="1"/>
  <c r="Q428" i="3"/>
  <c r="W428" i="3" s="1"/>
  <c r="X428" i="3" s="1"/>
  <c r="L428" i="3"/>
  <c r="K428" i="3"/>
  <c r="F428" i="3"/>
  <c r="E428" i="3"/>
  <c r="C428" i="3"/>
  <c r="B428" i="3"/>
  <c r="H428" i="3" s="1"/>
  <c r="I428" i="3" s="1"/>
  <c r="AD427" i="3"/>
  <c r="AC427" i="3"/>
  <c r="AA427" i="3"/>
  <c r="W427" i="3"/>
  <c r="X427" i="3" s="1"/>
  <c r="U427" i="3"/>
  <c r="R427" i="3"/>
  <c r="O427" i="3"/>
  <c r="N427" i="3"/>
  <c r="L427" i="3"/>
  <c r="H427" i="3"/>
  <c r="I427" i="3" s="1"/>
  <c r="F427" i="3"/>
  <c r="C427" i="3"/>
  <c r="AC426" i="3"/>
  <c r="AD426" i="3" s="1"/>
  <c r="AA426" i="3"/>
  <c r="W426" i="3"/>
  <c r="U426" i="3"/>
  <c r="R426" i="3"/>
  <c r="N426" i="3"/>
  <c r="O426" i="3" s="1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O425" i="3"/>
  <c r="N425" i="3"/>
  <c r="L425" i="3"/>
  <c r="I425" i="3"/>
  <c r="H425" i="3"/>
  <c r="F425" i="3"/>
  <c r="C425" i="3"/>
  <c r="AC424" i="3"/>
  <c r="AD424" i="3" s="1"/>
  <c r="AA424" i="3"/>
  <c r="W424" i="3"/>
  <c r="X424" i="3" s="1"/>
  <c r="U424" i="3"/>
  <c r="R424" i="3"/>
  <c r="N424" i="3"/>
  <c r="L424" i="3"/>
  <c r="H424" i="3"/>
  <c r="I424" i="3" s="1"/>
  <c r="F424" i="3"/>
  <c r="C424" i="3"/>
  <c r="AD423" i="3"/>
  <c r="AC423" i="3"/>
  <c r="AA423" i="3"/>
  <c r="X423" i="3"/>
  <c r="W423" i="3"/>
  <c r="U423" i="3"/>
  <c r="R423" i="3"/>
  <c r="N423" i="3"/>
  <c r="O423" i="3" s="1"/>
  <c r="L423" i="3"/>
  <c r="H423" i="3"/>
  <c r="I423" i="3" s="1"/>
  <c r="F423" i="3"/>
  <c r="C423" i="3"/>
  <c r="AD422" i="3"/>
  <c r="AC422" i="3"/>
  <c r="AA422" i="3"/>
  <c r="W422" i="3"/>
  <c r="U422" i="3"/>
  <c r="R422" i="3"/>
  <c r="O422" i="3"/>
  <c r="N422" i="3"/>
  <c r="L422" i="3"/>
  <c r="I422" i="3"/>
  <c r="H422" i="3"/>
  <c r="F422" i="3"/>
  <c r="C422" i="3"/>
  <c r="AD421" i="3"/>
  <c r="AC421" i="3"/>
  <c r="AA421" i="3"/>
  <c r="X421" i="3"/>
  <c r="W421" i="3"/>
  <c r="U421" i="3"/>
  <c r="R421" i="3"/>
  <c r="N421" i="3"/>
  <c r="O421" i="3" s="1"/>
  <c r="L421" i="3"/>
  <c r="H421" i="3"/>
  <c r="I421" i="3" s="1"/>
  <c r="F421" i="3"/>
  <c r="C421" i="3"/>
  <c r="AC420" i="3"/>
  <c r="AD420" i="3" s="1"/>
  <c r="AA420" i="3"/>
  <c r="X420" i="3"/>
  <c r="W420" i="3"/>
  <c r="U420" i="3"/>
  <c r="R420" i="3"/>
  <c r="N420" i="3"/>
  <c r="L420" i="3"/>
  <c r="H420" i="3"/>
  <c r="I420" i="3" s="1"/>
  <c r="F420" i="3"/>
  <c r="C420" i="3"/>
  <c r="AD419" i="3"/>
  <c r="AC419" i="3"/>
  <c r="AA419" i="3"/>
  <c r="W419" i="3"/>
  <c r="X419" i="3" s="1"/>
  <c r="U419" i="3"/>
  <c r="R419" i="3"/>
  <c r="O419" i="3"/>
  <c r="N419" i="3"/>
  <c r="L419" i="3"/>
  <c r="H419" i="3"/>
  <c r="I419" i="3" s="1"/>
  <c r="F419" i="3"/>
  <c r="C419" i="3"/>
  <c r="AC418" i="3"/>
  <c r="AD418" i="3" s="1"/>
  <c r="AA418" i="3"/>
  <c r="W418" i="3"/>
  <c r="U418" i="3"/>
  <c r="R418" i="3"/>
  <c r="N418" i="3"/>
  <c r="O418" i="3" s="1"/>
  <c r="L418" i="3"/>
  <c r="I418" i="3"/>
  <c r="H418" i="3"/>
  <c r="F418" i="3"/>
  <c r="C418" i="3"/>
  <c r="AC417" i="3"/>
  <c r="AD417" i="3" s="1"/>
  <c r="AA417" i="3"/>
  <c r="W417" i="3"/>
  <c r="X417" i="3" s="1"/>
  <c r="U417" i="3"/>
  <c r="R417" i="3"/>
  <c r="O417" i="3"/>
  <c r="N417" i="3"/>
  <c r="L417" i="3"/>
  <c r="H417" i="3"/>
  <c r="I417" i="3" s="1"/>
  <c r="F417" i="3"/>
  <c r="C417" i="3"/>
  <c r="AC416" i="3"/>
  <c r="AD416" i="3" s="1"/>
  <c r="AA416" i="3"/>
  <c r="W416" i="3"/>
  <c r="X416" i="3" s="1"/>
  <c r="U416" i="3"/>
  <c r="R416" i="3"/>
  <c r="N416" i="3"/>
  <c r="L416" i="3"/>
  <c r="H416" i="3"/>
  <c r="I416" i="3" s="1"/>
  <c r="F416" i="3"/>
  <c r="C416" i="3"/>
  <c r="AD415" i="3"/>
  <c r="AC415" i="3"/>
  <c r="AA415" i="3"/>
  <c r="X415" i="3"/>
  <c r="W415" i="3"/>
  <c r="U415" i="3"/>
  <c r="R415" i="3"/>
  <c r="N415" i="3"/>
  <c r="O415" i="3" s="1"/>
  <c r="L415" i="3"/>
  <c r="H415" i="3"/>
  <c r="I415" i="3" s="1"/>
  <c r="F415" i="3"/>
  <c r="C415" i="3"/>
  <c r="AD414" i="3"/>
  <c r="AC414" i="3"/>
  <c r="AA414" i="3"/>
  <c r="W414" i="3"/>
  <c r="U414" i="3"/>
  <c r="R414" i="3"/>
  <c r="O414" i="3"/>
  <c r="N414" i="3"/>
  <c r="L414" i="3"/>
  <c r="I414" i="3"/>
  <c r="H414" i="3"/>
  <c r="F414" i="3"/>
  <c r="C414" i="3"/>
  <c r="AD413" i="3"/>
  <c r="AC413" i="3"/>
  <c r="AA413" i="3"/>
  <c r="X413" i="3"/>
  <c r="W413" i="3"/>
  <c r="U413" i="3"/>
  <c r="R413" i="3"/>
  <c r="N413" i="3"/>
  <c r="O413" i="3" s="1"/>
  <c r="L413" i="3"/>
  <c r="H413" i="3"/>
  <c r="I413" i="3" s="1"/>
  <c r="F413" i="3"/>
  <c r="C413" i="3"/>
  <c r="AC412" i="3"/>
  <c r="AD412" i="3" s="1"/>
  <c r="AA412" i="3"/>
  <c r="X412" i="3"/>
  <c r="W412" i="3"/>
  <c r="U412" i="3"/>
  <c r="R412" i="3"/>
  <c r="N412" i="3"/>
  <c r="L412" i="3"/>
  <c r="H412" i="3"/>
  <c r="I412" i="3" s="1"/>
  <c r="F412" i="3"/>
  <c r="C412" i="3"/>
  <c r="AD411" i="3"/>
  <c r="AC411" i="3"/>
  <c r="AA411" i="3"/>
  <c r="W411" i="3"/>
  <c r="X411" i="3" s="1"/>
  <c r="U411" i="3"/>
  <c r="R411" i="3"/>
  <c r="O411" i="3"/>
  <c r="N411" i="3"/>
  <c r="L411" i="3"/>
  <c r="H411" i="3"/>
  <c r="I411" i="3" s="1"/>
  <c r="F411" i="3"/>
  <c r="C411" i="3"/>
  <c r="AC410" i="3"/>
  <c r="AD410" i="3" s="1"/>
  <c r="AA410" i="3"/>
  <c r="W410" i="3"/>
  <c r="U410" i="3"/>
  <c r="R410" i="3"/>
  <c r="N410" i="3"/>
  <c r="O410" i="3" s="1"/>
  <c r="L410" i="3"/>
  <c r="I410" i="3"/>
  <c r="H410" i="3"/>
  <c r="F410" i="3"/>
  <c r="C410" i="3"/>
  <c r="AC409" i="3"/>
  <c r="AD409" i="3" s="1"/>
  <c r="AA409" i="3"/>
  <c r="W409" i="3"/>
  <c r="X409" i="3" s="1"/>
  <c r="U409" i="3"/>
  <c r="R409" i="3"/>
  <c r="O409" i="3"/>
  <c r="N409" i="3"/>
  <c r="L409" i="3"/>
  <c r="H409" i="3"/>
  <c r="I409" i="3" s="1"/>
  <c r="F409" i="3"/>
  <c r="C409" i="3"/>
  <c r="AC408" i="3"/>
  <c r="AD408" i="3" s="1"/>
  <c r="AA408" i="3"/>
  <c r="W408" i="3"/>
  <c r="X408" i="3" s="1"/>
  <c r="U408" i="3"/>
  <c r="R408" i="3"/>
  <c r="N408" i="3"/>
  <c r="L408" i="3"/>
  <c r="H408" i="3"/>
  <c r="I408" i="3" s="1"/>
  <c r="F408" i="3"/>
  <c r="C408" i="3"/>
  <c r="AD407" i="3"/>
  <c r="AC407" i="3"/>
  <c r="AA407" i="3"/>
  <c r="X407" i="3"/>
  <c r="W407" i="3"/>
  <c r="U407" i="3"/>
  <c r="R407" i="3"/>
  <c r="N407" i="3"/>
  <c r="O407" i="3" s="1"/>
  <c r="L407" i="3"/>
  <c r="H407" i="3"/>
  <c r="I407" i="3" s="1"/>
  <c r="F407" i="3"/>
  <c r="C407" i="3"/>
  <c r="AA403" i="3"/>
  <c r="Z403" i="3"/>
  <c r="U403" i="3"/>
  <c r="T403" i="3"/>
  <c r="Q403" i="3"/>
  <c r="R403" i="3" s="1"/>
  <c r="K403" i="3"/>
  <c r="L403" i="3" s="1"/>
  <c r="E403" i="3"/>
  <c r="F403" i="3" s="1"/>
  <c r="B403" i="3"/>
  <c r="H403" i="3" s="1"/>
  <c r="I403" i="3" s="1"/>
  <c r="AC402" i="3"/>
  <c r="AD402" i="3" s="1"/>
  <c r="AA402" i="3"/>
  <c r="W402" i="3"/>
  <c r="U402" i="3"/>
  <c r="R402" i="3"/>
  <c r="N402" i="3"/>
  <c r="O402" i="3" s="1"/>
  <c r="L402" i="3"/>
  <c r="I402" i="3"/>
  <c r="H402" i="3"/>
  <c r="F402" i="3"/>
  <c r="C402" i="3"/>
  <c r="AC401" i="3"/>
  <c r="AD401" i="3" s="1"/>
  <c r="AA401" i="3"/>
  <c r="W401" i="3"/>
  <c r="X401" i="3" s="1"/>
  <c r="U401" i="3"/>
  <c r="R401" i="3"/>
  <c r="N401" i="3"/>
  <c r="O401" i="3" s="1"/>
  <c r="L401" i="3"/>
  <c r="I401" i="3"/>
  <c r="H401" i="3"/>
  <c r="F401" i="3"/>
  <c r="C401" i="3"/>
  <c r="AC400" i="3"/>
  <c r="AD400" i="3" s="1"/>
  <c r="AA400" i="3"/>
  <c r="X400" i="3"/>
  <c r="W400" i="3"/>
  <c r="U400" i="3"/>
  <c r="R400" i="3"/>
  <c r="N400" i="3"/>
  <c r="L400" i="3"/>
  <c r="H400" i="3"/>
  <c r="I400" i="3" s="1"/>
  <c r="F400" i="3"/>
  <c r="C400" i="3"/>
  <c r="AD399" i="3"/>
  <c r="AC399" i="3"/>
  <c r="AA399" i="3"/>
  <c r="W399" i="3"/>
  <c r="X399" i="3" s="1"/>
  <c r="U399" i="3"/>
  <c r="R399" i="3"/>
  <c r="N399" i="3"/>
  <c r="O399" i="3" s="1"/>
  <c r="L399" i="3"/>
  <c r="H399" i="3"/>
  <c r="I399" i="3" s="1"/>
  <c r="F399" i="3"/>
  <c r="C399" i="3"/>
  <c r="AC398" i="3"/>
  <c r="AD398" i="3" s="1"/>
  <c r="AA398" i="3"/>
  <c r="W398" i="3"/>
  <c r="U398" i="3"/>
  <c r="R398" i="3"/>
  <c r="N398" i="3"/>
  <c r="O398" i="3" s="1"/>
  <c r="L398" i="3"/>
  <c r="I398" i="3"/>
  <c r="H398" i="3"/>
  <c r="F398" i="3"/>
  <c r="C398" i="3"/>
  <c r="AD397" i="3"/>
  <c r="AC397" i="3"/>
  <c r="AA397" i="3"/>
  <c r="W397" i="3"/>
  <c r="X397" i="3" s="1"/>
  <c r="U397" i="3"/>
  <c r="R397" i="3"/>
  <c r="N397" i="3"/>
  <c r="O397" i="3" s="1"/>
  <c r="L397" i="3"/>
  <c r="H397" i="3"/>
  <c r="I397" i="3" s="1"/>
  <c r="F397" i="3"/>
  <c r="C397" i="3"/>
  <c r="Z396" i="3"/>
  <c r="AA396" i="3" s="1"/>
  <c r="U396" i="3"/>
  <c r="T396" i="3"/>
  <c r="Q396" i="3"/>
  <c r="R396" i="3" s="1"/>
  <c r="L396" i="3"/>
  <c r="K396" i="3"/>
  <c r="E396" i="3"/>
  <c r="F396" i="3" s="1"/>
  <c r="B396" i="3"/>
  <c r="H396" i="3" s="1"/>
  <c r="I396" i="3" s="1"/>
  <c r="AD395" i="3"/>
  <c r="AC395" i="3"/>
  <c r="AA395" i="3"/>
  <c r="W395" i="3"/>
  <c r="U395" i="3"/>
  <c r="R395" i="3"/>
  <c r="N395" i="3"/>
  <c r="O395" i="3" s="1"/>
  <c r="L395" i="3"/>
  <c r="I395" i="3"/>
  <c r="H395" i="3"/>
  <c r="F395" i="3"/>
  <c r="C395" i="3"/>
  <c r="AC394" i="3"/>
  <c r="AD394" i="3" s="1"/>
  <c r="AA394" i="3"/>
  <c r="X394" i="3"/>
  <c r="W394" i="3"/>
  <c r="U394" i="3"/>
  <c r="R394" i="3"/>
  <c r="N394" i="3"/>
  <c r="O394" i="3" s="1"/>
  <c r="L394" i="3"/>
  <c r="I394" i="3"/>
  <c r="H394" i="3"/>
  <c r="F394" i="3"/>
  <c r="C394" i="3"/>
  <c r="Z393" i="3"/>
  <c r="AA393" i="3" s="1"/>
  <c r="W393" i="3"/>
  <c r="X393" i="3" s="1"/>
  <c r="U393" i="3"/>
  <c r="T393" i="3"/>
  <c r="Q393" i="3"/>
  <c r="R393" i="3" s="1"/>
  <c r="K393" i="3"/>
  <c r="L393" i="3" s="1"/>
  <c r="E393" i="3"/>
  <c r="F393" i="3" s="1"/>
  <c r="B393" i="3"/>
  <c r="AC392" i="3"/>
  <c r="AD392" i="3" s="1"/>
  <c r="AA392" i="3"/>
  <c r="W392" i="3"/>
  <c r="U392" i="3"/>
  <c r="R392" i="3"/>
  <c r="N392" i="3"/>
  <c r="O392" i="3" s="1"/>
  <c r="L392" i="3"/>
  <c r="I392" i="3"/>
  <c r="H392" i="3"/>
  <c r="F392" i="3"/>
  <c r="C392" i="3"/>
  <c r="AD391" i="3"/>
  <c r="AC391" i="3"/>
  <c r="AA391" i="3"/>
  <c r="W391" i="3"/>
  <c r="X391" i="3" s="1"/>
  <c r="U391" i="3"/>
  <c r="R391" i="3"/>
  <c r="O391" i="3"/>
  <c r="N391" i="3"/>
  <c r="L391" i="3"/>
  <c r="I391" i="3"/>
  <c r="H391" i="3"/>
  <c r="F391" i="3"/>
  <c r="C391" i="3"/>
  <c r="AC390" i="3"/>
  <c r="AD390" i="3" s="1"/>
  <c r="AA390" i="3"/>
  <c r="X390" i="3"/>
  <c r="W390" i="3"/>
  <c r="U390" i="3"/>
  <c r="R390" i="3"/>
  <c r="N390" i="3"/>
  <c r="L390" i="3"/>
  <c r="H390" i="3"/>
  <c r="I390" i="3" s="1"/>
  <c r="F390" i="3"/>
  <c r="C390" i="3"/>
  <c r="AD389" i="3"/>
  <c r="AC389" i="3"/>
  <c r="AA389" i="3"/>
  <c r="W389" i="3"/>
  <c r="X389" i="3" s="1"/>
  <c r="U389" i="3"/>
  <c r="R389" i="3"/>
  <c r="N389" i="3"/>
  <c r="O389" i="3" s="1"/>
  <c r="L389" i="3"/>
  <c r="H389" i="3"/>
  <c r="I389" i="3" s="1"/>
  <c r="F389" i="3"/>
  <c r="C389" i="3"/>
  <c r="AD388" i="3"/>
  <c r="AC388" i="3"/>
  <c r="AA388" i="3"/>
  <c r="W388" i="3"/>
  <c r="U388" i="3"/>
  <c r="R388" i="3"/>
  <c r="N388" i="3"/>
  <c r="O388" i="3" s="1"/>
  <c r="L388" i="3"/>
  <c r="I388" i="3"/>
  <c r="H388" i="3"/>
  <c r="F388" i="3"/>
  <c r="C388" i="3"/>
  <c r="AC386" i="3"/>
  <c r="AD386" i="3" s="1"/>
  <c r="AA386" i="3"/>
  <c r="X386" i="3"/>
  <c r="W386" i="3"/>
  <c r="U386" i="3"/>
  <c r="R386" i="3"/>
  <c r="N386" i="3"/>
  <c r="O386" i="3" s="1"/>
  <c r="L386" i="3"/>
  <c r="H386" i="3"/>
  <c r="I386" i="3" s="1"/>
  <c r="F386" i="3"/>
  <c r="C386" i="3"/>
  <c r="AC385" i="3"/>
  <c r="AD385" i="3" s="1"/>
  <c r="AA385" i="3"/>
  <c r="W385" i="3"/>
  <c r="X385" i="3" s="1"/>
  <c r="U385" i="3"/>
  <c r="R385" i="3"/>
  <c r="N385" i="3"/>
  <c r="L385" i="3"/>
  <c r="I385" i="3"/>
  <c r="H385" i="3"/>
  <c r="F385" i="3"/>
  <c r="C385" i="3"/>
  <c r="AD383" i="3"/>
  <c r="AC383" i="3"/>
  <c r="AA383" i="3"/>
  <c r="W383" i="3"/>
  <c r="X383" i="3" s="1"/>
  <c r="U383" i="3"/>
  <c r="R383" i="3"/>
  <c r="N383" i="3"/>
  <c r="O383" i="3" s="1"/>
  <c r="L383" i="3"/>
  <c r="H383" i="3"/>
  <c r="I383" i="3" s="1"/>
  <c r="F383" i="3"/>
  <c r="C383" i="3"/>
  <c r="AC382" i="3"/>
  <c r="AD382" i="3" s="1"/>
  <c r="AA382" i="3"/>
  <c r="W382" i="3"/>
  <c r="U382" i="3"/>
  <c r="R382" i="3"/>
  <c r="N382" i="3"/>
  <c r="O382" i="3" s="1"/>
  <c r="L382" i="3"/>
  <c r="I382" i="3"/>
  <c r="H382" i="3"/>
  <c r="F382" i="3"/>
  <c r="C382" i="3"/>
  <c r="AD381" i="3"/>
  <c r="AC381" i="3"/>
  <c r="AA381" i="3"/>
  <c r="W381" i="3"/>
  <c r="X381" i="3" s="1"/>
  <c r="U381" i="3"/>
  <c r="R381" i="3"/>
  <c r="N381" i="3"/>
  <c r="O381" i="3" s="1"/>
  <c r="L381" i="3"/>
  <c r="I381" i="3"/>
  <c r="H381" i="3"/>
  <c r="F381" i="3"/>
  <c r="C381" i="3"/>
  <c r="AC380" i="3"/>
  <c r="AD380" i="3" s="1"/>
  <c r="AA380" i="3"/>
  <c r="X380" i="3"/>
  <c r="W380" i="3"/>
  <c r="U380" i="3"/>
  <c r="R380" i="3"/>
  <c r="N380" i="3"/>
  <c r="L380" i="3"/>
  <c r="H380" i="3"/>
  <c r="I380" i="3" s="1"/>
  <c r="F380" i="3"/>
  <c r="C380" i="3"/>
  <c r="AD379" i="3"/>
  <c r="AC379" i="3"/>
  <c r="AA379" i="3"/>
  <c r="W379" i="3"/>
  <c r="X379" i="3" s="1"/>
  <c r="U379" i="3"/>
  <c r="R379" i="3"/>
  <c r="N379" i="3"/>
  <c r="O379" i="3" s="1"/>
  <c r="L379" i="3"/>
  <c r="H379" i="3"/>
  <c r="I379" i="3" s="1"/>
  <c r="F379" i="3"/>
  <c r="C379" i="3"/>
  <c r="AC378" i="3"/>
  <c r="AD378" i="3" s="1"/>
  <c r="AA378" i="3"/>
  <c r="W378" i="3"/>
  <c r="U378" i="3"/>
  <c r="R378" i="3"/>
  <c r="N378" i="3"/>
  <c r="O378" i="3" s="1"/>
  <c r="L378" i="3"/>
  <c r="I378" i="3"/>
  <c r="H378" i="3"/>
  <c r="F378" i="3"/>
  <c r="C378" i="3"/>
  <c r="AC377" i="3"/>
  <c r="AD377" i="3" s="1"/>
  <c r="AA377" i="3"/>
  <c r="W377" i="3"/>
  <c r="X377" i="3" s="1"/>
  <c r="U377" i="3"/>
  <c r="R377" i="3"/>
  <c r="N377" i="3"/>
  <c r="O377" i="3" s="1"/>
  <c r="L377" i="3"/>
  <c r="H377" i="3"/>
  <c r="I377" i="3" s="1"/>
  <c r="F377" i="3"/>
  <c r="C377" i="3"/>
  <c r="AC376" i="3"/>
  <c r="AD376" i="3" s="1"/>
  <c r="AA376" i="3"/>
  <c r="W376" i="3"/>
  <c r="X376" i="3" s="1"/>
  <c r="U376" i="3"/>
  <c r="R376" i="3"/>
  <c r="N376" i="3"/>
  <c r="L376" i="3"/>
  <c r="I376" i="3"/>
  <c r="H376" i="3"/>
  <c r="F376" i="3"/>
  <c r="C376" i="3"/>
  <c r="AD375" i="3"/>
  <c r="AC375" i="3"/>
  <c r="AA375" i="3"/>
  <c r="W375" i="3"/>
  <c r="X375" i="3" s="1"/>
  <c r="U375" i="3"/>
  <c r="R375" i="3"/>
  <c r="N375" i="3"/>
  <c r="O375" i="3" s="1"/>
  <c r="L375" i="3"/>
  <c r="H375" i="3"/>
  <c r="I375" i="3" s="1"/>
  <c r="F375" i="3"/>
  <c r="C375" i="3"/>
  <c r="AC374" i="3"/>
  <c r="AD374" i="3" s="1"/>
  <c r="AA374" i="3"/>
  <c r="W374" i="3"/>
  <c r="U374" i="3"/>
  <c r="R374" i="3"/>
  <c r="N374" i="3"/>
  <c r="O374" i="3" s="1"/>
  <c r="L374" i="3"/>
  <c r="I374" i="3"/>
  <c r="H374" i="3"/>
  <c r="F374" i="3"/>
  <c r="C374" i="3"/>
  <c r="AD373" i="3"/>
  <c r="AC373" i="3"/>
  <c r="AA373" i="3"/>
  <c r="W373" i="3"/>
  <c r="X373" i="3" s="1"/>
  <c r="U373" i="3"/>
  <c r="R373" i="3"/>
  <c r="N373" i="3"/>
  <c r="O373" i="3" s="1"/>
  <c r="L373" i="3"/>
  <c r="I373" i="3"/>
  <c r="H373" i="3"/>
  <c r="F373" i="3"/>
  <c r="C373" i="3"/>
  <c r="AC372" i="3"/>
  <c r="AD372" i="3" s="1"/>
  <c r="AA372" i="3"/>
  <c r="X372" i="3"/>
  <c r="W372" i="3"/>
  <c r="U372" i="3"/>
  <c r="R372" i="3"/>
  <c r="N372" i="3"/>
  <c r="L372" i="3"/>
  <c r="H372" i="3"/>
  <c r="I372" i="3" s="1"/>
  <c r="F372" i="3"/>
  <c r="C372" i="3"/>
  <c r="AD371" i="3"/>
  <c r="AC371" i="3"/>
  <c r="AA371" i="3"/>
  <c r="W371" i="3"/>
  <c r="X371" i="3" s="1"/>
  <c r="U371" i="3"/>
  <c r="R371" i="3"/>
  <c r="N371" i="3"/>
  <c r="O371" i="3" s="1"/>
  <c r="L371" i="3"/>
  <c r="H371" i="3"/>
  <c r="I371" i="3" s="1"/>
  <c r="F371" i="3"/>
  <c r="C371" i="3"/>
  <c r="AC370" i="3"/>
  <c r="AD370" i="3" s="1"/>
  <c r="AA370" i="3"/>
  <c r="W370" i="3"/>
  <c r="U370" i="3"/>
  <c r="R370" i="3"/>
  <c r="N370" i="3"/>
  <c r="O370" i="3" s="1"/>
  <c r="L370" i="3"/>
  <c r="I370" i="3"/>
  <c r="H370" i="3"/>
  <c r="F370" i="3"/>
  <c r="C370" i="3"/>
  <c r="AC369" i="3"/>
  <c r="AD369" i="3" s="1"/>
  <c r="AA369" i="3"/>
  <c r="W369" i="3"/>
  <c r="X369" i="3" s="1"/>
  <c r="U369" i="3"/>
  <c r="R369" i="3"/>
  <c r="N369" i="3"/>
  <c r="O369" i="3" s="1"/>
  <c r="L369" i="3"/>
  <c r="H369" i="3"/>
  <c r="I369" i="3" s="1"/>
  <c r="F369" i="3"/>
  <c r="C369" i="3"/>
  <c r="AC368" i="3"/>
  <c r="AD368" i="3" s="1"/>
  <c r="Z368" i="3"/>
  <c r="AA368" i="3" s="1"/>
  <c r="W368" i="3"/>
  <c r="X368" i="3" s="1"/>
  <c r="U368" i="3"/>
  <c r="T368" i="3"/>
  <c r="Q368" i="3"/>
  <c r="R368" i="3" s="1"/>
  <c r="K368" i="3"/>
  <c r="L368" i="3" s="1"/>
  <c r="E368" i="3"/>
  <c r="F368" i="3" s="1"/>
  <c r="C368" i="3"/>
  <c r="B368" i="3"/>
  <c r="AD367" i="3"/>
  <c r="AC367" i="3"/>
  <c r="AA367" i="3"/>
  <c r="W367" i="3"/>
  <c r="U367" i="3"/>
  <c r="R367" i="3"/>
  <c r="O367" i="3"/>
  <c r="N367" i="3"/>
  <c r="L367" i="3"/>
  <c r="I367" i="3"/>
  <c r="H367" i="3"/>
  <c r="F367" i="3"/>
  <c r="C367" i="3"/>
  <c r="AD366" i="3"/>
  <c r="AC366" i="3"/>
  <c r="AA366" i="3"/>
  <c r="X366" i="3"/>
  <c r="W366" i="3"/>
  <c r="U366" i="3"/>
  <c r="R366" i="3"/>
  <c r="N366" i="3"/>
  <c r="O366" i="3" s="1"/>
  <c r="L366" i="3"/>
  <c r="H366" i="3"/>
  <c r="I366" i="3" s="1"/>
  <c r="F366" i="3"/>
  <c r="C366" i="3"/>
  <c r="AC365" i="3"/>
  <c r="AD365" i="3" s="1"/>
  <c r="AA365" i="3"/>
  <c r="X365" i="3"/>
  <c r="W365" i="3"/>
  <c r="U365" i="3"/>
  <c r="R365" i="3"/>
  <c r="N365" i="3"/>
  <c r="L365" i="3"/>
  <c r="H365" i="3"/>
  <c r="I365" i="3" s="1"/>
  <c r="F365" i="3"/>
  <c r="C365" i="3"/>
  <c r="AD364" i="3"/>
  <c r="AC364" i="3"/>
  <c r="AA364" i="3"/>
  <c r="W364" i="3"/>
  <c r="X364" i="3" s="1"/>
  <c r="U364" i="3"/>
  <c r="R364" i="3"/>
  <c r="O364" i="3"/>
  <c r="N364" i="3"/>
  <c r="L364" i="3"/>
  <c r="H364" i="3"/>
  <c r="I364" i="3" s="1"/>
  <c r="F364" i="3"/>
  <c r="C364" i="3"/>
  <c r="AC363" i="3"/>
  <c r="AD363" i="3" s="1"/>
  <c r="AA363" i="3"/>
  <c r="W363" i="3"/>
  <c r="U363" i="3"/>
  <c r="R363" i="3"/>
  <c r="N363" i="3"/>
  <c r="O363" i="3" s="1"/>
  <c r="L363" i="3"/>
  <c r="I363" i="3"/>
  <c r="H363" i="3"/>
  <c r="F363" i="3"/>
  <c r="C363" i="3"/>
  <c r="AC362" i="3"/>
  <c r="AD362" i="3" s="1"/>
  <c r="AA362" i="3"/>
  <c r="W362" i="3"/>
  <c r="X362" i="3" s="1"/>
  <c r="U362" i="3"/>
  <c r="R362" i="3"/>
  <c r="O362" i="3"/>
  <c r="N362" i="3"/>
  <c r="L362" i="3"/>
  <c r="H362" i="3"/>
  <c r="I362" i="3" s="1"/>
  <c r="F362" i="3"/>
  <c r="C362" i="3"/>
  <c r="AC361" i="3"/>
  <c r="AD361" i="3" s="1"/>
  <c r="AA361" i="3"/>
  <c r="W361" i="3"/>
  <c r="X361" i="3" s="1"/>
  <c r="U361" i="3"/>
  <c r="R361" i="3"/>
  <c r="N361" i="3"/>
  <c r="L361" i="3"/>
  <c r="H361" i="3"/>
  <c r="I361" i="3" s="1"/>
  <c r="F361" i="3"/>
  <c r="C361" i="3"/>
  <c r="AD360" i="3"/>
  <c r="AC360" i="3"/>
  <c r="AA360" i="3"/>
  <c r="X360" i="3"/>
  <c r="W360" i="3"/>
  <c r="U360" i="3"/>
  <c r="R360" i="3"/>
  <c r="N360" i="3"/>
  <c r="O360" i="3" s="1"/>
  <c r="L360" i="3"/>
  <c r="H360" i="3"/>
  <c r="I360" i="3" s="1"/>
  <c r="F360" i="3"/>
  <c r="C360" i="3"/>
  <c r="AA358" i="3"/>
  <c r="Z358" i="3"/>
  <c r="U358" i="3"/>
  <c r="T358" i="3"/>
  <c r="W358" i="3" s="1"/>
  <c r="X358" i="3" s="1"/>
  <c r="Q358" i="3"/>
  <c r="AC358" i="3" s="1"/>
  <c r="AD358" i="3" s="1"/>
  <c r="K358" i="3"/>
  <c r="L358" i="3" s="1"/>
  <c r="F358" i="3"/>
  <c r="E358" i="3"/>
  <c r="H358" i="3" s="1"/>
  <c r="I358" i="3" s="1"/>
  <c r="C358" i="3"/>
  <c r="B358" i="3"/>
  <c r="N358" i="3" s="1"/>
  <c r="O358" i="3" s="1"/>
  <c r="AC357" i="3"/>
  <c r="AD357" i="3" s="1"/>
  <c r="AA357" i="3"/>
  <c r="W357" i="3"/>
  <c r="X357" i="3" s="1"/>
  <c r="U357" i="3"/>
  <c r="R357" i="3"/>
  <c r="N357" i="3"/>
  <c r="L357" i="3"/>
  <c r="H357" i="3"/>
  <c r="I357" i="3" s="1"/>
  <c r="F357" i="3"/>
  <c r="C357" i="3"/>
  <c r="AD356" i="3"/>
  <c r="AC356" i="3"/>
  <c r="AA356" i="3"/>
  <c r="X356" i="3"/>
  <c r="W356" i="3"/>
  <c r="U356" i="3"/>
  <c r="R356" i="3"/>
  <c r="N356" i="3"/>
  <c r="O356" i="3" s="1"/>
  <c r="L356" i="3"/>
  <c r="H356" i="3"/>
  <c r="I356" i="3" s="1"/>
  <c r="F356" i="3"/>
  <c r="C356" i="3"/>
  <c r="AC355" i="3"/>
  <c r="AD355" i="3" s="1"/>
  <c r="AA355" i="3"/>
  <c r="W355" i="3"/>
  <c r="U355" i="3"/>
  <c r="R355" i="3"/>
  <c r="O355" i="3"/>
  <c r="N355" i="3"/>
  <c r="L355" i="3"/>
  <c r="I355" i="3"/>
  <c r="H355" i="3"/>
  <c r="F355" i="3"/>
  <c r="C355" i="3"/>
  <c r="AC354" i="3"/>
  <c r="AD354" i="3" s="1"/>
  <c r="AA354" i="3"/>
  <c r="W354" i="3"/>
  <c r="X354" i="3" s="1"/>
  <c r="U354" i="3"/>
  <c r="R354" i="3"/>
  <c r="O354" i="3"/>
  <c r="N354" i="3"/>
  <c r="L354" i="3"/>
  <c r="H354" i="3"/>
  <c r="I354" i="3" s="1"/>
  <c r="F354" i="3"/>
  <c r="C354" i="3"/>
  <c r="AC353" i="3"/>
  <c r="AD353" i="3" s="1"/>
  <c r="AA353" i="3"/>
  <c r="W353" i="3"/>
  <c r="X353" i="3" s="1"/>
  <c r="U353" i="3"/>
  <c r="R353" i="3"/>
  <c r="N353" i="3"/>
  <c r="L353" i="3"/>
  <c r="I353" i="3"/>
  <c r="H353" i="3"/>
  <c r="F353" i="3"/>
  <c r="C353" i="3"/>
  <c r="AD352" i="3"/>
  <c r="AC352" i="3"/>
  <c r="AA352" i="3"/>
  <c r="W352" i="3"/>
  <c r="X352" i="3" s="1"/>
  <c r="U352" i="3"/>
  <c r="R352" i="3"/>
  <c r="O352" i="3"/>
  <c r="N352" i="3"/>
  <c r="L352" i="3"/>
  <c r="H352" i="3"/>
  <c r="I352" i="3" s="1"/>
  <c r="F352" i="3"/>
  <c r="C352" i="3"/>
  <c r="AD351" i="3"/>
  <c r="AC351" i="3"/>
  <c r="AA351" i="3"/>
  <c r="W351" i="3"/>
  <c r="U351" i="3"/>
  <c r="R351" i="3"/>
  <c r="N351" i="3"/>
  <c r="O351" i="3" s="1"/>
  <c r="L351" i="3"/>
  <c r="I351" i="3"/>
  <c r="H351" i="3"/>
  <c r="F351" i="3"/>
  <c r="C351" i="3"/>
  <c r="AC350" i="3"/>
  <c r="AD350" i="3" s="1"/>
  <c r="AA350" i="3"/>
  <c r="X350" i="3"/>
  <c r="W350" i="3"/>
  <c r="U350" i="3"/>
  <c r="R350" i="3"/>
  <c r="N350" i="3"/>
  <c r="O350" i="3" s="1"/>
  <c r="L350" i="3"/>
  <c r="I350" i="3"/>
  <c r="H350" i="3"/>
  <c r="F350" i="3"/>
  <c r="C350" i="3"/>
  <c r="AC349" i="3"/>
  <c r="AD349" i="3" s="1"/>
  <c r="AA349" i="3"/>
  <c r="W349" i="3"/>
  <c r="X349" i="3" s="1"/>
  <c r="U349" i="3"/>
  <c r="R349" i="3"/>
  <c r="N349" i="3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N347" i="3"/>
  <c r="O347" i="3" s="1"/>
  <c r="L347" i="3"/>
  <c r="H347" i="3"/>
  <c r="I347" i="3" s="1"/>
  <c r="F347" i="3"/>
  <c r="C347" i="3"/>
  <c r="Z344" i="3"/>
  <c r="AA344" i="3" s="1"/>
  <c r="W344" i="3"/>
  <c r="X344" i="3" s="1"/>
  <c r="U344" i="3"/>
  <c r="T344" i="3"/>
  <c r="Q344" i="3"/>
  <c r="R344" i="3" s="1"/>
  <c r="L344" i="3"/>
  <c r="K344" i="3"/>
  <c r="E344" i="3"/>
  <c r="F344" i="3" s="1"/>
  <c r="B344" i="3"/>
  <c r="AC343" i="3"/>
  <c r="AD343" i="3" s="1"/>
  <c r="AA343" i="3"/>
  <c r="Z343" i="3"/>
  <c r="W343" i="3"/>
  <c r="X343" i="3" s="1"/>
  <c r="U343" i="3"/>
  <c r="T343" i="3"/>
  <c r="R343" i="3"/>
  <c r="Q343" i="3"/>
  <c r="K343" i="3"/>
  <c r="L343" i="3" s="1"/>
  <c r="H343" i="3"/>
  <c r="I343" i="3" s="1"/>
  <c r="F343" i="3"/>
  <c r="E343" i="3"/>
  <c r="C343" i="3"/>
  <c r="B343" i="3"/>
  <c r="AA342" i="3"/>
  <c r="Z342" i="3"/>
  <c r="AC342" i="3" s="1"/>
  <c r="AD342" i="3" s="1"/>
  <c r="X342" i="3"/>
  <c r="W342" i="3"/>
  <c r="U342" i="3"/>
  <c r="T342" i="3"/>
  <c r="Q342" i="3"/>
  <c r="R342" i="3" s="1"/>
  <c r="K342" i="3"/>
  <c r="N342" i="3" s="1"/>
  <c r="O342" i="3" s="1"/>
  <c r="E342" i="3"/>
  <c r="F342" i="3" s="1"/>
  <c r="C342" i="3"/>
  <c r="B342" i="3"/>
  <c r="AC341" i="3"/>
  <c r="AD341" i="3" s="1"/>
  <c r="AA341" i="3"/>
  <c r="W341" i="3"/>
  <c r="U341" i="3"/>
  <c r="R341" i="3"/>
  <c r="O341" i="3"/>
  <c r="N341" i="3"/>
  <c r="L341" i="3"/>
  <c r="I341" i="3"/>
  <c r="H341" i="3"/>
  <c r="F341" i="3"/>
  <c r="C341" i="3"/>
  <c r="AC340" i="3"/>
  <c r="AD340" i="3" s="1"/>
  <c r="AA340" i="3"/>
  <c r="W340" i="3"/>
  <c r="X340" i="3" s="1"/>
  <c r="U340" i="3"/>
  <c r="R340" i="3"/>
  <c r="O340" i="3"/>
  <c r="N340" i="3"/>
  <c r="L340" i="3"/>
  <c r="H340" i="3"/>
  <c r="I340" i="3" s="1"/>
  <c r="F340" i="3"/>
  <c r="C340" i="3"/>
  <c r="AC339" i="3"/>
  <c r="AD339" i="3" s="1"/>
  <c r="AA339" i="3"/>
  <c r="W339" i="3"/>
  <c r="X339" i="3" s="1"/>
  <c r="U339" i="3"/>
  <c r="R339" i="3"/>
  <c r="N339" i="3"/>
  <c r="L339" i="3"/>
  <c r="I339" i="3"/>
  <c r="H339" i="3"/>
  <c r="F339" i="3"/>
  <c r="C339" i="3"/>
  <c r="AD338" i="3"/>
  <c r="AC338" i="3"/>
  <c r="AA338" i="3"/>
  <c r="W338" i="3"/>
  <c r="X338" i="3" s="1"/>
  <c r="U338" i="3"/>
  <c r="R338" i="3"/>
  <c r="O338" i="3"/>
  <c r="N338" i="3"/>
  <c r="L338" i="3"/>
  <c r="H338" i="3"/>
  <c r="I338" i="3" s="1"/>
  <c r="F338" i="3"/>
  <c r="C338" i="3"/>
  <c r="AD337" i="3"/>
  <c r="AC337" i="3"/>
  <c r="AA337" i="3"/>
  <c r="W337" i="3"/>
  <c r="U337" i="3"/>
  <c r="R337" i="3"/>
  <c r="N337" i="3"/>
  <c r="O337" i="3" s="1"/>
  <c r="L337" i="3"/>
  <c r="I337" i="3"/>
  <c r="H337" i="3"/>
  <c r="F337" i="3"/>
  <c r="C337" i="3"/>
  <c r="AD335" i="3"/>
  <c r="AC335" i="3"/>
  <c r="AA335" i="3"/>
  <c r="X335" i="3"/>
  <c r="W335" i="3"/>
  <c r="U335" i="3"/>
  <c r="R335" i="3"/>
  <c r="N335" i="3"/>
  <c r="O335" i="3" s="1"/>
  <c r="L335" i="3"/>
  <c r="I335" i="3"/>
  <c r="H335" i="3"/>
  <c r="F335" i="3"/>
  <c r="C335" i="3"/>
  <c r="AC334" i="3"/>
  <c r="AD334" i="3" s="1"/>
  <c r="AA334" i="3"/>
  <c r="W334" i="3"/>
  <c r="X334" i="3" s="1"/>
  <c r="U334" i="3"/>
  <c r="R334" i="3"/>
  <c r="N334" i="3"/>
  <c r="L334" i="3"/>
  <c r="H334" i="3"/>
  <c r="I334" i="3" s="1"/>
  <c r="F334" i="3"/>
  <c r="C334" i="3"/>
  <c r="AD333" i="3"/>
  <c r="AC333" i="3"/>
  <c r="AA333" i="3"/>
  <c r="X333" i="3"/>
  <c r="W333" i="3"/>
  <c r="U333" i="3"/>
  <c r="R333" i="3"/>
  <c r="N333" i="3"/>
  <c r="O333" i="3" s="1"/>
  <c r="L333" i="3"/>
  <c r="H333" i="3"/>
  <c r="I333" i="3" s="1"/>
  <c r="F333" i="3"/>
  <c r="C333" i="3"/>
  <c r="AC332" i="3"/>
  <c r="AD332" i="3" s="1"/>
  <c r="AA332" i="3"/>
  <c r="W332" i="3"/>
  <c r="U332" i="3"/>
  <c r="R332" i="3"/>
  <c r="O332" i="3"/>
  <c r="N332" i="3"/>
  <c r="L332" i="3"/>
  <c r="I332" i="3"/>
  <c r="H332" i="3"/>
  <c r="F332" i="3"/>
  <c r="C332" i="3"/>
  <c r="AC331" i="3"/>
  <c r="AD331" i="3" s="1"/>
  <c r="AA331" i="3"/>
  <c r="W331" i="3"/>
  <c r="X331" i="3" s="1"/>
  <c r="U331" i="3"/>
  <c r="R331" i="3"/>
  <c r="O331" i="3"/>
  <c r="N331" i="3"/>
  <c r="L331" i="3"/>
  <c r="H331" i="3"/>
  <c r="I331" i="3" s="1"/>
  <c r="F331" i="3"/>
  <c r="C331" i="3"/>
  <c r="AC330" i="3"/>
  <c r="AD330" i="3" s="1"/>
  <c r="AA330" i="3"/>
  <c r="W330" i="3"/>
  <c r="X330" i="3" s="1"/>
  <c r="U330" i="3"/>
  <c r="R330" i="3"/>
  <c r="N330" i="3"/>
  <c r="L330" i="3"/>
  <c r="I330" i="3"/>
  <c r="H330" i="3"/>
  <c r="F330" i="3"/>
  <c r="C330" i="3"/>
  <c r="AD329" i="3"/>
  <c r="AC329" i="3"/>
  <c r="AA329" i="3"/>
  <c r="W329" i="3"/>
  <c r="X329" i="3" s="1"/>
  <c r="U329" i="3"/>
  <c r="R329" i="3"/>
  <c r="O329" i="3"/>
  <c r="N329" i="3"/>
  <c r="L329" i="3"/>
  <c r="H329" i="3"/>
  <c r="I329" i="3" s="1"/>
  <c r="F329" i="3"/>
  <c r="C329" i="3"/>
  <c r="AD328" i="3"/>
  <c r="AC328" i="3"/>
  <c r="AA328" i="3"/>
  <c r="W328" i="3"/>
  <c r="U328" i="3"/>
  <c r="R328" i="3"/>
  <c r="N328" i="3"/>
  <c r="O328" i="3" s="1"/>
  <c r="L328" i="3"/>
  <c r="I328" i="3"/>
  <c r="H328" i="3"/>
  <c r="F328" i="3"/>
  <c r="C328" i="3"/>
  <c r="Z325" i="3"/>
  <c r="AC325" i="3" s="1"/>
  <c r="AD325" i="3" s="1"/>
  <c r="T325" i="3"/>
  <c r="U325" i="3" s="1"/>
  <c r="Q325" i="3"/>
  <c r="L325" i="3"/>
  <c r="K325" i="3"/>
  <c r="F325" i="3"/>
  <c r="E325" i="3"/>
  <c r="B325" i="3"/>
  <c r="C325" i="3" s="1"/>
  <c r="Z324" i="3"/>
  <c r="AA324" i="3" s="1"/>
  <c r="X324" i="3"/>
  <c r="W324" i="3"/>
  <c r="U324" i="3"/>
  <c r="T324" i="3"/>
  <c r="R324" i="3"/>
  <c r="Q324" i="3"/>
  <c r="AC324" i="3" s="1"/>
  <c r="AD324" i="3" s="1"/>
  <c r="K324" i="3"/>
  <c r="L324" i="3" s="1"/>
  <c r="F324" i="3"/>
  <c r="E324" i="3"/>
  <c r="B324" i="3"/>
  <c r="C324" i="3" s="1"/>
  <c r="AC323" i="3"/>
  <c r="AD323" i="3" s="1"/>
  <c r="AA323" i="3"/>
  <c r="W323" i="3"/>
  <c r="X323" i="3" s="1"/>
  <c r="U323" i="3"/>
  <c r="R323" i="3"/>
  <c r="O323" i="3"/>
  <c r="N323" i="3"/>
  <c r="L323" i="3"/>
  <c r="I323" i="3"/>
  <c r="H323" i="3"/>
  <c r="F323" i="3"/>
  <c r="C323" i="3"/>
  <c r="AC322" i="3"/>
  <c r="AD322" i="3" s="1"/>
  <c r="AA322" i="3"/>
  <c r="W322" i="3"/>
  <c r="X322" i="3" s="1"/>
  <c r="U322" i="3"/>
  <c r="R322" i="3"/>
  <c r="N322" i="3"/>
  <c r="L322" i="3"/>
  <c r="H322" i="3"/>
  <c r="I322" i="3" s="1"/>
  <c r="F322" i="3"/>
  <c r="C322" i="3"/>
  <c r="AD321" i="3"/>
  <c r="AC321" i="3"/>
  <c r="AA321" i="3"/>
  <c r="W321" i="3"/>
  <c r="X321" i="3" s="1"/>
  <c r="U321" i="3"/>
  <c r="R321" i="3"/>
  <c r="N321" i="3"/>
  <c r="O321" i="3" s="1"/>
  <c r="L321" i="3"/>
  <c r="H321" i="3"/>
  <c r="I321" i="3" s="1"/>
  <c r="F321" i="3"/>
  <c r="C321" i="3"/>
  <c r="AD320" i="3"/>
  <c r="AC320" i="3"/>
  <c r="AA320" i="3"/>
  <c r="W320" i="3"/>
  <c r="U320" i="3"/>
  <c r="R320" i="3"/>
  <c r="N320" i="3"/>
  <c r="O320" i="3" s="1"/>
  <c r="L320" i="3"/>
  <c r="I320" i="3"/>
  <c r="H320" i="3"/>
  <c r="F320" i="3"/>
  <c r="C320" i="3"/>
  <c r="AD319" i="3"/>
  <c r="AC319" i="3"/>
  <c r="AA319" i="3"/>
  <c r="X319" i="3"/>
  <c r="W319" i="3"/>
  <c r="U319" i="3"/>
  <c r="R319" i="3"/>
  <c r="N319" i="3"/>
  <c r="O319" i="3" s="1"/>
  <c r="L319" i="3"/>
  <c r="H319" i="3"/>
  <c r="I319" i="3" s="1"/>
  <c r="F319" i="3"/>
  <c r="C319" i="3"/>
  <c r="AC318" i="3"/>
  <c r="AD318" i="3" s="1"/>
  <c r="AA318" i="3"/>
  <c r="X318" i="3"/>
  <c r="W318" i="3"/>
  <c r="U318" i="3"/>
  <c r="R318" i="3"/>
  <c r="N318" i="3"/>
  <c r="L318" i="3"/>
  <c r="I318" i="3"/>
  <c r="H318" i="3"/>
  <c r="F318" i="3"/>
  <c r="C318" i="3"/>
  <c r="AD317" i="3"/>
  <c r="AC317" i="3"/>
  <c r="AA317" i="3"/>
  <c r="W317" i="3"/>
  <c r="X317" i="3" s="1"/>
  <c r="U317" i="3"/>
  <c r="R317" i="3"/>
  <c r="N317" i="3"/>
  <c r="O317" i="3" s="1"/>
  <c r="L317" i="3"/>
  <c r="H317" i="3"/>
  <c r="I317" i="3" s="1"/>
  <c r="F317" i="3"/>
  <c r="C317" i="3"/>
  <c r="AC316" i="3"/>
  <c r="AD316" i="3" s="1"/>
  <c r="AA316" i="3"/>
  <c r="W316" i="3"/>
  <c r="U316" i="3"/>
  <c r="R316" i="3"/>
  <c r="N316" i="3"/>
  <c r="O316" i="3" s="1"/>
  <c r="L316" i="3"/>
  <c r="I316" i="3"/>
  <c r="H316" i="3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I315" i="3"/>
  <c r="H315" i="3"/>
  <c r="F315" i="3"/>
  <c r="C315" i="3"/>
  <c r="AC314" i="3"/>
  <c r="AD314" i="3" s="1"/>
  <c r="AA314" i="3"/>
  <c r="W314" i="3"/>
  <c r="X314" i="3" s="1"/>
  <c r="U314" i="3"/>
  <c r="R314" i="3"/>
  <c r="N314" i="3"/>
  <c r="L314" i="3"/>
  <c r="H314" i="3"/>
  <c r="I314" i="3" s="1"/>
  <c r="F314" i="3"/>
  <c r="C314" i="3"/>
  <c r="AD313" i="3"/>
  <c r="AC313" i="3"/>
  <c r="AA313" i="3"/>
  <c r="W313" i="3"/>
  <c r="X313" i="3" s="1"/>
  <c r="U313" i="3"/>
  <c r="R313" i="3"/>
  <c r="N313" i="3"/>
  <c r="O313" i="3" s="1"/>
  <c r="L313" i="3"/>
  <c r="H313" i="3"/>
  <c r="I313" i="3" s="1"/>
  <c r="F313" i="3"/>
  <c r="C313" i="3"/>
  <c r="AD312" i="3"/>
  <c r="AC312" i="3"/>
  <c r="AA312" i="3"/>
  <c r="W312" i="3"/>
  <c r="U312" i="3"/>
  <c r="R312" i="3"/>
  <c r="N312" i="3"/>
  <c r="O312" i="3" s="1"/>
  <c r="L312" i="3"/>
  <c r="I312" i="3"/>
  <c r="H312" i="3"/>
  <c r="F312" i="3"/>
  <c r="C312" i="3"/>
  <c r="AD311" i="3"/>
  <c r="AC311" i="3"/>
  <c r="AA311" i="3"/>
  <c r="X311" i="3"/>
  <c r="W311" i="3"/>
  <c r="U311" i="3"/>
  <c r="R311" i="3"/>
  <c r="N311" i="3"/>
  <c r="O311" i="3" s="1"/>
  <c r="L311" i="3"/>
  <c r="H311" i="3"/>
  <c r="I311" i="3" s="1"/>
  <c r="F311" i="3"/>
  <c r="C311" i="3"/>
  <c r="AC310" i="3"/>
  <c r="AD310" i="3" s="1"/>
  <c r="AA310" i="3"/>
  <c r="X310" i="3"/>
  <c r="W310" i="3"/>
  <c r="U310" i="3"/>
  <c r="R310" i="3"/>
  <c r="N310" i="3"/>
  <c r="L310" i="3"/>
  <c r="I310" i="3"/>
  <c r="H310" i="3"/>
  <c r="F310" i="3"/>
  <c r="C310" i="3"/>
  <c r="AD309" i="3"/>
  <c r="AC309" i="3"/>
  <c r="AA309" i="3"/>
  <c r="W309" i="3"/>
  <c r="X309" i="3" s="1"/>
  <c r="U309" i="3"/>
  <c r="R309" i="3"/>
  <c r="N309" i="3"/>
  <c r="O309" i="3" s="1"/>
  <c r="L309" i="3"/>
  <c r="H309" i="3"/>
  <c r="I309" i="3" s="1"/>
  <c r="F309" i="3"/>
  <c r="C309" i="3"/>
  <c r="AC308" i="3"/>
  <c r="AD308" i="3" s="1"/>
  <c r="AA308" i="3"/>
  <c r="W308" i="3"/>
  <c r="U308" i="3"/>
  <c r="R308" i="3"/>
  <c r="N308" i="3"/>
  <c r="O308" i="3" s="1"/>
  <c r="L308" i="3"/>
  <c r="I308" i="3"/>
  <c r="H308" i="3"/>
  <c r="F308" i="3"/>
  <c r="C308" i="3"/>
  <c r="AC307" i="3"/>
  <c r="AD307" i="3" s="1"/>
  <c r="AA307" i="3"/>
  <c r="W307" i="3"/>
  <c r="X307" i="3" s="1"/>
  <c r="U307" i="3"/>
  <c r="R307" i="3"/>
  <c r="O307" i="3"/>
  <c r="N307" i="3"/>
  <c r="L307" i="3"/>
  <c r="I307" i="3"/>
  <c r="H307" i="3"/>
  <c r="F307" i="3"/>
  <c r="C307" i="3"/>
  <c r="AC306" i="3"/>
  <c r="AD306" i="3" s="1"/>
  <c r="AA306" i="3"/>
  <c r="W306" i="3"/>
  <c r="X306" i="3" s="1"/>
  <c r="U306" i="3"/>
  <c r="R306" i="3"/>
  <c r="N306" i="3"/>
  <c r="L306" i="3"/>
  <c r="H306" i="3"/>
  <c r="I306" i="3" s="1"/>
  <c r="F306" i="3"/>
  <c r="C306" i="3"/>
  <c r="AD305" i="3"/>
  <c r="AC305" i="3"/>
  <c r="AA305" i="3"/>
  <c r="W305" i="3"/>
  <c r="X305" i="3" s="1"/>
  <c r="U305" i="3"/>
  <c r="R305" i="3"/>
  <c r="N305" i="3"/>
  <c r="O305" i="3" s="1"/>
  <c r="L305" i="3"/>
  <c r="H305" i="3"/>
  <c r="I305" i="3" s="1"/>
  <c r="F305" i="3"/>
  <c r="C305" i="3"/>
  <c r="AC304" i="3"/>
  <c r="AD304" i="3" s="1"/>
  <c r="AA304" i="3"/>
  <c r="W304" i="3"/>
  <c r="U304" i="3"/>
  <c r="R304" i="3"/>
  <c r="N304" i="3"/>
  <c r="O304" i="3" s="1"/>
  <c r="L304" i="3"/>
  <c r="I304" i="3"/>
  <c r="H304" i="3"/>
  <c r="F304" i="3"/>
  <c r="C304" i="3"/>
  <c r="AD303" i="3"/>
  <c r="AC303" i="3"/>
  <c r="AA303" i="3"/>
  <c r="X303" i="3"/>
  <c r="W303" i="3"/>
  <c r="U303" i="3"/>
  <c r="R303" i="3"/>
  <c r="N303" i="3"/>
  <c r="O303" i="3" s="1"/>
  <c r="L303" i="3"/>
  <c r="H303" i="3"/>
  <c r="I303" i="3" s="1"/>
  <c r="F303" i="3"/>
  <c r="C303" i="3"/>
  <c r="AC302" i="3"/>
  <c r="AD302" i="3" s="1"/>
  <c r="AA302" i="3"/>
  <c r="X302" i="3"/>
  <c r="W302" i="3"/>
  <c r="U302" i="3"/>
  <c r="R302" i="3"/>
  <c r="N302" i="3"/>
  <c r="L302" i="3"/>
  <c r="I302" i="3"/>
  <c r="H302" i="3"/>
  <c r="F302" i="3"/>
  <c r="C302" i="3"/>
  <c r="AD301" i="3"/>
  <c r="AC301" i="3"/>
  <c r="AA301" i="3"/>
  <c r="X301" i="3"/>
  <c r="W301" i="3"/>
  <c r="U301" i="3"/>
  <c r="R301" i="3"/>
  <c r="N301" i="3"/>
  <c r="O301" i="3" s="1"/>
  <c r="L301" i="3"/>
  <c r="H301" i="3"/>
  <c r="I301" i="3" s="1"/>
  <c r="F301" i="3"/>
  <c r="C301" i="3"/>
  <c r="AC300" i="3"/>
  <c r="AD300" i="3" s="1"/>
  <c r="AA300" i="3"/>
  <c r="W300" i="3"/>
  <c r="U300" i="3"/>
  <c r="R300" i="3"/>
  <c r="N300" i="3"/>
  <c r="O300" i="3" s="1"/>
  <c r="L300" i="3"/>
  <c r="I300" i="3"/>
  <c r="H300" i="3"/>
  <c r="F300" i="3"/>
  <c r="C300" i="3"/>
  <c r="AD299" i="3"/>
  <c r="AC299" i="3"/>
  <c r="AA299" i="3"/>
  <c r="W299" i="3"/>
  <c r="X299" i="3" s="1"/>
  <c r="U299" i="3"/>
  <c r="R299" i="3"/>
  <c r="N299" i="3"/>
  <c r="O299" i="3" s="1"/>
  <c r="L299" i="3"/>
  <c r="I299" i="3"/>
  <c r="H299" i="3"/>
  <c r="F299" i="3"/>
  <c r="C299" i="3"/>
  <c r="AC298" i="3"/>
  <c r="AD298" i="3" s="1"/>
  <c r="AA298" i="3"/>
  <c r="W298" i="3"/>
  <c r="X298" i="3" s="1"/>
  <c r="U298" i="3"/>
  <c r="R298" i="3"/>
  <c r="N298" i="3"/>
  <c r="L298" i="3"/>
  <c r="H298" i="3"/>
  <c r="I298" i="3" s="1"/>
  <c r="F298" i="3"/>
  <c r="C298" i="3"/>
  <c r="AD297" i="3"/>
  <c r="AC297" i="3"/>
  <c r="AA297" i="3"/>
  <c r="W297" i="3"/>
  <c r="X297" i="3" s="1"/>
  <c r="U297" i="3"/>
  <c r="R297" i="3"/>
  <c r="N297" i="3"/>
  <c r="O297" i="3" s="1"/>
  <c r="L297" i="3"/>
  <c r="H297" i="3"/>
  <c r="I297" i="3" s="1"/>
  <c r="F297" i="3"/>
  <c r="C297" i="3"/>
  <c r="AC295" i="3"/>
  <c r="AD295" i="3" s="1"/>
  <c r="AA295" i="3"/>
  <c r="Z295" i="3"/>
  <c r="U295" i="3"/>
  <c r="T295" i="3"/>
  <c r="Q295" i="3"/>
  <c r="O295" i="3"/>
  <c r="K295" i="3"/>
  <c r="L295" i="3" s="1"/>
  <c r="I295" i="3"/>
  <c r="H295" i="3"/>
  <c r="F295" i="3"/>
  <c r="E295" i="3"/>
  <c r="C295" i="3"/>
  <c r="B295" i="3"/>
  <c r="N295" i="3" s="1"/>
  <c r="AC294" i="3"/>
  <c r="AD294" i="3" s="1"/>
  <c r="AA294" i="3"/>
  <c r="X294" i="3"/>
  <c r="W294" i="3"/>
  <c r="U294" i="3"/>
  <c r="R294" i="3"/>
  <c r="N294" i="3"/>
  <c r="L294" i="3"/>
  <c r="I294" i="3"/>
  <c r="H294" i="3"/>
  <c r="F294" i="3"/>
  <c r="C294" i="3"/>
  <c r="AD293" i="3"/>
  <c r="AC293" i="3"/>
  <c r="AA293" i="3"/>
  <c r="W293" i="3"/>
  <c r="X293" i="3" s="1"/>
  <c r="U293" i="3"/>
  <c r="R293" i="3"/>
  <c r="N293" i="3"/>
  <c r="O293" i="3" s="1"/>
  <c r="L293" i="3"/>
  <c r="H293" i="3"/>
  <c r="I293" i="3" s="1"/>
  <c r="F293" i="3"/>
  <c r="C293" i="3"/>
  <c r="AD292" i="3"/>
  <c r="AC292" i="3"/>
  <c r="AA292" i="3"/>
  <c r="W292" i="3"/>
  <c r="U292" i="3"/>
  <c r="R292" i="3"/>
  <c r="N292" i="3"/>
  <c r="O292" i="3" s="1"/>
  <c r="L292" i="3"/>
  <c r="I292" i="3"/>
  <c r="H292" i="3"/>
  <c r="F292" i="3"/>
  <c r="C292" i="3"/>
  <c r="AC291" i="3"/>
  <c r="AD291" i="3" s="1"/>
  <c r="AA291" i="3"/>
  <c r="W291" i="3"/>
  <c r="X291" i="3" s="1"/>
  <c r="U291" i="3"/>
  <c r="R291" i="3"/>
  <c r="N291" i="3"/>
  <c r="O291" i="3" s="1"/>
  <c r="L291" i="3"/>
  <c r="I291" i="3"/>
  <c r="H291" i="3"/>
  <c r="F291" i="3"/>
  <c r="C291" i="3"/>
  <c r="AC290" i="3"/>
  <c r="AD290" i="3" s="1"/>
  <c r="AA290" i="3"/>
  <c r="W290" i="3"/>
  <c r="X290" i="3" s="1"/>
  <c r="U290" i="3"/>
  <c r="R290" i="3"/>
  <c r="N290" i="3"/>
  <c r="L290" i="3"/>
  <c r="I290" i="3"/>
  <c r="H290" i="3"/>
  <c r="F290" i="3"/>
  <c r="C290" i="3"/>
  <c r="AD289" i="3"/>
  <c r="AC289" i="3"/>
  <c r="AA289" i="3"/>
  <c r="W289" i="3"/>
  <c r="X289" i="3" s="1"/>
  <c r="U289" i="3"/>
  <c r="R289" i="3"/>
  <c r="N289" i="3"/>
  <c r="O289" i="3" s="1"/>
  <c r="L289" i="3"/>
  <c r="H289" i="3"/>
  <c r="I289" i="3" s="1"/>
  <c r="F289" i="3"/>
  <c r="C289" i="3"/>
  <c r="AC288" i="3"/>
  <c r="AD288" i="3" s="1"/>
  <c r="AA288" i="3"/>
  <c r="W288" i="3"/>
  <c r="U288" i="3"/>
  <c r="R288" i="3"/>
  <c r="N288" i="3"/>
  <c r="O288" i="3" s="1"/>
  <c r="L288" i="3"/>
  <c r="I288" i="3"/>
  <c r="H288" i="3"/>
  <c r="F288" i="3"/>
  <c r="C288" i="3"/>
  <c r="AD287" i="3"/>
  <c r="AC287" i="3"/>
  <c r="AA287" i="3"/>
  <c r="W287" i="3"/>
  <c r="X287" i="3" s="1"/>
  <c r="U287" i="3"/>
  <c r="R287" i="3"/>
  <c r="N287" i="3"/>
  <c r="O287" i="3" s="1"/>
  <c r="L287" i="3"/>
  <c r="I287" i="3"/>
  <c r="H287" i="3"/>
  <c r="F287" i="3"/>
  <c r="C287" i="3"/>
  <c r="AC286" i="3"/>
  <c r="AD286" i="3" s="1"/>
  <c r="AA286" i="3"/>
  <c r="X286" i="3"/>
  <c r="W286" i="3"/>
  <c r="U286" i="3"/>
  <c r="R286" i="3"/>
  <c r="N286" i="3"/>
  <c r="L286" i="3"/>
  <c r="I286" i="3"/>
  <c r="H286" i="3"/>
  <c r="F286" i="3"/>
  <c r="C286" i="3"/>
  <c r="AD284" i="3"/>
  <c r="Z284" i="3"/>
  <c r="AA284" i="3" s="1"/>
  <c r="T284" i="3"/>
  <c r="W284" i="3" s="1"/>
  <c r="X284" i="3" s="1"/>
  <c r="R284" i="3"/>
  <c r="Q284" i="3"/>
  <c r="AC284" i="3" s="1"/>
  <c r="N284" i="3"/>
  <c r="O284" i="3" s="1"/>
  <c r="K284" i="3"/>
  <c r="L284" i="3" s="1"/>
  <c r="I284" i="3"/>
  <c r="H284" i="3"/>
  <c r="F284" i="3"/>
  <c r="E284" i="3"/>
  <c r="B284" i="3"/>
  <c r="C284" i="3" s="1"/>
  <c r="AD283" i="3"/>
  <c r="AC283" i="3"/>
  <c r="AA283" i="3"/>
  <c r="X283" i="3"/>
  <c r="W283" i="3"/>
  <c r="U283" i="3"/>
  <c r="R283" i="3"/>
  <c r="N283" i="3"/>
  <c r="O283" i="3" s="1"/>
  <c r="L283" i="3"/>
  <c r="H283" i="3"/>
  <c r="I283" i="3" s="1"/>
  <c r="F283" i="3"/>
  <c r="C283" i="3"/>
  <c r="AC282" i="3"/>
  <c r="AD282" i="3" s="1"/>
  <c r="AA282" i="3"/>
  <c r="X282" i="3"/>
  <c r="W282" i="3"/>
  <c r="U282" i="3"/>
  <c r="R282" i="3"/>
  <c r="N282" i="3"/>
  <c r="L282" i="3"/>
  <c r="I282" i="3"/>
  <c r="H282" i="3"/>
  <c r="F282" i="3"/>
  <c r="C282" i="3"/>
  <c r="AD281" i="3"/>
  <c r="AC281" i="3"/>
  <c r="AA281" i="3"/>
  <c r="X281" i="3"/>
  <c r="W281" i="3"/>
  <c r="U281" i="3"/>
  <c r="R281" i="3"/>
  <c r="N281" i="3"/>
  <c r="O281" i="3" s="1"/>
  <c r="L281" i="3"/>
  <c r="H281" i="3"/>
  <c r="I281" i="3" s="1"/>
  <c r="F281" i="3"/>
  <c r="C281" i="3"/>
  <c r="AC280" i="3"/>
  <c r="AD280" i="3" s="1"/>
  <c r="AA280" i="3"/>
  <c r="W280" i="3"/>
  <c r="U280" i="3"/>
  <c r="R280" i="3"/>
  <c r="O280" i="3"/>
  <c r="N280" i="3"/>
  <c r="L280" i="3"/>
  <c r="I280" i="3"/>
  <c r="H280" i="3"/>
  <c r="F280" i="3"/>
  <c r="C280" i="3"/>
  <c r="AC279" i="3"/>
  <c r="AD279" i="3" s="1"/>
  <c r="AA279" i="3"/>
  <c r="W279" i="3"/>
  <c r="X279" i="3" s="1"/>
  <c r="U279" i="3"/>
  <c r="R279" i="3"/>
  <c r="O279" i="3"/>
  <c r="N279" i="3"/>
  <c r="L279" i="3"/>
  <c r="I279" i="3"/>
  <c r="H279" i="3"/>
  <c r="F279" i="3"/>
  <c r="C279" i="3"/>
  <c r="AC278" i="3"/>
  <c r="AD278" i="3" s="1"/>
  <c r="AA278" i="3"/>
  <c r="W278" i="3"/>
  <c r="X278" i="3" s="1"/>
  <c r="U278" i="3"/>
  <c r="R278" i="3"/>
  <c r="N278" i="3"/>
  <c r="L278" i="3"/>
  <c r="H278" i="3"/>
  <c r="I278" i="3" s="1"/>
  <c r="F278" i="3"/>
  <c r="C278" i="3"/>
  <c r="AD277" i="3"/>
  <c r="AC277" i="3"/>
  <c r="AA277" i="3"/>
  <c r="W277" i="3"/>
  <c r="X277" i="3" s="1"/>
  <c r="U277" i="3"/>
  <c r="R277" i="3"/>
  <c r="O277" i="3"/>
  <c r="N277" i="3"/>
  <c r="L277" i="3"/>
  <c r="H277" i="3"/>
  <c r="I277" i="3" s="1"/>
  <c r="F277" i="3"/>
  <c r="C277" i="3"/>
  <c r="AC276" i="3"/>
  <c r="AD276" i="3" s="1"/>
  <c r="AA276" i="3"/>
  <c r="W276" i="3"/>
  <c r="U276" i="3"/>
  <c r="R276" i="3"/>
  <c r="N276" i="3"/>
  <c r="O276" i="3" s="1"/>
  <c r="L276" i="3"/>
  <c r="I276" i="3"/>
  <c r="H276" i="3"/>
  <c r="F276" i="3"/>
  <c r="C276" i="3"/>
  <c r="AD275" i="3"/>
  <c r="AC275" i="3"/>
  <c r="AA275" i="3"/>
  <c r="X275" i="3"/>
  <c r="W275" i="3"/>
  <c r="U275" i="3"/>
  <c r="R275" i="3"/>
  <c r="N275" i="3"/>
  <c r="O275" i="3" s="1"/>
  <c r="L275" i="3"/>
  <c r="H275" i="3"/>
  <c r="I275" i="3" s="1"/>
  <c r="F275" i="3"/>
  <c r="C275" i="3"/>
  <c r="Z273" i="3"/>
  <c r="AA273" i="3" s="1"/>
  <c r="U273" i="3"/>
  <c r="T273" i="3"/>
  <c r="Q273" i="3"/>
  <c r="L273" i="3"/>
  <c r="K273" i="3"/>
  <c r="E273" i="3"/>
  <c r="F273" i="3" s="1"/>
  <c r="B273" i="3"/>
  <c r="AD272" i="3"/>
  <c r="AC272" i="3"/>
  <c r="AA272" i="3"/>
  <c r="W272" i="3"/>
  <c r="U272" i="3"/>
  <c r="R272" i="3"/>
  <c r="N272" i="3"/>
  <c r="O272" i="3" s="1"/>
  <c r="L272" i="3"/>
  <c r="I272" i="3"/>
  <c r="H272" i="3"/>
  <c r="F272" i="3"/>
  <c r="C272" i="3"/>
  <c r="AC271" i="3"/>
  <c r="AD271" i="3" s="1"/>
  <c r="AA271" i="3"/>
  <c r="X271" i="3"/>
  <c r="W271" i="3"/>
  <c r="U271" i="3"/>
  <c r="R271" i="3"/>
  <c r="N271" i="3"/>
  <c r="O271" i="3" s="1"/>
  <c r="L271" i="3"/>
  <c r="H271" i="3"/>
  <c r="I271" i="3" s="1"/>
  <c r="F271" i="3"/>
  <c r="C271" i="3"/>
  <c r="AC270" i="3"/>
  <c r="AD270" i="3" s="1"/>
  <c r="AA270" i="3"/>
  <c r="X270" i="3"/>
  <c r="W270" i="3"/>
  <c r="U270" i="3"/>
  <c r="R270" i="3"/>
  <c r="N270" i="3"/>
  <c r="L270" i="3"/>
  <c r="H270" i="3"/>
  <c r="I270" i="3" s="1"/>
  <c r="F270" i="3"/>
  <c r="C270" i="3"/>
  <c r="AD269" i="3"/>
  <c r="AC269" i="3"/>
  <c r="AA269" i="3"/>
  <c r="X269" i="3"/>
  <c r="W269" i="3"/>
  <c r="U269" i="3"/>
  <c r="R269" i="3"/>
  <c r="O269" i="3"/>
  <c r="N269" i="3"/>
  <c r="L269" i="3"/>
  <c r="H269" i="3"/>
  <c r="I269" i="3" s="1"/>
  <c r="F269" i="3"/>
  <c r="C269" i="3"/>
  <c r="AC267" i="3"/>
  <c r="AD267" i="3" s="1"/>
  <c r="AA267" i="3"/>
  <c r="Z267" i="3"/>
  <c r="W267" i="3"/>
  <c r="X267" i="3" s="1"/>
  <c r="T267" i="3"/>
  <c r="U267" i="3" s="1"/>
  <c r="Q267" i="3"/>
  <c r="R267" i="3" s="1"/>
  <c r="K267" i="3"/>
  <c r="L267" i="3" s="1"/>
  <c r="I267" i="3"/>
  <c r="H267" i="3"/>
  <c r="E267" i="3"/>
  <c r="F267" i="3" s="1"/>
  <c r="C267" i="3"/>
  <c r="B267" i="3"/>
  <c r="AC266" i="3"/>
  <c r="AD266" i="3" s="1"/>
  <c r="AA266" i="3"/>
  <c r="W266" i="3"/>
  <c r="X266" i="3" s="1"/>
  <c r="U266" i="3"/>
  <c r="R266" i="3"/>
  <c r="N266" i="3"/>
  <c r="L266" i="3"/>
  <c r="I266" i="3"/>
  <c r="H266" i="3"/>
  <c r="F266" i="3"/>
  <c r="C266" i="3"/>
  <c r="AD265" i="3"/>
  <c r="AC265" i="3"/>
  <c r="AA265" i="3"/>
  <c r="W265" i="3"/>
  <c r="X265" i="3" s="1"/>
  <c r="U265" i="3"/>
  <c r="R265" i="3"/>
  <c r="O265" i="3"/>
  <c r="N265" i="3"/>
  <c r="L265" i="3"/>
  <c r="H265" i="3"/>
  <c r="I265" i="3" s="1"/>
  <c r="F265" i="3"/>
  <c r="C265" i="3"/>
  <c r="AD263" i="3"/>
  <c r="AC263" i="3"/>
  <c r="AA263" i="3"/>
  <c r="Z263" i="3"/>
  <c r="T263" i="3"/>
  <c r="U263" i="3" s="1"/>
  <c r="R263" i="3"/>
  <c r="Q263" i="3"/>
  <c r="W263" i="3" s="1"/>
  <c r="X263" i="3" s="1"/>
  <c r="K263" i="3"/>
  <c r="L263" i="3" s="1"/>
  <c r="H263" i="3"/>
  <c r="I263" i="3" s="1"/>
  <c r="E263" i="3"/>
  <c r="F263" i="3" s="1"/>
  <c r="C263" i="3"/>
  <c r="B263" i="3"/>
  <c r="N263" i="3" s="1"/>
  <c r="O263" i="3" s="1"/>
  <c r="AC262" i="3"/>
  <c r="AD262" i="3" s="1"/>
  <c r="AA262" i="3"/>
  <c r="Z262" i="3"/>
  <c r="U262" i="3"/>
  <c r="T262" i="3"/>
  <c r="Q262" i="3"/>
  <c r="O262" i="3"/>
  <c r="N262" i="3"/>
  <c r="K262" i="3"/>
  <c r="L262" i="3" s="1"/>
  <c r="E262" i="3"/>
  <c r="F262" i="3" s="1"/>
  <c r="B262" i="3"/>
  <c r="H262" i="3" s="1"/>
  <c r="I262" i="3" s="1"/>
  <c r="AC261" i="3"/>
  <c r="AD261" i="3" s="1"/>
  <c r="AA261" i="3"/>
  <c r="W261" i="3"/>
  <c r="U261" i="3"/>
  <c r="R261" i="3"/>
  <c r="N261" i="3"/>
  <c r="O261" i="3" s="1"/>
  <c r="L261" i="3"/>
  <c r="I261" i="3"/>
  <c r="H261" i="3"/>
  <c r="F261" i="3"/>
  <c r="C261" i="3"/>
  <c r="AC260" i="3"/>
  <c r="AD260" i="3" s="1"/>
  <c r="AA260" i="3"/>
  <c r="X260" i="3"/>
  <c r="W260" i="3"/>
  <c r="U260" i="3"/>
  <c r="R260" i="3"/>
  <c r="N260" i="3"/>
  <c r="O260" i="3" s="1"/>
  <c r="L260" i="3"/>
  <c r="H260" i="3"/>
  <c r="I260" i="3" s="1"/>
  <c r="F260" i="3"/>
  <c r="C260" i="3"/>
  <c r="AC259" i="3"/>
  <c r="AD259" i="3" s="1"/>
  <c r="AA259" i="3"/>
  <c r="W259" i="3"/>
  <c r="X259" i="3" s="1"/>
  <c r="U259" i="3"/>
  <c r="R259" i="3"/>
  <c r="N259" i="3"/>
  <c r="L259" i="3"/>
  <c r="I259" i="3"/>
  <c r="H259" i="3"/>
  <c r="F259" i="3"/>
  <c r="C259" i="3"/>
  <c r="AD258" i="3"/>
  <c r="AC258" i="3"/>
  <c r="AA258" i="3"/>
  <c r="W258" i="3"/>
  <c r="X258" i="3" s="1"/>
  <c r="U258" i="3"/>
  <c r="R258" i="3"/>
  <c r="N258" i="3"/>
  <c r="O258" i="3" s="1"/>
  <c r="L258" i="3"/>
  <c r="H258" i="3"/>
  <c r="I258" i="3" s="1"/>
  <c r="F258" i="3"/>
  <c r="C258" i="3"/>
  <c r="AC257" i="3"/>
  <c r="AD257" i="3" s="1"/>
  <c r="AA257" i="3"/>
  <c r="W257" i="3"/>
  <c r="U257" i="3"/>
  <c r="R257" i="3"/>
  <c r="N257" i="3"/>
  <c r="O257" i="3" s="1"/>
  <c r="L257" i="3"/>
  <c r="I257" i="3"/>
  <c r="H257" i="3"/>
  <c r="F257" i="3"/>
  <c r="C257" i="3"/>
  <c r="AD256" i="3"/>
  <c r="AC256" i="3"/>
  <c r="AA256" i="3"/>
  <c r="W256" i="3"/>
  <c r="X256" i="3" s="1"/>
  <c r="U256" i="3"/>
  <c r="R256" i="3"/>
  <c r="O256" i="3"/>
  <c r="N256" i="3"/>
  <c r="L256" i="3"/>
  <c r="I256" i="3"/>
  <c r="H256" i="3"/>
  <c r="F256" i="3"/>
  <c r="C256" i="3"/>
  <c r="AC255" i="3"/>
  <c r="AD255" i="3" s="1"/>
  <c r="AA255" i="3"/>
  <c r="X255" i="3"/>
  <c r="W255" i="3"/>
  <c r="U255" i="3"/>
  <c r="R255" i="3"/>
  <c r="N255" i="3"/>
  <c r="L255" i="3"/>
  <c r="H255" i="3"/>
  <c r="I255" i="3" s="1"/>
  <c r="F255" i="3"/>
  <c r="C255" i="3"/>
  <c r="AD254" i="3"/>
  <c r="AC254" i="3"/>
  <c r="AA254" i="3"/>
  <c r="X254" i="3"/>
  <c r="W254" i="3"/>
  <c r="U254" i="3"/>
  <c r="R254" i="3"/>
  <c r="N254" i="3"/>
  <c r="O254" i="3" s="1"/>
  <c r="L254" i="3"/>
  <c r="H254" i="3"/>
  <c r="I254" i="3" s="1"/>
  <c r="F254" i="3"/>
  <c r="C254" i="3"/>
  <c r="AC253" i="3"/>
  <c r="AD253" i="3" s="1"/>
  <c r="AA253" i="3"/>
  <c r="W253" i="3"/>
  <c r="U253" i="3"/>
  <c r="R253" i="3"/>
  <c r="N253" i="3"/>
  <c r="O253" i="3" s="1"/>
  <c r="L253" i="3"/>
  <c r="I253" i="3"/>
  <c r="H253" i="3"/>
  <c r="F253" i="3"/>
  <c r="C253" i="3"/>
  <c r="AC252" i="3"/>
  <c r="AD252" i="3" s="1"/>
  <c r="AA252" i="3"/>
  <c r="X252" i="3"/>
  <c r="W252" i="3"/>
  <c r="U252" i="3"/>
  <c r="R252" i="3"/>
  <c r="N252" i="3"/>
  <c r="O252" i="3" s="1"/>
  <c r="L252" i="3"/>
  <c r="H252" i="3"/>
  <c r="I252" i="3" s="1"/>
  <c r="F252" i="3"/>
  <c r="C252" i="3"/>
  <c r="AC251" i="3"/>
  <c r="AD251" i="3" s="1"/>
  <c r="AA251" i="3"/>
  <c r="W251" i="3"/>
  <c r="X251" i="3" s="1"/>
  <c r="U251" i="3"/>
  <c r="R251" i="3"/>
  <c r="N251" i="3"/>
  <c r="L251" i="3"/>
  <c r="I251" i="3"/>
  <c r="H251" i="3"/>
  <c r="F251" i="3"/>
  <c r="C251" i="3"/>
  <c r="AD250" i="3"/>
  <c r="AC250" i="3"/>
  <c r="AA250" i="3"/>
  <c r="W250" i="3"/>
  <c r="X250" i="3" s="1"/>
  <c r="U250" i="3"/>
  <c r="R250" i="3"/>
  <c r="N250" i="3"/>
  <c r="O250" i="3" s="1"/>
  <c r="L250" i="3"/>
  <c r="H250" i="3"/>
  <c r="I250" i="3" s="1"/>
  <c r="F250" i="3"/>
  <c r="C250" i="3"/>
  <c r="AC249" i="3"/>
  <c r="AD249" i="3" s="1"/>
  <c r="AA249" i="3"/>
  <c r="W249" i="3"/>
  <c r="U249" i="3"/>
  <c r="R249" i="3"/>
  <c r="N249" i="3"/>
  <c r="O249" i="3" s="1"/>
  <c r="L249" i="3"/>
  <c r="I249" i="3"/>
  <c r="H249" i="3"/>
  <c r="F249" i="3"/>
  <c r="C249" i="3"/>
  <c r="AD248" i="3"/>
  <c r="AC248" i="3"/>
  <c r="AA248" i="3"/>
  <c r="W248" i="3"/>
  <c r="X248" i="3" s="1"/>
  <c r="U248" i="3"/>
  <c r="R248" i="3"/>
  <c r="N248" i="3"/>
  <c r="O248" i="3" s="1"/>
  <c r="L248" i="3"/>
  <c r="I248" i="3"/>
  <c r="H248" i="3"/>
  <c r="F248" i="3"/>
  <c r="C248" i="3"/>
  <c r="AC247" i="3"/>
  <c r="AD247" i="3" s="1"/>
  <c r="AA247" i="3"/>
  <c r="X247" i="3"/>
  <c r="W247" i="3"/>
  <c r="U247" i="3"/>
  <c r="R247" i="3"/>
  <c r="N247" i="3"/>
  <c r="L247" i="3"/>
  <c r="H247" i="3"/>
  <c r="I247" i="3" s="1"/>
  <c r="F247" i="3"/>
  <c r="C247" i="3"/>
  <c r="AD246" i="3"/>
  <c r="AC246" i="3"/>
  <c r="AA246" i="3"/>
  <c r="X246" i="3"/>
  <c r="W246" i="3"/>
  <c r="U246" i="3"/>
  <c r="R246" i="3"/>
  <c r="N246" i="3"/>
  <c r="O246" i="3" s="1"/>
  <c r="L246" i="3"/>
  <c r="H246" i="3"/>
  <c r="I246" i="3" s="1"/>
  <c r="F246" i="3"/>
  <c r="C246" i="3"/>
  <c r="AC245" i="3"/>
  <c r="AD245" i="3" s="1"/>
  <c r="AA245" i="3"/>
  <c r="W245" i="3"/>
  <c r="U245" i="3"/>
  <c r="R245" i="3"/>
  <c r="N245" i="3"/>
  <c r="O245" i="3" s="1"/>
  <c r="L245" i="3"/>
  <c r="I245" i="3"/>
  <c r="H245" i="3"/>
  <c r="F245" i="3"/>
  <c r="C245" i="3"/>
  <c r="AC244" i="3"/>
  <c r="AD244" i="3" s="1"/>
  <c r="AA244" i="3"/>
  <c r="X244" i="3"/>
  <c r="W244" i="3"/>
  <c r="U244" i="3"/>
  <c r="R244" i="3"/>
  <c r="N244" i="3"/>
  <c r="O244" i="3" s="1"/>
  <c r="L244" i="3"/>
  <c r="I244" i="3"/>
  <c r="H244" i="3"/>
  <c r="F244" i="3"/>
  <c r="C244" i="3"/>
  <c r="AC243" i="3"/>
  <c r="AD243" i="3" s="1"/>
  <c r="AA243" i="3"/>
  <c r="W243" i="3"/>
  <c r="X243" i="3" s="1"/>
  <c r="U243" i="3"/>
  <c r="R243" i="3"/>
  <c r="N243" i="3"/>
  <c r="L243" i="3"/>
  <c r="I243" i="3"/>
  <c r="H243" i="3"/>
  <c r="F243" i="3"/>
  <c r="C243" i="3"/>
  <c r="AD242" i="3"/>
  <c r="AC242" i="3"/>
  <c r="AA242" i="3"/>
  <c r="W242" i="3"/>
  <c r="X242" i="3" s="1"/>
  <c r="U242" i="3"/>
  <c r="R242" i="3"/>
  <c r="N242" i="3"/>
  <c r="O242" i="3" s="1"/>
  <c r="L242" i="3"/>
  <c r="H242" i="3"/>
  <c r="I242" i="3" s="1"/>
  <c r="F242" i="3"/>
  <c r="C242" i="3"/>
  <c r="AC241" i="3"/>
  <c r="AD241" i="3" s="1"/>
  <c r="AA241" i="3"/>
  <c r="W241" i="3"/>
  <c r="U241" i="3"/>
  <c r="R241" i="3"/>
  <c r="N241" i="3"/>
  <c r="O241" i="3" s="1"/>
  <c r="L241" i="3"/>
  <c r="I241" i="3"/>
  <c r="H241" i="3"/>
  <c r="F241" i="3"/>
  <c r="C241" i="3"/>
  <c r="AD240" i="3"/>
  <c r="AC240" i="3"/>
  <c r="AA240" i="3"/>
  <c r="W240" i="3"/>
  <c r="X240" i="3" s="1"/>
  <c r="U240" i="3"/>
  <c r="R240" i="3"/>
  <c r="N240" i="3"/>
  <c r="O240" i="3" s="1"/>
  <c r="L240" i="3"/>
  <c r="I240" i="3"/>
  <c r="H240" i="3"/>
  <c r="F240" i="3"/>
  <c r="C240" i="3"/>
  <c r="AC238" i="3"/>
  <c r="AD238" i="3" s="1"/>
  <c r="AA238" i="3"/>
  <c r="X238" i="3"/>
  <c r="W238" i="3"/>
  <c r="U238" i="3"/>
  <c r="R238" i="3"/>
  <c r="N238" i="3"/>
  <c r="L238" i="3"/>
  <c r="H238" i="3"/>
  <c r="I238" i="3" s="1"/>
  <c r="F238" i="3"/>
  <c r="C238" i="3"/>
  <c r="AD236" i="3"/>
  <c r="Z236" i="3"/>
  <c r="AA236" i="3" s="1"/>
  <c r="U236" i="3"/>
  <c r="T236" i="3"/>
  <c r="W236" i="3" s="1"/>
  <c r="X236" i="3" s="1"/>
  <c r="R236" i="3"/>
  <c r="Q236" i="3"/>
  <c r="AC236" i="3" s="1"/>
  <c r="N236" i="3"/>
  <c r="O236" i="3" s="1"/>
  <c r="K236" i="3"/>
  <c r="L236" i="3" s="1"/>
  <c r="H236" i="3"/>
  <c r="I236" i="3" s="1"/>
  <c r="F236" i="3"/>
  <c r="E236" i="3"/>
  <c r="B236" i="3"/>
  <c r="C236" i="3" s="1"/>
  <c r="AD235" i="3"/>
  <c r="AC235" i="3"/>
  <c r="AA235" i="3"/>
  <c r="W235" i="3"/>
  <c r="X235" i="3" s="1"/>
  <c r="U235" i="3"/>
  <c r="R235" i="3"/>
  <c r="N235" i="3"/>
  <c r="O235" i="3" s="1"/>
  <c r="L235" i="3"/>
  <c r="H235" i="3"/>
  <c r="I235" i="3" s="1"/>
  <c r="F235" i="3"/>
  <c r="C235" i="3"/>
  <c r="AC234" i="3"/>
  <c r="AD234" i="3" s="1"/>
  <c r="AA234" i="3"/>
  <c r="X234" i="3"/>
  <c r="W234" i="3"/>
  <c r="U234" i="3"/>
  <c r="R234" i="3"/>
  <c r="N234" i="3"/>
  <c r="L234" i="3"/>
  <c r="I234" i="3"/>
  <c r="H234" i="3"/>
  <c r="F234" i="3"/>
  <c r="C234" i="3"/>
  <c r="AD233" i="3"/>
  <c r="AC233" i="3"/>
  <c r="AA233" i="3"/>
  <c r="W233" i="3"/>
  <c r="X233" i="3" s="1"/>
  <c r="U233" i="3"/>
  <c r="R233" i="3"/>
  <c r="N233" i="3"/>
  <c r="O233" i="3" s="1"/>
  <c r="L233" i="3"/>
  <c r="H233" i="3"/>
  <c r="I233" i="3" s="1"/>
  <c r="F233" i="3"/>
  <c r="C233" i="3"/>
  <c r="AC232" i="3"/>
  <c r="AD232" i="3" s="1"/>
  <c r="AA232" i="3"/>
  <c r="W232" i="3"/>
  <c r="U232" i="3"/>
  <c r="R232" i="3"/>
  <c r="N232" i="3"/>
  <c r="O232" i="3" s="1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N231" i="3"/>
  <c r="O231" i="3" s="1"/>
  <c r="L231" i="3"/>
  <c r="I231" i="3"/>
  <c r="H231" i="3"/>
  <c r="F231" i="3"/>
  <c r="C231" i="3"/>
  <c r="AC230" i="3"/>
  <c r="AD230" i="3" s="1"/>
  <c r="AA230" i="3"/>
  <c r="X230" i="3"/>
  <c r="W230" i="3"/>
  <c r="U230" i="3"/>
  <c r="R230" i="3"/>
  <c r="N230" i="3"/>
  <c r="L230" i="3"/>
  <c r="H230" i="3"/>
  <c r="I230" i="3" s="1"/>
  <c r="F230" i="3"/>
  <c r="C230" i="3"/>
  <c r="AD229" i="3"/>
  <c r="AC229" i="3"/>
  <c r="AA229" i="3"/>
  <c r="W229" i="3"/>
  <c r="X229" i="3" s="1"/>
  <c r="U229" i="3"/>
  <c r="R229" i="3"/>
  <c r="N229" i="3"/>
  <c r="O229" i="3" s="1"/>
  <c r="L229" i="3"/>
  <c r="H229" i="3"/>
  <c r="I229" i="3" s="1"/>
  <c r="F229" i="3"/>
  <c r="C229" i="3"/>
  <c r="AA227" i="3"/>
  <c r="Z227" i="3"/>
  <c r="U227" i="3"/>
  <c r="T227" i="3"/>
  <c r="Q227" i="3"/>
  <c r="K227" i="3"/>
  <c r="L227" i="3" s="1"/>
  <c r="I227" i="3"/>
  <c r="H227" i="3"/>
  <c r="F227" i="3"/>
  <c r="E227" i="3"/>
  <c r="C227" i="3"/>
  <c r="B227" i="3"/>
  <c r="N227" i="3" s="1"/>
  <c r="O227" i="3" s="1"/>
  <c r="AC226" i="3"/>
  <c r="AD226" i="3" s="1"/>
  <c r="AA226" i="3"/>
  <c r="X226" i="3"/>
  <c r="W226" i="3"/>
  <c r="U226" i="3"/>
  <c r="R226" i="3"/>
  <c r="N226" i="3"/>
  <c r="L226" i="3"/>
  <c r="H226" i="3"/>
  <c r="I226" i="3" s="1"/>
  <c r="F226" i="3"/>
  <c r="C226" i="3"/>
  <c r="AD225" i="3"/>
  <c r="AC225" i="3"/>
  <c r="AA225" i="3"/>
  <c r="X225" i="3"/>
  <c r="W225" i="3"/>
  <c r="U225" i="3"/>
  <c r="R225" i="3"/>
  <c r="N225" i="3"/>
  <c r="O225" i="3" s="1"/>
  <c r="L225" i="3"/>
  <c r="H225" i="3"/>
  <c r="I225" i="3" s="1"/>
  <c r="F225" i="3"/>
  <c r="C225" i="3"/>
  <c r="AC224" i="3"/>
  <c r="AD224" i="3" s="1"/>
  <c r="AA224" i="3"/>
  <c r="W224" i="3"/>
  <c r="U224" i="3"/>
  <c r="R224" i="3"/>
  <c r="N224" i="3"/>
  <c r="O224" i="3" s="1"/>
  <c r="L224" i="3"/>
  <c r="I224" i="3"/>
  <c r="H224" i="3"/>
  <c r="F224" i="3"/>
  <c r="C224" i="3"/>
  <c r="AC223" i="3"/>
  <c r="AD223" i="3" s="1"/>
  <c r="AA223" i="3"/>
  <c r="X223" i="3"/>
  <c r="W223" i="3"/>
  <c r="U223" i="3"/>
  <c r="R223" i="3"/>
  <c r="N223" i="3"/>
  <c r="O223" i="3" s="1"/>
  <c r="L223" i="3"/>
  <c r="H223" i="3"/>
  <c r="I223" i="3" s="1"/>
  <c r="F223" i="3"/>
  <c r="C223" i="3"/>
  <c r="AC222" i="3"/>
  <c r="AD222" i="3" s="1"/>
  <c r="AA222" i="3"/>
  <c r="W222" i="3"/>
  <c r="X222" i="3" s="1"/>
  <c r="U222" i="3"/>
  <c r="R222" i="3"/>
  <c r="N222" i="3"/>
  <c r="L222" i="3"/>
  <c r="I222" i="3"/>
  <c r="H222" i="3"/>
  <c r="F222" i="3"/>
  <c r="C222" i="3"/>
  <c r="AD221" i="3"/>
  <c r="AC221" i="3"/>
  <c r="AA221" i="3"/>
  <c r="W221" i="3"/>
  <c r="X221" i="3" s="1"/>
  <c r="U221" i="3"/>
  <c r="R221" i="3"/>
  <c r="O221" i="3"/>
  <c r="N221" i="3"/>
  <c r="L221" i="3"/>
  <c r="H221" i="3"/>
  <c r="I221" i="3" s="1"/>
  <c r="F221" i="3"/>
  <c r="C221" i="3"/>
  <c r="AC220" i="3"/>
  <c r="AD220" i="3" s="1"/>
  <c r="AA220" i="3"/>
  <c r="W220" i="3"/>
  <c r="U220" i="3"/>
  <c r="R220" i="3"/>
  <c r="N220" i="3"/>
  <c r="O220" i="3" s="1"/>
  <c r="L220" i="3"/>
  <c r="I220" i="3"/>
  <c r="H220" i="3"/>
  <c r="F220" i="3"/>
  <c r="C220" i="3"/>
  <c r="AD219" i="3"/>
  <c r="AC219" i="3"/>
  <c r="AA219" i="3"/>
  <c r="W219" i="3"/>
  <c r="X219" i="3" s="1"/>
  <c r="U219" i="3"/>
  <c r="R219" i="3"/>
  <c r="N219" i="3"/>
  <c r="O219" i="3" s="1"/>
  <c r="L219" i="3"/>
  <c r="I219" i="3"/>
  <c r="H219" i="3"/>
  <c r="F219" i="3"/>
  <c r="C219" i="3"/>
  <c r="Z218" i="3"/>
  <c r="AA218" i="3" s="1"/>
  <c r="U218" i="3"/>
  <c r="T218" i="3"/>
  <c r="Q218" i="3"/>
  <c r="N218" i="3"/>
  <c r="O218" i="3" s="1"/>
  <c r="L218" i="3"/>
  <c r="K218" i="3"/>
  <c r="E218" i="3"/>
  <c r="F218" i="3" s="1"/>
  <c r="B218" i="3"/>
  <c r="AC217" i="3"/>
  <c r="AD217" i="3" s="1"/>
  <c r="AA217" i="3"/>
  <c r="W217" i="3"/>
  <c r="U217" i="3"/>
  <c r="R217" i="3"/>
  <c r="N217" i="3"/>
  <c r="O217" i="3" s="1"/>
  <c r="L217" i="3"/>
  <c r="I217" i="3"/>
  <c r="H217" i="3"/>
  <c r="F217" i="3"/>
  <c r="C217" i="3"/>
  <c r="AC216" i="3"/>
  <c r="AD216" i="3" s="1"/>
  <c r="AA216" i="3"/>
  <c r="X216" i="3"/>
  <c r="W216" i="3"/>
  <c r="U216" i="3"/>
  <c r="R216" i="3"/>
  <c r="O216" i="3"/>
  <c r="N216" i="3"/>
  <c r="L216" i="3"/>
  <c r="H216" i="3"/>
  <c r="I216" i="3" s="1"/>
  <c r="F216" i="3"/>
  <c r="C216" i="3"/>
  <c r="AC215" i="3"/>
  <c r="AD215" i="3" s="1"/>
  <c r="AA215" i="3"/>
  <c r="W215" i="3"/>
  <c r="X215" i="3" s="1"/>
  <c r="U215" i="3"/>
  <c r="R215" i="3"/>
  <c r="N215" i="3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N214" i="3"/>
  <c r="O214" i="3" s="1"/>
  <c r="L214" i="3"/>
  <c r="H214" i="3"/>
  <c r="I214" i="3" s="1"/>
  <c r="F214" i="3"/>
  <c r="C214" i="3"/>
  <c r="AD213" i="3"/>
  <c r="AC213" i="3"/>
  <c r="AA213" i="3"/>
  <c r="W213" i="3"/>
  <c r="U213" i="3"/>
  <c r="R213" i="3"/>
  <c r="O213" i="3"/>
  <c r="N213" i="3"/>
  <c r="L213" i="3"/>
  <c r="I213" i="3"/>
  <c r="H213" i="3"/>
  <c r="F213" i="3"/>
  <c r="C213" i="3"/>
  <c r="AC211" i="3"/>
  <c r="AD211" i="3" s="1"/>
  <c r="AA211" i="3"/>
  <c r="X211" i="3"/>
  <c r="W211" i="3"/>
  <c r="U211" i="3"/>
  <c r="R211" i="3"/>
  <c r="O211" i="3"/>
  <c r="N211" i="3"/>
  <c r="L211" i="3"/>
  <c r="H211" i="3"/>
  <c r="I211" i="3" s="1"/>
  <c r="F211" i="3"/>
  <c r="C211" i="3"/>
  <c r="Z209" i="3"/>
  <c r="X209" i="3"/>
  <c r="W209" i="3"/>
  <c r="U209" i="3"/>
  <c r="T209" i="3"/>
  <c r="Q209" i="3"/>
  <c r="R209" i="3" s="1"/>
  <c r="N209" i="3"/>
  <c r="O209" i="3" s="1"/>
  <c r="L209" i="3"/>
  <c r="K209" i="3"/>
  <c r="E209" i="3"/>
  <c r="F209" i="3" s="1"/>
  <c r="B209" i="3"/>
  <c r="AC208" i="3"/>
  <c r="AD208" i="3" s="1"/>
  <c r="AA208" i="3"/>
  <c r="W208" i="3"/>
  <c r="U208" i="3"/>
  <c r="R208" i="3"/>
  <c r="N208" i="3"/>
  <c r="O208" i="3" s="1"/>
  <c r="L208" i="3"/>
  <c r="I208" i="3"/>
  <c r="H208" i="3"/>
  <c r="F208" i="3"/>
  <c r="C208" i="3"/>
  <c r="AD207" i="3"/>
  <c r="AC207" i="3"/>
  <c r="AA207" i="3"/>
  <c r="X207" i="3"/>
  <c r="W207" i="3"/>
  <c r="U207" i="3"/>
  <c r="R207" i="3"/>
  <c r="N207" i="3"/>
  <c r="O207" i="3" s="1"/>
  <c r="L207" i="3"/>
  <c r="H207" i="3"/>
  <c r="I207" i="3" s="1"/>
  <c r="F207" i="3"/>
  <c r="C207" i="3"/>
  <c r="AC206" i="3"/>
  <c r="AD206" i="3" s="1"/>
  <c r="AA206" i="3"/>
  <c r="X206" i="3"/>
  <c r="W206" i="3"/>
  <c r="U206" i="3"/>
  <c r="R206" i="3"/>
  <c r="N206" i="3"/>
  <c r="O206" i="3" s="1"/>
  <c r="L206" i="3"/>
  <c r="I206" i="3"/>
  <c r="H206" i="3"/>
  <c r="F206" i="3"/>
  <c r="C206" i="3"/>
  <c r="AD205" i="3"/>
  <c r="AC205" i="3"/>
  <c r="AA205" i="3"/>
  <c r="X205" i="3"/>
  <c r="W205" i="3"/>
  <c r="U205" i="3"/>
  <c r="R205" i="3"/>
  <c r="N205" i="3"/>
  <c r="O205" i="3" s="1"/>
  <c r="L205" i="3"/>
  <c r="H205" i="3"/>
  <c r="I205" i="3" s="1"/>
  <c r="F205" i="3"/>
  <c r="C205" i="3"/>
  <c r="AC204" i="3"/>
  <c r="AD204" i="3" s="1"/>
  <c r="AA204" i="3"/>
  <c r="W204" i="3"/>
  <c r="X204" i="3" s="1"/>
  <c r="U204" i="3"/>
  <c r="R204" i="3"/>
  <c r="O204" i="3"/>
  <c r="N204" i="3"/>
  <c r="L204" i="3"/>
  <c r="I204" i="3"/>
  <c r="H204" i="3"/>
  <c r="F204" i="3"/>
  <c r="C204" i="3"/>
  <c r="AD203" i="3"/>
  <c r="AC203" i="3"/>
  <c r="AA203" i="3"/>
  <c r="W203" i="3"/>
  <c r="X203" i="3" s="1"/>
  <c r="U203" i="3"/>
  <c r="R203" i="3"/>
  <c r="N203" i="3"/>
  <c r="O203" i="3" s="1"/>
  <c r="L203" i="3"/>
  <c r="I203" i="3"/>
  <c r="H203" i="3"/>
  <c r="F203" i="3"/>
  <c r="C203" i="3"/>
  <c r="AC202" i="3"/>
  <c r="AD202" i="3" s="1"/>
  <c r="AA202" i="3"/>
  <c r="W202" i="3"/>
  <c r="X202" i="3" s="1"/>
  <c r="U202" i="3"/>
  <c r="R202" i="3"/>
  <c r="N202" i="3"/>
  <c r="L202" i="3"/>
  <c r="H202" i="3"/>
  <c r="I202" i="3" s="1"/>
  <c r="F202" i="3"/>
  <c r="C202" i="3"/>
  <c r="AD201" i="3"/>
  <c r="AC201" i="3"/>
  <c r="AA201" i="3"/>
  <c r="W201" i="3"/>
  <c r="X201" i="3" s="1"/>
  <c r="U201" i="3"/>
  <c r="R201" i="3"/>
  <c r="N201" i="3"/>
  <c r="O201" i="3" s="1"/>
  <c r="L201" i="3"/>
  <c r="H201" i="3"/>
  <c r="I201" i="3" s="1"/>
  <c r="F201" i="3"/>
  <c r="C201" i="3"/>
  <c r="Z197" i="3"/>
  <c r="AC197" i="3" s="1"/>
  <c r="AD197" i="3" s="1"/>
  <c r="T197" i="3"/>
  <c r="U197" i="3" s="1"/>
  <c r="R197" i="3"/>
  <c r="Q197" i="3"/>
  <c r="W197" i="3" s="1"/>
  <c r="X197" i="3" s="1"/>
  <c r="K197" i="3"/>
  <c r="L197" i="3" s="1"/>
  <c r="E197" i="3"/>
  <c r="F197" i="3" s="1"/>
  <c r="C197" i="3"/>
  <c r="B197" i="3"/>
  <c r="N197" i="3" s="1"/>
  <c r="O197" i="3" s="1"/>
  <c r="Z196" i="3"/>
  <c r="AA196" i="3" s="1"/>
  <c r="T196" i="3"/>
  <c r="W196" i="3" s="1"/>
  <c r="X196" i="3" s="1"/>
  <c r="Q196" i="3"/>
  <c r="R196" i="3" s="1"/>
  <c r="L196" i="3"/>
  <c r="K196" i="3"/>
  <c r="H196" i="3"/>
  <c r="I196" i="3" s="1"/>
  <c r="E196" i="3"/>
  <c r="F196" i="3" s="1"/>
  <c r="B196" i="3"/>
  <c r="C196" i="3" s="1"/>
  <c r="AC195" i="3"/>
  <c r="AD195" i="3" s="1"/>
  <c r="AA195" i="3"/>
  <c r="X195" i="3"/>
  <c r="W195" i="3"/>
  <c r="U195" i="3"/>
  <c r="R195" i="3"/>
  <c r="N195" i="3"/>
  <c r="O195" i="3" s="1"/>
  <c r="L195" i="3"/>
  <c r="H195" i="3"/>
  <c r="I195" i="3" s="1"/>
  <c r="F195" i="3"/>
  <c r="C195" i="3"/>
  <c r="AC194" i="3"/>
  <c r="AD194" i="3" s="1"/>
  <c r="AA194" i="3"/>
  <c r="W194" i="3"/>
  <c r="X194" i="3" s="1"/>
  <c r="U194" i="3"/>
  <c r="R194" i="3"/>
  <c r="O194" i="3"/>
  <c r="N194" i="3"/>
  <c r="L194" i="3"/>
  <c r="H194" i="3"/>
  <c r="I194" i="3" s="1"/>
  <c r="F194" i="3"/>
  <c r="C194" i="3"/>
  <c r="Z193" i="3"/>
  <c r="AA193" i="3" s="1"/>
  <c r="U193" i="3"/>
  <c r="T193" i="3"/>
  <c r="W193" i="3" s="1"/>
  <c r="X193" i="3" s="1"/>
  <c r="Q193" i="3"/>
  <c r="R193" i="3" s="1"/>
  <c r="K193" i="3"/>
  <c r="L193" i="3" s="1"/>
  <c r="I193" i="3"/>
  <c r="H193" i="3"/>
  <c r="E193" i="3"/>
  <c r="F193" i="3" s="1"/>
  <c r="B193" i="3"/>
  <c r="C193" i="3" s="1"/>
  <c r="AC192" i="3"/>
  <c r="AD192" i="3" s="1"/>
  <c r="AA192" i="3"/>
  <c r="X192" i="3"/>
  <c r="W192" i="3"/>
  <c r="U192" i="3"/>
  <c r="R192" i="3"/>
  <c r="N192" i="3"/>
  <c r="O192" i="3" s="1"/>
  <c r="L192" i="3"/>
  <c r="H192" i="3"/>
  <c r="I192" i="3" s="1"/>
  <c r="F192" i="3"/>
  <c r="C192" i="3"/>
  <c r="AC191" i="3"/>
  <c r="AD191" i="3" s="1"/>
  <c r="AA191" i="3"/>
  <c r="X191" i="3"/>
  <c r="W191" i="3"/>
  <c r="U191" i="3"/>
  <c r="R191" i="3"/>
  <c r="O191" i="3"/>
  <c r="N191" i="3"/>
  <c r="L191" i="3"/>
  <c r="H191" i="3"/>
  <c r="I191" i="3" s="1"/>
  <c r="F191" i="3"/>
  <c r="C191" i="3"/>
  <c r="AC190" i="3"/>
  <c r="AD190" i="3" s="1"/>
  <c r="AA190" i="3"/>
  <c r="W190" i="3"/>
  <c r="X190" i="3" s="1"/>
  <c r="U190" i="3"/>
  <c r="R190" i="3"/>
  <c r="O190" i="3"/>
  <c r="N190" i="3"/>
  <c r="L190" i="3"/>
  <c r="H190" i="3"/>
  <c r="I190" i="3" s="1"/>
  <c r="F190" i="3"/>
  <c r="C190" i="3"/>
  <c r="AC189" i="3"/>
  <c r="AD189" i="3" s="1"/>
  <c r="AA189" i="3"/>
  <c r="X189" i="3"/>
  <c r="W189" i="3"/>
  <c r="U189" i="3"/>
  <c r="R189" i="3"/>
  <c r="O189" i="3"/>
  <c r="N189" i="3"/>
  <c r="L189" i="3"/>
  <c r="H189" i="3"/>
  <c r="I189" i="3" s="1"/>
  <c r="F189" i="3"/>
  <c r="C189" i="3"/>
  <c r="AC188" i="3"/>
  <c r="AD188" i="3" s="1"/>
  <c r="AA188" i="3"/>
  <c r="X188" i="3"/>
  <c r="W188" i="3"/>
  <c r="U188" i="3"/>
  <c r="R188" i="3"/>
  <c r="N188" i="3"/>
  <c r="O188" i="3" s="1"/>
  <c r="L188" i="3"/>
  <c r="H188" i="3"/>
  <c r="I188" i="3" s="1"/>
  <c r="F188" i="3"/>
  <c r="C188" i="3"/>
  <c r="AC187" i="3"/>
  <c r="AD187" i="3" s="1"/>
  <c r="AA187" i="3"/>
  <c r="W187" i="3"/>
  <c r="X187" i="3" s="1"/>
  <c r="U187" i="3"/>
  <c r="R187" i="3"/>
  <c r="O187" i="3"/>
  <c r="N187" i="3"/>
  <c r="L187" i="3"/>
  <c r="H187" i="3"/>
  <c r="I187" i="3" s="1"/>
  <c r="F187" i="3"/>
  <c r="C187" i="3"/>
  <c r="AC186" i="3"/>
  <c r="AD186" i="3" s="1"/>
  <c r="AA186" i="3"/>
  <c r="W186" i="3"/>
  <c r="X186" i="3" s="1"/>
  <c r="U186" i="3"/>
  <c r="R186" i="3"/>
  <c r="O186" i="3"/>
  <c r="N186" i="3"/>
  <c r="L186" i="3"/>
  <c r="H186" i="3"/>
  <c r="I186" i="3" s="1"/>
  <c r="F186" i="3"/>
  <c r="C186" i="3"/>
  <c r="AD184" i="3"/>
  <c r="AC184" i="3"/>
  <c r="AA184" i="3"/>
  <c r="X184" i="3"/>
  <c r="W184" i="3"/>
  <c r="U184" i="3"/>
  <c r="R184" i="3"/>
  <c r="N184" i="3"/>
  <c r="O184" i="3" s="1"/>
  <c r="L184" i="3"/>
  <c r="H184" i="3"/>
  <c r="I184" i="3" s="1"/>
  <c r="F184" i="3"/>
  <c r="C184" i="3"/>
  <c r="AD183" i="3"/>
  <c r="AC183" i="3"/>
  <c r="AA183" i="3"/>
  <c r="X183" i="3"/>
  <c r="W183" i="3"/>
  <c r="U183" i="3"/>
  <c r="R183" i="3"/>
  <c r="N183" i="3"/>
  <c r="O183" i="3" s="1"/>
  <c r="L183" i="3"/>
  <c r="H183" i="3"/>
  <c r="I183" i="3" s="1"/>
  <c r="F183" i="3"/>
  <c r="C183" i="3"/>
  <c r="Z182" i="3"/>
  <c r="AA182" i="3" s="1"/>
  <c r="W182" i="3"/>
  <c r="X182" i="3" s="1"/>
  <c r="T182" i="3"/>
  <c r="U182" i="3" s="1"/>
  <c r="Q182" i="3"/>
  <c r="R182" i="3" s="1"/>
  <c r="K182" i="3"/>
  <c r="L182" i="3" s="1"/>
  <c r="E182" i="3"/>
  <c r="F182" i="3" s="1"/>
  <c r="C182" i="3"/>
  <c r="B182" i="3"/>
  <c r="H182" i="3" s="1"/>
  <c r="I182" i="3" s="1"/>
  <c r="AC181" i="3"/>
  <c r="AD181" i="3" s="1"/>
  <c r="AA181" i="3"/>
  <c r="X181" i="3"/>
  <c r="W181" i="3"/>
  <c r="U181" i="3"/>
  <c r="R181" i="3"/>
  <c r="O181" i="3"/>
  <c r="N181" i="3"/>
  <c r="L181" i="3"/>
  <c r="H181" i="3"/>
  <c r="I181" i="3" s="1"/>
  <c r="F181" i="3"/>
  <c r="C181" i="3"/>
  <c r="AC180" i="3"/>
  <c r="AD180" i="3" s="1"/>
  <c r="AA180" i="3"/>
  <c r="X180" i="3"/>
  <c r="W180" i="3"/>
  <c r="U180" i="3"/>
  <c r="R180" i="3"/>
  <c r="N180" i="3"/>
  <c r="O180" i="3" s="1"/>
  <c r="L180" i="3"/>
  <c r="I180" i="3"/>
  <c r="H180" i="3"/>
  <c r="F180" i="3"/>
  <c r="C180" i="3"/>
  <c r="AC179" i="3"/>
  <c r="AD179" i="3" s="1"/>
  <c r="AA179" i="3"/>
  <c r="W179" i="3"/>
  <c r="X179" i="3" s="1"/>
  <c r="U179" i="3"/>
  <c r="R179" i="3"/>
  <c r="O179" i="3"/>
  <c r="N179" i="3"/>
  <c r="L179" i="3"/>
  <c r="H179" i="3"/>
  <c r="I179" i="3" s="1"/>
  <c r="F179" i="3"/>
  <c r="C179" i="3"/>
  <c r="AC178" i="3"/>
  <c r="AD178" i="3" s="1"/>
  <c r="AA178" i="3"/>
  <c r="W178" i="3"/>
  <c r="X178" i="3" s="1"/>
  <c r="U178" i="3"/>
  <c r="R178" i="3"/>
  <c r="O178" i="3"/>
  <c r="N178" i="3"/>
  <c r="L178" i="3"/>
  <c r="H178" i="3"/>
  <c r="I178" i="3" s="1"/>
  <c r="F178" i="3"/>
  <c r="C178" i="3"/>
  <c r="AC177" i="3"/>
  <c r="AD177" i="3" s="1"/>
  <c r="AA177" i="3"/>
  <c r="X177" i="3"/>
  <c r="W177" i="3"/>
  <c r="U177" i="3"/>
  <c r="R177" i="3"/>
  <c r="O177" i="3"/>
  <c r="N177" i="3"/>
  <c r="L177" i="3"/>
  <c r="H177" i="3"/>
  <c r="I177" i="3" s="1"/>
  <c r="F177" i="3"/>
  <c r="C177" i="3"/>
  <c r="AC175" i="3"/>
  <c r="AD175" i="3" s="1"/>
  <c r="AA175" i="3"/>
  <c r="X175" i="3"/>
  <c r="W175" i="3"/>
  <c r="U175" i="3"/>
  <c r="R175" i="3"/>
  <c r="N175" i="3"/>
  <c r="O175" i="3" s="1"/>
  <c r="L175" i="3"/>
  <c r="H175" i="3"/>
  <c r="I175" i="3" s="1"/>
  <c r="F175" i="3"/>
  <c r="C175" i="3"/>
  <c r="Z172" i="3"/>
  <c r="Z198" i="3" s="1"/>
  <c r="Z345" i="3" s="1"/>
  <c r="B172" i="3"/>
  <c r="Z171" i="3"/>
  <c r="AA171" i="3" s="1"/>
  <c r="U171" i="3"/>
  <c r="T171" i="3"/>
  <c r="Q171" i="3"/>
  <c r="W171" i="3" s="1"/>
  <c r="X171" i="3" s="1"/>
  <c r="K171" i="3"/>
  <c r="L171" i="3" s="1"/>
  <c r="E171" i="3"/>
  <c r="H171" i="3" s="1"/>
  <c r="I171" i="3" s="1"/>
  <c r="B171" i="3"/>
  <c r="C171" i="3" s="1"/>
  <c r="Z170" i="3"/>
  <c r="AA170" i="3" s="1"/>
  <c r="W170" i="3"/>
  <c r="X170" i="3" s="1"/>
  <c r="T170" i="3"/>
  <c r="U170" i="3" s="1"/>
  <c r="Q170" i="3"/>
  <c r="R170" i="3" s="1"/>
  <c r="K170" i="3"/>
  <c r="L170" i="3" s="1"/>
  <c r="E170" i="3"/>
  <c r="F170" i="3" s="1"/>
  <c r="C170" i="3"/>
  <c r="B170" i="3"/>
  <c r="H170" i="3" s="1"/>
  <c r="I170" i="3" s="1"/>
  <c r="AC169" i="3"/>
  <c r="AD169" i="3" s="1"/>
  <c r="AA169" i="3"/>
  <c r="X169" i="3"/>
  <c r="W169" i="3"/>
  <c r="U169" i="3"/>
  <c r="R169" i="3"/>
  <c r="O169" i="3"/>
  <c r="N169" i="3"/>
  <c r="L169" i="3"/>
  <c r="H169" i="3"/>
  <c r="I169" i="3" s="1"/>
  <c r="F169" i="3"/>
  <c r="C169" i="3"/>
  <c r="AC168" i="3"/>
  <c r="AD168" i="3" s="1"/>
  <c r="AA168" i="3"/>
  <c r="X168" i="3"/>
  <c r="W168" i="3"/>
  <c r="U168" i="3"/>
  <c r="R168" i="3"/>
  <c r="N168" i="3"/>
  <c r="O168" i="3" s="1"/>
  <c r="L168" i="3"/>
  <c r="I168" i="3"/>
  <c r="H168" i="3"/>
  <c r="F168" i="3"/>
  <c r="C168" i="3"/>
  <c r="AC167" i="3"/>
  <c r="AD167" i="3" s="1"/>
  <c r="AA167" i="3"/>
  <c r="X167" i="3"/>
  <c r="W167" i="3"/>
  <c r="U167" i="3"/>
  <c r="R167" i="3"/>
  <c r="O167" i="3"/>
  <c r="N167" i="3"/>
  <c r="L167" i="3"/>
  <c r="H167" i="3"/>
  <c r="I167" i="3" s="1"/>
  <c r="F167" i="3"/>
  <c r="C167" i="3"/>
  <c r="Z166" i="3"/>
  <c r="AA166" i="3" s="1"/>
  <c r="T166" i="3"/>
  <c r="W166" i="3" s="1"/>
  <c r="X166" i="3" s="1"/>
  <c r="Q166" i="3"/>
  <c r="R166" i="3" s="1"/>
  <c r="K166" i="3"/>
  <c r="L166" i="3" s="1"/>
  <c r="H166" i="3"/>
  <c r="I166" i="3" s="1"/>
  <c r="E166" i="3"/>
  <c r="F166" i="3" s="1"/>
  <c r="B166" i="3"/>
  <c r="C166" i="3" s="1"/>
  <c r="AC165" i="3"/>
  <c r="AD165" i="3" s="1"/>
  <c r="AA165" i="3"/>
  <c r="X165" i="3"/>
  <c r="W165" i="3"/>
  <c r="U165" i="3"/>
  <c r="R165" i="3"/>
  <c r="N165" i="3"/>
  <c r="O165" i="3" s="1"/>
  <c r="L165" i="3"/>
  <c r="I165" i="3"/>
  <c r="H165" i="3"/>
  <c r="F165" i="3"/>
  <c r="C165" i="3"/>
  <c r="AC164" i="3"/>
  <c r="AD164" i="3" s="1"/>
  <c r="AA164" i="3"/>
  <c r="W164" i="3"/>
  <c r="X164" i="3" s="1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W163" i="3"/>
  <c r="X163" i="3" s="1"/>
  <c r="U163" i="3"/>
  <c r="R163" i="3"/>
  <c r="O163" i="3"/>
  <c r="N163" i="3"/>
  <c r="L163" i="3"/>
  <c r="H163" i="3"/>
  <c r="I163" i="3" s="1"/>
  <c r="F163" i="3"/>
  <c r="C163" i="3"/>
  <c r="AC162" i="3"/>
  <c r="AD162" i="3" s="1"/>
  <c r="AA162" i="3"/>
  <c r="X162" i="3"/>
  <c r="W162" i="3"/>
  <c r="U162" i="3"/>
  <c r="R162" i="3"/>
  <c r="N162" i="3"/>
  <c r="O162" i="3" s="1"/>
  <c r="L162" i="3"/>
  <c r="H162" i="3"/>
  <c r="I162" i="3" s="1"/>
  <c r="F162" i="3"/>
  <c r="C162" i="3"/>
  <c r="AC161" i="3"/>
  <c r="AD161" i="3" s="1"/>
  <c r="AA161" i="3"/>
  <c r="X161" i="3"/>
  <c r="W161" i="3"/>
  <c r="U161" i="3"/>
  <c r="R161" i="3"/>
  <c r="N161" i="3"/>
  <c r="O161" i="3" s="1"/>
  <c r="L161" i="3"/>
  <c r="I161" i="3"/>
  <c r="H161" i="3"/>
  <c r="F161" i="3"/>
  <c r="C161" i="3"/>
  <c r="AC160" i="3"/>
  <c r="AD160" i="3" s="1"/>
  <c r="AA160" i="3"/>
  <c r="X160" i="3"/>
  <c r="W160" i="3"/>
  <c r="U160" i="3"/>
  <c r="R160" i="3"/>
  <c r="O160" i="3"/>
  <c r="N160" i="3"/>
  <c r="L160" i="3"/>
  <c r="H160" i="3"/>
  <c r="I160" i="3" s="1"/>
  <c r="F160" i="3"/>
  <c r="C160" i="3"/>
  <c r="Z158" i="3"/>
  <c r="AA158" i="3" s="1"/>
  <c r="T158" i="3"/>
  <c r="W158" i="3" s="1"/>
  <c r="X158" i="3" s="1"/>
  <c r="Q158" i="3"/>
  <c r="R158" i="3" s="1"/>
  <c r="K158" i="3"/>
  <c r="L158" i="3" s="1"/>
  <c r="H158" i="3"/>
  <c r="I158" i="3" s="1"/>
  <c r="E158" i="3"/>
  <c r="F158" i="3" s="1"/>
  <c r="B158" i="3"/>
  <c r="C158" i="3" s="1"/>
  <c r="AC157" i="3"/>
  <c r="AD157" i="3" s="1"/>
  <c r="AA157" i="3"/>
  <c r="X157" i="3"/>
  <c r="W157" i="3"/>
  <c r="U157" i="3"/>
  <c r="R157" i="3"/>
  <c r="N157" i="3"/>
  <c r="O157" i="3" s="1"/>
  <c r="L157" i="3"/>
  <c r="I157" i="3"/>
  <c r="H157" i="3"/>
  <c r="F157" i="3"/>
  <c r="C157" i="3"/>
  <c r="AC156" i="3"/>
  <c r="AD156" i="3" s="1"/>
  <c r="AA156" i="3"/>
  <c r="W156" i="3"/>
  <c r="X156" i="3" s="1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W155" i="3"/>
  <c r="X155" i="3" s="1"/>
  <c r="U155" i="3"/>
  <c r="R155" i="3"/>
  <c r="O155" i="3"/>
  <c r="N155" i="3"/>
  <c r="L155" i="3"/>
  <c r="H155" i="3"/>
  <c r="I155" i="3" s="1"/>
  <c r="F155" i="3"/>
  <c r="C155" i="3"/>
  <c r="AC154" i="3"/>
  <c r="AD154" i="3" s="1"/>
  <c r="AA154" i="3"/>
  <c r="X154" i="3"/>
  <c r="W154" i="3"/>
  <c r="U154" i="3"/>
  <c r="R154" i="3"/>
  <c r="N154" i="3"/>
  <c r="O154" i="3" s="1"/>
  <c r="L154" i="3"/>
  <c r="H154" i="3"/>
  <c r="I154" i="3" s="1"/>
  <c r="F154" i="3"/>
  <c r="C154" i="3"/>
  <c r="AC153" i="3"/>
  <c r="AD153" i="3" s="1"/>
  <c r="AA153" i="3"/>
  <c r="X153" i="3"/>
  <c r="W153" i="3"/>
  <c r="U153" i="3"/>
  <c r="R153" i="3"/>
  <c r="N153" i="3"/>
  <c r="O153" i="3" s="1"/>
  <c r="L153" i="3"/>
  <c r="I153" i="3"/>
  <c r="H153" i="3"/>
  <c r="F153" i="3"/>
  <c r="C153" i="3"/>
  <c r="AC151" i="3"/>
  <c r="AD151" i="3" s="1"/>
  <c r="AA151" i="3"/>
  <c r="X151" i="3"/>
  <c r="W151" i="3"/>
  <c r="U151" i="3"/>
  <c r="R151" i="3"/>
  <c r="O151" i="3"/>
  <c r="N151" i="3"/>
  <c r="L151" i="3"/>
  <c r="H151" i="3"/>
  <c r="I151" i="3" s="1"/>
  <c r="F151" i="3"/>
  <c r="C151" i="3"/>
  <c r="Z149" i="3"/>
  <c r="AA149" i="3" s="1"/>
  <c r="T149" i="3"/>
  <c r="W149" i="3" s="1"/>
  <c r="X149" i="3" s="1"/>
  <c r="Q149" i="3"/>
  <c r="R149" i="3" s="1"/>
  <c r="K149" i="3"/>
  <c r="L149" i="3" s="1"/>
  <c r="H149" i="3"/>
  <c r="I149" i="3" s="1"/>
  <c r="E149" i="3"/>
  <c r="F149" i="3" s="1"/>
  <c r="B149" i="3"/>
  <c r="C149" i="3" s="1"/>
  <c r="Z148" i="3"/>
  <c r="T148" i="3"/>
  <c r="U148" i="3" s="1"/>
  <c r="Q148" i="3"/>
  <c r="W148" i="3" s="1"/>
  <c r="X148" i="3" s="1"/>
  <c r="N148" i="3"/>
  <c r="O148" i="3" s="1"/>
  <c r="K148" i="3"/>
  <c r="L148" i="3" s="1"/>
  <c r="E148" i="3"/>
  <c r="F148" i="3" s="1"/>
  <c r="B148" i="3"/>
  <c r="AC147" i="3"/>
  <c r="AD147" i="3" s="1"/>
  <c r="AA147" i="3"/>
  <c r="W147" i="3"/>
  <c r="X147" i="3" s="1"/>
  <c r="U147" i="3"/>
  <c r="R147" i="3"/>
  <c r="O147" i="3"/>
  <c r="N147" i="3"/>
  <c r="L147" i="3"/>
  <c r="H147" i="3"/>
  <c r="I147" i="3" s="1"/>
  <c r="F147" i="3"/>
  <c r="C147" i="3"/>
  <c r="AD146" i="3"/>
  <c r="AC146" i="3"/>
  <c r="AA146" i="3"/>
  <c r="X146" i="3"/>
  <c r="W146" i="3"/>
  <c r="U146" i="3"/>
  <c r="R146" i="3"/>
  <c r="N146" i="3"/>
  <c r="O146" i="3" s="1"/>
  <c r="L146" i="3"/>
  <c r="H146" i="3"/>
  <c r="I146" i="3" s="1"/>
  <c r="F146" i="3"/>
  <c r="C146" i="3"/>
  <c r="AD145" i="3"/>
  <c r="AC145" i="3"/>
  <c r="AA145" i="3"/>
  <c r="X145" i="3"/>
  <c r="W145" i="3"/>
  <c r="U145" i="3"/>
  <c r="R145" i="3"/>
  <c r="N145" i="3"/>
  <c r="O145" i="3" s="1"/>
  <c r="L145" i="3"/>
  <c r="H145" i="3"/>
  <c r="I145" i="3" s="1"/>
  <c r="F145" i="3"/>
  <c r="C145" i="3"/>
  <c r="AC144" i="3"/>
  <c r="AD144" i="3" s="1"/>
  <c r="AA144" i="3"/>
  <c r="W144" i="3"/>
  <c r="X144" i="3" s="1"/>
  <c r="U144" i="3"/>
  <c r="R144" i="3"/>
  <c r="O144" i="3"/>
  <c r="N144" i="3"/>
  <c r="L144" i="3"/>
  <c r="H144" i="3"/>
  <c r="I144" i="3" s="1"/>
  <c r="F144" i="3"/>
  <c r="C144" i="3"/>
  <c r="AC143" i="3"/>
  <c r="AD143" i="3" s="1"/>
  <c r="AA143" i="3"/>
  <c r="W143" i="3"/>
  <c r="X143" i="3" s="1"/>
  <c r="U143" i="3"/>
  <c r="R143" i="3"/>
  <c r="O143" i="3"/>
  <c r="N143" i="3"/>
  <c r="L143" i="3"/>
  <c r="H143" i="3"/>
  <c r="I143" i="3" s="1"/>
  <c r="F143" i="3"/>
  <c r="C143" i="3"/>
  <c r="Z141" i="3"/>
  <c r="AA141" i="3" s="1"/>
  <c r="U141" i="3"/>
  <c r="T141" i="3"/>
  <c r="Q141" i="3"/>
  <c r="W141" i="3" s="1"/>
  <c r="X141" i="3" s="1"/>
  <c r="K141" i="3"/>
  <c r="L141" i="3" s="1"/>
  <c r="E141" i="3"/>
  <c r="H141" i="3" s="1"/>
  <c r="I141" i="3" s="1"/>
  <c r="B141" i="3"/>
  <c r="C141" i="3" s="1"/>
  <c r="AC140" i="3"/>
  <c r="AD140" i="3" s="1"/>
  <c r="AA140" i="3"/>
  <c r="W140" i="3"/>
  <c r="X140" i="3" s="1"/>
  <c r="U140" i="3"/>
  <c r="R140" i="3"/>
  <c r="O140" i="3"/>
  <c r="N140" i="3"/>
  <c r="L140" i="3"/>
  <c r="I140" i="3"/>
  <c r="H140" i="3"/>
  <c r="F140" i="3"/>
  <c r="C140" i="3"/>
  <c r="AC139" i="3"/>
  <c r="AD139" i="3" s="1"/>
  <c r="AA139" i="3"/>
  <c r="W139" i="3"/>
  <c r="X139" i="3" s="1"/>
  <c r="U139" i="3"/>
  <c r="R139" i="3"/>
  <c r="O139" i="3"/>
  <c r="N139" i="3"/>
  <c r="L139" i="3"/>
  <c r="H139" i="3"/>
  <c r="I139" i="3" s="1"/>
  <c r="F139" i="3"/>
  <c r="C139" i="3"/>
  <c r="AC138" i="3"/>
  <c r="AD138" i="3" s="1"/>
  <c r="AA138" i="3"/>
  <c r="X138" i="3"/>
  <c r="W138" i="3"/>
  <c r="U138" i="3"/>
  <c r="R138" i="3"/>
  <c r="N138" i="3"/>
  <c r="O138" i="3" s="1"/>
  <c r="L138" i="3"/>
  <c r="H138" i="3"/>
  <c r="I138" i="3" s="1"/>
  <c r="F138" i="3"/>
  <c r="C138" i="3"/>
  <c r="AC137" i="3"/>
  <c r="AD137" i="3" s="1"/>
  <c r="AA137" i="3"/>
  <c r="X137" i="3"/>
  <c r="W137" i="3"/>
  <c r="U137" i="3"/>
  <c r="R137" i="3"/>
  <c r="N137" i="3"/>
  <c r="O137" i="3" s="1"/>
  <c r="L137" i="3"/>
  <c r="I137" i="3"/>
  <c r="H137" i="3"/>
  <c r="F137" i="3"/>
  <c r="C137" i="3"/>
  <c r="AC136" i="3"/>
  <c r="AD136" i="3" s="1"/>
  <c r="AA136" i="3"/>
  <c r="W136" i="3"/>
  <c r="X136" i="3" s="1"/>
  <c r="U136" i="3"/>
  <c r="R136" i="3"/>
  <c r="O136" i="3"/>
  <c r="N136" i="3"/>
  <c r="L136" i="3"/>
  <c r="I136" i="3"/>
  <c r="H136" i="3"/>
  <c r="F136" i="3"/>
  <c r="C136" i="3"/>
  <c r="AC135" i="3"/>
  <c r="AD135" i="3" s="1"/>
  <c r="AA135" i="3"/>
  <c r="W135" i="3"/>
  <c r="X135" i="3" s="1"/>
  <c r="U135" i="3"/>
  <c r="R135" i="3"/>
  <c r="O135" i="3"/>
  <c r="N135" i="3"/>
  <c r="L135" i="3"/>
  <c r="H135" i="3"/>
  <c r="I135" i="3" s="1"/>
  <c r="F135" i="3"/>
  <c r="C135" i="3"/>
  <c r="AC134" i="3"/>
  <c r="AD134" i="3" s="1"/>
  <c r="AA134" i="3"/>
  <c r="X134" i="3"/>
  <c r="W134" i="3"/>
  <c r="U134" i="3"/>
  <c r="R134" i="3"/>
  <c r="O134" i="3"/>
  <c r="N134" i="3"/>
  <c r="L134" i="3"/>
  <c r="H134" i="3"/>
  <c r="I134" i="3" s="1"/>
  <c r="F134" i="3"/>
  <c r="C134" i="3"/>
  <c r="AC133" i="3"/>
  <c r="AD133" i="3" s="1"/>
  <c r="AA133" i="3"/>
  <c r="X133" i="3"/>
  <c r="W133" i="3"/>
  <c r="U133" i="3"/>
  <c r="R133" i="3"/>
  <c r="N133" i="3"/>
  <c r="O133" i="3" s="1"/>
  <c r="L133" i="3"/>
  <c r="H133" i="3"/>
  <c r="I133" i="3" s="1"/>
  <c r="F133" i="3"/>
  <c r="C133" i="3"/>
  <c r="AC132" i="3"/>
  <c r="AD132" i="3" s="1"/>
  <c r="AA132" i="3"/>
  <c r="X132" i="3"/>
  <c r="W132" i="3"/>
  <c r="U132" i="3"/>
  <c r="R132" i="3"/>
  <c r="O132" i="3"/>
  <c r="N132" i="3"/>
  <c r="L132" i="3"/>
  <c r="H132" i="3"/>
  <c r="I132" i="3" s="1"/>
  <c r="F132" i="3"/>
  <c r="C132" i="3"/>
  <c r="AC131" i="3"/>
  <c r="AD131" i="3" s="1"/>
  <c r="AA131" i="3"/>
  <c r="W131" i="3"/>
  <c r="X131" i="3" s="1"/>
  <c r="U131" i="3"/>
  <c r="R131" i="3"/>
  <c r="O131" i="3"/>
  <c r="N131" i="3"/>
  <c r="L131" i="3"/>
  <c r="H131" i="3"/>
  <c r="I131" i="3" s="1"/>
  <c r="F131" i="3"/>
  <c r="C131" i="3"/>
  <c r="AC130" i="3"/>
  <c r="AD130" i="3" s="1"/>
  <c r="AA130" i="3"/>
  <c r="X130" i="3"/>
  <c r="W130" i="3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X129" i="3"/>
  <c r="W129" i="3"/>
  <c r="U129" i="3"/>
  <c r="R129" i="3"/>
  <c r="N129" i="3"/>
  <c r="O129" i="3" s="1"/>
  <c r="L129" i="3"/>
  <c r="H129" i="3"/>
  <c r="I129" i="3" s="1"/>
  <c r="F129" i="3"/>
  <c r="C129" i="3"/>
  <c r="AC127" i="3"/>
  <c r="AD127" i="3" s="1"/>
  <c r="AA127" i="3"/>
  <c r="W127" i="3"/>
  <c r="X127" i="3" s="1"/>
  <c r="U127" i="3"/>
  <c r="R127" i="3"/>
  <c r="O127" i="3"/>
  <c r="N127" i="3"/>
  <c r="L127" i="3"/>
  <c r="H127" i="3"/>
  <c r="I127" i="3" s="1"/>
  <c r="F127" i="3"/>
  <c r="C127" i="3"/>
  <c r="Z124" i="3"/>
  <c r="AA124" i="3" s="1"/>
  <c r="X124" i="3"/>
  <c r="W124" i="3"/>
  <c r="U124" i="3"/>
  <c r="T124" i="3"/>
  <c r="T172" i="3" s="1"/>
  <c r="Q124" i="3"/>
  <c r="Q172" i="3" s="1"/>
  <c r="L124" i="3"/>
  <c r="K124" i="3"/>
  <c r="K172" i="3" s="1"/>
  <c r="E124" i="3"/>
  <c r="B124" i="3"/>
  <c r="C124" i="3" s="1"/>
  <c r="AC123" i="3"/>
  <c r="AD123" i="3" s="1"/>
  <c r="AA123" i="3"/>
  <c r="X123" i="3"/>
  <c r="W123" i="3"/>
  <c r="U123" i="3"/>
  <c r="R123" i="3"/>
  <c r="N123" i="3"/>
  <c r="O123" i="3" s="1"/>
  <c r="L123" i="3"/>
  <c r="H123" i="3"/>
  <c r="I123" i="3" s="1"/>
  <c r="F123" i="3"/>
  <c r="C123" i="3"/>
  <c r="Z122" i="3"/>
  <c r="AA122" i="3" s="1"/>
  <c r="T122" i="3"/>
  <c r="Q122" i="3"/>
  <c r="R122" i="3" s="1"/>
  <c r="K122" i="3"/>
  <c r="L122" i="3" s="1"/>
  <c r="E122" i="3"/>
  <c r="F122" i="3" s="1"/>
  <c r="C122" i="3"/>
  <c r="B122" i="3"/>
  <c r="H122" i="3" s="1"/>
  <c r="I122" i="3" s="1"/>
  <c r="AD121" i="3"/>
  <c r="AC121" i="3"/>
  <c r="AA121" i="3"/>
  <c r="X121" i="3"/>
  <c r="W121" i="3"/>
  <c r="U121" i="3"/>
  <c r="R121" i="3"/>
  <c r="N121" i="3"/>
  <c r="O121" i="3" s="1"/>
  <c r="L121" i="3"/>
  <c r="H121" i="3"/>
  <c r="I121" i="3" s="1"/>
  <c r="F121" i="3"/>
  <c r="C121" i="3"/>
  <c r="AC120" i="3"/>
  <c r="AD120" i="3" s="1"/>
  <c r="AA120" i="3"/>
  <c r="X120" i="3"/>
  <c r="W120" i="3"/>
  <c r="U120" i="3"/>
  <c r="R120" i="3"/>
  <c r="N120" i="3"/>
  <c r="O120" i="3" s="1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C118" i="3"/>
  <c r="AD118" i="3" s="1"/>
  <c r="Z118" i="3"/>
  <c r="AA118" i="3" s="1"/>
  <c r="T118" i="3"/>
  <c r="U118" i="3" s="1"/>
  <c r="Q118" i="3"/>
  <c r="R118" i="3" s="1"/>
  <c r="K118" i="3"/>
  <c r="L118" i="3" s="1"/>
  <c r="H118" i="3"/>
  <c r="I118" i="3" s="1"/>
  <c r="E118" i="3"/>
  <c r="F118" i="3" s="1"/>
  <c r="B118" i="3"/>
  <c r="C118" i="3" s="1"/>
  <c r="AD117" i="3"/>
  <c r="AC117" i="3"/>
  <c r="AA117" i="3"/>
  <c r="X117" i="3"/>
  <c r="W117" i="3"/>
  <c r="U117" i="3"/>
  <c r="R117" i="3"/>
  <c r="N117" i="3"/>
  <c r="O117" i="3" s="1"/>
  <c r="L117" i="3"/>
  <c r="H117" i="3"/>
  <c r="I117" i="3" s="1"/>
  <c r="F117" i="3"/>
  <c r="C117" i="3"/>
  <c r="AC116" i="3"/>
  <c r="AD116" i="3" s="1"/>
  <c r="AA116" i="3"/>
  <c r="W116" i="3"/>
  <c r="X116" i="3" s="1"/>
  <c r="U116" i="3"/>
  <c r="R116" i="3"/>
  <c r="O116" i="3"/>
  <c r="N116" i="3"/>
  <c r="L116" i="3"/>
  <c r="H116" i="3"/>
  <c r="I116" i="3" s="1"/>
  <c r="F116" i="3"/>
  <c r="C116" i="3"/>
  <c r="AC115" i="3"/>
  <c r="AD115" i="3" s="1"/>
  <c r="AA115" i="3"/>
  <c r="W115" i="3"/>
  <c r="X115" i="3" s="1"/>
  <c r="U115" i="3"/>
  <c r="R115" i="3"/>
  <c r="O115" i="3"/>
  <c r="N115" i="3"/>
  <c r="L115" i="3"/>
  <c r="H115" i="3"/>
  <c r="I115" i="3" s="1"/>
  <c r="F115" i="3"/>
  <c r="C115" i="3"/>
  <c r="AD114" i="3"/>
  <c r="AC114" i="3"/>
  <c r="AA114" i="3"/>
  <c r="X114" i="3"/>
  <c r="W114" i="3"/>
  <c r="U114" i="3"/>
  <c r="R114" i="3"/>
  <c r="N114" i="3"/>
  <c r="O114" i="3" s="1"/>
  <c r="L114" i="3"/>
  <c r="H114" i="3"/>
  <c r="I114" i="3" s="1"/>
  <c r="F114" i="3"/>
  <c r="C114" i="3"/>
  <c r="AC113" i="3"/>
  <c r="AD113" i="3" s="1"/>
  <c r="AA113" i="3"/>
  <c r="X113" i="3"/>
  <c r="W113" i="3"/>
  <c r="U113" i="3"/>
  <c r="R113" i="3"/>
  <c r="N113" i="3"/>
  <c r="O113" i="3" s="1"/>
  <c r="L113" i="3"/>
  <c r="I113" i="3"/>
  <c r="H113" i="3"/>
  <c r="F113" i="3"/>
  <c r="C113" i="3"/>
  <c r="AC112" i="3"/>
  <c r="AD112" i="3" s="1"/>
  <c r="AA112" i="3"/>
  <c r="W112" i="3"/>
  <c r="X112" i="3" s="1"/>
  <c r="U112" i="3"/>
  <c r="R112" i="3"/>
  <c r="O112" i="3"/>
  <c r="N112" i="3"/>
  <c r="L112" i="3"/>
  <c r="I112" i="3"/>
  <c r="H112" i="3"/>
  <c r="F112" i="3"/>
  <c r="C112" i="3"/>
  <c r="AC111" i="3"/>
  <c r="AD111" i="3" s="1"/>
  <c r="AA111" i="3"/>
  <c r="W111" i="3"/>
  <c r="X111" i="3" s="1"/>
  <c r="U111" i="3"/>
  <c r="R111" i="3"/>
  <c r="O111" i="3"/>
  <c r="N111" i="3"/>
  <c r="L111" i="3"/>
  <c r="H111" i="3"/>
  <c r="I111" i="3" s="1"/>
  <c r="F111" i="3"/>
  <c r="C111" i="3"/>
  <c r="AC110" i="3"/>
  <c r="AD110" i="3" s="1"/>
  <c r="AA110" i="3"/>
  <c r="X110" i="3"/>
  <c r="W110" i="3"/>
  <c r="U110" i="3"/>
  <c r="R110" i="3"/>
  <c r="N110" i="3"/>
  <c r="O110" i="3" s="1"/>
  <c r="L110" i="3"/>
  <c r="H110" i="3"/>
  <c r="I110" i="3" s="1"/>
  <c r="F110" i="3"/>
  <c r="C110" i="3"/>
  <c r="AD109" i="3"/>
  <c r="AC109" i="3"/>
  <c r="AA109" i="3"/>
  <c r="X109" i="3"/>
  <c r="W109" i="3"/>
  <c r="U109" i="3"/>
  <c r="R109" i="3"/>
  <c r="N109" i="3"/>
  <c r="O109" i="3" s="1"/>
  <c r="L109" i="3"/>
  <c r="I109" i="3"/>
  <c r="H109" i="3"/>
  <c r="F109" i="3"/>
  <c r="C109" i="3"/>
  <c r="AC108" i="3"/>
  <c r="AD108" i="3" s="1"/>
  <c r="AA108" i="3"/>
  <c r="W108" i="3"/>
  <c r="X108" i="3" s="1"/>
  <c r="U108" i="3"/>
  <c r="R108" i="3"/>
  <c r="O108" i="3"/>
  <c r="N108" i="3"/>
  <c r="L108" i="3"/>
  <c r="H108" i="3"/>
  <c r="I108" i="3" s="1"/>
  <c r="F108" i="3"/>
  <c r="C108" i="3"/>
  <c r="AC107" i="3"/>
  <c r="AD107" i="3" s="1"/>
  <c r="AA107" i="3"/>
  <c r="W107" i="3"/>
  <c r="X107" i="3" s="1"/>
  <c r="U107" i="3"/>
  <c r="R107" i="3"/>
  <c r="O107" i="3"/>
  <c r="N107" i="3"/>
  <c r="L107" i="3"/>
  <c r="H107" i="3"/>
  <c r="I107" i="3" s="1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H106" i="3"/>
  <c r="I106" i="3" s="1"/>
  <c r="F106" i="3"/>
  <c r="C106" i="3"/>
  <c r="AC105" i="3"/>
  <c r="AD105" i="3" s="1"/>
  <c r="AA105" i="3"/>
  <c r="X105" i="3"/>
  <c r="W105" i="3"/>
  <c r="U105" i="3"/>
  <c r="R105" i="3"/>
  <c r="N105" i="3"/>
  <c r="O105" i="3" s="1"/>
  <c r="L105" i="3"/>
  <c r="H105" i="3"/>
  <c r="I105" i="3" s="1"/>
  <c r="F105" i="3"/>
  <c r="C105" i="3"/>
  <c r="AC104" i="3"/>
  <c r="AD104" i="3" s="1"/>
  <c r="AA104" i="3"/>
  <c r="X104" i="3"/>
  <c r="W104" i="3"/>
  <c r="U104" i="3"/>
  <c r="R104" i="3"/>
  <c r="O104" i="3"/>
  <c r="N104" i="3"/>
  <c r="L104" i="3"/>
  <c r="H104" i="3"/>
  <c r="I104" i="3" s="1"/>
  <c r="F104" i="3"/>
  <c r="C104" i="3"/>
  <c r="AC103" i="3"/>
  <c r="AD103" i="3" s="1"/>
  <c r="AA103" i="3"/>
  <c r="W103" i="3"/>
  <c r="X103" i="3" s="1"/>
  <c r="U103" i="3"/>
  <c r="R103" i="3"/>
  <c r="O103" i="3"/>
  <c r="N103" i="3"/>
  <c r="L103" i="3"/>
  <c r="H103" i="3"/>
  <c r="I103" i="3" s="1"/>
  <c r="F103" i="3"/>
  <c r="C103" i="3"/>
  <c r="AC102" i="3"/>
  <c r="AD102" i="3" s="1"/>
  <c r="AA102" i="3"/>
  <c r="X102" i="3"/>
  <c r="W102" i="3"/>
  <c r="U102" i="3"/>
  <c r="R102" i="3"/>
  <c r="N102" i="3"/>
  <c r="O102" i="3" s="1"/>
  <c r="L102" i="3"/>
  <c r="H102" i="3"/>
  <c r="I102" i="3" s="1"/>
  <c r="F102" i="3"/>
  <c r="C102" i="3"/>
  <c r="AD101" i="3"/>
  <c r="AC101" i="3"/>
  <c r="AA101" i="3"/>
  <c r="X101" i="3"/>
  <c r="W101" i="3"/>
  <c r="U101" i="3"/>
  <c r="R101" i="3"/>
  <c r="N101" i="3"/>
  <c r="O101" i="3" s="1"/>
  <c r="L101" i="3"/>
  <c r="H101" i="3"/>
  <c r="I101" i="3" s="1"/>
  <c r="F101" i="3"/>
  <c r="C101" i="3"/>
  <c r="AC100" i="3"/>
  <c r="AD100" i="3" s="1"/>
  <c r="AA100" i="3"/>
  <c r="W100" i="3"/>
  <c r="X100" i="3" s="1"/>
  <c r="U100" i="3"/>
  <c r="R100" i="3"/>
  <c r="O100" i="3"/>
  <c r="N100" i="3"/>
  <c r="L100" i="3"/>
  <c r="H100" i="3"/>
  <c r="I100" i="3" s="1"/>
  <c r="F100" i="3"/>
  <c r="C100" i="3"/>
  <c r="AC99" i="3"/>
  <c r="AD99" i="3" s="1"/>
  <c r="AA99" i="3"/>
  <c r="W99" i="3"/>
  <c r="X99" i="3" s="1"/>
  <c r="U99" i="3"/>
  <c r="R99" i="3"/>
  <c r="O99" i="3"/>
  <c r="N99" i="3"/>
  <c r="L99" i="3"/>
  <c r="H99" i="3"/>
  <c r="I99" i="3" s="1"/>
  <c r="F99" i="3"/>
  <c r="C99" i="3"/>
  <c r="AD98" i="3"/>
  <c r="AC98" i="3"/>
  <c r="AA98" i="3"/>
  <c r="X98" i="3"/>
  <c r="W98" i="3"/>
  <c r="U98" i="3"/>
  <c r="R98" i="3"/>
  <c r="O98" i="3"/>
  <c r="N98" i="3"/>
  <c r="L98" i="3"/>
  <c r="H98" i="3"/>
  <c r="I98" i="3" s="1"/>
  <c r="F98" i="3"/>
  <c r="C98" i="3"/>
  <c r="AD97" i="3"/>
  <c r="AC97" i="3"/>
  <c r="AA97" i="3"/>
  <c r="X97" i="3"/>
  <c r="W97" i="3"/>
  <c r="U97" i="3"/>
  <c r="R97" i="3"/>
  <c r="N97" i="3"/>
  <c r="O97" i="3" s="1"/>
  <c r="L97" i="3"/>
  <c r="H97" i="3"/>
  <c r="I97" i="3" s="1"/>
  <c r="F97" i="3"/>
  <c r="C97" i="3"/>
  <c r="AC96" i="3"/>
  <c r="AD96" i="3" s="1"/>
  <c r="AA96" i="3"/>
  <c r="W96" i="3"/>
  <c r="X96" i="3" s="1"/>
  <c r="U96" i="3"/>
  <c r="R96" i="3"/>
  <c r="O96" i="3"/>
  <c r="N96" i="3"/>
  <c r="L96" i="3"/>
  <c r="I96" i="3"/>
  <c r="H96" i="3"/>
  <c r="F96" i="3"/>
  <c r="C96" i="3"/>
  <c r="AC95" i="3"/>
  <c r="AD95" i="3" s="1"/>
  <c r="AA95" i="3"/>
  <c r="W95" i="3"/>
  <c r="X95" i="3" s="1"/>
  <c r="U95" i="3"/>
  <c r="R95" i="3"/>
  <c r="O95" i="3"/>
  <c r="N95" i="3"/>
  <c r="L95" i="3"/>
  <c r="H95" i="3"/>
  <c r="I95" i="3" s="1"/>
  <c r="F95" i="3"/>
  <c r="C95" i="3"/>
  <c r="AC94" i="3"/>
  <c r="AD94" i="3" s="1"/>
  <c r="AA94" i="3"/>
  <c r="X94" i="3"/>
  <c r="W94" i="3"/>
  <c r="U94" i="3"/>
  <c r="R94" i="3"/>
  <c r="N94" i="3"/>
  <c r="O94" i="3" s="1"/>
  <c r="L94" i="3"/>
  <c r="H94" i="3"/>
  <c r="I94" i="3" s="1"/>
  <c r="F94" i="3"/>
  <c r="C94" i="3"/>
  <c r="AC92" i="3"/>
  <c r="AD92" i="3" s="1"/>
  <c r="AA92" i="3"/>
  <c r="X92" i="3"/>
  <c r="W92" i="3"/>
  <c r="U92" i="3"/>
  <c r="R92" i="3"/>
  <c r="N92" i="3"/>
  <c r="O92" i="3" s="1"/>
  <c r="L92" i="3"/>
  <c r="I92" i="3"/>
  <c r="H92" i="3"/>
  <c r="F92" i="3"/>
  <c r="C92" i="3"/>
  <c r="AC91" i="3"/>
  <c r="AD91" i="3" s="1"/>
  <c r="AA91" i="3"/>
  <c r="W91" i="3"/>
  <c r="X91" i="3" s="1"/>
  <c r="U91" i="3"/>
  <c r="R91" i="3"/>
  <c r="O91" i="3"/>
  <c r="N91" i="3"/>
  <c r="L91" i="3"/>
  <c r="H91" i="3"/>
  <c r="I91" i="3" s="1"/>
  <c r="F91" i="3"/>
  <c r="C91" i="3"/>
  <c r="AC90" i="3"/>
  <c r="AD90" i="3" s="1"/>
  <c r="AA90" i="3"/>
  <c r="W90" i="3"/>
  <c r="X90" i="3" s="1"/>
  <c r="U90" i="3"/>
  <c r="R90" i="3"/>
  <c r="O90" i="3"/>
  <c r="N90" i="3"/>
  <c r="L90" i="3"/>
  <c r="H90" i="3"/>
  <c r="I90" i="3" s="1"/>
  <c r="F90" i="3"/>
  <c r="C90" i="3"/>
  <c r="AC89" i="3"/>
  <c r="AD89" i="3" s="1"/>
  <c r="AA89" i="3"/>
  <c r="X89" i="3"/>
  <c r="W89" i="3"/>
  <c r="U89" i="3"/>
  <c r="R89" i="3"/>
  <c r="O89" i="3"/>
  <c r="N89" i="3"/>
  <c r="L89" i="3"/>
  <c r="H89" i="3"/>
  <c r="I89" i="3" s="1"/>
  <c r="F89" i="3"/>
  <c r="C89" i="3"/>
  <c r="AA88" i="3"/>
  <c r="Z88" i="3"/>
  <c r="W88" i="3"/>
  <c r="X88" i="3" s="1"/>
  <c r="T88" i="3"/>
  <c r="U88" i="3" s="1"/>
  <c r="Q88" i="3"/>
  <c r="AC88" i="3" s="1"/>
  <c r="AD88" i="3" s="1"/>
  <c r="K88" i="3"/>
  <c r="L88" i="3" s="1"/>
  <c r="E88" i="3"/>
  <c r="F88" i="3" s="1"/>
  <c r="C88" i="3"/>
  <c r="B88" i="3"/>
  <c r="AC87" i="3"/>
  <c r="AD87" i="3" s="1"/>
  <c r="AA87" i="3"/>
  <c r="W87" i="3"/>
  <c r="X87" i="3" s="1"/>
  <c r="U87" i="3"/>
  <c r="R87" i="3"/>
  <c r="O87" i="3"/>
  <c r="N87" i="3"/>
  <c r="L87" i="3"/>
  <c r="H87" i="3"/>
  <c r="I87" i="3" s="1"/>
  <c r="F87" i="3"/>
  <c r="C87" i="3"/>
  <c r="AD86" i="3"/>
  <c r="AC86" i="3"/>
  <c r="AA86" i="3"/>
  <c r="X86" i="3"/>
  <c r="W86" i="3"/>
  <c r="U86" i="3"/>
  <c r="R86" i="3"/>
  <c r="N86" i="3"/>
  <c r="O86" i="3" s="1"/>
  <c r="L86" i="3"/>
  <c r="H86" i="3"/>
  <c r="I86" i="3" s="1"/>
  <c r="F86" i="3"/>
  <c r="C86" i="3"/>
  <c r="AD85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C84" i="3"/>
  <c r="AD84" i="3" s="1"/>
  <c r="AA84" i="3"/>
  <c r="W84" i="3"/>
  <c r="X84" i="3" s="1"/>
  <c r="U84" i="3"/>
  <c r="R84" i="3"/>
  <c r="O84" i="3"/>
  <c r="N84" i="3"/>
  <c r="L84" i="3"/>
  <c r="H84" i="3"/>
  <c r="I84" i="3" s="1"/>
  <c r="F84" i="3"/>
  <c r="C84" i="3"/>
  <c r="AC83" i="3"/>
  <c r="AD83" i="3" s="1"/>
  <c r="AA83" i="3"/>
  <c r="W83" i="3"/>
  <c r="X83" i="3" s="1"/>
  <c r="U83" i="3"/>
  <c r="R83" i="3"/>
  <c r="O83" i="3"/>
  <c r="N83" i="3"/>
  <c r="L83" i="3"/>
  <c r="H83" i="3"/>
  <c r="I83" i="3" s="1"/>
  <c r="F83" i="3"/>
  <c r="C83" i="3"/>
  <c r="AC82" i="3"/>
  <c r="AD82" i="3" s="1"/>
  <c r="AA82" i="3"/>
  <c r="X82" i="3"/>
  <c r="W82" i="3"/>
  <c r="U82" i="3"/>
  <c r="R82" i="3"/>
  <c r="N82" i="3"/>
  <c r="O82" i="3" s="1"/>
  <c r="L82" i="3"/>
  <c r="H82" i="3"/>
  <c r="I82" i="3" s="1"/>
  <c r="F82" i="3"/>
  <c r="C82" i="3"/>
  <c r="AC81" i="3"/>
  <c r="AD81" i="3" s="1"/>
  <c r="AA81" i="3"/>
  <c r="X81" i="3"/>
  <c r="W81" i="3"/>
  <c r="U81" i="3"/>
  <c r="R81" i="3"/>
  <c r="N81" i="3"/>
  <c r="O81" i="3" s="1"/>
  <c r="L81" i="3"/>
  <c r="I81" i="3"/>
  <c r="H81" i="3"/>
  <c r="F81" i="3"/>
  <c r="C81" i="3"/>
  <c r="AC80" i="3"/>
  <c r="AD80" i="3" s="1"/>
  <c r="AA80" i="3"/>
  <c r="X80" i="3"/>
  <c r="W80" i="3"/>
  <c r="U80" i="3"/>
  <c r="R80" i="3"/>
  <c r="O80" i="3"/>
  <c r="N80" i="3"/>
  <c r="L80" i="3"/>
  <c r="I80" i="3"/>
  <c r="H80" i="3"/>
  <c r="F80" i="3"/>
  <c r="C80" i="3"/>
  <c r="AC79" i="3"/>
  <c r="AD79" i="3" s="1"/>
  <c r="AA79" i="3"/>
  <c r="W79" i="3"/>
  <c r="X79" i="3" s="1"/>
  <c r="U79" i="3"/>
  <c r="R79" i="3"/>
  <c r="O79" i="3"/>
  <c r="N79" i="3"/>
  <c r="L79" i="3"/>
  <c r="H79" i="3"/>
  <c r="I79" i="3" s="1"/>
  <c r="F79" i="3"/>
  <c r="C79" i="3"/>
  <c r="AC78" i="3"/>
  <c r="AD78" i="3" s="1"/>
  <c r="AA78" i="3"/>
  <c r="X78" i="3"/>
  <c r="W78" i="3"/>
  <c r="U78" i="3"/>
  <c r="R78" i="3"/>
  <c r="N78" i="3"/>
  <c r="O78" i="3" s="1"/>
  <c r="L78" i="3"/>
  <c r="H78" i="3"/>
  <c r="I78" i="3" s="1"/>
  <c r="F78" i="3"/>
  <c r="C78" i="3"/>
  <c r="AC77" i="3"/>
  <c r="AD77" i="3" s="1"/>
  <c r="AA77" i="3"/>
  <c r="X77" i="3"/>
  <c r="W77" i="3"/>
  <c r="U77" i="3"/>
  <c r="R77" i="3"/>
  <c r="N77" i="3"/>
  <c r="O77" i="3" s="1"/>
  <c r="L77" i="3"/>
  <c r="I77" i="3"/>
  <c r="H77" i="3"/>
  <c r="F77" i="3"/>
  <c r="C77" i="3"/>
  <c r="AC76" i="3"/>
  <c r="AD76" i="3" s="1"/>
  <c r="AA76" i="3"/>
  <c r="X76" i="3"/>
  <c r="W76" i="3"/>
  <c r="U76" i="3"/>
  <c r="R76" i="3"/>
  <c r="O76" i="3"/>
  <c r="N76" i="3"/>
  <c r="L76" i="3"/>
  <c r="H76" i="3"/>
  <c r="I76" i="3" s="1"/>
  <c r="F76" i="3"/>
  <c r="C76" i="3"/>
  <c r="AC75" i="3"/>
  <c r="AD75" i="3" s="1"/>
  <c r="AA75" i="3"/>
  <c r="W75" i="3"/>
  <c r="X75" i="3" s="1"/>
  <c r="U75" i="3"/>
  <c r="R75" i="3"/>
  <c r="O75" i="3"/>
  <c r="N75" i="3"/>
  <c r="L75" i="3"/>
  <c r="H75" i="3"/>
  <c r="I75" i="3" s="1"/>
  <c r="F75" i="3"/>
  <c r="C75" i="3"/>
  <c r="Z73" i="3"/>
  <c r="AA73" i="3" s="1"/>
  <c r="T73" i="3"/>
  <c r="U73" i="3" s="1"/>
  <c r="Q73" i="3"/>
  <c r="N73" i="3"/>
  <c r="O73" i="3" s="1"/>
  <c r="K73" i="3"/>
  <c r="L73" i="3" s="1"/>
  <c r="E73" i="3"/>
  <c r="F73" i="3" s="1"/>
  <c r="B73" i="3"/>
  <c r="AC72" i="3"/>
  <c r="AD72" i="3" s="1"/>
  <c r="AA72" i="3"/>
  <c r="X72" i="3"/>
  <c r="W72" i="3"/>
  <c r="U72" i="3"/>
  <c r="R72" i="3"/>
  <c r="O72" i="3"/>
  <c r="N72" i="3"/>
  <c r="L72" i="3"/>
  <c r="I72" i="3"/>
  <c r="H72" i="3"/>
  <c r="F72" i="3"/>
  <c r="C72" i="3"/>
  <c r="AC71" i="3"/>
  <c r="AD71" i="3" s="1"/>
  <c r="AA71" i="3"/>
  <c r="W71" i="3"/>
  <c r="X71" i="3" s="1"/>
  <c r="U71" i="3"/>
  <c r="R71" i="3"/>
  <c r="O71" i="3"/>
  <c r="N71" i="3"/>
  <c r="L71" i="3"/>
  <c r="H71" i="3"/>
  <c r="I71" i="3" s="1"/>
  <c r="F71" i="3"/>
  <c r="C71" i="3"/>
  <c r="AC70" i="3"/>
  <c r="AD70" i="3" s="1"/>
  <c r="AA70" i="3"/>
  <c r="X70" i="3"/>
  <c r="W70" i="3"/>
  <c r="U70" i="3"/>
  <c r="R70" i="3"/>
  <c r="N70" i="3"/>
  <c r="O70" i="3" s="1"/>
  <c r="L70" i="3"/>
  <c r="H70" i="3"/>
  <c r="I70" i="3" s="1"/>
  <c r="F70" i="3"/>
  <c r="C70" i="3"/>
  <c r="AC69" i="3"/>
  <c r="AD69" i="3" s="1"/>
  <c r="AA69" i="3"/>
  <c r="X69" i="3"/>
  <c r="W69" i="3"/>
  <c r="U69" i="3"/>
  <c r="R69" i="3"/>
  <c r="N69" i="3"/>
  <c r="O69" i="3" s="1"/>
  <c r="L69" i="3"/>
  <c r="I69" i="3"/>
  <c r="H69" i="3"/>
  <c r="F69" i="3"/>
  <c r="C69" i="3"/>
  <c r="AC68" i="3"/>
  <c r="AD68" i="3" s="1"/>
  <c r="AA68" i="3"/>
  <c r="X68" i="3"/>
  <c r="W68" i="3"/>
  <c r="U68" i="3"/>
  <c r="R68" i="3"/>
  <c r="O68" i="3"/>
  <c r="N68" i="3"/>
  <c r="L68" i="3"/>
  <c r="H68" i="3"/>
  <c r="I68" i="3" s="1"/>
  <c r="F68" i="3"/>
  <c r="C68" i="3"/>
  <c r="AC67" i="3"/>
  <c r="AD67" i="3" s="1"/>
  <c r="AA67" i="3"/>
  <c r="W67" i="3"/>
  <c r="X67" i="3" s="1"/>
  <c r="U67" i="3"/>
  <c r="R67" i="3"/>
  <c r="O67" i="3"/>
  <c r="N67" i="3"/>
  <c r="L67" i="3"/>
  <c r="H67" i="3"/>
  <c r="I67" i="3" s="1"/>
  <c r="F67" i="3"/>
  <c r="C67" i="3"/>
  <c r="AD66" i="3"/>
  <c r="AC66" i="3"/>
  <c r="AA66" i="3"/>
  <c r="X66" i="3"/>
  <c r="W66" i="3"/>
  <c r="U66" i="3"/>
  <c r="R66" i="3"/>
  <c r="O66" i="3"/>
  <c r="N66" i="3"/>
  <c r="L66" i="3"/>
  <c r="H66" i="3"/>
  <c r="I66" i="3" s="1"/>
  <c r="F66" i="3"/>
  <c r="C66" i="3"/>
  <c r="AD65" i="3"/>
  <c r="AC65" i="3"/>
  <c r="AA65" i="3"/>
  <c r="X65" i="3"/>
  <c r="W65" i="3"/>
  <c r="U65" i="3"/>
  <c r="R65" i="3"/>
  <c r="N65" i="3"/>
  <c r="O65" i="3" s="1"/>
  <c r="L65" i="3"/>
  <c r="H65" i="3"/>
  <c r="I65" i="3" s="1"/>
  <c r="F65" i="3"/>
  <c r="C65" i="3"/>
  <c r="AC64" i="3"/>
  <c r="AD64" i="3" s="1"/>
  <c r="AA64" i="3"/>
  <c r="W64" i="3"/>
  <c r="X64" i="3" s="1"/>
  <c r="U64" i="3"/>
  <c r="R64" i="3"/>
  <c r="O64" i="3"/>
  <c r="N64" i="3"/>
  <c r="L64" i="3"/>
  <c r="H64" i="3"/>
  <c r="I64" i="3" s="1"/>
  <c r="F64" i="3"/>
  <c r="C64" i="3"/>
  <c r="Z62" i="3"/>
  <c r="AA62" i="3" s="1"/>
  <c r="T62" i="3"/>
  <c r="U62" i="3" s="1"/>
  <c r="Q62" i="3"/>
  <c r="K62" i="3"/>
  <c r="L62" i="3" s="1"/>
  <c r="E62" i="3"/>
  <c r="F62" i="3" s="1"/>
  <c r="B62" i="3"/>
  <c r="C62" i="3" s="1"/>
  <c r="Z61" i="3"/>
  <c r="AC61" i="3" s="1"/>
  <c r="AD61" i="3" s="1"/>
  <c r="T61" i="3"/>
  <c r="U61" i="3" s="1"/>
  <c r="R61" i="3"/>
  <c r="Q61" i="3"/>
  <c r="W61" i="3" s="1"/>
  <c r="X61" i="3" s="1"/>
  <c r="K61" i="3"/>
  <c r="L61" i="3" s="1"/>
  <c r="F61" i="3"/>
  <c r="E61" i="3"/>
  <c r="B61" i="3"/>
  <c r="H61" i="3" s="1"/>
  <c r="I61" i="3" s="1"/>
  <c r="AC60" i="3"/>
  <c r="AD60" i="3" s="1"/>
  <c r="AA60" i="3"/>
  <c r="W60" i="3"/>
  <c r="X60" i="3" s="1"/>
  <c r="U60" i="3"/>
  <c r="R60" i="3"/>
  <c r="O60" i="3"/>
  <c r="N60" i="3"/>
  <c r="L60" i="3"/>
  <c r="H60" i="3"/>
  <c r="I60" i="3" s="1"/>
  <c r="F60" i="3"/>
  <c r="C60" i="3"/>
  <c r="AC59" i="3"/>
  <c r="AD59" i="3" s="1"/>
  <c r="AA59" i="3"/>
  <c r="X59" i="3"/>
  <c r="W59" i="3"/>
  <c r="U59" i="3"/>
  <c r="R59" i="3"/>
  <c r="O59" i="3"/>
  <c r="N59" i="3"/>
  <c r="L59" i="3"/>
  <c r="H59" i="3"/>
  <c r="I59" i="3" s="1"/>
  <c r="F59" i="3"/>
  <c r="C59" i="3"/>
  <c r="AC58" i="3"/>
  <c r="AD58" i="3" s="1"/>
  <c r="AA58" i="3"/>
  <c r="X58" i="3"/>
  <c r="W58" i="3"/>
  <c r="U58" i="3"/>
  <c r="R58" i="3"/>
  <c r="N58" i="3"/>
  <c r="O58" i="3" s="1"/>
  <c r="L58" i="3"/>
  <c r="I58" i="3"/>
  <c r="H58" i="3"/>
  <c r="F58" i="3"/>
  <c r="C58" i="3"/>
  <c r="AC57" i="3"/>
  <c r="AD57" i="3" s="1"/>
  <c r="AA57" i="3"/>
  <c r="X57" i="3"/>
  <c r="W57" i="3"/>
  <c r="U57" i="3"/>
  <c r="R57" i="3"/>
  <c r="O57" i="3"/>
  <c r="N57" i="3"/>
  <c r="L57" i="3"/>
  <c r="H57" i="3"/>
  <c r="I57" i="3" s="1"/>
  <c r="F57" i="3"/>
  <c r="C57" i="3"/>
  <c r="AC56" i="3"/>
  <c r="AD56" i="3" s="1"/>
  <c r="AA56" i="3"/>
  <c r="W56" i="3"/>
  <c r="X56" i="3" s="1"/>
  <c r="U56" i="3"/>
  <c r="R56" i="3"/>
  <c r="O56" i="3"/>
  <c r="N56" i="3"/>
  <c r="L56" i="3"/>
  <c r="H56" i="3"/>
  <c r="I56" i="3" s="1"/>
  <c r="F56" i="3"/>
  <c r="C56" i="3"/>
  <c r="AD55" i="3"/>
  <c r="AC55" i="3"/>
  <c r="AA55" i="3"/>
  <c r="X55" i="3"/>
  <c r="W55" i="3"/>
  <c r="U55" i="3"/>
  <c r="R55" i="3"/>
  <c r="O55" i="3"/>
  <c r="N55" i="3"/>
  <c r="L55" i="3"/>
  <c r="H55" i="3"/>
  <c r="I55" i="3" s="1"/>
  <c r="F55" i="3"/>
  <c r="C55" i="3"/>
  <c r="AD54" i="3"/>
  <c r="AC54" i="3"/>
  <c r="AA54" i="3"/>
  <c r="X54" i="3"/>
  <c r="W54" i="3"/>
  <c r="U54" i="3"/>
  <c r="R54" i="3"/>
  <c r="N54" i="3"/>
  <c r="O54" i="3" s="1"/>
  <c r="L54" i="3"/>
  <c r="H54" i="3"/>
  <c r="I54" i="3" s="1"/>
  <c r="F54" i="3"/>
  <c r="C54" i="3"/>
  <c r="AC53" i="3"/>
  <c r="AD53" i="3" s="1"/>
  <c r="AA53" i="3"/>
  <c r="W53" i="3"/>
  <c r="X53" i="3" s="1"/>
  <c r="U53" i="3"/>
  <c r="R53" i="3"/>
  <c r="O53" i="3"/>
  <c r="N53" i="3"/>
  <c r="L53" i="3"/>
  <c r="H53" i="3"/>
  <c r="I53" i="3" s="1"/>
  <c r="F53" i="3"/>
  <c r="C53" i="3"/>
  <c r="AC52" i="3"/>
  <c r="AD52" i="3" s="1"/>
  <c r="AA52" i="3"/>
  <c r="W52" i="3"/>
  <c r="X52" i="3" s="1"/>
  <c r="U52" i="3"/>
  <c r="R52" i="3"/>
  <c r="O52" i="3"/>
  <c r="N52" i="3"/>
  <c r="L52" i="3"/>
  <c r="H52" i="3"/>
  <c r="I52" i="3" s="1"/>
  <c r="F52" i="3"/>
  <c r="C52" i="3"/>
  <c r="AD51" i="3"/>
  <c r="AC51" i="3"/>
  <c r="AA51" i="3"/>
  <c r="X51" i="3"/>
  <c r="W51" i="3"/>
  <c r="U51" i="3"/>
  <c r="R51" i="3"/>
  <c r="N51" i="3"/>
  <c r="O51" i="3" s="1"/>
  <c r="L51" i="3"/>
  <c r="H51" i="3"/>
  <c r="I51" i="3" s="1"/>
  <c r="F51" i="3"/>
  <c r="C51" i="3"/>
  <c r="AD50" i="3"/>
  <c r="AC50" i="3"/>
  <c r="AA50" i="3"/>
  <c r="X50" i="3"/>
  <c r="W50" i="3"/>
  <c r="U50" i="3"/>
  <c r="R50" i="3"/>
  <c r="N50" i="3"/>
  <c r="O50" i="3" s="1"/>
  <c r="L50" i="3"/>
  <c r="I50" i="3"/>
  <c r="H50" i="3"/>
  <c r="F50" i="3"/>
  <c r="C50" i="3"/>
  <c r="AC49" i="3"/>
  <c r="AD49" i="3" s="1"/>
  <c r="AA49" i="3"/>
  <c r="W49" i="3"/>
  <c r="X49" i="3" s="1"/>
  <c r="U49" i="3"/>
  <c r="R49" i="3"/>
  <c r="O49" i="3"/>
  <c r="N49" i="3"/>
  <c r="L49" i="3"/>
  <c r="H49" i="3"/>
  <c r="I49" i="3" s="1"/>
  <c r="F49" i="3"/>
  <c r="C49" i="3"/>
  <c r="AC48" i="3"/>
  <c r="AD48" i="3" s="1"/>
  <c r="AA48" i="3"/>
  <c r="W48" i="3"/>
  <c r="X48" i="3" s="1"/>
  <c r="U48" i="3"/>
  <c r="R48" i="3"/>
  <c r="O48" i="3"/>
  <c r="N48" i="3"/>
  <c r="L48" i="3"/>
  <c r="H48" i="3"/>
  <c r="I48" i="3" s="1"/>
  <c r="F48" i="3"/>
  <c r="C48" i="3"/>
  <c r="AC47" i="3"/>
  <c r="AD47" i="3" s="1"/>
  <c r="AA47" i="3"/>
  <c r="X47" i="3"/>
  <c r="W47" i="3"/>
  <c r="U47" i="3"/>
  <c r="R47" i="3"/>
  <c r="N47" i="3"/>
  <c r="O47" i="3" s="1"/>
  <c r="L47" i="3"/>
  <c r="H47" i="3"/>
  <c r="I47" i="3" s="1"/>
  <c r="F47" i="3"/>
  <c r="C47" i="3"/>
  <c r="AC46" i="3"/>
  <c r="AD46" i="3" s="1"/>
  <c r="AA46" i="3"/>
  <c r="X46" i="3"/>
  <c r="W46" i="3"/>
  <c r="U46" i="3"/>
  <c r="R46" i="3"/>
  <c r="N46" i="3"/>
  <c r="O46" i="3" s="1"/>
  <c r="L46" i="3"/>
  <c r="I46" i="3"/>
  <c r="H46" i="3"/>
  <c r="F46" i="3"/>
  <c r="C46" i="3"/>
  <c r="AC44" i="3"/>
  <c r="AD44" i="3" s="1"/>
  <c r="AA44" i="3"/>
  <c r="X44" i="3"/>
  <c r="W44" i="3"/>
  <c r="U44" i="3"/>
  <c r="R44" i="3"/>
  <c r="O44" i="3"/>
  <c r="N44" i="3"/>
  <c r="L44" i="3"/>
  <c r="I44" i="3"/>
  <c r="H44" i="3"/>
  <c r="F44" i="3"/>
  <c r="C44" i="3"/>
  <c r="AC43" i="3"/>
  <c r="AD43" i="3" s="1"/>
  <c r="AA43" i="3"/>
  <c r="W43" i="3"/>
  <c r="X43" i="3" s="1"/>
  <c r="U43" i="3"/>
  <c r="R43" i="3"/>
  <c r="O43" i="3"/>
  <c r="N43" i="3"/>
  <c r="L43" i="3"/>
  <c r="H43" i="3"/>
  <c r="I43" i="3" s="1"/>
  <c r="F43" i="3"/>
  <c r="C43" i="3"/>
  <c r="AC42" i="3"/>
  <c r="AD42" i="3" s="1"/>
  <c r="AA42" i="3"/>
  <c r="X42" i="3"/>
  <c r="W42" i="3"/>
  <c r="U42" i="3"/>
  <c r="R42" i="3"/>
  <c r="O42" i="3"/>
  <c r="N42" i="3"/>
  <c r="L42" i="3"/>
  <c r="H42" i="3"/>
  <c r="I42" i="3" s="1"/>
  <c r="F42" i="3"/>
  <c r="C42" i="3"/>
  <c r="AC40" i="3"/>
  <c r="AD40" i="3" s="1"/>
  <c r="Z40" i="3"/>
  <c r="AA40" i="3" s="1"/>
  <c r="W40" i="3"/>
  <c r="X40" i="3" s="1"/>
  <c r="T40" i="3"/>
  <c r="U40" i="3" s="1"/>
  <c r="Q40" i="3"/>
  <c r="R40" i="3" s="1"/>
  <c r="N40" i="3"/>
  <c r="O40" i="3" s="1"/>
  <c r="K40" i="3"/>
  <c r="L40" i="3" s="1"/>
  <c r="F40" i="3"/>
  <c r="E40" i="3"/>
  <c r="C40" i="3"/>
  <c r="B40" i="3"/>
  <c r="AC39" i="3"/>
  <c r="AD39" i="3" s="1"/>
  <c r="AA39" i="3"/>
  <c r="W39" i="3"/>
  <c r="X39" i="3" s="1"/>
  <c r="U39" i="3"/>
  <c r="R39" i="3"/>
  <c r="O39" i="3"/>
  <c r="N39" i="3"/>
  <c r="L39" i="3"/>
  <c r="H39" i="3"/>
  <c r="I39" i="3" s="1"/>
  <c r="F39" i="3"/>
  <c r="C39" i="3"/>
  <c r="AC38" i="3"/>
  <c r="AD38" i="3" s="1"/>
  <c r="AA38" i="3"/>
  <c r="X38" i="3"/>
  <c r="W38" i="3"/>
  <c r="U38" i="3"/>
  <c r="R38" i="3"/>
  <c r="O38" i="3"/>
  <c r="N38" i="3"/>
  <c r="L38" i="3"/>
  <c r="I38" i="3"/>
  <c r="H38" i="3"/>
  <c r="F38" i="3"/>
  <c r="C38" i="3"/>
  <c r="AC37" i="3"/>
  <c r="AD37" i="3" s="1"/>
  <c r="AA37" i="3"/>
  <c r="W37" i="3"/>
  <c r="X37" i="3" s="1"/>
  <c r="U37" i="3"/>
  <c r="R37" i="3"/>
  <c r="N37" i="3"/>
  <c r="O37" i="3" s="1"/>
  <c r="L37" i="3"/>
  <c r="H37" i="3"/>
  <c r="I37" i="3" s="1"/>
  <c r="F37" i="3"/>
  <c r="C37" i="3"/>
  <c r="AC36" i="3"/>
  <c r="AD36" i="3" s="1"/>
  <c r="AA36" i="3"/>
  <c r="X36" i="3"/>
  <c r="W36" i="3"/>
  <c r="U36" i="3"/>
  <c r="R36" i="3"/>
  <c r="O36" i="3"/>
  <c r="N36" i="3"/>
  <c r="L36" i="3"/>
  <c r="H36" i="3"/>
  <c r="I36" i="3" s="1"/>
  <c r="F36" i="3"/>
  <c r="C36" i="3"/>
  <c r="AC35" i="3"/>
  <c r="AD35" i="3" s="1"/>
  <c r="AA35" i="3"/>
  <c r="W35" i="3"/>
  <c r="X35" i="3" s="1"/>
  <c r="U35" i="3"/>
  <c r="R35" i="3"/>
  <c r="N35" i="3"/>
  <c r="O35" i="3" s="1"/>
  <c r="L35" i="3"/>
  <c r="H35" i="3"/>
  <c r="I35" i="3" s="1"/>
  <c r="F35" i="3"/>
  <c r="C35" i="3"/>
  <c r="AC34" i="3"/>
  <c r="AD34" i="3" s="1"/>
  <c r="AA34" i="3"/>
  <c r="X34" i="3"/>
  <c r="W34" i="3"/>
  <c r="U34" i="3"/>
  <c r="R34" i="3"/>
  <c r="O34" i="3"/>
  <c r="N34" i="3"/>
  <c r="L34" i="3"/>
  <c r="H34" i="3"/>
  <c r="I34" i="3" s="1"/>
  <c r="F34" i="3"/>
  <c r="C34" i="3"/>
  <c r="AD33" i="3"/>
  <c r="AC33" i="3"/>
  <c r="AA33" i="3"/>
  <c r="X33" i="3"/>
  <c r="W33" i="3"/>
  <c r="U33" i="3"/>
  <c r="R33" i="3"/>
  <c r="N33" i="3"/>
  <c r="O33" i="3" s="1"/>
  <c r="L33" i="3"/>
  <c r="I33" i="3"/>
  <c r="H33" i="3"/>
  <c r="F33" i="3"/>
  <c r="C33" i="3"/>
  <c r="AC32" i="3"/>
  <c r="AD32" i="3" s="1"/>
  <c r="AA32" i="3"/>
  <c r="W32" i="3"/>
  <c r="X32" i="3" s="1"/>
  <c r="U32" i="3"/>
  <c r="R32" i="3"/>
  <c r="O32" i="3"/>
  <c r="N32" i="3"/>
  <c r="L32" i="3"/>
  <c r="H32" i="3"/>
  <c r="I32" i="3" s="1"/>
  <c r="F32" i="3"/>
  <c r="C32" i="3"/>
  <c r="AC31" i="3"/>
  <c r="AD31" i="3" s="1"/>
  <c r="AA31" i="3"/>
  <c r="W31" i="3"/>
  <c r="X31" i="3" s="1"/>
  <c r="U31" i="3"/>
  <c r="R31" i="3"/>
  <c r="O31" i="3"/>
  <c r="N31" i="3"/>
  <c r="L31" i="3"/>
  <c r="H31" i="3"/>
  <c r="I31" i="3" s="1"/>
  <c r="F31" i="3"/>
  <c r="C31" i="3"/>
  <c r="AA29" i="3"/>
  <c r="Z29" i="3"/>
  <c r="T29" i="3"/>
  <c r="U29" i="3" s="1"/>
  <c r="Q29" i="3"/>
  <c r="N29" i="3"/>
  <c r="O29" i="3" s="1"/>
  <c r="K29" i="3"/>
  <c r="L29" i="3" s="1"/>
  <c r="F29" i="3"/>
  <c r="E29" i="3"/>
  <c r="B29" i="3"/>
  <c r="H29" i="3" s="1"/>
  <c r="I29" i="3" s="1"/>
  <c r="AC28" i="3"/>
  <c r="AD28" i="3" s="1"/>
  <c r="AA28" i="3"/>
  <c r="X28" i="3"/>
  <c r="W28" i="3"/>
  <c r="U28" i="3"/>
  <c r="R28" i="3"/>
  <c r="O28" i="3"/>
  <c r="N28" i="3"/>
  <c r="L28" i="3"/>
  <c r="I28" i="3"/>
  <c r="H28" i="3"/>
  <c r="F28" i="3"/>
  <c r="C28" i="3"/>
  <c r="AC27" i="3"/>
  <c r="AD27" i="3" s="1"/>
  <c r="AA27" i="3"/>
  <c r="W27" i="3"/>
  <c r="X27" i="3" s="1"/>
  <c r="U27" i="3"/>
  <c r="R27" i="3"/>
  <c r="N27" i="3"/>
  <c r="O27" i="3" s="1"/>
  <c r="L27" i="3"/>
  <c r="H27" i="3"/>
  <c r="I27" i="3" s="1"/>
  <c r="F27" i="3"/>
  <c r="C27" i="3"/>
  <c r="AD26" i="3"/>
  <c r="AC26" i="3"/>
  <c r="AA26" i="3"/>
  <c r="X26" i="3"/>
  <c r="W26" i="3"/>
  <c r="U26" i="3"/>
  <c r="R26" i="3"/>
  <c r="N26" i="3"/>
  <c r="O26" i="3" s="1"/>
  <c r="L26" i="3"/>
  <c r="H26" i="3"/>
  <c r="I26" i="3" s="1"/>
  <c r="F26" i="3"/>
  <c r="C26" i="3"/>
  <c r="AC25" i="3"/>
  <c r="AD25" i="3" s="1"/>
  <c r="AA25" i="3"/>
  <c r="X25" i="3"/>
  <c r="W25" i="3"/>
  <c r="U25" i="3"/>
  <c r="R25" i="3"/>
  <c r="N25" i="3"/>
  <c r="O25" i="3" s="1"/>
  <c r="L25" i="3"/>
  <c r="H25" i="3"/>
  <c r="I25" i="3" s="1"/>
  <c r="F25" i="3"/>
  <c r="C25" i="3"/>
  <c r="AC24" i="3"/>
  <c r="AD24" i="3" s="1"/>
  <c r="AA24" i="3"/>
  <c r="W24" i="3"/>
  <c r="X24" i="3" s="1"/>
  <c r="U24" i="3"/>
  <c r="R24" i="3"/>
  <c r="O24" i="3"/>
  <c r="N24" i="3"/>
  <c r="L24" i="3"/>
  <c r="H24" i="3"/>
  <c r="I24" i="3" s="1"/>
  <c r="F24" i="3"/>
  <c r="C24" i="3"/>
  <c r="AD23" i="3"/>
  <c r="AC23" i="3"/>
  <c r="AA23" i="3"/>
  <c r="X23" i="3"/>
  <c r="W23" i="3"/>
  <c r="U23" i="3"/>
  <c r="R23" i="3"/>
  <c r="N23" i="3"/>
  <c r="O23" i="3" s="1"/>
  <c r="L23" i="3"/>
  <c r="H23" i="3"/>
  <c r="I23" i="3" s="1"/>
  <c r="F23" i="3"/>
  <c r="C23" i="3"/>
  <c r="AD22" i="3"/>
  <c r="AC22" i="3"/>
  <c r="AA22" i="3"/>
  <c r="X22" i="3"/>
  <c r="W22" i="3"/>
  <c r="U22" i="3"/>
  <c r="R22" i="3"/>
  <c r="N22" i="3"/>
  <c r="O22" i="3" s="1"/>
  <c r="L22" i="3"/>
  <c r="H22" i="3"/>
  <c r="I22" i="3" s="1"/>
  <c r="F22" i="3"/>
  <c r="C22" i="3"/>
  <c r="AD21" i="3"/>
  <c r="AC21" i="3"/>
  <c r="AA21" i="3"/>
  <c r="X21" i="3"/>
  <c r="W21" i="3"/>
  <c r="U21" i="3"/>
  <c r="R21" i="3"/>
  <c r="N21" i="3"/>
  <c r="O21" i="3" s="1"/>
  <c r="L21" i="3"/>
  <c r="I21" i="3"/>
  <c r="H21" i="3"/>
  <c r="F21" i="3"/>
  <c r="C21" i="3"/>
  <c r="AC19" i="3"/>
  <c r="AD19" i="3" s="1"/>
  <c r="AA19" i="3"/>
  <c r="X19" i="3"/>
  <c r="W19" i="3"/>
  <c r="U19" i="3"/>
  <c r="R19" i="3"/>
  <c r="O19" i="3"/>
  <c r="N19" i="3"/>
  <c r="L19" i="3"/>
  <c r="H19" i="3"/>
  <c r="I19" i="3" s="1"/>
  <c r="F19" i="3"/>
  <c r="C19" i="3"/>
  <c r="Z18" i="3"/>
  <c r="AA18" i="3" s="1"/>
  <c r="U18" i="3"/>
  <c r="T18" i="3"/>
  <c r="Q18" i="3"/>
  <c r="W18" i="3" s="1"/>
  <c r="X18" i="3" s="1"/>
  <c r="N18" i="3"/>
  <c r="O18" i="3" s="1"/>
  <c r="L18" i="3"/>
  <c r="K18" i="3"/>
  <c r="E18" i="3"/>
  <c r="F18" i="3" s="1"/>
  <c r="B18" i="3"/>
  <c r="AD17" i="3"/>
  <c r="AC17" i="3"/>
  <c r="AA17" i="3"/>
  <c r="W17" i="3"/>
  <c r="X17" i="3" s="1"/>
  <c r="U17" i="3"/>
  <c r="R17" i="3"/>
  <c r="O17" i="3"/>
  <c r="N17" i="3"/>
  <c r="L17" i="3"/>
  <c r="I17" i="3"/>
  <c r="H17" i="3"/>
  <c r="F17" i="3"/>
  <c r="C17" i="3"/>
  <c r="AC16" i="3"/>
  <c r="AD16" i="3" s="1"/>
  <c r="AA16" i="3"/>
  <c r="W16" i="3"/>
  <c r="X16" i="3" s="1"/>
  <c r="U16" i="3"/>
  <c r="R16" i="3"/>
  <c r="O16" i="3"/>
  <c r="N16" i="3"/>
  <c r="L16" i="3"/>
  <c r="I16" i="3"/>
  <c r="H16" i="3"/>
  <c r="F16" i="3"/>
  <c r="C16" i="3"/>
  <c r="AC15" i="3"/>
  <c r="AD15" i="3" s="1"/>
  <c r="AA15" i="3"/>
  <c r="X15" i="3"/>
  <c r="W15" i="3"/>
  <c r="U15" i="3"/>
  <c r="R15" i="3"/>
  <c r="O15" i="3"/>
  <c r="N15" i="3"/>
  <c r="L15" i="3"/>
  <c r="H15" i="3"/>
  <c r="I15" i="3" s="1"/>
  <c r="F15" i="3"/>
  <c r="C15" i="3"/>
  <c r="AD14" i="3"/>
  <c r="AC14" i="3"/>
  <c r="AA14" i="3"/>
  <c r="X14" i="3"/>
  <c r="W14" i="3"/>
  <c r="U14" i="3"/>
  <c r="R14" i="3"/>
  <c r="N14" i="3"/>
  <c r="O14" i="3" s="1"/>
  <c r="L14" i="3"/>
  <c r="I14" i="3"/>
  <c r="H14" i="3"/>
  <c r="F14" i="3"/>
  <c r="C14" i="3"/>
  <c r="AD13" i="3"/>
  <c r="AC13" i="3"/>
  <c r="AA13" i="3"/>
  <c r="X13" i="3"/>
  <c r="W13" i="3"/>
  <c r="U13" i="3"/>
  <c r="R13" i="3"/>
  <c r="N13" i="3"/>
  <c r="O13" i="3" s="1"/>
  <c r="L13" i="3"/>
  <c r="H13" i="3"/>
  <c r="I13" i="3" s="1"/>
  <c r="F13" i="3"/>
  <c r="C13" i="3"/>
  <c r="AC12" i="3"/>
  <c r="AD12" i="3" s="1"/>
  <c r="AA12" i="3"/>
  <c r="W12" i="3"/>
  <c r="X12" i="3" s="1"/>
  <c r="U12" i="3"/>
  <c r="R12" i="3"/>
  <c r="O12" i="3"/>
  <c r="N12" i="3"/>
  <c r="L12" i="3"/>
  <c r="H12" i="3"/>
  <c r="I12" i="3" s="1"/>
  <c r="F12" i="3"/>
  <c r="C12" i="3"/>
  <c r="AD11" i="3"/>
  <c r="AC11" i="3"/>
  <c r="AA11" i="3"/>
  <c r="X11" i="3"/>
  <c r="W11" i="3"/>
  <c r="U11" i="3"/>
  <c r="R11" i="3"/>
  <c r="O11" i="3"/>
  <c r="N11" i="3"/>
  <c r="L11" i="3"/>
  <c r="H11" i="3"/>
  <c r="I11" i="3" s="1"/>
  <c r="F11" i="3"/>
  <c r="C11" i="3"/>
  <c r="AC10" i="3"/>
  <c r="AD10" i="3" s="1"/>
  <c r="AA10" i="3"/>
  <c r="X10" i="3"/>
  <c r="W10" i="3"/>
  <c r="U10" i="3"/>
  <c r="R10" i="3"/>
  <c r="N10" i="3"/>
  <c r="O10" i="3" s="1"/>
  <c r="L10" i="3"/>
  <c r="H10" i="3"/>
  <c r="I10" i="3" s="1"/>
  <c r="F10" i="3"/>
  <c r="C10" i="3"/>
  <c r="AD8" i="3"/>
  <c r="AC8" i="3"/>
  <c r="AA8" i="3"/>
  <c r="W8" i="3"/>
  <c r="X8" i="3" s="1"/>
  <c r="U8" i="3"/>
  <c r="R8" i="3"/>
  <c r="N8" i="3"/>
  <c r="O8" i="3" s="1"/>
  <c r="L8" i="3"/>
  <c r="I8" i="3"/>
  <c r="H8" i="3"/>
  <c r="F8" i="3"/>
  <c r="C8" i="3"/>
  <c r="AC444" i="2"/>
  <c r="W444" i="2"/>
  <c r="N444" i="2"/>
  <c r="O437" i="2" s="1"/>
  <c r="H444" i="2"/>
  <c r="AA442" i="2"/>
  <c r="Z442" i="2"/>
  <c r="T442" i="2"/>
  <c r="U442" i="2" s="1"/>
  <c r="Q442" i="2"/>
  <c r="L442" i="2"/>
  <c r="K442" i="2"/>
  <c r="E442" i="2"/>
  <c r="F442" i="2" s="1"/>
  <c r="C442" i="2"/>
  <c r="B442" i="2"/>
  <c r="Z441" i="2"/>
  <c r="AA441" i="2" s="1"/>
  <c r="U441" i="2"/>
  <c r="T441" i="2"/>
  <c r="Q441" i="2"/>
  <c r="K441" i="2"/>
  <c r="L441" i="2" s="1"/>
  <c r="H441" i="2"/>
  <c r="I441" i="2" s="1"/>
  <c r="F441" i="2"/>
  <c r="E441" i="2"/>
  <c r="C441" i="2"/>
  <c r="B441" i="2"/>
  <c r="N441" i="2" s="1"/>
  <c r="O441" i="2" s="1"/>
  <c r="AC440" i="2"/>
  <c r="AD440" i="2" s="1"/>
  <c r="AA440" i="2"/>
  <c r="W440" i="2"/>
  <c r="X440" i="2" s="1"/>
  <c r="U440" i="2"/>
  <c r="R440" i="2"/>
  <c r="O440" i="2"/>
  <c r="N440" i="2"/>
  <c r="L440" i="2"/>
  <c r="I440" i="2"/>
  <c r="H440" i="2"/>
  <c r="F440" i="2"/>
  <c r="C440" i="2"/>
  <c r="AD439" i="2"/>
  <c r="AC439" i="2"/>
  <c r="AA439" i="2"/>
  <c r="W439" i="2"/>
  <c r="X439" i="2" s="1"/>
  <c r="U439" i="2"/>
  <c r="R439" i="2"/>
  <c r="O439" i="2"/>
  <c r="N439" i="2"/>
  <c r="L439" i="2"/>
  <c r="H439" i="2"/>
  <c r="I439" i="2" s="1"/>
  <c r="F439" i="2"/>
  <c r="C439" i="2"/>
  <c r="AC438" i="2"/>
  <c r="AD438" i="2" s="1"/>
  <c r="AA438" i="2"/>
  <c r="X438" i="2"/>
  <c r="W438" i="2"/>
  <c r="U438" i="2"/>
  <c r="R438" i="2"/>
  <c r="O438" i="2"/>
  <c r="N438" i="2"/>
  <c r="L438" i="2"/>
  <c r="H438" i="2"/>
  <c r="I438" i="2" s="1"/>
  <c r="F438" i="2"/>
  <c r="C438" i="2"/>
  <c r="AC437" i="2"/>
  <c r="AD437" i="2" s="1"/>
  <c r="AA437" i="2"/>
  <c r="W437" i="2"/>
  <c r="X437" i="2" s="1"/>
  <c r="U437" i="2"/>
  <c r="R437" i="2"/>
  <c r="N437" i="2"/>
  <c r="L437" i="2"/>
  <c r="H437" i="2"/>
  <c r="I437" i="2" s="1"/>
  <c r="F437" i="2"/>
  <c r="C437" i="2"/>
  <c r="AC436" i="2"/>
  <c r="AD436" i="2" s="1"/>
  <c r="AA436" i="2"/>
  <c r="W436" i="2"/>
  <c r="X436" i="2" s="1"/>
  <c r="U436" i="2"/>
  <c r="R436" i="2"/>
  <c r="O436" i="2"/>
  <c r="N436" i="2"/>
  <c r="L436" i="2"/>
  <c r="I436" i="2"/>
  <c r="H436" i="2"/>
  <c r="F436" i="2"/>
  <c r="C436" i="2"/>
  <c r="AD435" i="2"/>
  <c r="AC435" i="2"/>
  <c r="AA435" i="2"/>
  <c r="X435" i="2"/>
  <c r="W435" i="2"/>
  <c r="U435" i="2"/>
  <c r="R435" i="2"/>
  <c r="N435" i="2"/>
  <c r="O435" i="2" s="1"/>
  <c r="L435" i="2"/>
  <c r="H435" i="2"/>
  <c r="I435" i="2" s="1"/>
  <c r="F435" i="2"/>
  <c r="C435" i="2"/>
  <c r="AC434" i="2"/>
  <c r="AD434" i="2" s="1"/>
  <c r="AA434" i="2"/>
  <c r="X434" i="2"/>
  <c r="W434" i="2"/>
  <c r="U434" i="2"/>
  <c r="R434" i="2"/>
  <c r="N434" i="2"/>
  <c r="L434" i="2"/>
  <c r="H434" i="2"/>
  <c r="I434" i="2" s="1"/>
  <c r="F434" i="2"/>
  <c r="C434" i="2"/>
  <c r="AD433" i="2"/>
  <c r="AC433" i="2"/>
  <c r="AA433" i="2"/>
  <c r="X433" i="2"/>
  <c r="W433" i="2"/>
  <c r="U433" i="2"/>
  <c r="R433" i="2"/>
  <c r="O433" i="2"/>
  <c r="N433" i="2"/>
  <c r="L433" i="2"/>
  <c r="H433" i="2"/>
  <c r="I433" i="2" s="1"/>
  <c r="F433" i="2"/>
  <c r="C433" i="2"/>
  <c r="AC432" i="2"/>
  <c r="AD432" i="2" s="1"/>
  <c r="AA432" i="2"/>
  <c r="X432" i="2"/>
  <c r="W432" i="2"/>
  <c r="U432" i="2"/>
  <c r="R432" i="2"/>
  <c r="N432" i="2"/>
  <c r="L432" i="2"/>
  <c r="H432" i="2"/>
  <c r="I432" i="2" s="1"/>
  <c r="F432" i="2"/>
  <c r="C432" i="2"/>
  <c r="Z429" i="2"/>
  <c r="AA429" i="2" s="1"/>
  <c r="W429" i="2"/>
  <c r="X429" i="2" s="1"/>
  <c r="U429" i="2"/>
  <c r="T429" i="2"/>
  <c r="Q429" i="2"/>
  <c r="R429" i="2" s="1"/>
  <c r="L429" i="2"/>
  <c r="K429" i="2"/>
  <c r="I429" i="2"/>
  <c r="H429" i="2"/>
  <c r="F429" i="2"/>
  <c r="E429" i="2"/>
  <c r="B429" i="2"/>
  <c r="C429" i="2" s="1"/>
  <c r="AC428" i="2"/>
  <c r="AD428" i="2" s="1"/>
  <c r="AA428" i="2"/>
  <c r="Z428" i="2"/>
  <c r="X428" i="2"/>
  <c r="W428" i="2"/>
  <c r="T428" i="2"/>
  <c r="U428" i="2" s="1"/>
  <c r="R428" i="2"/>
  <c r="Q428" i="2"/>
  <c r="K428" i="2"/>
  <c r="E428" i="2"/>
  <c r="F428" i="2" s="1"/>
  <c r="B428" i="2"/>
  <c r="AC427" i="2"/>
  <c r="AD427" i="2" s="1"/>
  <c r="AA427" i="2"/>
  <c r="X427" i="2"/>
  <c r="W427" i="2"/>
  <c r="U427" i="2"/>
  <c r="R427" i="2"/>
  <c r="N427" i="2"/>
  <c r="O427" i="2" s="1"/>
  <c r="L427" i="2"/>
  <c r="H427" i="2"/>
  <c r="I427" i="2" s="1"/>
  <c r="F427" i="2"/>
  <c r="C427" i="2"/>
  <c r="AD426" i="2"/>
  <c r="AC426" i="2"/>
  <c r="AA426" i="2"/>
  <c r="X426" i="2"/>
  <c r="W426" i="2"/>
  <c r="U426" i="2"/>
  <c r="R426" i="2"/>
  <c r="N426" i="2"/>
  <c r="O426" i="2" s="1"/>
  <c r="L426" i="2"/>
  <c r="H426" i="2"/>
  <c r="I426" i="2" s="1"/>
  <c r="F426" i="2"/>
  <c r="C426" i="2"/>
  <c r="AD425" i="2"/>
  <c r="AC425" i="2"/>
  <c r="AA425" i="2"/>
  <c r="W425" i="2"/>
  <c r="X425" i="2" s="1"/>
  <c r="U425" i="2"/>
  <c r="R425" i="2"/>
  <c r="O425" i="2"/>
  <c r="N425" i="2"/>
  <c r="L425" i="2"/>
  <c r="I425" i="2"/>
  <c r="H425" i="2"/>
  <c r="F425" i="2"/>
  <c r="C425" i="2"/>
  <c r="AC424" i="2"/>
  <c r="AD424" i="2" s="1"/>
  <c r="AA424" i="2"/>
  <c r="X424" i="2"/>
  <c r="W424" i="2"/>
  <c r="U424" i="2"/>
  <c r="R424" i="2"/>
  <c r="O424" i="2"/>
  <c r="N424" i="2"/>
  <c r="L424" i="2"/>
  <c r="I424" i="2"/>
  <c r="H424" i="2"/>
  <c r="F424" i="2"/>
  <c r="C424" i="2"/>
  <c r="AC423" i="2"/>
  <c r="AD423" i="2" s="1"/>
  <c r="AA423" i="2"/>
  <c r="W423" i="2"/>
  <c r="X423" i="2" s="1"/>
  <c r="U423" i="2"/>
  <c r="R423" i="2"/>
  <c r="O423" i="2"/>
  <c r="N423" i="2"/>
  <c r="L423" i="2"/>
  <c r="H423" i="2"/>
  <c r="I423" i="2" s="1"/>
  <c r="F423" i="2"/>
  <c r="C423" i="2"/>
  <c r="AD422" i="2"/>
  <c r="AC422" i="2"/>
  <c r="AA422" i="2"/>
  <c r="X422" i="2"/>
  <c r="W422" i="2"/>
  <c r="U422" i="2"/>
  <c r="R422" i="2"/>
  <c r="O422" i="2"/>
  <c r="N422" i="2"/>
  <c r="L422" i="2"/>
  <c r="I422" i="2"/>
  <c r="H422" i="2"/>
  <c r="F422" i="2"/>
  <c r="C422" i="2"/>
  <c r="AC421" i="2"/>
  <c r="AD421" i="2" s="1"/>
  <c r="AA421" i="2"/>
  <c r="W421" i="2"/>
  <c r="X421" i="2" s="1"/>
  <c r="U421" i="2"/>
  <c r="R421" i="2"/>
  <c r="N421" i="2"/>
  <c r="O421" i="2" s="1"/>
  <c r="L421" i="2"/>
  <c r="I421" i="2"/>
  <c r="H421" i="2"/>
  <c r="F421" i="2"/>
  <c r="C421" i="2"/>
  <c r="AC420" i="2"/>
  <c r="AD420" i="2" s="1"/>
  <c r="AA420" i="2"/>
  <c r="X420" i="2"/>
  <c r="W420" i="2"/>
  <c r="U420" i="2"/>
  <c r="R420" i="2"/>
  <c r="O420" i="2"/>
  <c r="N420" i="2"/>
  <c r="L420" i="2"/>
  <c r="H420" i="2"/>
  <c r="I420" i="2" s="1"/>
  <c r="F420" i="2"/>
  <c r="C420" i="2"/>
  <c r="AC419" i="2"/>
  <c r="AD419" i="2" s="1"/>
  <c r="AA419" i="2"/>
  <c r="W419" i="2"/>
  <c r="X419" i="2" s="1"/>
  <c r="U419" i="2"/>
  <c r="R419" i="2"/>
  <c r="O419" i="2"/>
  <c r="N419" i="2"/>
  <c r="L419" i="2"/>
  <c r="H419" i="2"/>
  <c r="I419" i="2" s="1"/>
  <c r="F419" i="2"/>
  <c r="C419" i="2"/>
  <c r="AC418" i="2"/>
  <c r="AD418" i="2" s="1"/>
  <c r="AA418" i="2"/>
  <c r="X418" i="2"/>
  <c r="W418" i="2"/>
  <c r="U418" i="2"/>
  <c r="R418" i="2"/>
  <c r="O418" i="2"/>
  <c r="N418" i="2"/>
  <c r="L418" i="2"/>
  <c r="I418" i="2"/>
  <c r="H418" i="2"/>
  <c r="F418" i="2"/>
  <c r="C418" i="2"/>
  <c r="AC417" i="2"/>
  <c r="AD417" i="2" s="1"/>
  <c r="AA417" i="2"/>
  <c r="X417" i="2"/>
  <c r="W417" i="2"/>
  <c r="U417" i="2"/>
  <c r="R417" i="2"/>
  <c r="N417" i="2"/>
  <c r="O417" i="2" s="1"/>
  <c r="L417" i="2"/>
  <c r="I417" i="2"/>
  <c r="H417" i="2"/>
  <c r="F417" i="2"/>
  <c r="C417" i="2"/>
  <c r="AC416" i="2"/>
  <c r="AD416" i="2" s="1"/>
  <c r="AA416" i="2"/>
  <c r="W416" i="2"/>
  <c r="X416" i="2" s="1"/>
  <c r="U416" i="2"/>
  <c r="R416" i="2"/>
  <c r="O416" i="2"/>
  <c r="N416" i="2"/>
  <c r="L416" i="2"/>
  <c r="H416" i="2"/>
  <c r="I416" i="2" s="1"/>
  <c r="F416" i="2"/>
  <c r="C416" i="2"/>
  <c r="AD415" i="2"/>
  <c r="AC415" i="2"/>
  <c r="AA415" i="2"/>
  <c r="X415" i="2"/>
  <c r="W415" i="2"/>
  <c r="U415" i="2"/>
  <c r="R415" i="2"/>
  <c r="N415" i="2"/>
  <c r="O415" i="2" s="1"/>
  <c r="L415" i="2"/>
  <c r="H415" i="2"/>
  <c r="I415" i="2" s="1"/>
  <c r="F415" i="2"/>
  <c r="C415" i="2"/>
  <c r="AC414" i="2"/>
  <c r="AD414" i="2" s="1"/>
  <c r="AA414" i="2"/>
  <c r="X414" i="2"/>
  <c r="W414" i="2"/>
  <c r="U414" i="2"/>
  <c r="R414" i="2"/>
  <c r="N414" i="2"/>
  <c r="O414" i="2" s="1"/>
  <c r="L414" i="2"/>
  <c r="I414" i="2"/>
  <c r="H414" i="2"/>
  <c r="F414" i="2"/>
  <c r="C414" i="2"/>
  <c r="AD413" i="2"/>
  <c r="AC413" i="2"/>
  <c r="AA413" i="2"/>
  <c r="W413" i="2"/>
  <c r="X413" i="2" s="1"/>
  <c r="U413" i="2"/>
  <c r="R413" i="2"/>
  <c r="N413" i="2"/>
  <c r="O413" i="2" s="1"/>
  <c r="L413" i="2"/>
  <c r="H413" i="2"/>
  <c r="I413" i="2" s="1"/>
  <c r="F413" i="2"/>
  <c r="C413" i="2"/>
  <c r="AC412" i="2"/>
  <c r="AD412" i="2" s="1"/>
  <c r="AA412" i="2"/>
  <c r="X412" i="2"/>
  <c r="W412" i="2"/>
  <c r="U412" i="2"/>
  <c r="R412" i="2"/>
  <c r="O412" i="2"/>
  <c r="N412" i="2"/>
  <c r="L412" i="2"/>
  <c r="H412" i="2"/>
  <c r="I412" i="2" s="1"/>
  <c r="F412" i="2"/>
  <c r="C412" i="2"/>
  <c r="AC411" i="2"/>
  <c r="AD411" i="2" s="1"/>
  <c r="AA411" i="2"/>
  <c r="X411" i="2"/>
  <c r="W411" i="2"/>
  <c r="U411" i="2"/>
  <c r="R411" i="2"/>
  <c r="O411" i="2"/>
  <c r="N411" i="2"/>
  <c r="L411" i="2"/>
  <c r="H411" i="2"/>
  <c r="I411" i="2" s="1"/>
  <c r="F411" i="2"/>
  <c r="C411" i="2"/>
  <c r="AD410" i="2"/>
  <c r="AC410" i="2"/>
  <c r="AA410" i="2"/>
  <c r="X410" i="2"/>
  <c r="W410" i="2"/>
  <c r="U410" i="2"/>
  <c r="R410" i="2"/>
  <c r="N410" i="2"/>
  <c r="O410" i="2" s="1"/>
  <c r="L410" i="2"/>
  <c r="H410" i="2"/>
  <c r="I410" i="2" s="1"/>
  <c r="F410" i="2"/>
  <c r="C410" i="2"/>
  <c r="AD409" i="2"/>
  <c r="AC409" i="2"/>
  <c r="AA409" i="2"/>
  <c r="W409" i="2"/>
  <c r="X409" i="2" s="1"/>
  <c r="U409" i="2"/>
  <c r="R409" i="2"/>
  <c r="O409" i="2"/>
  <c r="N409" i="2"/>
  <c r="L409" i="2"/>
  <c r="I409" i="2"/>
  <c r="H409" i="2"/>
  <c r="F409" i="2"/>
  <c r="C409" i="2"/>
  <c r="AC408" i="2"/>
  <c r="AD408" i="2" s="1"/>
  <c r="AA408" i="2"/>
  <c r="X408" i="2"/>
  <c r="W408" i="2"/>
  <c r="U408" i="2"/>
  <c r="R408" i="2"/>
  <c r="O408" i="2"/>
  <c r="N408" i="2"/>
  <c r="L408" i="2"/>
  <c r="I408" i="2"/>
  <c r="H408" i="2"/>
  <c r="F408" i="2"/>
  <c r="C408" i="2"/>
  <c r="AC407" i="2"/>
  <c r="AD407" i="2" s="1"/>
  <c r="AA407" i="2"/>
  <c r="W407" i="2"/>
  <c r="X407" i="2" s="1"/>
  <c r="U407" i="2"/>
  <c r="R407" i="2"/>
  <c r="O407" i="2"/>
  <c r="N407" i="2"/>
  <c r="L407" i="2"/>
  <c r="H407" i="2"/>
  <c r="I407" i="2" s="1"/>
  <c r="F407" i="2"/>
  <c r="C407" i="2"/>
  <c r="Z403" i="2"/>
  <c r="W403" i="2"/>
  <c r="X403" i="2" s="1"/>
  <c r="U403" i="2"/>
  <c r="T403" i="2"/>
  <c r="Q403" i="2"/>
  <c r="R403" i="2" s="1"/>
  <c r="K403" i="2"/>
  <c r="L403" i="2" s="1"/>
  <c r="H403" i="2"/>
  <c r="I403" i="2" s="1"/>
  <c r="E403" i="2"/>
  <c r="F403" i="2" s="1"/>
  <c r="B403" i="2"/>
  <c r="C403" i="2" s="1"/>
  <c r="AC402" i="2"/>
  <c r="AD402" i="2" s="1"/>
  <c r="AA402" i="2"/>
  <c r="X402" i="2"/>
  <c r="W402" i="2"/>
  <c r="U402" i="2"/>
  <c r="R402" i="2"/>
  <c r="O402" i="2"/>
  <c r="N402" i="2"/>
  <c r="L402" i="2"/>
  <c r="I402" i="2"/>
  <c r="H402" i="2"/>
  <c r="F402" i="2"/>
  <c r="C402" i="2"/>
  <c r="AC401" i="2"/>
  <c r="AD401" i="2" s="1"/>
  <c r="AA401" i="2"/>
  <c r="W401" i="2"/>
  <c r="X401" i="2" s="1"/>
  <c r="U401" i="2"/>
  <c r="R401" i="2"/>
  <c r="O401" i="2"/>
  <c r="N401" i="2"/>
  <c r="L401" i="2"/>
  <c r="H401" i="2"/>
  <c r="I401" i="2" s="1"/>
  <c r="F401" i="2"/>
  <c r="C401" i="2"/>
  <c r="AC400" i="2"/>
  <c r="AD400" i="2" s="1"/>
  <c r="AA400" i="2"/>
  <c r="W400" i="2"/>
  <c r="X400" i="2" s="1"/>
  <c r="U400" i="2"/>
  <c r="R400" i="2"/>
  <c r="O400" i="2"/>
  <c r="N400" i="2"/>
  <c r="L400" i="2"/>
  <c r="I400" i="2"/>
  <c r="H400" i="2"/>
  <c r="F400" i="2"/>
  <c r="C400" i="2"/>
  <c r="AC399" i="2"/>
  <c r="AD399" i="2" s="1"/>
  <c r="AA399" i="2"/>
  <c r="X399" i="2"/>
  <c r="W399" i="2"/>
  <c r="U399" i="2"/>
  <c r="R399" i="2"/>
  <c r="N399" i="2"/>
  <c r="O399" i="2" s="1"/>
  <c r="L399" i="2"/>
  <c r="H399" i="2"/>
  <c r="I399" i="2" s="1"/>
  <c r="F399" i="2"/>
  <c r="C399" i="2"/>
  <c r="AC398" i="2"/>
  <c r="AD398" i="2" s="1"/>
  <c r="AA398" i="2"/>
  <c r="X398" i="2"/>
  <c r="W398" i="2"/>
  <c r="U398" i="2"/>
  <c r="R398" i="2"/>
  <c r="O398" i="2"/>
  <c r="N398" i="2"/>
  <c r="L398" i="2"/>
  <c r="H398" i="2"/>
  <c r="I398" i="2" s="1"/>
  <c r="F398" i="2"/>
  <c r="C398" i="2"/>
  <c r="AD397" i="2"/>
  <c r="AC397" i="2"/>
  <c r="AA397" i="2"/>
  <c r="X397" i="2"/>
  <c r="W397" i="2"/>
  <c r="U397" i="2"/>
  <c r="R397" i="2"/>
  <c r="N397" i="2"/>
  <c r="O397" i="2" s="1"/>
  <c r="L397" i="2"/>
  <c r="H397" i="2"/>
  <c r="I397" i="2" s="1"/>
  <c r="F397" i="2"/>
  <c r="C397" i="2"/>
  <c r="AA396" i="2"/>
  <c r="Z396" i="2"/>
  <c r="U396" i="2"/>
  <c r="T396" i="2"/>
  <c r="Q396" i="2"/>
  <c r="O396" i="2"/>
  <c r="N396" i="2"/>
  <c r="L396" i="2"/>
  <c r="K396" i="2"/>
  <c r="E396" i="2"/>
  <c r="F396" i="2" s="1"/>
  <c r="B396" i="2"/>
  <c r="H396" i="2" s="1"/>
  <c r="I396" i="2" s="1"/>
  <c r="AC395" i="2"/>
  <c r="AD395" i="2" s="1"/>
  <c r="AA395" i="2"/>
  <c r="X395" i="2"/>
  <c r="W395" i="2"/>
  <c r="U395" i="2"/>
  <c r="R395" i="2"/>
  <c r="N395" i="2"/>
  <c r="O395" i="2" s="1"/>
  <c r="L395" i="2"/>
  <c r="I395" i="2"/>
  <c r="H395" i="2"/>
  <c r="F395" i="2"/>
  <c r="C395" i="2"/>
  <c r="AC394" i="2"/>
  <c r="AD394" i="2" s="1"/>
  <c r="AA394" i="2"/>
  <c r="X394" i="2"/>
  <c r="W394" i="2"/>
  <c r="U394" i="2"/>
  <c r="R394" i="2"/>
  <c r="N394" i="2"/>
  <c r="O394" i="2" s="1"/>
  <c r="L394" i="2"/>
  <c r="H394" i="2"/>
  <c r="I394" i="2" s="1"/>
  <c r="F394" i="2"/>
  <c r="C394" i="2"/>
  <c r="Z393" i="2"/>
  <c r="X393" i="2"/>
  <c r="W393" i="2"/>
  <c r="U393" i="2"/>
  <c r="T393" i="2"/>
  <c r="Q393" i="2"/>
  <c r="R393" i="2" s="1"/>
  <c r="K393" i="2"/>
  <c r="L393" i="2" s="1"/>
  <c r="H393" i="2"/>
  <c r="I393" i="2" s="1"/>
  <c r="E393" i="2"/>
  <c r="F393" i="2" s="1"/>
  <c r="B393" i="2"/>
  <c r="C393" i="2" s="1"/>
  <c r="AC392" i="2"/>
  <c r="AD392" i="2" s="1"/>
  <c r="AA392" i="2"/>
  <c r="X392" i="2"/>
  <c r="W392" i="2"/>
  <c r="U392" i="2"/>
  <c r="R392" i="2"/>
  <c r="O392" i="2"/>
  <c r="N392" i="2"/>
  <c r="L392" i="2"/>
  <c r="H392" i="2"/>
  <c r="I392" i="2" s="1"/>
  <c r="F392" i="2"/>
  <c r="C392" i="2"/>
  <c r="AC391" i="2"/>
  <c r="AD391" i="2" s="1"/>
  <c r="AA391" i="2"/>
  <c r="W391" i="2"/>
  <c r="X391" i="2" s="1"/>
  <c r="U391" i="2"/>
  <c r="R391" i="2"/>
  <c r="O391" i="2"/>
  <c r="N391" i="2"/>
  <c r="L391" i="2"/>
  <c r="H391" i="2"/>
  <c r="I391" i="2" s="1"/>
  <c r="F391" i="2"/>
  <c r="C391" i="2"/>
  <c r="AC390" i="2"/>
  <c r="AD390" i="2" s="1"/>
  <c r="AA390" i="2"/>
  <c r="W390" i="2"/>
  <c r="X390" i="2" s="1"/>
  <c r="U390" i="2"/>
  <c r="R390" i="2"/>
  <c r="O390" i="2"/>
  <c r="N390" i="2"/>
  <c r="L390" i="2"/>
  <c r="I390" i="2"/>
  <c r="H390" i="2"/>
  <c r="F390" i="2"/>
  <c r="C390" i="2"/>
  <c r="AD389" i="2"/>
  <c r="AC389" i="2"/>
  <c r="AA389" i="2"/>
  <c r="X389" i="2"/>
  <c r="W389" i="2"/>
  <c r="U389" i="2"/>
  <c r="R389" i="2"/>
  <c r="N389" i="2"/>
  <c r="O389" i="2" s="1"/>
  <c r="L389" i="2"/>
  <c r="H389" i="2"/>
  <c r="I389" i="2" s="1"/>
  <c r="F389" i="2"/>
  <c r="C389" i="2"/>
  <c r="AC388" i="2"/>
  <c r="AD388" i="2" s="1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D386" i="2"/>
  <c r="AC386" i="2"/>
  <c r="AA386" i="2"/>
  <c r="X386" i="2"/>
  <c r="W386" i="2"/>
  <c r="U386" i="2"/>
  <c r="R386" i="2"/>
  <c r="N386" i="2"/>
  <c r="O386" i="2" s="1"/>
  <c r="L386" i="2"/>
  <c r="H386" i="2"/>
  <c r="I386" i="2" s="1"/>
  <c r="F386" i="2"/>
  <c r="C386" i="2"/>
  <c r="AC385" i="2"/>
  <c r="AD385" i="2" s="1"/>
  <c r="AA385" i="2"/>
  <c r="X385" i="2"/>
  <c r="W385" i="2"/>
  <c r="U385" i="2"/>
  <c r="R385" i="2"/>
  <c r="O385" i="2"/>
  <c r="N385" i="2"/>
  <c r="L385" i="2"/>
  <c r="I385" i="2"/>
  <c r="H385" i="2"/>
  <c r="F385" i="2"/>
  <c r="C385" i="2"/>
  <c r="AD383" i="2"/>
  <c r="AC383" i="2"/>
  <c r="AA383" i="2"/>
  <c r="X383" i="2"/>
  <c r="W383" i="2"/>
  <c r="U383" i="2"/>
  <c r="R383" i="2"/>
  <c r="N383" i="2"/>
  <c r="O383" i="2" s="1"/>
  <c r="L383" i="2"/>
  <c r="H383" i="2"/>
  <c r="I383" i="2" s="1"/>
  <c r="F383" i="2"/>
  <c r="C383" i="2"/>
  <c r="AD382" i="2"/>
  <c r="AC382" i="2"/>
  <c r="AA382" i="2"/>
  <c r="X382" i="2"/>
  <c r="W382" i="2"/>
  <c r="U382" i="2"/>
  <c r="R382" i="2"/>
  <c r="O382" i="2"/>
  <c r="N382" i="2"/>
  <c r="L382" i="2"/>
  <c r="H382" i="2"/>
  <c r="I382" i="2" s="1"/>
  <c r="F382" i="2"/>
  <c r="C382" i="2"/>
  <c r="AC381" i="2"/>
  <c r="AD381" i="2" s="1"/>
  <c r="AA381" i="2"/>
  <c r="X381" i="2"/>
  <c r="W381" i="2"/>
  <c r="U381" i="2"/>
  <c r="R381" i="2"/>
  <c r="N381" i="2"/>
  <c r="O381" i="2" s="1"/>
  <c r="L381" i="2"/>
  <c r="I381" i="2"/>
  <c r="H381" i="2"/>
  <c r="F381" i="2"/>
  <c r="C381" i="2"/>
  <c r="AC380" i="2"/>
  <c r="AD380" i="2" s="1"/>
  <c r="AA380" i="2"/>
  <c r="W380" i="2"/>
  <c r="X380" i="2" s="1"/>
  <c r="U380" i="2"/>
  <c r="R380" i="2"/>
  <c r="O380" i="2"/>
  <c r="N380" i="2"/>
  <c r="L380" i="2"/>
  <c r="H380" i="2"/>
  <c r="I380" i="2" s="1"/>
  <c r="F380" i="2"/>
  <c r="C380" i="2"/>
  <c r="AD379" i="2"/>
  <c r="AC379" i="2"/>
  <c r="AA379" i="2"/>
  <c r="W379" i="2"/>
  <c r="X379" i="2" s="1"/>
  <c r="U379" i="2"/>
  <c r="R379" i="2"/>
  <c r="O379" i="2"/>
  <c r="N379" i="2"/>
  <c r="L379" i="2"/>
  <c r="H379" i="2"/>
  <c r="I379" i="2" s="1"/>
  <c r="F379" i="2"/>
  <c r="C379" i="2"/>
  <c r="AC378" i="2"/>
  <c r="AD378" i="2" s="1"/>
  <c r="AA378" i="2"/>
  <c r="X378" i="2"/>
  <c r="W378" i="2"/>
  <c r="U378" i="2"/>
  <c r="R378" i="2"/>
  <c r="N378" i="2"/>
  <c r="O378" i="2" s="1"/>
  <c r="L378" i="2"/>
  <c r="I378" i="2"/>
  <c r="H378" i="2"/>
  <c r="F378" i="2"/>
  <c r="C378" i="2"/>
  <c r="AC377" i="2"/>
  <c r="AD377" i="2" s="1"/>
  <c r="AA377" i="2"/>
  <c r="W377" i="2"/>
  <c r="X377" i="2" s="1"/>
  <c r="U377" i="2"/>
  <c r="R377" i="2"/>
  <c r="O377" i="2"/>
  <c r="N377" i="2"/>
  <c r="L377" i="2"/>
  <c r="H377" i="2"/>
  <c r="I377" i="2" s="1"/>
  <c r="F377" i="2"/>
  <c r="C377" i="2"/>
  <c r="AC376" i="2"/>
  <c r="AD376" i="2" s="1"/>
  <c r="AA376" i="2"/>
  <c r="W376" i="2"/>
  <c r="X376" i="2" s="1"/>
  <c r="U376" i="2"/>
  <c r="R376" i="2"/>
  <c r="O376" i="2"/>
  <c r="N376" i="2"/>
  <c r="L376" i="2"/>
  <c r="I376" i="2"/>
  <c r="H376" i="2"/>
  <c r="F376" i="2"/>
  <c r="C376" i="2"/>
  <c r="AC375" i="2"/>
  <c r="AD375" i="2" s="1"/>
  <c r="AA375" i="2"/>
  <c r="W375" i="2"/>
  <c r="X375" i="2" s="1"/>
  <c r="U375" i="2"/>
  <c r="R375" i="2"/>
  <c r="N375" i="2"/>
  <c r="O375" i="2" s="1"/>
  <c r="L375" i="2"/>
  <c r="H375" i="2"/>
  <c r="I375" i="2" s="1"/>
  <c r="F375" i="2"/>
  <c r="C375" i="2"/>
  <c r="AC374" i="2"/>
  <c r="AD374" i="2" s="1"/>
  <c r="AA374" i="2"/>
  <c r="X374" i="2"/>
  <c r="W374" i="2"/>
  <c r="U374" i="2"/>
  <c r="R374" i="2"/>
  <c r="O374" i="2"/>
  <c r="N374" i="2"/>
  <c r="L374" i="2"/>
  <c r="I374" i="2"/>
  <c r="H374" i="2"/>
  <c r="F374" i="2"/>
  <c r="C374" i="2"/>
  <c r="AC373" i="2"/>
  <c r="AD373" i="2" s="1"/>
  <c r="AA373" i="2"/>
  <c r="W373" i="2"/>
  <c r="X373" i="2" s="1"/>
  <c r="U373" i="2"/>
  <c r="R373" i="2"/>
  <c r="O373" i="2"/>
  <c r="N373" i="2"/>
  <c r="L373" i="2"/>
  <c r="H373" i="2"/>
  <c r="I373" i="2" s="1"/>
  <c r="F373" i="2"/>
  <c r="C373" i="2"/>
  <c r="AC372" i="2"/>
  <c r="AD372" i="2" s="1"/>
  <c r="AA372" i="2"/>
  <c r="W372" i="2"/>
  <c r="X372" i="2" s="1"/>
  <c r="U372" i="2"/>
  <c r="R372" i="2"/>
  <c r="O372" i="2"/>
  <c r="N372" i="2"/>
  <c r="L372" i="2"/>
  <c r="I372" i="2"/>
  <c r="H372" i="2"/>
  <c r="F372" i="2"/>
  <c r="C372" i="2"/>
  <c r="AC371" i="2"/>
  <c r="AD371" i="2" s="1"/>
  <c r="AA371" i="2"/>
  <c r="X371" i="2"/>
  <c r="W371" i="2"/>
  <c r="U371" i="2"/>
  <c r="R371" i="2"/>
  <c r="N371" i="2"/>
  <c r="O371" i="2" s="1"/>
  <c r="L371" i="2"/>
  <c r="H371" i="2"/>
  <c r="I371" i="2" s="1"/>
  <c r="F371" i="2"/>
  <c r="C371" i="2"/>
  <c r="AC370" i="2"/>
  <c r="AD370" i="2" s="1"/>
  <c r="AA370" i="2"/>
  <c r="X370" i="2"/>
  <c r="W370" i="2"/>
  <c r="U370" i="2"/>
  <c r="R370" i="2"/>
  <c r="O370" i="2"/>
  <c r="N370" i="2"/>
  <c r="L370" i="2"/>
  <c r="H370" i="2"/>
  <c r="I370" i="2" s="1"/>
  <c r="F370" i="2"/>
  <c r="C370" i="2"/>
  <c r="AD369" i="2"/>
  <c r="AC369" i="2"/>
  <c r="AA369" i="2"/>
  <c r="X369" i="2"/>
  <c r="W369" i="2"/>
  <c r="U369" i="2"/>
  <c r="R369" i="2"/>
  <c r="N369" i="2"/>
  <c r="O369" i="2" s="1"/>
  <c r="L369" i="2"/>
  <c r="H369" i="2"/>
  <c r="I369" i="2" s="1"/>
  <c r="F369" i="2"/>
  <c r="C369" i="2"/>
  <c r="AA368" i="2"/>
  <c r="Z368" i="2"/>
  <c r="U368" i="2"/>
  <c r="T368" i="2"/>
  <c r="Q368" i="2"/>
  <c r="L368" i="2"/>
  <c r="K368" i="2"/>
  <c r="E368" i="2"/>
  <c r="F368" i="2" s="1"/>
  <c r="B368" i="2"/>
  <c r="AC367" i="2"/>
  <c r="AD367" i="2" s="1"/>
  <c r="AA367" i="2"/>
  <c r="X367" i="2"/>
  <c r="W367" i="2"/>
  <c r="U367" i="2"/>
  <c r="R367" i="2"/>
  <c r="O367" i="2"/>
  <c r="N367" i="2"/>
  <c r="L367" i="2"/>
  <c r="I367" i="2"/>
  <c r="H367" i="2"/>
  <c r="F367" i="2"/>
  <c r="C367" i="2"/>
  <c r="AC366" i="2"/>
  <c r="AD366" i="2" s="1"/>
  <c r="AA366" i="2"/>
  <c r="X366" i="2"/>
  <c r="W366" i="2"/>
  <c r="U366" i="2"/>
  <c r="R366" i="2"/>
  <c r="N366" i="2"/>
  <c r="O366" i="2" s="1"/>
  <c r="L366" i="2"/>
  <c r="H366" i="2"/>
  <c r="I366" i="2" s="1"/>
  <c r="F366" i="2"/>
  <c r="C366" i="2"/>
  <c r="AC365" i="2"/>
  <c r="AD365" i="2" s="1"/>
  <c r="AA365" i="2"/>
  <c r="W365" i="2"/>
  <c r="X365" i="2" s="1"/>
  <c r="U365" i="2"/>
  <c r="R365" i="2"/>
  <c r="O365" i="2"/>
  <c r="N365" i="2"/>
  <c r="L365" i="2"/>
  <c r="H365" i="2"/>
  <c r="I365" i="2" s="1"/>
  <c r="F365" i="2"/>
  <c r="C365" i="2"/>
  <c r="AD364" i="2"/>
  <c r="AC364" i="2"/>
  <c r="AA364" i="2"/>
  <c r="X364" i="2"/>
  <c r="W364" i="2"/>
  <c r="U364" i="2"/>
  <c r="R364" i="2"/>
  <c r="N364" i="2"/>
  <c r="O364" i="2" s="1"/>
  <c r="L364" i="2"/>
  <c r="H364" i="2"/>
  <c r="I364" i="2" s="1"/>
  <c r="F364" i="2"/>
  <c r="C364" i="2"/>
  <c r="AC363" i="2"/>
  <c r="AD363" i="2" s="1"/>
  <c r="AA363" i="2"/>
  <c r="X363" i="2"/>
  <c r="W363" i="2"/>
  <c r="U363" i="2"/>
  <c r="R363" i="2"/>
  <c r="N363" i="2"/>
  <c r="O363" i="2" s="1"/>
  <c r="L363" i="2"/>
  <c r="H363" i="2"/>
  <c r="I363" i="2" s="1"/>
  <c r="F363" i="2"/>
  <c r="C363" i="2"/>
  <c r="AD362" i="2"/>
  <c r="AC362" i="2"/>
  <c r="AA362" i="2"/>
  <c r="W362" i="2"/>
  <c r="X362" i="2" s="1"/>
  <c r="U362" i="2"/>
  <c r="R362" i="2"/>
  <c r="N362" i="2"/>
  <c r="O362" i="2" s="1"/>
  <c r="L362" i="2"/>
  <c r="H362" i="2"/>
  <c r="I362" i="2" s="1"/>
  <c r="F362" i="2"/>
  <c r="C362" i="2"/>
  <c r="AC361" i="2"/>
  <c r="AD361" i="2" s="1"/>
  <c r="AA361" i="2"/>
  <c r="X361" i="2"/>
  <c r="W361" i="2"/>
  <c r="U361" i="2"/>
  <c r="R361" i="2"/>
  <c r="O361" i="2"/>
  <c r="N361" i="2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O360" i="2"/>
  <c r="N360" i="2"/>
  <c r="L360" i="2"/>
  <c r="H360" i="2"/>
  <c r="I360" i="2" s="1"/>
  <c r="F360" i="2"/>
  <c r="C360" i="2"/>
  <c r="Z358" i="2"/>
  <c r="AA358" i="2" s="1"/>
  <c r="U358" i="2"/>
  <c r="T358" i="2"/>
  <c r="Q358" i="2"/>
  <c r="W358" i="2" s="1"/>
  <c r="X358" i="2" s="1"/>
  <c r="K358" i="2"/>
  <c r="H358" i="2"/>
  <c r="I358" i="2" s="1"/>
  <c r="F358" i="2"/>
  <c r="E358" i="2"/>
  <c r="C358" i="2"/>
  <c r="B358" i="2"/>
  <c r="AC357" i="2"/>
  <c r="AD357" i="2" s="1"/>
  <c r="AA357" i="2"/>
  <c r="W357" i="2"/>
  <c r="X357" i="2" s="1"/>
  <c r="U357" i="2"/>
  <c r="R357" i="2"/>
  <c r="O357" i="2"/>
  <c r="N357" i="2"/>
  <c r="L357" i="2"/>
  <c r="H357" i="2"/>
  <c r="I357" i="2" s="1"/>
  <c r="F357" i="2"/>
  <c r="C357" i="2"/>
  <c r="AC356" i="2"/>
  <c r="AD356" i="2" s="1"/>
  <c r="AA356" i="2"/>
  <c r="W356" i="2"/>
  <c r="X356" i="2" s="1"/>
  <c r="U356" i="2"/>
  <c r="R356" i="2"/>
  <c r="O356" i="2"/>
  <c r="N356" i="2"/>
  <c r="L356" i="2"/>
  <c r="H356" i="2"/>
  <c r="I356" i="2" s="1"/>
  <c r="F356" i="2"/>
  <c r="C356" i="2"/>
  <c r="AC355" i="2"/>
  <c r="AD355" i="2" s="1"/>
  <c r="AA355" i="2"/>
  <c r="X355" i="2"/>
  <c r="W355" i="2"/>
  <c r="U355" i="2"/>
  <c r="R355" i="2"/>
  <c r="N355" i="2"/>
  <c r="O355" i="2" s="1"/>
  <c r="L355" i="2"/>
  <c r="I355" i="2"/>
  <c r="H355" i="2"/>
  <c r="F355" i="2"/>
  <c r="C355" i="2"/>
  <c r="AC354" i="2"/>
  <c r="AD354" i="2" s="1"/>
  <c r="AA354" i="2"/>
  <c r="X354" i="2"/>
  <c r="W354" i="2"/>
  <c r="U354" i="2"/>
  <c r="R354" i="2"/>
  <c r="N354" i="2"/>
  <c r="O354" i="2" s="1"/>
  <c r="L354" i="2"/>
  <c r="H354" i="2"/>
  <c r="I354" i="2" s="1"/>
  <c r="F354" i="2"/>
  <c r="C354" i="2"/>
  <c r="AC353" i="2"/>
  <c r="AD353" i="2" s="1"/>
  <c r="AA353" i="2"/>
  <c r="W353" i="2"/>
  <c r="X353" i="2" s="1"/>
  <c r="U353" i="2"/>
  <c r="R353" i="2"/>
  <c r="O353" i="2"/>
  <c r="N353" i="2"/>
  <c r="L353" i="2"/>
  <c r="H353" i="2"/>
  <c r="I353" i="2" s="1"/>
  <c r="F353" i="2"/>
  <c r="C353" i="2"/>
  <c r="AD352" i="2"/>
  <c r="AC352" i="2"/>
  <c r="AA352" i="2"/>
  <c r="X352" i="2"/>
  <c r="W352" i="2"/>
  <c r="U352" i="2"/>
  <c r="R352" i="2"/>
  <c r="N352" i="2"/>
  <c r="O352" i="2" s="1"/>
  <c r="L352" i="2"/>
  <c r="H352" i="2"/>
  <c r="I352" i="2" s="1"/>
  <c r="F352" i="2"/>
  <c r="C352" i="2"/>
  <c r="AD351" i="2"/>
  <c r="AC351" i="2"/>
  <c r="AA351" i="2"/>
  <c r="X351" i="2"/>
  <c r="W351" i="2"/>
  <c r="U351" i="2"/>
  <c r="R351" i="2"/>
  <c r="N351" i="2"/>
  <c r="O351" i="2" s="1"/>
  <c r="L351" i="2"/>
  <c r="H351" i="2"/>
  <c r="I351" i="2" s="1"/>
  <c r="F351" i="2"/>
  <c r="C351" i="2"/>
  <c r="AD350" i="2"/>
  <c r="AC350" i="2"/>
  <c r="AA350" i="2"/>
  <c r="X350" i="2"/>
  <c r="W350" i="2"/>
  <c r="U350" i="2"/>
  <c r="R350" i="2"/>
  <c r="N350" i="2"/>
  <c r="O350" i="2" s="1"/>
  <c r="L350" i="2"/>
  <c r="I350" i="2"/>
  <c r="H350" i="2"/>
  <c r="F350" i="2"/>
  <c r="C350" i="2"/>
  <c r="AC349" i="2"/>
  <c r="AD349" i="2" s="1"/>
  <c r="AA349" i="2"/>
  <c r="X349" i="2"/>
  <c r="W349" i="2"/>
  <c r="U349" i="2"/>
  <c r="R349" i="2"/>
  <c r="O349" i="2"/>
  <c r="N349" i="2"/>
  <c r="L349" i="2"/>
  <c r="H349" i="2"/>
  <c r="I349" i="2" s="1"/>
  <c r="F349" i="2"/>
  <c r="C349" i="2"/>
  <c r="AD347" i="2"/>
  <c r="AC347" i="2"/>
  <c r="AA347" i="2"/>
  <c r="X347" i="2"/>
  <c r="W347" i="2"/>
  <c r="U347" i="2"/>
  <c r="R347" i="2"/>
  <c r="O347" i="2"/>
  <c r="N347" i="2"/>
  <c r="L347" i="2"/>
  <c r="H347" i="2"/>
  <c r="I347" i="2" s="1"/>
  <c r="F347" i="2"/>
  <c r="C347" i="2"/>
  <c r="Z344" i="2"/>
  <c r="AA344" i="2" s="1"/>
  <c r="T344" i="2"/>
  <c r="Q344" i="2"/>
  <c r="R344" i="2" s="1"/>
  <c r="O344" i="2"/>
  <c r="N344" i="2"/>
  <c r="L344" i="2"/>
  <c r="K344" i="2"/>
  <c r="E344" i="2"/>
  <c r="F344" i="2" s="1"/>
  <c r="B344" i="2"/>
  <c r="AC343" i="2"/>
  <c r="AD343" i="2" s="1"/>
  <c r="AA343" i="2"/>
  <c r="Z343" i="2"/>
  <c r="U343" i="2"/>
  <c r="T343" i="2"/>
  <c r="R343" i="2"/>
  <c r="Q343" i="2"/>
  <c r="W343" i="2" s="1"/>
  <c r="X343" i="2" s="1"/>
  <c r="K343" i="2"/>
  <c r="L343" i="2" s="1"/>
  <c r="E343" i="2"/>
  <c r="F343" i="2" s="1"/>
  <c r="B343" i="2"/>
  <c r="AA342" i="2"/>
  <c r="Z342" i="2"/>
  <c r="T342" i="2"/>
  <c r="U342" i="2" s="1"/>
  <c r="Q342" i="2"/>
  <c r="K342" i="2"/>
  <c r="L342" i="2" s="1"/>
  <c r="E342" i="2"/>
  <c r="F342" i="2" s="1"/>
  <c r="C342" i="2"/>
  <c r="B342" i="2"/>
  <c r="AD341" i="2"/>
  <c r="AC341" i="2"/>
  <c r="AA341" i="2"/>
  <c r="X341" i="2"/>
  <c r="W341" i="2"/>
  <c r="U341" i="2"/>
  <c r="R341" i="2"/>
  <c r="O341" i="2"/>
  <c r="N341" i="2"/>
  <c r="L341" i="2"/>
  <c r="I341" i="2"/>
  <c r="H341" i="2"/>
  <c r="F341" i="2"/>
  <c r="C341" i="2"/>
  <c r="AD340" i="2"/>
  <c r="AC340" i="2"/>
  <c r="AA340" i="2"/>
  <c r="W340" i="2"/>
  <c r="X340" i="2" s="1"/>
  <c r="U340" i="2"/>
  <c r="R340" i="2"/>
  <c r="N340" i="2"/>
  <c r="O340" i="2" s="1"/>
  <c r="L340" i="2"/>
  <c r="I340" i="2"/>
  <c r="H340" i="2"/>
  <c r="F340" i="2"/>
  <c r="C340" i="2"/>
  <c r="AC339" i="2"/>
  <c r="AD339" i="2" s="1"/>
  <c r="AA339" i="2"/>
  <c r="W339" i="2"/>
  <c r="X339" i="2" s="1"/>
  <c r="U339" i="2"/>
  <c r="R339" i="2"/>
  <c r="O339" i="2"/>
  <c r="N339" i="2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O338" i="2"/>
  <c r="N338" i="2"/>
  <c r="L338" i="2"/>
  <c r="H338" i="2"/>
  <c r="I338" i="2" s="1"/>
  <c r="F338" i="2"/>
  <c r="C338" i="2"/>
  <c r="AC337" i="2"/>
  <c r="AD337" i="2" s="1"/>
  <c r="AA337" i="2"/>
  <c r="X337" i="2"/>
  <c r="W337" i="2"/>
  <c r="U337" i="2"/>
  <c r="R337" i="2"/>
  <c r="N337" i="2"/>
  <c r="O337" i="2" s="1"/>
  <c r="L337" i="2"/>
  <c r="I337" i="2"/>
  <c r="H337" i="2"/>
  <c r="F337" i="2"/>
  <c r="C337" i="2"/>
  <c r="AD335" i="2"/>
  <c r="AC335" i="2"/>
  <c r="AA335" i="2"/>
  <c r="X335" i="2"/>
  <c r="W335" i="2"/>
  <c r="U335" i="2"/>
  <c r="R335" i="2"/>
  <c r="N335" i="2"/>
  <c r="O335" i="2" s="1"/>
  <c r="L335" i="2"/>
  <c r="H335" i="2"/>
  <c r="I335" i="2" s="1"/>
  <c r="F335" i="2"/>
  <c r="C335" i="2"/>
  <c r="AC334" i="2"/>
  <c r="AD334" i="2" s="1"/>
  <c r="AA334" i="2"/>
  <c r="W334" i="2"/>
  <c r="X334" i="2" s="1"/>
  <c r="U334" i="2"/>
  <c r="R334" i="2"/>
  <c r="O334" i="2"/>
  <c r="N334" i="2"/>
  <c r="L334" i="2"/>
  <c r="H334" i="2"/>
  <c r="I334" i="2" s="1"/>
  <c r="F334" i="2"/>
  <c r="C334" i="2"/>
  <c r="AD333" i="2"/>
  <c r="AC333" i="2"/>
  <c r="AA333" i="2"/>
  <c r="X333" i="2"/>
  <c r="W333" i="2"/>
  <c r="U333" i="2"/>
  <c r="R333" i="2"/>
  <c r="O333" i="2"/>
  <c r="N333" i="2"/>
  <c r="L333" i="2"/>
  <c r="H333" i="2"/>
  <c r="I333" i="2" s="1"/>
  <c r="F333" i="2"/>
  <c r="C333" i="2"/>
  <c r="AD332" i="2"/>
  <c r="AC332" i="2"/>
  <c r="AA332" i="2"/>
  <c r="X332" i="2"/>
  <c r="W332" i="2"/>
  <c r="U332" i="2"/>
  <c r="R332" i="2"/>
  <c r="N332" i="2"/>
  <c r="O332" i="2" s="1"/>
  <c r="L332" i="2"/>
  <c r="H332" i="2"/>
  <c r="I332" i="2" s="1"/>
  <c r="F332" i="2"/>
  <c r="C332" i="2"/>
  <c r="AD331" i="2"/>
  <c r="AC331" i="2"/>
  <c r="AA331" i="2"/>
  <c r="X331" i="2"/>
  <c r="W331" i="2"/>
  <c r="U331" i="2"/>
  <c r="R331" i="2"/>
  <c r="N331" i="2"/>
  <c r="O331" i="2" s="1"/>
  <c r="L331" i="2"/>
  <c r="I331" i="2"/>
  <c r="H331" i="2"/>
  <c r="F331" i="2"/>
  <c r="C331" i="2"/>
  <c r="AC330" i="2"/>
  <c r="AD330" i="2" s="1"/>
  <c r="AA330" i="2"/>
  <c r="X330" i="2"/>
  <c r="W330" i="2"/>
  <c r="U330" i="2"/>
  <c r="R330" i="2"/>
  <c r="O330" i="2"/>
  <c r="N330" i="2"/>
  <c r="L330" i="2"/>
  <c r="H330" i="2"/>
  <c r="I330" i="2" s="1"/>
  <c r="F330" i="2"/>
  <c r="C330" i="2"/>
  <c r="AD329" i="2"/>
  <c r="AC329" i="2"/>
  <c r="AA329" i="2"/>
  <c r="X329" i="2"/>
  <c r="W329" i="2"/>
  <c r="U329" i="2"/>
  <c r="R329" i="2"/>
  <c r="N329" i="2"/>
  <c r="O329" i="2" s="1"/>
  <c r="L329" i="2"/>
  <c r="H329" i="2"/>
  <c r="I329" i="2" s="1"/>
  <c r="F329" i="2"/>
  <c r="C329" i="2"/>
  <c r="AD328" i="2"/>
  <c r="AC328" i="2"/>
  <c r="AA328" i="2"/>
  <c r="X328" i="2"/>
  <c r="W328" i="2"/>
  <c r="U328" i="2"/>
  <c r="R328" i="2"/>
  <c r="N328" i="2"/>
  <c r="O328" i="2" s="1"/>
  <c r="L328" i="2"/>
  <c r="H328" i="2"/>
  <c r="I328" i="2" s="1"/>
  <c r="F328" i="2"/>
  <c r="C328" i="2"/>
  <c r="AA325" i="2"/>
  <c r="Z325" i="2"/>
  <c r="T325" i="2"/>
  <c r="U325" i="2" s="1"/>
  <c r="R325" i="2"/>
  <c r="Q325" i="2"/>
  <c r="AC325" i="2" s="1"/>
  <c r="AD325" i="2" s="1"/>
  <c r="N325" i="2"/>
  <c r="O325" i="2" s="1"/>
  <c r="K325" i="2"/>
  <c r="L325" i="2" s="1"/>
  <c r="H325" i="2"/>
  <c r="I325" i="2" s="1"/>
  <c r="F325" i="2"/>
  <c r="E325" i="2"/>
  <c r="C325" i="2"/>
  <c r="B325" i="2"/>
  <c r="Z324" i="2"/>
  <c r="AA324" i="2" s="1"/>
  <c r="X324" i="2"/>
  <c r="U324" i="2"/>
  <c r="T324" i="2"/>
  <c r="Q324" i="2"/>
  <c r="W324" i="2" s="1"/>
  <c r="K324" i="2"/>
  <c r="L324" i="2" s="1"/>
  <c r="H324" i="2"/>
  <c r="I324" i="2" s="1"/>
  <c r="F324" i="2"/>
  <c r="E324" i="2"/>
  <c r="B324" i="2"/>
  <c r="AC323" i="2"/>
  <c r="AD323" i="2" s="1"/>
  <c r="AA323" i="2"/>
  <c r="W323" i="2"/>
  <c r="X323" i="2" s="1"/>
  <c r="U323" i="2"/>
  <c r="R323" i="2"/>
  <c r="O323" i="2"/>
  <c r="N323" i="2"/>
  <c r="L323" i="2"/>
  <c r="H323" i="2"/>
  <c r="I323" i="2" s="1"/>
  <c r="F323" i="2"/>
  <c r="C323" i="2"/>
  <c r="AC322" i="2"/>
  <c r="AD322" i="2" s="1"/>
  <c r="AA322" i="2"/>
  <c r="W322" i="2"/>
  <c r="X322" i="2" s="1"/>
  <c r="U322" i="2"/>
  <c r="R322" i="2"/>
  <c r="O322" i="2"/>
  <c r="N322" i="2"/>
  <c r="L322" i="2"/>
  <c r="I322" i="2"/>
  <c r="H322" i="2"/>
  <c r="F322" i="2"/>
  <c r="C322" i="2"/>
  <c r="AC321" i="2"/>
  <c r="AD321" i="2" s="1"/>
  <c r="AA321" i="2"/>
  <c r="W321" i="2"/>
  <c r="X321" i="2" s="1"/>
  <c r="U321" i="2"/>
  <c r="R321" i="2"/>
  <c r="N321" i="2"/>
  <c r="O321" i="2" s="1"/>
  <c r="L321" i="2"/>
  <c r="H321" i="2"/>
  <c r="I321" i="2" s="1"/>
  <c r="F321" i="2"/>
  <c r="C321" i="2"/>
  <c r="AC320" i="2"/>
  <c r="AD320" i="2" s="1"/>
  <c r="AA320" i="2"/>
  <c r="X320" i="2"/>
  <c r="W320" i="2"/>
  <c r="U320" i="2"/>
  <c r="R320" i="2"/>
  <c r="O320" i="2"/>
  <c r="N320" i="2"/>
  <c r="L320" i="2"/>
  <c r="I320" i="2"/>
  <c r="H320" i="2"/>
  <c r="F320" i="2"/>
  <c r="C320" i="2"/>
  <c r="AC319" i="2"/>
  <c r="AD319" i="2" s="1"/>
  <c r="AA319" i="2"/>
  <c r="X319" i="2"/>
  <c r="W319" i="2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W318" i="2"/>
  <c r="X318" i="2" s="1"/>
  <c r="U318" i="2"/>
  <c r="R318" i="2"/>
  <c r="O318" i="2"/>
  <c r="N318" i="2"/>
  <c r="L318" i="2"/>
  <c r="I318" i="2"/>
  <c r="H318" i="2"/>
  <c r="F318" i="2"/>
  <c r="C318" i="2"/>
  <c r="AD317" i="2"/>
  <c r="AC317" i="2"/>
  <c r="AA317" i="2"/>
  <c r="X317" i="2"/>
  <c r="W317" i="2"/>
  <c r="U317" i="2"/>
  <c r="R317" i="2"/>
  <c r="N317" i="2"/>
  <c r="O317" i="2" s="1"/>
  <c r="L317" i="2"/>
  <c r="H317" i="2"/>
  <c r="I317" i="2" s="1"/>
  <c r="F317" i="2"/>
  <c r="C317" i="2"/>
  <c r="AC316" i="2"/>
  <c r="AD316" i="2" s="1"/>
  <c r="AA316" i="2"/>
  <c r="X316" i="2"/>
  <c r="W316" i="2"/>
  <c r="U316" i="2"/>
  <c r="R316" i="2"/>
  <c r="O316" i="2"/>
  <c r="N316" i="2"/>
  <c r="L316" i="2"/>
  <c r="H316" i="2"/>
  <c r="I316" i="2" s="1"/>
  <c r="F316" i="2"/>
  <c r="C316" i="2"/>
  <c r="AD315" i="2"/>
  <c r="AC315" i="2"/>
  <c r="AA315" i="2"/>
  <c r="X315" i="2"/>
  <c r="W315" i="2"/>
  <c r="U315" i="2"/>
  <c r="R315" i="2"/>
  <c r="N315" i="2"/>
  <c r="O315" i="2" s="1"/>
  <c r="L315" i="2"/>
  <c r="H315" i="2"/>
  <c r="I315" i="2" s="1"/>
  <c r="F315" i="2"/>
  <c r="C315" i="2"/>
  <c r="AC314" i="2"/>
  <c r="AD314" i="2" s="1"/>
  <c r="AA314" i="2"/>
  <c r="X314" i="2"/>
  <c r="W314" i="2"/>
  <c r="U314" i="2"/>
  <c r="R314" i="2"/>
  <c r="O314" i="2"/>
  <c r="N314" i="2"/>
  <c r="L314" i="2"/>
  <c r="I314" i="2"/>
  <c r="H314" i="2"/>
  <c r="F314" i="2"/>
  <c r="C314" i="2"/>
  <c r="AC313" i="2"/>
  <c r="AD313" i="2" s="1"/>
  <c r="AA313" i="2"/>
  <c r="W313" i="2"/>
  <c r="X313" i="2" s="1"/>
  <c r="U313" i="2"/>
  <c r="R313" i="2"/>
  <c r="O313" i="2"/>
  <c r="N313" i="2"/>
  <c r="L313" i="2"/>
  <c r="I313" i="2"/>
  <c r="H313" i="2"/>
  <c r="F313" i="2"/>
  <c r="C313" i="2"/>
  <c r="AC312" i="2"/>
  <c r="AD312" i="2" s="1"/>
  <c r="AA312" i="2"/>
  <c r="X312" i="2"/>
  <c r="W312" i="2"/>
  <c r="U312" i="2"/>
  <c r="R312" i="2"/>
  <c r="O312" i="2"/>
  <c r="N312" i="2"/>
  <c r="L312" i="2"/>
  <c r="H312" i="2"/>
  <c r="I312" i="2" s="1"/>
  <c r="F312" i="2"/>
  <c r="C312" i="2"/>
  <c r="AD311" i="2"/>
  <c r="AC311" i="2"/>
  <c r="AA311" i="2"/>
  <c r="X311" i="2"/>
  <c r="W311" i="2"/>
  <c r="U311" i="2"/>
  <c r="R311" i="2"/>
  <c r="N311" i="2"/>
  <c r="O311" i="2" s="1"/>
  <c r="L311" i="2"/>
  <c r="H311" i="2"/>
  <c r="I311" i="2" s="1"/>
  <c r="F311" i="2"/>
  <c r="C311" i="2"/>
  <c r="AC310" i="2"/>
  <c r="AD310" i="2" s="1"/>
  <c r="AA310" i="2"/>
  <c r="X310" i="2"/>
  <c r="W310" i="2"/>
  <c r="U310" i="2"/>
  <c r="R310" i="2"/>
  <c r="O310" i="2"/>
  <c r="N310" i="2"/>
  <c r="L310" i="2"/>
  <c r="I310" i="2"/>
  <c r="H310" i="2"/>
  <c r="F310" i="2"/>
  <c r="C310" i="2"/>
  <c r="AC309" i="2"/>
  <c r="AD309" i="2" s="1"/>
  <c r="AA309" i="2"/>
  <c r="W309" i="2"/>
  <c r="X309" i="2" s="1"/>
  <c r="U309" i="2"/>
  <c r="R309" i="2"/>
  <c r="O309" i="2"/>
  <c r="N309" i="2"/>
  <c r="L309" i="2"/>
  <c r="I309" i="2"/>
  <c r="H309" i="2"/>
  <c r="F309" i="2"/>
  <c r="C309" i="2"/>
  <c r="AC308" i="2"/>
  <c r="AD308" i="2" s="1"/>
  <c r="AA308" i="2"/>
  <c r="X308" i="2"/>
  <c r="W308" i="2"/>
  <c r="U308" i="2"/>
  <c r="R308" i="2"/>
  <c r="O308" i="2"/>
  <c r="N308" i="2"/>
  <c r="L308" i="2"/>
  <c r="H308" i="2"/>
  <c r="I308" i="2" s="1"/>
  <c r="F308" i="2"/>
  <c r="C308" i="2"/>
  <c r="AD307" i="2"/>
  <c r="AC307" i="2"/>
  <c r="AA307" i="2"/>
  <c r="X307" i="2"/>
  <c r="W307" i="2"/>
  <c r="U307" i="2"/>
  <c r="R307" i="2"/>
  <c r="N307" i="2"/>
  <c r="O307" i="2" s="1"/>
  <c r="L307" i="2"/>
  <c r="H307" i="2"/>
  <c r="I307" i="2" s="1"/>
  <c r="F307" i="2"/>
  <c r="C307" i="2"/>
  <c r="AC306" i="2"/>
  <c r="AD306" i="2" s="1"/>
  <c r="AA306" i="2"/>
  <c r="X306" i="2"/>
  <c r="W306" i="2"/>
  <c r="U306" i="2"/>
  <c r="R306" i="2"/>
  <c r="O306" i="2"/>
  <c r="N306" i="2"/>
  <c r="L306" i="2"/>
  <c r="I306" i="2"/>
  <c r="H306" i="2"/>
  <c r="F306" i="2"/>
  <c r="C306" i="2"/>
  <c r="AC305" i="2"/>
  <c r="AD305" i="2" s="1"/>
  <c r="AA305" i="2"/>
  <c r="W305" i="2"/>
  <c r="X305" i="2" s="1"/>
  <c r="U305" i="2"/>
  <c r="R305" i="2"/>
  <c r="O305" i="2"/>
  <c r="N305" i="2"/>
  <c r="L305" i="2"/>
  <c r="I305" i="2"/>
  <c r="H305" i="2"/>
  <c r="F305" i="2"/>
  <c r="C305" i="2"/>
  <c r="AC304" i="2"/>
  <c r="AD304" i="2" s="1"/>
  <c r="AA304" i="2"/>
  <c r="X304" i="2"/>
  <c r="W304" i="2"/>
  <c r="U304" i="2"/>
  <c r="R304" i="2"/>
  <c r="O304" i="2"/>
  <c r="N304" i="2"/>
  <c r="L304" i="2"/>
  <c r="H304" i="2"/>
  <c r="I304" i="2" s="1"/>
  <c r="F304" i="2"/>
  <c r="C304" i="2"/>
  <c r="AD303" i="2"/>
  <c r="AC303" i="2"/>
  <c r="AA303" i="2"/>
  <c r="X303" i="2"/>
  <c r="W303" i="2"/>
  <c r="U303" i="2"/>
  <c r="R303" i="2"/>
  <c r="N303" i="2"/>
  <c r="O303" i="2" s="1"/>
  <c r="L303" i="2"/>
  <c r="H303" i="2"/>
  <c r="I303" i="2" s="1"/>
  <c r="F303" i="2"/>
  <c r="C303" i="2"/>
  <c r="AD302" i="2"/>
  <c r="AC302" i="2"/>
  <c r="AA302" i="2"/>
  <c r="X302" i="2"/>
  <c r="W302" i="2"/>
  <c r="U302" i="2"/>
  <c r="R302" i="2"/>
  <c r="O302" i="2"/>
  <c r="N302" i="2"/>
  <c r="L302" i="2"/>
  <c r="I302" i="2"/>
  <c r="H302" i="2"/>
  <c r="F302" i="2"/>
  <c r="C302" i="2"/>
  <c r="AC301" i="2"/>
  <c r="AD301" i="2" s="1"/>
  <c r="AA301" i="2"/>
  <c r="X301" i="2"/>
  <c r="W301" i="2"/>
  <c r="U301" i="2"/>
  <c r="R301" i="2"/>
  <c r="O301" i="2"/>
  <c r="N301" i="2"/>
  <c r="L301" i="2"/>
  <c r="I301" i="2"/>
  <c r="H301" i="2"/>
  <c r="F301" i="2"/>
  <c r="C301" i="2"/>
  <c r="AC300" i="2"/>
  <c r="AD300" i="2" s="1"/>
  <c r="AA300" i="2"/>
  <c r="X300" i="2"/>
  <c r="W300" i="2"/>
  <c r="U300" i="2"/>
  <c r="R300" i="2"/>
  <c r="O300" i="2"/>
  <c r="N300" i="2"/>
  <c r="L300" i="2"/>
  <c r="H300" i="2"/>
  <c r="I300" i="2" s="1"/>
  <c r="F300" i="2"/>
  <c r="C300" i="2"/>
  <c r="AD299" i="2"/>
  <c r="AC299" i="2"/>
  <c r="AA299" i="2"/>
  <c r="X299" i="2"/>
  <c r="W299" i="2"/>
  <c r="U299" i="2"/>
  <c r="R299" i="2"/>
  <c r="N299" i="2"/>
  <c r="O299" i="2" s="1"/>
  <c r="L299" i="2"/>
  <c r="H299" i="2"/>
  <c r="I299" i="2" s="1"/>
  <c r="F299" i="2"/>
  <c r="C299" i="2"/>
  <c r="AC298" i="2"/>
  <c r="AD298" i="2" s="1"/>
  <c r="AA298" i="2"/>
  <c r="X298" i="2"/>
  <c r="W298" i="2"/>
  <c r="U298" i="2"/>
  <c r="R298" i="2"/>
  <c r="O298" i="2"/>
  <c r="N298" i="2"/>
  <c r="L298" i="2"/>
  <c r="I298" i="2"/>
  <c r="H298" i="2"/>
  <c r="F298" i="2"/>
  <c r="C298" i="2"/>
  <c r="AC297" i="2"/>
  <c r="AD297" i="2" s="1"/>
  <c r="AA297" i="2"/>
  <c r="W297" i="2"/>
  <c r="X297" i="2" s="1"/>
  <c r="U297" i="2"/>
  <c r="R297" i="2"/>
  <c r="O297" i="2"/>
  <c r="N297" i="2"/>
  <c r="L297" i="2"/>
  <c r="I297" i="2"/>
  <c r="H297" i="2"/>
  <c r="F297" i="2"/>
  <c r="C297" i="2"/>
  <c r="Z295" i="2"/>
  <c r="AA295" i="2" s="1"/>
  <c r="U295" i="2"/>
  <c r="T295" i="2"/>
  <c r="Q295" i="2"/>
  <c r="R295" i="2" s="1"/>
  <c r="K295" i="2"/>
  <c r="L295" i="2" s="1"/>
  <c r="E295" i="2"/>
  <c r="F295" i="2" s="1"/>
  <c r="B295" i="2"/>
  <c r="AC294" i="2"/>
  <c r="AD294" i="2" s="1"/>
  <c r="AA294" i="2"/>
  <c r="X294" i="2"/>
  <c r="W294" i="2"/>
  <c r="U294" i="2"/>
  <c r="R294" i="2"/>
  <c r="O294" i="2"/>
  <c r="N294" i="2"/>
  <c r="L294" i="2"/>
  <c r="I294" i="2"/>
  <c r="H294" i="2"/>
  <c r="F294" i="2"/>
  <c r="C294" i="2"/>
  <c r="AC293" i="2"/>
  <c r="AD293" i="2" s="1"/>
  <c r="AA293" i="2"/>
  <c r="W293" i="2"/>
  <c r="X293" i="2" s="1"/>
  <c r="U293" i="2"/>
  <c r="R293" i="2"/>
  <c r="O293" i="2"/>
  <c r="N293" i="2"/>
  <c r="L293" i="2"/>
  <c r="I293" i="2"/>
  <c r="H293" i="2"/>
  <c r="F293" i="2"/>
  <c r="C293" i="2"/>
  <c r="AC292" i="2"/>
  <c r="AD292" i="2" s="1"/>
  <c r="AA292" i="2"/>
  <c r="X292" i="2"/>
  <c r="W292" i="2"/>
  <c r="U292" i="2"/>
  <c r="R292" i="2"/>
  <c r="O292" i="2"/>
  <c r="N292" i="2"/>
  <c r="L292" i="2"/>
  <c r="H292" i="2"/>
  <c r="I292" i="2" s="1"/>
  <c r="F292" i="2"/>
  <c r="C292" i="2"/>
  <c r="AD291" i="2"/>
  <c r="AC291" i="2"/>
  <c r="AA291" i="2"/>
  <c r="X291" i="2"/>
  <c r="W291" i="2"/>
  <c r="U291" i="2"/>
  <c r="R291" i="2"/>
  <c r="N291" i="2"/>
  <c r="O291" i="2" s="1"/>
  <c r="L291" i="2"/>
  <c r="H291" i="2"/>
  <c r="I291" i="2" s="1"/>
  <c r="F291" i="2"/>
  <c r="C291" i="2"/>
  <c r="AD290" i="2"/>
  <c r="AC290" i="2"/>
  <c r="AA290" i="2"/>
  <c r="X290" i="2"/>
  <c r="W290" i="2"/>
  <c r="U290" i="2"/>
  <c r="R290" i="2"/>
  <c r="O290" i="2"/>
  <c r="N290" i="2"/>
  <c r="L290" i="2"/>
  <c r="I290" i="2"/>
  <c r="H290" i="2"/>
  <c r="F290" i="2"/>
  <c r="C290" i="2"/>
  <c r="AC289" i="2"/>
  <c r="AD289" i="2" s="1"/>
  <c r="AA289" i="2"/>
  <c r="X289" i="2"/>
  <c r="W289" i="2"/>
  <c r="U289" i="2"/>
  <c r="R289" i="2"/>
  <c r="O289" i="2"/>
  <c r="N289" i="2"/>
  <c r="L289" i="2"/>
  <c r="I289" i="2"/>
  <c r="H289" i="2"/>
  <c r="F289" i="2"/>
  <c r="C289" i="2"/>
  <c r="AC288" i="2"/>
  <c r="AD288" i="2" s="1"/>
  <c r="AA288" i="2"/>
  <c r="X288" i="2"/>
  <c r="W288" i="2"/>
  <c r="U288" i="2"/>
  <c r="R288" i="2"/>
  <c r="O288" i="2"/>
  <c r="N288" i="2"/>
  <c r="L288" i="2"/>
  <c r="H288" i="2"/>
  <c r="I288" i="2" s="1"/>
  <c r="F288" i="2"/>
  <c r="C288" i="2"/>
  <c r="AD287" i="2"/>
  <c r="AC287" i="2"/>
  <c r="AA287" i="2"/>
  <c r="X287" i="2"/>
  <c r="W287" i="2"/>
  <c r="U287" i="2"/>
  <c r="R287" i="2"/>
  <c r="N287" i="2"/>
  <c r="O287" i="2" s="1"/>
  <c r="L287" i="2"/>
  <c r="H287" i="2"/>
  <c r="I287" i="2" s="1"/>
  <c r="F287" i="2"/>
  <c r="C287" i="2"/>
  <c r="AC286" i="2"/>
  <c r="AD286" i="2" s="1"/>
  <c r="AA286" i="2"/>
  <c r="X286" i="2"/>
  <c r="W286" i="2"/>
  <c r="U286" i="2"/>
  <c r="R286" i="2"/>
  <c r="O286" i="2"/>
  <c r="N286" i="2"/>
  <c r="L286" i="2"/>
  <c r="I286" i="2"/>
  <c r="H286" i="2"/>
  <c r="F286" i="2"/>
  <c r="C286" i="2"/>
  <c r="AA284" i="2"/>
  <c r="Z284" i="2"/>
  <c r="T284" i="2"/>
  <c r="U284" i="2" s="1"/>
  <c r="Q284" i="2"/>
  <c r="N284" i="2"/>
  <c r="O284" i="2" s="1"/>
  <c r="L284" i="2"/>
  <c r="K284" i="2"/>
  <c r="E284" i="2"/>
  <c r="F284" i="2" s="1"/>
  <c r="B284" i="2"/>
  <c r="AD283" i="2"/>
  <c r="AC283" i="2"/>
  <c r="AA283" i="2"/>
  <c r="X283" i="2"/>
  <c r="W283" i="2"/>
  <c r="U283" i="2"/>
  <c r="R283" i="2"/>
  <c r="N283" i="2"/>
  <c r="O283" i="2" s="1"/>
  <c r="L283" i="2"/>
  <c r="H283" i="2"/>
  <c r="I283" i="2" s="1"/>
  <c r="F283" i="2"/>
  <c r="C283" i="2"/>
  <c r="AD282" i="2"/>
  <c r="AC282" i="2"/>
  <c r="AA282" i="2"/>
  <c r="X282" i="2"/>
  <c r="W282" i="2"/>
  <c r="U282" i="2"/>
  <c r="R282" i="2"/>
  <c r="N282" i="2"/>
  <c r="O282" i="2" s="1"/>
  <c r="L282" i="2"/>
  <c r="I282" i="2"/>
  <c r="H282" i="2"/>
  <c r="F282" i="2"/>
  <c r="C282" i="2"/>
  <c r="AC281" i="2"/>
  <c r="AD281" i="2" s="1"/>
  <c r="AA281" i="2"/>
  <c r="X281" i="2"/>
  <c r="W281" i="2"/>
  <c r="U281" i="2"/>
  <c r="R281" i="2"/>
  <c r="O281" i="2"/>
  <c r="N281" i="2"/>
  <c r="L281" i="2"/>
  <c r="H281" i="2"/>
  <c r="I281" i="2" s="1"/>
  <c r="F281" i="2"/>
  <c r="C281" i="2"/>
  <c r="AC280" i="2"/>
  <c r="AD280" i="2" s="1"/>
  <c r="AA280" i="2"/>
  <c r="W280" i="2"/>
  <c r="X280" i="2" s="1"/>
  <c r="U280" i="2"/>
  <c r="R280" i="2"/>
  <c r="O280" i="2"/>
  <c r="N280" i="2"/>
  <c r="L280" i="2"/>
  <c r="H280" i="2"/>
  <c r="I280" i="2" s="1"/>
  <c r="F280" i="2"/>
  <c r="C280" i="2"/>
  <c r="AD279" i="2"/>
  <c r="AC279" i="2"/>
  <c r="AA279" i="2"/>
  <c r="X279" i="2"/>
  <c r="W279" i="2"/>
  <c r="U279" i="2"/>
  <c r="R279" i="2"/>
  <c r="O279" i="2"/>
  <c r="N279" i="2"/>
  <c r="L279" i="2"/>
  <c r="H279" i="2"/>
  <c r="I279" i="2" s="1"/>
  <c r="F279" i="2"/>
  <c r="C279" i="2"/>
  <c r="AD278" i="2"/>
  <c r="AC278" i="2"/>
  <c r="AA278" i="2"/>
  <c r="X278" i="2"/>
  <c r="W278" i="2"/>
  <c r="U278" i="2"/>
  <c r="R278" i="2"/>
  <c r="O278" i="2"/>
  <c r="N278" i="2"/>
  <c r="L278" i="2"/>
  <c r="I278" i="2"/>
  <c r="H278" i="2"/>
  <c r="F278" i="2"/>
  <c r="C278" i="2"/>
  <c r="AC277" i="2"/>
  <c r="AD277" i="2" s="1"/>
  <c r="AA277" i="2"/>
  <c r="X277" i="2"/>
  <c r="W277" i="2"/>
  <c r="U277" i="2"/>
  <c r="R277" i="2"/>
  <c r="O277" i="2"/>
  <c r="N277" i="2"/>
  <c r="L277" i="2"/>
  <c r="I277" i="2"/>
  <c r="H277" i="2"/>
  <c r="F277" i="2"/>
  <c r="C277" i="2"/>
  <c r="AC276" i="2"/>
  <c r="AD276" i="2" s="1"/>
  <c r="AA276" i="2"/>
  <c r="W276" i="2"/>
  <c r="X276" i="2" s="1"/>
  <c r="U276" i="2"/>
  <c r="R276" i="2"/>
  <c r="O276" i="2"/>
  <c r="N276" i="2"/>
  <c r="L276" i="2"/>
  <c r="H276" i="2"/>
  <c r="I276" i="2" s="1"/>
  <c r="F276" i="2"/>
  <c r="C276" i="2"/>
  <c r="AD275" i="2"/>
  <c r="AC275" i="2"/>
  <c r="AA275" i="2"/>
  <c r="X275" i="2"/>
  <c r="W275" i="2"/>
  <c r="U275" i="2"/>
  <c r="R275" i="2"/>
  <c r="O275" i="2"/>
  <c r="N275" i="2"/>
  <c r="L275" i="2"/>
  <c r="H275" i="2"/>
  <c r="I275" i="2" s="1"/>
  <c r="F275" i="2"/>
  <c r="C275" i="2"/>
  <c r="AD273" i="2"/>
  <c r="AC273" i="2"/>
  <c r="AA273" i="2"/>
  <c r="Z273" i="2"/>
  <c r="W273" i="2"/>
  <c r="X273" i="2" s="1"/>
  <c r="T273" i="2"/>
  <c r="U273" i="2" s="1"/>
  <c r="R273" i="2"/>
  <c r="Q273" i="2"/>
  <c r="K273" i="2"/>
  <c r="L273" i="2" s="1"/>
  <c r="H273" i="2"/>
  <c r="I273" i="2" s="1"/>
  <c r="F273" i="2"/>
  <c r="E273" i="2"/>
  <c r="C273" i="2"/>
  <c r="B273" i="2"/>
  <c r="N273" i="2" s="1"/>
  <c r="O273" i="2" s="1"/>
  <c r="AC272" i="2"/>
  <c r="AD272" i="2" s="1"/>
  <c r="AA272" i="2"/>
  <c r="W272" i="2"/>
  <c r="X272" i="2" s="1"/>
  <c r="U272" i="2"/>
  <c r="R272" i="2"/>
  <c r="O272" i="2"/>
  <c r="N272" i="2"/>
  <c r="L272" i="2"/>
  <c r="H272" i="2"/>
  <c r="I272" i="2" s="1"/>
  <c r="F272" i="2"/>
  <c r="C272" i="2"/>
  <c r="AD271" i="2"/>
  <c r="AC271" i="2"/>
  <c r="AA271" i="2"/>
  <c r="X271" i="2"/>
  <c r="W271" i="2"/>
  <c r="U271" i="2"/>
  <c r="R271" i="2"/>
  <c r="O271" i="2"/>
  <c r="N271" i="2"/>
  <c r="L271" i="2"/>
  <c r="H271" i="2"/>
  <c r="I271" i="2" s="1"/>
  <c r="F271" i="2"/>
  <c r="C271" i="2"/>
  <c r="AD270" i="2"/>
  <c r="AC270" i="2"/>
  <c r="AA270" i="2"/>
  <c r="X270" i="2"/>
  <c r="W270" i="2"/>
  <c r="U270" i="2"/>
  <c r="R270" i="2"/>
  <c r="N270" i="2"/>
  <c r="O270" i="2" s="1"/>
  <c r="L270" i="2"/>
  <c r="I270" i="2"/>
  <c r="H270" i="2"/>
  <c r="F270" i="2"/>
  <c r="C270" i="2"/>
  <c r="AC269" i="2"/>
  <c r="AD269" i="2" s="1"/>
  <c r="AA269" i="2"/>
  <c r="X269" i="2"/>
  <c r="W269" i="2"/>
  <c r="U269" i="2"/>
  <c r="R269" i="2"/>
  <c r="O269" i="2"/>
  <c r="N269" i="2"/>
  <c r="L269" i="2"/>
  <c r="H269" i="2"/>
  <c r="I269" i="2" s="1"/>
  <c r="F269" i="2"/>
  <c r="C269" i="2"/>
  <c r="Z267" i="2"/>
  <c r="AA267" i="2" s="1"/>
  <c r="W267" i="2"/>
  <c r="X267" i="2" s="1"/>
  <c r="U267" i="2"/>
  <c r="T267" i="2"/>
  <c r="Q267" i="2"/>
  <c r="R267" i="2" s="1"/>
  <c r="N267" i="2"/>
  <c r="O267" i="2" s="1"/>
  <c r="K267" i="2"/>
  <c r="L267" i="2" s="1"/>
  <c r="E267" i="2"/>
  <c r="F267" i="2" s="1"/>
  <c r="B267" i="2"/>
  <c r="AD266" i="2"/>
  <c r="AC266" i="2"/>
  <c r="AA266" i="2"/>
  <c r="X266" i="2"/>
  <c r="W266" i="2"/>
  <c r="U266" i="2"/>
  <c r="R266" i="2"/>
  <c r="N266" i="2"/>
  <c r="O266" i="2" s="1"/>
  <c r="L266" i="2"/>
  <c r="H266" i="2"/>
  <c r="I266" i="2" s="1"/>
  <c r="F266" i="2"/>
  <c r="C266" i="2"/>
  <c r="AD265" i="2"/>
  <c r="AC265" i="2"/>
  <c r="AA265" i="2"/>
  <c r="W265" i="2"/>
  <c r="X265" i="2" s="1"/>
  <c r="U265" i="2"/>
  <c r="R265" i="2"/>
  <c r="N265" i="2"/>
  <c r="O265" i="2" s="1"/>
  <c r="L265" i="2"/>
  <c r="I265" i="2"/>
  <c r="H265" i="2"/>
  <c r="F265" i="2"/>
  <c r="C265" i="2"/>
  <c r="Z263" i="2"/>
  <c r="T263" i="2"/>
  <c r="U263" i="2" s="1"/>
  <c r="Q263" i="2"/>
  <c r="L263" i="2"/>
  <c r="K263" i="2"/>
  <c r="E263" i="2"/>
  <c r="F263" i="2" s="1"/>
  <c r="B263" i="2"/>
  <c r="AC262" i="2"/>
  <c r="AD262" i="2" s="1"/>
  <c r="Z262" i="2"/>
  <c r="AA262" i="2" s="1"/>
  <c r="T262" i="2"/>
  <c r="U262" i="2" s="1"/>
  <c r="R262" i="2"/>
  <c r="Q262" i="2"/>
  <c r="K262" i="2"/>
  <c r="L262" i="2" s="1"/>
  <c r="E262" i="2"/>
  <c r="F262" i="2" s="1"/>
  <c r="B262" i="2"/>
  <c r="AC261" i="2"/>
  <c r="AD261" i="2" s="1"/>
  <c r="AA261" i="2"/>
  <c r="W261" i="2"/>
  <c r="X261" i="2" s="1"/>
  <c r="U261" i="2"/>
  <c r="R261" i="2"/>
  <c r="O261" i="2"/>
  <c r="N261" i="2"/>
  <c r="L261" i="2"/>
  <c r="I261" i="2"/>
  <c r="H261" i="2"/>
  <c r="F261" i="2"/>
  <c r="C261" i="2"/>
  <c r="AD260" i="2"/>
  <c r="AC260" i="2"/>
  <c r="AA260" i="2"/>
  <c r="W260" i="2"/>
  <c r="X260" i="2" s="1"/>
  <c r="U260" i="2"/>
  <c r="R260" i="2"/>
  <c r="N260" i="2"/>
  <c r="O260" i="2" s="1"/>
  <c r="L260" i="2"/>
  <c r="H260" i="2"/>
  <c r="I260" i="2" s="1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I259" i="2"/>
  <c r="H259" i="2"/>
  <c r="F259" i="2"/>
  <c r="C259" i="2"/>
  <c r="AC258" i="2"/>
  <c r="AD258" i="2" s="1"/>
  <c r="AA258" i="2"/>
  <c r="W258" i="2"/>
  <c r="X258" i="2" s="1"/>
  <c r="U258" i="2"/>
  <c r="R258" i="2"/>
  <c r="O258" i="2"/>
  <c r="N258" i="2"/>
  <c r="L258" i="2"/>
  <c r="H258" i="2"/>
  <c r="I258" i="2" s="1"/>
  <c r="F258" i="2"/>
  <c r="C258" i="2"/>
  <c r="AC257" i="2"/>
  <c r="AD257" i="2" s="1"/>
  <c r="AA257" i="2"/>
  <c r="W257" i="2"/>
  <c r="X257" i="2" s="1"/>
  <c r="U257" i="2"/>
  <c r="R257" i="2"/>
  <c r="O257" i="2"/>
  <c r="N257" i="2"/>
  <c r="L257" i="2"/>
  <c r="I257" i="2"/>
  <c r="H257" i="2"/>
  <c r="F257" i="2"/>
  <c r="C257" i="2"/>
  <c r="AC256" i="2"/>
  <c r="AD256" i="2" s="1"/>
  <c r="AA256" i="2"/>
  <c r="W256" i="2"/>
  <c r="X256" i="2" s="1"/>
  <c r="U256" i="2"/>
  <c r="R256" i="2"/>
  <c r="N256" i="2"/>
  <c r="O256" i="2" s="1"/>
  <c r="L256" i="2"/>
  <c r="H256" i="2"/>
  <c r="I256" i="2" s="1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C253" i="2"/>
  <c r="AD253" i="2" s="1"/>
  <c r="AA253" i="2"/>
  <c r="W253" i="2"/>
  <c r="X253" i="2" s="1"/>
  <c r="U253" i="2"/>
  <c r="R253" i="2"/>
  <c r="O253" i="2"/>
  <c r="N253" i="2"/>
  <c r="L253" i="2"/>
  <c r="I253" i="2"/>
  <c r="H253" i="2"/>
  <c r="F253" i="2"/>
  <c r="C253" i="2"/>
  <c r="AD252" i="2"/>
  <c r="AC252" i="2"/>
  <c r="AA252" i="2"/>
  <c r="W252" i="2"/>
  <c r="X252" i="2" s="1"/>
  <c r="U252" i="2"/>
  <c r="R252" i="2"/>
  <c r="N252" i="2"/>
  <c r="O252" i="2" s="1"/>
  <c r="L252" i="2"/>
  <c r="H252" i="2"/>
  <c r="I252" i="2" s="1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D250" i="2"/>
  <c r="AC250" i="2"/>
  <c r="AA250" i="2"/>
  <c r="X250" i="2"/>
  <c r="W250" i="2"/>
  <c r="U250" i="2"/>
  <c r="R250" i="2"/>
  <c r="O250" i="2"/>
  <c r="N250" i="2"/>
  <c r="L250" i="2"/>
  <c r="H250" i="2"/>
  <c r="I250" i="2" s="1"/>
  <c r="F250" i="2"/>
  <c r="C250" i="2"/>
  <c r="AC249" i="2"/>
  <c r="AD249" i="2" s="1"/>
  <c r="AA249" i="2"/>
  <c r="X249" i="2"/>
  <c r="W249" i="2"/>
  <c r="U249" i="2"/>
  <c r="R249" i="2"/>
  <c r="O249" i="2"/>
  <c r="N249" i="2"/>
  <c r="L249" i="2"/>
  <c r="H249" i="2"/>
  <c r="I249" i="2" s="1"/>
  <c r="F249" i="2"/>
  <c r="C249" i="2"/>
  <c r="AD248" i="2"/>
  <c r="AC248" i="2"/>
  <c r="AA248" i="2"/>
  <c r="W248" i="2"/>
  <c r="X248" i="2" s="1"/>
  <c r="U248" i="2"/>
  <c r="R248" i="2"/>
  <c r="N248" i="2"/>
  <c r="O248" i="2" s="1"/>
  <c r="L248" i="2"/>
  <c r="H248" i="2"/>
  <c r="I248" i="2" s="1"/>
  <c r="F248" i="2"/>
  <c r="C248" i="2"/>
  <c r="AD247" i="2"/>
  <c r="AC247" i="2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O246" i="2"/>
  <c r="N246" i="2"/>
  <c r="L246" i="2"/>
  <c r="H246" i="2"/>
  <c r="I246" i="2" s="1"/>
  <c r="F246" i="2"/>
  <c r="C246" i="2"/>
  <c r="AC245" i="2"/>
  <c r="AD245" i="2" s="1"/>
  <c r="AA245" i="2"/>
  <c r="W245" i="2"/>
  <c r="X245" i="2" s="1"/>
  <c r="U245" i="2"/>
  <c r="R245" i="2"/>
  <c r="O245" i="2"/>
  <c r="N245" i="2"/>
  <c r="L245" i="2"/>
  <c r="I245" i="2"/>
  <c r="H245" i="2"/>
  <c r="F245" i="2"/>
  <c r="C245" i="2"/>
  <c r="AD244" i="2"/>
  <c r="AC244" i="2"/>
  <c r="AA244" i="2"/>
  <c r="W244" i="2"/>
  <c r="X244" i="2" s="1"/>
  <c r="U244" i="2"/>
  <c r="R244" i="2"/>
  <c r="N244" i="2"/>
  <c r="O244" i="2" s="1"/>
  <c r="L244" i="2"/>
  <c r="H244" i="2"/>
  <c r="I244" i="2" s="1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I243" i="2"/>
  <c r="H243" i="2"/>
  <c r="F243" i="2"/>
  <c r="C243" i="2"/>
  <c r="AC242" i="2"/>
  <c r="AD242" i="2" s="1"/>
  <c r="AA242" i="2"/>
  <c r="W242" i="2"/>
  <c r="X242" i="2" s="1"/>
  <c r="U242" i="2"/>
  <c r="R242" i="2"/>
  <c r="O242" i="2"/>
  <c r="N242" i="2"/>
  <c r="L242" i="2"/>
  <c r="H242" i="2"/>
  <c r="I242" i="2" s="1"/>
  <c r="F242" i="2"/>
  <c r="C242" i="2"/>
  <c r="AC241" i="2"/>
  <c r="AD241" i="2" s="1"/>
  <c r="AA241" i="2"/>
  <c r="W241" i="2"/>
  <c r="X241" i="2" s="1"/>
  <c r="U241" i="2"/>
  <c r="R241" i="2"/>
  <c r="O241" i="2"/>
  <c r="N241" i="2"/>
  <c r="L241" i="2"/>
  <c r="I241" i="2"/>
  <c r="H241" i="2"/>
  <c r="F241" i="2"/>
  <c r="C241" i="2"/>
  <c r="AD240" i="2"/>
  <c r="AC240" i="2"/>
  <c r="AA240" i="2"/>
  <c r="W240" i="2"/>
  <c r="X240" i="2" s="1"/>
  <c r="U240" i="2"/>
  <c r="R240" i="2"/>
  <c r="N240" i="2"/>
  <c r="O240" i="2" s="1"/>
  <c r="L240" i="2"/>
  <c r="H240" i="2"/>
  <c r="I240" i="2" s="1"/>
  <c r="F240" i="2"/>
  <c r="C240" i="2"/>
  <c r="AC238" i="2"/>
  <c r="AD238" i="2" s="1"/>
  <c r="AA238" i="2"/>
  <c r="X238" i="2"/>
  <c r="W238" i="2"/>
  <c r="U238" i="2"/>
  <c r="R238" i="2"/>
  <c r="O238" i="2"/>
  <c r="N238" i="2"/>
  <c r="L238" i="2"/>
  <c r="H238" i="2"/>
  <c r="I238" i="2" s="1"/>
  <c r="F238" i="2"/>
  <c r="C238" i="2"/>
  <c r="AC236" i="2"/>
  <c r="AD236" i="2" s="1"/>
  <c r="Z236" i="2"/>
  <c r="AA236" i="2" s="1"/>
  <c r="W236" i="2"/>
  <c r="X236" i="2" s="1"/>
  <c r="T236" i="2"/>
  <c r="U236" i="2" s="1"/>
  <c r="R236" i="2"/>
  <c r="Q236" i="2"/>
  <c r="L236" i="2"/>
  <c r="K236" i="2"/>
  <c r="F236" i="2"/>
  <c r="E236" i="2"/>
  <c r="B236" i="2"/>
  <c r="AC235" i="2"/>
  <c r="AD235" i="2" s="1"/>
  <c r="AA235" i="2"/>
  <c r="W235" i="2"/>
  <c r="X235" i="2" s="1"/>
  <c r="U235" i="2"/>
  <c r="R235" i="2"/>
  <c r="O235" i="2"/>
  <c r="N235" i="2"/>
  <c r="L235" i="2"/>
  <c r="H235" i="2"/>
  <c r="I235" i="2" s="1"/>
  <c r="F235" i="2"/>
  <c r="C235" i="2"/>
  <c r="AD234" i="2"/>
  <c r="AC234" i="2"/>
  <c r="AA234" i="2"/>
  <c r="X234" i="2"/>
  <c r="W234" i="2"/>
  <c r="U234" i="2"/>
  <c r="R234" i="2"/>
  <c r="N234" i="2"/>
  <c r="O234" i="2" s="1"/>
  <c r="L234" i="2"/>
  <c r="I234" i="2"/>
  <c r="H234" i="2"/>
  <c r="F234" i="2"/>
  <c r="C234" i="2"/>
  <c r="AC233" i="2"/>
  <c r="AD233" i="2" s="1"/>
  <c r="AA233" i="2"/>
  <c r="W233" i="2"/>
  <c r="X233" i="2" s="1"/>
  <c r="U233" i="2"/>
  <c r="R233" i="2"/>
  <c r="N233" i="2"/>
  <c r="O233" i="2" s="1"/>
  <c r="L233" i="2"/>
  <c r="I233" i="2"/>
  <c r="H233" i="2"/>
  <c r="F233" i="2"/>
  <c r="C233" i="2"/>
  <c r="AC232" i="2"/>
  <c r="AD232" i="2" s="1"/>
  <c r="AA232" i="2"/>
  <c r="X232" i="2"/>
  <c r="W232" i="2"/>
  <c r="U232" i="2"/>
  <c r="R232" i="2"/>
  <c r="O232" i="2"/>
  <c r="N232" i="2"/>
  <c r="L232" i="2"/>
  <c r="H232" i="2"/>
  <c r="I232" i="2" s="1"/>
  <c r="F232" i="2"/>
  <c r="C232" i="2"/>
  <c r="AC231" i="2"/>
  <c r="AD231" i="2" s="1"/>
  <c r="AA231" i="2"/>
  <c r="X231" i="2"/>
  <c r="W231" i="2"/>
  <c r="U231" i="2"/>
  <c r="R231" i="2"/>
  <c r="O231" i="2"/>
  <c r="N231" i="2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N230" i="2"/>
  <c r="O230" i="2" s="1"/>
  <c r="L230" i="2"/>
  <c r="I230" i="2"/>
  <c r="H230" i="2"/>
  <c r="F230" i="2"/>
  <c r="C230" i="2"/>
  <c r="AD229" i="2"/>
  <c r="AC229" i="2"/>
  <c r="AA229" i="2"/>
  <c r="W229" i="2"/>
  <c r="X229" i="2" s="1"/>
  <c r="U229" i="2"/>
  <c r="R229" i="2"/>
  <c r="N229" i="2"/>
  <c r="O229" i="2" s="1"/>
  <c r="L229" i="2"/>
  <c r="H229" i="2"/>
  <c r="I229" i="2" s="1"/>
  <c r="F229" i="2"/>
  <c r="C229" i="2"/>
  <c r="AA227" i="2"/>
  <c r="Z227" i="2"/>
  <c r="W227" i="2"/>
  <c r="X227" i="2" s="1"/>
  <c r="U227" i="2"/>
  <c r="T227" i="2"/>
  <c r="R227" i="2"/>
  <c r="Q227" i="2"/>
  <c r="AC227" i="2" s="1"/>
  <c r="AD227" i="2" s="1"/>
  <c r="K227" i="2"/>
  <c r="L227" i="2" s="1"/>
  <c r="F227" i="2"/>
  <c r="E227" i="2"/>
  <c r="C227" i="2"/>
  <c r="B227" i="2"/>
  <c r="N227" i="2" s="1"/>
  <c r="O227" i="2" s="1"/>
  <c r="AD226" i="2"/>
  <c r="AC226" i="2"/>
  <c r="AA226" i="2"/>
  <c r="W226" i="2"/>
  <c r="X226" i="2" s="1"/>
  <c r="U226" i="2"/>
  <c r="R226" i="2"/>
  <c r="N226" i="2"/>
  <c r="O226" i="2" s="1"/>
  <c r="L226" i="2"/>
  <c r="I226" i="2"/>
  <c r="H226" i="2"/>
  <c r="F226" i="2"/>
  <c r="C226" i="2"/>
  <c r="AD225" i="2"/>
  <c r="AC225" i="2"/>
  <c r="AA225" i="2"/>
  <c r="X225" i="2"/>
  <c r="W225" i="2"/>
  <c r="U225" i="2"/>
  <c r="R225" i="2"/>
  <c r="N225" i="2"/>
  <c r="O225" i="2" s="1"/>
  <c r="L225" i="2"/>
  <c r="I225" i="2"/>
  <c r="H225" i="2"/>
  <c r="F225" i="2"/>
  <c r="C225" i="2"/>
  <c r="AD224" i="2"/>
  <c r="AC224" i="2"/>
  <c r="AA224" i="2"/>
  <c r="W224" i="2"/>
  <c r="X224" i="2" s="1"/>
  <c r="U224" i="2"/>
  <c r="R224" i="2"/>
  <c r="N224" i="2"/>
  <c r="O224" i="2" s="1"/>
  <c r="L224" i="2"/>
  <c r="I224" i="2"/>
  <c r="H224" i="2"/>
  <c r="F224" i="2"/>
  <c r="C224" i="2"/>
  <c r="AD223" i="2"/>
  <c r="AC223" i="2"/>
  <c r="AA223" i="2"/>
  <c r="W223" i="2"/>
  <c r="X223" i="2" s="1"/>
  <c r="U223" i="2"/>
  <c r="R223" i="2"/>
  <c r="N223" i="2"/>
  <c r="O223" i="2" s="1"/>
  <c r="L223" i="2"/>
  <c r="I223" i="2"/>
  <c r="H223" i="2"/>
  <c r="F223" i="2"/>
  <c r="C223" i="2"/>
  <c r="AC222" i="2"/>
  <c r="AD222" i="2" s="1"/>
  <c r="AA222" i="2"/>
  <c r="W222" i="2"/>
  <c r="X222" i="2" s="1"/>
  <c r="U222" i="2"/>
  <c r="R222" i="2"/>
  <c r="N222" i="2"/>
  <c r="O222" i="2" s="1"/>
  <c r="L222" i="2"/>
  <c r="I222" i="2"/>
  <c r="H222" i="2"/>
  <c r="F222" i="2"/>
  <c r="C222" i="2"/>
  <c r="AD221" i="2"/>
  <c r="AC221" i="2"/>
  <c r="AA221" i="2"/>
  <c r="W221" i="2"/>
  <c r="X221" i="2" s="1"/>
  <c r="U221" i="2"/>
  <c r="R221" i="2"/>
  <c r="N221" i="2"/>
  <c r="O221" i="2" s="1"/>
  <c r="L221" i="2"/>
  <c r="I221" i="2"/>
  <c r="H221" i="2"/>
  <c r="F221" i="2"/>
  <c r="C221" i="2"/>
  <c r="AD220" i="2"/>
  <c r="AC220" i="2"/>
  <c r="AA220" i="2"/>
  <c r="W220" i="2"/>
  <c r="X220" i="2" s="1"/>
  <c r="U220" i="2"/>
  <c r="R220" i="2"/>
  <c r="N220" i="2"/>
  <c r="O220" i="2" s="1"/>
  <c r="L220" i="2"/>
  <c r="I220" i="2"/>
  <c r="H220" i="2"/>
  <c r="F220" i="2"/>
  <c r="C220" i="2"/>
  <c r="AD219" i="2"/>
  <c r="AC219" i="2"/>
  <c r="AA219" i="2"/>
  <c r="W219" i="2"/>
  <c r="X219" i="2" s="1"/>
  <c r="U219" i="2"/>
  <c r="R219" i="2"/>
  <c r="O219" i="2"/>
  <c r="N219" i="2"/>
  <c r="L219" i="2"/>
  <c r="I219" i="2"/>
  <c r="H219" i="2"/>
  <c r="F219" i="2"/>
  <c r="C219" i="2"/>
  <c r="AA218" i="2"/>
  <c r="Z218" i="2"/>
  <c r="U218" i="2"/>
  <c r="T218" i="2"/>
  <c r="Q218" i="2"/>
  <c r="W218" i="2" s="1"/>
  <c r="X218" i="2" s="1"/>
  <c r="L218" i="2"/>
  <c r="K218" i="2"/>
  <c r="F218" i="2"/>
  <c r="E218" i="2"/>
  <c r="C218" i="2"/>
  <c r="B218" i="2"/>
  <c r="H218" i="2" s="1"/>
  <c r="I218" i="2" s="1"/>
  <c r="AD217" i="2"/>
  <c r="AC217" i="2"/>
  <c r="AA217" i="2"/>
  <c r="W217" i="2"/>
  <c r="X217" i="2" s="1"/>
  <c r="U217" i="2"/>
  <c r="R217" i="2"/>
  <c r="N217" i="2"/>
  <c r="O217" i="2" s="1"/>
  <c r="L217" i="2"/>
  <c r="I217" i="2"/>
  <c r="H217" i="2"/>
  <c r="F217" i="2"/>
  <c r="C217" i="2"/>
  <c r="AD216" i="2"/>
  <c r="AC216" i="2"/>
  <c r="AA216" i="2"/>
  <c r="W216" i="2"/>
  <c r="X216" i="2" s="1"/>
  <c r="U216" i="2"/>
  <c r="R216" i="2"/>
  <c r="N216" i="2"/>
  <c r="O216" i="2" s="1"/>
  <c r="L216" i="2"/>
  <c r="I216" i="2"/>
  <c r="H216" i="2"/>
  <c r="F216" i="2"/>
  <c r="C216" i="2"/>
  <c r="AD215" i="2"/>
  <c r="AC215" i="2"/>
  <c r="AA215" i="2"/>
  <c r="W215" i="2"/>
  <c r="X215" i="2" s="1"/>
  <c r="U215" i="2"/>
  <c r="R215" i="2"/>
  <c r="N215" i="2"/>
  <c r="O215" i="2" s="1"/>
  <c r="L215" i="2"/>
  <c r="I215" i="2"/>
  <c r="H215" i="2"/>
  <c r="F215" i="2"/>
  <c r="C215" i="2"/>
  <c r="AD214" i="2"/>
  <c r="AC214" i="2"/>
  <c r="AA214" i="2"/>
  <c r="W214" i="2"/>
  <c r="X214" i="2" s="1"/>
  <c r="U214" i="2"/>
  <c r="R214" i="2"/>
  <c r="N214" i="2"/>
  <c r="O214" i="2" s="1"/>
  <c r="L214" i="2"/>
  <c r="H214" i="2"/>
  <c r="I214" i="2" s="1"/>
  <c r="F214" i="2"/>
  <c r="C214" i="2"/>
  <c r="AD213" i="2"/>
  <c r="AC213" i="2"/>
  <c r="AA213" i="2"/>
  <c r="W213" i="2"/>
  <c r="X213" i="2" s="1"/>
  <c r="U213" i="2"/>
  <c r="R213" i="2"/>
  <c r="N213" i="2"/>
  <c r="O213" i="2" s="1"/>
  <c r="L213" i="2"/>
  <c r="I213" i="2"/>
  <c r="H213" i="2"/>
  <c r="F213" i="2"/>
  <c r="C213" i="2"/>
  <c r="AD211" i="2"/>
  <c r="AC211" i="2"/>
  <c r="AA211" i="2"/>
  <c r="W211" i="2"/>
  <c r="X211" i="2" s="1"/>
  <c r="U211" i="2"/>
  <c r="R211" i="2"/>
  <c r="O211" i="2"/>
  <c r="N211" i="2"/>
  <c r="L211" i="2"/>
  <c r="I211" i="2"/>
  <c r="H211" i="2"/>
  <c r="F211" i="2"/>
  <c r="C211" i="2"/>
  <c r="AA209" i="2"/>
  <c r="Z209" i="2"/>
  <c r="U209" i="2"/>
  <c r="T209" i="2"/>
  <c r="Q209" i="2"/>
  <c r="L209" i="2"/>
  <c r="K209" i="2"/>
  <c r="E209" i="2"/>
  <c r="F209" i="2" s="1"/>
  <c r="C209" i="2"/>
  <c r="B209" i="2"/>
  <c r="AD208" i="2"/>
  <c r="AC208" i="2"/>
  <c r="AA208" i="2"/>
  <c r="W208" i="2"/>
  <c r="X208" i="2" s="1"/>
  <c r="U208" i="2"/>
  <c r="R208" i="2"/>
  <c r="N208" i="2"/>
  <c r="O208" i="2" s="1"/>
  <c r="L208" i="2"/>
  <c r="I208" i="2"/>
  <c r="H208" i="2"/>
  <c r="F208" i="2"/>
  <c r="C208" i="2"/>
  <c r="AD207" i="2"/>
  <c r="AC207" i="2"/>
  <c r="AA207" i="2"/>
  <c r="W207" i="2"/>
  <c r="X207" i="2" s="1"/>
  <c r="U207" i="2"/>
  <c r="R207" i="2"/>
  <c r="N207" i="2"/>
  <c r="O207" i="2" s="1"/>
  <c r="L207" i="2"/>
  <c r="I207" i="2"/>
  <c r="H207" i="2"/>
  <c r="F207" i="2"/>
  <c r="C207" i="2"/>
  <c r="AD206" i="2"/>
  <c r="AC206" i="2"/>
  <c r="AA206" i="2"/>
  <c r="W206" i="2"/>
  <c r="X206" i="2" s="1"/>
  <c r="U206" i="2"/>
  <c r="R206" i="2"/>
  <c r="N206" i="2"/>
  <c r="O206" i="2" s="1"/>
  <c r="L206" i="2"/>
  <c r="I206" i="2"/>
  <c r="H206" i="2"/>
  <c r="F206" i="2"/>
  <c r="C206" i="2"/>
  <c r="AD205" i="2"/>
  <c r="AC205" i="2"/>
  <c r="AA205" i="2"/>
  <c r="X205" i="2"/>
  <c r="W205" i="2"/>
  <c r="U205" i="2"/>
  <c r="R205" i="2"/>
  <c r="N205" i="2"/>
  <c r="O205" i="2" s="1"/>
  <c r="L205" i="2"/>
  <c r="I205" i="2"/>
  <c r="H205" i="2"/>
  <c r="F205" i="2"/>
  <c r="C205" i="2"/>
  <c r="AD204" i="2"/>
  <c r="AC204" i="2"/>
  <c r="AA204" i="2"/>
  <c r="W204" i="2"/>
  <c r="X204" i="2" s="1"/>
  <c r="U204" i="2"/>
  <c r="R204" i="2"/>
  <c r="N204" i="2"/>
  <c r="O204" i="2" s="1"/>
  <c r="L204" i="2"/>
  <c r="I204" i="2"/>
  <c r="H204" i="2"/>
  <c r="F204" i="2"/>
  <c r="C204" i="2"/>
  <c r="AD203" i="2"/>
  <c r="AC203" i="2"/>
  <c r="AA203" i="2"/>
  <c r="W203" i="2"/>
  <c r="X203" i="2" s="1"/>
  <c r="U203" i="2"/>
  <c r="R203" i="2"/>
  <c r="O203" i="2"/>
  <c r="N203" i="2"/>
  <c r="L203" i="2"/>
  <c r="I203" i="2"/>
  <c r="H203" i="2"/>
  <c r="F203" i="2"/>
  <c r="C203" i="2"/>
  <c r="AC202" i="2"/>
  <c r="AD202" i="2" s="1"/>
  <c r="AA202" i="2"/>
  <c r="W202" i="2"/>
  <c r="X202" i="2" s="1"/>
  <c r="U202" i="2"/>
  <c r="R202" i="2"/>
  <c r="N202" i="2"/>
  <c r="O202" i="2" s="1"/>
  <c r="L202" i="2"/>
  <c r="I202" i="2"/>
  <c r="H202" i="2"/>
  <c r="F202" i="2"/>
  <c r="C202" i="2"/>
  <c r="AD201" i="2"/>
  <c r="AC201" i="2"/>
  <c r="AA201" i="2"/>
  <c r="W201" i="2"/>
  <c r="X201" i="2" s="1"/>
  <c r="U201" i="2"/>
  <c r="R201" i="2"/>
  <c r="N201" i="2"/>
  <c r="O201" i="2" s="1"/>
  <c r="L201" i="2"/>
  <c r="I201" i="2"/>
  <c r="H201" i="2"/>
  <c r="F201" i="2"/>
  <c r="C201" i="2"/>
  <c r="AA197" i="2"/>
  <c r="Z197" i="2"/>
  <c r="U197" i="2"/>
  <c r="T197" i="2"/>
  <c r="Q197" i="2"/>
  <c r="W197" i="2" s="1"/>
  <c r="X197" i="2" s="1"/>
  <c r="L197" i="2"/>
  <c r="K197" i="2"/>
  <c r="F197" i="2"/>
  <c r="E197" i="2"/>
  <c r="C197" i="2"/>
  <c r="B197" i="2"/>
  <c r="H197" i="2" s="1"/>
  <c r="I197" i="2" s="1"/>
  <c r="AA196" i="2"/>
  <c r="Z196" i="2"/>
  <c r="X196" i="2"/>
  <c r="W196" i="2"/>
  <c r="U196" i="2"/>
  <c r="T196" i="2"/>
  <c r="R196" i="2"/>
  <c r="Q196" i="2"/>
  <c r="AC196" i="2" s="1"/>
  <c r="AD196" i="2" s="1"/>
  <c r="L196" i="2"/>
  <c r="K196" i="2"/>
  <c r="I196" i="2"/>
  <c r="H196" i="2"/>
  <c r="F196" i="2"/>
  <c r="E196" i="2"/>
  <c r="C196" i="2"/>
  <c r="B196" i="2"/>
  <c r="N196" i="2" s="1"/>
  <c r="O196" i="2" s="1"/>
  <c r="AD195" i="2"/>
  <c r="AC195" i="2"/>
  <c r="AA195" i="2"/>
  <c r="W195" i="2"/>
  <c r="X195" i="2" s="1"/>
  <c r="U195" i="2"/>
  <c r="R195" i="2"/>
  <c r="N195" i="2"/>
  <c r="O195" i="2" s="1"/>
  <c r="L195" i="2"/>
  <c r="I195" i="2"/>
  <c r="H195" i="2"/>
  <c r="F195" i="2"/>
  <c r="C195" i="2"/>
  <c r="AD194" i="2"/>
  <c r="AC194" i="2"/>
  <c r="AA194" i="2"/>
  <c r="X194" i="2"/>
  <c r="W194" i="2"/>
  <c r="U194" i="2"/>
  <c r="R194" i="2"/>
  <c r="N194" i="2"/>
  <c r="O194" i="2" s="1"/>
  <c r="L194" i="2"/>
  <c r="H194" i="2"/>
  <c r="I194" i="2" s="1"/>
  <c r="F194" i="2"/>
  <c r="C194" i="2"/>
  <c r="AA193" i="2"/>
  <c r="Z193" i="2"/>
  <c r="W193" i="2"/>
  <c r="X193" i="2" s="1"/>
  <c r="U193" i="2"/>
  <c r="T193" i="2"/>
  <c r="R193" i="2"/>
  <c r="Q193" i="2"/>
  <c r="AC193" i="2" s="1"/>
  <c r="AD193" i="2" s="1"/>
  <c r="L193" i="2"/>
  <c r="K193" i="2"/>
  <c r="I193" i="2"/>
  <c r="H193" i="2"/>
  <c r="F193" i="2"/>
  <c r="E193" i="2"/>
  <c r="C193" i="2"/>
  <c r="B193" i="2"/>
  <c r="AD192" i="2"/>
  <c r="AC192" i="2"/>
  <c r="AA192" i="2"/>
  <c r="W192" i="2"/>
  <c r="X192" i="2" s="1"/>
  <c r="U192" i="2"/>
  <c r="R192" i="2"/>
  <c r="N192" i="2"/>
  <c r="O192" i="2" s="1"/>
  <c r="L192" i="2"/>
  <c r="I192" i="2"/>
  <c r="H192" i="2"/>
  <c r="F192" i="2"/>
  <c r="C192" i="2"/>
  <c r="AD191" i="2"/>
  <c r="AC191" i="2"/>
  <c r="AA191" i="2"/>
  <c r="W191" i="2"/>
  <c r="X191" i="2" s="1"/>
  <c r="U191" i="2"/>
  <c r="R191" i="2"/>
  <c r="N191" i="2"/>
  <c r="O191" i="2" s="1"/>
  <c r="L191" i="2"/>
  <c r="H191" i="2"/>
  <c r="I191" i="2" s="1"/>
  <c r="F191" i="2"/>
  <c r="C191" i="2"/>
  <c r="AD190" i="2"/>
  <c r="AC190" i="2"/>
  <c r="AA190" i="2"/>
  <c r="W190" i="2"/>
  <c r="X190" i="2" s="1"/>
  <c r="U190" i="2"/>
  <c r="R190" i="2"/>
  <c r="N190" i="2"/>
  <c r="O190" i="2" s="1"/>
  <c r="L190" i="2"/>
  <c r="I190" i="2"/>
  <c r="H190" i="2"/>
  <c r="F190" i="2"/>
  <c r="C190" i="2"/>
  <c r="AD189" i="2"/>
  <c r="AC189" i="2"/>
  <c r="AA189" i="2"/>
  <c r="W189" i="2"/>
  <c r="X189" i="2" s="1"/>
  <c r="U189" i="2"/>
  <c r="R189" i="2"/>
  <c r="N189" i="2"/>
  <c r="O189" i="2" s="1"/>
  <c r="L189" i="2"/>
  <c r="I189" i="2"/>
  <c r="H189" i="2"/>
  <c r="F189" i="2"/>
  <c r="C189" i="2"/>
  <c r="AC188" i="2"/>
  <c r="AD188" i="2" s="1"/>
  <c r="AA188" i="2"/>
  <c r="W188" i="2"/>
  <c r="X188" i="2" s="1"/>
  <c r="U188" i="2"/>
  <c r="R188" i="2"/>
  <c r="N188" i="2"/>
  <c r="O188" i="2" s="1"/>
  <c r="L188" i="2"/>
  <c r="I188" i="2"/>
  <c r="H188" i="2"/>
  <c r="F188" i="2"/>
  <c r="C188" i="2"/>
  <c r="AD187" i="2"/>
  <c r="AC187" i="2"/>
  <c r="AA187" i="2"/>
  <c r="X187" i="2"/>
  <c r="W187" i="2"/>
  <c r="U187" i="2"/>
  <c r="R187" i="2"/>
  <c r="N187" i="2"/>
  <c r="O187" i="2" s="1"/>
  <c r="L187" i="2"/>
  <c r="H187" i="2"/>
  <c r="I187" i="2" s="1"/>
  <c r="F187" i="2"/>
  <c r="C187" i="2"/>
  <c r="AD186" i="2"/>
  <c r="AC186" i="2"/>
  <c r="AA186" i="2"/>
  <c r="W186" i="2"/>
  <c r="X186" i="2" s="1"/>
  <c r="U186" i="2"/>
  <c r="R186" i="2"/>
  <c r="N186" i="2"/>
  <c r="O186" i="2" s="1"/>
  <c r="L186" i="2"/>
  <c r="I186" i="2"/>
  <c r="H186" i="2"/>
  <c r="F186" i="2"/>
  <c r="C186" i="2"/>
  <c r="AD184" i="2"/>
  <c r="AC184" i="2"/>
  <c r="AA184" i="2"/>
  <c r="W184" i="2"/>
  <c r="X184" i="2" s="1"/>
  <c r="U184" i="2"/>
  <c r="R184" i="2"/>
  <c r="O184" i="2"/>
  <c r="N184" i="2"/>
  <c r="L184" i="2"/>
  <c r="I184" i="2"/>
  <c r="H184" i="2"/>
  <c r="F184" i="2"/>
  <c r="C184" i="2"/>
  <c r="AC183" i="2"/>
  <c r="AD183" i="2" s="1"/>
  <c r="AA183" i="2"/>
  <c r="W183" i="2"/>
  <c r="X183" i="2" s="1"/>
  <c r="U183" i="2"/>
  <c r="R183" i="2"/>
  <c r="N183" i="2"/>
  <c r="O183" i="2" s="1"/>
  <c r="L183" i="2"/>
  <c r="I183" i="2"/>
  <c r="H183" i="2"/>
  <c r="F183" i="2"/>
  <c r="C183" i="2"/>
  <c r="AA182" i="2"/>
  <c r="Z182" i="2"/>
  <c r="X182" i="2"/>
  <c r="W182" i="2"/>
  <c r="U182" i="2"/>
  <c r="T182" i="2"/>
  <c r="R182" i="2"/>
  <c r="Q182" i="2"/>
  <c r="AC182" i="2" s="1"/>
  <c r="AD182" i="2" s="1"/>
  <c r="L182" i="2"/>
  <c r="K182" i="2"/>
  <c r="F182" i="2"/>
  <c r="E182" i="2"/>
  <c r="B182" i="2"/>
  <c r="AD181" i="2"/>
  <c r="AC181" i="2"/>
  <c r="AA181" i="2"/>
  <c r="W181" i="2"/>
  <c r="X181" i="2" s="1"/>
  <c r="U181" i="2"/>
  <c r="R181" i="2"/>
  <c r="N181" i="2"/>
  <c r="O181" i="2" s="1"/>
  <c r="L181" i="2"/>
  <c r="I181" i="2"/>
  <c r="H181" i="2"/>
  <c r="F181" i="2"/>
  <c r="C181" i="2"/>
  <c r="AD180" i="2"/>
  <c r="AC180" i="2"/>
  <c r="AA180" i="2"/>
  <c r="W180" i="2"/>
  <c r="X180" i="2" s="1"/>
  <c r="U180" i="2"/>
  <c r="R180" i="2"/>
  <c r="N180" i="2"/>
  <c r="O180" i="2" s="1"/>
  <c r="L180" i="2"/>
  <c r="I180" i="2"/>
  <c r="H180" i="2"/>
  <c r="F180" i="2"/>
  <c r="C180" i="2"/>
  <c r="AD179" i="2"/>
  <c r="AC179" i="2"/>
  <c r="AA179" i="2"/>
  <c r="W179" i="2"/>
  <c r="X179" i="2" s="1"/>
  <c r="U179" i="2"/>
  <c r="R179" i="2"/>
  <c r="N179" i="2"/>
  <c r="O179" i="2" s="1"/>
  <c r="L179" i="2"/>
  <c r="H179" i="2"/>
  <c r="I179" i="2" s="1"/>
  <c r="F179" i="2"/>
  <c r="C179" i="2"/>
  <c r="AD178" i="2"/>
  <c r="AC178" i="2"/>
  <c r="AA178" i="2"/>
  <c r="W178" i="2"/>
  <c r="X178" i="2" s="1"/>
  <c r="U178" i="2"/>
  <c r="R178" i="2"/>
  <c r="N178" i="2"/>
  <c r="O178" i="2" s="1"/>
  <c r="L178" i="2"/>
  <c r="I178" i="2"/>
  <c r="H178" i="2"/>
  <c r="F178" i="2"/>
  <c r="C178" i="2"/>
  <c r="AD177" i="2"/>
  <c r="AC177" i="2"/>
  <c r="AA177" i="2"/>
  <c r="W177" i="2"/>
  <c r="X177" i="2" s="1"/>
  <c r="U177" i="2"/>
  <c r="R177" i="2"/>
  <c r="O177" i="2"/>
  <c r="N177" i="2"/>
  <c r="L177" i="2"/>
  <c r="I177" i="2"/>
  <c r="H177" i="2"/>
  <c r="F177" i="2"/>
  <c r="C177" i="2"/>
  <c r="AD175" i="2"/>
  <c r="AC175" i="2"/>
  <c r="AA175" i="2"/>
  <c r="W175" i="2"/>
  <c r="X175" i="2" s="1"/>
  <c r="U175" i="2"/>
  <c r="R175" i="2"/>
  <c r="N175" i="2"/>
  <c r="O175" i="2" s="1"/>
  <c r="L175" i="2"/>
  <c r="I175" i="2"/>
  <c r="H175" i="2"/>
  <c r="F175" i="2"/>
  <c r="C175" i="2"/>
  <c r="AA172" i="2"/>
  <c r="Z172" i="2"/>
  <c r="Z198" i="2" s="1"/>
  <c r="AA198" i="2" s="1"/>
  <c r="B172" i="2"/>
  <c r="AA171" i="2"/>
  <c r="Z171" i="2"/>
  <c r="U171" i="2"/>
  <c r="T171" i="2"/>
  <c r="R171" i="2"/>
  <c r="Q171" i="2"/>
  <c r="W171" i="2" s="1"/>
  <c r="X171" i="2" s="1"/>
  <c r="L171" i="2"/>
  <c r="K171" i="2"/>
  <c r="I171" i="2"/>
  <c r="H171" i="2"/>
  <c r="F171" i="2"/>
  <c r="E171" i="2"/>
  <c r="C171" i="2"/>
  <c r="B171" i="2"/>
  <c r="N171" i="2" s="1"/>
  <c r="O171" i="2" s="1"/>
  <c r="AA170" i="2"/>
  <c r="Z170" i="2"/>
  <c r="X170" i="2"/>
  <c r="W170" i="2"/>
  <c r="U170" i="2"/>
  <c r="T170" i="2"/>
  <c r="R170" i="2"/>
  <c r="Q170" i="2"/>
  <c r="AC170" i="2" s="1"/>
  <c r="AD170" i="2" s="1"/>
  <c r="L170" i="2"/>
  <c r="K170" i="2"/>
  <c r="F170" i="2"/>
  <c r="E170" i="2"/>
  <c r="B170" i="2"/>
  <c r="H170" i="2" s="1"/>
  <c r="I170" i="2" s="1"/>
  <c r="AD169" i="2"/>
  <c r="AC169" i="2"/>
  <c r="AA169" i="2"/>
  <c r="W169" i="2"/>
  <c r="X169" i="2" s="1"/>
  <c r="U169" i="2"/>
  <c r="R169" i="2"/>
  <c r="N169" i="2"/>
  <c r="O169" i="2" s="1"/>
  <c r="L169" i="2"/>
  <c r="I169" i="2"/>
  <c r="H169" i="2"/>
  <c r="F169" i="2"/>
  <c r="C169" i="2"/>
  <c r="AD168" i="2"/>
  <c r="AC168" i="2"/>
  <c r="AA168" i="2"/>
  <c r="W168" i="2"/>
  <c r="X168" i="2" s="1"/>
  <c r="U168" i="2"/>
  <c r="R168" i="2"/>
  <c r="N168" i="2"/>
  <c r="O168" i="2" s="1"/>
  <c r="L168" i="2"/>
  <c r="I168" i="2"/>
  <c r="H168" i="2"/>
  <c r="F168" i="2"/>
  <c r="C168" i="2"/>
  <c r="AD167" i="2"/>
  <c r="AC167" i="2"/>
  <c r="AA167" i="2"/>
  <c r="W167" i="2"/>
  <c r="X167" i="2" s="1"/>
  <c r="U167" i="2"/>
  <c r="R167" i="2"/>
  <c r="N167" i="2"/>
  <c r="O167" i="2" s="1"/>
  <c r="L167" i="2"/>
  <c r="I167" i="2"/>
  <c r="H167" i="2"/>
  <c r="F167" i="2"/>
  <c r="C167" i="2"/>
  <c r="AA166" i="2"/>
  <c r="Z166" i="2"/>
  <c r="X166" i="2"/>
  <c r="W166" i="2"/>
  <c r="U166" i="2"/>
  <c r="T166" i="2"/>
  <c r="R166" i="2"/>
  <c r="Q166" i="2"/>
  <c r="AC166" i="2" s="1"/>
  <c r="AD166" i="2" s="1"/>
  <c r="L166" i="2"/>
  <c r="K166" i="2"/>
  <c r="I166" i="2"/>
  <c r="H166" i="2"/>
  <c r="F166" i="2"/>
  <c r="E166" i="2"/>
  <c r="C166" i="2"/>
  <c r="B166" i="2"/>
  <c r="N166" i="2" s="1"/>
  <c r="O166" i="2" s="1"/>
  <c r="AD165" i="2"/>
  <c r="AC165" i="2"/>
  <c r="AA165" i="2"/>
  <c r="W165" i="2"/>
  <c r="X165" i="2" s="1"/>
  <c r="U165" i="2"/>
  <c r="R165" i="2"/>
  <c r="N165" i="2"/>
  <c r="O165" i="2" s="1"/>
  <c r="L165" i="2"/>
  <c r="I165" i="2"/>
  <c r="H165" i="2"/>
  <c r="F165" i="2"/>
  <c r="C165" i="2"/>
  <c r="AD164" i="2"/>
  <c r="AC164" i="2"/>
  <c r="AA164" i="2"/>
  <c r="W164" i="2"/>
  <c r="X164" i="2" s="1"/>
  <c r="U164" i="2"/>
  <c r="R164" i="2"/>
  <c r="N164" i="2"/>
  <c r="O164" i="2" s="1"/>
  <c r="L164" i="2"/>
  <c r="H164" i="2"/>
  <c r="I164" i="2" s="1"/>
  <c r="F164" i="2"/>
  <c r="C164" i="2"/>
  <c r="AD163" i="2"/>
  <c r="AC163" i="2"/>
  <c r="AA163" i="2"/>
  <c r="W163" i="2"/>
  <c r="X163" i="2" s="1"/>
  <c r="U163" i="2"/>
  <c r="R163" i="2"/>
  <c r="N163" i="2"/>
  <c r="O163" i="2" s="1"/>
  <c r="L163" i="2"/>
  <c r="I163" i="2"/>
  <c r="H163" i="2"/>
  <c r="F163" i="2"/>
  <c r="C163" i="2"/>
  <c r="AD162" i="2"/>
  <c r="AC162" i="2"/>
  <c r="AA162" i="2"/>
  <c r="W162" i="2"/>
  <c r="X162" i="2" s="1"/>
  <c r="U162" i="2"/>
  <c r="R162" i="2"/>
  <c r="O162" i="2"/>
  <c r="N162" i="2"/>
  <c r="L162" i="2"/>
  <c r="I162" i="2"/>
  <c r="H162" i="2"/>
  <c r="F162" i="2"/>
  <c r="C162" i="2"/>
  <c r="AD161" i="2"/>
  <c r="AC161" i="2"/>
  <c r="AA161" i="2"/>
  <c r="W161" i="2"/>
  <c r="X161" i="2" s="1"/>
  <c r="U161" i="2"/>
  <c r="R161" i="2"/>
  <c r="N161" i="2"/>
  <c r="O161" i="2" s="1"/>
  <c r="L161" i="2"/>
  <c r="I161" i="2"/>
  <c r="H161" i="2"/>
  <c r="F161" i="2"/>
  <c r="C161" i="2"/>
  <c r="AD160" i="2"/>
  <c r="AC160" i="2"/>
  <c r="AA160" i="2"/>
  <c r="W160" i="2"/>
  <c r="X160" i="2" s="1"/>
  <c r="U160" i="2"/>
  <c r="R160" i="2"/>
  <c r="N160" i="2"/>
  <c r="O160" i="2" s="1"/>
  <c r="L160" i="2"/>
  <c r="H160" i="2"/>
  <c r="I160" i="2" s="1"/>
  <c r="F160" i="2"/>
  <c r="C160" i="2"/>
  <c r="AA158" i="2"/>
  <c r="Z158" i="2"/>
  <c r="X158" i="2"/>
  <c r="W158" i="2"/>
  <c r="U158" i="2"/>
  <c r="T158" i="2"/>
  <c r="R158" i="2"/>
  <c r="Q158" i="2"/>
  <c r="AC158" i="2" s="1"/>
  <c r="AD158" i="2" s="1"/>
  <c r="K158" i="2"/>
  <c r="L158" i="2" s="1"/>
  <c r="I158" i="2"/>
  <c r="H158" i="2"/>
  <c r="F158" i="2"/>
  <c r="E158" i="2"/>
  <c r="C158" i="2"/>
  <c r="B158" i="2"/>
  <c r="N158" i="2" s="1"/>
  <c r="O158" i="2" s="1"/>
  <c r="AC157" i="2"/>
  <c r="AD157" i="2" s="1"/>
  <c r="AA157" i="2"/>
  <c r="W157" i="2"/>
  <c r="X157" i="2" s="1"/>
  <c r="U157" i="2"/>
  <c r="R157" i="2"/>
  <c r="N157" i="2"/>
  <c r="O157" i="2" s="1"/>
  <c r="L157" i="2"/>
  <c r="I157" i="2"/>
  <c r="H157" i="2"/>
  <c r="F157" i="2"/>
  <c r="C157" i="2"/>
  <c r="AD156" i="2"/>
  <c r="AC156" i="2"/>
  <c r="AA156" i="2"/>
  <c r="X156" i="2"/>
  <c r="W156" i="2"/>
  <c r="U156" i="2"/>
  <c r="R156" i="2"/>
  <c r="N156" i="2"/>
  <c r="O156" i="2" s="1"/>
  <c r="L156" i="2"/>
  <c r="H156" i="2"/>
  <c r="I156" i="2" s="1"/>
  <c r="F156" i="2"/>
  <c r="C156" i="2"/>
  <c r="AD155" i="2"/>
  <c r="AC155" i="2"/>
  <c r="AA155" i="2"/>
  <c r="W155" i="2"/>
  <c r="X155" i="2" s="1"/>
  <c r="U155" i="2"/>
  <c r="R155" i="2"/>
  <c r="N155" i="2"/>
  <c r="O155" i="2" s="1"/>
  <c r="L155" i="2"/>
  <c r="I155" i="2"/>
  <c r="H155" i="2"/>
  <c r="F155" i="2"/>
  <c r="C155" i="2"/>
  <c r="AD154" i="2"/>
  <c r="AC154" i="2"/>
  <c r="AA154" i="2"/>
  <c r="W154" i="2"/>
  <c r="X154" i="2" s="1"/>
  <c r="U154" i="2"/>
  <c r="R154" i="2"/>
  <c r="N154" i="2"/>
  <c r="O154" i="2" s="1"/>
  <c r="L154" i="2"/>
  <c r="I154" i="2"/>
  <c r="H154" i="2"/>
  <c r="F154" i="2"/>
  <c r="C154" i="2"/>
  <c r="AD153" i="2"/>
  <c r="AC153" i="2"/>
  <c r="AA153" i="2"/>
  <c r="W153" i="2"/>
  <c r="X153" i="2" s="1"/>
  <c r="U153" i="2"/>
  <c r="R153" i="2"/>
  <c r="N153" i="2"/>
  <c r="O153" i="2" s="1"/>
  <c r="L153" i="2"/>
  <c r="I153" i="2"/>
  <c r="H153" i="2"/>
  <c r="F153" i="2"/>
  <c r="C153" i="2"/>
  <c r="AD151" i="2"/>
  <c r="AC151" i="2"/>
  <c r="AA151" i="2"/>
  <c r="W151" i="2"/>
  <c r="X151" i="2" s="1"/>
  <c r="U151" i="2"/>
  <c r="R151" i="2"/>
  <c r="N151" i="2"/>
  <c r="O151" i="2" s="1"/>
  <c r="L151" i="2"/>
  <c r="I151" i="2"/>
  <c r="H151" i="2"/>
  <c r="F151" i="2"/>
  <c r="C151" i="2"/>
  <c r="AA149" i="2"/>
  <c r="Z149" i="2"/>
  <c r="X149" i="2"/>
  <c r="W149" i="2"/>
  <c r="U149" i="2"/>
  <c r="T149" i="2"/>
  <c r="R149" i="2"/>
  <c r="Q149" i="2"/>
  <c r="AC149" i="2" s="1"/>
  <c r="AD149" i="2" s="1"/>
  <c r="L149" i="2"/>
  <c r="K149" i="2"/>
  <c r="I149" i="2"/>
  <c r="H149" i="2"/>
  <c r="F149" i="2"/>
  <c r="E149" i="2"/>
  <c r="C149" i="2"/>
  <c r="B149" i="2"/>
  <c r="N149" i="2" s="1"/>
  <c r="O149" i="2" s="1"/>
  <c r="AA148" i="2"/>
  <c r="Z148" i="2"/>
  <c r="U148" i="2"/>
  <c r="T148" i="2"/>
  <c r="Q148" i="2"/>
  <c r="W148" i="2" s="1"/>
  <c r="X148" i="2" s="1"/>
  <c r="L148" i="2"/>
  <c r="K148" i="2"/>
  <c r="E148" i="2"/>
  <c r="F148" i="2" s="1"/>
  <c r="C148" i="2"/>
  <c r="B148" i="2"/>
  <c r="H148" i="2" s="1"/>
  <c r="I148" i="2" s="1"/>
  <c r="AD147" i="2"/>
  <c r="AC147" i="2"/>
  <c r="AA147" i="2"/>
  <c r="W147" i="2"/>
  <c r="X147" i="2" s="1"/>
  <c r="U147" i="2"/>
  <c r="R147" i="2"/>
  <c r="N147" i="2"/>
  <c r="O147" i="2" s="1"/>
  <c r="L147" i="2"/>
  <c r="I147" i="2"/>
  <c r="H147" i="2"/>
  <c r="F147" i="2"/>
  <c r="C147" i="2"/>
  <c r="AD146" i="2"/>
  <c r="AC146" i="2"/>
  <c r="AA146" i="2"/>
  <c r="W146" i="2"/>
  <c r="X146" i="2" s="1"/>
  <c r="U146" i="2"/>
  <c r="R146" i="2"/>
  <c r="O146" i="2"/>
  <c r="N146" i="2"/>
  <c r="L146" i="2"/>
  <c r="I146" i="2"/>
  <c r="H146" i="2"/>
  <c r="F146" i="2"/>
  <c r="C146" i="2"/>
  <c r="AC145" i="2"/>
  <c r="AD145" i="2" s="1"/>
  <c r="AA145" i="2"/>
  <c r="W145" i="2"/>
  <c r="X145" i="2" s="1"/>
  <c r="U145" i="2"/>
  <c r="R145" i="2"/>
  <c r="N145" i="2"/>
  <c r="O145" i="2" s="1"/>
  <c r="L145" i="2"/>
  <c r="I145" i="2"/>
  <c r="H145" i="2"/>
  <c r="F145" i="2"/>
  <c r="C145" i="2"/>
  <c r="AD144" i="2"/>
  <c r="AC144" i="2"/>
  <c r="AA144" i="2"/>
  <c r="X144" i="2"/>
  <c r="W144" i="2"/>
  <c r="U144" i="2"/>
  <c r="R144" i="2"/>
  <c r="N144" i="2"/>
  <c r="O144" i="2" s="1"/>
  <c r="L144" i="2"/>
  <c r="H144" i="2"/>
  <c r="I144" i="2" s="1"/>
  <c r="F144" i="2"/>
  <c r="C144" i="2"/>
  <c r="AD143" i="2"/>
  <c r="AC143" i="2"/>
  <c r="AA143" i="2"/>
  <c r="W143" i="2"/>
  <c r="X143" i="2" s="1"/>
  <c r="U143" i="2"/>
  <c r="R143" i="2"/>
  <c r="N143" i="2"/>
  <c r="O143" i="2" s="1"/>
  <c r="L143" i="2"/>
  <c r="I143" i="2"/>
  <c r="H143" i="2"/>
  <c r="F143" i="2"/>
  <c r="C143" i="2"/>
  <c r="AA141" i="2"/>
  <c r="Z141" i="2"/>
  <c r="T141" i="2"/>
  <c r="U141" i="2" s="1"/>
  <c r="R141" i="2"/>
  <c r="Q141" i="2"/>
  <c r="L141" i="2"/>
  <c r="K141" i="2"/>
  <c r="I141" i="2"/>
  <c r="H141" i="2"/>
  <c r="F141" i="2"/>
  <c r="E141" i="2"/>
  <c r="C141" i="2"/>
  <c r="B141" i="2"/>
  <c r="N141" i="2" s="1"/>
  <c r="O141" i="2" s="1"/>
  <c r="AD140" i="2"/>
  <c r="AC140" i="2"/>
  <c r="AA140" i="2"/>
  <c r="W140" i="2"/>
  <c r="X140" i="2" s="1"/>
  <c r="U140" i="2"/>
  <c r="R140" i="2"/>
  <c r="N140" i="2"/>
  <c r="O140" i="2" s="1"/>
  <c r="L140" i="2"/>
  <c r="H140" i="2"/>
  <c r="I140" i="2" s="1"/>
  <c r="F140" i="2"/>
  <c r="C140" i="2"/>
  <c r="AD139" i="2"/>
  <c r="AC139" i="2"/>
  <c r="AA139" i="2"/>
  <c r="W139" i="2"/>
  <c r="X139" i="2" s="1"/>
  <c r="U139" i="2"/>
  <c r="R139" i="2"/>
  <c r="N139" i="2"/>
  <c r="O139" i="2" s="1"/>
  <c r="L139" i="2"/>
  <c r="I139" i="2"/>
  <c r="H139" i="2"/>
  <c r="F139" i="2"/>
  <c r="C139" i="2"/>
  <c r="AD138" i="2"/>
  <c r="AC138" i="2"/>
  <c r="AA138" i="2"/>
  <c r="W138" i="2"/>
  <c r="X138" i="2" s="1"/>
  <c r="U138" i="2"/>
  <c r="R138" i="2"/>
  <c r="N138" i="2"/>
  <c r="O138" i="2" s="1"/>
  <c r="L138" i="2"/>
  <c r="I138" i="2"/>
  <c r="H138" i="2"/>
  <c r="F138" i="2"/>
  <c r="C138" i="2"/>
  <c r="AC137" i="2"/>
  <c r="AD137" i="2" s="1"/>
  <c r="AA137" i="2"/>
  <c r="W137" i="2"/>
  <c r="X137" i="2" s="1"/>
  <c r="U137" i="2"/>
  <c r="R137" i="2"/>
  <c r="N137" i="2"/>
  <c r="O137" i="2" s="1"/>
  <c r="L137" i="2"/>
  <c r="I137" i="2"/>
  <c r="H137" i="2"/>
  <c r="F137" i="2"/>
  <c r="C137" i="2"/>
  <c r="AD136" i="2"/>
  <c r="AC136" i="2"/>
  <c r="AA136" i="2"/>
  <c r="X136" i="2"/>
  <c r="W136" i="2"/>
  <c r="U136" i="2"/>
  <c r="R136" i="2"/>
  <c r="N136" i="2"/>
  <c r="O136" i="2" s="1"/>
  <c r="L136" i="2"/>
  <c r="H136" i="2"/>
  <c r="I136" i="2" s="1"/>
  <c r="F136" i="2"/>
  <c r="C136" i="2"/>
  <c r="AD135" i="2"/>
  <c r="AC135" i="2"/>
  <c r="AA135" i="2"/>
  <c r="W135" i="2"/>
  <c r="X135" i="2" s="1"/>
  <c r="U135" i="2"/>
  <c r="R135" i="2"/>
  <c r="N135" i="2"/>
  <c r="O135" i="2" s="1"/>
  <c r="L135" i="2"/>
  <c r="I135" i="2"/>
  <c r="H135" i="2"/>
  <c r="F135" i="2"/>
  <c r="C135" i="2"/>
  <c r="AD134" i="2"/>
  <c r="AC134" i="2"/>
  <c r="AA134" i="2"/>
  <c r="W134" i="2"/>
  <c r="X134" i="2" s="1"/>
  <c r="U134" i="2"/>
  <c r="R134" i="2"/>
  <c r="N134" i="2"/>
  <c r="O134" i="2" s="1"/>
  <c r="L134" i="2"/>
  <c r="I134" i="2"/>
  <c r="H134" i="2"/>
  <c r="F134" i="2"/>
  <c r="C134" i="2"/>
  <c r="AC133" i="2"/>
  <c r="AD133" i="2" s="1"/>
  <c r="AA133" i="2"/>
  <c r="W133" i="2"/>
  <c r="X133" i="2" s="1"/>
  <c r="U133" i="2"/>
  <c r="R133" i="2"/>
  <c r="N133" i="2"/>
  <c r="O133" i="2" s="1"/>
  <c r="L133" i="2"/>
  <c r="I133" i="2"/>
  <c r="H133" i="2"/>
  <c r="F133" i="2"/>
  <c r="C133" i="2"/>
  <c r="AD132" i="2"/>
  <c r="AC132" i="2"/>
  <c r="AA132" i="2"/>
  <c r="W132" i="2"/>
  <c r="X132" i="2" s="1"/>
  <c r="U132" i="2"/>
  <c r="R132" i="2"/>
  <c r="N132" i="2"/>
  <c r="O132" i="2" s="1"/>
  <c r="L132" i="2"/>
  <c r="I132" i="2"/>
  <c r="H132" i="2"/>
  <c r="F132" i="2"/>
  <c r="C132" i="2"/>
  <c r="AD131" i="2"/>
  <c r="AC131" i="2"/>
  <c r="AA131" i="2"/>
  <c r="W131" i="2"/>
  <c r="X131" i="2" s="1"/>
  <c r="U131" i="2"/>
  <c r="R131" i="2"/>
  <c r="N131" i="2"/>
  <c r="O131" i="2" s="1"/>
  <c r="L131" i="2"/>
  <c r="I131" i="2"/>
  <c r="H131" i="2"/>
  <c r="F131" i="2"/>
  <c r="C131" i="2"/>
  <c r="AD130" i="2"/>
  <c r="AC130" i="2"/>
  <c r="AA130" i="2"/>
  <c r="W130" i="2"/>
  <c r="X130" i="2" s="1"/>
  <c r="U130" i="2"/>
  <c r="R130" i="2"/>
  <c r="N130" i="2"/>
  <c r="O130" i="2" s="1"/>
  <c r="L130" i="2"/>
  <c r="I130" i="2"/>
  <c r="H130" i="2"/>
  <c r="F130" i="2"/>
  <c r="C130" i="2"/>
  <c r="AD129" i="2"/>
  <c r="AC129" i="2"/>
  <c r="AA129" i="2"/>
  <c r="W129" i="2"/>
  <c r="X129" i="2" s="1"/>
  <c r="U129" i="2"/>
  <c r="R129" i="2"/>
  <c r="N129" i="2"/>
  <c r="O129" i="2" s="1"/>
  <c r="L129" i="2"/>
  <c r="I129" i="2"/>
  <c r="H129" i="2"/>
  <c r="F129" i="2"/>
  <c r="C129" i="2"/>
  <c r="AD127" i="2"/>
  <c r="AC127" i="2"/>
  <c r="AA127" i="2"/>
  <c r="W127" i="2"/>
  <c r="X127" i="2" s="1"/>
  <c r="U127" i="2"/>
  <c r="R127" i="2"/>
  <c r="N127" i="2"/>
  <c r="O127" i="2" s="1"/>
  <c r="L127" i="2"/>
  <c r="H127" i="2"/>
  <c r="I127" i="2" s="1"/>
  <c r="F127" i="2"/>
  <c r="C127" i="2"/>
  <c r="AA124" i="2"/>
  <c r="Z124" i="2"/>
  <c r="W124" i="2"/>
  <c r="X124" i="2" s="1"/>
  <c r="U124" i="2"/>
  <c r="T124" i="2"/>
  <c r="T172" i="2" s="1"/>
  <c r="T198" i="2" s="1"/>
  <c r="T345" i="2" s="1"/>
  <c r="R124" i="2"/>
  <c r="Q124" i="2"/>
  <c r="AC124" i="2" s="1"/>
  <c r="AD124" i="2" s="1"/>
  <c r="L124" i="2"/>
  <c r="K124" i="2"/>
  <c r="K172" i="2" s="1"/>
  <c r="K198" i="2" s="1"/>
  <c r="I124" i="2"/>
  <c r="H124" i="2"/>
  <c r="F124" i="2"/>
  <c r="E124" i="2"/>
  <c r="E172" i="2" s="1"/>
  <c r="C124" i="2"/>
  <c r="B124" i="2"/>
  <c r="N124" i="2" s="1"/>
  <c r="O124" i="2" s="1"/>
  <c r="AD123" i="2"/>
  <c r="AC123" i="2"/>
  <c r="AA123" i="2"/>
  <c r="W123" i="2"/>
  <c r="X123" i="2" s="1"/>
  <c r="U123" i="2"/>
  <c r="R123" i="2"/>
  <c r="N123" i="2"/>
  <c r="O123" i="2" s="1"/>
  <c r="L123" i="2"/>
  <c r="I123" i="2"/>
  <c r="H123" i="2"/>
  <c r="F123" i="2"/>
  <c r="C123" i="2"/>
  <c r="Z122" i="2"/>
  <c r="AA122" i="2" s="1"/>
  <c r="X122" i="2"/>
  <c r="W122" i="2"/>
  <c r="U122" i="2"/>
  <c r="T122" i="2"/>
  <c r="Q122" i="2"/>
  <c r="R122" i="2" s="1"/>
  <c r="N122" i="2"/>
  <c r="O122" i="2" s="1"/>
  <c r="L122" i="2"/>
  <c r="K122" i="2"/>
  <c r="I122" i="2"/>
  <c r="E122" i="2"/>
  <c r="F122" i="2" s="1"/>
  <c r="C122" i="2"/>
  <c r="B122" i="2"/>
  <c r="H122" i="2" s="1"/>
  <c r="AD121" i="2"/>
  <c r="AC121" i="2"/>
  <c r="AA121" i="2"/>
  <c r="W121" i="2"/>
  <c r="X121" i="2" s="1"/>
  <c r="U121" i="2"/>
  <c r="R121" i="2"/>
  <c r="O121" i="2"/>
  <c r="N121" i="2"/>
  <c r="L121" i="2"/>
  <c r="I121" i="2"/>
  <c r="H121" i="2"/>
  <c r="F121" i="2"/>
  <c r="C121" i="2"/>
  <c r="AD120" i="2"/>
  <c r="AC120" i="2"/>
  <c r="AA120" i="2"/>
  <c r="W120" i="2"/>
  <c r="X120" i="2" s="1"/>
  <c r="U120" i="2"/>
  <c r="R120" i="2"/>
  <c r="N120" i="2"/>
  <c r="O120" i="2" s="1"/>
  <c r="L120" i="2"/>
  <c r="I120" i="2"/>
  <c r="H120" i="2"/>
  <c r="F120" i="2"/>
  <c r="C120" i="2"/>
  <c r="AC119" i="2"/>
  <c r="AD119" i="2" s="1"/>
  <c r="AA119" i="2"/>
  <c r="X119" i="2"/>
  <c r="W119" i="2"/>
  <c r="U119" i="2"/>
  <c r="R119" i="2"/>
  <c r="N119" i="2"/>
  <c r="O119" i="2" s="1"/>
  <c r="L119" i="2"/>
  <c r="H119" i="2"/>
  <c r="I119" i="2" s="1"/>
  <c r="F119" i="2"/>
  <c r="C119" i="2"/>
  <c r="AD118" i="2"/>
  <c r="Z118" i="2"/>
  <c r="AA118" i="2" s="1"/>
  <c r="W118" i="2"/>
  <c r="X118" i="2" s="1"/>
  <c r="U118" i="2"/>
  <c r="T118" i="2"/>
  <c r="R118" i="2"/>
  <c r="Q118" i="2"/>
  <c r="AC118" i="2" s="1"/>
  <c r="L118" i="2"/>
  <c r="K118" i="2"/>
  <c r="I118" i="2"/>
  <c r="H118" i="2"/>
  <c r="F118" i="2"/>
  <c r="E118" i="2"/>
  <c r="B118" i="2"/>
  <c r="C118" i="2" s="1"/>
  <c r="AC117" i="2"/>
  <c r="AD117" i="2" s="1"/>
  <c r="AA117" i="2"/>
  <c r="W117" i="2"/>
  <c r="X117" i="2" s="1"/>
  <c r="U117" i="2"/>
  <c r="R117" i="2"/>
  <c r="N117" i="2"/>
  <c r="O117" i="2" s="1"/>
  <c r="L117" i="2"/>
  <c r="I117" i="2"/>
  <c r="H117" i="2"/>
  <c r="F117" i="2"/>
  <c r="C117" i="2"/>
  <c r="AC116" i="2"/>
  <c r="AD116" i="2" s="1"/>
  <c r="AA116" i="2"/>
  <c r="W116" i="2"/>
  <c r="X116" i="2" s="1"/>
  <c r="U116" i="2"/>
  <c r="R116" i="2"/>
  <c r="N116" i="2"/>
  <c r="O116" i="2" s="1"/>
  <c r="L116" i="2"/>
  <c r="H116" i="2"/>
  <c r="I116" i="2" s="1"/>
  <c r="F116" i="2"/>
  <c r="C116" i="2"/>
  <c r="AD115" i="2"/>
  <c r="AC115" i="2"/>
  <c r="AA115" i="2"/>
  <c r="W115" i="2"/>
  <c r="X115" i="2" s="1"/>
  <c r="U115" i="2"/>
  <c r="R115" i="2"/>
  <c r="N115" i="2"/>
  <c r="O115" i="2" s="1"/>
  <c r="L115" i="2"/>
  <c r="H115" i="2"/>
  <c r="I115" i="2" s="1"/>
  <c r="F115" i="2"/>
  <c r="C115" i="2"/>
  <c r="AD114" i="2"/>
  <c r="AC114" i="2"/>
  <c r="AA114" i="2"/>
  <c r="W114" i="2"/>
  <c r="X114" i="2" s="1"/>
  <c r="U114" i="2"/>
  <c r="R114" i="2"/>
  <c r="O114" i="2"/>
  <c r="N114" i="2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N113" i="2"/>
  <c r="O113" i="2" s="1"/>
  <c r="L113" i="2"/>
  <c r="I113" i="2"/>
  <c r="H113" i="2"/>
  <c r="F113" i="2"/>
  <c r="C113" i="2"/>
  <c r="AC112" i="2"/>
  <c r="AD112" i="2" s="1"/>
  <c r="AA112" i="2"/>
  <c r="X112" i="2"/>
  <c r="W112" i="2"/>
  <c r="U112" i="2"/>
  <c r="R112" i="2"/>
  <c r="N112" i="2"/>
  <c r="O112" i="2" s="1"/>
  <c r="L112" i="2"/>
  <c r="H112" i="2"/>
  <c r="I112" i="2" s="1"/>
  <c r="F112" i="2"/>
  <c r="C112" i="2"/>
  <c r="AD111" i="2"/>
  <c r="AC111" i="2"/>
  <c r="AA111" i="2"/>
  <c r="W111" i="2"/>
  <c r="X111" i="2" s="1"/>
  <c r="U111" i="2"/>
  <c r="R111" i="2"/>
  <c r="N111" i="2"/>
  <c r="O111" i="2" s="1"/>
  <c r="L111" i="2"/>
  <c r="H111" i="2"/>
  <c r="I111" i="2" s="1"/>
  <c r="F111" i="2"/>
  <c r="C111" i="2"/>
  <c r="AD110" i="2"/>
  <c r="AC110" i="2"/>
  <c r="AA110" i="2"/>
  <c r="W110" i="2"/>
  <c r="X110" i="2" s="1"/>
  <c r="U110" i="2"/>
  <c r="R110" i="2"/>
  <c r="O110" i="2"/>
  <c r="N110" i="2"/>
  <c r="L110" i="2"/>
  <c r="I110" i="2"/>
  <c r="H110" i="2"/>
  <c r="F110" i="2"/>
  <c r="C110" i="2"/>
  <c r="AC109" i="2"/>
  <c r="AD109" i="2" s="1"/>
  <c r="AA109" i="2"/>
  <c r="W109" i="2"/>
  <c r="X109" i="2" s="1"/>
  <c r="U109" i="2"/>
  <c r="R109" i="2"/>
  <c r="N109" i="2"/>
  <c r="O109" i="2" s="1"/>
  <c r="L109" i="2"/>
  <c r="I109" i="2"/>
  <c r="H109" i="2"/>
  <c r="F109" i="2"/>
  <c r="C109" i="2"/>
  <c r="AC108" i="2"/>
  <c r="AD108" i="2" s="1"/>
  <c r="AA108" i="2"/>
  <c r="X108" i="2"/>
  <c r="W108" i="2"/>
  <c r="U108" i="2"/>
  <c r="R108" i="2"/>
  <c r="N108" i="2"/>
  <c r="O108" i="2" s="1"/>
  <c r="L108" i="2"/>
  <c r="H108" i="2"/>
  <c r="I108" i="2" s="1"/>
  <c r="F108" i="2"/>
  <c r="C108" i="2"/>
  <c r="AD107" i="2"/>
  <c r="AC107" i="2"/>
  <c r="AA107" i="2"/>
  <c r="W107" i="2"/>
  <c r="X107" i="2" s="1"/>
  <c r="U107" i="2"/>
  <c r="R107" i="2"/>
  <c r="N107" i="2"/>
  <c r="O107" i="2" s="1"/>
  <c r="L107" i="2"/>
  <c r="H107" i="2"/>
  <c r="I107" i="2" s="1"/>
  <c r="F107" i="2"/>
  <c r="C107" i="2"/>
  <c r="AD106" i="2"/>
  <c r="AC106" i="2"/>
  <c r="AA106" i="2"/>
  <c r="W106" i="2"/>
  <c r="X106" i="2" s="1"/>
  <c r="U106" i="2"/>
  <c r="R106" i="2"/>
  <c r="O106" i="2"/>
  <c r="N106" i="2"/>
  <c r="L106" i="2"/>
  <c r="I106" i="2"/>
  <c r="H106" i="2"/>
  <c r="F106" i="2"/>
  <c r="C106" i="2"/>
  <c r="AC105" i="2"/>
  <c r="AD105" i="2" s="1"/>
  <c r="AA105" i="2"/>
  <c r="W105" i="2"/>
  <c r="X105" i="2" s="1"/>
  <c r="U105" i="2"/>
  <c r="R105" i="2"/>
  <c r="N105" i="2"/>
  <c r="O105" i="2" s="1"/>
  <c r="L105" i="2"/>
  <c r="I105" i="2"/>
  <c r="H105" i="2"/>
  <c r="F105" i="2"/>
  <c r="C105" i="2"/>
  <c r="AC104" i="2"/>
  <c r="AD104" i="2" s="1"/>
  <c r="AA104" i="2"/>
  <c r="X104" i="2"/>
  <c r="W104" i="2"/>
  <c r="U104" i="2"/>
  <c r="R104" i="2"/>
  <c r="N104" i="2"/>
  <c r="O104" i="2" s="1"/>
  <c r="L104" i="2"/>
  <c r="H104" i="2"/>
  <c r="I104" i="2" s="1"/>
  <c r="F104" i="2"/>
  <c r="C104" i="2"/>
  <c r="AD103" i="2"/>
  <c r="AC103" i="2"/>
  <c r="AA103" i="2"/>
  <c r="W103" i="2"/>
  <c r="X103" i="2" s="1"/>
  <c r="U103" i="2"/>
  <c r="R103" i="2"/>
  <c r="N103" i="2"/>
  <c r="O103" i="2" s="1"/>
  <c r="L103" i="2"/>
  <c r="H103" i="2"/>
  <c r="I103" i="2" s="1"/>
  <c r="F103" i="2"/>
  <c r="C103" i="2"/>
  <c r="AD102" i="2"/>
  <c r="AC102" i="2"/>
  <c r="AA102" i="2"/>
  <c r="W102" i="2"/>
  <c r="X102" i="2" s="1"/>
  <c r="U102" i="2"/>
  <c r="R102" i="2"/>
  <c r="O102" i="2"/>
  <c r="N102" i="2"/>
  <c r="L102" i="2"/>
  <c r="I102" i="2"/>
  <c r="H102" i="2"/>
  <c r="F102" i="2"/>
  <c r="C102" i="2"/>
  <c r="AC101" i="2"/>
  <c r="AD101" i="2" s="1"/>
  <c r="AA101" i="2"/>
  <c r="W101" i="2"/>
  <c r="X101" i="2" s="1"/>
  <c r="U101" i="2"/>
  <c r="R101" i="2"/>
  <c r="N101" i="2"/>
  <c r="O101" i="2" s="1"/>
  <c r="L101" i="2"/>
  <c r="I101" i="2"/>
  <c r="H101" i="2"/>
  <c r="F101" i="2"/>
  <c r="C101" i="2"/>
  <c r="AC100" i="2"/>
  <c r="AD100" i="2" s="1"/>
  <c r="AA100" i="2"/>
  <c r="X100" i="2"/>
  <c r="W100" i="2"/>
  <c r="U100" i="2"/>
  <c r="R100" i="2"/>
  <c r="N100" i="2"/>
  <c r="O100" i="2" s="1"/>
  <c r="L100" i="2"/>
  <c r="H100" i="2"/>
  <c r="I100" i="2" s="1"/>
  <c r="F100" i="2"/>
  <c r="C100" i="2"/>
  <c r="AD99" i="2"/>
  <c r="AC99" i="2"/>
  <c r="AA99" i="2"/>
  <c r="W99" i="2"/>
  <c r="X99" i="2" s="1"/>
  <c r="U99" i="2"/>
  <c r="R99" i="2"/>
  <c r="N99" i="2"/>
  <c r="O99" i="2" s="1"/>
  <c r="L99" i="2"/>
  <c r="H99" i="2"/>
  <c r="I99" i="2" s="1"/>
  <c r="F99" i="2"/>
  <c r="C99" i="2"/>
  <c r="AD98" i="2"/>
  <c r="AC98" i="2"/>
  <c r="AA98" i="2"/>
  <c r="W98" i="2"/>
  <c r="X98" i="2" s="1"/>
  <c r="U98" i="2"/>
  <c r="R98" i="2"/>
  <c r="O98" i="2"/>
  <c r="N98" i="2"/>
  <c r="L98" i="2"/>
  <c r="I98" i="2"/>
  <c r="H98" i="2"/>
  <c r="F98" i="2"/>
  <c r="C98" i="2"/>
  <c r="AC97" i="2"/>
  <c r="AD97" i="2" s="1"/>
  <c r="AA97" i="2"/>
  <c r="W97" i="2"/>
  <c r="X97" i="2" s="1"/>
  <c r="U97" i="2"/>
  <c r="R97" i="2"/>
  <c r="N97" i="2"/>
  <c r="O97" i="2" s="1"/>
  <c r="L97" i="2"/>
  <c r="I97" i="2"/>
  <c r="H97" i="2"/>
  <c r="F97" i="2"/>
  <c r="C97" i="2"/>
  <c r="AC96" i="2"/>
  <c r="AD96" i="2" s="1"/>
  <c r="AA96" i="2"/>
  <c r="X96" i="2"/>
  <c r="W96" i="2"/>
  <c r="U96" i="2"/>
  <c r="R96" i="2"/>
  <c r="N96" i="2"/>
  <c r="O96" i="2" s="1"/>
  <c r="L96" i="2"/>
  <c r="H96" i="2"/>
  <c r="I96" i="2" s="1"/>
  <c r="F96" i="2"/>
  <c r="C96" i="2"/>
  <c r="AD95" i="2"/>
  <c r="AC95" i="2"/>
  <c r="AA95" i="2"/>
  <c r="W95" i="2"/>
  <c r="X95" i="2" s="1"/>
  <c r="U95" i="2"/>
  <c r="R95" i="2"/>
  <c r="N95" i="2"/>
  <c r="O95" i="2" s="1"/>
  <c r="L95" i="2"/>
  <c r="H95" i="2"/>
  <c r="I95" i="2" s="1"/>
  <c r="F95" i="2"/>
  <c r="C95" i="2"/>
  <c r="AD94" i="2"/>
  <c r="AC94" i="2"/>
  <c r="AA94" i="2"/>
  <c r="W94" i="2"/>
  <c r="X94" i="2" s="1"/>
  <c r="U94" i="2"/>
  <c r="R94" i="2"/>
  <c r="O94" i="2"/>
  <c r="N94" i="2"/>
  <c r="L94" i="2"/>
  <c r="I94" i="2"/>
  <c r="H94" i="2"/>
  <c r="F94" i="2"/>
  <c r="C94" i="2"/>
  <c r="AC92" i="2"/>
  <c r="AD92" i="2" s="1"/>
  <c r="AA92" i="2"/>
  <c r="W92" i="2"/>
  <c r="X92" i="2" s="1"/>
  <c r="U92" i="2"/>
  <c r="R92" i="2"/>
  <c r="N92" i="2"/>
  <c r="O92" i="2" s="1"/>
  <c r="L92" i="2"/>
  <c r="I92" i="2"/>
  <c r="H92" i="2"/>
  <c r="F92" i="2"/>
  <c r="C92" i="2"/>
  <c r="AC91" i="2"/>
  <c r="AD91" i="2" s="1"/>
  <c r="AA91" i="2"/>
  <c r="X91" i="2"/>
  <c r="W91" i="2"/>
  <c r="U91" i="2"/>
  <c r="R91" i="2"/>
  <c r="N91" i="2"/>
  <c r="O91" i="2" s="1"/>
  <c r="L91" i="2"/>
  <c r="H91" i="2"/>
  <c r="I91" i="2" s="1"/>
  <c r="F91" i="2"/>
  <c r="C91" i="2"/>
  <c r="AD90" i="2"/>
  <c r="AC90" i="2"/>
  <c r="AA90" i="2"/>
  <c r="W90" i="2"/>
  <c r="X90" i="2" s="1"/>
  <c r="U90" i="2"/>
  <c r="R90" i="2"/>
  <c r="N90" i="2"/>
  <c r="O90" i="2" s="1"/>
  <c r="L90" i="2"/>
  <c r="H90" i="2"/>
  <c r="I90" i="2" s="1"/>
  <c r="F90" i="2"/>
  <c r="C90" i="2"/>
  <c r="AD89" i="2"/>
  <c r="AC89" i="2"/>
  <c r="AA89" i="2"/>
  <c r="W89" i="2"/>
  <c r="X89" i="2" s="1"/>
  <c r="U89" i="2"/>
  <c r="R89" i="2"/>
  <c r="O89" i="2"/>
  <c r="N89" i="2"/>
  <c r="L89" i="2"/>
  <c r="I89" i="2"/>
  <c r="H89" i="2"/>
  <c r="F89" i="2"/>
  <c r="C89" i="2"/>
  <c r="AC88" i="2"/>
  <c r="AD88" i="2" s="1"/>
  <c r="AA88" i="2"/>
  <c r="Z88" i="2"/>
  <c r="T88" i="2"/>
  <c r="U88" i="2" s="1"/>
  <c r="R88" i="2"/>
  <c r="Q88" i="2"/>
  <c r="W88" i="2" s="1"/>
  <c r="X88" i="2" s="1"/>
  <c r="L88" i="2"/>
  <c r="K88" i="2"/>
  <c r="E88" i="2"/>
  <c r="F88" i="2" s="1"/>
  <c r="C88" i="2"/>
  <c r="B88" i="2"/>
  <c r="H88" i="2" s="1"/>
  <c r="I88" i="2" s="1"/>
  <c r="AD87" i="2"/>
  <c r="AC87" i="2"/>
  <c r="AA87" i="2"/>
  <c r="W87" i="2"/>
  <c r="X87" i="2" s="1"/>
  <c r="U87" i="2"/>
  <c r="R87" i="2"/>
  <c r="N87" i="2"/>
  <c r="O87" i="2" s="1"/>
  <c r="L87" i="2"/>
  <c r="H87" i="2"/>
  <c r="I87" i="2" s="1"/>
  <c r="F87" i="2"/>
  <c r="C87" i="2"/>
  <c r="AD86" i="2"/>
  <c r="AC86" i="2"/>
  <c r="AA86" i="2"/>
  <c r="W86" i="2"/>
  <c r="X86" i="2" s="1"/>
  <c r="U86" i="2"/>
  <c r="R86" i="2"/>
  <c r="N86" i="2"/>
  <c r="O86" i="2" s="1"/>
  <c r="L86" i="2"/>
  <c r="I86" i="2"/>
  <c r="H86" i="2"/>
  <c r="F86" i="2"/>
  <c r="C86" i="2"/>
  <c r="AD85" i="2"/>
  <c r="AC85" i="2"/>
  <c r="AA85" i="2"/>
  <c r="W85" i="2"/>
  <c r="X85" i="2" s="1"/>
  <c r="U85" i="2"/>
  <c r="R85" i="2"/>
  <c r="N85" i="2"/>
  <c r="O85" i="2" s="1"/>
  <c r="L85" i="2"/>
  <c r="I85" i="2"/>
  <c r="H85" i="2"/>
  <c r="F85" i="2"/>
  <c r="C85" i="2"/>
  <c r="AC84" i="2"/>
  <c r="AD84" i="2" s="1"/>
  <c r="AA84" i="2"/>
  <c r="W84" i="2"/>
  <c r="X84" i="2" s="1"/>
  <c r="U84" i="2"/>
  <c r="R84" i="2"/>
  <c r="N84" i="2"/>
  <c r="O84" i="2" s="1"/>
  <c r="L84" i="2"/>
  <c r="H84" i="2"/>
  <c r="I84" i="2" s="1"/>
  <c r="F84" i="2"/>
  <c r="C84" i="2"/>
  <c r="AD83" i="2"/>
  <c r="AC83" i="2"/>
  <c r="AA83" i="2"/>
  <c r="W83" i="2"/>
  <c r="X83" i="2" s="1"/>
  <c r="U83" i="2"/>
  <c r="R83" i="2"/>
  <c r="N83" i="2"/>
  <c r="O83" i="2" s="1"/>
  <c r="L83" i="2"/>
  <c r="H83" i="2"/>
  <c r="I83" i="2" s="1"/>
  <c r="F83" i="2"/>
  <c r="C83" i="2"/>
  <c r="AD82" i="2"/>
  <c r="AC82" i="2"/>
  <c r="AA82" i="2"/>
  <c r="W82" i="2"/>
  <c r="X82" i="2" s="1"/>
  <c r="U82" i="2"/>
  <c r="R82" i="2"/>
  <c r="N82" i="2"/>
  <c r="O82" i="2" s="1"/>
  <c r="L82" i="2"/>
  <c r="I82" i="2"/>
  <c r="H82" i="2"/>
  <c r="F82" i="2"/>
  <c r="C82" i="2"/>
  <c r="AD81" i="2"/>
  <c r="AC81" i="2"/>
  <c r="AA81" i="2"/>
  <c r="W81" i="2"/>
  <c r="X81" i="2" s="1"/>
  <c r="U81" i="2"/>
  <c r="R81" i="2"/>
  <c r="N81" i="2"/>
  <c r="O81" i="2" s="1"/>
  <c r="L81" i="2"/>
  <c r="I81" i="2"/>
  <c r="H81" i="2"/>
  <c r="F81" i="2"/>
  <c r="C81" i="2"/>
  <c r="AC80" i="2"/>
  <c r="AD80" i="2" s="1"/>
  <c r="AA80" i="2"/>
  <c r="W80" i="2"/>
  <c r="X80" i="2" s="1"/>
  <c r="U80" i="2"/>
  <c r="R80" i="2"/>
  <c r="N80" i="2"/>
  <c r="O80" i="2" s="1"/>
  <c r="L80" i="2"/>
  <c r="H80" i="2"/>
  <c r="I80" i="2" s="1"/>
  <c r="F80" i="2"/>
  <c r="C80" i="2"/>
  <c r="AD79" i="2"/>
  <c r="AC79" i="2"/>
  <c r="AA79" i="2"/>
  <c r="W79" i="2"/>
  <c r="X79" i="2" s="1"/>
  <c r="U79" i="2"/>
  <c r="R79" i="2"/>
  <c r="N79" i="2"/>
  <c r="O79" i="2" s="1"/>
  <c r="L79" i="2"/>
  <c r="H79" i="2"/>
  <c r="I79" i="2" s="1"/>
  <c r="F79" i="2"/>
  <c r="C79" i="2"/>
  <c r="AD78" i="2"/>
  <c r="AC78" i="2"/>
  <c r="AA78" i="2"/>
  <c r="W78" i="2"/>
  <c r="X78" i="2" s="1"/>
  <c r="U78" i="2"/>
  <c r="R78" i="2"/>
  <c r="N78" i="2"/>
  <c r="O78" i="2" s="1"/>
  <c r="L78" i="2"/>
  <c r="I78" i="2"/>
  <c r="H78" i="2"/>
  <c r="F78" i="2"/>
  <c r="C78" i="2"/>
  <c r="AD77" i="2"/>
  <c r="AC77" i="2"/>
  <c r="AA77" i="2"/>
  <c r="W77" i="2"/>
  <c r="X77" i="2" s="1"/>
  <c r="U77" i="2"/>
  <c r="R77" i="2"/>
  <c r="N77" i="2"/>
  <c r="O77" i="2" s="1"/>
  <c r="L77" i="2"/>
  <c r="I77" i="2"/>
  <c r="H77" i="2"/>
  <c r="F77" i="2"/>
  <c r="C77" i="2"/>
  <c r="AC76" i="2"/>
  <c r="AD76" i="2" s="1"/>
  <c r="AA76" i="2"/>
  <c r="W76" i="2"/>
  <c r="X76" i="2" s="1"/>
  <c r="U76" i="2"/>
  <c r="R76" i="2"/>
  <c r="N76" i="2"/>
  <c r="O76" i="2" s="1"/>
  <c r="L76" i="2"/>
  <c r="H76" i="2"/>
  <c r="I76" i="2" s="1"/>
  <c r="F76" i="2"/>
  <c r="C76" i="2"/>
  <c r="AD75" i="2"/>
  <c r="AC75" i="2"/>
  <c r="AA75" i="2"/>
  <c r="W75" i="2"/>
  <c r="X75" i="2" s="1"/>
  <c r="U75" i="2"/>
  <c r="R75" i="2"/>
  <c r="N75" i="2"/>
  <c r="O75" i="2" s="1"/>
  <c r="L75" i="2"/>
  <c r="H75" i="2"/>
  <c r="I75" i="2" s="1"/>
  <c r="F75" i="2"/>
  <c r="C75" i="2"/>
  <c r="AA73" i="2"/>
  <c r="Z73" i="2"/>
  <c r="T73" i="2"/>
  <c r="U73" i="2" s="1"/>
  <c r="R73" i="2"/>
  <c r="Q73" i="2"/>
  <c r="O73" i="2"/>
  <c r="K73" i="2"/>
  <c r="L73" i="2" s="1"/>
  <c r="H73" i="2"/>
  <c r="I73" i="2" s="1"/>
  <c r="F73" i="2"/>
  <c r="E73" i="2"/>
  <c r="C73" i="2"/>
  <c r="B73" i="2"/>
  <c r="N73" i="2" s="1"/>
  <c r="AC72" i="2"/>
  <c r="AD72" i="2" s="1"/>
  <c r="AA72" i="2"/>
  <c r="W72" i="2"/>
  <c r="X72" i="2" s="1"/>
  <c r="U72" i="2"/>
  <c r="R72" i="2"/>
  <c r="N72" i="2"/>
  <c r="O72" i="2" s="1"/>
  <c r="L72" i="2"/>
  <c r="I72" i="2"/>
  <c r="H72" i="2"/>
  <c r="F72" i="2"/>
  <c r="C72" i="2"/>
  <c r="AD71" i="2"/>
  <c r="AC71" i="2"/>
  <c r="AA71" i="2"/>
  <c r="W71" i="2"/>
  <c r="X71" i="2" s="1"/>
  <c r="U71" i="2"/>
  <c r="R71" i="2"/>
  <c r="N71" i="2"/>
  <c r="O71" i="2" s="1"/>
  <c r="L71" i="2"/>
  <c r="H71" i="2"/>
  <c r="I71" i="2" s="1"/>
  <c r="F71" i="2"/>
  <c r="C71" i="2"/>
  <c r="AD70" i="2"/>
  <c r="AC70" i="2"/>
  <c r="AA70" i="2"/>
  <c r="W70" i="2"/>
  <c r="X70" i="2" s="1"/>
  <c r="U70" i="2"/>
  <c r="R70" i="2"/>
  <c r="O70" i="2"/>
  <c r="N70" i="2"/>
  <c r="L70" i="2"/>
  <c r="I70" i="2"/>
  <c r="H70" i="2"/>
  <c r="F70" i="2"/>
  <c r="C70" i="2"/>
  <c r="AC69" i="2"/>
  <c r="AD69" i="2" s="1"/>
  <c r="AA69" i="2"/>
  <c r="W69" i="2"/>
  <c r="X69" i="2" s="1"/>
  <c r="U69" i="2"/>
  <c r="R69" i="2"/>
  <c r="N69" i="2"/>
  <c r="O69" i="2" s="1"/>
  <c r="L69" i="2"/>
  <c r="I69" i="2"/>
  <c r="H69" i="2"/>
  <c r="F69" i="2"/>
  <c r="C69" i="2"/>
  <c r="AC68" i="2"/>
  <c r="AD68" i="2" s="1"/>
  <c r="AA68" i="2"/>
  <c r="W68" i="2"/>
  <c r="X68" i="2" s="1"/>
  <c r="U68" i="2"/>
  <c r="R68" i="2"/>
  <c r="N68" i="2"/>
  <c r="O68" i="2" s="1"/>
  <c r="L68" i="2"/>
  <c r="I68" i="2"/>
  <c r="H68" i="2"/>
  <c r="F68" i="2"/>
  <c r="C68" i="2"/>
  <c r="AD67" i="2"/>
  <c r="AC67" i="2"/>
  <c r="AA67" i="2"/>
  <c r="W67" i="2"/>
  <c r="X67" i="2" s="1"/>
  <c r="U67" i="2"/>
  <c r="R67" i="2"/>
  <c r="N67" i="2"/>
  <c r="O67" i="2" s="1"/>
  <c r="L67" i="2"/>
  <c r="H67" i="2"/>
  <c r="I67" i="2" s="1"/>
  <c r="F67" i="2"/>
  <c r="C67" i="2"/>
  <c r="AD66" i="2"/>
  <c r="AC66" i="2"/>
  <c r="AA66" i="2"/>
  <c r="W66" i="2"/>
  <c r="X66" i="2" s="1"/>
  <c r="U66" i="2"/>
  <c r="R66" i="2"/>
  <c r="O66" i="2"/>
  <c r="N66" i="2"/>
  <c r="L66" i="2"/>
  <c r="I66" i="2"/>
  <c r="H66" i="2"/>
  <c r="F66" i="2"/>
  <c r="C66" i="2"/>
  <c r="AC65" i="2"/>
  <c r="AD65" i="2" s="1"/>
  <c r="AA65" i="2"/>
  <c r="W65" i="2"/>
  <c r="X65" i="2" s="1"/>
  <c r="U65" i="2"/>
  <c r="R65" i="2"/>
  <c r="N65" i="2"/>
  <c r="O65" i="2" s="1"/>
  <c r="L65" i="2"/>
  <c r="I65" i="2"/>
  <c r="H65" i="2"/>
  <c r="F65" i="2"/>
  <c r="C65" i="2"/>
  <c r="AC64" i="2"/>
  <c r="AD64" i="2" s="1"/>
  <c r="AA64" i="2"/>
  <c r="W64" i="2"/>
  <c r="X64" i="2" s="1"/>
  <c r="U64" i="2"/>
  <c r="R64" i="2"/>
  <c r="N64" i="2"/>
  <c r="O64" i="2" s="1"/>
  <c r="L64" i="2"/>
  <c r="I64" i="2"/>
  <c r="H64" i="2"/>
  <c r="F64" i="2"/>
  <c r="C64" i="2"/>
  <c r="AD62" i="2"/>
  <c r="Z62" i="2"/>
  <c r="AA62" i="2" s="1"/>
  <c r="X62" i="2"/>
  <c r="W62" i="2"/>
  <c r="U62" i="2"/>
  <c r="T62" i="2"/>
  <c r="R62" i="2"/>
  <c r="Q62" i="2"/>
  <c r="AC62" i="2" s="1"/>
  <c r="K62" i="2"/>
  <c r="L62" i="2" s="1"/>
  <c r="I62" i="2"/>
  <c r="H62" i="2"/>
  <c r="F62" i="2"/>
  <c r="E62" i="2"/>
  <c r="B62" i="2"/>
  <c r="C62" i="2" s="1"/>
  <c r="AC61" i="2"/>
  <c r="AD61" i="2" s="1"/>
  <c r="AA61" i="2"/>
  <c r="Z61" i="2"/>
  <c r="X61" i="2"/>
  <c r="T61" i="2"/>
  <c r="U61" i="2" s="1"/>
  <c r="R61" i="2"/>
  <c r="Q61" i="2"/>
  <c r="W61" i="2" s="1"/>
  <c r="L61" i="2"/>
  <c r="K61" i="2"/>
  <c r="F61" i="2"/>
  <c r="E61" i="2"/>
  <c r="C61" i="2"/>
  <c r="B61" i="2"/>
  <c r="H61" i="2" s="1"/>
  <c r="I61" i="2" s="1"/>
  <c r="AD60" i="2"/>
  <c r="AC60" i="2"/>
  <c r="AA60" i="2"/>
  <c r="W60" i="2"/>
  <c r="X60" i="2" s="1"/>
  <c r="U60" i="2"/>
  <c r="R60" i="2"/>
  <c r="N60" i="2"/>
  <c r="O60" i="2" s="1"/>
  <c r="L60" i="2"/>
  <c r="H60" i="2"/>
  <c r="I60" i="2" s="1"/>
  <c r="F60" i="2"/>
  <c r="C60" i="2"/>
  <c r="AD59" i="2"/>
  <c r="AC59" i="2"/>
  <c r="AA59" i="2"/>
  <c r="X59" i="2"/>
  <c r="W59" i="2"/>
  <c r="U59" i="2"/>
  <c r="R59" i="2"/>
  <c r="N59" i="2"/>
  <c r="O59" i="2" s="1"/>
  <c r="L59" i="2"/>
  <c r="I59" i="2"/>
  <c r="H59" i="2"/>
  <c r="F59" i="2"/>
  <c r="C59" i="2"/>
  <c r="AC58" i="2"/>
  <c r="AD58" i="2" s="1"/>
  <c r="AA58" i="2"/>
  <c r="W58" i="2"/>
  <c r="X58" i="2" s="1"/>
  <c r="U58" i="2"/>
  <c r="R58" i="2"/>
  <c r="N58" i="2"/>
  <c r="O58" i="2" s="1"/>
  <c r="L58" i="2"/>
  <c r="I58" i="2"/>
  <c r="H58" i="2"/>
  <c r="F58" i="2"/>
  <c r="C58" i="2"/>
  <c r="AC57" i="2"/>
  <c r="AD57" i="2" s="1"/>
  <c r="AA57" i="2"/>
  <c r="X57" i="2"/>
  <c r="W57" i="2"/>
  <c r="U57" i="2"/>
  <c r="R57" i="2"/>
  <c r="O57" i="2"/>
  <c r="N57" i="2"/>
  <c r="L57" i="2"/>
  <c r="I57" i="2"/>
  <c r="H57" i="2"/>
  <c r="F57" i="2"/>
  <c r="C57" i="2"/>
  <c r="AD56" i="2"/>
  <c r="AC56" i="2"/>
  <c r="AA56" i="2"/>
  <c r="W56" i="2"/>
  <c r="X56" i="2" s="1"/>
  <c r="U56" i="2"/>
  <c r="R56" i="2"/>
  <c r="N56" i="2"/>
  <c r="O56" i="2" s="1"/>
  <c r="L56" i="2"/>
  <c r="H56" i="2"/>
  <c r="I56" i="2" s="1"/>
  <c r="F56" i="2"/>
  <c r="C56" i="2"/>
  <c r="AD55" i="2"/>
  <c r="AC55" i="2"/>
  <c r="AA55" i="2"/>
  <c r="X55" i="2"/>
  <c r="W55" i="2"/>
  <c r="U55" i="2"/>
  <c r="R55" i="2"/>
  <c r="O55" i="2"/>
  <c r="N55" i="2"/>
  <c r="L55" i="2"/>
  <c r="I55" i="2"/>
  <c r="H55" i="2"/>
  <c r="F55" i="2"/>
  <c r="C55" i="2"/>
  <c r="AD54" i="2"/>
  <c r="AC54" i="2"/>
  <c r="AA54" i="2"/>
  <c r="W54" i="2"/>
  <c r="X54" i="2" s="1"/>
  <c r="U54" i="2"/>
  <c r="R54" i="2"/>
  <c r="N54" i="2"/>
  <c r="O54" i="2" s="1"/>
  <c r="L54" i="2"/>
  <c r="I54" i="2"/>
  <c r="H54" i="2"/>
  <c r="F54" i="2"/>
  <c r="C54" i="2"/>
  <c r="AC53" i="2"/>
  <c r="AD53" i="2" s="1"/>
  <c r="AA53" i="2"/>
  <c r="W53" i="2"/>
  <c r="X53" i="2" s="1"/>
  <c r="U53" i="2"/>
  <c r="R53" i="2"/>
  <c r="O53" i="2"/>
  <c r="N53" i="2"/>
  <c r="L53" i="2"/>
  <c r="H53" i="2"/>
  <c r="I53" i="2" s="1"/>
  <c r="F53" i="2"/>
  <c r="C53" i="2"/>
  <c r="AD52" i="2"/>
  <c r="AC52" i="2"/>
  <c r="AA52" i="2"/>
  <c r="W52" i="2"/>
  <c r="X52" i="2" s="1"/>
  <c r="U52" i="2"/>
  <c r="R52" i="2"/>
  <c r="N52" i="2"/>
  <c r="O52" i="2" s="1"/>
  <c r="L52" i="2"/>
  <c r="H52" i="2"/>
  <c r="I52" i="2" s="1"/>
  <c r="F52" i="2"/>
  <c r="C52" i="2"/>
  <c r="AC51" i="2"/>
  <c r="AD51" i="2" s="1"/>
  <c r="AA51" i="2"/>
  <c r="X51" i="2"/>
  <c r="W51" i="2"/>
  <c r="U51" i="2"/>
  <c r="R51" i="2"/>
  <c r="O51" i="2"/>
  <c r="N51" i="2"/>
  <c r="L51" i="2"/>
  <c r="I51" i="2"/>
  <c r="H51" i="2"/>
  <c r="F51" i="2"/>
  <c r="C51" i="2"/>
  <c r="AD50" i="2"/>
  <c r="AC50" i="2"/>
  <c r="AA50" i="2"/>
  <c r="W50" i="2"/>
  <c r="X50" i="2" s="1"/>
  <c r="U50" i="2"/>
  <c r="R50" i="2"/>
  <c r="N50" i="2"/>
  <c r="O50" i="2" s="1"/>
  <c r="L50" i="2"/>
  <c r="I50" i="2"/>
  <c r="H50" i="2"/>
  <c r="F50" i="2"/>
  <c r="C50" i="2"/>
  <c r="AC49" i="2"/>
  <c r="AD49" i="2" s="1"/>
  <c r="AA49" i="2"/>
  <c r="W49" i="2"/>
  <c r="X49" i="2" s="1"/>
  <c r="U49" i="2"/>
  <c r="R49" i="2"/>
  <c r="O49" i="2"/>
  <c r="N49" i="2"/>
  <c r="L49" i="2"/>
  <c r="I49" i="2"/>
  <c r="H49" i="2"/>
  <c r="F49" i="2"/>
  <c r="C49" i="2"/>
  <c r="AD48" i="2"/>
  <c r="AC48" i="2"/>
  <c r="AA48" i="2"/>
  <c r="W48" i="2"/>
  <c r="X48" i="2" s="1"/>
  <c r="U48" i="2"/>
  <c r="R48" i="2"/>
  <c r="O48" i="2"/>
  <c r="N48" i="2"/>
  <c r="L48" i="2"/>
  <c r="H48" i="2"/>
  <c r="I48" i="2" s="1"/>
  <c r="F48" i="2"/>
  <c r="C48" i="2"/>
  <c r="AD47" i="2"/>
  <c r="AC47" i="2"/>
  <c r="AA47" i="2"/>
  <c r="X47" i="2"/>
  <c r="W47" i="2"/>
  <c r="U47" i="2"/>
  <c r="R47" i="2"/>
  <c r="O47" i="2"/>
  <c r="N47" i="2"/>
  <c r="L47" i="2"/>
  <c r="I47" i="2"/>
  <c r="H47" i="2"/>
  <c r="F47" i="2"/>
  <c r="C47" i="2"/>
  <c r="AC46" i="2"/>
  <c r="AD46" i="2" s="1"/>
  <c r="AA46" i="2"/>
  <c r="W46" i="2"/>
  <c r="X46" i="2" s="1"/>
  <c r="U46" i="2"/>
  <c r="R46" i="2"/>
  <c r="N46" i="2"/>
  <c r="O46" i="2" s="1"/>
  <c r="L46" i="2"/>
  <c r="I46" i="2"/>
  <c r="H46" i="2"/>
  <c r="F46" i="2"/>
  <c r="C46" i="2"/>
  <c r="AC44" i="2"/>
  <c r="AD44" i="2" s="1"/>
  <c r="AA44" i="2"/>
  <c r="W44" i="2"/>
  <c r="X44" i="2" s="1"/>
  <c r="U44" i="2"/>
  <c r="R44" i="2"/>
  <c r="O44" i="2"/>
  <c r="N44" i="2"/>
  <c r="L44" i="2"/>
  <c r="H44" i="2"/>
  <c r="I44" i="2" s="1"/>
  <c r="F44" i="2"/>
  <c r="C44" i="2"/>
  <c r="AD43" i="2"/>
  <c r="AC43" i="2"/>
  <c r="AA43" i="2"/>
  <c r="W43" i="2"/>
  <c r="X43" i="2" s="1"/>
  <c r="U43" i="2"/>
  <c r="R43" i="2"/>
  <c r="N43" i="2"/>
  <c r="O43" i="2" s="1"/>
  <c r="L43" i="2"/>
  <c r="H43" i="2"/>
  <c r="I43" i="2" s="1"/>
  <c r="F43" i="2"/>
  <c r="C43" i="2"/>
  <c r="AC42" i="2"/>
  <c r="AD42" i="2" s="1"/>
  <c r="AA42" i="2"/>
  <c r="X42" i="2"/>
  <c r="W42" i="2"/>
  <c r="U42" i="2"/>
  <c r="R42" i="2"/>
  <c r="O42" i="2"/>
  <c r="N42" i="2"/>
  <c r="L42" i="2"/>
  <c r="I42" i="2"/>
  <c r="H42" i="2"/>
  <c r="F42" i="2"/>
  <c r="C42" i="2"/>
  <c r="AD40" i="2"/>
  <c r="AC40" i="2"/>
  <c r="Z40" i="2"/>
  <c r="AA40" i="2" s="1"/>
  <c r="X40" i="2"/>
  <c r="T40" i="2"/>
  <c r="U40" i="2" s="1"/>
  <c r="R40" i="2"/>
  <c r="Q40" i="2"/>
  <c r="W40" i="2" s="1"/>
  <c r="O40" i="2"/>
  <c r="N40" i="2"/>
  <c r="L40" i="2"/>
  <c r="K40" i="2"/>
  <c r="E40" i="2"/>
  <c r="F40" i="2" s="1"/>
  <c r="C40" i="2"/>
  <c r="B40" i="2"/>
  <c r="AD39" i="2"/>
  <c r="AC39" i="2"/>
  <c r="AA39" i="2"/>
  <c r="W39" i="2"/>
  <c r="X39" i="2" s="1"/>
  <c r="U39" i="2"/>
  <c r="R39" i="2"/>
  <c r="O39" i="2"/>
  <c r="N39" i="2"/>
  <c r="L39" i="2"/>
  <c r="H39" i="2"/>
  <c r="I39" i="2" s="1"/>
  <c r="F39" i="2"/>
  <c r="C39" i="2"/>
  <c r="AC38" i="2"/>
  <c r="AD38" i="2" s="1"/>
  <c r="AA38" i="2"/>
  <c r="X38" i="2"/>
  <c r="W38" i="2"/>
  <c r="U38" i="2"/>
  <c r="R38" i="2"/>
  <c r="N38" i="2"/>
  <c r="O38" i="2" s="1"/>
  <c r="L38" i="2"/>
  <c r="I38" i="2"/>
  <c r="H38" i="2"/>
  <c r="F38" i="2"/>
  <c r="C38" i="2"/>
  <c r="AC37" i="2"/>
  <c r="AD37" i="2" s="1"/>
  <c r="AA37" i="2"/>
  <c r="X37" i="2"/>
  <c r="W37" i="2"/>
  <c r="U37" i="2"/>
  <c r="R37" i="2"/>
  <c r="N37" i="2"/>
  <c r="O37" i="2" s="1"/>
  <c r="L37" i="2"/>
  <c r="H37" i="2"/>
  <c r="I37" i="2" s="1"/>
  <c r="F37" i="2"/>
  <c r="C37" i="2"/>
  <c r="AC36" i="2"/>
  <c r="AD36" i="2" s="1"/>
  <c r="AA36" i="2"/>
  <c r="X36" i="2"/>
  <c r="W36" i="2"/>
  <c r="U36" i="2"/>
  <c r="R36" i="2"/>
  <c r="O36" i="2"/>
  <c r="N36" i="2"/>
  <c r="L36" i="2"/>
  <c r="I36" i="2"/>
  <c r="H36" i="2"/>
  <c r="F36" i="2"/>
  <c r="C36" i="2"/>
  <c r="AD35" i="2"/>
  <c r="AC35" i="2"/>
  <c r="AA35" i="2"/>
  <c r="W35" i="2"/>
  <c r="X35" i="2" s="1"/>
  <c r="U35" i="2"/>
  <c r="R35" i="2"/>
  <c r="N35" i="2"/>
  <c r="O35" i="2" s="1"/>
  <c r="L35" i="2"/>
  <c r="H35" i="2"/>
  <c r="I35" i="2" s="1"/>
  <c r="F35" i="2"/>
  <c r="C35" i="2"/>
  <c r="AD34" i="2"/>
  <c r="AC34" i="2"/>
  <c r="AA34" i="2"/>
  <c r="X34" i="2"/>
  <c r="W34" i="2"/>
  <c r="U34" i="2"/>
  <c r="R34" i="2"/>
  <c r="O34" i="2"/>
  <c r="N34" i="2"/>
  <c r="L34" i="2"/>
  <c r="H34" i="2"/>
  <c r="I34" i="2" s="1"/>
  <c r="F34" i="2"/>
  <c r="C34" i="2"/>
  <c r="AC33" i="2"/>
  <c r="AD33" i="2" s="1"/>
  <c r="AA33" i="2"/>
  <c r="W33" i="2"/>
  <c r="X33" i="2" s="1"/>
  <c r="U33" i="2"/>
  <c r="R33" i="2"/>
  <c r="O33" i="2"/>
  <c r="N33" i="2"/>
  <c r="L33" i="2"/>
  <c r="I33" i="2"/>
  <c r="H33" i="2"/>
  <c r="F33" i="2"/>
  <c r="C33" i="2"/>
  <c r="AC32" i="2"/>
  <c r="AD32" i="2" s="1"/>
  <c r="AA32" i="2"/>
  <c r="W32" i="2"/>
  <c r="X32" i="2" s="1"/>
  <c r="U32" i="2"/>
  <c r="R32" i="2"/>
  <c r="O32" i="2"/>
  <c r="N32" i="2"/>
  <c r="L32" i="2"/>
  <c r="I32" i="2"/>
  <c r="H32" i="2"/>
  <c r="F32" i="2"/>
  <c r="C32" i="2"/>
  <c r="AC31" i="2"/>
  <c r="AD31" i="2" s="1"/>
  <c r="AA31" i="2"/>
  <c r="X31" i="2"/>
  <c r="W31" i="2"/>
  <c r="U31" i="2"/>
  <c r="R31" i="2"/>
  <c r="O31" i="2"/>
  <c r="N31" i="2"/>
  <c r="L31" i="2"/>
  <c r="H31" i="2"/>
  <c r="I31" i="2" s="1"/>
  <c r="F31" i="2"/>
  <c r="C31" i="2"/>
  <c r="AD29" i="2"/>
  <c r="Z29" i="2"/>
  <c r="AA29" i="2" s="1"/>
  <c r="W29" i="2"/>
  <c r="X29" i="2" s="1"/>
  <c r="U29" i="2"/>
  <c r="T29" i="2"/>
  <c r="R29" i="2"/>
  <c r="Q29" i="2"/>
  <c r="AC29" i="2" s="1"/>
  <c r="K29" i="2"/>
  <c r="L29" i="2" s="1"/>
  <c r="F29" i="2"/>
  <c r="E29" i="2"/>
  <c r="H29" i="2" s="1"/>
  <c r="I29" i="2" s="1"/>
  <c r="B29" i="2"/>
  <c r="C29" i="2" s="1"/>
  <c r="AC28" i="2"/>
  <c r="AD28" i="2" s="1"/>
  <c r="AA28" i="2"/>
  <c r="W28" i="2"/>
  <c r="X28" i="2" s="1"/>
  <c r="U28" i="2"/>
  <c r="R28" i="2"/>
  <c r="N28" i="2"/>
  <c r="O28" i="2" s="1"/>
  <c r="L28" i="2"/>
  <c r="I28" i="2"/>
  <c r="H28" i="2"/>
  <c r="F28" i="2"/>
  <c r="C28" i="2"/>
  <c r="AC27" i="2"/>
  <c r="AD27" i="2" s="1"/>
  <c r="AA27" i="2"/>
  <c r="X27" i="2"/>
  <c r="W27" i="2"/>
  <c r="U27" i="2"/>
  <c r="R27" i="2"/>
  <c r="O27" i="2"/>
  <c r="N27" i="2"/>
  <c r="L27" i="2"/>
  <c r="H27" i="2"/>
  <c r="I27" i="2" s="1"/>
  <c r="F27" i="2"/>
  <c r="C27" i="2"/>
  <c r="AD26" i="2"/>
  <c r="AC26" i="2"/>
  <c r="AA26" i="2"/>
  <c r="W26" i="2"/>
  <c r="X26" i="2" s="1"/>
  <c r="U26" i="2"/>
  <c r="R26" i="2"/>
  <c r="N26" i="2"/>
  <c r="O26" i="2" s="1"/>
  <c r="L26" i="2"/>
  <c r="H26" i="2"/>
  <c r="I26" i="2" s="1"/>
  <c r="F26" i="2"/>
  <c r="C26" i="2"/>
  <c r="AD25" i="2"/>
  <c r="AC25" i="2"/>
  <c r="AA25" i="2"/>
  <c r="X25" i="2"/>
  <c r="W25" i="2"/>
  <c r="U25" i="2"/>
  <c r="R25" i="2"/>
  <c r="N25" i="2"/>
  <c r="O25" i="2" s="1"/>
  <c r="L25" i="2"/>
  <c r="I25" i="2"/>
  <c r="H25" i="2"/>
  <c r="F25" i="2"/>
  <c r="C25" i="2"/>
  <c r="AC24" i="2"/>
  <c r="AD24" i="2" s="1"/>
  <c r="AA24" i="2"/>
  <c r="W24" i="2"/>
  <c r="X24" i="2" s="1"/>
  <c r="U24" i="2"/>
  <c r="R24" i="2"/>
  <c r="N24" i="2"/>
  <c r="O24" i="2" s="1"/>
  <c r="L24" i="2"/>
  <c r="I24" i="2"/>
  <c r="H24" i="2"/>
  <c r="F24" i="2"/>
  <c r="C24" i="2"/>
  <c r="AC23" i="2"/>
  <c r="AD23" i="2" s="1"/>
  <c r="AA23" i="2"/>
  <c r="W23" i="2"/>
  <c r="X23" i="2" s="1"/>
  <c r="U23" i="2"/>
  <c r="R23" i="2"/>
  <c r="O23" i="2"/>
  <c r="N23" i="2"/>
  <c r="L23" i="2"/>
  <c r="H23" i="2"/>
  <c r="I23" i="2" s="1"/>
  <c r="F23" i="2"/>
  <c r="C23" i="2"/>
  <c r="AD22" i="2"/>
  <c r="AC22" i="2"/>
  <c r="AA22" i="2"/>
  <c r="W22" i="2"/>
  <c r="X22" i="2" s="1"/>
  <c r="U22" i="2"/>
  <c r="R22" i="2"/>
  <c r="N22" i="2"/>
  <c r="O22" i="2" s="1"/>
  <c r="L22" i="2"/>
  <c r="H22" i="2"/>
  <c r="I22" i="2" s="1"/>
  <c r="F22" i="2"/>
  <c r="C22" i="2"/>
  <c r="AD21" i="2"/>
  <c r="AC21" i="2"/>
  <c r="AA21" i="2"/>
  <c r="X21" i="2"/>
  <c r="W21" i="2"/>
  <c r="U21" i="2"/>
  <c r="R21" i="2"/>
  <c r="N21" i="2"/>
  <c r="O21" i="2" s="1"/>
  <c r="L21" i="2"/>
  <c r="I21" i="2"/>
  <c r="H21" i="2"/>
  <c r="F21" i="2"/>
  <c r="C21" i="2"/>
  <c r="AC19" i="2"/>
  <c r="AD19" i="2" s="1"/>
  <c r="AA19" i="2"/>
  <c r="W19" i="2"/>
  <c r="X19" i="2" s="1"/>
  <c r="U19" i="2"/>
  <c r="R19" i="2"/>
  <c r="N19" i="2"/>
  <c r="O19" i="2" s="1"/>
  <c r="L19" i="2"/>
  <c r="I19" i="2"/>
  <c r="H19" i="2"/>
  <c r="F19" i="2"/>
  <c r="C19" i="2"/>
  <c r="Z18" i="2"/>
  <c r="AA18" i="2" s="1"/>
  <c r="X18" i="2"/>
  <c r="U18" i="2"/>
  <c r="T18" i="2"/>
  <c r="W18" i="2" s="1"/>
  <c r="Q18" i="2"/>
  <c r="R18" i="2" s="1"/>
  <c r="L18" i="2"/>
  <c r="K18" i="2"/>
  <c r="E18" i="2"/>
  <c r="F18" i="2" s="1"/>
  <c r="B18" i="2"/>
  <c r="N18" i="2" s="1"/>
  <c r="O18" i="2" s="1"/>
  <c r="AD17" i="2"/>
  <c r="AC17" i="2"/>
  <c r="AA17" i="2"/>
  <c r="X17" i="2"/>
  <c r="W17" i="2"/>
  <c r="U17" i="2"/>
  <c r="R17" i="2"/>
  <c r="O17" i="2"/>
  <c r="N17" i="2"/>
  <c r="L17" i="2"/>
  <c r="I17" i="2"/>
  <c r="H17" i="2"/>
  <c r="F17" i="2"/>
  <c r="C17" i="2"/>
  <c r="AC16" i="2"/>
  <c r="AD16" i="2" s="1"/>
  <c r="AA16" i="2"/>
  <c r="W16" i="2"/>
  <c r="X16" i="2" s="1"/>
  <c r="U16" i="2"/>
  <c r="R16" i="2"/>
  <c r="N16" i="2"/>
  <c r="O16" i="2" s="1"/>
  <c r="L16" i="2"/>
  <c r="I16" i="2"/>
  <c r="H16" i="2"/>
  <c r="F16" i="2"/>
  <c r="C16" i="2"/>
  <c r="AC15" i="2"/>
  <c r="AD15" i="2" s="1"/>
  <c r="AA15" i="2"/>
  <c r="W15" i="2"/>
  <c r="X15" i="2" s="1"/>
  <c r="U15" i="2"/>
  <c r="R15" i="2"/>
  <c r="O15" i="2"/>
  <c r="N15" i="2"/>
  <c r="L15" i="2"/>
  <c r="H15" i="2"/>
  <c r="I15" i="2" s="1"/>
  <c r="F15" i="2"/>
  <c r="C15" i="2"/>
  <c r="AD14" i="2"/>
  <c r="AC14" i="2"/>
  <c r="AA14" i="2"/>
  <c r="W14" i="2"/>
  <c r="X14" i="2" s="1"/>
  <c r="U14" i="2"/>
  <c r="R14" i="2"/>
  <c r="N14" i="2"/>
  <c r="O14" i="2" s="1"/>
  <c r="L14" i="2"/>
  <c r="H14" i="2"/>
  <c r="I14" i="2" s="1"/>
  <c r="F14" i="2"/>
  <c r="C14" i="2"/>
  <c r="AD13" i="2"/>
  <c r="AC13" i="2"/>
  <c r="AA13" i="2"/>
  <c r="X13" i="2"/>
  <c r="W13" i="2"/>
  <c r="U13" i="2"/>
  <c r="R13" i="2"/>
  <c r="O13" i="2"/>
  <c r="N13" i="2"/>
  <c r="L13" i="2"/>
  <c r="I13" i="2"/>
  <c r="H13" i="2"/>
  <c r="F13" i="2"/>
  <c r="C13" i="2"/>
  <c r="AC12" i="2"/>
  <c r="AD12" i="2" s="1"/>
  <c r="AA12" i="2"/>
  <c r="W12" i="2"/>
  <c r="X12" i="2" s="1"/>
  <c r="U12" i="2"/>
  <c r="R12" i="2"/>
  <c r="N12" i="2"/>
  <c r="O12" i="2" s="1"/>
  <c r="L12" i="2"/>
  <c r="I12" i="2"/>
  <c r="H12" i="2"/>
  <c r="F12" i="2"/>
  <c r="C12" i="2"/>
  <c r="AC11" i="2"/>
  <c r="AD11" i="2" s="1"/>
  <c r="AA11" i="2"/>
  <c r="X11" i="2"/>
  <c r="W11" i="2"/>
  <c r="U11" i="2"/>
  <c r="R11" i="2"/>
  <c r="O11" i="2"/>
  <c r="N11" i="2"/>
  <c r="L11" i="2"/>
  <c r="H11" i="2"/>
  <c r="I11" i="2" s="1"/>
  <c r="F11" i="2"/>
  <c r="C11" i="2"/>
  <c r="AD10" i="2"/>
  <c r="AC10" i="2"/>
  <c r="AA10" i="2"/>
  <c r="W10" i="2"/>
  <c r="X10" i="2" s="1"/>
  <c r="U10" i="2"/>
  <c r="R10" i="2"/>
  <c r="N10" i="2"/>
  <c r="O10" i="2" s="1"/>
  <c r="L10" i="2"/>
  <c r="H10" i="2"/>
  <c r="I10" i="2" s="1"/>
  <c r="F10" i="2"/>
  <c r="C10" i="2"/>
  <c r="AD8" i="2"/>
  <c r="AC8" i="2"/>
  <c r="AA8" i="2"/>
  <c r="X8" i="2"/>
  <c r="W8" i="2"/>
  <c r="U8" i="2"/>
  <c r="R8" i="2"/>
  <c r="O8" i="2"/>
  <c r="N8" i="2"/>
  <c r="L8" i="2"/>
  <c r="I8" i="2"/>
  <c r="H8" i="2"/>
  <c r="F8" i="2"/>
  <c r="C8" i="2"/>
  <c r="AC444" i="1"/>
  <c r="W444" i="1"/>
  <c r="X429" i="1" s="1"/>
  <c r="N444" i="1"/>
  <c r="H444" i="1"/>
  <c r="AA442" i="1"/>
  <c r="Z442" i="1"/>
  <c r="T442" i="1"/>
  <c r="U442" i="1" s="1"/>
  <c r="Q442" i="1"/>
  <c r="AC442" i="1" s="1"/>
  <c r="AD442" i="1" s="1"/>
  <c r="L442" i="1"/>
  <c r="K442" i="1"/>
  <c r="E442" i="1"/>
  <c r="F442" i="1" s="1"/>
  <c r="C442" i="1"/>
  <c r="B442" i="1"/>
  <c r="AD441" i="1"/>
  <c r="Z441" i="1"/>
  <c r="AA441" i="1" s="1"/>
  <c r="W441" i="1"/>
  <c r="X441" i="1" s="1"/>
  <c r="U441" i="1"/>
  <c r="T441" i="1"/>
  <c r="R441" i="1"/>
  <c r="Q441" i="1"/>
  <c r="AC441" i="1" s="1"/>
  <c r="K441" i="1"/>
  <c r="L441" i="1" s="1"/>
  <c r="F441" i="1"/>
  <c r="E441" i="1"/>
  <c r="H441" i="1" s="1"/>
  <c r="I441" i="1" s="1"/>
  <c r="B441" i="1"/>
  <c r="C441" i="1" s="1"/>
  <c r="AC440" i="1"/>
  <c r="AD440" i="1" s="1"/>
  <c r="AA440" i="1"/>
  <c r="W440" i="1"/>
  <c r="U440" i="1"/>
  <c r="R440" i="1"/>
  <c r="N440" i="1"/>
  <c r="O440" i="1" s="1"/>
  <c r="L440" i="1"/>
  <c r="I440" i="1"/>
  <c r="H440" i="1"/>
  <c r="F440" i="1"/>
  <c r="C440" i="1"/>
  <c r="AC439" i="1"/>
  <c r="AD439" i="1" s="1"/>
  <c r="AA439" i="1"/>
  <c r="W439" i="1"/>
  <c r="X439" i="1" s="1"/>
  <c r="U439" i="1"/>
  <c r="R439" i="1"/>
  <c r="N439" i="1"/>
  <c r="L439" i="1"/>
  <c r="H439" i="1"/>
  <c r="I439" i="1" s="1"/>
  <c r="F439" i="1"/>
  <c r="C439" i="1"/>
  <c r="AD438" i="1"/>
  <c r="AC438" i="1"/>
  <c r="AA438" i="1"/>
  <c r="W438" i="1"/>
  <c r="X438" i="1" s="1"/>
  <c r="U438" i="1"/>
  <c r="R438" i="1"/>
  <c r="N438" i="1"/>
  <c r="O438" i="1" s="1"/>
  <c r="L438" i="1"/>
  <c r="H438" i="1"/>
  <c r="I438" i="1" s="1"/>
  <c r="F438" i="1"/>
  <c r="C438" i="1"/>
  <c r="AD437" i="1"/>
  <c r="AC437" i="1"/>
  <c r="AA437" i="1"/>
  <c r="W437" i="1"/>
  <c r="U437" i="1"/>
  <c r="R437" i="1"/>
  <c r="N437" i="1"/>
  <c r="O437" i="1" s="1"/>
  <c r="L437" i="1"/>
  <c r="I437" i="1"/>
  <c r="H437" i="1"/>
  <c r="F437" i="1"/>
  <c r="C437" i="1"/>
  <c r="AC436" i="1"/>
  <c r="AD436" i="1" s="1"/>
  <c r="AA436" i="1"/>
  <c r="W436" i="1"/>
  <c r="U436" i="1"/>
  <c r="R436" i="1"/>
  <c r="N436" i="1"/>
  <c r="L436" i="1"/>
  <c r="I436" i="1"/>
  <c r="H436" i="1"/>
  <c r="F436" i="1"/>
  <c r="C436" i="1"/>
  <c r="AC435" i="1"/>
  <c r="AD435" i="1" s="1"/>
  <c r="AA435" i="1"/>
  <c r="W435" i="1"/>
  <c r="X435" i="1" s="1"/>
  <c r="U435" i="1"/>
  <c r="R435" i="1"/>
  <c r="N435" i="1"/>
  <c r="L435" i="1"/>
  <c r="H435" i="1"/>
  <c r="I435" i="1" s="1"/>
  <c r="F435" i="1"/>
  <c r="C435" i="1"/>
  <c r="AD434" i="1"/>
  <c r="AC434" i="1"/>
  <c r="AA434" i="1"/>
  <c r="W434" i="1"/>
  <c r="U434" i="1"/>
  <c r="R434" i="1"/>
  <c r="N434" i="1"/>
  <c r="L434" i="1"/>
  <c r="H434" i="1"/>
  <c r="I434" i="1" s="1"/>
  <c r="F434" i="1"/>
  <c r="C434" i="1"/>
  <c r="AD433" i="1"/>
  <c r="AC433" i="1"/>
  <c r="AA433" i="1"/>
  <c r="W433" i="1"/>
  <c r="U433" i="1"/>
  <c r="R433" i="1"/>
  <c r="N433" i="1"/>
  <c r="O433" i="1" s="1"/>
  <c r="L433" i="1"/>
  <c r="I433" i="1"/>
  <c r="H433" i="1"/>
  <c r="F433" i="1"/>
  <c r="C433" i="1"/>
  <c r="AC432" i="1"/>
  <c r="AD432" i="1" s="1"/>
  <c r="AA432" i="1"/>
  <c r="W432" i="1"/>
  <c r="X432" i="1" s="1"/>
  <c r="U432" i="1"/>
  <c r="R432" i="1"/>
  <c r="N432" i="1"/>
  <c r="O432" i="1" s="1"/>
  <c r="L432" i="1"/>
  <c r="I432" i="1"/>
  <c r="H432" i="1"/>
  <c r="F432" i="1"/>
  <c r="C432" i="1"/>
  <c r="Z429" i="1"/>
  <c r="AA429" i="1" s="1"/>
  <c r="U429" i="1"/>
  <c r="T429" i="1"/>
  <c r="W429" i="1" s="1"/>
  <c r="Q429" i="1"/>
  <c r="R429" i="1" s="1"/>
  <c r="L429" i="1"/>
  <c r="K429" i="1"/>
  <c r="E429" i="1"/>
  <c r="F429" i="1" s="1"/>
  <c r="B429" i="1"/>
  <c r="AA428" i="1"/>
  <c r="Z428" i="1"/>
  <c r="T428" i="1"/>
  <c r="U428" i="1" s="1"/>
  <c r="R428" i="1"/>
  <c r="Q428" i="1"/>
  <c r="K428" i="1"/>
  <c r="L428" i="1" s="1"/>
  <c r="H428" i="1"/>
  <c r="I428" i="1" s="1"/>
  <c r="F428" i="1"/>
  <c r="E428" i="1"/>
  <c r="C428" i="1"/>
  <c r="B428" i="1"/>
  <c r="N428" i="1" s="1"/>
  <c r="O428" i="1" s="1"/>
  <c r="AC427" i="1"/>
  <c r="AD427" i="1" s="1"/>
  <c r="AA427" i="1"/>
  <c r="X427" i="1"/>
  <c r="W427" i="1"/>
  <c r="U427" i="1"/>
  <c r="R427" i="1"/>
  <c r="N427" i="1"/>
  <c r="L427" i="1"/>
  <c r="H427" i="1"/>
  <c r="I427" i="1" s="1"/>
  <c r="F427" i="1"/>
  <c r="C427" i="1"/>
  <c r="AD426" i="1"/>
  <c r="AC426" i="1"/>
  <c r="AA426" i="1"/>
  <c r="W426" i="1"/>
  <c r="U426" i="1"/>
  <c r="R426" i="1"/>
  <c r="N426" i="1"/>
  <c r="O426" i="1" s="1"/>
  <c r="L426" i="1"/>
  <c r="H426" i="1"/>
  <c r="I426" i="1" s="1"/>
  <c r="F426" i="1"/>
  <c r="C426" i="1"/>
  <c r="AD425" i="1"/>
  <c r="AC425" i="1"/>
  <c r="AA425" i="1"/>
  <c r="W425" i="1"/>
  <c r="U425" i="1"/>
  <c r="R425" i="1"/>
  <c r="N425" i="1"/>
  <c r="O425" i="1" s="1"/>
  <c r="L425" i="1"/>
  <c r="I425" i="1"/>
  <c r="H425" i="1"/>
  <c r="F425" i="1"/>
  <c r="C425" i="1"/>
  <c r="AC424" i="1"/>
  <c r="AD424" i="1" s="1"/>
  <c r="AA424" i="1"/>
  <c r="W424" i="1"/>
  <c r="U424" i="1"/>
  <c r="R424" i="1"/>
  <c r="N424" i="1"/>
  <c r="O424" i="1" s="1"/>
  <c r="L424" i="1"/>
  <c r="I424" i="1"/>
  <c r="H424" i="1"/>
  <c r="F424" i="1"/>
  <c r="C424" i="1"/>
  <c r="AC423" i="1"/>
  <c r="AD423" i="1" s="1"/>
  <c r="AA423" i="1"/>
  <c r="W423" i="1"/>
  <c r="X423" i="1" s="1"/>
  <c r="U423" i="1"/>
  <c r="R423" i="1"/>
  <c r="N423" i="1"/>
  <c r="L423" i="1"/>
  <c r="H423" i="1"/>
  <c r="I423" i="1" s="1"/>
  <c r="F423" i="1"/>
  <c r="C423" i="1"/>
  <c r="AD422" i="1"/>
  <c r="AC422" i="1"/>
  <c r="AA422" i="1"/>
  <c r="W422" i="1"/>
  <c r="U422" i="1"/>
  <c r="R422" i="1"/>
  <c r="N422" i="1"/>
  <c r="O422" i="1" s="1"/>
  <c r="L422" i="1"/>
  <c r="H422" i="1"/>
  <c r="I422" i="1" s="1"/>
  <c r="F422" i="1"/>
  <c r="C422" i="1"/>
  <c r="AD421" i="1"/>
  <c r="AC421" i="1"/>
  <c r="AA421" i="1"/>
  <c r="W421" i="1"/>
  <c r="U421" i="1"/>
  <c r="R421" i="1"/>
  <c r="O421" i="1"/>
  <c r="N421" i="1"/>
  <c r="L421" i="1"/>
  <c r="I421" i="1"/>
  <c r="H421" i="1"/>
  <c r="F421" i="1"/>
  <c r="C421" i="1"/>
  <c r="AC420" i="1"/>
  <c r="AD420" i="1" s="1"/>
  <c r="AA420" i="1"/>
  <c r="W420" i="1"/>
  <c r="U420" i="1"/>
  <c r="R420" i="1"/>
  <c r="N420" i="1"/>
  <c r="O420" i="1" s="1"/>
  <c r="L420" i="1"/>
  <c r="I420" i="1"/>
  <c r="H420" i="1"/>
  <c r="F420" i="1"/>
  <c r="C420" i="1"/>
  <c r="AC419" i="1"/>
  <c r="AD419" i="1" s="1"/>
  <c r="AA419" i="1"/>
  <c r="W419" i="1"/>
  <c r="X419" i="1" s="1"/>
  <c r="U419" i="1"/>
  <c r="R419" i="1"/>
  <c r="N419" i="1"/>
  <c r="L419" i="1"/>
  <c r="H419" i="1"/>
  <c r="I419" i="1" s="1"/>
  <c r="F419" i="1"/>
  <c r="C419" i="1"/>
  <c r="AD418" i="1"/>
  <c r="AC418" i="1"/>
  <c r="AA418" i="1"/>
  <c r="W418" i="1"/>
  <c r="X418" i="1" s="1"/>
  <c r="U418" i="1"/>
  <c r="R418" i="1"/>
  <c r="N418" i="1"/>
  <c r="O418" i="1" s="1"/>
  <c r="L418" i="1"/>
  <c r="H418" i="1"/>
  <c r="I418" i="1" s="1"/>
  <c r="F418" i="1"/>
  <c r="C418" i="1"/>
  <c r="AD417" i="1"/>
  <c r="AC417" i="1"/>
  <c r="AA417" i="1"/>
  <c r="W417" i="1"/>
  <c r="U417" i="1"/>
  <c r="R417" i="1"/>
  <c r="N417" i="1"/>
  <c r="O417" i="1" s="1"/>
  <c r="L417" i="1"/>
  <c r="I417" i="1"/>
  <c r="H417" i="1"/>
  <c r="F417" i="1"/>
  <c r="C417" i="1"/>
  <c r="AC416" i="1"/>
  <c r="AD416" i="1" s="1"/>
  <c r="AA416" i="1"/>
  <c r="W416" i="1"/>
  <c r="U416" i="1"/>
  <c r="R416" i="1"/>
  <c r="N416" i="1"/>
  <c r="L416" i="1"/>
  <c r="I416" i="1"/>
  <c r="H416" i="1"/>
  <c r="F416" i="1"/>
  <c r="C416" i="1"/>
  <c r="AC415" i="1"/>
  <c r="AD415" i="1" s="1"/>
  <c r="AA415" i="1"/>
  <c r="W415" i="1"/>
  <c r="X415" i="1" s="1"/>
  <c r="U415" i="1"/>
  <c r="R415" i="1"/>
  <c r="N415" i="1"/>
  <c r="L415" i="1"/>
  <c r="H415" i="1"/>
  <c r="I415" i="1" s="1"/>
  <c r="F415" i="1"/>
  <c r="C415" i="1"/>
  <c r="AD414" i="1"/>
  <c r="AC414" i="1"/>
  <c r="AA414" i="1"/>
  <c r="W414" i="1"/>
  <c r="U414" i="1"/>
  <c r="R414" i="1"/>
  <c r="N414" i="1"/>
  <c r="O414" i="1" s="1"/>
  <c r="L414" i="1"/>
  <c r="H414" i="1"/>
  <c r="I414" i="1" s="1"/>
  <c r="F414" i="1"/>
  <c r="C414" i="1"/>
  <c r="AD413" i="1"/>
  <c r="AC413" i="1"/>
  <c r="AA413" i="1"/>
  <c r="W413" i="1"/>
  <c r="U413" i="1"/>
  <c r="R413" i="1"/>
  <c r="N413" i="1"/>
  <c r="O413" i="1" s="1"/>
  <c r="L413" i="1"/>
  <c r="I413" i="1"/>
  <c r="H413" i="1"/>
  <c r="F413" i="1"/>
  <c r="C413" i="1"/>
  <c r="AC412" i="1"/>
  <c r="AD412" i="1" s="1"/>
  <c r="AA412" i="1"/>
  <c r="W412" i="1"/>
  <c r="X412" i="1" s="1"/>
  <c r="U412" i="1"/>
  <c r="R412" i="1"/>
  <c r="N412" i="1"/>
  <c r="O412" i="1" s="1"/>
  <c r="L412" i="1"/>
  <c r="I412" i="1"/>
  <c r="H412" i="1"/>
  <c r="F412" i="1"/>
  <c r="C412" i="1"/>
  <c r="AC411" i="1"/>
  <c r="AD411" i="1" s="1"/>
  <c r="AA411" i="1"/>
  <c r="X411" i="1"/>
  <c r="W411" i="1"/>
  <c r="U411" i="1"/>
  <c r="R411" i="1"/>
  <c r="N411" i="1"/>
  <c r="L411" i="1"/>
  <c r="H411" i="1"/>
  <c r="I411" i="1" s="1"/>
  <c r="F411" i="1"/>
  <c r="C411" i="1"/>
  <c r="AD410" i="1"/>
  <c r="AC410" i="1"/>
  <c r="AA410" i="1"/>
  <c r="W410" i="1"/>
  <c r="U410" i="1"/>
  <c r="R410" i="1"/>
  <c r="N410" i="1"/>
  <c r="O410" i="1" s="1"/>
  <c r="L410" i="1"/>
  <c r="H410" i="1"/>
  <c r="I410" i="1" s="1"/>
  <c r="F410" i="1"/>
  <c r="C410" i="1"/>
  <c r="AD409" i="1"/>
  <c r="AC409" i="1"/>
  <c r="AA409" i="1"/>
  <c r="W409" i="1"/>
  <c r="U409" i="1"/>
  <c r="R409" i="1"/>
  <c r="N409" i="1"/>
  <c r="O409" i="1" s="1"/>
  <c r="L409" i="1"/>
  <c r="I409" i="1"/>
  <c r="H409" i="1"/>
  <c r="F409" i="1"/>
  <c r="C409" i="1"/>
  <c r="AC408" i="1"/>
  <c r="AD408" i="1" s="1"/>
  <c r="AA408" i="1"/>
  <c r="W408" i="1"/>
  <c r="U408" i="1"/>
  <c r="R408" i="1"/>
  <c r="N408" i="1"/>
  <c r="O408" i="1" s="1"/>
  <c r="L408" i="1"/>
  <c r="I408" i="1"/>
  <c r="H408" i="1"/>
  <c r="F408" i="1"/>
  <c r="C408" i="1"/>
  <c r="AC407" i="1"/>
  <c r="AD407" i="1" s="1"/>
  <c r="AA407" i="1"/>
  <c r="W407" i="1"/>
  <c r="X407" i="1" s="1"/>
  <c r="U407" i="1"/>
  <c r="R407" i="1"/>
  <c r="N407" i="1"/>
  <c r="L407" i="1"/>
  <c r="H407" i="1"/>
  <c r="I407" i="1" s="1"/>
  <c r="F407" i="1"/>
  <c r="C407" i="1"/>
  <c r="AA403" i="1"/>
  <c r="Z403" i="1"/>
  <c r="T403" i="1"/>
  <c r="U403" i="1" s="1"/>
  <c r="Q403" i="1"/>
  <c r="AC403" i="1" s="1"/>
  <c r="AD403" i="1" s="1"/>
  <c r="L403" i="1"/>
  <c r="K403" i="1"/>
  <c r="E403" i="1"/>
  <c r="F403" i="1" s="1"/>
  <c r="C403" i="1"/>
  <c r="B403" i="1"/>
  <c r="AD402" i="1"/>
  <c r="AC402" i="1"/>
  <c r="AA402" i="1"/>
  <c r="W402" i="1"/>
  <c r="X402" i="1" s="1"/>
  <c r="U402" i="1"/>
  <c r="R402" i="1"/>
  <c r="N402" i="1"/>
  <c r="O402" i="1" s="1"/>
  <c r="L402" i="1"/>
  <c r="H402" i="1"/>
  <c r="I402" i="1" s="1"/>
  <c r="F402" i="1"/>
  <c r="C402" i="1"/>
  <c r="AD401" i="1"/>
  <c r="AC401" i="1"/>
  <c r="AA401" i="1"/>
  <c r="W401" i="1"/>
  <c r="U401" i="1"/>
  <c r="R401" i="1"/>
  <c r="N401" i="1"/>
  <c r="O401" i="1" s="1"/>
  <c r="L401" i="1"/>
  <c r="I401" i="1"/>
  <c r="H401" i="1"/>
  <c r="F401" i="1"/>
  <c r="C401" i="1"/>
  <c r="AC400" i="1"/>
  <c r="AD400" i="1" s="1"/>
  <c r="AA400" i="1"/>
  <c r="W400" i="1"/>
  <c r="U400" i="1"/>
  <c r="R400" i="1"/>
  <c r="N400" i="1"/>
  <c r="O400" i="1" s="1"/>
  <c r="L400" i="1"/>
  <c r="I400" i="1"/>
  <c r="H400" i="1"/>
  <c r="F400" i="1"/>
  <c r="C400" i="1"/>
  <c r="AC399" i="1"/>
  <c r="AD399" i="1" s="1"/>
  <c r="AA399" i="1"/>
  <c r="W399" i="1"/>
  <c r="X399" i="1" s="1"/>
  <c r="U399" i="1"/>
  <c r="R399" i="1"/>
  <c r="N399" i="1"/>
  <c r="L399" i="1"/>
  <c r="H399" i="1"/>
  <c r="I399" i="1" s="1"/>
  <c r="F399" i="1"/>
  <c r="C399" i="1"/>
  <c r="AD398" i="1"/>
  <c r="AC398" i="1"/>
  <c r="AA398" i="1"/>
  <c r="W398" i="1"/>
  <c r="U398" i="1"/>
  <c r="R398" i="1"/>
  <c r="N398" i="1"/>
  <c r="O398" i="1" s="1"/>
  <c r="L398" i="1"/>
  <c r="H398" i="1"/>
  <c r="I398" i="1" s="1"/>
  <c r="F398" i="1"/>
  <c r="C398" i="1"/>
  <c r="AD397" i="1"/>
  <c r="AC397" i="1"/>
  <c r="AA397" i="1"/>
  <c r="W397" i="1"/>
  <c r="U397" i="1"/>
  <c r="R397" i="1"/>
  <c r="O397" i="1"/>
  <c r="N397" i="1"/>
  <c r="L397" i="1"/>
  <c r="I397" i="1"/>
  <c r="H397" i="1"/>
  <c r="F397" i="1"/>
  <c r="C397" i="1"/>
  <c r="AC396" i="1"/>
  <c r="AD396" i="1" s="1"/>
  <c r="AA396" i="1"/>
  <c r="Z396" i="1"/>
  <c r="T396" i="1"/>
  <c r="U396" i="1" s="1"/>
  <c r="Q396" i="1"/>
  <c r="L396" i="1"/>
  <c r="K396" i="1"/>
  <c r="E396" i="1"/>
  <c r="F396" i="1" s="1"/>
  <c r="C396" i="1"/>
  <c r="B396" i="1"/>
  <c r="H396" i="1" s="1"/>
  <c r="I396" i="1" s="1"/>
  <c r="AD395" i="1"/>
  <c r="AC395" i="1"/>
  <c r="AA395" i="1"/>
  <c r="W395" i="1"/>
  <c r="U395" i="1"/>
  <c r="R395" i="1"/>
  <c r="N395" i="1"/>
  <c r="O395" i="1" s="1"/>
  <c r="L395" i="1"/>
  <c r="H395" i="1"/>
  <c r="I395" i="1" s="1"/>
  <c r="F395" i="1"/>
  <c r="C395" i="1"/>
  <c r="AD394" i="1"/>
  <c r="AC394" i="1"/>
  <c r="AA394" i="1"/>
  <c r="W394" i="1"/>
  <c r="U394" i="1"/>
  <c r="R394" i="1"/>
  <c r="O394" i="1"/>
  <c r="N394" i="1"/>
  <c r="L394" i="1"/>
  <c r="I394" i="1"/>
  <c r="H394" i="1"/>
  <c r="F394" i="1"/>
  <c r="C394" i="1"/>
  <c r="AC393" i="1"/>
  <c r="AD393" i="1" s="1"/>
  <c r="AA393" i="1"/>
  <c r="Z393" i="1"/>
  <c r="T393" i="1"/>
  <c r="U393" i="1" s="1"/>
  <c r="Q393" i="1"/>
  <c r="L393" i="1"/>
  <c r="K393" i="1"/>
  <c r="E393" i="1"/>
  <c r="F393" i="1" s="1"/>
  <c r="C393" i="1"/>
  <c r="B393" i="1"/>
  <c r="AD392" i="1"/>
  <c r="AC392" i="1"/>
  <c r="AA392" i="1"/>
  <c r="W392" i="1"/>
  <c r="U392" i="1"/>
  <c r="R392" i="1"/>
  <c r="N392" i="1"/>
  <c r="O392" i="1" s="1"/>
  <c r="L392" i="1"/>
  <c r="H392" i="1"/>
  <c r="I392" i="1" s="1"/>
  <c r="F392" i="1"/>
  <c r="C392" i="1"/>
  <c r="AD391" i="1"/>
  <c r="AC391" i="1"/>
  <c r="AA391" i="1"/>
  <c r="W391" i="1"/>
  <c r="U391" i="1"/>
  <c r="R391" i="1"/>
  <c r="O391" i="1"/>
  <c r="N391" i="1"/>
  <c r="L391" i="1"/>
  <c r="I391" i="1"/>
  <c r="H391" i="1"/>
  <c r="F391" i="1"/>
  <c r="C391" i="1"/>
  <c r="AC390" i="1"/>
  <c r="AD390" i="1" s="1"/>
  <c r="AA390" i="1"/>
  <c r="W390" i="1"/>
  <c r="U390" i="1"/>
  <c r="R390" i="1"/>
  <c r="N390" i="1"/>
  <c r="O390" i="1" s="1"/>
  <c r="L390" i="1"/>
  <c r="I390" i="1"/>
  <c r="H390" i="1"/>
  <c r="F390" i="1"/>
  <c r="C390" i="1"/>
  <c r="AC389" i="1"/>
  <c r="AD389" i="1" s="1"/>
  <c r="AA389" i="1"/>
  <c r="X389" i="1"/>
  <c r="W389" i="1"/>
  <c r="U389" i="1"/>
  <c r="R389" i="1"/>
  <c r="N389" i="1"/>
  <c r="L389" i="1"/>
  <c r="H389" i="1"/>
  <c r="I389" i="1" s="1"/>
  <c r="F389" i="1"/>
  <c r="C389" i="1"/>
  <c r="AD388" i="1"/>
  <c r="AC388" i="1"/>
  <c r="AA388" i="1"/>
  <c r="W388" i="1"/>
  <c r="U388" i="1"/>
  <c r="R388" i="1"/>
  <c r="N388" i="1"/>
  <c r="O388" i="1" s="1"/>
  <c r="L388" i="1"/>
  <c r="H388" i="1"/>
  <c r="I388" i="1" s="1"/>
  <c r="F388" i="1"/>
  <c r="C388" i="1"/>
  <c r="AD386" i="1"/>
  <c r="AC386" i="1"/>
  <c r="AA386" i="1"/>
  <c r="W386" i="1"/>
  <c r="U386" i="1"/>
  <c r="R386" i="1"/>
  <c r="N386" i="1"/>
  <c r="O386" i="1" s="1"/>
  <c r="L386" i="1"/>
  <c r="I386" i="1"/>
  <c r="H386" i="1"/>
  <c r="F386" i="1"/>
  <c r="C386" i="1"/>
  <c r="AC385" i="1"/>
  <c r="AD385" i="1" s="1"/>
  <c r="AA385" i="1"/>
  <c r="W385" i="1"/>
  <c r="X385" i="1" s="1"/>
  <c r="U385" i="1"/>
  <c r="R385" i="1"/>
  <c r="N385" i="1"/>
  <c r="O385" i="1" s="1"/>
  <c r="L385" i="1"/>
  <c r="I385" i="1"/>
  <c r="H385" i="1"/>
  <c r="F385" i="1"/>
  <c r="C385" i="1"/>
  <c r="AC383" i="1"/>
  <c r="AD383" i="1" s="1"/>
  <c r="AA383" i="1"/>
  <c r="W383" i="1"/>
  <c r="X383" i="1" s="1"/>
  <c r="U383" i="1"/>
  <c r="R383" i="1"/>
  <c r="N383" i="1"/>
  <c r="L383" i="1"/>
  <c r="H383" i="1"/>
  <c r="I383" i="1" s="1"/>
  <c r="F383" i="1"/>
  <c r="C383" i="1"/>
  <c r="AD382" i="1"/>
  <c r="AC382" i="1"/>
  <c r="AA382" i="1"/>
  <c r="W382" i="1"/>
  <c r="U382" i="1"/>
  <c r="R382" i="1"/>
  <c r="N382" i="1"/>
  <c r="O382" i="1" s="1"/>
  <c r="L382" i="1"/>
  <c r="H382" i="1"/>
  <c r="I382" i="1" s="1"/>
  <c r="F382" i="1"/>
  <c r="C382" i="1"/>
  <c r="AD381" i="1"/>
  <c r="AC381" i="1"/>
  <c r="AA381" i="1"/>
  <c r="W381" i="1"/>
  <c r="U381" i="1"/>
  <c r="R381" i="1"/>
  <c r="O381" i="1"/>
  <c r="N381" i="1"/>
  <c r="L381" i="1"/>
  <c r="I381" i="1"/>
  <c r="H381" i="1"/>
  <c r="F381" i="1"/>
  <c r="C381" i="1"/>
  <c r="AC380" i="1"/>
  <c r="AD380" i="1" s="1"/>
  <c r="AA380" i="1"/>
  <c r="W380" i="1"/>
  <c r="U380" i="1"/>
  <c r="R380" i="1"/>
  <c r="N380" i="1"/>
  <c r="O380" i="1" s="1"/>
  <c r="L380" i="1"/>
  <c r="I380" i="1"/>
  <c r="H380" i="1"/>
  <c r="F380" i="1"/>
  <c r="C380" i="1"/>
  <c r="AC379" i="1"/>
  <c r="AD379" i="1" s="1"/>
  <c r="AA379" i="1"/>
  <c r="W379" i="1"/>
  <c r="U379" i="1"/>
  <c r="R379" i="1"/>
  <c r="N379" i="1"/>
  <c r="L379" i="1"/>
  <c r="H379" i="1"/>
  <c r="I379" i="1" s="1"/>
  <c r="F379" i="1"/>
  <c r="C379" i="1"/>
  <c r="AD378" i="1"/>
  <c r="AC378" i="1"/>
  <c r="AA378" i="1"/>
  <c r="W378" i="1"/>
  <c r="X378" i="1" s="1"/>
  <c r="U378" i="1"/>
  <c r="R378" i="1"/>
  <c r="N378" i="1"/>
  <c r="O378" i="1" s="1"/>
  <c r="L378" i="1"/>
  <c r="H378" i="1"/>
  <c r="I378" i="1" s="1"/>
  <c r="F378" i="1"/>
  <c r="C378" i="1"/>
  <c r="AD377" i="1"/>
  <c r="AC377" i="1"/>
  <c r="AA377" i="1"/>
  <c r="W377" i="1"/>
  <c r="U377" i="1"/>
  <c r="R377" i="1"/>
  <c r="N377" i="1"/>
  <c r="O377" i="1" s="1"/>
  <c r="L377" i="1"/>
  <c r="I377" i="1"/>
  <c r="H377" i="1"/>
  <c r="F377" i="1"/>
  <c r="C377" i="1"/>
  <c r="AC376" i="1"/>
  <c r="AD376" i="1" s="1"/>
  <c r="AA376" i="1"/>
  <c r="W376" i="1"/>
  <c r="U376" i="1"/>
  <c r="R376" i="1"/>
  <c r="N376" i="1"/>
  <c r="O376" i="1" s="1"/>
  <c r="L376" i="1"/>
  <c r="I376" i="1"/>
  <c r="H376" i="1"/>
  <c r="F376" i="1"/>
  <c r="C376" i="1"/>
  <c r="AC375" i="1"/>
  <c r="AD375" i="1" s="1"/>
  <c r="AA375" i="1"/>
  <c r="W375" i="1"/>
  <c r="X375" i="1" s="1"/>
  <c r="U375" i="1"/>
  <c r="R375" i="1"/>
  <c r="N375" i="1"/>
  <c r="L375" i="1"/>
  <c r="H375" i="1"/>
  <c r="I375" i="1" s="1"/>
  <c r="F375" i="1"/>
  <c r="C375" i="1"/>
  <c r="AD374" i="1"/>
  <c r="AC374" i="1"/>
  <c r="AA374" i="1"/>
  <c r="W374" i="1"/>
  <c r="U374" i="1"/>
  <c r="R374" i="1"/>
  <c r="N374" i="1"/>
  <c r="O374" i="1" s="1"/>
  <c r="L374" i="1"/>
  <c r="H374" i="1"/>
  <c r="I374" i="1" s="1"/>
  <c r="F374" i="1"/>
  <c r="C374" i="1"/>
  <c r="AD373" i="1"/>
  <c r="AC373" i="1"/>
  <c r="AA373" i="1"/>
  <c r="W373" i="1"/>
  <c r="U373" i="1"/>
  <c r="R373" i="1"/>
  <c r="O373" i="1"/>
  <c r="N373" i="1"/>
  <c r="L373" i="1"/>
  <c r="I373" i="1"/>
  <c r="H373" i="1"/>
  <c r="F373" i="1"/>
  <c r="C373" i="1"/>
  <c r="AC372" i="1"/>
  <c r="AD372" i="1" s="1"/>
  <c r="AA372" i="1"/>
  <c r="W372" i="1"/>
  <c r="U372" i="1"/>
  <c r="R372" i="1"/>
  <c r="N372" i="1"/>
  <c r="O372" i="1" s="1"/>
  <c r="L372" i="1"/>
  <c r="I372" i="1"/>
  <c r="H372" i="1"/>
  <c r="F372" i="1"/>
  <c r="C372" i="1"/>
  <c r="AC371" i="1"/>
  <c r="AD371" i="1" s="1"/>
  <c r="AA371" i="1"/>
  <c r="X371" i="1"/>
  <c r="W371" i="1"/>
  <c r="U371" i="1"/>
  <c r="R371" i="1"/>
  <c r="N371" i="1"/>
  <c r="L371" i="1"/>
  <c r="H371" i="1"/>
  <c r="I371" i="1" s="1"/>
  <c r="F371" i="1"/>
  <c r="C371" i="1"/>
  <c r="AD370" i="1"/>
  <c r="AC370" i="1"/>
  <c r="AA370" i="1"/>
  <c r="W370" i="1"/>
  <c r="U370" i="1"/>
  <c r="R370" i="1"/>
  <c r="N370" i="1"/>
  <c r="O370" i="1" s="1"/>
  <c r="L370" i="1"/>
  <c r="H370" i="1"/>
  <c r="I370" i="1" s="1"/>
  <c r="F370" i="1"/>
  <c r="C370" i="1"/>
  <c r="AD369" i="1"/>
  <c r="AC369" i="1"/>
  <c r="AA369" i="1"/>
  <c r="W369" i="1"/>
  <c r="U369" i="1"/>
  <c r="R369" i="1"/>
  <c r="N369" i="1"/>
  <c r="O369" i="1" s="1"/>
  <c r="L369" i="1"/>
  <c r="I369" i="1"/>
  <c r="H369" i="1"/>
  <c r="F369" i="1"/>
  <c r="C369" i="1"/>
  <c r="AA368" i="1"/>
  <c r="Z368" i="1"/>
  <c r="T368" i="1"/>
  <c r="U368" i="1" s="1"/>
  <c r="Q368" i="1"/>
  <c r="AC368" i="1" s="1"/>
  <c r="AD368" i="1" s="1"/>
  <c r="L368" i="1"/>
  <c r="K368" i="1"/>
  <c r="E368" i="1"/>
  <c r="F368" i="1" s="1"/>
  <c r="C368" i="1"/>
  <c r="B368" i="1"/>
  <c r="AD367" i="1"/>
  <c r="AC367" i="1"/>
  <c r="AA367" i="1"/>
  <c r="W367" i="1"/>
  <c r="X367" i="1" s="1"/>
  <c r="U367" i="1"/>
  <c r="R367" i="1"/>
  <c r="N367" i="1"/>
  <c r="O367" i="1" s="1"/>
  <c r="L367" i="1"/>
  <c r="H367" i="1"/>
  <c r="I367" i="1" s="1"/>
  <c r="F367" i="1"/>
  <c r="C367" i="1"/>
  <c r="AD366" i="1"/>
  <c r="AC366" i="1"/>
  <c r="AA366" i="1"/>
  <c r="W366" i="1"/>
  <c r="U366" i="1"/>
  <c r="R366" i="1"/>
  <c r="N366" i="1"/>
  <c r="O366" i="1" s="1"/>
  <c r="L366" i="1"/>
  <c r="I366" i="1"/>
  <c r="H366" i="1"/>
  <c r="F366" i="1"/>
  <c r="C366" i="1"/>
  <c r="AC365" i="1"/>
  <c r="AD365" i="1" s="1"/>
  <c r="AA365" i="1"/>
  <c r="W365" i="1"/>
  <c r="U365" i="1"/>
  <c r="R365" i="1"/>
  <c r="N365" i="1"/>
  <c r="O365" i="1" s="1"/>
  <c r="L365" i="1"/>
  <c r="I365" i="1"/>
  <c r="H365" i="1"/>
  <c r="F365" i="1"/>
  <c r="C365" i="1"/>
  <c r="AC364" i="1"/>
  <c r="AD364" i="1" s="1"/>
  <c r="AA364" i="1"/>
  <c r="W364" i="1"/>
  <c r="X364" i="1" s="1"/>
  <c r="U364" i="1"/>
  <c r="R364" i="1"/>
  <c r="N364" i="1"/>
  <c r="L364" i="1"/>
  <c r="H364" i="1"/>
  <c r="I364" i="1" s="1"/>
  <c r="F364" i="1"/>
  <c r="C364" i="1"/>
  <c r="AD363" i="1"/>
  <c r="AC363" i="1"/>
  <c r="AA363" i="1"/>
  <c r="W363" i="1"/>
  <c r="U363" i="1"/>
  <c r="R363" i="1"/>
  <c r="N363" i="1"/>
  <c r="O363" i="1" s="1"/>
  <c r="L363" i="1"/>
  <c r="H363" i="1"/>
  <c r="I363" i="1" s="1"/>
  <c r="F363" i="1"/>
  <c r="C363" i="1"/>
  <c r="AD362" i="1"/>
  <c r="AC362" i="1"/>
  <c r="AA362" i="1"/>
  <c r="W362" i="1"/>
  <c r="U362" i="1"/>
  <c r="R362" i="1"/>
  <c r="O362" i="1"/>
  <c r="N362" i="1"/>
  <c r="L362" i="1"/>
  <c r="I362" i="1"/>
  <c r="H362" i="1"/>
  <c r="F362" i="1"/>
  <c r="C362" i="1"/>
  <c r="AC361" i="1"/>
  <c r="AD361" i="1" s="1"/>
  <c r="AA361" i="1"/>
  <c r="W361" i="1"/>
  <c r="U361" i="1"/>
  <c r="R361" i="1"/>
  <c r="N361" i="1"/>
  <c r="O361" i="1" s="1"/>
  <c r="L361" i="1"/>
  <c r="I361" i="1"/>
  <c r="H361" i="1"/>
  <c r="F361" i="1"/>
  <c r="C361" i="1"/>
  <c r="AC360" i="1"/>
  <c r="AD360" i="1" s="1"/>
  <c r="AA360" i="1"/>
  <c r="X360" i="1"/>
  <c r="W360" i="1"/>
  <c r="U360" i="1"/>
  <c r="R360" i="1"/>
  <c r="N360" i="1"/>
  <c r="L360" i="1"/>
  <c r="H360" i="1"/>
  <c r="I360" i="1" s="1"/>
  <c r="F360" i="1"/>
  <c r="C360" i="1"/>
  <c r="Z358" i="1"/>
  <c r="AA358" i="1" s="1"/>
  <c r="W358" i="1"/>
  <c r="X358" i="1" s="1"/>
  <c r="U358" i="1"/>
  <c r="T358" i="1"/>
  <c r="R358" i="1"/>
  <c r="Q358" i="1"/>
  <c r="AC358" i="1" s="1"/>
  <c r="AD358" i="1" s="1"/>
  <c r="K358" i="1"/>
  <c r="L358" i="1" s="1"/>
  <c r="I358" i="1"/>
  <c r="H358" i="1"/>
  <c r="F358" i="1"/>
  <c r="E358" i="1"/>
  <c r="B358" i="1"/>
  <c r="C358" i="1" s="1"/>
  <c r="AC357" i="1"/>
  <c r="AD357" i="1" s="1"/>
  <c r="AA357" i="1"/>
  <c r="W357" i="1"/>
  <c r="X357" i="1" s="1"/>
  <c r="U357" i="1"/>
  <c r="R357" i="1"/>
  <c r="N357" i="1"/>
  <c r="O357" i="1" s="1"/>
  <c r="L357" i="1"/>
  <c r="I357" i="1"/>
  <c r="H357" i="1"/>
  <c r="F357" i="1"/>
  <c r="C357" i="1"/>
  <c r="AC356" i="1"/>
  <c r="AD356" i="1" s="1"/>
  <c r="AA356" i="1"/>
  <c r="X356" i="1"/>
  <c r="W356" i="1"/>
  <c r="U356" i="1"/>
  <c r="R356" i="1"/>
  <c r="N356" i="1"/>
  <c r="L356" i="1"/>
  <c r="H356" i="1"/>
  <c r="I356" i="1" s="1"/>
  <c r="F356" i="1"/>
  <c r="C356" i="1"/>
  <c r="AD355" i="1"/>
  <c r="AC355" i="1"/>
  <c r="AA355" i="1"/>
  <c r="W355" i="1"/>
  <c r="U355" i="1"/>
  <c r="R355" i="1"/>
  <c r="N355" i="1"/>
  <c r="O355" i="1" s="1"/>
  <c r="L355" i="1"/>
  <c r="H355" i="1"/>
  <c r="I355" i="1" s="1"/>
  <c r="F355" i="1"/>
  <c r="C355" i="1"/>
  <c r="AD354" i="1"/>
  <c r="AC354" i="1"/>
  <c r="AA354" i="1"/>
  <c r="W354" i="1"/>
  <c r="U354" i="1"/>
  <c r="R354" i="1"/>
  <c r="N354" i="1"/>
  <c r="O354" i="1" s="1"/>
  <c r="L354" i="1"/>
  <c r="I354" i="1"/>
  <c r="H354" i="1"/>
  <c r="F354" i="1"/>
  <c r="C354" i="1"/>
  <c r="AC353" i="1"/>
  <c r="AD353" i="1" s="1"/>
  <c r="AA353" i="1"/>
  <c r="W353" i="1"/>
  <c r="U353" i="1"/>
  <c r="R353" i="1"/>
  <c r="N353" i="1"/>
  <c r="O353" i="1" s="1"/>
  <c r="L353" i="1"/>
  <c r="I353" i="1"/>
  <c r="H353" i="1"/>
  <c r="F353" i="1"/>
  <c r="C353" i="1"/>
  <c r="AC352" i="1"/>
  <c r="AD352" i="1" s="1"/>
  <c r="AA352" i="1"/>
  <c r="W352" i="1"/>
  <c r="X352" i="1" s="1"/>
  <c r="U352" i="1"/>
  <c r="R352" i="1"/>
  <c r="N352" i="1"/>
  <c r="L352" i="1"/>
  <c r="H352" i="1"/>
  <c r="I352" i="1" s="1"/>
  <c r="F352" i="1"/>
  <c r="C352" i="1"/>
  <c r="AD351" i="1"/>
  <c r="AC351" i="1"/>
  <c r="AA351" i="1"/>
  <c r="W351" i="1"/>
  <c r="U351" i="1"/>
  <c r="R351" i="1"/>
  <c r="N351" i="1"/>
  <c r="O351" i="1" s="1"/>
  <c r="L351" i="1"/>
  <c r="H351" i="1"/>
  <c r="I351" i="1" s="1"/>
  <c r="F351" i="1"/>
  <c r="C351" i="1"/>
  <c r="AD350" i="1"/>
  <c r="AC350" i="1"/>
  <c r="AA350" i="1"/>
  <c r="W350" i="1"/>
  <c r="U350" i="1"/>
  <c r="R350" i="1"/>
  <c r="O350" i="1"/>
  <c r="N350" i="1"/>
  <c r="L350" i="1"/>
  <c r="I350" i="1"/>
  <c r="H350" i="1"/>
  <c r="F350" i="1"/>
  <c r="C350" i="1"/>
  <c r="AC349" i="1"/>
  <c r="AD349" i="1" s="1"/>
  <c r="AA349" i="1"/>
  <c r="W349" i="1"/>
  <c r="U349" i="1"/>
  <c r="R349" i="1"/>
  <c r="N349" i="1"/>
  <c r="O349" i="1" s="1"/>
  <c r="L349" i="1"/>
  <c r="I349" i="1"/>
  <c r="H349" i="1"/>
  <c r="F349" i="1"/>
  <c r="C349" i="1"/>
  <c r="AC347" i="1"/>
  <c r="AD347" i="1" s="1"/>
  <c r="AA347" i="1"/>
  <c r="W347" i="1"/>
  <c r="X347" i="1" s="1"/>
  <c r="U347" i="1"/>
  <c r="R347" i="1"/>
  <c r="N347" i="1"/>
  <c r="L347" i="1"/>
  <c r="H347" i="1"/>
  <c r="I347" i="1" s="1"/>
  <c r="F347" i="1"/>
  <c r="C347" i="1"/>
  <c r="AC344" i="1"/>
  <c r="AD344" i="1" s="1"/>
  <c r="AA344" i="1"/>
  <c r="Z344" i="1"/>
  <c r="T344" i="1"/>
  <c r="U344" i="1" s="1"/>
  <c r="Q344" i="1"/>
  <c r="L344" i="1"/>
  <c r="K344" i="1"/>
  <c r="E344" i="1"/>
  <c r="F344" i="1" s="1"/>
  <c r="C344" i="1"/>
  <c r="B344" i="1"/>
  <c r="AD343" i="1"/>
  <c r="Z343" i="1"/>
  <c r="AA343" i="1" s="1"/>
  <c r="W343" i="1"/>
  <c r="U343" i="1"/>
  <c r="T343" i="1"/>
  <c r="R343" i="1"/>
  <c r="Q343" i="1"/>
  <c r="AC343" i="1" s="1"/>
  <c r="K343" i="1"/>
  <c r="L343" i="1" s="1"/>
  <c r="I343" i="1"/>
  <c r="H343" i="1"/>
  <c r="F343" i="1"/>
  <c r="E343" i="1"/>
  <c r="B343" i="1"/>
  <c r="C343" i="1" s="1"/>
  <c r="AC342" i="1"/>
  <c r="AD342" i="1" s="1"/>
  <c r="AA342" i="1"/>
  <c r="Z342" i="1"/>
  <c r="T342" i="1"/>
  <c r="U342" i="1" s="1"/>
  <c r="Q342" i="1"/>
  <c r="L342" i="1"/>
  <c r="K342" i="1"/>
  <c r="E342" i="1"/>
  <c r="F342" i="1" s="1"/>
  <c r="C342" i="1"/>
  <c r="B342" i="1"/>
  <c r="H342" i="1" s="1"/>
  <c r="I342" i="1" s="1"/>
  <c r="AD341" i="1"/>
  <c r="AC341" i="1"/>
  <c r="AA341" i="1"/>
  <c r="W341" i="1"/>
  <c r="U341" i="1"/>
  <c r="R341" i="1"/>
  <c r="N341" i="1"/>
  <c r="O341" i="1" s="1"/>
  <c r="L341" i="1"/>
  <c r="H341" i="1"/>
  <c r="I341" i="1" s="1"/>
  <c r="F341" i="1"/>
  <c r="C341" i="1"/>
  <c r="AD340" i="1"/>
  <c r="AC340" i="1"/>
  <c r="AA340" i="1"/>
  <c r="W340" i="1"/>
  <c r="U340" i="1"/>
  <c r="R340" i="1"/>
  <c r="N340" i="1"/>
  <c r="O340" i="1" s="1"/>
  <c r="L340" i="1"/>
  <c r="I340" i="1"/>
  <c r="H340" i="1"/>
  <c r="F340" i="1"/>
  <c r="C340" i="1"/>
  <c r="AC339" i="1"/>
  <c r="AD339" i="1" s="1"/>
  <c r="AA339" i="1"/>
  <c r="W339" i="1"/>
  <c r="U339" i="1"/>
  <c r="R339" i="1"/>
  <c r="N339" i="1"/>
  <c r="O339" i="1" s="1"/>
  <c r="L339" i="1"/>
  <c r="I339" i="1"/>
  <c r="H339" i="1"/>
  <c r="F339" i="1"/>
  <c r="C339" i="1"/>
  <c r="AC338" i="1"/>
  <c r="AD338" i="1" s="1"/>
  <c r="AA338" i="1"/>
  <c r="W338" i="1"/>
  <c r="X338" i="1" s="1"/>
  <c r="U338" i="1"/>
  <c r="R338" i="1"/>
  <c r="N338" i="1"/>
  <c r="L338" i="1"/>
  <c r="H338" i="1"/>
  <c r="I338" i="1" s="1"/>
  <c r="F338" i="1"/>
  <c r="C338" i="1"/>
  <c r="AD337" i="1"/>
  <c r="AC337" i="1"/>
  <c r="AA337" i="1"/>
  <c r="W337" i="1"/>
  <c r="U337" i="1"/>
  <c r="R337" i="1"/>
  <c r="N337" i="1"/>
  <c r="O337" i="1" s="1"/>
  <c r="L337" i="1"/>
  <c r="H337" i="1"/>
  <c r="I337" i="1" s="1"/>
  <c r="F337" i="1"/>
  <c r="C337" i="1"/>
  <c r="AD335" i="1"/>
  <c r="AC335" i="1"/>
  <c r="AA335" i="1"/>
  <c r="W335" i="1"/>
  <c r="U335" i="1"/>
  <c r="R335" i="1"/>
  <c r="O335" i="1"/>
  <c r="N335" i="1"/>
  <c r="L335" i="1"/>
  <c r="I335" i="1"/>
  <c r="H335" i="1"/>
  <c r="F335" i="1"/>
  <c r="C335" i="1"/>
  <c r="AC334" i="1"/>
  <c r="AD334" i="1" s="1"/>
  <c r="AA334" i="1"/>
  <c r="W334" i="1"/>
  <c r="U334" i="1"/>
  <c r="R334" i="1"/>
  <c r="N334" i="1"/>
  <c r="O334" i="1" s="1"/>
  <c r="L334" i="1"/>
  <c r="I334" i="1"/>
  <c r="H334" i="1"/>
  <c r="F334" i="1"/>
  <c r="C334" i="1"/>
  <c r="AC333" i="1"/>
  <c r="AD333" i="1" s="1"/>
  <c r="AA333" i="1"/>
  <c r="W333" i="1"/>
  <c r="X333" i="1" s="1"/>
  <c r="U333" i="1"/>
  <c r="R333" i="1"/>
  <c r="N333" i="1"/>
  <c r="L333" i="1"/>
  <c r="H333" i="1"/>
  <c r="I333" i="1" s="1"/>
  <c r="F333" i="1"/>
  <c r="C333" i="1"/>
  <c r="AD332" i="1"/>
  <c r="AC332" i="1"/>
  <c r="AA332" i="1"/>
  <c r="W332" i="1"/>
  <c r="X332" i="1" s="1"/>
  <c r="U332" i="1"/>
  <c r="R332" i="1"/>
  <c r="N332" i="1"/>
  <c r="O332" i="1" s="1"/>
  <c r="L332" i="1"/>
  <c r="H332" i="1"/>
  <c r="I332" i="1" s="1"/>
  <c r="F332" i="1"/>
  <c r="C332" i="1"/>
  <c r="AD331" i="1"/>
  <c r="AC331" i="1"/>
  <c r="AA331" i="1"/>
  <c r="W331" i="1"/>
  <c r="U331" i="1"/>
  <c r="R331" i="1"/>
  <c r="N331" i="1"/>
  <c r="O331" i="1" s="1"/>
  <c r="L331" i="1"/>
  <c r="I331" i="1"/>
  <c r="H331" i="1"/>
  <c r="F331" i="1"/>
  <c r="C331" i="1"/>
  <c r="AC330" i="1"/>
  <c r="AD330" i="1" s="1"/>
  <c r="AA330" i="1"/>
  <c r="W330" i="1"/>
  <c r="U330" i="1"/>
  <c r="R330" i="1"/>
  <c r="N330" i="1"/>
  <c r="O330" i="1" s="1"/>
  <c r="L330" i="1"/>
  <c r="I330" i="1"/>
  <c r="H330" i="1"/>
  <c r="F330" i="1"/>
  <c r="C330" i="1"/>
  <c r="AC329" i="1"/>
  <c r="AD329" i="1" s="1"/>
  <c r="AA329" i="1"/>
  <c r="W329" i="1"/>
  <c r="X329" i="1" s="1"/>
  <c r="U329" i="1"/>
  <c r="R329" i="1"/>
  <c r="N329" i="1"/>
  <c r="L329" i="1"/>
  <c r="H329" i="1"/>
  <c r="I329" i="1" s="1"/>
  <c r="F329" i="1"/>
  <c r="C329" i="1"/>
  <c r="AD328" i="1"/>
  <c r="AC328" i="1"/>
  <c r="AA328" i="1"/>
  <c r="W328" i="1"/>
  <c r="U328" i="1"/>
  <c r="R328" i="1"/>
  <c r="N328" i="1"/>
  <c r="O328" i="1" s="1"/>
  <c r="L328" i="1"/>
  <c r="H328" i="1"/>
  <c r="I328" i="1" s="1"/>
  <c r="F328" i="1"/>
  <c r="C328" i="1"/>
  <c r="AA325" i="1"/>
  <c r="Z325" i="1"/>
  <c r="T325" i="1"/>
  <c r="U325" i="1" s="1"/>
  <c r="R325" i="1"/>
  <c r="Q325" i="1"/>
  <c r="W325" i="1" s="1"/>
  <c r="O325" i="1"/>
  <c r="K325" i="1"/>
  <c r="L325" i="1" s="1"/>
  <c r="H325" i="1"/>
  <c r="I325" i="1" s="1"/>
  <c r="F325" i="1"/>
  <c r="E325" i="1"/>
  <c r="C325" i="1"/>
  <c r="B325" i="1"/>
  <c r="N325" i="1" s="1"/>
  <c r="Z324" i="1"/>
  <c r="AA324" i="1" s="1"/>
  <c r="W324" i="1"/>
  <c r="U324" i="1"/>
  <c r="T324" i="1"/>
  <c r="Q324" i="1"/>
  <c r="R324" i="1" s="1"/>
  <c r="L324" i="1"/>
  <c r="K324" i="1"/>
  <c r="E324" i="1"/>
  <c r="F324" i="1" s="1"/>
  <c r="B324" i="1"/>
  <c r="AD323" i="1"/>
  <c r="AC323" i="1"/>
  <c r="AA323" i="1"/>
  <c r="W323" i="1"/>
  <c r="U323" i="1"/>
  <c r="R323" i="1"/>
  <c r="O323" i="1"/>
  <c r="N323" i="1"/>
  <c r="L323" i="1"/>
  <c r="I323" i="1"/>
  <c r="H323" i="1"/>
  <c r="F323" i="1"/>
  <c r="C323" i="1"/>
  <c r="AC322" i="1"/>
  <c r="AD322" i="1" s="1"/>
  <c r="AA322" i="1"/>
  <c r="W322" i="1"/>
  <c r="U322" i="1"/>
  <c r="R322" i="1"/>
  <c r="N322" i="1"/>
  <c r="O322" i="1" s="1"/>
  <c r="L322" i="1"/>
  <c r="I322" i="1"/>
  <c r="H322" i="1"/>
  <c r="F322" i="1"/>
  <c r="C322" i="1"/>
  <c r="AC321" i="1"/>
  <c r="AD321" i="1" s="1"/>
  <c r="AA321" i="1"/>
  <c r="W321" i="1"/>
  <c r="U321" i="1"/>
  <c r="R321" i="1"/>
  <c r="N321" i="1"/>
  <c r="L321" i="1"/>
  <c r="H321" i="1"/>
  <c r="I321" i="1" s="1"/>
  <c r="F321" i="1"/>
  <c r="C321" i="1"/>
  <c r="AD320" i="1"/>
  <c r="AC320" i="1"/>
  <c r="AA320" i="1"/>
  <c r="W320" i="1"/>
  <c r="X320" i="1" s="1"/>
  <c r="U320" i="1"/>
  <c r="R320" i="1"/>
  <c r="N320" i="1"/>
  <c r="O320" i="1" s="1"/>
  <c r="L320" i="1"/>
  <c r="H320" i="1"/>
  <c r="I320" i="1" s="1"/>
  <c r="F320" i="1"/>
  <c r="C320" i="1"/>
  <c r="AD319" i="1"/>
  <c r="AC319" i="1"/>
  <c r="AA319" i="1"/>
  <c r="W319" i="1"/>
  <c r="U319" i="1"/>
  <c r="R319" i="1"/>
  <c r="N319" i="1"/>
  <c r="O319" i="1" s="1"/>
  <c r="L319" i="1"/>
  <c r="I319" i="1"/>
  <c r="H319" i="1"/>
  <c r="F319" i="1"/>
  <c r="C319" i="1"/>
  <c r="AC318" i="1"/>
  <c r="AD318" i="1" s="1"/>
  <c r="AA318" i="1"/>
  <c r="W318" i="1"/>
  <c r="U318" i="1"/>
  <c r="R318" i="1"/>
  <c r="N318" i="1"/>
  <c r="O318" i="1" s="1"/>
  <c r="L318" i="1"/>
  <c r="I318" i="1"/>
  <c r="H318" i="1"/>
  <c r="F318" i="1"/>
  <c r="C318" i="1"/>
  <c r="AC317" i="1"/>
  <c r="AD317" i="1" s="1"/>
  <c r="AA317" i="1"/>
  <c r="W317" i="1"/>
  <c r="X317" i="1" s="1"/>
  <c r="U317" i="1"/>
  <c r="R317" i="1"/>
  <c r="N317" i="1"/>
  <c r="L317" i="1"/>
  <c r="H317" i="1"/>
  <c r="I317" i="1" s="1"/>
  <c r="F317" i="1"/>
  <c r="C317" i="1"/>
  <c r="AD316" i="1"/>
  <c r="AC316" i="1"/>
  <c r="AA316" i="1"/>
  <c r="W316" i="1"/>
  <c r="U316" i="1"/>
  <c r="R316" i="1"/>
  <c r="N316" i="1"/>
  <c r="O316" i="1" s="1"/>
  <c r="L316" i="1"/>
  <c r="H316" i="1"/>
  <c r="I316" i="1" s="1"/>
  <c r="F316" i="1"/>
  <c r="C316" i="1"/>
  <c r="AD315" i="1"/>
  <c r="AC315" i="1"/>
  <c r="AA315" i="1"/>
  <c r="W315" i="1"/>
  <c r="U315" i="1"/>
  <c r="R315" i="1"/>
  <c r="O315" i="1"/>
  <c r="N315" i="1"/>
  <c r="L315" i="1"/>
  <c r="I315" i="1"/>
  <c r="H315" i="1"/>
  <c r="F315" i="1"/>
  <c r="C315" i="1"/>
  <c r="AC314" i="1"/>
  <c r="AD314" i="1" s="1"/>
  <c r="AA314" i="1"/>
  <c r="W314" i="1"/>
  <c r="U314" i="1"/>
  <c r="R314" i="1"/>
  <c r="N314" i="1"/>
  <c r="O314" i="1" s="1"/>
  <c r="L314" i="1"/>
  <c r="I314" i="1"/>
  <c r="H314" i="1"/>
  <c r="F314" i="1"/>
  <c r="C314" i="1"/>
  <c r="AC313" i="1"/>
  <c r="AD313" i="1" s="1"/>
  <c r="AA313" i="1"/>
  <c r="X313" i="1"/>
  <c r="W313" i="1"/>
  <c r="U313" i="1"/>
  <c r="R313" i="1"/>
  <c r="N313" i="1"/>
  <c r="L313" i="1"/>
  <c r="H313" i="1"/>
  <c r="I313" i="1" s="1"/>
  <c r="F313" i="1"/>
  <c r="C313" i="1"/>
  <c r="AD312" i="1"/>
  <c r="AC312" i="1"/>
  <c r="AA312" i="1"/>
  <c r="W312" i="1"/>
  <c r="U312" i="1"/>
  <c r="R312" i="1"/>
  <c r="N312" i="1"/>
  <c r="O312" i="1" s="1"/>
  <c r="L312" i="1"/>
  <c r="H312" i="1"/>
  <c r="I312" i="1" s="1"/>
  <c r="F312" i="1"/>
  <c r="C312" i="1"/>
  <c r="AD311" i="1"/>
  <c r="AC311" i="1"/>
  <c r="AA311" i="1"/>
  <c r="W311" i="1"/>
  <c r="U311" i="1"/>
  <c r="R311" i="1"/>
  <c r="N311" i="1"/>
  <c r="O311" i="1" s="1"/>
  <c r="L311" i="1"/>
  <c r="I311" i="1"/>
  <c r="H311" i="1"/>
  <c r="F311" i="1"/>
  <c r="C311" i="1"/>
  <c r="AC310" i="1"/>
  <c r="AD310" i="1" s="1"/>
  <c r="AA310" i="1"/>
  <c r="W310" i="1"/>
  <c r="X310" i="1" s="1"/>
  <c r="U310" i="1"/>
  <c r="R310" i="1"/>
  <c r="N310" i="1"/>
  <c r="O310" i="1" s="1"/>
  <c r="L310" i="1"/>
  <c r="I310" i="1"/>
  <c r="H310" i="1"/>
  <c r="F310" i="1"/>
  <c r="C310" i="1"/>
  <c r="AC309" i="1"/>
  <c r="AD309" i="1" s="1"/>
  <c r="AA309" i="1"/>
  <c r="W309" i="1"/>
  <c r="X309" i="1" s="1"/>
  <c r="U309" i="1"/>
  <c r="R309" i="1"/>
  <c r="N309" i="1"/>
  <c r="L309" i="1"/>
  <c r="H309" i="1"/>
  <c r="I309" i="1" s="1"/>
  <c r="F309" i="1"/>
  <c r="C309" i="1"/>
  <c r="AD308" i="1"/>
  <c r="AC308" i="1"/>
  <c r="AA308" i="1"/>
  <c r="W308" i="1"/>
  <c r="U308" i="1"/>
  <c r="R308" i="1"/>
  <c r="N308" i="1"/>
  <c r="O308" i="1" s="1"/>
  <c r="L308" i="1"/>
  <c r="H308" i="1"/>
  <c r="I308" i="1" s="1"/>
  <c r="F308" i="1"/>
  <c r="C308" i="1"/>
  <c r="AD307" i="1"/>
  <c r="AC307" i="1"/>
  <c r="AA307" i="1"/>
  <c r="W307" i="1"/>
  <c r="U307" i="1"/>
  <c r="R307" i="1"/>
  <c r="O307" i="1"/>
  <c r="N307" i="1"/>
  <c r="L307" i="1"/>
  <c r="I307" i="1"/>
  <c r="H307" i="1"/>
  <c r="F307" i="1"/>
  <c r="C307" i="1"/>
  <c r="AC306" i="1"/>
  <c r="AD306" i="1" s="1"/>
  <c r="AA306" i="1"/>
  <c r="W306" i="1"/>
  <c r="U306" i="1"/>
  <c r="R306" i="1"/>
  <c r="N306" i="1"/>
  <c r="O306" i="1" s="1"/>
  <c r="L306" i="1"/>
  <c r="I306" i="1"/>
  <c r="H306" i="1"/>
  <c r="F306" i="1"/>
  <c r="C306" i="1"/>
  <c r="AC305" i="1"/>
  <c r="AD305" i="1" s="1"/>
  <c r="AA305" i="1"/>
  <c r="W305" i="1"/>
  <c r="U305" i="1"/>
  <c r="R305" i="1"/>
  <c r="N305" i="1"/>
  <c r="L305" i="1"/>
  <c r="H305" i="1"/>
  <c r="I305" i="1" s="1"/>
  <c r="F305" i="1"/>
  <c r="C305" i="1"/>
  <c r="AD304" i="1"/>
  <c r="AC304" i="1"/>
  <c r="AA304" i="1"/>
  <c r="W304" i="1"/>
  <c r="X304" i="1" s="1"/>
  <c r="U304" i="1"/>
  <c r="R304" i="1"/>
  <c r="N304" i="1"/>
  <c r="O304" i="1" s="1"/>
  <c r="L304" i="1"/>
  <c r="H304" i="1"/>
  <c r="I304" i="1" s="1"/>
  <c r="F304" i="1"/>
  <c r="C304" i="1"/>
  <c r="AD303" i="1"/>
  <c r="AC303" i="1"/>
  <c r="AA303" i="1"/>
  <c r="W303" i="1"/>
  <c r="U303" i="1"/>
  <c r="R303" i="1"/>
  <c r="N303" i="1"/>
  <c r="O303" i="1" s="1"/>
  <c r="L303" i="1"/>
  <c r="I303" i="1"/>
  <c r="H303" i="1"/>
  <c r="F303" i="1"/>
  <c r="C303" i="1"/>
  <c r="AC302" i="1"/>
  <c r="AD302" i="1" s="1"/>
  <c r="AA302" i="1"/>
  <c r="W302" i="1"/>
  <c r="U302" i="1"/>
  <c r="R302" i="1"/>
  <c r="N302" i="1"/>
  <c r="O302" i="1" s="1"/>
  <c r="L302" i="1"/>
  <c r="I302" i="1"/>
  <c r="H302" i="1"/>
  <c r="F302" i="1"/>
  <c r="C302" i="1"/>
  <c r="AC301" i="1"/>
  <c r="AD301" i="1" s="1"/>
  <c r="AA301" i="1"/>
  <c r="W301" i="1"/>
  <c r="X301" i="1" s="1"/>
  <c r="U301" i="1"/>
  <c r="R301" i="1"/>
  <c r="N301" i="1"/>
  <c r="L301" i="1"/>
  <c r="H301" i="1"/>
  <c r="I301" i="1" s="1"/>
  <c r="F301" i="1"/>
  <c r="C301" i="1"/>
  <c r="AD300" i="1"/>
  <c r="AC300" i="1"/>
  <c r="AA300" i="1"/>
  <c r="W300" i="1"/>
  <c r="U300" i="1"/>
  <c r="R300" i="1"/>
  <c r="N300" i="1"/>
  <c r="O300" i="1" s="1"/>
  <c r="L300" i="1"/>
  <c r="H300" i="1"/>
  <c r="I300" i="1" s="1"/>
  <c r="F300" i="1"/>
  <c r="C300" i="1"/>
  <c r="AD299" i="1"/>
  <c r="AC299" i="1"/>
  <c r="AA299" i="1"/>
  <c r="W299" i="1"/>
  <c r="U299" i="1"/>
  <c r="R299" i="1"/>
  <c r="O299" i="1"/>
  <c r="N299" i="1"/>
  <c r="L299" i="1"/>
  <c r="I299" i="1"/>
  <c r="H299" i="1"/>
  <c r="F299" i="1"/>
  <c r="C299" i="1"/>
  <c r="AC298" i="1"/>
  <c r="AD298" i="1" s="1"/>
  <c r="AA298" i="1"/>
  <c r="W298" i="1"/>
  <c r="U298" i="1"/>
  <c r="R298" i="1"/>
  <c r="N298" i="1"/>
  <c r="O298" i="1" s="1"/>
  <c r="L298" i="1"/>
  <c r="I298" i="1"/>
  <c r="H298" i="1"/>
  <c r="F298" i="1"/>
  <c r="C298" i="1"/>
  <c r="AC297" i="1"/>
  <c r="AD297" i="1" s="1"/>
  <c r="AA297" i="1"/>
  <c r="X297" i="1"/>
  <c r="W297" i="1"/>
  <c r="U297" i="1"/>
  <c r="R297" i="1"/>
  <c r="N297" i="1"/>
  <c r="L297" i="1"/>
  <c r="H297" i="1"/>
  <c r="I297" i="1" s="1"/>
  <c r="F297" i="1"/>
  <c r="C297" i="1"/>
  <c r="Z295" i="1"/>
  <c r="AA295" i="1" s="1"/>
  <c r="W295" i="1"/>
  <c r="X295" i="1" s="1"/>
  <c r="U295" i="1"/>
  <c r="T295" i="1"/>
  <c r="R295" i="1"/>
  <c r="Q295" i="1"/>
  <c r="AC295" i="1" s="1"/>
  <c r="AD295" i="1" s="1"/>
  <c r="K295" i="1"/>
  <c r="L295" i="1" s="1"/>
  <c r="I295" i="1"/>
  <c r="H295" i="1"/>
  <c r="F295" i="1"/>
  <c r="E295" i="1"/>
  <c r="B295" i="1"/>
  <c r="C295" i="1" s="1"/>
  <c r="AC294" i="1"/>
  <c r="AD294" i="1" s="1"/>
  <c r="AA294" i="1"/>
  <c r="W294" i="1"/>
  <c r="X294" i="1" s="1"/>
  <c r="U294" i="1"/>
  <c r="R294" i="1"/>
  <c r="N294" i="1"/>
  <c r="O294" i="1" s="1"/>
  <c r="L294" i="1"/>
  <c r="I294" i="1"/>
  <c r="H294" i="1"/>
  <c r="F294" i="1"/>
  <c r="C294" i="1"/>
  <c r="AC293" i="1"/>
  <c r="AD293" i="1" s="1"/>
  <c r="AA293" i="1"/>
  <c r="X293" i="1"/>
  <c r="W293" i="1"/>
  <c r="U293" i="1"/>
  <c r="R293" i="1"/>
  <c r="N293" i="1"/>
  <c r="L293" i="1"/>
  <c r="H293" i="1"/>
  <c r="I293" i="1" s="1"/>
  <c r="F293" i="1"/>
  <c r="C293" i="1"/>
  <c r="AD292" i="1"/>
  <c r="AC292" i="1"/>
  <c r="AA292" i="1"/>
  <c r="W292" i="1"/>
  <c r="U292" i="1"/>
  <c r="R292" i="1"/>
  <c r="N292" i="1"/>
  <c r="O292" i="1" s="1"/>
  <c r="L292" i="1"/>
  <c r="H292" i="1"/>
  <c r="I292" i="1" s="1"/>
  <c r="F292" i="1"/>
  <c r="C292" i="1"/>
  <c r="AD291" i="1"/>
  <c r="AC291" i="1"/>
  <c r="AA291" i="1"/>
  <c r="W291" i="1"/>
  <c r="U291" i="1"/>
  <c r="R291" i="1"/>
  <c r="N291" i="1"/>
  <c r="O291" i="1" s="1"/>
  <c r="L291" i="1"/>
  <c r="I291" i="1"/>
  <c r="H291" i="1"/>
  <c r="F291" i="1"/>
  <c r="C291" i="1"/>
  <c r="AC290" i="1"/>
  <c r="AD290" i="1" s="1"/>
  <c r="AA290" i="1"/>
  <c r="W290" i="1"/>
  <c r="U290" i="1"/>
  <c r="R290" i="1"/>
  <c r="N290" i="1"/>
  <c r="O290" i="1" s="1"/>
  <c r="L290" i="1"/>
  <c r="I290" i="1"/>
  <c r="H290" i="1"/>
  <c r="F290" i="1"/>
  <c r="C290" i="1"/>
  <c r="AC289" i="1"/>
  <c r="AD289" i="1" s="1"/>
  <c r="AA289" i="1"/>
  <c r="W289" i="1"/>
  <c r="X289" i="1" s="1"/>
  <c r="U289" i="1"/>
  <c r="R289" i="1"/>
  <c r="N289" i="1"/>
  <c r="L289" i="1"/>
  <c r="H289" i="1"/>
  <c r="I289" i="1" s="1"/>
  <c r="F289" i="1"/>
  <c r="C289" i="1"/>
  <c r="AD288" i="1"/>
  <c r="AC288" i="1"/>
  <c r="AA288" i="1"/>
  <c r="W288" i="1"/>
  <c r="U288" i="1"/>
  <c r="R288" i="1"/>
  <c r="N288" i="1"/>
  <c r="O288" i="1" s="1"/>
  <c r="L288" i="1"/>
  <c r="H288" i="1"/>
  <c r="I288" i="1" s="1"/>
  <c r="F288" i="1"/>
  <c r="C288" i="1"/>
  <c r="AD287" i="1"/>
  <c r="AC287" i="1"/>
  <c r="AA287" i="1"/>
  <c r="W287" i="1"/>
  <c r="U287" i="1"/>
  <c r="R287" i="1"/>
  <c r="O287" i="1"/>
  <c r="N287" i="1"/>
  <c r="L287" i="1"/>
  <c r="I287" i="1"/>
  <c r="H287" i="1"/>
  <c r="F287" i="1"/>
  <c r="C287" i="1"/>
  <c r="AC286" i="1"/>
  <c r="AD286" i="1" s="1"/>
  <c r="AA286" i="1"/>
  <c r="W286" i="1"/>
  <c r="U286" i="1"/>
  <c r="R286" i="1"/>
  <c r="N286" i="1"/>
  <c r="O286" i="1" s="1"/>
  <c r="L286" i="1"/>
  <c r="I286" i="1"/>
  <c r="H286" i="1"/>
  <c r="F286" i="1"/>
  <c r="C286" i="1"/>
  <c r="Z284" i="1"/>
  <c r="AA284" i="1" s="1"/>
  <c r="W284" i="1"/>
  <c r="U284" i="1"/>
  <c r="T284" i="1"/>
  <c r="Q284" i="1"/>
  <c r="R284" i="1" s="1"/>
  <c r="N284" i="1"/>
  <c r="O284" i="1" s="1"/>
  <c r="L284" i="1"/>
  <c r="K284" i="1"/>
  <c r="E284" i="1"/>
  <c r="F284" i="1" s="1"/>
  <c r="B284" i="1"/>
  <c r="AD283" i="1"/>
  <c r="AC283" i="1"/>
  <c r="AA283" i="1"/>
  <c r="W283" i="1"/>
  <c r="U283" i="1"/>
  <c r="R283" i="1"/>
  <c r="N283" i="1"/>
  <c r="O283" i="1" s="1"/>
  <c r="L283" i="1"/>
  <c r="I283" i="1"/>
  <c r="H283" i="1"/>
  <c r="F283" i="1"/>
  <c r="C283" i="1"/>
  <c r="AC282" i="1"/>
  <c r="AD282" i="1" s="1"/>
  <c r="AA282" i="1"/>
  <c r="W282" i="1"/>
  <c r="X282" i="1" s="1"/>
  <c r="U282" i="1"/>
  <c r="R282" i="1"/>
  <c r="N282" i="1"/>
  <c r="O282" i="1" s="1"/>
  <c r="L282" i="1"/>
  <c r="I282" i="1"/>
  <c r="H282" i="1"/>
  <c r="F282" i="1"/>
  <c r="C282" i="1"/>
  <c r="AC281" i="1"/>
  <c r="AD281" i="1" s="1"/>
  <c r="AA281" i="1"/>
  <c r="X281" i="1"/>
  <c r="W281" i="1"/>
  <c r="U281" i="1"/>
  <c r="R281" i="1"/>
  <c r="N281" i="1"/>
  <c r="L281" i="1"/>
  <c r="H281" i="1"/>
  <c r="I281" i="1" s="1"/>
  <c r="F281" i="1"/>
  <c r="C281" i="1"/>
  <c r="AD280" i="1"/>
  <c r="AC280" i="1"/>
  <c r="AA280" i="1"/>
  <c r="W280" i="1"/>
  <c r="U280" i="1"/>
  <c r="R280" i="1"/>
  <c r="N280" i="1"/>
  <c r="O280" i="1" s="1"/>
  <c r="L280" i="1"/>
  <c r="H280" i="1"/>
  <c r="I280" i="1" s="1"/>
  <c r="F280" i="1"/>
  <c r="C280" i="1"/>
  <c r="AD279" i="1"/>
  <c r="AC279" i="1"/>
  <c r="AA279" i="1"/>
  <c r="W279" i="1"/>
  <c r="U279" i="1"/>
  <c r="R279" i="1"/>
  <c r="N279" i="1"/>
  <c r="O279" i="1" s="1"/>
  <c r="L279" i="1"/>
  <c r="I279" i="1"/>
  <c r="H279" i="1"/>
  <c r="F279" i="1"/>
  <c r="C279" i="1"/>
  <c r="AC278" i="1"/>
  <c r="AD278" i="1" s="1"/>
  <c r="AA278" i="1"/>
  <c r="W278" i="1"/>
  <c r="U278" i="1"/>
  <c r="R278" i="1"/>
  <c r="N278" i="1"/>
  <c r="O278" i="1" s="1"/>
  <c r="L278" i="1"/>
  <c r="I278" i="1"/>
  <c r="H278" i="1"/>
  <c r="F278" i="1"/>
  <c r="C278" i="1"/>
  <c r="AC277" i="1"/>
  <c r="AD277" i="1" s="1"/>
  <c r="AA277" i="1"/>
  <c r="W277" i="1"/>
  <c r="X277" i="1" s="1"/>
  <c r="U277" i="1"/>
  <c r="R277" i="1"/>
  <c r="N277" i="1"/>
  <c r="L277" i="1"/>
  <c r="H277" i="1"/>
  <c r="I277" i="1" s="1"/>
  <c r="F277" i="1"/>
  <c r="C277" i="1"/>
  <c r="AD276" i="1"/>
  <c r="AC276" i="1"/>
  <c r="AA276" i="1"/>
  <c r="W276" i="1"/>
  <c r="U276" i="1"/>
  <c r="R276" i="1"/>
  <c r="N276" i="1"/>
  <c r="O276" i="1" s="1"/>
  <c r="L276" i="1"/>
  <c r="H276" i="1"/>
  <c r="I276" i="1" s="1"/>
  <c r="F276" i="1"/>
  <c r="C276" i="1"/>
  <c r="AD275" i="1"/>
  <c r="AC275" i="1"/>
  <c r="AA275" i="1"/>
  <c r="W275" i="1"/>
  <c r="U275" i="1"/>
  <c r="R275" i="1"/>
  <c r="O275" i="1"/>
  <c r="N275" i="1"/>
  <c r="L275" i="1"/>
  <c r="I275" i="1"/>
  <c r="H275" i="1"/>
  <c r="F275" i="1"/>
  <c r="C275" i="1"/>
  <c r="AA273" i="1"/>
  <c r="Z273" i="1"/>
  <c r="T273" i="1"/>
  <c r="U273" i="1" s="1"/>
  <c r="Q273" i="1"/>
  <c r="AC273" i="1" s="1"/>
  <c r="AD273" i="1" s="1"/>
  <c r="L273" i="1"/>
  <c r="K273" i="1"/>
  <c r="E273" i="1"/>
  <c r="F273" i="1" s="1"/>
  <c r="C273" i="1"/>
  <c r="B273" i="1"/>
  <c r="AD272" i="1"/>
  <c r="AC272" i="1"/>
  <c r="AA272" i="1"/>
  <c r="W272" i="1"/>
  <c r="U272" i="1"/>
  <c r="R272" i="1"/>
  <c r="N272" i="1"/>
  <c r="O272" i="1" s="1"/>
  <c r="L272" i="1"/>
  <c r="H272" i="1"/>
  <c r="I272" i="1" s="1"/>
  <c r="F272" i="1"/>
  <c r="C272" i="1"/>
  <c r="AD271" i="1"/>
  <c r="AC271" i="1"/>
  <c r="AA271" i="1"/>
  <c r="W271" i="1"/>
  <c r="U271" i="1"/>
  <c r="R271" i="1"/>
  <c r="N271" i="1"/>
  <c r="O271" i="1" s="1"/>
  <c r="L271" i="1"/>
  <c r="I271" i="1"/>
  <c r="H271" i="1"/>
  <c r="F271" i="1"/>
  <c r="C271" i="1"/>
  <c r="AC270" i="1"/>
  <c r="AD270" i="1" s="1"/>
  <c r="AA270" i="1"/>
  <c r="W270" i="1"/>
  <c r="X270" i="1" s="1"/>
  <c r="U270" i="1"/>
  <c r="R270" i="1"/>
  <c r="N270" i="1"/>
  <c r="O270" i="1" s="1"/>
  <c r="L270" i="1"/>
  <c r="I270" i="1"/>
  <c r="H270" i="1"/>
  <c r="F270" i="1"/>
  <c r="C270" i="1"/>
  <c r="AC269" i="1"/>
  <c r="AD269" i="1" s="1"/>
  <c r="AA269" i="1"/>
  <c r="X269" i="1"/>
  <c r="W269" i="1"/>
  <c r="U269" i="1"/>
  <c r="R269" i="1"/>
  <c r="N269" i="1"/>
  <c r="L269" i="1"/>
  <c r="H269" i="1"/>
  <c r="I269" i="1" s="1"/>
  <c r="F269" i="1"/>
  <c r="C269" i="1"/>
  <c r="Z267" i="1"/>
  <c r="AA267" i="1" s="1"/>
  <c r="W267" i="1"/>
  <c r="U267" i="1"/>
  <c r="T267" i="1"/>
  <c r="R267" i="1"/>
  <c r="Q267" i="1"/>
  <c r="AC267" i="1" s="1"/>
  <c r="AD267" i="1" s="1"/>
  <c r="K267" i="1"/>
  <c r="L267" i="1" s="1"/>
  <c r="I267" i="1"/>
  <c r="H267" i="1"/>
  <c r="F267" i="1"/>
  <c r="E267" i="1"/>
  <c r="B267" i="1"/>
  <c r="C267" i="1" s="1"/>
  <c r="AC266" i="1"/>
  <c r="AD266" i="1" s="1"/>
  <c r="AA266" i="1"/>
  <c r="W266" i="1"/>
  <c r="X266" i="1" s="1"/>
  <c r="U266" i="1"/>
  <c r="R266" i="1"/>
  <c r="N266" i="1"/>
  <c r="O266" i="1" s="1"/>
  <c r="L266" i="1"/>
  <c r="I266" i="1"/>
  <c r="H266" i="1"/>
  <c r="F266" i="1"/>
  <c r="C266" i="1"/>
  <c r="AC265" i="1"/>
  <c r="AD265" i="1" s="1"/>
  <c r="AA265" i="1"/>
  <c r="W265" i="1"/>
  <c r="X265" i="1" s="1"/>
  <c r="U265" i="1"/>
  <c r="R265" i="1"/>
  <c r="N265" i="1"/>
  <c r="L265" i="1"/>
  <c r="H265" i="1"/>
  <c r="I265" i="1" s="1"/>
  <c r="F265" i="1"/>
  <c r="C265" i="1"/>
  <c r="AD263" i="1"/>
  <c r="Z263" i="1"/>
  <c r="AA263" i="1" s="1"/>
  <c r="W263" i="1"/>
  <c r="U263" i="1"/>
  <c r="T263" i="1"/>
  <c r="R263" i="1"/>
  <c r="Q263" i="1"/>
  <c r="AC263" i="1" s="1"/>
  <c r="K263" i="1"/>
  <c r="L263" i="1" s="1"/>
  <c r="I263" i="1"/>
  <c r="H263" i="1"/>
  <c r="F263" i="1"/>
  <c r="E263" i="1"/>
  <c r="B263" i="1"/>
  <c r="C263" i="1" s="1"/>
  <c r="AA262" i="1"/>
  <c r="Z262" i="1"/>
  <c r="T262" i="1"/>
  <c r="U262" i="1" s="1"/>
  <c r="Q262" i="1"/>
  <c r="L262" i="1"/>
  <c r="K262" i="1"/>
  <c r="E262" i="1"/>
  <c r="F262" i="1" s="1"/>
  <c r="C262" i="1"/>
  <c r="B262" i="1"/>
  <c r="H262" i="1" s="1"/>
  <c r="I262" i="1" s="1"/>
  <c r="AD261" i="1"/>
  <c r="AC261" i="1"/>
  <c r="AA261" i="1"/>
  <c r="W261" i="1"/>
  <c r="X261" i="1" s="1"/>
  <c r="U261" i="1"/>
  <c r="R261" i="1"/>
  <c r="N261" i="1"/>
  <c r="O261" i="1" s="1"/>
  <c r="L261" i="1"/>
  <c r="H261" i="1"/>
  <c r="I261" i="1" s="1"/>
  <c r="F261" i="1"/>
  <c r="C261" i="1"/>
  <c r="AD260" i="1"/>
  <c r="AC260" i="1"/>
  <c r="AA260" i="1"/>
  <c r="W260" i="1"/>
  <c r="U260" i="1"/>
  <c r="R260" i="1"/>
  <c r="N260" i="1"/>
  <c r="O260" i="1" s="1"/>
  <c r="L260" i="1"/>
  <c r="I260" i="1"/>
  <c r="H260" i="1"/>
  <c r="F260" i="1"/>
  <c r="C260" i="1"/>
  <c r="AC259" i="1"/>
  <c r="AD259" i="1" s="1"/>
  <c r="AA259" i="1"/>
  <c r="W259" i="1"/>
  <c r="U259" i="1"/>
  <c r="R259" i="1"/>
  <c r="N259" i="1"/>
  <c r="O259" i="1" s="1"/>
  <c r="L259" i="1"/>
  <c r="I259" i="1"/>
  <c r="H259" i="1"/>
  <c r="F259" i="1"/>
  <c r="C259" i="1"/>
  <c r="AC258" i="1"/>
  <c r="AD258" i="1" s="1"/>
  <c r="AA258" i="1"/>
  <c r="W258" i="1"/>
  <c r="X258" i="1" s="1"/>
  <c r="U258" i="1"/>
  <c r="R258" i="1"/>
  <c r="N258" i="1"/>
  <c r="L258" i="1"/>
  <c r="H258" i="1"/>
  <c r="I258" i="1" s="1"/>
  <c r="F258" i="1"/>
  <c r="C258" i="1"/>
  <c r="AD257" i="1"/>
  <c r="AC257" i="1"/>
  <c r="AA257" i="1"/>
  <c r="W257" i="1"/>
  <c r="U257" i="1"/>
  <c r="R257" i="1"/>
  <c r="N257" i="1"/>
  <c r="O257" i="1" s="1"/>
  <c r="L257" i="1"/>
  <c r="H257" i="1"/>
  <c r="I257" i="1" s="1"/>
  <c r="F257" i="1"/>
  <c r="C257" i="1"/>
  <c r="AD256" i="1"/>
  <c r="AC256" i="1"/>
  <c r="AA256" i="1"/>
  <c r="W256" i="1"/>
  <c r="U256" i="1"/>
  <c r="R256" i="1"/>
  <c r="N256" i="1"/>
  <c r="O256" i="1" s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N255" i="1"/>
  <c r="O255" i="1" s="1"/>
  <c r="L255" i="1"/>
  <c r="I255" i="1"/>
  <c r="H255" i="1"/>
  <c r="F255" i="1"/>
  <c r="C255" i="1"/>
  <c r="AC254" i="1"/>
  <c r="AD254" i="1" s="1"/>
  <c r="AA254" i="1"/>
  <c r="X254" i="1"/>
  <c r="W254" i="1"/>
  <c r="U254" i="1"/>
  <c r="R254" i="1"/>
  <c r="N254" i="1"/>
  <c r="L254" i="1"/>
  <c r="H254" i="1"/>
  <c r="I254" i="1" s="1"/>
  <c r="F254" i="1"/>
  <c r="C254" i="1"/>
  <c r="AD253" i="1"/>
  <c r="AC253" i="1"/>
  <c r="AA253" i="1"/>
  <c r="W253" i="1"/>
  <c r="U253" i="1"/>
  <c r="R253" i="1"/>
  <c r="N253" i="1"/>
  <c r="O253" i="1" s="1"/>
  <c r="L253" i="1"/>
  <c r="H253" i="1"/>
  <c r="I253" i="1" s="1"/>
  <c r="F253" i="1"/>
  <c r="C253" i="1"/>
  <c r="AD252" i="1"/>
  <c r="AC252" i="1"/>
  <c r="AA252" i="1"/>
  <c r="W252" i="1"/>
  <c r="U252" i="1"/>
  <c r="R252" i="1"/>
  <c r="N252" i="1"/>
  <c r="O252" i="1" s="1"/>
  <c r="L252" i="1"/>
  <c r="I252" i="1"/>
  <c r="H252" i="1"/>
  <c r="F252" i="1"/>
  <c r="C252" i="1"/>
  <c r="AC251" i="1"/>
  <c r="AD251" i="1" s="1"/>
  <c r="AA251" i="1"/>
  <c r="W251" i="1"/>
  <c r="U251" i="1"/>
  <c r="R251" i="1"/>
  <c r="N251" i="1"/>
  <c r="O251" i="1" s="1"/>
  <c r="L251" i="1"/>
  <c r="I251" i="1"/>
  <c r="H251" i="1"/>
  <c r="F251" i="1"/>
  <c r="C251" i="1"/>
  <c r="AC250" i="1"/>
  <c r="AD250" i="1" s="1"/>
  <c r="AA250" i="1"/>
  <c r="W250" i="1"/>
  <c r="X250" i="1" s="1"/>
  <c r="U250" i="1"/>
  <c r="R250" i="1"/>
  <c r="N250" i="1"/>
  <c r="L250" i="1"/>
  <c r="H250" i="1"/>
  <c r="I250" i="1" s="1"/>
  <c r="F250" i="1"/>
  <c r="C250" i="1"/>
  <c r="AD249" i="1"/>
  <c r="AC249" i="1"/>
  <c r="AA249" i="1"/>
  <c r="W249" i="1"/>
  <c r="U249" i="1"/>
  <c r="R249" i="1"/>
  <c r="N249" i="1"/>
  <c r="O249" i="1" s="1"/>
  <c r="L249" i="1"/>
  <c r="H249" i="1"/>
  <c r="I249" i="1" s="1"/>
  <c r="F249" i="1"/>
  <c r="C249" i="1"/>
  <c r="AD248" i="1"/>
  <c r="AC248" i="1"/>
  <c r="AA248" i="1"/>
  <c r="W248" i="1"/>
  <c r="U248" i="1"/>
  <c r="R248" i="1"/>
  <c r="O248" i="1"/>
  <c r="N248" i="1"/>
  <c r="L248" i="1"/>
  <c r="I248" i="1"/>
  <c r="H248" i="1"/>
  <c r="F248" i="1"/>
  <c r="C248" i="1"/>
  <c r="AC247" i="1"/>
  <c r="AD247" i="1" s="1"/>
  <c r="AA247" i="1"/>
  <c r="W247" i="1"/>
  <c r="U247" i="1"/>
  <c r="R247" i="1"/>
  <c r="N247" i="1"/>
  <c r="O247" i="1" s="1"/>
  <c r="L247" i="1"/>
  <c r="I247" i="1"/>
  <c r="H247" i="1"/>
  <c r="F247" i="1"/>
  <c r="C247" i="1"/>
  <c r="AC246" i="1"/>
  <c r="AD246" i="1" s="1"/>
  <c r="AA246" i="1"/>
  <c r="W246" i="1"/>
  <c r="X246" i="1" s="1"/>
  <c r="U246" i="1"/>
  <c r="R246" i="1"/>
  <c r="N246" i="1"/>
  <c r="L246" i="1"/>
  <c r="H246" i="1"/>
  <c r="I246" i="1" s="1"/>
  <c r="F246" i="1"/>
  <c r="C246" i="1"/>
  <c r="AD245" i="1"/>
  <c r="AC245" i="1"/>
  <c r="AA245" i="1"/>
  <c r="W245" i="1"/>
  <c r="X245" i="1" s="1"/>
  <c r="U245" i="1"/>
  <c r="R245" i="1"/>
  <c r="N245" i="1"/>
  <c r="O245" i="1" s="1"/>
  <c r="L245" i="1"/>
  <c r="H245" i="1"/>
  <c r="I245" i="1" s="1"/>
  <c r="F245" i="1"/>
  <c r="C245" i="1"/>
  <c r="AD244" i="1"/>
  <c r="AC244" i="1"/>
  <c r="AA244" i="1"/>
  <c r="W244" i="1"/>
  <c r="U244" i="1"/>
  <c r="R244" i="1"/>
  <c r="N244" i="1"/>
  <c r="O244" i="1" s="1"/>
  <c r="L244" i="1"/>
  <c r="I244" i="1"/>
  <c r="H244" i="1"/>
  <c r="F244" i="1"/>
  <c r="C244" i="1"/>
  <c r="AC243" i="1"/>
  <c r="AD243" i="1" s="1"/>
  <c r="AA243" i="1"/>
  <c r="W243" i="1"/>
  <c r="U243" i="1"/>
  <c r="R243" i="1"/>
  <c r="N243" i="1"/>
  <c r="O243" i="1" s="1"/>
  <c r="L243" i="1"/>
  <c r="I243" i="1"/>
  <c r="H243" i="1"/>
  <c r="F243" i="1"/>
  <c r="C243" i="1"/>
  <c r="AC242" i="1"/>
  <c r="AD242" i="1" s="1"/>
  <c r="AA242" i="1"/>
  <c r="W242" i="1"/>
  <c r="X242" i="1" s="1"/>
  <c r="U242" i="1"/>
  <c r="R242" i="1"/>
  <c r="N242" i="1"/>
  <c r="L242" i="1"/>
  <c r="H242" i="1"/>
  <c r="I242" i="1" s="1"/>
  <c r="F242" i="1"/>
  <c r="C242" i="1"/>
  <c r="AD241" i="1"/>
  <c r="AC241" i="1"/>
  <c r="AA241" i="1"/>
  <c r="W241" i="1"/>
  <c r="U241" i="1"/>
  <c r="R241" i="1"/>
  <c r="N241" i="1"/>
  <c r="O241" i="1" s="1"/>
  <c r="L241" i="1"/>
  <c r="H241" i="1"/>
  <c r="I241" i="1" s="1"/>
  <c r="F241" i="1"/>
  <c r="C241" i="1"/>
  <c r="AD240" i="1"/>
  <c r="AC240" i="1"/>
  <c r="AA240" i="1"/>
  <c r="W240" i="1"/>
  <c r="U240" i="1"/>
  <c r="R240" i="1"/>
  <c r="N240" i="1"/>
  <c r="O240" i="1" s="1"/>
  <c r="L240" i="1"/>
  <c r="I240" i="1"/>
  <c r="H240" i="1"/>
  <c r="F240" i="1"/>
  <c r="C240" i="1"/>
  <c r="AC238" i="1"/>
  <c r="AD238" i="1" s="1"/>
  <c r="AA238" i="1"/>
  <c r="W238" i="1"/>
  <c r="X238" i="1" s="1"/>
  <c r="U238" i="1"/>
  <c r="R238" i="1"/>
  <c r="N238" i="1"/>
  <c r="O238" i="1" s="1"/>
  <c r="L238" i="1"/>
  <c r="I238" i="1"/>
  <c r="H238" i="1"/>
  <c r="F238" i="1"/>
  <c r="C238" i="1"/>
  <c r="Z236" i="1"/>
  <c r="AA236" i="1" s="1"/>
  <c r="W236" i="1"/>
  <c r="U236" i="1"/>
  <c r="T236" i="1"/>
  <c r="Q236" i="1"/>
  <c r="R236" i="1" s="1"/>
  <c r="N236" i="1"/>
  <c r="O236" i="1" s="1"/>
  <c r="L236" i="1"/>
  <c r="K236" i="1"/>
  <c r="E236" i="1"/>
  <c r="F236" i="1" s="1"/>
  <c r="B236" i="1"/>
  <c r="AD235" i="1"/>
  <c r="AC235" i="1"/>
  <c r="AA235" i="1"/>
  <c r="W235" i="1"/>
  <c r="U235" i="1"/>
  <c r="R235" i="1"/>
  <c r="O235" i="1"/>
  <c r="N235" i="1"/>
  <c r="L235" i="1"/>
  <c r="I235" i="1"/>
  <c r="H235" i="1"/>
  <c r="F235" i="1"/>
  <c r="C235" i="1"/>
  <c r="AC234" i="1"/>
  <c r="AD234" i="1" s="1"/>
  <c r="AA234" i="1"/>
  <c r="W234" i="1"/>
  <c r="U234" i="1"/>
  <c r="R234" i="1"/>
  <c r="N234" i="1"/>
  <c r="O234" i="1" s="1"/>
  <c r="L234" i="1"/>
  <c r="I234" i="1"/>
  <c r="H234" i="1"/>
  <c r="F234" i="1"/>
  <c r="C234" i="1"/>
  <c r="AC233" i="1"/>
  <c r="AD233" i="1" s="1"/>
  <c r="AA233" i="1"/>
  <c r="W233" i="1"/>
  <c r="X233" i="1" s="1"/>
  <c r="U233" i="1"/>
  <c r="R233" i="1"/>
  <c r="N233" i="1"/>
  <c r="L233" i="1"/>
  <c r="H233" i="1"/>
  <c r="I233" i="1" s="1"/>
  <c r="F233" i="1"/>
  <c r="C233" i="1"/>
  <c r="AD232" i="1"/>
  <c r="AC232" i="1"/>
  <c r="AA232" i="1"/>
  <c r="W232" i="1"/>
  <c r="X232" i="1" s="1"/>
  <c r="U232" i="1"/>
  <c r="R232" i="1"/>
  <c r="N232" i="1"/>
  <c r="O232" i="1" s="1"/>
  <c r="L232" i="1"/>
  <c r="H232" i="1"/>
  <c r="I232" i="1" s="1"/>
  <c r="F232" i="1"/>
  <c r="C232" i="1"/>
  <c r="AD231" i="1"/>
  <c r="AC231" i="1"/>
  <c r="AA231" i="1"/>
  <c r="W231" i="1"/>
  <c r="U231" i="1"/>
  <c r="R231" i="1"/>
  <c r="N231" i="1"/>
  <c r="O231" i="1" s="1"/>
  <c r="L231" i="1"/>
  <c r="I231" i="1"/>
  <c r="H231" i="1"/>
  <c r="F231" i="1"/>
  <c r="C231" i="1"/>
  <c r="AC230" i="1"/>
  <c r="AD230" i="1" s="1"/>
  <c r="AA230" i="1"/>
  <c r="W230" i="1"/>
  <c r="U230" i="1"/>
  <c r="R230" i="1"/>
  <c r="N230" i="1"/>
  <c r="O230" i="1" s="1"/>
  <c r="L230" i="1"/>
  <c r="I230" i="1"/>
  <c r="H230" i="1"/>
  <c r="F230" i="1"/>
  <c r="C230" i="1"/>
  <c r="AC229" i="1"/>
  <c r="AD229" i="1" s="1"/>
  <c r="AA229" i="1"/>
  <c r="W229" i="1"/>
  <c r="X229" i="1" s="1"/>
  <c r="U229" i="1"/>
  <c r="R229" i="1"/>
  <c r="N229" i="1"/>
  <c r="L229" i="1"/>
  <c r="H229" i="1"/>
  <c r="I229" i="1" s="1"/>
  <c r="F229" i="1"/>
  <c r="C229" i="1"/>
  <c r="AD227" i="1"/>
  <c r="Z227" i="1"/>
  <c r="AA227" i="1" s="1"/>
  <c r="W227" i="1"/>
  <c r="X227" i="1" s="1"/>
  <c r="U227" i="1"/>
  <c r="T227" i="1"/>
  <c r="R227" i="1"/>
  <c r="Q227" i="1"/>
  <c r="AC227" i="1" s="1"/>
  <c r="K227" i="1"/>
  <c r="L227" i="1" s="1"/>
  <c r="I227" i="1"/>
  <c r="H227" i="1"/>
  <c r="F227" i="1"/>
  <c r="E227" i="1"/>
  <c r="B227" i="1"/>
  <c r="C227" i="1" s="1"/>
  <c r="AC226" i="1"/>
  <c r="AD226" i="1" s="1"/>
  <c r="AA226" i="1"/>
  <c r="W226" i="1"/>
  <c r="U226" i="1"/>
  <c r="R226" i="1"/>
  <c r="N226" i="1"/>
  <c r="O226" i="1" s="1"/>
  <c r="L226" i="1"/>
  <c r="I226" i="1"/>
  <c r="H226" i="1"/>
  <c r="F226" i="1"/>
  <c r="C226" i="1"/>
  <c r="AC225" i="1"/>
  <c r="AD225" i="1" s="1"/>
  <c r="AA225" i="1"/>
  <c r="X225" i="1"/>
  <c r="W225" i="1"/>
  <c r="U225" i="1"/>
  <c r="R225" i="1"/>
  <c r="N225" i="1"/>
  <c r="L225" i="1"/>
  <c r="H225" i="1"/>
  <c r="I225" i="1" s="1"/>
  <c r="F225" i="1"/>
  <c r="C225" i="1"/>
  <c r="AD224" i="1"/>
  <c r="AC224" i="1"/>
  <c r="AA224" i="1"/>
  <c r="W224" i="1"/>
  <c r="U224" i="1"/>
  <c r="R224" i="1"/>
  <c r="N224" i="1"/>
  <c r="O224" i="1" s="1"/>
  <c r="L224" i="1"/>
  <c r="H224" i="1"/>
  <c r="I224" i="1" s="1"/>
  <c r="F224" i="1"/>
  <c r="C224" i="1"/>
  <c r="AD223" i="1"/>
  <c r="AC223" i="1"/>
  <c r="AA223" i="1"/>
  <c r="W223" i="1"/>
  <c r="U223" i="1"/>
  <c r="R223" i="1"/>
  <c r="N223" i="1"/>
  <c r="O223" i="1" s="1"/>
  <c r="L223" i="1"/>
  <c r="I223" i="1"/>
  <c r="H223" i="1"/>
  <c r="F223" i="1"/>
  <c r="C223" i="1"/>
  <c r="AC222" i="1"/>
  <c r="AD222" i="1" s="1"/>
  <c r="AA222" i="1"/>
  <c r="W222" i="1"/>
  <c r="X222" i="1" s="1"/>
  <c r="U222" i="1"/>
  <c r="R222" i="1"/>
  <c r="N222" i="1"/>
  <c r="O222" i="1" s="1"/>
  <c r="L222" i="1"/>
  <c r="I222" i="1"/>
  <c r="H222" i="1"/>
  <c r="F222" i="1"/>
  <c r="C222" i="1"/>
  <c r="AC221" i="1"/>
  <c r="AD221" i="1" s="1"/>
  <c r="AA221" i="1"/>
  <c r="W221" i="1"/>
  <c r="X221" i="1" s="1"/>
  <c r="U221" i="1"/>
  <c r="R221" i="1"/>
  <c r="N221" i="1"/>
  <c r="L221" i="1"/>
  <c r="H221" i="1"/>
  <c r="I221" i="1" s="1"/>
  <c r="F221" i="1"/>
  <c r="C221" i="1"/>
  <c r="AD220" i="1"/>
  <c r="AC220" i="1"/>
  <c r="AA220" i="1"/>
  <c r="W220" i="1"/>
  <c r="U220" i="1"/>
  <c r="R220" i="1"/>
  <c r="N220" i="1"/>
  <c r="O220" i="1" s="1"/>
  <c r="L220" i="1"/>
  <c r="H220" i="1"/>
  <c r="I220" i="1" s="1"/>
  <c r="F220" i="1"/>
  <c r="C220" i="1"/>
  <c r="AD219" i="1"/>
  <c r="AC219" i="1"/>
  <c r="AA219" i="1"/>
  <c r="W219" i="1"/>
  <c r="U219" i="1"/>
  <c r="R219" i="1"/>
  <c r="O219" i="1"/>
  <c r="N219" i="1"/>
  <c r="L219" i="1"/>
  <c r="I219" i="1"/>
  <c r="H219" i="1"/>
  <c r="F219" i="1"/>
  <c r="C219" i="1"/>
  <c r="AC218" i="1"/>
  <c r="AD218" i="1" s="1"/>
  <c r="AA218" i="1"/>
  <c r="Z218" i="1"/>
  <c r="T218" i="1"/>
  <c r="U218" i="1" s="1"/>
  <c r="Q218" i="1"/>
  <c r="L218" i="1"/>
  <c r="K218" i="1"/>
  <c r="E218" i="1"/>
  <c r="F218" i="1" s="1"/>
  <c r="C218" i="1"/>
  <c r="B218" i="1"/>
  <c r="AD217" i="1"/>
  <c r="AC217" i="1"/>
  <c r="AA217" i="1"/>
  <c r="W217" i="1"/>
  <c r="U217" i="1"/>
  <c r="R217" i="1"/>
  <c r="N217" i="1"/>
  <c r="O217" i="1" s="1"/>
  <c r="L217" i="1"/>
  <c r="H217" i="1"/>
  <c r="I217" i="1" s="1"/>
  <c r="F217" i="1"/>
  <c r="C217" i="1"/>
  <c r="AD216" i="1"/>
  <c r="AC216" i="1"/>
  <c r="AA216" i="1"/>
  <c r="W216" i="1"/>
  <c r="U216" i="1"/>
  <c r="R216" i="1"/>
  <c r="O216" i="1"/>
  <c r="N216" i="1"/>
  <c r="L216" i="1"/>
  <c r="I216" i="1"/>
  <c r="H216" i="1"/>
  <c r="F216" i="1"/>
  <c r="C216" i="1"/>
  <c r="AC215" i="1"/>
  <c r="AD215" i="1" s="1"/>
  <c r="AA215" i="1"/>
  <c r="W215" i="1"/>
  <c r="U215" i="1"/>
  <c r="R215" i="1"/>
  <c r="N215" i="1"/>
  <c r="O215" i="1" s="1"/>
  <c r="L215" i="1"/>
  <c r="I215" i="1"/>
  <c r="H215" i="1"/>
  <c r="F215" i="1"/>
  <c r="C215" i="1"/>
  <c r="AC214" i="1"/>
  <c r="AD214" i="1" s="1"/>
  <c r="AA214" i="1"/>
  <c r="X214" i="1"/>
  <c r="W214" i="1"/>
  <c r="U214" i="1"/>
  <c r="R214" i="1"/>
  <c r="N214" i="1"/>
  <c r="L214" i="1"/>
  <c r="H214" i="1"/>
  <c r="I214" i="1" s="1"/>
  <c r="F214" i="1"/>
  <c r="C214" i="1"/>
  <c r="AD213" i="1"/>
  <c r="AC213" i="1"/>
  <c r="AA213" i="1"/>
  <c r="W213" i="1"/>
  <c r="U213" i="1"/>
  <c r="R213" i="1"/>
  <c r="N213" i="1"/>
  <c r="O213" i="1" s="1"/>
  <c r="L213" i="1"/>
  <c r="H213" i="1"/>
  <c r="I213" i="1" s="1"/>
  <c r="F213" i="1"/>
  <c r="C213" i="1"/>
  <c r="AD211" i="1"/>
  <c r="AC211" i="1"/>
  <c r="AA211" i="1"/>
  <c r="W211" i="1"/>
  <c r="U211" i="1"/>
  <c r="R211" i="1"/>
  <c r="N211" i="1"/>
  <c r="O211" i="1" s="1"/>
  <c r="L211" i="1"/>
  <c r="I211" i="1"/>
  <c r="H211" i="1"/>
  <c r="F211" i="1"/>
  <c r="C211" i="1"/>
  <c r="AA209" i="1"/>
  <c r="Z209" i="1"/>
  <c r="T209" i="1"/>
  <c r="U209" i="1" s="1"/>
  <c r="Q209" i="1"/>
  <c r="AC209" i="1" s="1"/>
  <c r="AD209" i="1" s="1"/>
  <c r="L209" i="1"/>
  <c r="K209" i="1"/>
  <c r="E209" i="1"/>
  <c r="F209" i="1" s="1"/>
  <c r="C209" i="1"/>
  <c r="B209" i="1"/>
  <c r="AD208" i="1"/>
  <c r="AC208" i="1"/>
  <c r="AA208" i="1"/>
  <c r="W208" i="1"/>
  <c r="X208" i="1" s="1"/>
  <c r="U208" i="1"/>
  <c r="R208" i="1"/>
  <c r="N208" i="1"/>
  <c r="O208" i="1" s="1"/>
  <c r="L208" i="1"/>
  <c r="H208" i="1"/>
  <c r="I208" i="1" s="1"/>
  <c r="F208" i="1"/>
  <c r="C208" i="1"/>
  <c r="AD207" i="1"/>
  <c r="AC207" i="1"/>
  <c r="AA207" i="1"/>
  <c r="W207" i="1"/>
  <c r="U207" i="1"/>
  <c r="R207" i="1"/>
  <c r="N207" i="1"/>
  <c r="O207" i="1" s="1"/>
  <c r="L207" i="1"/>
  <c r="I207" i="1"/>
  <c r="H207" i="1"/>
  <c r="F207" i="1"/>
  <c r="C207" i="1"/>
  <c r="AC206" i="1"/>
  <c r="AD206" i="1" s="1"/>
  <c r="AA206" i="1"/>
  <c r="W206" i="1"/>
  <c r="U206" i="1"/>
  <c r="R206" i="1"/>
  <c r="N206" i="1"/>
  <c r="O206" i="1" s="1"/>
  <c r="L206" i="1"/>
  <c r="I206" i="1"/>
  <c r="H206" i="1"/>
  <c r="F206" i="1"/>
  <c r="C206" i="1"/>
  <c r="AC205" i="1"/>
  <c r="AD205" i="1" s="1"/>
  <c r="AA205" i="1"/>
  <c r="W205" i="1"/>
  <c r="X205" i="1" s="1"/>
  <c r="U205" i="1"/>
  <c r="R205" i="1"/>
  <c r="N205" i="1"/>
  <c r="L205" i="1"/>
  <c r="H205" i="1"/>
  <c r="I205" i="1" s="1"/>
  <c r="F205" i="1"/>
  <c r="C205" i="1"/>
  <c r="AD204" i="1"/>
  <c r="AC204" i="1"/>
  <c r="AA204" i="1"/>
  <c r="W204" i="1"/>
  <c r="U204" i="1"/>
  <c r="R204" i="1"/>
  <c r="N204" i="1"/>
  <c r="O204" i="1" s="1"/>
  <c r="L204" i="1"/>
  <c r="H204" i="1"/>
  <c r="I204" i="1" s="1"/>
  <c r="F204" i="1"/>
  <c r="C204" i="1"/>
  <c r="AD203" i="1"/>
  <c r="AC203" i="1"/>
  <c r="AA203" i="1"/>
  <c r="W203" i="1"/>
  <c r="U203" i="1"/>
  <c r="R203" i="1"/>
  <c r="O203" i="1"/>
  <c r="N203" i="1"/>
  <c r="L203" i="1"/>
  <c r="I203" i="1"/>
  <c r="H203" i="1"/>
  <c r="F203" i="1"/>
  <c r="C203" i="1"/>
  <c r="AC202" i="1"/>
  <c r="AD202" i="1" s="1"/>
  <c r="AA202" i="1"/>
  <c r="W202" i="1"/>
  <c r="U202" i="1"/>
  <c r="R202" i="1"/>
  <c r="N202" i="1"/>
  <c r="O202" i="1" s="1"/>
  <c r="L202" i="1"/>
  <c r="I202" i="1"/>
  <c r="H202" i="1"/>
  <c r="F202" i="1"/>
  <c r="C202" i="1"/>
  <c r="AC201" i="1"/>
  <c r="AD201" i="1" s="1"/>
  <c r="AA201" i="1"/>
  <c r="X201" i="1"/>
  <c r="W201" i="1"/>
  <c r="U201" i="1"/>
  <c r="R201" i="1"/>
  <c r="N201" i="1"/>
  <c r="L201" i="1"/>
  <c r="H201" i="1"/>
  <c r="I201" i="1" s="1"/>
  <c r="F201" i="1"/>
  <c r="C201" i="1"/>
  <c r="U198" i="1"/>
  <c r="AC197" i="1"/>
  <c r="AD197" i="1" s="1"/>
  <c r="AA197" i="1"/>
  <c r="Z197" i="1"/>
  <c r="T197" i="1"/>
  <c r="U197" i="1" s="1"/>
  <c r="Q197" i="1"/>
  <c r="L197" i="1"/>
  <c r="K197" i="1"/>
  <c r="E197" i="1"/>
  <c r="F197" i="1" s="1"/>
  <c r="C197" i="1"/>
  <c r="B197" i="1"/>
  <c r="H197" i="1" s="1"/>
  <c r="I197" i="1" s="1"/>
  <c r="Z196" i="1"/>
  <c r="AA196" i="1" s="1"/>
  <c r="W196" i="1"/>
  <c r="U196" i="1"/>
  <c r="T196" i="1"/>
  <c r="R196" i="1"/>
  <c r="Q196" i="1"/>
  <c r="AC196" i="1" s="1"/>
  <c r="AD196" i="1" s="1"/>
  <c r="K196" i="1"/>
  <c r="L196" i="1" s="1"/>
  <c r="I196" i="1"/>
  <c r="H196" i="1"/>
  <c r="F196" i="1"/>
  <c r="E196" i="1"/>
  <c r="B196" i="1"/>
  <c r="C196" i="1" s="1"/>
  <c r="AC195" i="1"/>
  <c r="AD195" i="1" s="1"/>
  <c r="AA195" i="1"/>
  <c r="W195" i="1"/>
  <c r="X195" i="1" s="1"/>
  <c r="U195" i="1"/>
  <c r="R195" i="1"/>
  <c r="N195" i="1"/>
  <c r="O195" i="1" s="1"/>
  <c r="L195" i="1"/>
  <c r="I195" i="1"/>
  <c r="H195" i="1"/>
  <c r="F195" i="1"/>
  <c r="C195" i="1"/>
  <c r="AC194" i="1"/>
  <c r="AD194" i="1" s="1"/>
  <c r="AA194" i="1"/>
  <c r="W194" i="1"/>
  <c r="X194" i="1" s="1"/>
  <c r="U194" i="1"/>
  <c r="R194" i="1"/>
  <c r="N194" i="1"/>
  <c r="L194" i="1"/>
  <c r="H194" i="1"/>
  <c r="I194" i="1" s="1"/>
  <c r="F194" i="1"/>
  <c r="C194" i="1"/>
  <c r="AD193" i="1"/>
  <c r="Z193" i="1"/>
  <c r="AA193" i="1" s="1"/>
  <c r="W193" i="1"/>
  <c r="U193" i="1"/>
  <c r="T193" i="1"/>
  <c r="R193" i="1"/>
  <c r="Q193" i="1"/>
  <c r="AC193" i="1" s="1"/>
  <c r="K193" i="1"/>
  <c r="L193" i="1" s="1"/>
  <c r="I193" i="1"/>
  <c r="H193" i="1"/>
  <c r="F193" i="1"/>
  <c r="E193" i="1"/>
  <c r="B193" i="1"/>
  <c r="C193" i="1" s="1"/>
  <c r="AC192" i="1"/>
  <c r="AD192" i="1" s="1"/>
  <c r="AA192" i="1"/>
  <c r="W192" i="1"/>
  <c r="U192" i="1"/>
  <c r="R192" i="1"/>
  <c r="N192" i="1"/>
  <c r="O192" i="1" s="1"/>
  <c r="L192" i="1"/>
  <c r="I192" i="1"/>
  <c r="H192" i="1"/>
  <c r="F192" i="1"/>
  <c r="C192" i="1"/>
  <c r="AC191" i="1"/>
  <c r="AD191" i="1" s="1"/>
  <c r="AA191" i="1"/>
  <c r="W191" i="1"/>
  <c r="X191" i="1" s="1"/>
  <c r="U191" i="1"/>
  <c r="R191" i="1"/>
  <c r="N191" i="1"/>
  <c r="L191" i="1"/>
  <c r="H191" i="1"/>
  <c r="I191" i="1" s="1"/>
  <c r="F191" i="1"/>
  <c r="C191" i="1"/>
  <c r="AD190" i="1"/>
  <c r="AC190" i="1"/>
  <c r="AA190" i="1"/>
  <c r="W190" i="1"/>
  <c r="U190" i="1"/>
  <c r="R190" i="1"/>
  <c r="N190" i="1"/>
  <c r="O190" i="1" s="1"/>
  <c r="L190" i="1"/>
  <c r="H190" i="1"/>
  <c r="I190" i="1" s="1"/>
  <c r="F190" i="1"/>
  <c r="C190" i="1"/>
  <c r="AD189" i="1"/>
  <c r="AC189" i="1"/>
  <c r="AA189" i="1"/>
  <c r="W189" i="1"/>
  <c r="U189" i="1"/>
  <c r="R189" i="1"/>
  <c r="O189" i="1"/>
  <c r="N189" i="1"/>
  <c r="L189" i="1"/>
  <c r="I189" i="1"/>
  <c r="H189" i="1"/>
  <c r="F189" i="1"/>
  <c r="C189" i="1"/>
  <c r="AC188" i="1"/>
  <c r="AD188" i="1" s="1"/>
  <c r="AA188" i="1"/>
  <c r="W188" i="1"/>
  <c r="U188" i="1"/>
  <c r="R188" i="1"/>
  <c r="N188" i="1"/>
  <c r="O188" i="1" s="1"/>
  <c r="L188" i="1"/>
  <c r="I188" i="1"/>
  <c r="H188" i="1"/>
  <c r="F188" i="1"/>
  <c r="C188" i="1"/>
  <c r="AC187" i="1"/>
  <c r="AD187" i="1" s="1"/>
  <c r="AA187" i="1"/>
  <c r="W187" i="1"/>
  <c r="X187" i="1" s="1"/>
  <c r="U187" i="1"/>
  <c r="R187" i="1"/>
  <c r="N187" i="1"/>
  <c r="L187" i="1"/>
  <c r="H187" i="1"/>
  <c r="I187" i="1" s="1"/>
  <c r="F187" i="1"/>
  <c r="C187" i="1"/>
  <c r="AD186" i="1"/>
  <c r="AC186" i="1"/>
  <c r="AA186" i="1"/>
  <c r="W186" i="1"/>
  <c r="X186" i="1" s="1"/>
  <c r="U186" i="1"/>
  <c r="R186" i="1"/>
  <c r="N186" i="1"/>
  <c r="O186" i="1" s="1"/>
  <c r="L186" i="1"/>
  <c r="H186" i="1"/>
  <c r="I186" i="1" s="1"/>
  <c r="F186" i="1"/>
  <c r="C186" i="1"/>
  <c r="AD184" i="1"/>
  <c r="AC184" i="1"/>
  <c r="AA184" i="1"/>
  <c r="W184" i="1"/>
  <c r="U184" i="1"/>
  <c r="R184" i="1"/>
  <c r="N184" i="1"/>
  <c r="O184" i="1" s="1"/>
  <c r="L184" i="1"/>
  <c r="I184" i="1"/>
  <c r="H184" i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I183" i="1"/>
  <c r="H183" i="1"/>
  <c r="F183" i="1"/>
  <c r="C183" i="1"/>
  <c r="AA182" i="1"/>
  <c r="Z182" i="1"/>
  <c r="W182" i="1"/>
  <c r="U182" i="1"/>
  <c r="T182" i="1"/>
  <c r="Q182" i="1"/>
  <c r="R182" i="1" s="1"/>
  <c r="L182" i="1"/>
  <c r="K182" i="1"/>
  <c r="E182" i="1"/>
  <c r="F182" i="1" s="1"/>
  <c r="B182" i="1"/>
  <c r="H182" i="1" s="1"/>
  <c r="I182" i="1" s="1"/>
  <c r="AD181" i="1"/>
  <c r="AC181" i="1"/>
  <c r="AA181" i="1"/>
  <c r="W181" i="1"/>
  <c r="U181" i="1"/>
  <c r="R181" i="1"/>
  <c r="N181" i="1"/>
  <c r="O181" i="1" s="1"/>
  <c r="L181" i="1"/>
  <c r="I181" i="1"/>
  <c r="H181" i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I180" i="1"/>
  <c r="H180" i="1"/>
  <c r="F180" i="1"/>
  <c r="C180" i="1"/>
  <c r="AC179" i="1"/>
  <c r="AD179" i="1" s="1"/>
  <c r="AA179" i="1"/>
  <c r="W179" i="1"/>
  <c r="X179" i="1" s="1"/>
  <c r="U179" i="1"/>
  <c r="R179" i="1"/>
  <c r="N179" i="1"/>
  <c r="L179" i="1"/>
  <c r="I179" i="1"/>
  <c r="H179" i="1"/>
  <c r="F179" i="1"/>
  <c r="C179" i="1"/>
  <c r="AD178" i="1"/>
  <c r="AC178" i="1"/>
  <c r="AA178" i="1"/>
  <c r="W178" i="1"/>
  <c r="X178" i="1" s="1"/>
  <c r="U178" i="1"/>
  <c r="R178" i="1"/>
  <c r="N178" i="1"/>
  <c r="O178" i="1" s="1"/>
  <c r="L178" i="1"/>
  <c r="H178" i="1"/>
  <c r="I178" i="1" s="1"/>
  <c r="F178" i="1"/>
  <c r="C178" i="1"/>
  <c r="AD177" i="1"/>
  <c r="AC177" i="1"/>
  <c r="AA177" i="1"/>
  <c r="W177" i="1"/>
  <c r="U177" i="1"/>
  <c r="R177" i="1"/>
  <c r="N177" i="1"/>
  <c r="O177" i="1" s="1"/>
  <c r="L177" i="1"/>
  <c r="I177" i="1"/>
  <c r="H177" i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I175" i="1"/>
  <c r="H175" i="1"/>
  <c r="F175" i="1"/>
  <c r="C175" i="1"/>
  <c r="AA172" i="1"/>
  <c r="Z172" i="1"/>
  <c r="Z198" i="1" s="1"/>
  <c r="L172" i="1"/>
  <c r="C172" i="1"/>
  <c r="B172" i="1"/>
  <c r="AA171" i="1"/>
  <c r="Z171" i="1"/>
  <c r="T171" i="1"/>
  <c r="U171" i="1" s="1"/>
  <c r="R171" i="1"/>
  <c r="Q171" i="1"/>
  <c r="K171" i="1"/>
  <c r="L171" i="1" s="1"/>
  <c r="H171" i="1"/>
  <c r="I171" i="1" s="1"/>
  <c r="F171" i="1"/>
  <c r="E171" i="1"/>
  <c r="C171" i="1"/>
  <c r="B171" i="1"/>
  <c r="N171" i="1" s="1"/>
  <c r="O171" i="1" s="1"/>
  <c r="Z170" i="1"/>
  <c r="AA170" i="1" s="1"/>
  <c r="W170" i="1"/>
  <c r="U170" i="1"/>
  <c r="T170" i="1"/>
  <c r="Q170" i="1"/>
  <c r="R170" i="1" s="1"/>
  <c r="L170" i="1"/>
  <c r="K170" i="1"/>
  <c r="E170" i="1"/>
  <c r="F170" i="1" s="1"/>
  <c r="B170" i="1"/>
  <c r="H170" i="1" s="1"/>
  <c r="I170" i="1" s="1"/>
  <c r="AD169" i="1"/>
  <c r="AC169" i="1"/>
  <c r="AA169" i="1"/>
  <c r="W169" i="1"/>
  <c r="U169" i="1"/>
  <c r="R169" i="1"/>
  <c r="N169" i="1"/>
  <c r="O169" i="1" s="1"/>
  <c r="L169" i="1"/>
  <c r="I169" i="1"/>
  <c r="H169" i="1"/>
  <c r="F169" i="1"/>
  <c r="C169" i="1"/>
  <c r="AC168" i="1"/>
  <c r="AD168" i="1" s="1"/>
  <c r="AA168" i="1"/>
  <c r="W168" i="1"/>
  <c r="U168" i="1"/>
  <c r="R168" i="1"/>
  <c r="N168" i="1"/>
  <c r="O168" i="1" s="1"/>
  <c r="L168" i="1"/>
  <c r="I168" i="1"/>
  <c r="H168" i="1"/>
  <c r="F168" i="1"/>
  <c r="C168" i="1"/>
  <c r="AC167" i="1"/>
  <c r="AD167" i="1" s="1"/>
  <c r="AA167" i="1"/>
  <c r="W167" i="1"/>
  <c r="X167" i="1" s="1"/>
  <c r="U167" i="1"/>
  <c r="R167" i="1"/>
  <c r="N167" i="1"/>
  <c r="L167" i="1"/>
  <c r="H167" i="1"/>
  <c r="I167" i="1" s="1"/>
  <c r="F167" i="1"/>
  <c r="C167" i="1"/>
  <c r="Z166" i="1"/>
  <c r="AA166" i="1" s="1"/>
  <c r="X166" i="1"/>
  <c r="W166" i="1"/>
  <c r="U166" i="1"/>
  <c r="T166" i="1"/>
  <c r="R166" i="1"/>
  <c r="Q166" i="1"/>
  <c r="AC166" i="1" s="1"/>
  <c r="AD166" i="1" s="1"/>
  <c r="K166" i="1"/>
  <c r="L166" i="1" s="1"/>
  <c r="I166" i="1"/>
  <c r="H166" i="1"/>
  <c r="F166" i="1"/>
  <c r="E166" i="1"/>
  <c r="B166" i="1"/>
  <c r="C166" i="1" s="1"/>
  <c r="AD165" i="1"/>
  <c r="AC165" i="1"/>
  <c r="AA165" i="1"/>
  <c r="W165" i="1"/>
  <c r="X165" i="1" s="1"/>
  <c r="U165" i="1"/>
  <c r="R165" i="1"/>
  <c r="N165" i="1"/>
  <c r="O165" i="1" s="1"/>
  <c r="L165" i="1"/>
  <c r="I165" i="1"/>
  <c r="H165" i="1"/>
  <c r="F165" i="1"/>
  <c r="C165" i="1"/>
  <c r="AC164" i="1"/>
  <c r="AD164" i="1" s="1"/>
  <c r="AA164" i="1"/>
  <c r="W164" i="1"/>
  <c r="X164" i="1" s="1"/>
  <c r="U164" i="1"/>
  <c r="R164" i="1"/>
  <c r="N164" i="1"/>
  <c r="L164" i="1"/>
  <c r="I164" i="1"/>
  <c r="H164" i="1"/>
  <c r="F164" i="1"/>
  <c r="C164" i="1"/>
  <c r="AD163" i="1"/>
  <c r="AC163" i="1"/>
  <c r="AA163" i="1"/>
  <c r="W163" i="1"/>
  <c r="X163" i="1" s="1"/>
  <c r="U163" i="1"/>
  <c r="R163" i="1"/>
  <c r="N163" i="1"/>
  <c r="O163" i="1" s="1"/>
  <c r="L163" i="1"/>
  <c r="H163" i="1"/>
  <c r="I163" i="1" s="1"/>
  <c r="F163" i="1"/>
  <c r="C163" i="1"/>
  <c r="AD162" i="1"/>
  <c r="AC162" i="1"/>
  <c r="AA162" i="1"/>
  <c r="W162" i="1"/>
  <c r="U162" i="1"/>
  <c r="R162" i="1"/>
  <c r="N162" i="1"/>
  <c r="O162" i="1" s="1"/>
  <c r="L162" i="1"/>
  <c r="I162" i="1"/>
  <c r="H162" i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I161" i="1"/>
  <c r="H161" i="1"/>
  <c r="F161" i="1"/>
  <c r="C161" i="1"/>
  <c r="AC160" i="1"/>
  <c r="AD160" i="1" s="1"/>
  <c r="AA160" i="1"/>
  <c r="W160" i="1"/>
  <c r="X160" i="1" s="1"/>
  <c r="U160" i="1"/>
  <c r="R160" i="1"/>
  <c r="N160" i="1"/>
  <c r="L160" i="1"/>
  <c r="I160" i="1"/>
  <c r="H160" i="1"/>
  <c r="F160" i="1"/>
  <c r="C160" i="1"/>
  <c r="AD158" i="1"/>
  <c r="Z158" i="1"/>
  <c r="AA158" i="1" s="1"/>
  <c r="W158" i="1"/>
  <c r="X158" i="1" s="1"/>
  <c r="U158" i="1"/>
  <c r="T158" i="1"/>
  <c r="R158" i="1"/>
  <c r="Q158" i="1"/>
  <c r="AC158" i="1" s="1"/>
  <c r="L158" i="1"/>
  <c r="K158" i="1"/>
  <c r="I158" i="1"/>
  <c r="H158" i="1"/>
  <c r="F158" i="1"/>
  <c r="E158" i="1"/>
  <c r="B158" i="1"/>
  <c r="C158" i="1" s="1"/>
  <c r="AC157" i="1"/>
  <c r="AD157" i="1" s="1"/>
  <c r="AA157" i="1"/>
  <c r="W157" i="1"/>
  <c r="U157" i="1"/>
  <c r="R157" i="1"/>
  <c r="N157" i="1"/>
  <c r="O157" i="1" s="1"/>
  <c r="L157" i="1"/>
  <c r="I157" i="1"/>
  <c r="H157" i="1"/>
  <c r="F157" i="1"/>
  <c r="C157" i="1"/>
  <c r="AC156" i="1"/>
  <c r="AD156" i="1" s="1"/>
  <c r="AA156" i="1"/>
  <c r="W156" i="1"/>
  <c r="X156" i="1" s="1"/>
  <c r="U156" i="1"/>
  <c r="R156" i="1"/>
  <c r="N156" i="1"/>
  <c r="L156" i="1"/>
  <c r="I156" i="1"/>
  <c r="H156" i="1"/>
  <c r="F156" i="1"/>
  <c r="C156" i="1"/>
  <c r="AD155" i="1"/>
  <c r="AC155" i="1"/>
  <c r="AA155" i="1"/>
  <c r="W155" i="1"/>
  <c r="U155" i="1"/>
  <c r="R155" i="1"/>
  <c r="N155" i="1"/>
  <c r="O155" i="1" s="1"/>
  <c r="L155" i="1"/>
  <c r="H155" i="1"/>
  <c r="I155" i="1" s="1"/>
  <c r="F155" i="1"/>
  <c r="C155" i="1"/>
  <c r="AD154" i="1"/>
  <c r="AC154" i="1"/>
  <c r="AA154" i="1"/>
  <c r="W154" i="1"/>
  <c r="U154" i="1"/>
  <c r="R154" i="1"/>
  <c r="O154" i="1"/>
  <c r="N154" i="1"/>
  <c r="L154" i="1"/>
  <c r="I154" i="1"/>
  <c r="H154" i="1"/>
  <c r="F154" i="1"/>
  <c r="C154" i="1"/>
  <c r="AC153" i="1"/>
  <c r="AD153" i="1" s="1"/>
  <c r="AA153" i="1"/>
  <c r="W153" i="1"/>
  <c r="U153" i="1"/>
  <c r="R153" i="1"/>
  <c r="N153" i="1"/>
  <c r="O153" i="1" s="1"/>
  <c r="L153" i="1"/>
  <c r="I153" i="1"/>
  <c r="H153" i="1"/>
  <c r="F153" i="1"/>
  <c r="C153" i="1"/>
  <c r="AC151" i="1"/>
  <c r="AD151" i="1" s="1"/>
  <c r="AA151" i="1"/>
  <c r="W151" i="1"/>
  <c r="X151" i="1" s="1"/>
  <c r="U151" i="1"/>
  <c r="R151" i="1"/>
  <c r="N151" i="1"/>
  <c r="L151" i="1"/>
  <c r="I151" i="1"/>
  <c r="H151" i="1"/>
  <c r="F151" i="1"/>
  <c r="C151" i="1"/>
  <c r="AD149" i="1"/>
  <c r="Z149" i="1"/>
  <c r="AA149" i="1" s="1"/>
  <c r="W149" i="1"/>
  <c r="X149" i="1" s="1"/>
  <c r="U149" i="1"/>
  <c r="T149" i="1"/>
  <c r="R149" i="1"/>
  <c r="Q149" i="1"/>
  <c r="AC149" i="1" s="1"/>
  <c r="K149" i="1"/>
  <c r="L149" i="1" s="1"/>
  <c r="I149" i="1"/>
  <c r="H149" i="1"/>
  <c r="F149" i="1"/>
  <c r="E149" i="1"/>
  <c r="B149" i="1"/>
  <c r="C149" i="1" s="1"/>
  <c r="AC148" i="1"/>
  <c r="AD148" i="1" s="1"/>
  <c r="AA148" i="1"/>
  <c r="Z148" i="1"/>
  <c r="T148" i="1"/>
  <c r="U148" i="1" s="1"/>
  <c r="R148" i="1"/>
  <c r="Q148" i="1"/>
  <c r="W148" i="1" s="1"/>
  <c r="L148" i="1"/>
  <c r="K148" i="1"/>
  <c r="E148" i="1"/>
  <c r="F148" i="1" s="1"/>
  <c r="C148" i="1"/>
  <c r="B148" i="1"/>
  <c r="AD147" i="1"/>
  <c r="AC147" i="1"/>
  <c r="AA147" i="1"/>
  <c r="W147" i="1"/>
  <c r="X147" i="1" s="1"/>
  <c r="U147" i="1"/>
  <c r="R147" i="1"/>
  <c r="N147" i="1"/>
  <c r="O147" i="1" s="1"/>
  <c r="L147" i="1"/>
  <c r="H147" i="1"/>
  <c r="I147" i="1" s="1"/>
  <c r="F147" i="1"/>
  <c r="C147" i="1"/>
  <c r="AD146" i="1"/>
  <c r="AC146" i="1"/>
  <c r="AA146" i="1"/>
  <c r="W146" i="1"/>
  <c r="U146" i="1"/>
  <c r="R146" i="1"/>
  <c r="N146" i="1"/>
  <c r="O146" i="1" s="1"/>
  <c r="L146" i="1"/>
  <c r="I146" i="1"/>
  <c r="H146" i="1"/>
  <c r="F146" i="1"/>
  <c r="C146" i="1"/>
  <c r="AC145" i="1"/>
  <c r="AD145" i="1" s="1"/>
  <c r="AA145" i="1"/>
  <c r="W145" i="1"/>
  <c r="X145" i="1" s="1"/>
  <c r="U145" i="1"/>
  <c r="R145" i="1"/>
  <c r="N145" i="1"/>
  <c r="O145" i="1" s="1"/>
  <c r="L145" i="1"/>
  <c r="I145" i="1"/>
  <c r="H145" i="1"/>
  <c r="F145" i="1"/>
  <c r="C145" i="1"/>
  <c r="AC144" i="1"/>
  <c r="AD144" i="1" s="1"/>
  <c r="AA144" i="1"/>
  <c r="X144" i="1"/>
  <c r="W144" i="1"/>
  <c r="U144" i="1"/>
  <c r="R144" i="1"/>
  <c r="N144" i="1"/>
  <c r="L144" i="1"/>
  <c r="H144" i="1"/>
  <c r="I144" i="1" s="1"/>
  <c r="F144" i="1"/>
  <c r="C144" i="1"/>
  <c r="AD143" i="1"/>
  <c r="AC143" i="1"/>
  <c r="AA143" i="1"/>
  <c r="W143" i="1"/>
  <c r="X143" i="1" s="1"/>
  <c r="U143" i="1"/>
  <c r="R143" i="1"/>
  <c r="N143" i="1"/>
  <c r="O143" i="1" s="1"/>
  <c r="L143" i="1"/>
  <c r="H143" i="1"/>
  <c r="I143" i="1" s="1"/>
  <c r="F143" i="1"/>
  <c r="C143" i="1"/>
  <c r="AA141" i="1"/>
  <c r="Z141" i="1"/>
  <c r="U141" i="1"/>
  <c r="T141" i="1"/>
  <c r="R141" i="1"/>
  <c r="Q141" i="1"/>
  <c r="W141" i="1" s="1"/>
  <c r="O141" i="1"/>
  <c r="K141" i="1"/>
  <c r="L141" i="1" s="1"/>
  <c r="H141" i="1"/>
  <c r="I141" i="1" s="1"/>
  <c r="F141" i="1"/>
  <c r="E141" i="1"/>
  <c r="C141" i="1"/>
  <c r="B141" i="1"/>
  <c r="N141" i="1" s="1"/>
  <c r="AC140" i="1"/>
  <c r="AD140" i="1" s="1"/>
  <c r="AA140" i="1"/>
  <c r="W140" i="1"/>
  <c r="X140" i="1" s="1"/>
  <c r="U140" i="1"/>
  <c r="R140" i="1"/>
  <c r="N140" i="1"/>
  <c r="L140" i="1"/>
  <c r="H140" i="1"/>
  <c r="I140" i="1" s="1"/>
  <c r="F140" i="1"/>
  <c r="C140" i="1"/>
  <c r="AD139" i="1"/>
  <c r="AC139" i="1"/>
  <c r="AA139" i="1"/>
  <c r="W139" i="1"/>
  <c r="U139" i="1"/>
  <c r="R139" i="1"/>
  <c r="N139" i="1"/>
  <c r="O139" i="1" s="1"/>
  <c r="L139" i="1"/>
  <c r="H139" i="1"/>
  <c r="I139" i="1" s="1"/>
  <c r="F139" i="1"/>
  <c r="C139" i="1"/>
  <c r="AD138" i="1"/>
  <c r="AC138" i="1"/>
  <c r="AA138" i="1"/>
  <c r="W138" i="1"/>
  <c r="U138" i="1"/>
  <c r="R138" i="1"/>
  <c r="O138" i="1"/>
  <c r="N138" i="1"/>
  <c r="L138" i="1"/>
  <c r="I138" i="1"/>
  <c r="H138" i="1"/>
  <c r="F138" i="1"/>
  <c r="C138" i="1"/>
  <c r="AD137" i="1"/>
  <c r="AC137" i="1"/>
  <c r="AA137" i="1"/>
  <c r="W137" i="1"/>
  <c r="U137" i="1"/>
  <c r="R137" i="1"/>
  <c r="N137" i="1"/>
  <c r="O137" i="1" s="1"/>
  <c r="L137" i="1"/>
  <c r="I137" i="1"/>
  <c r="H137" i="1"/>
  <c r="F137" i="1"/>
  <c r="C137" i="1"/>
  <c r="AC136" i="1"/>
  <c r="AD136" i="1" s="1"/>
  <c r="AA136" i="1"/>
  <c r="W136" i="1"/>
  <c r="X136" i="1" s="1"/>
  <c r="U136" i="1"/>
  <c r="R136" i="1"/>
  <c r="N136" i="1"/>
  <c r="L136" i="1"/>
  <c r="H136" i="1"/>
  <c r="I136" i="1" s="1"/>
  <c r="F136" i="1"/>
  <c r="C136" i="1"/>
  <c r="AD135" i="1"/>
  <c r="AC135" i="1"/>
  <c r="AA135" i="1"/>
  <c r="W135" i="1"/>
  <c r="U135" i="1"/>
  <c r="R135" i="1"/>
  <c r="N135" i="1"/>
  <c r="O135" i="1" s="1"/>
  <c r="L135" i="1"/>
  <c r="H135" i="1"/>
  <c r="I135" i="1" s="1"/>
  <c r="F135" i="1"/>
  <c r="C135" i="1"/>
  <c r="AD134" i="1"/>
  <c r="AC134" i="1"/>
  <c r="AA134" i="1"/>
  <c r="W134" i="1"/>
  <c r="U134" i="1"/>
  <c r="R134" i="1"/>
  <c r="O134" i="1"/>
  <c r="N134" i="1"/>
  <c r="L134" i="1"/>
  <c r="I134" i="1"/>
  <c r="H134" i="1"/>
  <c r="F134" i="1"/>
  <c r="C134" i="1"/>
  <c r="AD133" i="1"/>
  <c r="AC133" i="1"/>
  <c r="AA133" i="1"/>
  <c r="W133" i="1"/>
  <c r="U133" i="1"/>
  <c r="R133" i="1"/>
  <c r="N133" i="1"/>
  <c r="O133" i="1" s="1"/>
  <c r="L133" i="1"/>
  <c r="I133" i="1"/>
  <c r="H133" i="1"/>
  <c r="F133" i="1"/>
  <c r="C133" i="1"/>
  <c r="AC132" i="1"/>
  <c r="AD132" i="1" s="1"/>
  <c r="AA132" i="1"/>
  <c r="W132" i="1"/>
  <c r="X132" i="1" s="1"/>
  <c r="U132" i="1"/>
  <c r="R132" i="1"/>
  <c r="N132" i="1"/>
  <c r="L132" i="1"/>
  <c r="H132" i="1"/>
  <c r="I132" i="1" s="1"/>
  <c r="F132" i="1"/>
  <c r="C132" i="1"/>
  <c r="AD131" i="1"/>
  <c r="AC131" i="1"/>
  <c r="AA131" i="1"/>
  <c r="W131" i="1"/>
  <c r="U131" i="1"/>
  <c r="R131" i="1"/>
  <c r="N131" i="1"/>
  <c r="O131" i="1" s="1"/>
  <c r="L131" i="1"/>
  <c r="H131" i="1"/>
  <c r="I131" i="1" s="1"/>
  <c r="F131" i="1"/>
  <c r="C131" i="1"/>
  <c r="AD130" i="1"/>
  <c r="AC130" i="1"/>
  <c r="AA130" i="1"/>
  <c r="W130" i="1"/>
  <c r="U130" i="1"/>
  <c r="R130" i="1"/>
  <c r="O130" i="1"/>
  <c r="N130" i="1"/>
  <c r="L130" i="1"/>
  <c r="I130" i="1"/>
  <c r="H130" i="1"/>
  <c r="F130" i="1"/>
  <c r="C130" i="1"/>
  <c r="AD129" i="1"/>
  <c r="AC129" i="1"/>
  <c r="AA129" i="1"/>
  <c r="W129" i="1"/>
  <c r="U129" i="1"/>
  <c r="R129" i="1"/>
  <c r="N129" i="1"/>
  <c r="O129" i="1" s="1"/>
  <c r="L129" i="1"/>
  <c r="I129" i="1"/>
  <c r="H129" i="1"/>
  <c r="F129" i="1"/>
  <c r="C129" i="1"/>
  <c r="AC127" i="1"/>
  <c r="AD127" i="1" s="1"/>
  <c r="AA127" i="1"/>
  <c r="W127" i="1"/>
  <c r="X127" i="1" s="1"/>
  <c r="U127" i="1"/>
  <c r="R127" i="1"/>
  <c r="N127" i="1"/>
  <c r="L127" i="1"/>
  <c r="H127" i="1"/>
  <c r="I127" i="1" s="1"/>
  <c r="F127" i="1"/>
  <c r="C127" i="1"/>
  <c r="AD124" i="1"/>
  <c r="Z124" i="1"/>
  <c r="AA124" i="1" s="1"/>
  <c r="W124" i="1"/>
  <c r="X124" i="1" s="1"/>
  <c r="U124" i="1"/>
  <c r="T124" i="1"/>
  <c r="T172" i="1" s="1"/>
  <c r="T198" i="1" s="1"/>
  <c r="T345" i="1" s="1"/>
  <c r="T404" i="1" s="1"/>
  <c r="T443" i="1" s="1"/>
  <c r="U443" i="1" s="1"/>
  <c r="R124" i="1"/>
  <c r="Q124" i="1"/>
  <c r="AC124" i="1" s="1"/>
  <c r="L124" i="1"/>
  <c r="K124" i="1"/>
  <c r="K172" i="1" s="1"/>
  <c r="K198" i="1" s="1"/>
  <c r="I124" i="1"/>
  <c r="H124" i="1"/>
  <c r="F124" i="1"/>
  <c r="E124" i="1"/>
  <c r="E172" i="1" s="1"/>
  <c r="B124" i="1"/>
  <c r="C124" i="1" s="1"/>
  <c r="AC123" i="1"/>
  <c r="AD123" i="1" s="1"/>
  <c r="AA123" i="1"/>
  <c r="W123" i="1"/>
  <c r="U123" i="1"/>
  <c r="R123" i="1"/>
  <c r="N123" i="1"/>
  <c r="O123" i="1" s="1"/>
  <c r="L123" i="1"/>
  <c r="I123" i="1"/>
  <c r="H123" i="1"/>
  <c r="F123" i="1"/>
  <c r="C123" i="1"/>
  <c r="Z122" i="1"/>
  <c r="AA122" i="1" s="1"/>
  <c r="X122" i="1"/>
  <c r="W122" i="1"/>
  <c r="U122" i="1"/>
  <c r="T122" i="1"/>
  <c r="Q122" i="1"/>
  <c r="R122" i="1" s="1"/>
  <c r="L122" i="1"/>
  <c r="K122" i="1"/>
  <c r="E122" i="1"/>
  <c r="F122" i="1" s="1"/>
  <c r="C122" i="1"/>
  <c r="B122" i="1"/>
  <c r="H122" i="1" s="1"/>
  <c r="I122" i="1" s="1"/>
  <c r="AD121" i="1"/>
  <c r="AC121" i="1"/>
  <c r="AA121" i="1"/>
  <c r="W121" i="1"/>
  <c r="U121" i="1"/>
  <c r="R121" i="1"/>
  <c r="O121" i="1"/>
  <c r="N121" i="1"/>
  <c r="L121" i="1"/>
  <c r="I121" i="1"/>
  <c r="H121" i="1"/>
  <c r="F121" i="1"/>
  <c r="C121" i="1"/>
  <c r="AC120" i="1"/>
  <c r="AD120" i="1" s="1"/>
  <c r="AA120" i="1"/>
  <c r="W120" i="1"/>
  <c r="U120" i="1"/>
  <c r="R120" i="1"/>
  <c r="N120" i="1"/>
  <c r="O120" i="1" s="1"/>
  <c r="L120" i="1"/>
  <c r="I120" i="1"/>
  <c r="H120" i="1"/>
  <c r="F120" i="1"/>
  <c r="C120" i="1"/>
  <c r="AC119" i="1"/>
  <c r="AD119" i="1" s="1"/>
  <c r="AA119" i="1"/>
  <c r="X119" i="1"/>
  <c r="W119" i="1"/>
  <c r="U119" i="1"/>
  <c r="R119" i="1"/>
  <c r="N119" i="1"/>
  <c r="L119" i="1"/>
  <c r="H119" i="1"/>
  <c r="I119" i="1" s="1"/>
  <c r="F119" i="1"/>
  <c r="C119" i="1"/>
  <c r="AD118" i="1"/>
  <c r="Z118" i="1"/>
  <c r="AA118" i="1" s="1"/>
  <c r="W118" i="1"/>
  <c r="U118" i="1"/>
  <c r="T118" i="1"/>
  <c r="R118" i="1"/>
  <c r="Q118" i="1"/>
  <c r="AC118" i="1" s="1"/>
  <c r="K118" i="1"/>
  <c r="L118" i="1" s="1"/>
  <c r="I118" i="1"/>
  <c r="H118" i="1"/>
  <c r="F118" i="1"/>
  <c r="E118" i="1"/>
  <c r="B118" i="1"/>
  <c r="C118" i="1" s="1"/>
  <c r="AC117" i="1"/>
  <c r="AD117" i="1" s="1"/>
  <c r="AA117" i="1"/>
  <c r="W117" i="1"/>
  <c r="U117" i="1"/>
  <c r="R117" i="1"/>
  <c r="N117" i="1"/>
  <c r="O117" i="1" s="1"/>
  <c r="L117" i="1"/>
  <c r="I117" i="1"/>
  <c r="H117" i="1"/>
  <c r="F117" i="1"/>
  <c r="C117" i="1"/>
  <c r="AC116" i="1"/>
  <c r="AD116" i="1" s="1"/>
  <c r="AA116" i="1"/>
  <c r="W116" i="1"/>
  <c r="X116" i="1" s="1"/>
  <c r="U116" i="1"/>
  <c r="R116" i="1"/>
  <c r="N116" i="1"/>
  <c r="L116" i="1"/>
  <c r="H116" i="1"/>
  <c r="I116" i="1" s="1"/>
  <c r="F116" i="1"/>
  <c r="C116" i="1"/>
  <c r="AD115" i="1"/>
  <c r="AC115" i="1"/>
  <c r="AA115" i="1"/>
  <c r="W115" i="1"/>
  <c r="U115" i="1"/>
  <c r="R115" i="1"/>
  <c r="N115" i="1"/>
  <c r="O115" i="1" s="1"/>
  <c r="L115" i="1"/>
  <c r="H115" i="1"/>
  <c r="I115" i="1" s="1"/>
  <c r="F115" i="1"/>
  <c r="C115" i="1"/>
  <c r="AD114" i="1"/>
  <c r="AC114" i="1"/>
  <c r="AA114" i="1"/>
  <c r="W114" i="1"/>
  <c r="U114" i="1"/>
  <c r="R114" i="1"/>
  <c r="N114" i="1"/>
  <c r="O114" i="1" s="1"/>
  <c r="L114" i="1"/>
  <c r="I114" i="1"/>
  <c r="H114" i="1"/>
  <c r="F114" i="1"/>
  <c r="C114" i="1"/>
  <c r="AC113" i="1"/>
  <c r="AD113" i="1" s="1"/>
  <c r="AA113" i="1"/>
  <c r="W113" i="1"/>
  <c r="U113" i="1"/>
  <c r="R113" i="1"/>
  <c r="N113" i="1"/>
  <c r="O113" i="1" s="1"/>
  <c r="L113" i="1"/>
  <c r="I113" i="1"/>
  <c r="H113" i="1"/>
  <c r="F113" i="1"/>
  <c r="C113" i="1"/>
  <c r="AC112" i="1"/>
  <c r="AD112" i="1" s="1"/>
  <c r="AA112" i="1"/>
  <c r="W112" i="1"/>
  <c r="X112" i="1" s="1"/>
  <c r="U112" i="1"/>
  <c r="R112" i="1"/>
  <c r="N112" i="1"/>
  <c r="L112" i="1"/>
  <c r="H112" i="1"/>
  <c r="I112" i="1" s="1"/>
  <c r="F112" i="1"/>
  <c r="C112" i="1"/>
  <c r="AD111" i="1"/>
  <c r="AC111" i="1"/>
  <c r="AA111" i="1"/>
  <c r="W111" i="1"/>
  <c r="U111" i="1"/>
  <c r="R111" i="1"/>
  <c r="N111" i="1"/>
  <c r="O111" i="1" s="1"/>
  <c r="L111" i="1"/>
  <c r="H111" i="1"/>
  <c r="I111" i="1" s="1"/>
  <c r="F111" i="1"/>
  <c r="C111" i="1"/>
  <c r="AD110" i="1"/>
  <c r="AC110" i="1"/>
  <c r="AA110" i="1"/>
  <c r="W110" i="1"/>
  <c r="U110" i="1"/>
  <c r="R110" i="1"/>
  <c r="N110" i="1"/>
  <c r="O110" i="1" s="1"/>
  <c r="L110" i="1"/>
  <c r="I110" i="1"/>
  <c r="H110" i="1"/>
  <c r="F110" i="1"/>
  <c r="C110" i="1"/>
  <c r="AC109" i="1"/>
  <c r="AD109" i="1" s="1"/>
  <c r="AA109" i="1"/>
  <c r="W109" i="1"/>
  <c r="U109" i="1"/>
  <c r="R109" i="1"/>
  <c r="N109" i="1"/>
  <c r="O109" i="1" s="1"/>
  <c r="L109" i="1"/>
  <c r="I109" i="1"/>
  <c r="H109" i="1"/>
  <c r="F109" i="1"/>
  <c r="C109" i="1"/>
  <c r="AC108" i="1"/>
  <c r="AD108" i="1" s="1"/>
  <c r="AA108" i="1"/>
  <c r="W108" i="1"/>
  <c r="X108" i="1" s="1"/>
  <c r="U108" i="1"/>
  <c r="R108" i="1"/>
  <c r="N108" i="1"/>
  <c r="L108" i="1"/>
  <c r="H108" i="1"/>
  <c r="I108" i="1" s="1"/>
  <c r="F108" i="1"/>
  <c r="C108" i="1"/>
  <c r="AD107" i="1"/>
  <c r="AC107" i="1"/>
  <c r="AA107" i="1"/>
  <c r="W107" i="1"/>
  <c r="U107" i="1"/>
  <c r="R107" i="1"/>
  <c r="N107" i="1"/>
  <c r="O107" i="1" s="1"/>
  <c r="L107" i="1"/>
  <c r="H107" i="1"/>
  <c r="I107" i="1" s="1"/>
  <c r="F107" i="1"/>
  <c r="C107" i="1"/>
  <c r="AD106" i="1"/>
  <c r="AC106" i="1"/>
  <c r="AA106" i="1"/>
  <c r="W106" i="1"/>
  <c r="U106" i="1"/>
  <c r="R106" i="1"/>
  <c r="N106" i="1"/>
  <c r="O106" i="1" s="1"/>
  <c r="L106" i="1"/>
  <c r="I106" i="1"/>
  <c r="H106" i="1"/>
  <c r="F106" i="1"/>
  <c r="C106" i="1"/>
  <c r="AC105" i="1"/>
  <c r="AD105" i="1" s="1"/>
  <c r="AA105" i="1"/>
  <c r="W105" i="1"/>
  <c r="U105" i="1"/>
  <c r="R105" i="1"/>
  <c r="N105" i="1"/>
  <c r="O105" i="1" s="1"/>
  <c r="L105" i="1"/>
  <c r="I105" i="1"/>
  <c r="H105" i="1"/>
  <c r="F105" i="1"/>
  <c r="C105" i="1"/>
  <c r="AC104" i="1"/>
  <c r="AD104" i="1" s="1"/>
  <c r="AA104" i="1"/>
  <c r="W104" i="1"/>
  <c r="X104" i="1" s="1"/>
  <c r="U104" i="1"/>
  <c r="R104" i="1"/>
  <c r="N104" i="1"/>
  <c r="L104" i="1"/>
  <c r="H104" i="1"/>
  <c r="I104" i="1" s="1"/>
  <c r="F104" i="1"/>
  <c r="C104" i="1"/>
  <c r="AD103" i="1"/>
  <c r="AC103" i="1"/>
  <c r="AA103" i="1"/>
  <c r="W103" i="1"/>
  <c r="U103" i="1"/>
  <c r="R103" i="1"/>
  <c r="N103" i="1"/>
  <c r="O103" i="1" s="1"/>
  <c r="L103" i="1"/>
  <c r="H103" i="1"/>
  <c r="I103" i="1" s="1"/>
  <c r="F103" i="1"/>
  <c r="C103" i="1"/>
  <c r="AD102" i="1"/>
  <c r="AC102" i="1"/>
  <c r="AA102" i="1"/>
  <c r="W102" i="1"/>
  <c r="U102" i="1"/>
  <c r="R102" i="1"/>
  <c r="N102" i="1"/>
  <c r="O102" i="1" s="1"/>
  <c r="L102" i="1"/>
  <c r="I102" i="1"/>
  <c r="H102" i="1"/>
  <c r="F102" i="1"/>
  <c r="C102" i="1"/>
  <c r="AC101" i="1"/>
  <c r="AD101" i="1" s="1"/>
  <c r="AA101" i="1"/>
  <c r="W101" i="1"/>
  <c r="U101" i="1"/>
  <c r="R101" i="1"/>
  <c r="N101" i="1"/>
  <c r="O101" i="1" s="1"/>
  <c r="L101" i="1"/>
  <c r="I101" i="1"/>
  <c r="H101" i="1"/>
  <c r="F101" i="1"/>
  <c r="C101" i="1"/>
  <c r="AC100" i="1"/>
  <c r="AD100" i="1" s="1"/>
  <c r="AA100" i="1"/>
  <c r="W100" i="1"/>
  <c r="X100" i="1" s="1"/>
  <c r="U100" i="1"/>
  <c r="R100" i="1"/>
  <c r="N100" i="1"/>
  <c r="L100" i="1"/>
  <c r="H100" i="1"/>
  <c r="I100" i="1" s="1"/>
  <c r="F100" i="1"/>
  <c r="C100" i="1"/>
  <c r="AD99" i="1"/>
  <c r="AC99" i="1"/>
  <c r="AA99" i="1"/>
  <c r="W99" i="1"/>
  <c r="U99" i="1"/>
  <c r="R99" i="1"/>
  <c r="N99" i="1"/>
  <c r="O99" i="1" s="1"/>
  <c r="L99" i="1"/>
  <c r="H99" i="1"/>
  <c r="I99" i="1" s="1"/>
  <c r="F99" i="1"/>
  <c r="C99" i="1"/>
  <c r="AD98" i="1"/>
  <c r="AC98" i="1"/>
  <c r="AA98" i="1"/>
  <c r="W98" i="1"/>
  <c r="U98" i="1"/>
  <c r="R98" i="1"/>
  <c r="N98" i="1"/>
  <c r="O98" i="1" s="1"/>
  <c r="L98" i="1"/>
  <c r="I98" i="1"/>
  <c r="H98" i="1"/>
  <c r="F98" i="1"/>
  <c r="C98" i="1"/>
  <c r="AC97" i="1"/>
  <c r="AD97" i="1" s="1"/>
  <c r="AA97" i="1"/>
  <c r="W97" i="1"/>
  <c r="U97" i="1"/>
  <c r="R97" i="1"/>
  <c r="N97" i="1"/>
  <c r="O97" i="1" s="1"/>
  <c r="L97" i="1"/>
  <c r="I97" i="1"/>
  <c r="H97" i="1"/>
  <c r="F97" i="1"/>
  <c r="C97" i="1"/>
  <c r="AC96" i="1"/>
  <c r="AD96" i="1" s="1"/>
  <c r="AA96" i="1"/>
  <c r="W96" i="1"/>
  <c r="X96" i="1" s="1"/>
  <c r="U96" i="1"/>
  <c r="R96" i="1"/>
  <c r="N96" i="1"/>
  <c r="L96" i="1"/>
  <c r="H96" i="1"/>
  <c r="I96" i="1" s="1"/>
  <c r="F96" i="1"/>
  <c r="C96" i="1"/>
  <c r="AD95" i="1"/>
  <c r="AC95" i="1"/>
  <c r="AA95" i="1"/>
  <c r="W95" i="1"/>
  <c r="U95" i="1"/>
  <c r="R95" i="1"/>
  <c r="N95" i="1"/>
  <c r="O95" i="1" s="1"/>
  <c r="L95" i="1"/>
  <c r="H95" i="1"/>
  <c r="I95" i="1" s="1"/>
  <c r="F95" i="1"/>
  <c r="C95" i="1"/>
  <c r="AD94" i="1"/>
  <c r="AC94" i="1"/>
  <c r="AA94" i="1"/>
  <c r="W94" i="1"/>
  <c r="U94" i="1"/>
  <c r="R94" i="1"/>
  <c r="N94" i="1"/>
  <c r="O94" i="1" s="1"/>
  <c r="L94" i="1"/>
  <c r="I94" i="1"/>
  <c r="H94" i="1"/>
  <c r="F94" i="1"/>
  <c r="C94" i="1"/>
  <c r="AC92" i="1"/>
  <c r="AD92" i="1" s="1"/>
  <c r="AA92" i="1"/>
  <c r="W92" i="1"/>
  <c r="U92" i="1"/>
  <c r="R92" i="1"/>
  <c r="N92" i="1"/>
  <c r="O92" i="1" s="1"/>
  <c r="L92" i="1"/>
  <c r="I92" i="1"/>
  <c r="H92" i="1"/>
  <c r="F92" i="1"/>
  <c r="C92" i="1"/>
  <c r="AC91" i="1"/>
  <c r="AD91" i="1" s="1"/>
  <c r="AA91" i="1"/>
  <c r="W91" i="1"/>
  <c r="X91" i="1" s="1"/>
  <c r="U91" i="1"/>
  <c r="R91" i="1"/>
  <c r="N91" i="1"/>
  <c r="L91" i="1"/>
  <c r="H91" i="1"/>
  <c r="I91" i="1" s="1"/>
  <c r="F91" i="1"/>
  <c r="C91" i="1"/>
  <c r="AD90" i="1"/>
  <c r="AC90" i="1"/>
  <c r="AA90" i="1"/>
  <c r="W90" i="1"/>
  <c r="U90" i="1"/>
  <c r="R90" i="1"/>
  <c r="N90" i="1"/>
  <c r="O90" i="1" s="1"/>
  <c r="L90" i="1"/>
  <c r="H90" i="1"/>
  <c r="I90" i="1" s="1"/>
  <c r="F90" i="1"/>
  <c r="C90" i="1"/>
  <c r="AD89" i="1"/>
  <c r="AC89" i="1"/>
  <c r="AA89" i="1"/>
  <c r="W89" i="1"/>
  <c r="U89" i="1"/>
  <c r="R89" i="1"/>
  <c r="N89" i="1"/>
  <c r="O89" i="1" s="1"/>
  <c r="L89" i="1"/>
  <c r="I89" i="1"/>
  <c r="H89" i="1"/>
  <c r="F89" i="1"/>
  <c r="C89" i="1"/>
  <c r="AA88" i="1"/>
  <c r="Z88" i="1"/>
  <c r="T88" i="1"/>
  <c r="U88" i="1" s="1"/>
  <c r="Q88" i="1"/>
  <c r="W88" i="1" s="1"/>
  <c r="X88" i="1" s="1"/>
  <c r="L88" i="1"/>
  <c r="K88" i="1"/>
  <c r="F88" i="1"/>
  <c r="E88" i="1"/>
  <c r="C88" i="1"/>
  <c r="B88" i="1"/>
  <c r="H88" i="1" s="1"/>
  <c r="I88" i="1" s="1"/>
  <c r="AD87" i="1"/>
  <c r="AC87" i="1"/>
  <c r="AA87" i="1"/>
  <c r="W87" i="1"/>
  <c r="X87" i="1" s="1"/>
  <c r="U87" i="1"/>
  <c r="R87" i="1"/>
  <c r="N87" i="1"/>
  <c r="O87" i="1" s="1"/>
  <c r="L87" i="1"/>
  <c r="H87" i="1"/>
  <c r="I87" i="1" s="1"/>
  <c r="F87" i="1"/>
  <c r="C87" i="1"/>
  <c r="AD86" i="1"/>
  <c r="AC86" i="1"/>
  <c r="AA86" i="1"/>
  <c r="W86" i="1"/>
  <c r="U86" i="1"/>
  <c r="R86" i="1"/>
  <c r="N86" i="1"/>
  <c r="O86" i="1" s="1"/>
  <c r="L86" i="1"/>
  <c r="I86" i="1"/>
  <c r="H86" i="1"/>
  <c r="F86" i="1"/>
  <c r="C86" i="1"/>
  <c r="AD85" i="1"/>
  <c r="AC85" i="1"/>
  <c r="AA85" i="1"/>
  <c r="W85" i="1"/>
  <c r="X85" i="1" s="1"/>
  <c r="U85" i="1"/>
  <c r="R85" i="1"/>
  <c r="N85" i="1"/>
  <c r="O85" i="1" s="1"/>
  <c r="L85" i="1"/>
  <c r="I85" i="1"/>
  <c r="H85" i="1"/>
  <c r="F85" i="1"/>
  <c r="C85" i="1"/>
  <c r="AC84" i="1"/>
  <c r="AD84" i="1" s="1"/>
  <c r="AA84" i="1"/>
  <c r="W84" i="1"/>
  <c r="X84" i="1" s="1"/>
  <c r="U84" i="1"/>
  <c r="R84" i="1"/>
  <c r="N84" i="1"/>
  <c r="L84" i="1"/>
  <c r="I84" i="1"/>
  <c r="H84" i="1"/>
  <c r="F84" i="1"/>
  <c r="C84" i="1"/>
  <c r="AD83" i="1"/>
  <c r="AC83" i="1"/>
  <c r="AA83" i="1"/>
  <c r="W83" i="1"/>
  <c r="X83" i="1" s="1"/>
  <c r="U83" i="1"/>
  <c r="R83" i="1"/>
  <c r="N83" i="1"/>
  <c r="O83" i="1" s="1"/>
  <c r="L83" i="1"/>
  <c r="H83" i="1"/>
  <c r="I83" i="1" s="1"/>
  <c r="F83" i="1"/>
  <c r="C83" i="1"/>
  <c r="AD82" i="1"/>
  <c r="AC82" i="1"/>
  <c r="AA82" i="1"/>
  <c r="W82" i="1"/>
  <c r="U82" i="1"/>
  <c r="R82" i="1"/>
  <c r="N82" i="1"/>
  <c r="O82" i="1" s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C80" i="1"/>
  <c r="AD80" i="1" s="1"/>
  <c r="AA80" i="1"/>
  <c r="W80" i="1"/>
  <c r="X80" i="1" s="1"/>
  <c r="U80" i="1"/>
  <c r="R80" i="1"/>
  <c r="N80" i="1"/>
  <c r="L80" i="1"/>
  <c r="I80" i="1"/>
  <c r="H80" i="1"/>
  <c r="F80" i="1"/>
  <c r="C80" i="1"/>
  <c r="AD79" i="1"/>
  <c r="AC79" i="1"/>
  <c r="AA79" i="1"/>
  <c r="W79" i="1"/>
  <c r="X79" i="1" s="1"/>
  <c r="U79" i="1"/>
  <c r="R79" i="1"/>
  <c r="N79" i="1"/>
  <c r="O79" i="1" s="1"/>
  <c r="L79" i="1"/>
  <c r="H79" i="1"/>
  <c r="I79" i="1" s="1"/>
  <c r="F79" i="1"/>
  <c r="C79" i="1"/>
  <c r="AD78" i="1"/>
  <c r="AC78" i="1"/>
  <c r="AA78" i="1"/>
  <c r="W78" i="1"/>
  <c r="U78" i="1"/>
  <c r="R78" i="1"/>
  <c r="N78" i="1"/>
  <c r="O78" i="1" s="1"/>
  <c r="L78" i="1"/>
  <c r="I78" i="1"/>
  <c r="H78" i="1"/>
  <c r="F78" i="1"/>
  <c r="C78" i="1"/>
  <c r="AD77" i="1"/>
  <c r="AC77" i="1"/>
  <c r="AA77" i="1"/>
  <c r="W77" i="1"/>
  <c r="X77" i="1" s="1"/>
  <c r="U77" i="1"/>
  <c r="R77" i="1"/>
  <c r="N77" i="1"/>
  <c r="O77" i="1" s="1"/>
  <c r="L77" i="1"/>
  <c r="I77" i="1"/>
  <c r="H77" i="1"/>
  <c r="F77" i="1"/>
  <c r="C77" i="1"/>
  <c r="AC76" i="1"/>
  <c r="AD76" i="1" s="1"/>
  <c r="AA76" i="1"/>
  <c r="W76" i="1"/>
  <c r="X76" i="1" s="1"/>
  <c r="U76" i="1"/>
  <c r="R76" i="1"/>
  <c r="N76" i="1"/>
  <c r="L76" i="1"/>
  <c r="I76" i="1"/>
  <c r="H76" i="1"/>
  <c r="F76" i="1"/>
  <c r="C76" i="1"/>
  <c r="AD75" i="1"/>
  <c r="AC75" i="1"/>
  <c r="AA75" i="1"/>
  <c r="W75" i="1"/>
  <c r="X75" i="1" s="1"/>
  <c r="U75" i="1"/>
  <c r="R75" i="1"/>
  <c r="N75" i="1"/>
  <c r="O75" i="1" s="1"/>
  <c r="L75" i="1"/>
  <c r="H75" i="1"/>
  <c r="I75" i="1" s="1"/>
  <c r="F75" i="1"/>
  <c r="C75" i="1"/>
  <c r="AA73" i="1"/>
  <c r="Z73" i="1"/>
  <c r="T73" i="1"/>
  <c r="U73" i="1" s="1"/>
  <c r="R73" i="1"/>
  <c r="Q73" i="1"/>
  <c r="O73" i="1"/>
  <c r="K73" i="1"/>
  <c r="L73" i="1" s="1"/>
  <c r="I73" i="1"/>
  <c r="H73" i="1"/>
  <c r="F73" i="1"/>
  <c r="E73" i="1"/>
  <c r="C73" i="1"/>
  <c r="B73" i="1"/>
  <c r="N73" i="1" s="1"/>
  <c r="AC72" i="1"/>
  <c r="AD72" i="1" s="1"/>
  <c r="AA72" i="1"/>
  <c r="W72" i="1"/>
  <c r="U72" i="1"/>
  <c r="R72" i="1"/>
  <c r="N72" i="1"/>
  <c r="L72" i="1"/>
  <c r="H72" i="1"/>
  <c r="I72" i="1" s="1"/>
  <c r="F72" i="1"/>
  <c r="C72" i="1"/>
  <c r="AD71" i="1"/>
  <c r="AC71" i="1"/>
  <c r="AA71" i="1"/>
  <c r="W71" i="1"/>
  <c r="U71" i="1"/>
  <c r="R71" i="1"/>
  <c r="N71" i="1"/>
  <c r="O71" i="1" s="1"/>
  <c r="L71" i="1"/>
  <c r="H71" i="1"/>
  <c r="I71" i="1" s="1"/>
  <c r="F71" i="1"/>
  <c r="C71" i="1"/>
  <c r="AD70" i="1"/>
  <c r="AC70" i="1"/>
  <c r="AA70" i="1"/>
  <c r="W70" i="1"/>
  <c r="U70" i="1"/>
  <c r="R70" i="1"/>
  <c r="N70" i="1"/>
  <c r="O70" i="1" s="1"/>
  <c r="L70" i="1"/>
  <c r="I70" i="1"/>
  <c r="H70" i="1"/>
  <c r="F70" i="1"/>
  <c r="C70" i="1"/>
  <c r="AC69" i="1"/>
  <c r="AD69" i="1" s="1"/>
  <c r="AA69" i="1"/>
  <c r="W69" i="1"/>
  <c r="U69" i="1"/>
  <c r="R69" i="1"/>
  <c r="N69" i="1"/>
  <c r="O69" i="1" s="1"/>
  <c r="L69" i="1"/>
  <c r="I69" i="1"/>
  <c r="H69" i="1"/>
  <c r="F69" i="1"/>
  <c r="C69" i="1"/>
  <c r="AC68" i="1"/>
  <c r="AD68" i="1" s="1"/>
  <c r="AA68" i="1"/>
  <c r="W68" i="1"/>
  <c r="U68" i="1"/>
  <c r="R68" i="1"/>
  <c r="N68" i="1"/>
  <c r="L68" i="1"/>
  <c r="H68" i="1"/>
  <c r="I68" i="1" s="1"/>
  <c r="F68" i="1"/>
  <c r="C68" i="1"/>
  <c r="AD67" i="1"/>
  <c r="AC67" i="1"/>
  <c r="AA67" i="1"/>
  <c r="W67" i="1"/>
  <c r="U67" i="1"/>
  <c r="R67" i="1"/>
  <c r="N67" i="1"/>
  <c r="O67" i="1" s="1"/>
  <c r="L67" i="1"/>
  <c r="H67" i="1"/>
  <c r="I67" i="1" s="1"/>
  <c r="F67" i="1"/>
  <c r="C67" i="1"/>
  <c r="AD66" i="1"/>
  <c r="AC66" i="1"/>
  <c r="AA66" i="1"/>
  <c r="W66" i="1"/>
  <c r="U66" i="1"/>
  <c r="R66" i="1"/>
  <c r="N66" i="1"/>
  <c r="O66" i="1" s="1"/>
  <c r="L66" i="1"/>
  <c r="I66" i="1"/>
  <c r="H66" i="1"/>
  <c r="F66" i="1"/>
  <c r="C66" i="1"/>
  <c r="AC65" i="1"/>
  <c r="AD65" i="1" s="1"/>
  <c r="AA65" i="1"/>
  <c r="W65" i="1"/>
  <c r="U65" i="1"/>
  <c r="R65" i="1"/>
  <c r="N65" i="1"/>
  <c r="O65" i="1" s="1"/>
  <c r="L65" i="1"/>
  <c r="I65" i="1"/>
  <c r="H65" i="1"/>
  <c r="F65" i="1"/>
  <c r="C65" i="1"/>
  <c r="AC64" i="1"/>
  <c r="AD64" i="1" s="1"/>
  <c r="AA64" i="1"/>
  <c r="W64" i="1"/>
  <c r="U64" i="1"/>
  <c r="R64" i="1"/>
  <c r="N64" i="1"/>
  <c r="L64" i="1"/>
  <c r="H64" i="1"/>
  <c r="I64" i="1" s="1"/>
  <c r="F64" i="1"/>
  <c r="C64" i="1"/>
  <c r="AD62" i="1"/>
  <c r="Z62" i="1"/>
  <c r="AA62" i="1" s="1"/>
  <c r="X62" i="1"/>
  <c r="W62" i="1"/>
  <c r="U62" i="1"/>
  <c r="T62" i="1"/>
  <c r="R62" i="1"/>
  <c r="Q62" i="1"/>
  <c r="AC62" i="1" s="1"/>
  <c r="K62" i="1"/>
  <c r="L62" i="1" s="1"/>
  <c r="I62" i="1"/>
  <c r="H62" i="1"/>
  <c r="F62" i="1"/>
  <c r="E62" i="1"/>
  <c r="B62" i="1"/>
  <c r="C62" i="1" s="1"/>
  <c r="AA61" i="1"/>
  <c r="Z61" i="1"/>
  <c r="T61" i="1"/>
  <c r="U61" i="1" s="1"/>
  <c r="R61" i="1"/>
  <c r="Q61" i="1"/>
  <c r="W61" i="1" s="1"/>
  <c r="X61" i="1" s="1"/>
  <c r="L61" i="1"/>
  <c r="K61" i="1"/>
  <c r="F61" i="1"/>
  <c r="E61" i="1"/>
  <c r="C61" i="1"/>
  <c r="B61" i="1"/>
  <c r="H61" i="1" s="1"/>
  <c r="I61" i="1" s="1"/>
  <c r="AD60" i="1"/>
  <c r="AC60" i="1"/>
  <c r="AA60" i="1"/>
  <c r="W60" i="1"/>
  <c r="U60" i="1"/>
  <c r="R60" i="1"/>
  <c r="N60" i="1"/>
  <c r="O60" i="1" s="1"/>
  <c r="L60" i="1"/>
  <c r="H60" i="1"/>
  <c r="I60" i="1" s="1"/>
  <c r="F60" i="1"/>
  <c r="C60" i="1"/>
  <c r="AD59" i="1"/>
  <c r="AC59" i="1"/>
  <c r="AA59" i="1"/>
  <c r="W59" i="1"/>
  <c r="U59" i="1"/>
  <c r="R59" i="1"/>
  <c r="N59" i="1"/>
  <c r="O59" i="1" s="1"/>
  <c r="L59" i="1"/>
  <c r="I59" i="1"/>
  <c r="H59" i="1"/>
  <c r="F59" i="1"/>
  <c r="C59" i="1"/>
  <c r="AD58" i="1"/>
  <c r="AC58" i="1"/>
  <c r="AA58" i="1"/>
  <c r="W58" i="1"/>
  <c r="U58" i="1"/>
  <c r="R58" i="1"/>
  <c r="N58" i="1"/>
  <c r="O58" i="1" s="1"/>
  <c r="L58" i="1"/>
  <c r="I58" i="1"/>
  <c r="H58" i="1"/>
  <c r="F58" i="1"/>
  <c r="C58" i="1"/>
  <c r="AC57" i="1"/>
  <c r="AD57" i="1" s="1"/>
  <c r="AA57" i="1"/>
  <c r="W57" i="1"/>
  <c r="X57" i="1" s="1"/>
  <c r="U57" i="1"/>
  <c r="R57" i="1"/>
  <c r="N57" i="1"/>
  <c r="L57" i="1"/>
  <c r="I57" i="1"/>
  <c r="H57" i="1"/>
  <c r="F57" i="1"/>
  <c r="C57" i="1"/>
  <c r="AD56" i="1"/>
  <c r="AC56" i="1"/>
  <c r="AA56" i="1"/>
  <c r="W56" i="1"/>
  <c r="U56" i="1"/>
  <c r="R56" i="1"/>
  <c r="N56" i="1"/>
  <c r="O56" i="1" s="1"/>
  <c r="L56" i="1"/>
  <c r="H56" i="1"/>
  <c r="I56" i="1" s="1"/>
  <c r="F56" i="1"/>
  <c r="C56" i="1"/>
  <c r="AD55" i="1"/>
  <c r="AC55" i="1"/>
  <c r="AA55" i="1"/>
  <c r="W55" i="1"/>
  <c r="U55" i="1"/>
  <c r="R55" i="1"/>
  <c r="N55" i="1"/>
  <c r="O55" i="1" s="1"/>
  <c r="L55" i="1"/>
  <c r="I55" i="1"/>
  <c r="H55" i="1"/>
  <c r="F55" i="1"/>
  <c r="C55" i="1"/>
  <c r="AD54" i="1"/>
  <c r="AC54" i="1"/>
  <c r="AA54" i="1"/>
  <c r="W54" i="1"/>
  <c r="U54" i="1"/>
  <c r="R54" i="1"/>
  <c r="N54" i="1"/>
  <c r="O54" i="1" s="1"/>
  <c r="L54" i="1"/>
  <c r="I54" i="1"/>
  <c r="H54" i="1"/>
  <c r="F54" i="1"/>
  <c r="C54" i="1"/>
  <c r="AC53" i="1"/>
  <c r="AD53" i="1" s="1"/>
  <c r="AA53" i="1"/>
  <c r="W53" i="1"/>
  <c r="X53" i="1" s="1"/>
  <c r="U53" i="1"/>
  <c r="R53" i="1"/>
  <c r="N53" i="1"/>
  <c r="L53" i="1"/>
  <c r="I53" i="1"/>
  <c r="H53" i="1"/>
  <c r="F53" i="1"/>
  <c r="C53" i="1"/>
  <c r="AD52" i="1"/>
  <c r="AC52" i="1"/>
  <c r="AA52" i="1"/>
  <c r="W52" i="1"/>
  <c r="U52" i="1"/>
  <c r="R52" i="1"/>
  <c r="N52" i="1"/>
  <c r="O52" i="1" s="1"/>
  <c r="L52" i="1"/>
  <c r="H52" i="1"/>
  <c r="I52" i="1" s="1"/>
  <c r="F52" i="1"/>
  <c r="C52" i="1"/>
  <c r="AD51" i="1"/>
  <c r="AC51" i="1"/>
  <c r="AA51" i="1"/>
  <c r="W51" i="1"/>
  <c r="U51" i="1"/>
  <c r="R51" i="1"/>
  <c r="N51" i="1"/>
  <c r="O51" i="1" s="1"/>
  <c r="L51" i="1"/>
  <c r="I51" i="1"/>
  <c r="H51" i="1"/>
  <c r="F51" i="1"/>
  <c r="C51" i="1"/>
  <c r="AD50" i="1"/>
  <c r="AC50" i="1"/>
  <c r="AA50" i="1"/>
  <c r="W50" i="1"/>
  <c r="U50" i="1"/>
  <c r="R50" i="1"/>
  <c r="N50" i="1"/>
  <c r="O50" i="1" s="1"/>
  <c r="L50" i="1"/>
  <c r="I50" i="1"/>
  <c r="H50" i="1"/>
  <c r="F50" i="1"/>
  <c r="C50" i="1"/>
  <c r="AC49" i="1"/>
  <c r="AD49" i="1" s="1"/>
  <c r="AA49" i="1"/>
  <c r="W49" i="1"/>
  <c r="X49" i="1" s="1"/>
  <c r="U49" i="1"/>
  <c r="R49" i="1"/>
  <c r="N49" i="1"/>
  <c r="L49" i="1"/>
  <c r="I49" i="1"/>
  <c r="H49" i="1"/>
  <c r="F49" i="1"/>
  <c r="C49" i="1"/>
  <c r="AD48" i="1"/>
  <c r="AC48" i="1"/>
  <c r="AA48" i="1"/>
  <c r="W48" i="1"/>
  <c r="U48" i="1"/>
  <c r="R48" i="1"/>
  <c r="N48" i="1"/>
  <c r="O48" i="1" s="1"/>
  <c r="L48" i="1"/>
  <c r="H48" i="1"/>
  <c r="I48" i="1" s="1"/>
  <c r="F48" i="1"/>
  <c r="C48" i="1"/>
  <c r="AD47" i="1"/>
  <c r="AC47" i="1"/>
  <c r="AA47" i="1"/>
  <c r="W47" i="1"/>
  <c r="U47" i="1"/>
  <c r="R47" i="1"/>
  <c r="N47" i="1"/>
  <c r="O47" i="1" s="1"/>
  <c r="L47" i="1"/>
  <c r="I47" i="1"/>
  <c r="H47" i="1"/>
  <c r="F47" i="1"/>
  <c r="C47" i="1"/>
  <c r="AD46" i="1"/>
  <c r="AC46" i="1"/>
  <c r="AA46" i="1"/>
  <c r="W46" i="1"/>
  <c r="U46" i="1"/>
  <c r="R46" i="1"/>
  <c r="N46" i="1"/>
  <c r="O46" i="1" s="1"/>
  <c r="L46" i="1"/>
  <c r="I46" i="1"/>
  <c r="H46" i="1"/>
  <c r="F46" i="1"/>
  <c r="C46" i="1"/>
  <c r="AC44" i="1"/>
  <c r="AD44" i="1" s="1"/>
  <c r="AA44" i="1"/>
  <c r="W44" i="1"/>
  <c r="X44" i="1" s="1"/>
  <c r="U44" i="1"/>
  <c r="R44" i="1"/>
  <c r="N44" i="1"/>
  <c r="L44" i="1"/>
  <c r="I44" i="1"/>
  <c r="H44" i="1"/>
  <c r="F44" i="1"/>
  <c r="C44" i="1"/>
  <c r="AD43" i="1"/>
  <c r="AC43" i="1"/>
  <c r="AA43" i="1"/>
  <c r="W43" i="1"/>
  <c r="U43" i="1"/>
  <c r="R43" i="1"/>
  <c r="N43" i="1"/>
  <c r="O43" i="1" s="1"/>
  <c r="L43" i="1"/>
  <c r="H43" i="1"/>
  <c r="I43" i="1" s="1"/>
  <c r="F43" i="1"/>
  <c r="C43" i="1"/>
  <c r="AD42" i="1"/>
  <c r="AC42" i="1"/>
  <c r="AA42" i="1"/>
  <c r="W42" i="1"/>
  <c r="U42" i="1"/>
  <c r="R42" i="1"/>
  <c r="N42" i="1"/>
  <c r="O42" i="1" s="1"/>
  <c r="L42" i="1"/>
  <c r="I42" i="1"/>
  <c r="H42" i="1"/>
  <c r="F42" i="1"/>
  <c r="C42" i="1"/>
  <c r="AA40" i="1"/>
  <c r="Z40" i="1"/>
  <c r="T40" i="1"/>
  <c r="U40" i="1" s="1"/>
  <c r="Q40" i="1"/>
  <c r="W40" i="1" s="1"/>
  <c r="X40" i="1" s="1"/>
  <c r="L40" i="1"/>
  <c r="K40" i="1"/>
  <c r="E40" i="1"/>
  <c r="F40" i="1" s="1"/>
  <c r="C40" i="1"/>
  <c r="B40" i="1"/>
  <c r="AD39" i="1"/>
  <c r="AC39" i="1"/>
  <c r="AA39" i="1"/>
  <c r="W39" i="1"/>
  <c r="U39" i="1"/>
  <c r="R39" i="1"/>
  <c r="N39" i="1"/>
  <c r="O39" i="1" s="1"/>
  <c r="L39" i="1"/>
  <c r="H39" i="1"/>
  <c r="I39" i="1" s="1"/>
  <c r="F39" i="1"/>
  <c r="C39" i="1"/>
  <c r="AD38" i="1"/>
  <c r="AC38" i="1"/>
  <c r="AA38" i="1"/>
  <c r="W38" i="1"/>
  <c r="U38" i="1"/>
  <c r="R38" i="1"/>
  <c r="O38" i="1"/>
  <c r="N38" i="1"/>
  <c r="L38" i="1"/>
  <c r="I38" i="1"/>
  <c r="H38" i="1"/>
  <c r="F38" i="1"/>
  <c r="C38" i="1"/>
  <c r="AD37" i="1"/>
  <c r="AC37" i="1"/>
  <c r="AA37" i="1"/>
  <c r="W37" i="1"/>
  <c r="U37" i="1"/>
  <c r="R37" i="1"/>
  <c r="N37" i="1"/>
  <c r="O37" i="1" s="1"/>
  <c r="L37" i="1"/>
  <c r="I37" i="1"/>
  <c r="H37" i="1"/>
  <c r="F37" i="1"/>
  <c r="C37" i="1"/>
  <c r="AC36" i="1"/>
  <c r="AD36" i="1" s="1"/>
  <c r="AA36" i="1"/>
  <c r="W36" i="1"/>
  <c r="X36" i="1" s="1"/>
  <c r="U36" i="1"/>
  <c r="R36" i="1"/>
  <c r="N36" i="1"/>
  <c r="L36" i="1"/>
  <c r="H36" i="1"/>
  <c r="I36" i="1" s="1"/>
  <c r="F36" i="1"/>
  <c r="C36" i="1"/>
  <c r="AD35" i="1"/>
  <c r="AC35" i="1"/>
  <c r="AA35" i="1"/>
  <c r="W35" i="1"/>
  <c r="U35" i="1"/>
  <c r="R35" i="1"/>
  <c r="N35" i="1"/>
  <c r="O35" i="1" s="1"/>
  <c r="L35" i="1"/>
  <c r="H35" i="1"/>
  <c r="I35" i="1" s="1"/>
  <c r="F35" i="1"/>
  <c r="C35" i="1"/>
  <c r="AD34" i="1"/>
  <c r="AC34" i="1"/>
  <c r="AA34" i="1"/>
  <c r="W34" i="1"/>
  <c r="U34" i="1"/>
  <c r="R34" i="1"/>
  <c r="O34" i="1"/>
  <c r="N34" i="1"/>
  <c r="L34" i="1"/>
  <c r="I34" i="1"/>
  <c r="H34" i="1"/>
  <c r="F34" i="1"/>
  <c r="C34" i="1"/>
  <c r="AD33" i="1"/>
  <c r="AC33" i="1"/>
  <c r="AA33" i="1"/>
  <c r="W33" i="1"/>
  <c r="U33" i="1"/>
  <c r="R33" i="1"/>
  <c r="N33" i="1"/>
  <c r="O33" i="1" s="1"/>
  <c r="L33" i="1"/>
  <c r="I33" i="1"/>
  <c r="H33" i="1"/>
  <c r="F33" i="1"/>
  <c r="C33" i="1"/>
  <c r="AC32" i="1"/>
  <c r="AD32" i="1" s="1"/>
  <c r="AA32" i="1"/>
  <c r="W32" i="1"/>
  <c r="X32" i="1" s="1"/>
  <c r="U32" i="1"/>
  <c r="R32" i="1"/>
  <c r="N32" i="1"/>
  <c r="L32" i="1"/>
  <c r="H32" i="1"/>
  <c r="I32" i="1" s="1"/>
  <c r="F32" i="1"/>
  <c r="C32" i="1"/>
  <c r="AD31" i="1"/>
  <c r="AC31" i="1"/>
  <c r="AA31" i="1"/>
  <c r="W31" i="1"/>
  <c r="U31" i="1"/>
  <c r="R31" i="1"/>
  <c r="N31" i="1"/>
  <c r="O31" i="1" s="1"/>
  <c r="L31" i="1"/>
  <c r="H31" i="1"/>
  <c r="I31" i="1" s="1"/>
  <c r="F31" i="1"/>
  <c r="C31" i="1"/>
  <c r="AA29" i="1"/>
  <c r="Z29" i="1"/>
  <c r="T29" i="1"/>
  <c r="U29" i="1" s="1"/>
  <c r="R29" i="1"/>
  <c r="Q29" i="1"/>
  <c r="K29" i="1"/>
  <c r="L29" i="1" s="1"/>
  <c r="H29" i="1"/>
  <c r="I29" i="1" s="1"/>
  <c r="F29" i="1"/>
  <c r="E29" i="1"/>
  <c r="C29" i="1"/>
  <c r="B29" i="1"/>
  <c r="N29" i="1" s="1"/>
  <c r="O29" i="1" s="1"/>
  <c r="AC28" i="1"/>
  <c r="AD28" i="1" s="1"/>
  <c r="AA28" i="1"/>
  <c r="W28" i="1"/>
  <c r="X28" i="1" s="1"/>
  <c r="U28" i="1"/>
  <c r="R28" i="1"/>
  <c r="N28" i="1"/>
  <c r="L28" i="1"/>
  <c r="H28" i="1"/>
  <c r="I28" i="1" s="1"/>
  <c r="F28" i="1"/>
  <c r="C28" i="1"/>
  <c r="AD27" i="1"/>
  <c r="AC27" i="1"/>
  <c r="AA27" i="1"/>
  <c r="W27" i="1"/>
  <c r="U27" i="1"/>
  <c r="R27" i="1"/>
  <c r="N27" i="1"/>
  <c r="O27" i="1" s="1"/>
  <c r="L27" i="1"/>
  <c r="H27" i="1"/>
  <c r="I27" i="1" s="1"/>
  <c r="F27" i="1"/>
  <c r="C27" i="1"/>
  <c r="AD26" i="1"/>
  <c r="AC26" i="1"/>
  <c r="AA26" i="1"/>
  <c r="W26" i="1"/>
  <c r="U26" i="1"/>
  <c r="R26" i="1"/>
  <c r="N26" i="1"/>
  <c r="O26" i="1" s="1"/>
  <c r="L26" i="1"/>
  <c r="I26" i="1"/>
  <c r="H26" i="1"/>
  <c r="F26" i="1"/>
  <c r="C26" i="1"/>
  <c r="AC25" i="1"/>
  <c r="AD25" i="1" s="1"/>
  <c r="AA25" i="1"/>
  <c r="W25" i="1"/>
  <c r="U25" i="1"/>
  <c r="R25" i="1"/>
  <c r="N25" i="1"/>
  <c r="O25" i="1" s="1"/>
  <c r="L25" i="1"/>
  <c r="I25" i="1"/>
  <c r="H25" i="1"/>
  <c r="F25" i="1"/>
  <c r="C25" i="1"/>
  <c r="AC24" i="1"/>
  <c r="AD24" i="1" s="1"/>
  <c r="AA24" i="1"/>
  <c r="W24" i="1"/>
  <c r="X24" i="1" s="1"/>
  <c r="U24" i="1"/>
  <c r="R24" i="1"/>
  <c r="N24" i="1"/>
  <c r="L24" i="1"/>
  <c r="H24" i="1"/>
  <c r="I24" i="1" s="1"/>
  <c r="F24" i="1"/>
  <c r="C24" i="1"/>
  <c r="AD23" i="1"/>
  <c r="AC23" i="1"/>
  <c r="AA23" i="1"/>
  <c r="W23" i="1"/>
  <c r="U23" i="1"/>
  <c r="R23" i="1"/>
  <c r="N23" i="1"/>
  <c r="O23" i="1" s="1"/>
  <c r="L23" i="1"/>
  <c r="H23" i="1"/>
  <c r="I23" i="1" s="1"/>
  <c r="F23" i="1"/>
  <c r="C23" i="1"/>
  <c r="AD22" i="1"/>
  <c r="AC22" i="1"/>
  <c r="AA22" i="1"/>
  <c r="W22" i="1"/>
  <c r="U22" i="1"/>
  <c r="R22" i="1"/>
  <c r="N22" i="1"/>
  <c r="O22" i="1" s="1"/>
  <c r="L22" i="1"/>
  <c r="I22" i="1"/>
  <c r="H22" i="1"/>
  <c r="F22" i="1"/>
  <c r="C22" i="1"/>
  <c r="AC21" i="1"/>
  <c r="AD21" i="1" s="1"/>
  <c r="AA21" i="1"/>
  <c r="W21" i="1"/>
  <c r="U21" i="1"/>
  <c r="R21" i="1"/>
  <c r="N21" i="1"/>
  <c r="O21" i="1" s="1"/>
  <c r="L21" i="1"/>
  <c r="I21" i="1"/>
  <c r="H21" i="1"/>
  <c r="F21" i="1"/>
  <c r="C21" i="1"/>
  <c r="AC19" i="1"/>
  <c r="AD19" i="1" s="1"/>
  <c r="AA19" i="1"/>
  <c r="W19" i="1"/>
  <c r="X19" i="1" s="1"/>
  <c r="U19" i="1"/>
  <c r="R19" i="1"/>
  <c r="N19" i="1"/>
  <c r="L19" i="1"/>
  <c r="H19" i="1"/>
  <c r="I19" i="1" s="1"/>
  <c r="F19" i="1"/>
  <c r="C19" i="1"/>
  <c r="Z18" i="1"/>
  <c r="AA18" i="1" s="1"/>
  <c r="X18" i="1"/>
  <c r="W18" i="1"/>
  <c r="U18" i="1"/>
  <c r="T18" i="1"/>
  <c r="R18" i="1"/>
  <c r="Q18" i="1"/>
  <c r="AC18" i="1" s="1"/>
  <c r="AD18" i="1" s="1"/>
  <c r="K18" i="1"/>
  <c r="L18" i="1" s="1"/>
  <c r="I18" i="1"/>
  <c r="H18" i="1"/>
  <c r="F18" i="1"/>
  <c r="E18" i="1"/>
  <c r="B18" i="1"/>
  <c r="C18" i="1" s="1"/>
  <c r="AD17" i="1"/>
  <c r="AC17" i="1"/>
  <c r="AA17" i="1"/>
  <c r="W17" i="1"/>
  <c r="X17" i="1" s="1"/>
  <c r="U17" i="1"/>
  <c r="R17" i="1"/>
  <c r="N17" i="1"/>
  <c r="O17" i="1" s="1"/>
  <c r="L17" i="1"/>
  <c r="I17" i="1"/>
  <c r="H17" i="1"/>
  <c r="F17" i="1"/>
  <c r="C17" i="1"/>
  <c r="AC16" i="1"/>
  <c r="AD16" i="1" s="1"/>
  <c r="AA16" i="1"/>
  <c r="W16" i="1"/>
  <c r="X16" i="1" s="1"/>
  <c r="U16" i="1"/>
  <c r="R16" i="1"/>
  <c r="N16" i="1"/>
  <c r="L16" i="1"/>
  <c r="I16" i="1"/>
  <c r="H16" i="1"/>
  <c r="F16" i="1"/>
  <c r="C16" i="1"/>
  <c r="AD15" i="1"/>
  <c r="AC15" i="1"/>
  <c r="AA15" i="1"/>
  <c r="W15" i="1"/>
  <c r="X15" i="1" s="1"/>
  <c r="U15" i="1"/>
  <c r="R15" i="1"/>
  <c r="N15" i="1"/>
  <c r="O15" i="1" s="1"/>
  <c r="L15" i="1"/>
  <c r="H15" i="1"/>
  <c r="I15" i="1" s="1"/>
  <c r="F15" i="1"/>
  <c r="C15" i="1"/>
  <c r="AD14" i="1"/>
  <c r="AC14" i="1"/>
  <c r="AA14" i="1"/>
  <c r="W14" i="1"/>
  <c r="U14" i="1"/>
  <c r="R14" i="1"/>
  <c r="N14" i="1"/>
  <c r="O14" i="1" s="1"/>
  <c r="L14" i="1"/>
  <c r="I14" i="1"/>
  <c r="H14" i="1"/>
  <c r="F14" i="1"/>
  <c r="C14" i="1"/>
  <c r="AD13" i="1"/>
  <c r="AC13" i="1"/>
  <c r="AA13" i="1"/>
  <c r="W13" i="1"/>
  <c r="X13" i="1" s="1"/>
  <c r="U13" i="1"/>
  <c r="R13" i="1"/>
  <c r="N13" i="1"/>
  <c r="O13" i="1" s="1"/>
  <c r="L13" i="1"/>
  <c r="I13" i="1"/>
  <c r="H13" i="1"/>
  <c r="F13" i="1"/>
  <c r="C13" i="1"/>
  <c r="AC12" i="1"/>
  <c r="AD12" i="1" s="1"/>
  <c r="AA12" i="1"/>
  <c r="W12" i="1"/>
  <c r="X12" i="1" s="1"/>
  <c r="U12" i="1"/>
  <c r="R12" i="1"/>
  <c r="N12" i="1"/>
  <c r="L12" i="1"/>
  <c r="I12" i="1"/>
  <c r="H12" i="1"/>
  <c r="F12" i="1"/>
  <c r="C12" i="1"/>
  <c r="AD11" i="1"/>
  <c r="AC11" i="1"/>
  <c r="AA11" i="1"/>
  <c r="W11" i="1"/>
  <c r="X11" i="1" s="1"/>
  <c r="U11" i="1"/>
  <c r="R11" i="1"/>
  <c r="N11" i="1"/>
  <c r="O11" i="1" s="1"/>
  <c r="L11" i="1"/>
  <c r="H11" i="1"/>
  <c r="I11" i="1" s="1"/>
  <c r="F11" i="1"/>
  <c r="C11" i="1"/>
  <c r="AD10" i="1"/>
  <c r="AC10" i="1"/>
  <c r="AA10" i="1"/>
  <c r="W10" i="1"/>
  <c r="U10" i="1"/>
  <c r="R10" i="1"/>
  <c r="N10" i="1"/>
  <c r="O10" i="1" s="1"/>
  <c r="L10" i="1"/>
  <c r="I10" i="1"/>
  <c r="H10" i="1"/>
  <c r="F10" i="1"/>
  <c r="C10" i="1"/>
  <c r="AD8" i="1"/>
  <c r="AC8" i="1"/>
  <c r="AA8" i="1"/>
  <c r="W8" i="1"/>
  <c r="X8" i="1" s="1"/>
  <c r="U8" i="1"/>
  <c r="R8" i="1"/>
  <c r="N8" i="1"/>
  <c r="O8" i="1" s="1"/>
  <c r="L8" i="1"/>
  <c r="I8" i="1"/>
  <c r="H8" i="1"/>
  <c r="F8" i="1"/>
  <c r="C8" i="1"/>
  <c r="L198" i="1" l="1"/>
  <c r="K345" i="1"/>
  <c r="H429" i="1"/>
  <c r="I429" i="1" s="1"/>
  <c r="C429" i="1"/>
  <c r="K345" i="2"/>
  <c r="L198" i="2"/>
  <c r="R368" i="2"/>
  <c r="W368" i="2"/>
  <c r="X368" i="2" s="1"/>
  <c r="AC368" i="2"/>
  <c r="AD368" i="2" s="1"/>
  <c r="H40" i="1"/>
  <c r="I40" i="1" s="1"/>
  <c r="R40" i="1"/>
  <c r="AC88" i="1"/>
  <c r="AD88" i="1" s="1"/>
  <c r="X148" i="1"/>
  <c r="X153" i="1"/>
  <c r="X155" i="1"/>
  <c r="X157" i="1"/>
  <c r="C170" i="1"/>
  <c r="H218" i="1"/>
  <c r="I218" i="1" s="1"/>
  <c r="X220" i="1"/>
  <c r="X230" i="1"/>
  <c r="X236" i="1"/>
  <c r="X243" i="1"/>
  <c r="X259" i="1"/>
  <c r="X308" i="1"/>
  <c r="X330" i="1"/>
  <c r="H344" i="1"/>
  <c r="I344" i="1" s="1"/>
  <c r="U345" i="1"/>
  <c r="X382" i="1"/>
  <c r="H393" i="1"/>
  <c r="I393" i="1" s="1"/>
  <c r="X395" i="1"/>
  <c r="X416" i="1"/>
  <c r="X436" i="1"/>
  <c r="X65" i="1"/>
  <c r="X67" i="1"/>
  <c r="X69" i="1"/>
  <c r="X71" i="1"/>
  <c r="W73" i="1"/>
  <c r="X73" i="1" s="1"/>
  <c r="N172" i="1"/>
  <c r="O172" i="1" s="1"/>
  <c r="C182" i="1"/>
  <c r="X193" i="1"/>
  <c r="X241" i="1"/>
  <c r="X257" i="1"/>
  <c r="W262" i="1"/>
  <c r="X262" i="1" s="1"/>
  <c r="R262" i="1"/>
  <c r="X263" i="1"/>
  <c r="X272" i="1"/>
  <c r="X306" i="1"/>
  <c r="X322" i="1"/>
  <c r="H324" i="1"/>
  <c r="I324" i="1" s="1"/>
  <c r="C324" i="1"/>
  <c r="X328" i="1"/>
  <c r="X380" i="1"/>
  <c r="X414" i="1"/>
  <c r="W428" i="1"/>
  <c r="X428" i="1" s="1"/>
  <c r="X434" i="1"/>
  <c r="O439" i="1"/>
  <c r="O435" i="1"/>
  <c r="O427" i="1"/>
  <c r="O423" i="1"/>
  <c r="O419" i="1"/>
  <c r="O415" i="1"/>
  <c r="O411" i="1"/>
  <c r="O407" i="1"/>
  <c r="O399" i="1"/>
  <c r="O389" i="1"/>
  <c r="O383" i="1"/>
  <c r="O379" i="1"/>
  <c r="O375" i="1"/>
  <c r="O371" i="1"/>
  <c r="O364" i="1"/>
  <c r="O360" i="1"/>
  <c r="O356" i="1"/>
  <c r="O352" i="1"/>
  <c r="O347" i="1"/>
  <c r="O338" i="1"/>
  <c r="O333" i="1"/>
  <c r="O329" i="1"/>
  <c r="O321" i="1"/>
  <c r="O317" i="1"/>
  <c r="O313" i="1"/>
  <c r="O309" i="1"/>
  <c r="O305" i="1"/>
  <c r="O301" i="1"/>
  <c r="O297" i="1"/>
  <c r="O293" i="1"/>
  <c r="O289" i="1"/>
  <c r="O281" i="1"/>
  <c r="O277" i="1"/>
  <c r="O269" i="1"/>
  <c r="O265" i="1"/>
  <c r="O258" i="1"/>
  <c r="O254" i="1"/>
  <c r="O250" i="1"/>
  <c r="O246" i="1"/>
  <c r="O242" i="1"/>
  <c r="O233" i="1"/>
  <c r="O229" i="1"/>
  <c r="O225" i="1"/>
  <c r="O221" i="1"/>
  <c r="O214" i="1"/>
  <c r="O205" i="1"/>
  <c r="O201" i="1"/>
  <c r="O194" i="1"/>
  <c r="O191" i="1"/>
  <c r="O187" i="1"/>
  <c r="O179" i="1"/>
  <c r="O167" i="1"/>
  <c r="O164" i="1"/>
  <c r="O160" i="1"/>
  <c r="O156" i="1"/>
  <c r="O151" i="1"/>
  <c r="O144" i="1"/>
  <c r="O140" i="1"/>
  <c r="O136" i="1"/>
  <c r="O132" i="1"/>
  <c r="O127" i="1"/>
  <c r="O119" i="1"/>
  <c r="O116" i="1"/>
  <c r="O112" i="1"/>
  <c r="O108" i="1"/>
  <c r="O104" i="1"/>
  <c r="O100" i="1"/>
  <c r="O96" i="1"/>
  <c r="O91" i="1"/>
  <c r="O84" i="1"/>
  <c r="O80" i="1"/>
  <c r="O76" i="1"/>
  <c r="O72" i="1"/>
  <c r="O68" i="1"/>
  <c r="O64" i="1"/>
  <c r="O57" i="1"/>
  <c r="O53" i="1"/>
  <c r="O49" i="1"/>
  <c r="O44" i="1"/>
  <c r="O36" i="1"/>
  <c r="O32" i="1"/>
  <c r="O28" i="1"/>
  <c r="O24" i="1"/>
  <c r="O19" i="1"/>
  <c r="O16" i="1"/>
  <c r="O12" i="1"/>
  <c r="X437" i="1"/>
  <c r="X433" i="1"/>
  <c r="X425" i="1"/>
  <c r="X421" i="1"/>
  <c r="X417" i="1"/>
  <c r="X413" i="1"/>
  <c r="X409" i="1"/>
  <c r="X401" i="1"/>
  <c r="X397" i="1"/>
  <c r="X394" i="1"/>
  <c r="X391" i="1"/>
  <c r="X386" i="1"/>
  <c r="X381" i="1"/>
  <c r="X377" i="1"/>
  <c r="X373" i="1"/>
  <c r="X369" i="1"/>
  <c r="X366" i="1"/>
  <c r="X362" i="1"/>
  <c r="X354" i="1"/>
  <c r="X350" i="1"/>
  <c r="X340" i="1"/>
  <c r="X335" i="1"/>
  <c r="X331" i="1"/>
  <c r="X323" i="1"/>
  <c r="X319" i="1"/>
  <c r="X315" i="1"/>
  <c r="X311" i="1"/>
  <c r="X307" i="1"/>
  <c r="X303" i="1"/>
  <c r="X299" i="1"/>
  <c r="X291" i="1"/>
  <c r="X287" i="1"/>
  <c r="X283" i="1"/>
  <c r="X279" i="1"/>
  <c r="X275" i="1"/>
  <c r="X271" i="1"/>
  <c r="X260" i="1"/>
  <c r="X256" i="1"/>
  <c r="X252" i="1"/>
  <c r="X248" i="1"/>
  <c r="X244" i="1"/>
  <c r="X240" i="1"/>
  <c r="X235" i="1"/>
  <c r="X231" i="1"/>
  <c r="X223" i="1"/>
  <c r="X219" i="1"/>
  <c r="X216" i="1"/>
  <c r="X211" i="1"/>
  <c r="X207" i="1"/>
  <c r="X203" i="1"/>
  <c r="X189" i="1"/>
  <c r="X184" i="1"/>
  <c r="X181" i="1"/>
  <c r="X177" i="1"/>
  <c r="X169" i="1"/>
  <c r="X162" i="1"/>
  <c r="X154" i="1"/>
  <c r="X146" i="1"/>
  <c r="X138" i="1"/>
  <c r="X134" i="1"/>
  <c r="X130" i="1"/>
  <c r="X121" i="1"/>
  <c r="X114" i="1"/>
  <c r="X110" i="1"/>
  <c r="X106" i="1"/>
  <c r="X102" i="1"/>
  <c r="X98" i="1"/>
  <c r="X94" i="1"/>
  <c r="X89" i="1"/>
  <c r="X86" i="1"/>
  <c r="X82" i="1"/>
  <c r="X78" i="1"/>
  <c r="X70" i="1"/>
  <c r="X66" i="1"/>
  <c r="X59" i="1"/>
  <c r="X55" i="1"/>
  <c r="X51" i="1"/>
  <c r="X47" i="1"/>
  <c r="X42" i="1"/>
  <c r="X38" i="1"/>
  <c r="X34" i="1"/>
  <c r="X26" i="1"/>
  <c r="X22" i="1"/>
  <c r="X14" i="1"/>
  <c r="X10" i="1"/>
  <c r="N428" i="2"/>
  <c r="O428" i="2" s="1"/>
  <c r="L428" i="2"/>
  <c r="H18" i="2"/>
  <c r="I18" i="2" s="1"/>
  <c r="C18" i="2"/>
  <c r="H284" i="1"/>
  <c r="I284" i="1" s="1"/>
  <c r="C284" i="1"/>
  <c r="W396" i="1"/>
  <c r="X396" i="1" s="1"/>
  <c r="R396" i="1"/>
  <c r="X43" i="1"/>
  <c r="X46" i="1"/>
  <c r="X48" i="1"/>
  <c r="X50" i="1"/>
  <c r="X52" i="1"/>
  <c r="X54" i="1"/>
  <c r="X56" i="1"/>
  <c r="X58" i="1"/>
  <c r="X60" i="1"/>
  <c r="R88" i="1"/>
  <c r="X170" i="1"/>
  <c r="U172" i="1"/>
  <c r="X341" i="1"/>
  <c r="X355" i="1"/>
  <c r="X410" i="1"/>
  <c r="H182" i="2"/>
  <c r="I182" i="2" s="1"/>
  <c r="N182" i="2"/>
  <c r="O182" i="2" s="1"/>
  <c r="C182" i="2"/>
  <c r="AA263" i="2"/>
  <c r="AC263" i="2"/>
  <c r="AD263" i="2" s="1"/>
  <c r="X31" i="1"/>
  <c r="X33" i="1"/>
  <c r="X35" i="1"/>
  <c r="X39" i="1"/>
  <c r="N122" i="1"/>
  <c r="O122" i="1" s="1"/>
  <c r="X129" i="1"/>
  <c r="X131" i="1"/>
  <c r="X133" i="1"/>
  <c r="X135" i="1"/>
  <c r="X137" i="1"/>
  <c r="X139" i="1"/>
  <c r="X141" i="1"/>
  <c r="X182" i="1"/>
  <c r="X192" i="1"/>
  <c r="X196" i="1"/>
  <c r="X204" i="1"/>
  <c r="W209" i="1"/>
  <c r="X209" i="1" s="1"/>
  <c r="R209" i="1"/>
  <c r="X217" i="1"/>
  <c r="X251" i="1"/>
  <c r="X267" i="1"/>
  <c r="X278" i="1"/>
  <c r="X284" i="1"/>
  <c r="X290" i="1"/>
  <c r="X300" i="1"/>
  <c r="X316" i="1"/>
  <c r="X325" i="1"/>
  <c r="X339" i="1"/>
  <c r="X353" i="1"/>
  <c r="X363" i="1"/>
  <c r="W368" i="1"/>
  <c r="X368" i="1" s="1"/>
  <c r="R368" i="1"/>
  <c r="X374" i="1"/>
  <c r="X392" i="1"/>
  <c r="X398" i="1"/>
  <c r="W403" i="1"/>
  <c r="X403" i="1" s="1"/>
  <c r="R403" i="1"/>
  <c r="X408" i="1"/>
  <c r="X424" i="1"/>
  <c r="N429" i="1"/>
  <c r="O429" i="1" s="1"/>
  <c r="W209" i="2"/>
  <c r="X209" i="2" s="1"/>
  <c r="AC209" i="2"/>
  <c r="AD209" i="2" s="1"/>
  <c r="R209" i="2"/>
  <c r="N236" i="2"/>
  <c r="O236" i="2" s="1"/>
  <c r="C236" i="2"/>
  <c r="H236" i="2"/>
  <c r="I236" i="2" s="1"/>
  <c r="W273" i="1"/>
  <c r="X273" i="1" s="1"/>
  <c r="R273" i="1"/>
  <c r="X280" i="1"/>
  <c r="X324" i="1"/>
  <c r="X365" i="1"/>
  <c r="X400" i="1"/>
  <c r="W442" i="1"/>
  <c r="X442" i="1" s="1"/>
  <c r="R442" i="1"/>
  <c r="X37" i="1"/>
  <c r="AC61" i="1"/>
  <c r="AD61" i="1" s="1"/>
  <c r="AC40" i="1"/>
  <c r="AD40" i="1" s="1"/>
  <c r="X120" i="1"/>
  <c r="X123" i="1"/>
  <c r="N170" i="1"/>
  <c r="O170" i="1" s="1"/>
  <c r="H172" i="1"/>
  <c r="I172" i="1" s="1"/>
  <c r="B198" i="1"/>
  <c r="AA198" i="1"/>
  <c r="Z345" i="1"/>
  <c r="X190" i="1"/>
  <c r="W197" i="1"/>
  <c r="X197" i="1" s="1"/>
  <c r="R197" i="1"/>
  <c r="X202" i="1"/>
  <c r="X215" i="1"/>
  <c r="X226" i="1"/>
  <c r="X249" i="1"/>
  <c r="H273" i="1"/>
  <c r="I273" i="1" s="1"/>
  <c r="X276" i="1"/>
  <c r="X288" i="1"/>
  <c r="X298" i="1"/>
  <c r="X314" i="1"/>
  <c r="X337" i="1"/>
  <c r="W342" i="1"/>
  <c r="X342" i="1" s="1"/>
  <c r="R342" i="1"/>
  <c r="X343" i="1"/>
  <c r="X351" i="1"/>
  <c r="X361" i="1"/>
  <c r="X372" i="1"/>
  <c r="X390" i="1"/>
  <c r="O416" i="1"/>
  <c r="X422" i="1"/>
  <c r="O436" i="1"/>
  <c r="H442" i="1"/>
  <c r="I442" i="1" s="1"/>
  <c r="H263" i="2"/>
  <c r="I263" i="2" s="1"/>
  <c r="N263" i="2"/>
  <c r="O263" i="2" s="1"/>
  <c r="C263" i="2"/>
  <c r="E198" i="1"/>
  <c r="F172" i="1"/>
  <c r="X206" i="1"/>
  <c r="X253" i="1"/>
  <c r="X292" i="1"/>
  <c r="X302" i="1"/>
  <c r="X318" i="1"/>
  <c r="X376" i="1"/>
  <c r="X426" i="1"/>
  <c r="X21" i="1"/>
  <c r="X23" i="1"/>
  <c r="X25" i="1"/>
  <c r="X27" i="1"/>
  <c r="W29" i="1"/>
  <c r="X29" i="1" s="1"/>
  <c r="X64" i="1"/>
  <c r="X68" i="1"/>
  <c r="X72" i="1"/>
  <c r="X90" i="1"/>
  <c r="X92" i="1"/>
  <c r="X95" i="1"/>
  <c r="X97" i="1"/>
  <c r="X99" i="1"/>
  <c r="X101" i="1"/>
  <c r="X103" i="1"/>
  <c r="X105" i="1"/>
  <c r="X107" i="1"/>
  <c r="X109" i="1"/>
  <c r="X111" i="1"/>
  <c r="X113" i="1"/>
  <c r="X115" i="1"/>
  <c r="X117" i="1"/>
  <c r="X118" i="1"/>
  <c r="H148" i="1"/>
  <c r="I148" i="1" s="1"/>
  <c r="X168" i="1"/>
  <c r="W171" i="1"/>
  <c r="X171" i="1" s="1"/>
  <c r="N182" i="1"/>
  <c r="O182" i="1" s="1"/>
  <c r="X188" i="1"/>
  <c r="H209" i="1"/>
  <c r="I209" i="1" s="1"/>
  <c r="X213" i="1"/>
  <c r="W218" i="1"/>
  <c r="X218" i="1" s="1"/>
  <c r="R218" i="1"/>
  <c r="X224" i="1"/>
  <c r="X234" i="1"/>
  <c r="H236" i="1"/>
  <c r="I236" i="1" s="1"/>
  <c r="C236" i="1"/>
  <c r="X247" i="1"/>
  <c r="AC262" i="1"/>
  <c r="AD262" i="1" s="1"/>
  <c r="X286" i="1"/>
  <c r="X305" i="1"/>
  <c r="X312" i="1"/>
  <c r="X321" i="1"/>
  <c r="N324" i="1"/>
  <c r="O324" i="1" s="1"/>
  <c r="X334" i="1"/>
  <c r="W344" i="1"/>
  <c r="X344" i="1" s="1"/>
  <c r="R344" i="1"/>
  <c r="X349" i="1"/>
  <c r="H368" i="1"/>
  <c r="I368" i="1" s="1"/>
  <c r="X370" i="1"/>
  <c r="X379" i="1"/>
  <c r="X388" i="1"/>
  <c r="W393" i="1"/>
  <c r="X393" i="1" s="1"/>
  <c r="R393" i="1"/>
  <c r="H403" i="1"/>
  <c r="I403" i="1" s="1"/>
  <c r="U404" i="1"/>
  <c r="X420" i="1"/>
  <c r="O434" i="1"/>
  <c r="X440" i="1"/>
  <c r="AC29" i="1"/>
  <c r="AD29" i="1" s="1"/>
  <c r="N40" i="1"/>
  <c r="O40" i="1" s="1"/>
  <c r="N61" i="1"/>
  <c r="O61" i="1" s="1"/>
  <c r="AC73" i="1"/>
  <c r="AD73" i="1" s="1"/>
  <c r="N88" i="1"/>
  <c r="O88" i="1" s="1"/>
  <c r="AC141" i="1"/>
  <c r="AD141" i="1" s="1"/>
  <c r="N148" i="1"/>
  <c r="O148" i="1" s="1"/>
  <c r="AC171" i="1"/>
  <c r="AD171" i="1" s="1"/>
  <c r="N197" i="1"/>
  <c r="O197" i="1" s="1"/>
  <c r="N209" i="1"/>
  <c r="O209" i="1" s="1"/>
  <c r="N218" i="1"/>
  <c r="O218" i="1" s="1"/>
  <c r="N262" i="1"/>
  <c r="O262" i="1" s="1"/>
  <c r="N273" i="1"/>
  <c r="O273" i="1" s="1"/>
  <c r="AC325" i="1"/>
  <c r="AD325" i="1" s="1"/>
  <c r="N342" i="1"/>
  <c r="O342" i="1" s="1"/>
  <c r="N344" i="1"/>
  <c r="O344" i="1" s="1"/>
  <c r="N368" i="1"/>
  <c r="O368" i="1" s="1"/>
  <c r="N393" i="1"/>
  <c r="O393" i="1" s="1"/>
  <c r="N396" i="1"/>
  <c r="O396" i="1" s="1"/>
  <c r="N403" i="1"/>
  <c r="O403" i="1" s="1"/>
  <c r="AC428" i="1"/>
  <c r="AD428" i="1" s="1"/>
  <c r="N442" i="1"/>
  <c r="O442" i="1" s="1"/>
  <c r="H40" i="2"/>
  <c r="I40" i="2" s="1"/>
  <c r="W73" i="2"/>
  <c r="X73" i="2" s="1"/>
  <c r="AC148" i="2"/>
  <c r="AD148" i="2" s="1"/>
  <c r="N170" i="2"/>
  <c r="O170" i="2" s="1"/>
  <c r="U172" i="2"/>
  <c r="N193" i="2"/>
  <c r="O193" i="2" s="1"/>
  <c r="U198" i="2"/>
  <c r="H209" i="2"/>
  <c r="I209" i="2" s="1"/>
  <c r="H295" i="2"/>
  <c r="I295" i="2" s="1"/>
  <c r="C295" i="2"/>
  <c r="N295" i="2"/>
  <c r="O295" i="2" s="1"/>
  <c r="AC197" i="2"/>
  <c r="AD197" i="2" s="1"/>
  <c r="AC218" i="2"/>
  <c r="AD218" i="2" s="1"/>
  <c r="W262" i="2"/>
  <c r="X262" i="2" s="1"/>
  <c r="N343" i="2"/>
  <c r="O343" i="2" s="1"/>
  <c r="C343" i="2"/>
  <c r="H368" i="2"/>
  <c r="I368" i="2" s="1"/>
  <c r="C368" i="2"/>
  <c r="E198" i="2"/>
  <c r="F172" i="2"/>
  <c r="T404" i="2"/>
  <c r="U345" i="2"/>
  <c r="R148" i="2"/>
  <c r="C170" i="2"/>
  <c r="H172" i="2"/>
  <c r="I172" i="2" s="1"/>
  <c r="B198" i="2"/>
  <c r="AC295" i="2"/>
  <c r="AD295" i="2" s="1"/>
  <c r="Z345" i="2"/>
  <c r="C172" i="2"/>
  <c r="R197" i="2"/>
  <c r="R218" i="2"/>
  <c r="N262" i="2"/>
  <c r="O262" i="2" s="1"/>
  <c r="C262" i="2"/>
  <c r="W284" i="2"/>
  <c r="X284" i="2" s="1"/>
  <c r="R284" i="2"/>
  <c r="AC284" i="2"/>
  <c r="AD284" i="2" s="1"/>
  <c r="H343" i="2"/>
  <c r="I343" i="2" s="1"/>
  <c r="L358" i="2"/>
  <c r="N358" i="2"/>
  <c r="O358" i="2" s="1"/>
  <c r="R396" i="2"/>
  <c r="W396" i="2"/>
  <c r="X396" i="2" s="1"/>
  <c r="AC396" i="2"/>
  <c r="AD396" i="2" s="1"/>
  <c r="N62" i="1"/>
  <c r="O62" i="1" s="1"/>
  <c r="N118" i="1"/>
  <c r="O118" i="1" s="1"/>
  <c r="AC122" i="1"/>
  <c r="AD122" i="1" s="1"/>
  <c r="N124" i="1"/>
  <c r="O124" i="1" s="1"/>
  <c r="N149" i="1"/>
  <c r="O149" i="1" s="1"/>
  <c r="N158" i="1"/>
  <c r="O158" i="1" s="1"/>
  <c r="N166" i="1"/>
  <c r="O166" i="1" s="1"/>
  <c r="AC170" i="1"/>
  <c r="AD170" i="1" s="1"/>
  <c r="Q172" i="1"/>
  <c r="AC182" i="1"/>
  <c r="AD182" i="1" s="1"/>
  <c r="N193" i="1"/>
  <c r="O193" i="1" s="1"/>
  <c r="N196" i="1"/>
  <c r="O196" i="1" s="1"/>
  <c r="N227" i="1"/>
  <c r="O227" i="1" s="1"/>
  <c r="AC236" i="1"/>
  <c r="AD236" i="1" s="1"/>
  <c r="N263" i="1"/>
  <c r="O263" i="1" s="1"/>
  <c r="N267" i="1"/>
  <c r="O267" i="1" s="1"/>
  <c r="AC284" i="1"/>
  <c r="AD284" i="1" s="1"/>
  <c r="N295" i="1"/>
  <c r="O295" i="1" s="1"/>
  <c r="AC324" i="1"/>
  <c r="AD324" i="1" s="1"/>
  <c r="N343" i="1"/>
  <c r="O343" i="1" s="1"/>
  <c r="N358" i="1"/>
  <c r="O358" i="1" s="1"/>
  <c r="AC429" i="1"/>
  <c r="AD429" i="1" s="1"/>
  <c r="N441" i="1"/>
  <c r="O441" i="1" s="1"/>
  <c r="AC18" i="2"/>
  <c r="AD18" i="2" s="1"/>
  <c r="N29" i="2"/>
  <c r="O29" i="2" s="1"/>
  <c r="AC267" i="2"/>
  <c r="AD267" i="2" s="1"/>
  <c r="N18" i="1"/>
  <c r="O18" i="1" s="1"/>
  <c r="W141" i="2"/>
  <c r="X141" i="2" s="1"/>
  <c r="L172" i="2"/>
  <c r="R263" i="2"/>
  <c r="W263" i="2"/>
  <c r="X263" i="2" s="1"/>
  <c r="H284" i="2"/>
  <c r="I284" i="2" s="1"/>
  <c r="C284" i="2"/>
  <c r="AC344" i="2"/>
  <c r="AD344" i="2" s="1"/>
  <c r="N368" i="2"/>
  <c r="O368" i="2" s="1"/>
  <c r="R442" i="2"/>
  <c r="W442" i="2"/>
  <c r="X442" i="2" s="1"/>
  <c r="AC442" i="2"/>
  <c r="AD442" i="2" s="1"/>
  <c r="N172" i="2"/>
  <c r="O172" i="2" s="1"/>
  <c r="H262" i="2"/>
  <c r="I262" i="2" s="1"/>
  <c r="N342" i="2"/>
  <c r="O342" i="2" s="1"/>
  <c r="H342" i="2"/>
  <c r="I342" i="2" s="1"/>
  <c r="U122" i="3"/>
  <c r="W122" i="3"/>
  <c r="X122" i="3" s="1"/>
  <c r="N61" i="2"/>
  <c r="O61" i="2" s="1"/>
  <c r="AC73" i="2"/>
  <c r="AD73" i="2" s="1"/>
  <c r="N88" i="2"/>
  <c r="O88" i="2" s="1"/>
  <c r="AC141" i="2"/>
  <c r="AD141" i="2" s="1"/>
  <c r="N148" i="2"/>
  <c r="O148" i="2" s="1"/>
  <c r="AC171" i="2"/>
  <c r="AD171" i="2" s="1"/>
  <c r="N197" i="2"/>
  <c r="O197" i="2" s="1"/>
  <c r="N209" i="2"/>
  <c r="O209" i="2" s="1"/>
  <c r="N218" i="2"/>
  <c r="O218" i="2" s="1"/>
  <c r="H227" i="2"/>
  <c r="I227" i="2" s="1"/>
  <c r="W295" i="2"/>
  <c r="X295" i="2" s="1"/>
  <c r="R342" i="2"/>
  <c r="W342" i="2"/>
  <c r="X342" i="2" s="1"/>
  <c r="AC393" i="2"/>
  <c r="AD393" i="2" s="1"/>
  <c r="AA393" i="2"/>
  <c r="H442" i="2"/>
  <c r="I442" i="2" s="1"/>
  <c r="AC18" i="3"/>
  <c r="AD18" i="3" s="1"/>
  <c r="H88" i="3"/>
  <c r="I88" i="3" s="1"/>
  <c r="N88" i="3"/>
  <c r="O88" i="3" s="1"/>
  <c r="K198" i="3"/>
  <c r="L172" i="3"/>
  <c r="W29" i="3"/>
  <c r="X29" i="3" s="1"/>
  <c r="R29" i="3"/>
  <c r="W73" i="3"/>
  <c r="X73" i="3" s="1"/>
  <c r="AC73" i="3"/>
  <c r="AD73" i="3" s="1"/>
  <c r="AC441" i="2"/>
  <c r="AD441" i="2" s="1"/>
  <c r="W441" i="2"/>
  <c r="X441" i="2" s="1"/>
  <c r="R73" i="3"/>
  <c r="R172" i="3"/>
  <c r="Q198" i="3"/>
  <c r="AC172" i="3"/>
  <c r="AD172" i="3" s="1"/>
  <c r="W172" i="3"/>
  <c r="X172" i="3" s="1"/>
  <c r="AC209" i="3"/>
  <c r="AD209" i="3" s="1"/>
  <c r="AA209" i="3"/>
  <c r="R441" i="2"/>
  <c r="C29" i="3"/>
  <c r="R62" i="3"/>
  <c r="W62" i="3"/>
  <c r="X62" i="3" s="1"/>
  <c r="N62" i="2"/>
  <c r="O62" i="2" s="1"/>
  <c r="N118" i="2"/>
  <c r="O118" i="2" s="1"/>
  <c r="AC122" i="2"/>
  <c r="AD122" i="2" s="1"/>
  <c r="Q172" i="2"/>
  <c r="R18" i="3"/>
  <c r="AA61" i="3"/>
  <c r="N122" i="3"/>
  <c r="O122" i="3" s="1"/>
  <c r="R227" i="3"/>
  <c r="W227" i="3"/>
  <c r="X227" i="3" s="1"/>
  <c r="AC227" i="3"/>
  <c r="AD227" i="3" s="1"/>
  <c r="R324" i="2"/>
  <c r="AC324" i="2"/>
  <c r="AD324" i="2" s="1"/>
  <c r="W344" i="2"/>
  <c r="X344" i="2" s="1"/>
  <c r="U344" i="2"/>
  <c r="R358" i="2"/>
  <c r="AC358" i="2"/>
  <c r="AD358" i="2" s="1"/>
  <c r="C396" i="2"/>
  <c r="H428" i="2"/>
  <c r="I428" i="2" s="1"/>
  <c r="C428" i="2"/>
  <c r="N442" i="2"/>
  <c r="O442" i="2" s="1"/>
  <c r="AC29" i="3"/>
  <c r="AD29" i="3" s="1"/>
  <c r="C73" i="3"/>
  <c r="H73" i="3"/>
  <c r="I73" i="3" s="1"/>
  <c r="R88" i="3"/>
  <c r="H267" i="2"/>
  <c r="I267" i="2" s="1"/>
  <c r="C267" i="2"/>
  <c r="C324" i="2"/>
  <c r="N324" i="2"/>
  <c r="O324" i="2" s="1"/>
  <c r="W325" i="2"/>
  <c r="X325" i="2" s="1"/>
  <c r="AC342" i="2"/>
  <c r="AD342" i="2" s="1"/>
  <c r="H344" i="2"/>
  <c r="I344" i="2" s="1"/>
  <c r="C344" i="2"/>
  <c r="AC403" i="2"/>
  <c r="AD403" i="2" s="1"/>
  <c r="AA403" i="2"/>
  <c r="C18" i="3"/>
  <c r="H18" i="3"/>
  <c r="I18" i="3" s="1"/>
  <c r="N61" i="3"/>
  <c r="O61" i="3" s="1"/>
  <c r="AC62" i="3"/>
  <c r="AD62" i="3" s="1"/>
  <c r="AC148" i="3"/>
  <c r="AD148" i="3" s="1"/>
  <c r="AA148" i="3"/>
  <c r="H172" i="3"/>
  <c r="I172" i="3" s="1"/>
  <c r="Z404" i="3"/>
  <c r="AA345" i="3"/>
  <c r="C172" i="3"/>
  <c r="AA172" i="3"/>
  <c r="AA197" i="3"/>
  <c r="AA198" i="3"/>
  <c r="R218" i="3"/>
  <c r="W218" i="3"/>
  <c r="X218" i="3" s="1"/>
  <c r="R141" i="3"/>
  <c r="R171" i="3"/>
  <c r="U196" i="3"/>
  <c r="R262" i="3"/>
  <c r="W262" i="3"/>
  <c r="X262" i="3" s="1"/>
  <c r="R273" i="3"/>
  <c r="W273" i="3"/>
  <c r="X273" i="3" s="1"/>
  <c r="N393" i="2"/>
  <c r="O393" i="2" s="1"/>
  <c r="N403" i="2"/>
  <c r="O403" i="2" s="1"/>
  <c r="N429" i="2"/>
  <c r="O429" i="2" s="1"/>
  <c r="AC429" i="2"/>
  <c r="AD429" i="2" s="1"/>
  <c r="O432" i="2"/>
  <c r="U172" i="3"/>
  <c r="T198" i="3"/>
  <c r="U149" i="3"/>
  <c r="U158" i="3"/>
  <c r="U166" i="3"/>
  <c r="N170" i="3"/>
  <c r="O170" i="3" s="1"/>
  <c r="N182" i="3"/>
  <c r="O182" i="3" s="1"/>
  <c r="B198" i="3"/>
  <c r="H218" i="3"/>
  <c r="I218" i="3" s="1"/>
  <c r="C218" i="3"/>
  <c r="N172" i="3"/>
  <c r="O172" i="3" s="1"/>
  <c r="H273" i="3"/>
  <c r="I273" i="3" s="1"/>
  <c r="N273" i="3"/>
  <c r="O273" i="3" s="1"/>
  <c r="H40" i="3"/>
  <c r="I40" i="3" s="1"/>
  <c r="C61" i="3"/>
  <c r="H62" i="3"/>
  <c r="I62" i="3" s="1"/>
  <c r="E172" i="3"/>
  <c r="F124" i="3"/>
  <c r="F141" i="3"/>
  <c r="H148" i="3"/>
  <c r="I148" i="3" s="1"/>
  <c r="R148" i="3"/>
  <c r="F171" i="3"/>
  <c r="C262" i="3"/>
  <c r="C273" i="3"/>
  <c r="U284" i="3"/>
  <c r="R295" i="3"/>
  <c r="W295" i="3"/>
  <c r="X295" i="3" s="1"/>
  <c r="O434" i="2"/>
  <c r="W118" i="3"/>
  <c r="X118" i="3" s="1"/>
  <c r="H124" i="3"/>
  <c r="I124" i="3" s="1"/>
  <c r="AC141" i="3"/>
  <c r="AD141" i="3" s="1"/>
  <c r="C148" i="3"/>
  <c r="AC171" i="3"/>
  <c r="AD171" i="3" s="1"/>
  <c r="H197" i="3"/>
  <c r="I197" i="3" s="1"/>
  <c r="AC218" i="3"/>
  <c r="AD218" i="3" s="1"/>
  <c r="AC273" i="3"/>
  <c r="AD273" i="3" s="1"/>
  <c r="AC124" i="3"/>
  <c r="AD124" i="3" s="1"/>
  <c r="N141" i="3"/>
  <c r="O141" i="3" s="1"/>
  <c r="AC149" i="3"/>
  <c r="AD149" i="3" s="1"/>
  <c r="AC158" i="3"/>
  <c r="AD158" i="3" s="1"/>
  <c r="AC166" i="3"/>
  <c r="AD166" i="3" s="1"/>
  <c r="N171" i="3"/>
  <c r="O171" i="3" s="1"/>
  <c r="AC193" i="3"/>
  <c r="AD193" i="3" s="1"/>
  <c r="AC196" i="3"/>
  <c r="AD196" i="3" s="1"/>
  <c r="H324" i="3"/>
  <c r="I324" i="3" s="1"/>
  <c r="H344" i="3"/>
  <c r="I344" i="3" s="1"/>
  <c r="H393" i="3"/>
  <c r="I393" i="3" s="1"/>
  <c r="N403" i="3"/>
  <c r="O403" i="3" s="1"/>
  <c r="H442" i="3"/>
  <c r="I442" i="3" s="1"/>
  <c r="O440" i="3"/>
  <c r="O436" i="3"/>
  <c r="O432" i="3"/>
  <c r="O424" i="3"/>
  <c r="O420" i="3"/>
  <c r="O416" i="3"/>
  <c r="O412" i="3"/>
  <c r="O408" i="3"/>
  <c r="O400" i="3"/>
  <c r="O390" i="3"/>
  <c r="O385" i="3"/>
  <c r="O380" i="3"/>
  <c r="O376" i="3"/>
  <c r="O372" i="3"/>
  <c r="O365" i="3"/>
  <c r="O361" i="3"/>
  <c r="O357" i="3"/>
  <c r="O353" i="3"/>
  <c r="O349" i="3"/>
  <c r="O339" i="3"/>
  <c r="O334" i="3"/>
  <c r="O330" i="3"/>
  <c r="O322" i="3"/>
  <c r="O318" i="3"/>
  <c r="O314" i="3"/>
  <c r="O310" i="3"/>
  <c r="O306" i="3"/>
  <c r="O302" i="3"/>
  <c r="O298" i="3"/>
  <c r="O294" i="3"/>
  <c r="O290" i="3"/>
  <c r="O286" i="3"/>
  <c r="O282" i="3"/>
  <c r="O278" i="3"/>
  <c r="O270" i="3"/>
  <c r="O266" i="3"/>
  <c r="O259" i="3"/>
  <c r="O255" i="3"/>
  <c r="O251" i="3"/>
  <c r="O247" i="3"/>
  <c r="O243" i="3"/>
  <c r="O238" i="3"/>
  <c r="O234" i="3"/>
  <c r="O230" i="3"/>
  <c r="O226" i="3"/>
  <c r="O222" i="3"/>
  <c r="O215" i="3"/>
  <c r="O202" i="3"/>
  <c r="H18" i="4"/>
  <c r="I18" i="4" s="1"/>
  <c r="E198" i="6"/>
  <c r="F172" i="6"/>
  <c r="R124" i="3"/>
  <c r="H325" i="3"/>
  <c r="I325" i="3" s="1"/>
  <c r="C344" i="3"/>
  <c r="R358" i="3"/>
  <c r="H368" i="3"/>
  <c r="I368" i="3" s="1"/>
  <c r="C393" i="3"/>
  <c r="N396" i="3"/>
  <c r="O396" i="3" s="1"/>
  <c r="AC403" i="3"/>
  <c r="AD403" i="3" s="1"/>
  <c r="N428" i="3"/>
  <c r="O428" i="3" s="1"/>
  <c r="AC428" i="3"/>
  <c r="AD428" i="3" s="1"/>
  <c r="X438" i="3"/>
  <c r="X434" i="3"/>
  <c r="X426" i="3"/>
  <c r="X422" i="3"/>
  <c r="X418" i="3"/>
  <c r="X414" i="3"/>
  <c r="X410" i="3"/>
  <c r="X402" i="3"/>
  <c r="X398" i="3"/>
  <c r="X395" i="3"/>
  <c r="X392" i="3"/>
  <c r="X388" i="3"/>
  <c r="X382" i="3"/>
  <c r="X378" i="3"/>
  <c r="X374" i="3"/>
  <c r="X370" i="3"/>
  <c r="X367" i="3"/>
  <c r="X363" i="3"/>
  <c r="X355" i="3"/>
  <c r="X351" i="3"/>
  <c r="X341" i="3"/>
  <c r="X337" i="3"/>
  <c r="X332" i="3"/>
  <c r="X328" i="3"/>
  <c r="X320" i="3"/>
  <c r="X316" i="3"/>
  <c r="X312" i="3"/>
  <c r="X308" i="3"/>
  <c r="X304" i="3"/>
  <c r="X300" i="3"/>
  <c r="X292" i="3"/>
  <c r="X288" i="3"/>
  <c r="X280" i="3"/>
  <c r="X276" i="3"/>
  <c r="X272" i="3"/>
  <c r="X261" i="3"/>
  <c r="X257" i="3"/>
  <c r="X253" i="3"/>
  <c r="X249" i="3"/>
  <c r="X245" i="3"/>
  <c r="X241" i="3"/>
  <c r="X232" i="3"/>
  <c r="X224" i="3"/>
  <c r="X220" i="3"/>
  <c r="X217" i="3"/>
  <c r="X213" i="3"/>
  <c r="X208" i="3"/>
  <c r="U172" i="4"/>
  <c r="U263" i="4"/>
  <c r="W263" i="4"/>
  <c r="X263" i="4" s="1"/>
  <c r="W342" i="4"/>
  <c r="X342" i="4" s="1"/>
  <c r="AC342" i="4"/>
  <c r="AD342" i="4" s="1"/>
  <c r="R342" i="4"/>
  <c r="AC396" i="3"/>
  <c r="AD396" i="3" s="1"/>
  <c r="N429" i="3"/>
  <c r="O429" i="3" s="1"/>
  <c r="AA325" i="3"/>
  <c r="C403" i="3"/>
  <c r="AC40" i="4"/>
  <c r="AD40" i="4" s="1"/>
  <c r="W88" i="4"/>
  <c r="X88" i="4" s="1"/>
  <c r="R88" i="4"/>
  <c r="U198" i="4"/>
  <c r="T345" i="4"/>
  <c r="N324" i="3"/>
  <c r="O324" i="3" s="1"/>
  <c r="N325" i="3"/>
  <c r="O325" i="3" s="1"/>
  <c r="L342" i="3"/>
  <c r="C396" i="3"/>
  <c r="R428" i="3"/>
  <c r="W343" i="4"/>
  <c r="X343" i="4" s="1"/>
  <c r="R343" i="4"/>
  <c r="AC343" i="4"/>
  <c r="AD343" i="4" s="1"/>
  <c r="H358" i="4"/>
  <c r="I358" i="4" s="1"/>
  <c r="F358" i="4"/>
  <c r="W403" i="3"/>
  <c r="X403" i="3" s="1"/>
  <c r="AC18" i="4"/>
  <c r="AD18" i="4" s="1"/>
  <c r="N62" i="3"/>
  <c r="O62" i="3" s="1"/>
  <c r="N118" i="3"/>
  <c r="O118" i="3" s="1"/>
  <c r="AC122" i="3"/>
  <c r="AD122" i="3" s="1"/>
  <c r="N124" i="3"/>
  <c r="O124" i="3" s="1"/>
  <c r="N149" i="3"/>
  <c r="O149" i="3" s="1"/>
  <c r="N158" i="3"/>
  <c r="O158" i="3" s="1"/>
  <c r="N166" i="3"/>
  <c r="O166" i="3" s="1"/>
  <c r="AC170" i="3"/>
  <c r="AD170" i="3" s="1"/>
  <c r="AC182" i="3"/>
  <c r="AD182" i="3" s="1"/>
  <c r="N193" i="3"/>
  <c r="O193" i="3" s="1"/>
  <c r="N196" i="3"/>
  <c r="O196" i="3" s="1"/>
  <c r="H209" i="3"/>
  <c r="I209" i="3" s="1"/>
  <c r="N267" i="3"/>
  <c r="O267" i="3" s="1"/>
  <c r="W325" i="3"/>
  <c r="X325" i="3" s="1"/>
  <c r="N344" i="3"/>
  <c r="O344" i="3" s="1"/>
  <c r="N393" i="3"/>
  <c r="O393" i="3" s="1"/>
  <c r="W396" i="3"/>
  <c r="X396" i="3" s="1"/>
  <c r="H429" i="3"/>
  <c r="I429" i="3" s="1"/>
  <c r="U429" i="3"/>
  <c r="N442" i="3"/>
  <c r="O442" i="3" s="1"/>
  <c r="N29" i="4"/>
  <c r="O29" i="4" s="1"/>
  <c r="R40" i="4"/>
  <c r="AC62" i="4"/>
  <c r="AD62" i="4" s="1"/>
  <c r="U73" i="4"/>
  <c r="R209" i="4"/>
  <c r="AC209" i="4"/>
  <c r="AD209" i="4" s="1"/>
  <c r="W209" i="4"/>
  <c r="X209" i="4" s="1"/>
  <c r="C209" i="3"/>
  <c r="R325" i="3"/>
  <c r="H342" i="3"/>
  <c r="I342" i="3" s="1"/>
  <c r="N343" i="3"/>
  <c r="O343" i="3" s="1"/>
  <c r="AC344" i="3"/>
  <c r="AD344" i="3" s="1"/>
  <c r="N368" i="3"/>
  <c r="O368" i="3" s="1"/>
  <c r="AC393" i="3"/>
  <c r="AD393" i="3" s="1"/>
  <c r="N441" i="3"/>
  <c r="O441" i="3" s="1"/>
  <c r="AC442" i="3"/>
  <c r="AD442" i="3" s="1"/>
  <c r="W61" i="4"/>
  <c r="X61" i="4" s="1"/>
  <c r="C62" i="4"/>
  <c r="H62" i="4"/>
  <c r="I62" i="4" s="1"/>
  <c r="H118" i="4"/>
  <c r="I118" i="4" s="1"/>
  <c r="W122" i="4"/>
  <c r="X122" i="4" s="1"/>
  <c r="H124" i="4"/>
  <c r="I124" i="4" s="1"/>
  <c r="H149" i="4"/>
  <c r="I149" i="4" s="1"/>
  <c r="H158" i="4"/>
  <c r="I158" i="4" s="1"/>
  <c r="H166" i="4"/>
  <c r="I166" i="4" s="1"/>
  <c r="W170" i="4"/>
  <c r="X170" i="4" s="1"/>
  <c r="K172" i="4"/>
  <c r="W172" i="4"/>
  <c r="X172" i="4" s="1"/>
  <c r="W182" i="4"/>
  <c r="X182" i="4" s="1"/>
  <c r="N196" i="4"/>
  <c r="O196" i="4" s="1"/>
  <c r="AC196" i="4"/>
  <c r="AD196" i="4" s="1"/>
  <c r="N197" i="4"/>
  <c r="O197" i="4" s="1"/>
  <c r="Q198" i="4"/>
  <c r="H342" i="4"/>
  <c r="I342" i="4" s="1"/>
  <c r="N342" i="4"/>
  <c r="O342" i="4" s="1"/>
  <c r="N343" i="4"/>
  <c r="O343" i="4" s="1"/>
  <c r="AC441" i="4"/>
  <c r="AD441" i="4" s="1"/>
  <c r="W236" i="4"/>
  <c r="X236" i="4" s="1"/>
  <c r="U236" i="4"/>
  <c r="N122" i="4"/>
  <c r="O122" i="4" s="1"/>
  <c r="AC148" i="4"/>
  <c r="AD148" i="4" s="1"/>
  <c r="N170" i="4"/>
  <c r="O170" i="4" s="1"/>
  <c r="B172" i="4"/>
  <c r="Z172" i="4"/>
  <c r="AC172" i="4" s="1"/>
  <c r="AD172" i="4" s="1"/>
  <c r="N182" i="4"/>
  <c r="O182" i="4" s="1"/>
  <c r="C193" i="4"/>
  <c r="R193" i="4"/>
  <c r="E198" i="4"/>
  <c r="H209" i="4"/>
  <c r="I209" i="4" s="1"/>
  <c r="AA273" i="4"/>
  <c r="AA393" i="4"/>
  <c r="C428" i="4"/>
  <c r="H428" i="4"/>
  <c r="I428" i="4" s="1"/>
  <c r="C122" i="4"/>
  <c r="U141" i="4"/>
  <c r="F148" i="4"/>
  <c r="R148" i="4"/>
  <c r="C170" i="4"/>
  <c r="U171" i="4"/>
  <c r="C182" i="4"/>
  <c r="AC182" i="4"/>
  <c r="AD182" i="4" s="1"/>
  <c r="C196" i="4"/>
  <c r="R196" i="4"/>
  <c r="N325" i="4"/>
  <c r="O325" i="4" s="1"/>
  <c r="L344" i="4"/>
  <c r="AA344" i="4"/>
  <c r="AC358" i="4"/>
  <c r="AD358" i="4" s="1"/>
  <c r="AC368" i="4"/>
  <c r="AD368" i="4" s="1"/>
  <c r="R403" i="4"/>
  <c r="AC403" i="4"/>
  <c r="AD403" i="4" s="1"/>
  <c r="H88" i="5"/>
  <c r="I88" i="5" s="1"/>
  <c r="F88" i="5"/>
  <c r="N118" i="4"/>
  <c r="O118" i="4" s="1"/>
  <c r="AC122" i="4"/>
  <c r="AD122" i="4" s="1"/>
  <c r="N124" i="4"/>
  <c r="O124" i="4" s="1"/>
  <c r="N149" i="4"/>
  <c r="O149" i="4" s="1"/>
  <c r="N158" i="4"/>
  <c r="O158" i="4" s="1"/>
  <c r="N166" i="4"/>
  <c r="O166" i="4" s="1"/>
  <c r="AC170" i="4"/>
  <c r="AD170" i="4" s="1"/>
  <c r="W171" i="4"/>
  <c r="X171" i="4" s="1"/>
  <c r="H197" i="4"/>
  <c r="I197" i="4" s="1"/>
  <c r="W197" i="4"/>
  <c r="X197" i="4" s="1"/>
  <c r="W218" i="4"/>
  <c r="X218" i="4" s="1"/>
  <c r="W284" i="4"/>
  <c r="X284" i="4" s="1"/>
  <c r="U284" i="4"/>
  <c r="W325" i="4"/>
  <c r="X325" i="4" s="1"/>
  <c r="AC325" i="4"/>
  <c r="AD325" i="4" s="1"/>
  <c r="W441" i="4"/>
  <c r="X441" i="4" s="1"/>
  <c r="L209" i="4"/>
  <c r="H218" i="4"/>
  <c r="I218" i="4" s="1"/>
  <c r="W227" i="4"/>
  <c r="X227" i="4" s="1"/>
  <c r="R273" i="4"/>
  <c r="W273" i="4"/>
  <c r="X273" i="4" s="1"/>
  <c r="R325" i="4"/>
  <c r="R393" i="4"/>
  <c r="W393" i="4"/>
  <c r="X393" i="4" s="1"/>
  <c r="F172" i="5"/>
  <c r="E198" i="5"/>
  <c r="H262" i="4"/>
  <c r="I262" i="4" s="1"/>
  <c r="N262" i="4"/>
  <c r="O262" i="4" s="1"/>
  <c r="R262" i="4"/>
  <c r="N263" i="4"/>
  <c r="O263" i="4" s="1"/>
  <c r="H267" i="4"/>
  <c r="I267" i="4" s="1"/>
  <c r="F267" i="4"/>
  <c r="C324" i="4"/>
  <c r="H324" i="4"/>
  <c r="I324" i="4" s="1"/>
  <c r="H393" i="4"/>
  <c r="I393" i="4" s="1"/>
  <c r="C393" i="4"/>
  <c r="W403" i="4"/>
  <c r="X403" i="4" s="1"/>
  <c r="N429" i="4"/>
  <c r="O429" i="4" s="1"/>
  <c r="H441" i="4"/>
  <c r="I441" i="4" s="1"/>
  <c r="O437" i="4"/>
  <c r="O434" i="4"/>
  <c r="O413" i="4"/>
  <c r="O410" i="4"/>
  <c r="O222" i="4"/>
  <c r="AD225" i="4"/>
  <c r="O238" i="4"/>
  <c r="AD242" i="4"/>
  <c r="O255" i="4"/>
  <c r="AD258" i="4"/>
  <c r="O270" i="4"/>
  <c r="O286" i="4"/>
  <c r="AD289" i="4"/>
  <c r="O302" i="4"/>
  <c r="AD305" i="4"/>
  <c r="O318" i="4"/>
  <c r="AD321" i="4"/>
  <c r="O334" i="4"/>
  <c r="AD338" i="4"/>
  <c r="AD354" i="4"/>
  <c r="O357" i="4"/>
  <c r="AD369" i="4"/>
  <c r="O372" i="4"/>
  <c r="AD383" i="4"/>
  <c r="AD390" i="4"/>
  <c r="H396" i="4"/>
  <c r="I396" i="4" s="1"/>
  <c r="AD399" i="4"/>
  <c r="O420" i="4"/>
  <c r="N441" i="4"/>
  <c r="O441" i="4" s="1"/>
  <c r="W40" i="5"/>
  <c r="X40" i="5" s="1"/>
  <c r="AC40" i="5"/>
  <c r="AD40" i="5" s="1"/>
  <c r="Q345" i="5"/>
  <c r="R198" i="5"/>
  <c r="U18" i="5"/>
  <c r="W61" i="5"/>
  <c r="X61" i="5" s="1"/>
  <c r="R61" i="5"/>
  <c r="L172" i="5"/>
  <c r="K198" i="5"/>
  <c r="W141" i="5"/>
  <c r="X141" i="5" s="1"/>
  <c r="W148" i="5"/>
  <c r="X148" i="5" s="1"/>
  <c r="H122" i="5"/>
  <c r="I122" i="5" s="1"/>
  <c r="C122" i="5"/>
  <c r="L124" i="5"/>
  <c r="H141" i="5"/>
  <c r="I141" i="5" s="1"/>
  <c r="U171" i="5"/>
  <c r="L284" i="5"/>
  <c r="N284" i="5"/>
  <c r="O284" i="5" s="1"/>
  <c r="H40" i="5"/>
  <c r="I40" i="5" s="1"/>
  <c r="W166" i="5"/>
  <c r="X166" i="5" s="1"/>
  <c r="AC166" i="5"/>
  <c r="AD166" i="5" s="1"/>
  <c r="R166" i="5"/>
  <c r="N262" i="5"/>
  <c r="O262" i="5" s="1"/>
  <c r="L262" i="5"/>
  <c r="N218" i="4"/>
  <c r="O218" i="4" s="1"/>
  <c r="AC263" i="4"/>
  <c r="AD263" i="4" s="1"/>
  <c r="AC295" i="4"/>
  <c r="AD295" i="4" s="1"/>
  <c r="O376" i="4"/>
  <c r="O407" i="4"/>
  <c r="AD415" i="4"/>
  <c r="O439" i="4"/>
  <c r="N18" i="5"/>
  <c r="O18" i="5" s="1"/>
  <c r="H61" i="5"/>
  <c r="I61" i="5" s="1"/>
  <c r="W73" i="5"/>
  <c r="X73" i="5" s="1"/>
  <c r="W88" i="5"/>
  <c r="X88" i="5" s="1"/>
  <c r="AC88" i="5"/>
  <c r="AD88" i="5" s="1"/>
  <c r="W170" i="5"/>
  <c r="X170" i="5" s="1"/>
  <c r="AC170" i="5"/>
  <c r="AD170" i="5" s="1"/>
  <c r="R170" i="5"/>
  <c r="AA172" i="5"/>
  <c r="Z198" i="5"/>
  <c r="AC198" i="5" s="1"/>
  <c r="AD198" i="5" s="1"/>
  <c r="R209" i="5"/>
  <c r="AC209" i="5"/>
  <c r="AD209" i="5" s="1"/>
  <c r="W209" i="5"/>
  <c r="X209" i="5" s="1"/>
  <c r="F325" i="5"/>
  <c r="H325" i="5"/>
  <c r="I325" i="5" s="1"/>
  <c r="O226" i="4"/>
  <c r="N227" i="4"/>
  <c r="O227" i="4" s="1"/>
  <c r="AD229" i="4"/>
  <c r="O243" i="4"/>
  <c r="AD246" i="4"/>
  <c r="O259" i="4"/>
  <c r="AD277" i="4"/>
  <c r="O290" i="4"/>
  <c r="AD293" i="4"/>
  <c r="O306" i="4"/>
  <c r="AD309" i="4"/>
  <c r="O322" i="4"/>
  <c r="AC324" i="4"/>
  <c r="AD324" i="4" s="1"/>
  <c r="O339" i="4"/>
  <c r="C344" i="4"/>
  <c r="AD352" i="4"/>
  <c r="AD357" i="4"/>
  <c r="AD360" i="4"/>
  <c r="AD363" i="4"/>
  <c r="AD372" i="4"/>
  <c r="AD378" i="4"/>
  <c r="O385" i="4"/>
  <c r="N396" i="4"/>
  <c r="O396" i="4" s="1"/>
  <c r="O400" i="4"/>
  <c r="AC429" i="4"/>
  <c r="AD429" i="4" s="1"/>
  <c r="F73" i="5"/>
  <c r="R88" i="5"/>
  <c r="C170" i="5"/>
  <c r="N170" i="5"/>
  <c r="O170" i="5" s="1"/>
  <c r="B198" i="5"/>
  <c r="N172" i="5"/>
  <c r="O172" i="5" s="1"/>
  <c r="C172" i="5"/>
  <c r="AC172" i="5"/>
  <c r="AD172" i="5" s="1"/>
  <c r="W227" i="5"/>
  <c r="X227" i="5" s="1"/>
  <c r="U343" i="5"/>
  <c r="W343" i="5"/>
  <c r="X343" i="5" s="1"/>
  <c r="AC18" i="5"/>
  <c r="AD18" i="5" s="1"/>
  <c r="N62" i="5"/>
  <c r="O62" i="5" s="1"/>
  <c r="AC122" i="5"/>
  <c r="AD122" i="5" s="1"/>
  <c r="N124" i="5"/>
  <c r="O124" i="5" s="1"/>
  <c r="W182" i="5"/>
  <c r="X182" i="5" s="1"/>
  <c r="AC182" i="5"/>
  <c r="AD182" i="5" s="1"/>
  <c r="AC262" i="5"/>
  <c r="AD262" i="5" s="1"/>
  <c r="R262" i="5"/>
  <c r="H267" i="5"/>
  <c r="I267" i="5" s="1"/>
  <c r="F295" i="5"/>
  <c r="H295" i="5"/>
  <c r="I295" i="5" s="1"/>
  <c r="H196" i="5"/>
  <c r="I196" i="5" s="1"/>
  <c r="C196" i="5"/>
  <c r="W236" i="5"/>
  <c r="X236" i="5" s="1"/>
  <c r="R236" i="5"/>
  <c r="W325" i="5"/>
  <c r="X325" i="5" s="1"/>
  <c r="R325" i="5"/>
  <c r="AC325" i="5"/>
  <c r="AD325" i="5" s="1"/>
  <c r="W284" i="5"/>
  <c r="X284" i="5" s="1"/>
  <c r="C324" i="5"/>
  <c r="N324" i="5"/>
  <c r="O324" i="5" s="1"/>
  <c r="H324" i="5"/>
  <c r="I324" i="5" s="1"/>
  <c r="H368" i="4"/>
  <c r="I368" i="4" s="1"/>
  <c r="X374" i="4"/>
  <c r="I378" i="4"/>
  <c r="X392" i="4"/>
  <c r="I395" i="4"/>
  <c r="X418" i="4"/>
  <c r="I422" i="4"/>
  <c r="W428" i="4"/>
  <c r="X428" i="4" s="1"/>
  <c r="X434" i="4"/>
  <c r="H442" i="4"/>
  <c r="I442" i="4" s="1"/>
  <c r="N73" i="5"/>
  <c r="O73" i="5" s="1"/>
  <c r="T172" i="5"/>
  <c r="H149" i="5"/>
  <c r="I149" i="5" s="1"/>
  <c r="N149" i="5"/>
  <c r="O149" i="5" s="1"/>
  <c r="C149" i="5"/>
  <c r="F218" i="5"/>
  <c r="H227" i="5"/>
  <c r="I227" i="5" s="1"/>
  <c r="N227" i="5"/>
  <c r="O227" i="5" s="1"/>
  <c r="R267" i="5"/>
  <c r="AC267" i="5"/>
  <c r="AD267" i="5" s="1"/>
  <c r="H273" i="5"/>
  <c r="I273" i="5" s="1"/>
  <c r="C273" i="5"/>
  <c r="AA393" i="5"/>
  <c r="AC393" i="5"/>
  <c r="AD393" i="5" s="1"/>
  <c r="H193" i="5"/>
  <c r="I193" i="5" s="1"/>
  <c r="N209" i="5"/>
  <c r="O209" i="5" s="1"/>
  <c r="AD248" i="5"/>
  <c r="AD256" i="5"/>
  <c r="H262" i="5"/>
  <c r="I262" i="5" s="1"/>
  <c r="N263" i="5"/>
  <c r="O263" i="5" s="1"/>
  <c r="AD276" i="5"/>
  <c r="AD344" i="5"/>
  <c r="H88" i="7"/>
  <c r="I88" i="7" s="1"/>
  <c r="N88" i="7"/>
  <c r="O88" i="7" s="1"/>
  <c r="C88" i="7"/>
  <c r="AD415" i="5"/>
  <c r="AD412" i="5"/>
  <c r="AD409" i="5"/>
  <c r="AD400" i="5"/>
  <c r="AD397" i="5"/>
  <c r="AD435" i="5"/>
  <c r="AD419" i="5"/>
  <c r="AD414" i="5"/>
  <c r="AD407" i="5"/>
  <c r="AD390" i="5"/>
  <c r="AD374" i="5"/>
  <c r="AD369" i="5"/>
  <c r="AD367" i="5"/>
  <c r="AD356" i="5"/>
  <c r="AD334" i="5"/>
  <c r="AD399" i="5"/>
  <c r="AD383" i="5"/>
  <c r="AD347" i="5"/>
  <c r="AD338" i="5"/>
  <c r="AD439" i="5"/>
  <c r="AD433" i="5"/>
  <c r="AD427" i="5"/>
  <c r="AD420" i="5"/>
  <c r="AD388" i="5"/>
  <c r="AD375" i="5"/>
  <c r="AD372" i="5"/>
  <c r="AD351" i="5"/>
  <c r="AD411" i="5"/>
  <c r="AD360" i="5"/>
  <c r="AD385" i="5"/>
  <c r="AD381" i="5"/>
  <c r="AD370" i="5"/>
  <c r="AD363" i="5"/>
  <c r="AD352" i="5"/>
  <c r="AD389" i="5"/>
  <c r="AD355" i="5"/>
  <c r="AD333" i="5"/>
  <c r="AD312" i="5"/>
  <c r="AD301" i="5"/>
  <c r="AD240" i="5"/>
  <c r="AD223" i="5"/>
  <c r="AD207" i="5"/>
  <c r="AD402" i="5"/>
  <c r="AD379" i="5"/>
  <c r="U62" i="6"/>
  <c r="W62" i="6"/>
  <c r="X62" i="6" s="1"/>
  <c r="N325" i="5"/>
  <c r="O325" i="5" s="1"/>
  <c r="W368" i="5"/>
  <c r="X368" i="5" s="1"/>
  <c r="R368" i="5"/>
  <c r="W403" i="5"/>
  <c r="X403" i="5" s="1"/>
  <c r="R403" i="5"/>
  <c r="AC403" i="5"/>
  <c r="AD403" i="5" s="1"/>
  <c r="AC324" i="5"/>
  <c r="AD324" i="5" s="1"/>
  <c r="H158" i="5"/>
  <c r="I158" i="5" s="1"/>
  <c r="C158" i="5"/>
  <c r="AC158" i="5"/>
  <c r="AD158" i="5" s="1"/>
  <c r="N193" i="5"/>
  <c r="O193" i="5" s="1"/>
  <c r="N197" i="5"/>
  <c r="O197" i="5" s="1"/>
  <c r="AD259" i="5"/>
  <c r="AD269" i="5"/>
  <c r="AD281" i="5"/>
  <c r="AD313" i="5"/>
  <c r="AD328" i="5"/>
  <c r="AD330" i="5"/>
  <c r="H368" i="5"/>
  <c r="I368" i="5" s="1"/>
  <c r="N368" i="5"/>
  <c r="O368" i="5" s="1"/>
  <c r="C368" i="5"/>
  <c r="AD376" i="5"/>
  <c r="AD398" i="5"/>
  <c r="AD417" i="5"/>
  <c r="Z172" i="6"/>
  <c r="AA124" i="6"/>
  <c r="AD408" i="5"/>
  <c r="AD421" i="5"/>
  <c r="AD428" i="5"/>
  <c r="AD432" i="5"/>
  <c r="AD434" i="5"/>
  <c r="AD438" i="5"/>
  <c r="U218" i="7"/>
  <c r="W218" i="7"/>
  <c r="X218" i="7" s="1"/>
  <c r="N148" i="5"/>
  <c r="O148" i="5" s="1"/>
  <c r="X175" i="5"/>
  <c r="X192" i="5"/>
  <c r="AD271" i="5"/>
  <c r="AD287" i="5"/>
  <c r="AD306" i="5"/>
  <c r="AD339" i="5"/>
  <c r="W342" i="5"/>
  <c r="X342" i="5" s="1"/>
  <c r="H344" i="5"/>
  <c r="I344" i="5" s="1"/>
  <c r="AD349" i="5"/>
  <c r="X388" i="5"/>
  <c r="AD395" i="5"/>
  <c r="R396" i="5"/>
  <c r="AC396" i="5"/>
  <c r="AD396" i="5" s="1"/>
  <c r="X420" i="5"/>
  <c r="X422" i="5"/>
  <c r="AD424" i="5"/>
  <c r="X427" i="5"/>
  <c r="X433" i="5"/>
  <c r="X439" i="5"/>
  <c r="H441" i="5"/>
  <c r="I441" i="5" s="1"/>
  <c r="F441" i="5"/>
  <c r="AC441" i="5"/>
  <c r="AD441" i="5" s="1"/>
  <c r="AA118" i="6"/>
  <c r="K172" i="6"/>
  <c r="L124" i="6"/>
  <c r="AC273" i="6"/>
  <c r="AD273" i="6" s="1"/>
  <c r="AA273" i="6"/>
  <c r="AD413" i="5"/>
  <c r="AD365" i="5"/>
  <c r="AD422" i="5"/>
  <c r="X429" i="5"/>
  <c r="X437" i="5"/>
  <c r="N171" i="6"/>
  <c r="O171" i="6" s="1"/>
  <c r="H171" i="6"/>
  <c r="I171" i="6" s="1"/>
  <c r="C171" i="6"/>
  <c r="AC358" i="5"/>
  <c r="AD358" i="5" s="1"/>
  <c r="AD380" i="5"/>
  <c r="AD401" i="5"/>
  <c r="AD416" i="5"/>
  <c r="AD418" i="5"/>
  <c r="AD425" i="5"/>
  <c r="U18" i="6"/>
  <c r="W18" i="6"/>
  <c r="X18" i="6" s="1"/>
  <c r="H342" i="5"/>
  <c r="I342" i="5" s="1"/>
  <c r="AD362" i="5"/>
  <c r="AD394" i="5"/>
  <c r="X417" i="5"/>
  <c r="AD437" i="5"/>
  <c r="R441" i="5"/>
  <c r="U141" i="6"/>
  <c r="AD377" i="5"/>
  <c r="AD440" i="5"/>
  <c r="X411" i="5"/>
  <c r="X399" i="5"/>
  <c r="W197" i="6"/>
  <c r="X197" i="6" s="1"/>
  <c r="AC197" i="6"/>
  <c r="AD197" i="6" s="1"/>
  <c r="H158" i="6"/>
  <c r="I158" i="6" s="1"/>
  <c r="C158" i="6"/>
  <c r="W172" i="6"/>
  <c r="X172" i="6" s="1"/>
  <c r="AC172" i="6"/>
  <c r="AD172" i="6" s="1"/>
  <c r="Q198" i="6"/>
  <c r="W209" i="6"/>
  <c r="X209" i="6" s="1"/>
  <c r="R209" i="6"/>
  <c r="H73" i="7"/>
  <c r="I73" i="7" s="1"/>
  <c r="F73" i="7"/>
  <c r="X418" i="5"/>
  <c r="X434" i="5"/>
  <c r="AC61" i="6"/>
  <c r="AD61" i="6" s="1"/>
  <c r="N73" i="6"/>
  <c r="O73" i="6" s="1"/>
  <c r="AC88" i="6"/>
  <c r="AD88" i="6" s="1"/>
  <c r="W122" i="6"/>
  <c r="X122" i="6" s="1"/>
  <c r="AC122" i="6"/>
  <c r="AD122" i="6" s="1"/>
  <c r="W170" i="6"/>
  <c r="X170" i="6" s="1"/>
  <c r="AC170" i="6"/>
  <c r="AD170" i="6" s="1"/>
  <c r="R172" i="6"/>
  <c r="N227" i="6"/>
  <c r="O227" i="6" s="1"/>
  <c r="W262" i="6"/>
  <c r="X262" i="6" s="1"/>
  <c r="W267" i="6"/>
  <c r="X267" i="6" s="1"/>
  <c r="AC267" i="6"/>
  <c r="AD267" i="6" s="1"/>
  <c r="N396" i="5"/>
  <c r="O396" i="5" s="1"/>
  <c r="R428" i="5"/>
  <c r="N429" i="5"/>
  <c r="O429" i="5" s="1"/>
  <c r="C442" i="5"/>
  <c r="AC442" i="5"/>
  <c r="AD442" i="5" s="1"/>
  <c r="AC29" i="6"/>
  <c r="AD29" i="6" s="1"/>
  <c r="N61" i="6"/>
  <c r="O61" i="6" s="1"/>
  <c r="N62" i="6"/>
  <c r="O62" i="6" s="1"/>
  <c r="N88" i="6"/>
  <c r="O88" i="6" s="1"/>
  <c r="R122" i="6"/>
  <c r="N141" i="6"/>
  <c r="O141" i="6" s="1"/>
  <c r="W148" i="6"/>
  <c r="X148" i="6" s="1"/>
  <c r="N149" i="6"/>
  <c r="O149" i="6" s="1"/>
  <c r="AA166" i="6"/>
  <c r="R170" i="6"/>
  <c r="T172" i="6"/>
  <c r="W171" i="6"/>
  <c r="X171" i="6" s="1"/>
  <c r="R267" i="6"/>
  <c r="X402" i="5"/>
  <c r="X414" i="5"/>
  <c r="N29" i="6"/>
  <c r="O29" i="6" s="1"/>
  <c r="R118" i="6"/>
  <c r="W118" i="6"/>
  <c r="X118" i="6" s="1"/>
  <c r="AC124" i="6"/>
  <c r="AD124" i="6" s="1"/>
  <c r="R148" i="6"/>
  <c r="N166" i="6"/>
  <c r="O166" i="6" s="1"/>
  <c r="U171" i="6"/>
  <c r="H236" i="6"/>
  <c r="I236" i="6" s="1"/>
  <c r="C236" i="6"/>
  <c r="W263" i="6"/>
  <c r="X263" i="6" s="1"/>
  <c r="U263" i="6"/>
  <c r="U396" i="6"/>
  <c r="W396" i="6"/>
  <c r="X396" i="6" s="1"/>
  <c r="AC429" i="5"/>
  <c r="AD429" i="5" s="1"/>
  <c r="H40" i="6"/>
  <c r="I40" i="6" s="1"/>
  <c r="R61" i="6"/>
  <c r="AC62" i="6"/>
  <c r="AD62" i="6" s="1"/>
  <c r="H73" i="6"/>
  <c r="I73" i="6" s="1"/>
  <c r="W73" i="6"/>
  <c r="X73" i="6" s="1"/>
  <c r="R88" i="6"/>
  <c r="H122" i="6"/>
  <c r="I122" i="6" s="1"/>
  <c r="H124" i="6"/>
  <c r="I124" i="6" s="1"/>
  <c r="B172" i="6"/>
  <c r="C124" i="6"/>
  <c r="R149" i="6"/>
  <c r="W149" i="6"/>
  <c r="X149" i="6" s="1"/>
  <c r="N196" i="6"/>
  <c r="O196" i="6" s="1"/>
  <c r="L196" i="6"/>
  <c r="H197" i="6"/>
  <c r="I197" i="6" s="1"/>
  <c r="F197" i="6"/>
  <c r="AC209" i="6"/>
  <c r="AD209" i="6" s="1"/>
  <c r="W343" i="6"/>
  <c r="X343" i="6" s="1"/>
  <c r="R343" i="6"/>
  <c r="AC343" i="6"/>
  <c r="AD343" i="6" s="1"/>
  <c r="X261" i="5"/>
  <c r="X276" i="5"/>
  <c r="I280" i="5"/>
  <c r="X292" i="5"/>
  <c r="X308" i="5"/>
  <c r="I312" i="5"/>
  <c r="I328" i="5"/>
  <c r="X341" i="5"/>
  <c r="X351" i="5"/>
  <c r="I355" i="5"/>
  <c r="X367" i="5"/>
  <c r="I370" i="5"/>
  <c r="X382" i="5"/>
  <c r="I388" i="5"/>
  <c r="H393" i="5"/>
  <c r="I393" i="5" s="1"/>
  <c r="X398" i="5"/>
  <c r="I402" i="5"/>
  <c r="X410" i="5"/>
  <c r="X426" i="5"/>
  <c r="N158" i="6"/>
  <c r="O158" i="6" s="1"/>
  <c r="C166" i="6"/>
  <c r="R166" i="6"/>
  <c r="W166" i="6"/>
  <c r="X166" i="6" s="1"/>
  <c r="H170" i="6"/>
  <c r="I170" i="6" s="1"/>
  <c r="AC182" i="6"/>
  <c r="AD182" i="6" s="1"/>
  <c r="AA182" i="6"/>
  <c r="F263" i="6"/>
  <c r="C267" i="6"/>
  <c r="N267" i="6"/>
  <c r="O267" i="6" s="1"/>
  <c r="H267" i="6"/>
  <c r="I267" i="6" s="1"/>
  <c r="R324" i="6"/>
  <c r="AC324" i="6"/>
  <c r="AD324" i="6" s="1"/>
  <c r="W324" i="6"/>
  <c r="X324" i="6" s="1"/>
  <c r="N148" i="6"/>
  <c r="O148" i="6" s="1"/>
  <c r="H262" i="6"/>
  <c r="I262" i="6" s="1"/>
  <c r="AC342" i="6"/>
  <c r="AD342" i="6" s="1"/>
  <c r="H429" i="6"/>
  <c r="I429" i="6" s="1"/>
  <c r="N429" i="6"/>
  <c r="O429" i="6" s="1"/>
  <c r="AC429" i="6"/>
  <c r="AD429" i="6" s="1"/>
  <c r="AA429" i="6"/>
  <c r="H227" i="6"/>
  <c r="I227" i="6" s="1"/>
  <c r="W18" i="7"/>
  <c r="X18" i="7" s="1"/>
  <c r="U18" i="7"/>
  <c r="W148" i="7"/>
  <c r="X148" i="7" s="1"/>
  <c r="AC148" i="7"/>
  <c r="AD148" i="7" s="1"/>
  <c r="R148" i="7"/>
  <c r="U197" i="7"/>
  <c r="W197" i="7"/>
  <c r="X197" i="7" s="1"/>
  <c r="W182" i="6"/>
  <c r="X182" i="6" s="1"/>
  <c r="C227" i="6"/>
  <c r="L262" i="6"/>
  <c r="AA262" i="6"/>
  <c r="R295" i="6"/>
  <c r="C343" i="6"/>
  <c r="H343" i="6"/>
  <c r="I343" i="6" s="1"/>
  <c r="L344" i="6"/>
  <c r="AA344" i="6"/>
  <c r="N403" i="6"/>
  <c r="O403" i="6" s="1"/>
  <c r="AC196" i="6"/>
  <c r="AD196" i="6" s="1"/>
  <c r="AC218" i="6"/>
  <c r="AD218" i="6" s="1"/>
  <c r="U358" i="6"/>
  <c r="F396" i="6"/>
  <c r="AC171" i="6"/>
  <c r="AD171" i="6" s="1"/>
  <c r="H193" i="6"/>
  <c r="I193" i="6" s="1"/>
  <c r="AC263" i="6"/>
  <c r="AD263" i="6" s="1"/>
  <c r="C295" i="6"/>
  <c r="H295" i="6"/>
  <c r="I295" i="6" s="1"/>
  <c r="R325" i="6"/>
  <c r="R342" i="6"/>
  <c r="AA368" i="6"/>
  <c r="L393" i="6"/>
  <c r="N393" i="6"/>
  <c r="O393" i="6" s="1"/>
  <c r="W61" i="7"/>
  <c r="X61" i="7" s="1"/>
  <c r="AC61" i="7"/>
  <c r="AD61" i="7" s="1"/>
  <c r="R61" i="7"/>
  <c r="C193" i="6"/>
  <c r="N197" i="6"/>
  <c r="O197" i="6" s="1"/>
  <c r="AC295" i="6"/>
  <c r="AD295" i="6" s="1"/>
  <c r="N325" i="6"/>
  <c r="O325" i="6" s="1"/>
  <c r="H325" i="6"/>
  <c r="I325" i="6" s="1"/>
  <c r="H342" i="6"/>
  <c r="I342" i="6" s="1"/>
  <c r="H441" i="6"/>
  <c r="I441" i="6" s="1"/>
  <c r="C441" i="6"/>
  <c r="N441" i="6"/>
  <c r="O441" i="6" s="1"/>
  <c r="X440" i="6"/>
  <c r="X436" i="6"/>
  <c r="X432" i="6"/>
  <c r="X424" i="6"/>
  <c r="X420" i="6"/>
  <c r="X416" i="6"/>
  <c r="X412" i="6"/>
  <c r="X437" i="6"/>
  <c r="X433" i="6"/>
  <c r="X425" i="6"/>
  <c r="X421" i="6"/>
  <c r="X417" i="6"/>
  <c r="X397" i="6"/>
  <c r="X369" i="6"/>
  <c r="X315" i="6"/>
  <c r="X299" i="6"/>
  <c r="X287" i="6"/>
  <c r="X400" i="6"/>
  <c r="X394" i="6"/>
  <c r="X349" i="6"/>
  <c r="X312" i="6"/>
  <c r="X309" i="6"/>
  <c r="X409" i="6"/>
  <c r="X391" i="6"/>
  <c r="X381" i="6"/>
  <c r="X373" i="6"/>
  <c r="X322" i="6"/>
  <c r="X319" i="6"/>
  <c r="X306" i="6"/>
  <c r="X303" i="6"/>
  <c r="X291" i="6"/>
  <c r="X385" i="6"/>
  <c r="X376" i="6"/>
  <c r="X362" i="6"/>
  <c r="X350" i="6"/>
  <c r="X331" i="6"/>
  <c r="X279" i="6"/>
  <c r="X401" i="6"/>
  <c r="C18" i="7"/>
  <c r="H18" i="7"/>
  <c r="I18" i="7" s="1"/>
  <c r="H29" i="7"/>
  <c r="I29" i="7" s="1"/>
  <c r="F29" i="7"/>
  <c r="B172" i="7"/>
  <c r="N124" i="7"/>
  <c r="O124" i="7" s="1"/>
  <c r="H124" i="7"/>
  <c r="I124" i="7" s="1"/>
  <c r="C124" i="7"/>
  <c r="C368" i="6"/>
  <c r="N396" i="6"/>
  <c r="O396" i="6" s="1"/>
  <c r="AC396" i="6"/>
  <c r="AD396" i="6" s="1"/>
  <c r="C403" i="6"/>
  <c r="R403" i="6"/>
  <c r="U428" i="6"/>
  <c r="C197" i="7"/>
  <c r="N197" i="7"/>
  <c r="O197" i="7" s="1"/>
  <c r="H197" i="7"/>
  <c r="I197" i="7" s="1"/>
  <c r="N284" i="6"/>
  <c r="O284" i="6" s="1"/>
  <c r="AA284" i="6"/>
  <c r="N358" i="6"/>
  <c r="O358" i="6" s="1"/>
  <c r="AC358" i="6"/>
  <c r="AD358" i="6" s="1"/>
  <c r="R368" i="6"/>
  <c r="U62" i="7"/>
  <c r="W442" i="6"/>
  <c r="X442" i="6" s="1"/>
  <c r="I378" i="6"/>
  <c r="I388" i="6"/>
  <c r="I394" i="6"/>
  <c r="W429" i="6"/>
  <c r="X429" i="6" s="1"/>
  <c r="R429" i="6"/>
  <c r="O438" i="6"/>
  <c r="O434" i="6"/>
  <c r="O426" i="6"/>
  <c r="O422" i="6"/>
  <c r="O418" i="6"/>
  <c r="O414" i="6"/>
  <c r="O439" i="6"/>
  <c r="O435" i="6"/>
  <c r="O427" i="6"/>
  <c r="O423" i="6"/>
  <c r="O419" i="6"/>
  <c r="O415" i="6"/>
  <c r="N18" i="7"/>
  <c r="O18" i="7" s="1"/>
  <c r="H61" i="7"/>
  <c r="I61" i="7" s="1"/>
  <c r="H122" i="7"/>
  <c r="I122" i="7" s="1"/>
  <c r="N122" i="7"/>
  <c r="O122" i="7" s="1"/>
  <c r="N428" i="6"/>
  <c r="O428" i="6" s="1"/>
  <c r="AC441" i="6"/>
  <c r="AD441" i="6" s="1"/>
  <c r="AC122" i="7"/>
  <c r="AD122" i="7" s="1"/>
  <c r="R141" i="7"/>
  <c r="AC141" i="7"/>
  <c r="AD141" i="7" s="1"/>
  <c r="W141" i="7"/>
  <c r="X141" i="7" s="1"/>
  <c r="U172" i="7"/>
  <c r="T198" i="7"/>
  <c r="W209" i="7"/>
  <c r="X209" i="7" s="1"/>
  <c r="U209" i="7"/>
  <c r="H40" i="7"/>
  <c r="I40" i="7" s="1"/>
  <c r="W118" i="7"/>
  <c r="X118" i="7" s="1"/>
  <c r="U118" i="7"/>
  <c r="C40" i="7"/>
  <c r="W73" i="7"/>
  <c r="X73" i="7" s="1"/>
  <c r="C148" i="7"/>
  <c r="N148" i="7"/>
  <c r="O148" i="7" s="1"/>
  <c r="H148" i="7"/>
  <c r="I148" i="7" s="1"/>
  <c r="C209" i="7"/>
  <c r="N209" i="7"/>
  <c r="O209" i="7" s="1"/>
  <c r="H209" i="7"/>
  <c r="I209" i="7" s="1"/>
  <c r="W29" i="7"/>
  <c r="X29" i="7" s="1"/>
  <c r="W88" i="7"/>
  <c r="X88" i="7" s="1"/>
  <c r="R88" i="7"/>
  <c r="H170" i="7"/>
  <c r="I170" i="7" s="1"/>
  <c r="W227" i="7"/>
  <c r="X227" i="7" s="1"/>
  <c r="R227" i="7"/>
  <c r="AC227" i="7"/>
  <c r="AD227" i="7" s="1"/>
  <c r="N171" i="7"/>
  <c r="O171" i="7" s="1"/>
  <c r="E172" i="7"/>
  <c r="W196" i="7"/>
  <c r="X196" i="7" s="1"/>
  <c r="AC196" i="7"/>
  <c r="AD196" i="7" s="1"/>
  <c r="R196" i="7"/>
  <c r="N396" i="7"/>
  <c r="O396" i="7" s="1"/>
  <c r="H396" i="7"/>
  <c r="I396" i="7" s="1"/>
  <c r="C396" i="7"/>
  <c r="N62" i="7"/>
  <c r="O62" i="7" s="1"/>
  <c r="W124" i="7"/>
  <c r="X124" i="7" s="1"/>
  <c r="H141" i="7"/>
  <c r="I141" i="7" s="1"/>
  <c r="R171" i="7"/>
  <c r="AC171" i="7"/>
  <c r="AD171" i="7" s="1"/>
  <c r="W193" i="7"/>
  <c r="X193" i="7" s="1"/>
  <c r="R193" i="7"/>
  <c r="K198" i="7"/>
  <c r="L172" i="7"/>
  <c r="W149" i="7"/>
  <c r="X149" i="7" s="1"/>
  <c r="W166" i="7"/>
  <c r="X166" i="7" s="1"/>
  <c r="AC166" i="7"/>
  <c r="AD166" i="7" s="1"/>
  <c r="Z198" i="7"/>
  <c r="H227" i="7"/>
  <c r="I227" i="7" s="1"/>
  <c r="W284" i="7"/>
  <c r="X284" i="7" s="1"/>
  <c r="AC284" i="7"/>
  <c r="AD284" i="7" s="1"/>
  <c r="R284" i="7"/>
  <c r="AC18" i="7"/>
  <c r="AD18" i="7" s="1"/>
  <c r="N29" i="7"/>
  <c r="O29" i="7" s="1"/>
  <c r="AC62" i="7"/>
  <c r="AD62" i="7" s="1"/>
  <c r="N73" i="7"/>
  <c r="O73" i="7" s="1"/>
  <c r="N118" i="7"/>
  <c r="O118" i="7" s="1"/>
  <c r="L124" i="7"/>
  <c r="H166" i="7"/>
  <c r="I166" i="7" s="1"/>
  <c r="N166" i="7"/>
  <c r="O166" i="7" s="1"/>
  <c r="R166" i="7"/>
  <c r="C171" i="7"/>
  <c r="AA124" i="7"/>
  <c r="W171" i="7"/>
  <c r="X171" i="7" s="1"/>
  <c r="N141" i="7"/>
  <c r="O141" i="7" s="1"/>
  <c r="AC193" i="7"/>
  <c r="AD193" i="7" s="1"/>
  <c r="Q172" i="7"/>
  <c r="W262" i="7"/>
  <c r="X262" i="7" s="1"/>
  <c r="U262" i="7"/>
  <c r="H267" i="7"/>
  <c r="I267" i="7" s="1"/>
  <c r="R263" i="7"/>
  <c r="R295" i="7"/>
  <c r="C263" i="7"/>
  <c r="N182" i="7"/>
  <c r="O182" i="7" s="1"/>
  <c r="AC218" i="7"/>
  <c r="AD218" i="7" s="1"/>
  <c r="N273" i="7"/>
  <c r="O273" i="7" s="1"/>
  <c r="W396" i="7"/>
  <c r="X396" i="7" s="1"/>
  <c r="U396" i="7"/>
  <c r="R325" i="7"/>
  <c r="AC343" i="7"/>
  <c r="AD343" i="7" s="1"/>
  <c r="C358" i="7"/>
  <c r="N358" i="7"/>
  <c r="O358" i="7" s="1"/>
  <c r="W324" i="7"/>
  <c r="X324" i="7" s="1"/>
  <c r="AC324" i="7"/>
  <c r="AD324" i="7" s="1"/>
  <c r="C325" i="7"/>
  <c r="W325" i="7"/>
  <c r="X325" i="7" s="1"/>
  <c r="U344" i="7"/>
  <c r="W344" i="7"/>
  <c r="X344" i="7" s="1"/>
  <c r="H325" i="7"/>
  <c r="I325" i="7" s="1"/>
  <c r="H342" i="7"/>
  <c r="I342" i="7" s="1"/>
  <c r="H358" i="7"/>
  <c r="I358" i="7" s="1"/>
  <c r="C393" i="7"/>
  <c r="H393" i="7"/>
  <c r="I393" i="7" s="1"/>
  <c r="C403" i="7"/>
  <c r="H403" i="7"/>
  <c r="I403" i="7" s="1"/>
  <c r="W368" i="7"/>
  <c r="X368" i="7" s="1"/>
  <c r="U368" i="7"/>
  <c r="N236" i="7"/>
  <c r="O236" i="7" s="1"/>
  <c r="AC262" i="7"/>
  <c r="AD262" i="7" s="1"/>
  <c r="AC273" i="7"/>
  <c r="AD273" i="7" s="1"/>
  <c r="N284" i="7"/>
  <c r="O284" i="7" s="1"/>
  <c r="N324" i="7"/>
  <c r="O324" i="7" s="1"/>
  <c r="C342" i="7"/>
  <c r="H344" i="7"/>
  <c r="I344" i="7" s="1"/>
  <c r="W358" i="7"/>
  <c r="X358" i="7" s="1"/>
  <c r="AC342" i="7"/>
  <c r="AD342" i="7" s="1"/>
  <c r="AC358" i="7"/>
  <c r="AD358" i="7" s="1"/>
  <c r="W393" i="7"/>
  <c r="X393" i="7" s="1"/>
  <c r="U393" i="7"/>
  <c r="W403" i="7"/>
  <c r="X403" i="7" s="1"/>
  <c r="U403" i="7"/>
  <c r="AC429" i="7"/>
  <c r="AD429" i="7" s="1"/>
  <c r="N441" i="7"/>
  <c r="O441" i="7" s="1"/>
  <c r="R429" i="7"/>
  <c r="C441" i="7"/>
  <c r="O407" i="7"/>
  <c r="O411" i="7"/>
  <c r="O415" i="7"/>
  <c r="O419" i="7"/>
  <c r="O423" i="7"/>
  <c r="O427" i="7"/>
  <c r="N428" i="7"/>
  <c r="O428" i="7" s="1"/>
  <c r="H429" i="7"/>
  <c r="I429" i="7" s="1"/>
  <c r="O435" i="7"/>
  <c r="AC441" i="7"/>
  <c r="AD441" i="7" s="1"/>
  <c r="W442" i="7"/>
  <c r="X442" i="7" s="1"/>
  <c r="AC428" i="7"/>
  <c r="AD428" i="7" s="1"/>
  <c r="N442" i="7"/>
  <c r="O442" i="7" s="1"/>
  <c r="AC368" i="7"/>
  <c r="AD368" i="7" s="1"/>
  <c r="AC393" i="7"/>
  <c r="AD393" i="7" s="1"/>
  <c r="AC396" i="7"/>
  <c r="AD396" i="7" s="1"/>
  <c r="AC403" i="7"/>
  <c r="AD403" i="7" s="1"/>
  <c r="N429" i="7"/>
  <c r="O429" i="7" s="1"/>
  <c r="AC442" i="7"/>
  <c r="AD442" i="7" s="1"/>
  <c r="K345" i="7" l="1"/>
  <c r="L198" i="7"/>
  <c r="T198" i="5"/>
  <c r="U172" i="5"/>
  <c r="Z345" i="7"/>
  <c r="AA198" i="7"/>
  <c r="Q345" i="6"/>
  <c r="R198" i="6"/>
  <c r="Q345" i="4"/>
  <c r="AC198" i="4"/>
  <c r="AD198" i="4" s="1"/>
  <c r="W198" i="4"/>
  <c r="X198" i="4" s="1"/>
  <c r="R198" i="4"/>
  <c r="Z443" i="3"/>
  <c r="AA443" i="3" s="1"/>
  <c r="AA404" i="3"/>
  <c r="T345" i="7"/>
  <c r="U198" i="7"/>
  <c r="N172" i="7"/>
  <c r="O172" i="7" s="1"/>
  <c r="B198" i="7"/>
  <c r="H172" i="7"/>
  <c r="I172" i="7" s="1"/>
  <c r="C172" i="7"/>
  <c r="Z345" i="5"/>
  <c r="AA198" i="5"/>
  <c r="K345" i="5"/>
  <c r="L198" i="5"/>
  <c r="Q404" i="5"/>
  <c r="AC345" i="5"/>
  <c r="AD345" i="5" s="1"/>
  <c r="R345" i="5"/>
  <c r="E345" i="4"/>
  <c r="F198" i="4"/>
  <c r="U345" i="4"/>
  <c r="T404" i="4"/>
  <c r="T443" i="2"/>
  <c r="U443" i="2" s="1"/>
  <c r="U404" i="2"/>
  <c r="E345" i="6"/>
  <c r="F198" i="6"/>
  <c r="Q345" i="3"/>
  <c r="R198" i="3"/>
  <c r="AC198" i="3"/>
  <c r="AD198" i="3" s="1"/>
  <c r="W198" i="3"/>
  <c r="X198" i="3" s="1"/>
  <c r="Z404" i="2"/>
  <c r="AA345" i="2"/>
  <c r="AA345" i="1"/>
  <c r="Z404" i="1"/>
  <c r="E198" i="7"/>
  <c r="F172" i="7"/>
  <c r="N172" i="6"/>
  <c r="O172" i="6" s="1"/>
  <c r="H172" i="6"/>
  <c r="I172" i="6" s="1"/>
  <c r="B198" i="6"/>
  <c r="C172" i="6"/>
  <c r="W172" i="5"/>
  <c r="X172" i="5" s="1"/>
  <c r="T345" i="3"/>
  <c r="U198" i="3"/>
  <c r="Q198" i="1"/>
  <c r="R172" i="1"/>
  <c r="AC172" i="1"/>
  <c r="AD172" i="1" s="1"/>
  <c r="W172" i="1"/>
  <c r="X172" i="1" s="1"/>
  <c r="E345" i="2"/>
  <c r="F198" i="2"/>
  <c r="L345" i="2"/>
  <c r="K404" i="2"/>
  <c r="E198" i="3"/>
  <c r="F172" i="3"/>
  <c r="L198" i="3"/>
  <c r="K345" i="3"/>
  <c r="B345" i="2"/>
  <c r="C198" i="2"/>
  <c r="N198" i="2"/>
  <c r="O198" i="2" s="1"/>
  <c r="H198" i="2"/>
  <c r="I198" i="2" s="1"/>
  <c r="C198" i="1"/>
  <c r="B345" i="1"/>
  <c r="N198" i="1"/>
  <c r="O198" i="1" s="1"/>
  <c r="H198" i="1"/>
  <c r="I198" i="1" s="1"/>
  <c r="AC172" i="7"/>
  <c r="AD172" i="7" s="1"/>
  <c r="R172" i="7"/>
  <c r="W172" i="7"/>
  <c r="X172" i="7" s="1"/>
  <c r="Q198" i="7"/>
  <c r="K198" i="6"/>
  <c r="L172" i="6"/>
  <c r="Z198" i="4"/>
  <c r="AA172" i="4"/>
  <c r="B345" i="3"/>
  <c r="C198" i="3"/>
  <c r="N198" i="3"/>
  <c r="O198" i="3" s="1"/>
  <c r="T198" i="6"/>
  <c r="W198" i="6" s="1"/>
  <c r="X198" i="6" s="1"/>
  <c r="U172" i="6"/>
  <c r="B345" i="5"/>
  <c r="H198" i="5"/>
  <c r="I198" i="5" s="1"/>
  <c r="N198" i="5"/>
  <c r="O198" i="5" s="1"/>
  <c r="C198" i="5"/>
  <c r="E345" i="5"/>
  <c r="F198" i="5"/>
  <c r="H172" i="4"/>
  <c r="I172" i="4" s="1"/>
  <c r="C172" i="4"/>
  <c r="N172" i="4"/>
  <c r="O172" i="4" s="1"/>
  <c r="B198" i="4"/>
  <c r="K198" i="4"/>
  <c r="L172" i="4"/>
  <c r="Q198" i="2"/>
  <c r="R172" i="2"/>
  <c r="AC172" i="2"/>
  <c r="AD172" i="2" s="1"/>
  <c r="W172" i="2"/>
  <c r="X172" i="2" s="1"/>
  <c r="E345" i="1"/>
  <c r="F198" i="1"/>
  <c r="L345" i="1"/>
  <c r="K404" i="1"/>
  <c r="AA172" i="6"/>
  <c r="Z198" i="6"/>
  <c r="Z345" i="6" l="1"/>
  <c r="AA198" i="6"/>
  <c r="W198" i="7"/>
  <c r="X198" i="7" s="1"/>
  <c r="Q345" i="7"/>
  <c r="AC198" i="7"/>
  <c r="AD198" i="7" s="1"/>
  <c r="R198" i="7"/>
  <c r="L404" i="2"/>
  <c r="K443" i="2"/>
  <c r="L443" i="2" s="1"/>
  <c r="E345" i="7"/>
  <c r="F198" i="7"/>
  <c r="AC345" i="3"/>
  <c r="AD345" i="3" s="1"/>
  <c r="W345" i="3"/>
  <c r="X345" i="3" s="1"/>
  <c r="Q404" i="3"/>
  <c r="R345" i="3"/>
  <c r="F345" i="4"/>
  <c r="E404" i="4"/>
  <c r="Z404" i="5"/>
  <c r="AA345" i="5"/>
  <c r="R345" i="6"/>
  <c r="AC345" i="6"/>
  <c r="AD345" i="6" s="1"/>
  <c r="Q404" i="6"/>
  <c r="E345" i="3"/>
  <c r="F198" i="3"/>
  <c r="AC198" i="2"/>
  <c r="AD198" i="2" s="1"/>
  <c r="W198" i="2"/>
  <c r="X198" i="2" s="1"/>
  <c r="Q345" i="2"/>
  <c r="R198" i="2"/>
  <c r="H198" i="3"/>
  <c r="I198" i="3" s="1"/>
  <c r="T404" i="3"/>
  <c r="U345" i="3"/>
  <c r="E404" i="6"/>
  <c r="F345" i="6"/>
  <c r="AA345" i="7"/>
  <c r="Z404" i="7"/>
  <c r="U198" i="6"/>
  <c r="T345" i="6"/>
  <c r="W345" i="6" s="1"/>
  <c r="X345" i="6" s="1"/>
  <c r="K345" i="6"/>
  <c r="L198" i="6"/>
  <c r="Q345" i="1"/>
  <c r="AC198" i="1"/>
  <c r="AD198" i="1" s="1"/>
  <c r="R198" i="1"/>
  <c r="W198" i="1"/>
  <c r="X198" i="1" s="1"/>
  <c r="E404" i="5"/>
  <c r="F345" i="5"/>
  <c r="AA404" i="1"/>
  <c r="Z443" i="1"/>
  <c r="AA443" i="1" s="1"/>
  <c r="L404" i="1"/>
  <c r="K443" i="1"/>
  <c r="L443" i="1" s="1"/>
  <c r="B404" i="2"/>
  <c r="N345" i="2"/>
  <c r="O345" i="2" s="1"/>
  <c r="C345" i="2"/>
  <c r="H345" i="2"/>
  <c r="I345" i="2" s="1"/>
  <c r="F345" i="2"/>
  <c r="E404" i="2"/>
  <c r="N198" i="7"/>
  <c r="O198" i="7" s="1"/>
  <c r="B345" i="7"/>
  <c r="C198" i="7"/>
  <c r="H198" i="7"/>
  <c r="I198" i="7" s="1"/>
  <c r="L198" i="4"/>
  <c r="K345" i="4"/>
  <c r="B345" i="4"/>
  <c r="N198" i="4"/>
  <c r="O198" i="4" s="1"/>
  <c r="H198" i="4"/>
  <c r="I198" i="4" s="1"/>
  <c r="C198" i="4"/>
  <c r="R345" i="4"/>
  <c r="Q404" i="4"/>
  <c r="W345" i="4"/>
  <c r="X345" i="4" s="1"/>
  <c r="T345" i="5"/>
  <c r="U198" i="5"/>
  <c r="W198" i="5"/>
  <c r="X198" i="5" s="1"/>
  <c r="B404" i="3"/>
  <c r="N345" i="3"/>
  <c r="O345" i="3" s="1"/>
  <c r="H345" i="3"/>
  <c r="I345" i="3" s="1"/>
  <c r="C345" i="3"/>
  <c r="B404" i="5"/>
  <c r="N345" i="5"/>
  <c r="O345" i="5" s="1"/>
  <c r="H345" i="5"/>
  <c r="I345" i="5" s="1"/>
  <c r="C345" i="5"/>
  <c r="Z345" i="4"/>
  <c r="AC345" i="4" s="1"/>
  <c r="AD345" i="4" s="1"/>
  <c r="AA198" i="4"/>
  <c r="T443" i="4"/>
  <c r="U443" i="4" s="1"/>
  <c r="U404" i="4"/>
  <c r="AC198" i="6"/>
  <c r="AD198" i="6" s="1"/>
  <c r="L345" i="3"/>
  <c r="K404" i="3"/>
  <c r="H198" i="6"/>
  <c r="I198" i="6" s="1"/>
  <c r="B345" i="6"/>
  <c r="C198" i="6"/>
  <c r="N198" i="6"/>
  <c r="O198" i="6" s="1"/>
  <c r="AA404" i="2"/>
  <c r="Z443" i="2"/>
  <c r="AA443" i="2" s="1"/>
  <c r="Q443" i="5"/>
  <c r="R404" i="5"/>
  <c r="AC404" i="5"/>
  <c r="AD404" i="5" s="1"/>
  <c r="E404" i="1"/>
  <c r="F345" i="1"/>
  <c r="C345" i="1"/>
  <c r="B404" i="1"/>
  <c r="N345" i="1"/>
  <c r="O345" i="1" s="1"/>
  <c r="H345" i="1"/>
  <c r="I345" i="1" s="1"/>
  <c r="K404" i="5"/>
  <c r="L345" i="5"/>
  <c r="T404" i="7"/>
  <c r="U345" i="7"/>
  <c r="L345" i="7"/>
  <c r="K404" i="7"/>
  <c r="Q404" i="1" l="1"/>
  <c r="AC345" i="1"/>
  <c r="AD345" i="1" s="1"/>
  <c r="W345" i="1"/>
  <c r="X345" i="1" s="1"/>
  <c r="R345" i="1"/>
  <c r="F404" i="6"/>
  <c r="E443" i="6"/>
  <c r="F443" i="6" s="1"/>
  <c r="E443" i="4"/>
  <c r="F443" i="4" s="1"/>
  <c r="F404" i="4"/>
  <c r="L404" i="3"/>
  <c r="K443" i="3"/>
  <c r="L443" i="3" s="1"/>
  <c r="E443" i="2"/>
  <c r="F443" i="2" s="1"/>
  <c r="F404" i="2"/>
  <c r="E404" i="3"/>
  <c r="F345" i="3"/>
  <c r="U345" i="5"/>
  <c r="T404" i="5"/>
  <c r="W345" i="5"/>
  <c r="X345" i="5" s="1"/>
  <c r="B404" i="4"/>
  <c r="N345" i="4"/>
  <c r="O345" i="4" s="1"/>
  <c r="C345" i="4"/>
  <c r="H345" i="4"/>
  <c r="I345" i="4" s="1"/>
  <c r="K404" i="6"/>
  <c r="L345" i="6"/>
  <c r="U404" i="3"/>
  <c r="T443" i="3"/>
  <c r="U443" i="3" s="1"/>
  <c r="R443" i="5"/>
  <c r="T404" i="6"/>
  <c r="W404" i="6" s="1"/>
  <c r="X404" i="6" s="1"/>
  <c r="U345" i="6"/>
  <c r="R404" i="6"/>
  <c r="Q443" i="6"/>
  <c r="Q443" i="3"/>
  <c r="AC404" i="3"/>
  <c r="AD404" i="3" s="1"/>
  <c r="W404" i="3"/>
  <c r="X404" i="3" s="1"/>
  <c r="R404" i="3"/>
  <c r="K443" i="5"/>
  <c r="L443" i="5" s="1"/>
  <c r="L404" i="5"/>
  <c r="K404" i="4"/>
  <c r="L345" i="4"/>
  <c r="AC404" i="4"/>
  <c r="AD404" i="4" s="1"/>
  <c r="R404" i="4"/>
  <c r="Q443" i="4"/>
  <c r="W404" i="4"/>
  <c r="X404" i="4" s="1"/>
  <c r="E443" i="5"/>
  <c r="F443" i="5" s="1"/>
  <c r="F404" i="5"/>
  <c r="Q404" i="7"/>
  <c r="W345" i="7"/>
  <c r="X345" i="7" s="1"/>
  <c r="AC345" i="7"/>
  <c r="AD345" i="7" s="1"/>
  <c r="R345" i="7"/>
  <c r="AA404" i="7"/>
  <c r="Z443" i="7"/>
  <c r="AA443" i="7" s="1"/>
  <c r="Q404" i="2"/>
  <c r="R345" i="2"/>
  <c r="AC345" i="2"/>
  <c r="AD345" i="2" s="1"/>
  <c r="W345" i="2"/>
  <c r="X345" i="2" s="1"/>
  <c r="L404" i="7"/>
  <c r="K443" i="7"/>
  <c r="L443" i="7" s="1"/>
  <c r="B443" i="5"/>
  <c r="N404" i="5"/>
  <c r="O404" i="5" s="1"/>
  <c r="H404" i="5"/>
  <c r="I404" i="5" s="1"/>
  <c r="C404" i="5"/>
  <c r="C404" i="2"/>
  <c r="N404" i="2"/>
  <c r="O404" i="2" s="1"/>
  <c r="B443" i="2"/>
  <c r="H404" i="2"/>
  <c r="I404" i="2" s="1"/>
  <c r="C404" i="1"/>
  <c r="B443" i="1"/>
  <c r="N404" i="1"/>
  <c r="O404" i="1" s="1"/>
  <c r="H404" i="1"/>
  <c r="I404" i="1" s="1"/>
  <c r="T443" i="7"/>
  <c r="U443" i="7" s="1"/>
  <c r="U404" i="7"/>
  <c r="E443" i="1"/>
  <c r="F443" i="1" s="1"/>
  <c r="F404" i="1"/>
  <c r="C345" i="6"/>
  <c r="N345" i="6"/>
  <c r="O345" i="6" s="1"/>
  <c r="B404" i="6"/>
  <c r="H345" i="6"/>
  <c r="I345" i="6" s="1"/>
  <c r="Z404" i="4"/>
  <c r="AA345" i="4"/>
  <c r="B443" i="3"/>
  <c r="N404" i="3"/>
  <c r="O404" i="3" s="1"/>
  <c r="H404" i="3"/>
  <c r="I404" i="3" s="1"/>
  <c r="C404" i="3"/>
  <c r="C345" i="7"/>
  <c r="H345" i="7"/>
  <c r="I345" i="7" s="1"/>
  <c r="B404" i="7"/>
  <c r="N345" i="7"/>
  <c r="O345" i="7" s="1"/>
  <c r="Z443" i="5"/>
  <c r="AA443" i="5" s="1"/>
  <c r="AA404" i="5"/>
  <c r="E404" i="7"/>
  <c r="F345" i="7"/>
  <c r="AA345" i="6"/>
  <c r="Z404" i="6"/>
  <c r="Z443" i="6" l="1"/>
  <c r="AA443" i="6" s="1"/>
  <c r="AA404" i="6"/>
  <c r="U404" i="5"/>
  <c r="T443" i="5"/>
  <c r="W404" i="5"/>
  <c r="X404" i="5" s="1"/>
  <c r="C404" i="6"/>
  <c r="H404" i="6"/>
  <c r="I404" i="6" s="1"/>
  <c r="N404" i="6"/>
  <c r="O404" i="6" s="1"/>
  <c r="B443" i="6"/>
  <c r="AC404" i="2"/>
  <c r="AD404" i="2" s="1"/>
  <c r="W404" i="2"/>
  <c r="X404" i="2" s="1"/>
  <c r="R404" i="2"/>
  <c r="Q443" i="2"/>
  <c r="C443" i="1"/>
  <c r="N443" i="1"/>
  <c r="O443" i="1" s="1"/>
  <c r="H443" i="1"/>
  <c r="I443" i="1" s="1"/>
  <c r="K443" i="6"/>
  <c r="L443" i="6" s="1"/>
  <c r="L404" i="6"/>
  <c r="E443" i="7"/>
  <c r="F443" i="7" s="1"/>
  <c r="F404" i="7"/>
  <c r="N443" i="5"/>
  <c r="O443" i="5" s="1"/>
  <c r="C443" i="5"/>
  <c r="H443" i="5"/>
  <c r="I443" i="5" s="1"/>
  <c r="R443" i="4"/>
  <c r="W443" i="4"/>
  <c r="X443" i="4" s="1"/>
  <c r="T443" i="6"/>
  <c r="U443" i="6" s="1"/>
  <c r="U404" i="6"/>
  <c r="F404" i="3"/>
  <c r="E443" i="3"/>
  <c r="F443" i="3" s="1"/>
  <c r="H443" i="2"/>
  <c r="I443" i="2" s="1"/>
  <c r="C443" i="2"/>
  <c r="N443" i="2"/>
  <c r="O443" i="2" s="1"/>
  <c r="AC443" i="3"/>
  <c r="AD443" i="3" s="1"/>
  <c r="W443" i="3"/>
  <c r="X443" i="3" s="1"/>
  <c r="R443" i="3"/>
  <c r="AC404" i="6"/>
  <c r="AD404" i="6" s="1"/>
  <c r="B443" i="4"/>
  <c r="N404" i="4"/>
  <c r="O404" i="4" s="1"/>
  <c r="H404" i="4"/>
  <c r="I404" i="4" s="1"/>
  <c r="C404" i="4"/>
  <c r="N443" i="3"/>
  <c r="O443" i="3" s="1"/>
  <c r="C443" i="3"/>
  <c r="AC443" i="5"/>
  <c r="AD443" i="5" s="1"/>
  <c r="C404" i="7"/>
  <c r="B443" i="7"/>
  <c r="N404" i="7"/>
  <c r="O404" i="7" s="1"/>
  <c r="H404" i="7"/>
  <c r="I404" i="7" s="1"/>
  <c r="Z443" i="4"/>
  <c r="AA443" i="4" s="1"/>
  <c r="AA404" i="4"/>
  <c r="W404" i="7"/>
  <c r="X404" i="7" s="1"/>
  <c r="Q443" i="7"/>
  <c r="AC404" i="7"/>
  <c r="AD404" i="7" s="1"/>
  <c r="R404" i="7"/>
  <c r="K443" i="4"/>
  <c r="L443" i="4" s="1"/>
  <c r="L404" i="4"/>
  <c r="AC443" i="6"/>
  <c r="AD443" i="6" s="1"/>
  <c r="W443" i="6"/>
  <c r="X443" i="6" s="1"/>
  <c r="R443" i="6"/>
  <c r="Q443" i="1"/>
  <c r="AC404" i="1"/>
  <c r="AD404" i="1" s="1"/>
  <c r="R404" i="1"/>
  <c r="W404" i="1"/>
  <c r="X404" i="1" s="1"/>
  <c r="H443" i="3" l="1"/>
  <c r="I443" i="3" s="1"/>
  <c r="N443" i="4"/>
  <c r="O443" i="4" s="1"/>
  <c r="C443" i="4"/>
  <c r="H443" i="4"/>
  <c r="I443" i="4" s="1"/>
  <c r="W443" i="2"/>
  <c r="X443" i="2" s="1"/>
  <c r="R443" i="2"/>
  <c r="AC443" i="2"/>
  <c r="AD443" i="2" s="1"/>
  <c r="W443" i="7"/>
  <c r="X443" i="7" s="1"/>
  <c r="R443" i="7"/>
  <c r="AC443" i="7"/>
  <c r="AD443" i="7" s="1"/>
  <c r="U443" i="5"/>
  <c r="W443" i="5"/>
  <c r="X443" i="5" s="1"/>
  <c r="AC443" i="1"/>
  <c r="AD443" i="1" s="1"/>
  <c r="W443" i="1"/>
  <c r="X443" i="1" s="1"/>
  <c r="R443" i="1"/>
  <c r="H443" i="7"/>
  <c r="I443" i="7" s="1"/>
  <c r="C443" i="7"/>
  <c r="N443" i="7"/>
  <c r="O443" i="7" s="1"/>
  <c r="AC443" i="4"/>
  <c r="AD443" i="4" s="1"/>
  <c r="C443" i="6"/>
  <c r="N443" i="6"/>
  <c r="O443" i="6" s="1"/>
  <c r="H443" i="6"/>
  <c r="I443" i="6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<sst xmlns="http://schemas.openxmlformats.org/spreadsheetml/2006/main" count="3934" uniqueCount="417">
  <si>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</si>
  <si>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02/23/2025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</si>
  <si>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</si>
  <si>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</si>
  <si>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</si>
  <si>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</si>
  <si>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</si>
  <si>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</si>
  <si>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</si>
  <si>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</si>
  <si>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</si>
  <si>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</si>
  <si>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</si>
  <si>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</si>
  <si>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</si>
  <si>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</si>
  <si>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</si>
  <si>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</si>
  <si>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</si>
  <si>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</si>
  <si>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</si>
  <si>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</si>
  <si>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</si>
  <si>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</si>
  <si>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</si>
  <si>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</si>
  <si>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</si>
  <si>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</si>
  <si>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</si>
  <si>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</si>
  <si>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</si>
  <si>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</si>
  <si>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</si>
  <si>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</si>
  <si>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</si>
  <si>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</si>
  <si>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</si>
  <si>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</si>
  <si>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</si>
  <si>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</si>
  <si>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</si>
  <si>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</si>
  <si>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</si>
  <si>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</si>
  <si>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</si>
  <si>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</si>
  <si>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</si>
  <si>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</si>
  <si>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</si>
  <si>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</si>
  <si>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</si>
  <si>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</si>
  <si>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</si>
  <si>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</si>
  <si>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</si>
  <si>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</si>
  <si>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</si>
  <si>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</si>
  <si>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</si>
  <si>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</si>
  <si>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</si>
  <si>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</si>
  <si>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</si>
  <si>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</si>
  <si>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</si>
  <si>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</si>
  <si>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</si>
  <si>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</si>
  <si>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</si>
  <si>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</si>
  <si>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</si>
  <si>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</si>
  <si>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</si>
  <si>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</si>
  <si>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</si>
  <si>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</si>
  <si>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</si>
  <si>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</si>
  <si>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</si>
  <si>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</si>
  <si>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</si>
  <si>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</si>
  <si>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</si>
  <si>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</si>
  <si>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</si>
  <si>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</si>
  <si>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</si>
  <si>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</si>
  <si>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</si>
  <si>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</si>
  <si>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</si>
  <si>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</si>
  <si>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</si>
  <si>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</si>
  <si>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</si>
  <si>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</si>
  <si>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</si>
  <si>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</si>
  <si>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</si>
  <si>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</si>
  <si>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</si>
  <si>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</si>
  <si>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</si>
  <si>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</si>
  <si>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</si>
  <si>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</si>
  <si>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</si>
  <si>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</si>
  <si>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</si>
  <si>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</si>
  <si>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</si>
  <si>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</si>
  <si>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</si>
  <si>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</si>
  <si>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</si>
  <si>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</si>
  <si>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</si>
  <si>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</si>
  <si>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</si>
  <si>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</si>
  <si>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</si>
  <si>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</si>
  <si>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</si>
  <si>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</si>
  <si>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</si>
  <si>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</si>
  <si>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</si>
  <si>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</si>
  <si>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</si>
  <si>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</si>
  <si>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</si>
  <si>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</si>
  <si>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</si>
  <si>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</si>
  <si>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</si>
  <si>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</si>
  <si>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</si>
  <si>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</si>
  <si>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</si>
  <si>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</si>
  <si>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</si>
  <si>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</si>
  <si>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</si>
  <si>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</si>
  <si>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</si>
  <si>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</si>
  <si>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</si>
  <si>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</si>
  <si>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</si>
  <si>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</si>
  <si>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</si>
  <si>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</si>
  <si>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</si>
  <si>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</si>
  <si>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</si>
  <si>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</si>
  <si>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</si>
  <si>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</si>
  <si>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</si>
  <si>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</si>
  <si>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</si>
  <si>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</si>
  <si>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</si>
  <si>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</si>
  <si>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</si>
  <si>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</si>
  <si>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</si>
  <si>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</si>
  <si>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</si>
  <si>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</si>
  <si>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</si>
  <si>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</si>
  <si>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</si>
  <si>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</si>
  <si>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</si>
  <si>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</si>
  <si>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</si>
  <si>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</si>
  <si>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</si>
  <si>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</si>
  <si>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</si>
  <si>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</si>
  <si>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</si>
  <si>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</si>
  <si>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</si>
  <si>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</si>
  <si>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</si>
  <si>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</si>
  <si>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</si>
  <si>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</si>
  <si>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</si>
  <si>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</si>
  <si>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</si>
  <si>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</si>
  <si>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</si>
  <si>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</si>
  <si>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</si>
  <si>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</si>
  <si>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</si>
  <si>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</si>
  <si>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</si>
  <si>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</si>
  <si>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</si>
  <si>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</si>
  <si>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</si>
  <si>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</si>
  <si>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</si>
  <si>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</si>
  <si>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</si>
  <si>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</si>
  <si>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</si>
  <si>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</si>
  <si>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</si>
  <si>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</si>
  <si>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</si>
  <si>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</si>
  <si>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</si>
  <si>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</si>
  <si>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</si>
  <si>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</si>
  <si>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</si>
  <si>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</si>
  <si>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</si>
  <si>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</si>
  <si>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</si>
  <si>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</si>
  <si>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</si>
  <si>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</si>
  <si>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</si>
  <si>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</si>
  <si>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</si>
  <si>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</si>
  <si>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</si>
  <si>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</si>
  <si>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</si>
  <si>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</si>
  <si>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</si>
  <si>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</si>
  <si>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</si>
  <si>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</si>
  <si>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</si>
  <si>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</si>
  <si>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</si>
  <si>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</si>
  <si>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</si>
  <si>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</si>
  <si>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</si>
  <si>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</si>
  <si>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</si>
  <si>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</si>
  <si>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</si>
  <si>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</si>
  <si>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</si>
  <si>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</si>
  <si>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</si>
  <si>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</si>
  <si>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</si>
  <si>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</si>
  <si>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</si>
  <si>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</si>
  <si>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</si>
  <si>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</si>
  <si>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</si>
  <si>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</si>
  <si>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</si>
  <si>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</si>
  <si>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</si>
  <si>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</si>
  <si>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</si>
  <si>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</si>
  <si>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</si>
  <si>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</si>
  <si>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</si>
  <si>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</si>
  <si>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</si>
  <si>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</si>
  <si>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</si>
  <si>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</si>
  <si>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</si>
  <si>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</si>
  <si>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</si>
  <si>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</si>
  <si>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</si>
  <si>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</si>
  <si>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</si>
  <si>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</si>
  <si>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</si>
  <si>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</si>
  <si>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</si>
  <si>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</si>
  <si>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</si>
  <si>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</si>
  <si>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</si>
  <si>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</si>
  <si>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</si>
  <si>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</si>
  <si>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</si>
  <si>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</si>
  <si>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</si>
  <si>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</si>
  <si>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</si>
  <si>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</si>
  <si>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</si>
  <si>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</si>
  <si>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</si>
  <si>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</si>
  <si>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</si>
  <si>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</si>
  <si>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</si>
  <si>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</si>
  <si>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</si>
  <si>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</si>
  <si>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</si>
  <si>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</si>
  <si>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</si>
  <si>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</si>
  <si>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</si>
  <si>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</si>
  <si>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</si>
  <si>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</si>
  <si>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</si>
  <si>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</si>
  <si>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</si>
  <si>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</si>
  <si>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</si>
  <si>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</si>
  <si>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</si>
  <si>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</si>
  <si>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</si>
  <si>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</si>
  <si>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</si>
  <si>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</si>
  <si>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</si>
  <si>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</si>
  <si>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</si>
  <si>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</si>
  <si>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</si>
  <si>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</si>
  <si>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</si>
  <si>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</si>
  <si>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</si>
  <si>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</si>
  <si>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</si>
  <si>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</si>
  <si>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</si>
  <si>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</si>
  <si>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</si>
  <si>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</si>
  <si>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</si>
  <si>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</si>
  <si>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</si>
  <si>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</si>
  <si>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</si>
  <si>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</si>
  <si>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</si>
  <si>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</si>
  <si>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</si>
  <si>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</si>
  <si>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</si>
  <si>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</si>
  <si>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</si>
  <si>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</si>
  <si>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</si>
  <si>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</si>
  <si>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</si>
  <si>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</si>
  <si>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</si>
  <si>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</si>
  <si>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</si>
  <si>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</si>
  <si>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</si>
  <si>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</si>
  <si>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</si>
  <si>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</si>
  <si>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</si>
  <si>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</si>
  <si>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</si>
  <si>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</si>
  <si>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</si>
  <si>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</si>
  <si>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</si>
  <si>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</si>
  <si>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</si>
  <si>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</si>
  <si>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</si>
  <si>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</si>
  <si>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</si>
  <si>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</si>
  <si>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</si>
  <si>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</si>
  <si>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</si>
  <si>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</si>
  <si>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</si>
  <si>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</si>
  <si>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</si>
  <si>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</si>
  <si>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</si>
  <si>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</si>
  <si>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</si>
  <si>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</si>
  <si>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</si>
  <si>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</si>
  <si>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</si>
  <si>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</si>
  <si>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</si>
  <si>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</si>
  <si>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</si>
  <si>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</si>
  <si>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</si>
  <si>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</si>
  <si>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06:49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</si>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</sst>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217618.61999999997</v>
      </c>
      <c r="F10" s="8">
        <f>IFERROR(E10/E444, "NA")</f>
        <v>0.45068462684528016</v>
      </c>
      <c r="G10" s="9"/>
      <c r="H10" s="10">
        <f t="shared" ref="H10:H19" si="0">IFERROR(B10-E10, "NA")</f>
        <v>-217618.61999999997</v>
      </c>
      <c r="I10" s="8">
        <f>IFERROR(H10/H444, "NA")</f>
        <v>46.098900796283004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381127.63</v>
      </c>
      <c r="U10" s="8">
        <f>IFERROR(T10/T444, "NA")</f>
        <v>0.45585906878487614</v>
      </c>
      <c r="V10" s="9"/>
      <c r="W10" s="10">
        <f t="shared" ref="W10:W19" si="2">IFERROR(Q10-T10, "NA")</f>
        <v>-381127.63</v>
      </c>
      <c r="X10" s="8">
        <f>IFERROR(W10/W444, "NA")</f>
        <v>-4.909385572656805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175033.71</v>
      </c>
      <c r="C11" s="8">
        <f>IFERROR(B11/B444, "NA")</f>
        <v>0.36607085156067354</v>
      </c>
      <c r="D11" s="9"/>
      <c r="E11" s="7">
        <v>0</v>
      </c>
      <c r="F11" s="8">
        <f>IFERROR(E11/E444, "NA")</f>
        <v>0</v>
      </c>
      <c r="G11" s="9"/>
      <c r="H11" s="10">
        <f t="shared" si="0"/>
        <v>175033.71</v>
      </c>
      <c r="I11" s="8">
        <f>IFERROR(H11/H444, "NA")</f>
        <v>-37.077992835793964</v>
      </c>
      <c r="J11" s="9"/>
      <c r="K11" s="7">
        <v>187767.46</v>
      </c>
      <c r="L11" s="8">
        <f>IFERROR(K11/K444, "NA")</f>
        <v>0.44472228746051401</v>
      </c>
      <c r="M11" s="9"/>
      <c r="N11" s="10">
        <f t="shared" si="1"/>
        <v>-12733.75</v>
      </c>
      <c r="O11" s="8">
        <f>IFERROR(N11/N444, "NA")</f>
        <v>-0.227677950421947</v>
      </c>
      <c r="P11" s="9"/>
      <c r="Q11" s="7">
        <v>333026.74</v>
      </c>
      <c r="R11" s="8">
        <f>IFERROR(Q11/Q444, "NA")</f>
        <v>0.36448266961133347</v>
      </c>
      <c r="S11" s="9"/>
      <c r="T11" s="7">
        <v>0</v>
      </c>
      <c r="U11" s="8">
        <f>IFERROR(T11/T444, "NA")</f>
        <v>0</v>
      </c>
      <c r="V11" s="9"/>
      <c r="W11" s="10">
        <f t="shared" si="2"/>
        <v>333026.74</v>
      </c>
      <c r="X11" s="8">
        <f>IFERROR(W11/W444, "NA")</f>
        <v>4.2897878400076346</v>
      </c>
      <c r="Y11" s="9"/>
      <c r="Z11" s="7">
        <v>360458.39</v>
      </c>
      <c r="AA11" s="8">
        <f>IFERROR(Z11/Z444, "NA")</f>
        <v>0.46514283081828262</v>
      </c>
      <c r="AB11" s="9"/>
      <c r="AC11" s="10">
        <f t="shared" si="3"/>
        <v>-27431.650000000023</v>
      </c>
      <c r="AD11" s="8">
        <f>IFERROR(AC11/AC444, "NA")</f>
        <v>-0.19769739272066236</v>
      </c>
    </row>
    <row r="12" spans="1:30" ht="16.5" customHeight="1" x14ac:dyDescent="0.45">
      <c r="A12" s="12" t="s">
        <v>14</v>
      </c>
      <c r="B12" s="7">
        <v>16686.05</v>
      </c>
      <c r="C12" s="8">
        <f>IFERROR(B12/B444, "NA")</f>
        <v>3.4897715032629867E-2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16686.05</v>
      </c>
      <c r="I12" s="8">
        <f>IFERROR(H12/H444, "NA")</f>
        <v>-3.53466336488954</v>
      </c>
      <c r="J12" s="9"/>
      <c r="K12" s="7">
        <v>17136.55</v>
      </c>
      <c r="L12" s="8">
        <f>IFERROR(K12/K444, "NA")</f>
        <v>4.0587467685729316E-2</v>
      </c>
      <c r="M12" s="9"/>
      <c r="N12" s="10">
        <f t="shared" si="1"/>
        <v>-450.5</v>
      </c>
      <c r="O12" s="8">
        <f>IFERROR(N12/N444, "NA")</f>
        <v>-8.0548869472925975E-3</v>
      </c>
      <c r="P12" s="9"/>
      <c r="Q12" s="7">
        <v>31989.599999999999</v>
      </c>
      <c r="R12" s="8">
        <f>IFERROR(Q12/Q444, "NA")</f>
        <v>3.5011166994574405E-2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31989.599999999999</v>
      </c>
      <c r="X12" s="8">
        <f>IFERROR(W12/W444, "NA")</f>
        <v>0.41206480022207292</v>
      </c>
      <c r="Y12" s="9"/>
      <c r="Z12" s="7">
        <v>32182.550000000003</v>
      </c>
      <c r="AA12" s="8">
        <f>IFERROR(Z12/Z444, "NA")</f>
        <v>4.1529016455827045E-2</v>
      </c>
      <c r="AB12" s="9"/>
      <c r="AC12" s="10">
        <f t="shared" si="3"/>
        <v>-192.95000000000437</v>
      </c>
      <c r="AD12" s="8">
        <f>IFERROR(AC12/AC444, "NA")</f>
        <v>-1.3905730032809777E-3</v>
      </c>
    </row>
    <row r="13" spans="1:30" ht="16.5" customHeight="1" x14ac:dyDescent="0.45">
      <c r="A13" s="12" t="s">
        <v>15</v>
      </c>
      <c r="B13" s="7">
        <v>594</v>
      </c>
      <c r="C13" s="8">
        <f>IFERROR(B13/B444, "NA")</f>
        <v>1.2423097575149386E-3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594</v>
      </c>
      <c r="I13" s="8">
        <f>IFERROR(H13/H444, "NA")</f>
        <v>-0.12582906312424971</v>
      </c>
      <c r="J13" s="9"/>
      <c r="K13" s="7">
        <v>749.99</v>
      </c>
      <c r="L13" s="8">
        <f>IFERROR(K13/K444, "NA")</f>
        <v>1.7763315772206267E-3</v>
      </c>
      <c r="M13" s="9"/>
      <c r="N13" s="10">
        <f t="shared" si="1"/>
        <v>-155.99</v>
      </c>
      <c r="O13" s="8">
        <f>IFERROR(N13/N444, "NA")</f>
        <v>-2.7890828299848443E-3</v>
      </c>
      <c r="P13" s="9"/>
      <c r="Q13" s="7">
        <v>1024</v>
      </c>
      <c r="R13" s="8">
        <f>IFERROR(Q13/Q444, "NA")</f>
        <v>1.1207215783393413E-3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1024</v>
      </c>
      <c r="X13" s="8">
        <f>IFERROR(W13/W444, "NA")</f>
        <v>1.3190360474260469E-2</v>
      </c>
      <c r="Y13" s="9"/>
      <c r="Z13" s="7">
        <v>1304.49</v>
      </c>
      <c r="AA13" s="8">
        <f>IFERROR(Z13/Z444, "NA")</f>
        <v>1.6833404026859839E-3</v>
      </c>
      <c r="AB13" s="9"/>
      <c r="AC13" s="10">
        <f t="shared" si="3"/>
        <v>-280.49</v>
      </c>
      <c r="AD13" s="8">
        <f>IFERROR(AC13/AC444, "NA")</f>
        <v>-2.021465777093924E-3</v>
      </c>
    </row>
    <row r="14" spans="1:30" ht="16.5" customHeight="1" x14ac:dyDescent="0.45">
      <c r="A14" s="12" t="s">
        <v>16</v>
      </c>
      <c r="B14" s="7">
        <v>1240</v>
      </c>
      <c r="C14" s="8">
        <f>IFERROR(B14/B444, "NA")</f>
        <v>2.5933739045766397E-3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1240</v>
      </c>
      <c r="I14" s="8">
        <f>IFERROR(H14/H444, "NA")</f>
        <v>-0.26267346510786133</v>
      </c>
      <c r="J14" s="9"/>
      <c r="K14" s="7">
        <v>2201</v>
      </c>
      <c r="L14" s="8">
        <f>IFERROR(K14/K444, "NA")</f>
        <v>5.2130105754244708E-3</v>
      </c>
      <c r="M14" s="9"/>
      <c r="N14" s="10">
        <f t="shared" si="1"/>
        <v>-961</v>
      </c>
      <c r="O14" s="8">
        <f>IFERROR(N14/N444, "NA")</f>
        <v>-1.7182566828741811E-2</v>
      </c>
      <c r="P14" s="9"/>
      <c r="Q14" s="7">
        <v>2290</v>
      </c>
      <c r="R14" s="8">
        <f>IFERROR(Q14/Q444, "NA")</f>
        <v>2.5063011859346599E-3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2290</v>
      </c>
      <c r="X14" s="8">
        <f>IFERROR(W14/W444, "NA")</f>
        <v>2.9497974107477027E-2</v>
      </c>
      <c r="Y14" s="9"/>
      <c r="Z14" s="7">
        <v>3755.99</v>
      </c>
      <c r="AA14" s="8">
        <f>IFERROR(Z14/Z444, "NA")</f>
        <v>4.846805816130847E-3</v>
      </c>
      <c r="AB14" s="9"/>
      <c r="AC14" s="10">
        <f t="shared" si="3"/>
        <v>-1465.9899999999998</v>
      </c>
      <c r="AD14" s="8">
        <f>IFERROR(AC14/AC444, "NA")</f>
        <v>-1.0565255854261903E-2</v>
      </c>
    </row>
    <row r="15" spans="1:30" ht="16.5" customHeight="1" x14ac:dyDescent="0.45">
      <c r="A15" s="12" t="s">
        <v>17</v>
      </c>
      <c r="B15" s="7">
        <v>229</v>
      </c>
      <c r="C15" s="8">
        <f>IFERROR(B15/B444, "NA")</f>
        <v>4.7893760011939556E-4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229</v>
      </c>
      <c r="I15" s="8">
        <f>IFERROR(H15/H444, "NA")</f>
        <v>-4.8509857669113102E-2</v>
      </c>
      <c r="J15" s="9"/>
      <c r="K15" s="7">
        <v>274</v>
      </c>
      <c r="L15" s="8">
        <f>IFERROR(K15/K444, "NA")</f>
        <v>6.489617890351227E-4</v>
      </c>
      <c r="M15" s="9"/>
      <c r="N15" s="10">
        <f t="shared" si="1"/>
        <v>-45</v>
      </c>
      <c r="O15" s="8">
        <f>IFERROR(N15/N444, "NA")</f>
        <v>-8.0459470061746265E-4</v>
      </c>
      <c r="P15" s="9"/>
      <c r="Q15" s="7">
        <v>376.5</v>
      </c>
      <c r="R15" s="8">
        <f>IFERROR(Q15/Q444, "NA")</f>
        <v>4.1206218187965038E-4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376.5</v>
      </c>
      <c r="X15" s="8">
        <f>IFERROR(W15/W444, "NA")</f>
        <v>4.8497760923428383E-3</v>
      </c>
      <c r="Y15" s="9"/>
      <c r="Z15" s="7">
        <v>527</v>
      </c>
      <c r="AA15" s="8">
        <f>IFERROR(Z15/Z444, "NA")</f>
        <v>6.8005150841747618E-4</v>
      </c>
      <c r="AB15" s="9"/>
      <c r="AC15" s="10">
        <f t="shared" si="3"/>
        <v>-150.5</v>
      </c>
      <c r="AD15" s="8">
        <f>IFERROR(AC15/AC444, "NA")</f>
        <v>-1.0846397356505957E-3</v>
      </c>
    </row>
    <row r="16" spans="1:30" ht="16.5" customHeight="1" x14ac:dyDescent="0.45">
      <c r="A16" s="12" t="s">
        <v>18</v>
      </c>
      <c r="B16" s="7">
        <v>0.6</v>
      </c>
      <c r="C16" s="8">
        <f>IFERROR(B16/B444, "NA")</f>
        <v>1.2548583409241804E-6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0.6</v>
      </c>
      <c r="I16" s="8">
        <f>IFERROR(H16/H444, "NA")</f>
        <v>-1.271000637618684E-4</v>
      </c>
      <c r="J16" s="9"/>
      <c r="K16" s="7">
        <v>0</v>
      </c>
      <c r="L16" s="8">
        <f>IFERROR(K16/K444, "NA")</f>
        <v>0</v>
      </c>
      <c r="M16" s="9"/>
      <c r="N16" s="10">
        <f t="shared" si="1"/>
        <v>0.6</v>
      </c>
      <c r="O16" s="8">
        <f>IFERROR(N16/N444, "NA")</f>
        <v>1.0727929341566169E-5</v>
      </c>
      <c r="P16" s="9"/>
      <c r="Q16" s="7">
        <v>1.7000000000000002</v>
      </c>
      <c r="R16" s="8">
        <f>IFERROR(Q16/Q444, "NA")</f>
        <v>1.8605729327899223E-6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1.7000000000000002</v>
      </c>
      <c r="X16" s="8">
        <f>IFERROR(W16/W444, "NA")</f>
        <v>2.1898059381096485E-5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1.7000000000000002</v>
      </c>
      <c r="AD16" s="8">
        <f>IFERROR(AC16/AC444, "NA")</f>
        <v>1.2251744522299088E-5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193783.36</v>
      </c>
      <c r="C18" s="15">
        <f>IFERROR(B18/B444, "NA")</f>
        <v>0.40528444271385528</v>
      </c>
      <c r="D18" s="2"/>
      <c r="E18" s="14">
        <f>IFERROR(E10+E11+E12+E13+E14+E15+E16+E17, "NA")</f>
        <v>217618.61999999997</v>
      </c>
      <c r="F18" s="15">
        <f>IFERROR(E18/E444, "NA")</f>
        <v>0.45068462684528016</v>
      </c>
      <c r="G18" s="2"/>
      <c r="H18" s="14">
        <f t="shared" si="0"/>
        <v>-23835.25999999998</v>
      </c>
      <c r="I18" s="15">
        <f>IFERROR(H18/H444, "NA")</f>
        <v>5.0491051096345148</v>
      </c>
      <c r="J18" s="2"/>
      <c r="K18" s="14">
        <f>IFERROR(K10+K11+K12+K13+K14+K15+K16+K17, "NA")</f>
        <v>208128.99999999997</v>
      </c>
      <c r="L18" s="15">
        <f>IFERROR(K18/K444, "NA")</f>
        <v>0.4929480590879235</v>
      </c>
      <c r="M18" s="2"/>
      <c r="N18" s="14">
        <f t="shared" si="1"/>
        <v>-14345.639999999985</v>
      </c>
      <c r="O18" s="15">
        <f>IFERROR(N18/N444, "NA")</f>
        <v>-0.25649835379924185</v>
      </c>
      <c r="P18" s="2"/>
      <c r="Q18" s="14">
        <f>IFERROR(Q10+Q11+Q12+Q13+Q14+Q15+Q16+Q17, "NA")</f>
        <v>368708.54</v>
      </c>
      <c r="R18" s="15">
        <f>IFERROR(Q18/Q444, "NA")</f>
        <v>0.40353478212499427</v>
      </c>
      <c r="S18" s="2"/>
      <c r="T18" s="14">
        <f>IFERROR(T10+T11+T12+T13+T14+T15+T16+T17, "NA")</f>
        <v>381127.63</v>
      </c>
      <c r="U18" s="15">
        <f>IFERROR(T18/T444, "NA")</f>
        <v>0.45585906878487614</v>
      </c>
      <c r="V18" s="2"/>
      <c r="W18" s="14">
        <f t="shared" si="2"/>
        <v>-12419.090000000026</v>
      </c>
      <c r="X18" s="15">
        <f>IFERROR(W18/W444, "NA")</f>
        <v>-0.1599729236936365</v>
      </c>
      <c r="Y18" s="2"/>
      <c r="Z18" s="14">
        <f>IFERROR(Z10+Z11+Z12+Z13+Z14+Z15+Z16+Z17, "NA")</f>
        <v>398228.42</v>
      </c>
      <c r="AA18" s="15">
        <f>IFERROR(Z18/Z444, "NA")</f>
        <v>0.51388204500134393</v>
      </c>
      <c r="AB18" s="2"/>
      <c r="AC18" s="14">
        <f t="shared" si="3"/>
        <v>-29519.880000000005</v>
      </c>
      <c r="AD18" s="15">
        <f>IFERROR(AC18/AC444, "NA")</f>
        <v>-0.21274707534642728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39398.660000000003</v>
      </c>
      <c r="F21" s="8">
        <f>IFERROR(E21/E444, "NA")</f>
        <v>8.1593984835967026E-2</v>
      </c>
      <c r="G21" s="9"/>
      <c r="H21" s="10">
        <f t="shared" ref="H21:H29" si="4">IFERROR(B21-E21, "NA")</f>
        <v>-39398.660000000003</v>
      </c>
      <c r="I21" s="8">
        <f>IFERROR(H21/H444, "NA")</f>
        <v>8.3459536635536242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68715.820000000007</v>
      </c>
      <c r="U21" s="8">
        <f>IFERROR(T21/T444, "NA")</f>
        <v>8.2189605922795922E-2</v>
      </c>
      <c r="V21" s="9"/>
      <c r="W21" s="10">
        <f t="shared" ref="W21:W29" si="6">IFERROR(Q21-T21, "NA")</f>
        <v>-68715.820000000007</v>
      </c>
      <c r="X21" s="8">
        <f>IFERROR(W21/W444, "NA")</f>
        <v>-0.88514300398866907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32494.749999999996</v>
      </c>
      <c r="C22" s="8">
        <f>IFERROR(B22/B444, "NA")</f>
        <v>6.7960513456243349E-2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32494.749999999996</v>
      </c>
      <c r="I22" s="8">
        <f>IFERROR(H22/H444, "NA")</f>
        <v>-6.8834746615432874</v>
      </c>
      <c r="J22" s="9"/>
      <c r="K22" s="7">
        <v>32598.229999999996</v>
      </c>
      <c r="L22" s="8">
        <f>IFERROR(K22/K444, "NA")</f>
        <v>7.7208049854665714E-2</v>
      </c>
      <c r="M22" s="9"/>
      <c r="N22" s="10">
        <f t="shared" si="5"/>
        <v>-103.47999999999956</v>
      </c>
      <c r="O22" s="8">
        <f>IFERROR(N22/N444, "NA")</f>
        <v>-1.8502102137754374E-3</v>
      </c>
      <c r="P22" s="9"/>
      <c r="Q22" s="7">
        <v>60434.85</v>
      </c>
      <c r="R22" s="8">
        <f>IFERROR(Q22/Q444, "NA")</f>
        <v>6.6143203592481783E-2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60434.85</v>
      </c>
      <c r="X22" s="8">
        <f>IFERROR(W22/W444, "NA")</f>
        <v>0.77847407881626984</v>
      </c>
      <c r="Y22" s="9"/>
      <c r="Z22" s="7">
        <v>59600.049999999996</v>
      </c>
      <c r="AA22" s="8">
        <f>IFERROR(Z22/Z444, "NA")</f>
        <v>7.69091155678501E-2</v>
      </c>
      <c r="AB22" s="9"/>
      <c r="AC22" s="10">
        <f t="shared" si="7"/>
        <v>834.80000000000291</v>
      </c>
      <c r="AD22" s="8">
        <f>IFERROR(AC22/AC444, "NA")</f>
        <v>6.0163272513031251E-3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6521.4500000000007</v>
      </c>
      <c r="C24" s="8">
        <f>IFERROR(B24/B444, "NA")</f>
        <v>1.3639159879033328E-2</v>
      </c>
      <c r="D24" s="9"/>
      <c r="E24" s="7">
        <v>0</v>
      </c>
      <c r="F24" s="8">
        <f>IFERROR(E24/E444, "NA")</f>
        <v>0</v>
      </c>
      <c r="G24" s="9"/>
      <c r="H24" s="10">
        <f t="shared" si="4"/>
        <v>6521.4500000000007</v>
      </c>
      <c r="I24" s="8">
        <f>IFERROR(H24/H444, "NA")</f>
        <v>-1.3814611846997278</v>
      </c>
      <c r="J24" s="9"/>
      <c r="K24" s="7">
        <v>1983.64</v>
      </c>
      <c r="L24" s="8">
        <f>IFERROR(K24/K444, "NA")</f>
        <v>4.6981991357723752E-3</v>
      </c>
      <c r="M24" s="9"/>
      <c r="N24" s="10">
        <f t="shared" si="5"/>
        <v>4537.8100000000004</v>
      </c>
      <c r="O24" s="8">
        <f>IFERROR(N24/N444, "NA")</f>
        <v>8.1135508409087301E-2</v>
      </c>
      <c r="P24" s="9"/>
      <c r="Q24" s="7">
        <v>10317.030000000001</v>
      </c>
      <c r="R24" s="8">
        <f>IFERROR(Q24/Q444, "NA")</f>
        <v>1.1291521626342125E-2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10317.030000000001</v>
      </c>
      <c r="X24" s="8">
        <f>IFERROR(W24/W444, "NA")</f>
        <v>0.13289584445679639</v>
      </c>
      <c r="Y24" s="9"/>
      <c r="Z24" s="7">
        <v>3509.89</v>
      </c>
      <c r="AA24" s="8">
        <f>IFERROR(Z24/Z444, "NA")</f>
        <v>4.5292333754827618E-3</v>
      </c>
      <c r="AB24" s="9"/>
      <c r="AC24" s="10">
        <f t="shared" si="7"/>
        <v>6807.1400000000012</v>
      </c>
      <c r="AD24" s="8">
        <f>IFERROR(AC24/AC444, "NA")</f>
        <v>4.905843541619001E-2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3001.12</v>
      </c>
      <c r="C26" s="8">
        <f>IFERROR(B26/B444, "NA")</f>
        <v>6.2766341068572935E-3</v>
      </c>
      <c r="D26" s="9"/>
      <c r="E26" s="7">
        <v>0</v>
      </c>
      <c r="F26" s="8">
        <f>IFERROR(E26/E444, "NA")</f>
        <v>0</v>
      </c>
      <c r="G26" s="9"/>
      <c r="H26" s="10">
        <f t="shared" si="4"/>
        <v>3001.12</v>
      </c>
      <c r="I26" s="8">
        <f>IFERROR(H26/H444, "NA")</f>
        <v>-0.63573757226169747</v>
      </c>
      <c r="J26" s="9"/>
      <c r="K26" s="7">
        <v>523.96</v>
      </c>
      <c r="L26" s="8">
        <f>IFERROR(K26/K444, "NA")</f>
        <v>1.2409854707403026E-3</v>
      </c>
      <c r="M26" s="9"/>
      <c r="N26" s="10">
        <f t="shared" si="5"/>
        <v>2477.16</v>
      </c>
      <c r="O26" s="8">
        <f>IFERROR(N26/N444, "NA")</f>
        <v>4.4291329079590082E-2</v>
      </c>
      <c r="P26" s="9"/>
      <c r="Q26" s="7">
        <v>5056.58</v>
      </c>
      <c r="R26" s="8">
        <f>IFERROR(Q26/Q444, "NA")</f>
        <v>5.5341975767569792E-3</v>
      </c>
      <c r="S26" s="9"/>
      <c r="T26" s="7">
        <v>0</v>
      </c>
      <c r="U26" s="8">
        <f>IFERROR(T26/T444, "NA")</f>
        <v>0</v>
      </c>
      <c r="V26" s="9"/>
      <c r="W26" s="10">
        <f t="shared" si="6"/>
        <v>5056.58</v>
      </c>
      <c r="X26" s="8">
        <f>IFERROR(W26/W444, "NA")</f>
        <v>6.5134875944273446E-2</v>
      </c>
      <c r="Y26" s="9"/>
      <c r="Z26" s="7">
        <v>899.59</v>
      </c>
      <c r="AA26" s="8">
        <f>IFERROR(Z26/Z444, "NA")</f>
        <v>1.1608492152889516E-3</v>
      </c>
      <c r="AB26" s="9"/>
      <c r="AC26" s="10">
        <f t="shared" si="7"/>
        <v>4156.99</v>
      </c>
      <c r="AD26" s="8">
        <f>IFERROR(AC26/AC444, "NA")</f>
        <v>2.9959046742207104E-2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722.43999999999994</v>
      </c>
      <c r="L27" s="8">
        <f>IFERROR(K27/K444, "NA")</f>
        <v>1.7110801272647227E-3</v>
      </c>
      <c r="M27" s="9"/>
      <c r="N27" s="10">
        <f t="shared" si="5"/>
        <v>-722.43999999999994</v>
      </c>
      <c r="O27" s="8">
        <f>IFERROR(N27/N444, "NA")</f>
        <v>-1.2917142122535103E-2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1299.52</v>
      </c>
      <c r="AA27" s="8">
        <f>IFERROR(Z27/Z444, "NA")</f>
        <v>1.6769270136976825E-3</v>
      </c>
      <c r="AB27" s="9"/>
      <c r="AC27" s="10">
        <f t="shared" si="7"/>
        <v>-1299.52</v>
      </c>
      <c r="AD27" s="8">
        <f>IFERROR(AC27/AC444, "NA")</f>
        <v>-9.3655217891871218E-3</v>
      </c>
    </row>
    <row r="28" spans="1:30" ht="16.5" customHeight="1" x14ac:dyDescent="0.45">
      <c r="A28" s="12" t="s">
        <v>29</v>
      </c>
      <c r="B28" s="7">
        <v>3821.62</v>
      </c>
      <c r="C28" s="8">
        <f>IFERROR(B28/B444, "NA")</f>
        <v>7.9926528880711108E-3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3821.62</v>
      </c>
      <c r="I28" s="8">
        <f>IFERROR(H28/H444, "NA")</f>
        <v>-0.80954690945605245</v>
      </c>
      <c r="J28" s="9"/>
      <c r="K28" s="7">
        <v>3316.4900000000002</v>
      </c>
      <c r="L28" s="8">
        <f>IFERROR(K28/K444, "NA")</f>
        <v>7.8550192836390302E-3</v>
      </c>
      <c r="M28" s="9"/>
      <c r="N28" s="10">
        <f t="shared" si="5"/>
        <v>505.12999999999965</v>
      </c>
      <c r="O28" s="8">
        <f>IFERROR(N28/N444, "NA")</f>
        <v>9.0316649138421912E-3</v>
      </c>
      <c r="P28" s="9"/>
      <c r="Q28" s="7">
        <v>7972.6900000000005</v>
      </c>
      <c r="R28" s="8">
        <f>IFERROR(Q28/Q444, "NA")</f>
        <v>8.7257477738381679E-3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7972.6900000000005</v>
      </c>
      <c r="X28" s="8">
        <f>IFERROR(W28/W444, "NA")</f>
        <v>0.10269790532180831</v>
      </c>
      <c r="Y28" s="9"/>
      <c r="Z28" s="7">
        <v>3316.4900000000002</v>
      </c>
      <c r="AA28" s="8">
        <f>IFERROR(Z28/Z444, "NA")</f>
        <v>4.2796660856764248E-3</v>
      </c>
      <c r="AB28" s="9"/>
      <c r="AC28" s="10">
        <f t="shared" si="7"/>
        <v>4656.2000000000007</v>
      </c>
      <c r="AD28" s="8">
        <f>IFERROR(AC28/AC444, "NA")</f>
        <v>3.3556807555722948E-2</v>
      </c>
    </row>
    <row r="29" spans="1:30" ht="16.5" customHeight="1" x14ac:dyDescent="0.45">
      <c r="A29" s="13" t="s">
        <v>30</v>
      </c>
      <c r="B29" s="14">
        <f>IFERROR(B21+B22+B23+B24+B25+B26+B27+B28, "NA")</f>
        <v>45838.94</v>
      </c>
      <c r="C29" s="15">
        <f>IFERROR(B29/B444, "NA")</f>
        <v>9.5868960330205089E-2</v>
      </c>
      <c r="D29" s="2"/>
      <c r="E29" s="14">
        <f>IFERROR(E21+E22+E23+E24+E25+E26+E27+E28, "NA")</f>
        <v>39398.660000000003</v>
      </c>
      <c r="F29" s="15">
        <f>IFERROR(E29/E444, "NA")</f>
        <v>8.1593984835967026E-2</v>
      </c>
      <c r="G29" s="2"/>
      <c r="H29" s="14">
        <f t="shared" si="4"/>
        <v>6440.2799999999988</v>
      </c>
      <c r="I29" s="15">
        <f>IFERROR(H29/H444, "NA")</f>
        <v>-1.3642666644071426</v>
      </c>
      <c r="J29" s="2"/>
      <c r="K29" s="14">
        <f>IFERROR(K21+K22+K23+K24+K25+K26+K27+K28, "NA")</f>
        <v>39144.759999999995</v>
      </c>
      <c r="L29" s="15">
        <f>IFERROR(K29/K444, "NA")</f>
        <v>9.2713333872082138E-2</v>
      </c>
      <c r="M29" s="2"/>
      <c r="N29" s="14">
        <f t="shared" si="5"/>
        <v>6694.1800000000076</v>
      </c>
      <c r="O29" s="15">
        <f>IFERROR(N29/N444, "NA")</f>
        <v>0.11969115006620916</v>
      </c>
      <c r="P29" s="2"/>
      <c r="Q29" s="14">
        <f>IFERROR(Q21+Q22+Q23+Q24+Q25+Q26+Q27+Q28, "NA")</f>
        <v>83781.150000000009</v>
      </c>
      <c r="R29" s="15">
        <f>IFERROR(Q29/Q444, "NA")</f>
        <v>9.1694670569419059E-2</v>
      </c>
      <c r="S29" s="2"/>
      <c r="T29" s="14">
        <f>IFERROR(T21+T22+T23+T24+T25+T26+T27+T28, "NA")</f>
        <v>68715.820000000007</v>
      </c>
      <c r="U29" s="15">
        <f>IFERROR(T29/T444, "NA")</f>
        <v>8.2189605922795922E-2</v>
      </c>
      <c r="V29" s="2"/>
      <c r="W29" s="14">
        <f t="shared" si="6"/>
        <v>15065.330000000002</v>
      </c>
      <c r="X29" s="15">
        <f>IFERROR(W29/W444, "NA")</f>
        <v>0.194059700550479</v>
      </c>
      <c r="Y29" s="2"/>
      <c r="Z29" s="14">
        <f>IFERROR(Z21+Z22+Z23+Z24+Z25+Z26+Z27+Z28, "NA")</f>
        <v>68625.539999999994</v>
      </c>
      <c r="AA29" s="15">
        <f>IFERROR(Z29/Z444, "NA")</f>
        <v>8.8555791257995911E-2</v>
      </c>
      <c r="AB29" s="2"/>
      <c r="AC29" s="14">
        <f t="shared" si="7"/>
        <v>15155.610000000015</v>
      </c>
      <c r="AD29" s="15">
        <f>IFERROR(AC29/AC444, "NA")</f>
        <v>0.10922509517623614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105513.44</v>
      </c>
      <c r="F31" s="8">
        <f>IFERROR(E31/E444, "NA")</f>
        <v>0.21851662019344606</v>
      </c>
      <c r="G31" s="9"/>
      <c r="H31" s="10">
        <f t="shared" ref="H31:H40" si="8">IFERROR(B31-E31, "NA")</f>
        <v>-105513.44</v>
      </c>
      <c r="I31" s="8">
        <f>IFERROR(H31/H444, "NA")</f>
        <v>22.351274919556793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181601.58000000002</v>
      </c>
      <c r="U31" s="8">
        <f>IFERROR(T31/T444, "NA")</f>
        <v>0.21720998592692478</v>
      </c>
      <c r="V31" s="9"/>
      <c r="W31" s="10">
        <f t="shared" ref="W31:W40" si="10">IFERROR(Q31-T31, "NA")</f>
        <v>-181601.58000000002</v>
      </c>
      <c r="X31" s="8">
        <f>IFERROR(W31/W444, "NA")</f>
        <v>-2.3392483426711435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53245.619999999995</v>
      </c>
      <c r="C33" s="8">
        <f>IFERROR(B33/B444, "NA")</f>
        <v>0.11135951729113226</v>
      </c>
      <c r="D33" s="9"/>
      <c r="E33" s="7">
        <v>0</v>
      </c>
      <c r="F33" s="8">
        <f>IFERROR(E33/E444, "NA")</f>
        <v>0</v>
      </c>
      <c r="G33" s="9"/>
      <c r="H33" s="10">
        <f t="shared" si="8"/>
        <v>53245.619999999995</v>
      </c>
      <c r="I33" s="8">
        <f>IFERROR(H33/H444, "NA")</f>
        <v>-11.279202828400358</v>
      </c>
      <c r="J33" s="9"/>
      <c r="K33" s="7">
        <v>30021.41</v>
      </c>
      <c r="L33" s="8">
        <f>IFERROR(K33/K444, "NA")</f>
        <v>7.1104919499842781E-2</v>
      </c>
      <c r="M33" s="9"/>
      <c r="N33" s="10">
        <f t="shared" si="9"/>
        <v>23224.209999999995</v>
      </c>
      <c r="O33" s="8">
        <f>IFERROR(N33/N444, "NA")</f>
        <v>0.41524613982282393</v>
      </c>
      <c r="P33" s="9"/>
      <c r="Q33" s="7">
        <v>99259.66</v>
      </c>
      <c r="R33" s="8">
        <f>IFERROR(Q33/Q444, "NA")</f>
        <v>0.10863519806701796</v>
      </c>
      <c r="S33" s="9"/>
      <c r="T33" s="7">
        <v>0</v>
      </c>
      <c r="U33" s="8">
        <f>IFERROR(T33/T444, "NA")</f>
        <v>0</v>
      </c>
      <c r="V33" s="9"/>
      <c r="W33" s="10">
        <f t="shared" si="10"/>
        <v>99259.66</v>
      </c>
      <c r="X33" s="8">
        <f>IFERROR(W33/W444, "NA")</f>
        <v>1.2785846640161456</v>
      </c>
      <c r="Y33" s="9"/>
      <c r="Z33" s="7">
        <v>56335.600000000006</v>
      </c>
      <c r="AA33" s="8">
        <f>IFERROR(Z33/Z444, "NA")</f>
        <v>7.2696602955604511E-2</v>
      </c>
      <c r="AB33" s="9"/>
      <c r="AC33" s="10">
        <f t="shared" si="11"/>
        <v>42924.06</v>
      </c>
      <c r="AD33" s="8">
        <f>IFERROR(AC33/AC444, "NA")</f>
        <v>0.30934977469402192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6559.66</v>
      </c>
      <c r="C35" s="8">
        <f>IFERROR(B35/B444, "NA")</f>
        <v>1.3719073441044515E-2</v>
      </c>
      <c r="D35" s="9"/>
      <c r="E35" s="7">
        <v>0</v>
      </c>
      <c r="F35" s="8">
        <f>IFERROR(E35/E444, "NA")</f>
        <v>0</v>
      </c>
      <c r="G35" s="9"/>
      <c r="H35" s="10">
        <f t="shared" si="8"/>
        <v>6559.66</v>
      </c>
      <c r="I35" s="8">
        <f>IFERROR(H35/H444, "NA")</f>
        <v>-1.3895553404269627</v>
      </c>
      <c r="J35" s="9"/>
      <c r="K35" s="7">
        <v>0</v>
      </c>
      <c r="L35" s="8">
        <f>IFERROR(K35/K444, "NA")</f>
        <v>0</v>
      </c>
      <c r="M35" s="9"/>
      <c r="N35" s="10">
        <f t="shared" si="9"/>
        <v>6559.66</v>
      </c>
      <c r="O35" s="8">
        <f>IFERROR(N35/N444, "NA")</f>
        <v>0.11728594830782989</v>
      </c>
      <c r="P35" s="9"/>
      <c r="Q35" s="7">
        <v>10817.380000000001</v>
      </c>
      <c r="R35" s="8">
        <f>IFERROR(Q35/Q444, "NA")</f>
        <v>1.1839132018648852E-2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10817.380000000001</v>
      </c>
      <c r="X35" s="8">
        <f>IFERROR(W35/W444, "NA")</f>
        <v>0.13934095858110912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10817.380000000001</v>
      </c>
      <c r="AD35" s="8">
        <f>IFERROR(AC35/AC444, "NA")</f>
        <v>7.7959868329780996E-2</v>
      </c>
    </row>
    <row r="36" spans="1:30" ht="16.5" customHeight="1" x14ac:dyDescent="0.45">
      <c r="A36" s="12" t="s">
        <v>36</v>
      </c>
      <c r="B36" s="7">
        <v>73062.100000000006</v>
      </c>
      <c r="C36" s="8">
        <f>IFERROR(B36/B444, "NA")</f>
        <v>0.15280430931739428</v>
      </c>
      <c r="D36" s="9"/>
      <c r="E36" s="7">
        <v>0</v>
      </c>
      <c r="F36" s="8">
        <f>IFERROR(E36/E444, "NA")</f>
        <v>0</v>
      </c>
      <c r="G36" s="9"/>
      <c r="H36" s="10">
        <f t="shared" si="8"/>
        <v>73062.100000000006</v>
      </c>
      <c r="I36" s="8">
        <f>IFERROR(H36/H444, "NA")</f>
        <v>-15.476995947626676</v>
      </c>
      <c r="J36" s="9"/>
      <c r="K36" s="7">
        <v>36307.440000000002</v>
      </c>
      <c r="L36" s="8">
        <f>IFERROR(K36/K444, "NA")</f>
        <v>8.5993216122939337E-2</v>
      </c>
      <c r="M36" s="9"/>
      <c r="N36" s="10">
        <f t="shared" si="9"/>
        <v>36754.660000000003</v>
      </c>
      <c r="O36" s="8">
        <f>IFERROR(N36/N444, "NA")</f>
        <v>0.65716899242214732</v>
      </c>
      <c r="P36" s="9"/>
      <c r="Q36" s="7">
        <v>126549.81999999999</v>
      </c>
      <c r="R36" s="8">
        <f>IFERROR(Q36/Q444, "NA")</f>
        <v>0.13850304102437455</v>
      </c>
      <c r="S36" s="9"/>
      <c r="T36" s="7">
        <v>0</v>
      </c>
      <c r="U36" s="8">
        <f>IFERROR(T36/T444, "NA")</f>
        <v>0</v>
      </c>
      <c r="V36" s="9"/>
      <c r="W36" s="10">
        <f t="shared" si="10"/>
        <v>126549.81999999999</v>
      </c>
      <c r="X36" s="8">
        <f>IFERROR(W36/W444, "NA")</f>
        <v>1.6301149841335711</v>
      </c>
      <c r="Y36" s="9"/>
      <c r="Z36" s="7">
        <v>70683.23</v>
      </c>
      <c r="AA36" s="8">
        <f>IFERROR(Z36/Z444, "NA")</f>
        <v>9.1211076245387865E-2</v>
      </c>
      <c r="AB36" s="9"/>
      <c r="AC36" s="10">
        <f t="shared" si="11"/>
        <v>55866.59</v>
      </c>
      <c r="AD36" s="8">
        <f>IFERROR(AC36/AC444, "NA")</f>
        <v>0.40262540471295816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4705.53</v>
      </c>
      <c r="C39" s="8">
        <f>IFERROR(B39/B444, "NA")</f>
        <v>9.8412892816149306E-3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4705.53</v>
      </c>
      <c r="I39" s="8">
        <f>IFERROR(H39/H444, "NA")</f>
        <v>-0.99678860505564093</v>
      </c>
      <c r="J39" s="9"/>
      <c r="K39" s="7">
        <v>4700.9399999999996</v>
      </c>
      <c r="L39" s="8">
        <f>IFERROR(K39/K444, "NA")</f>
        <v>1.1134052673528357E-2</v>
      </c>
      <c r="M39" s="9"/>
      <c r="N39" s="10">
        <f t="shared" si="9"/>
        <v>4.5900000000001455</v>
      </c>
      <c r="O39" s="8">
        <f>IFERROR(N39/N444, "NA")</f>
        <v>8.2068659462983788E-5</v>
      </c>
      <c r="P39" s="9"/>
      <c r="Q39" s="7">
        <v>8806.880000000001</v>
      </c>
      <c r="R39" s="8">
        <f>IFERROR(Q39/Q444, "NA")</f>
        <v>9.6387309119581824E-3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8806.880000000001</v>
      </c>
      <c r="X39" s="8">
        <f>IFERROR(W39/W444, "NA")</f>
        <v>0.11344328306011235</v>
      </c>
      <c r="Y39" s="9"/>
      <c r="Z39" s="7">
        <v>8022.43</v>
      </c>
      <c r="AA39" s="8">
        <f>IFERROR(Z39/Z444, "NA")</f>
        <v>1.0352306684390159E-2</v>
      </c>
      <c r="AB39" s="9"/>
      <c r="AC39" s="10">
        <f t="shared" si="11"/>
        <v>784.45000000000073</v>
      </c>
      <c r="AD39" s="8">
        <f>IFERROR(AC39/AC444, "NA")</f>
        <v>5.6534594061867808E-3</v>
      </c>
    </row>
    <row r="40" spans="1:30" ht="16.5" customHeight="1" x14ac:dyDescent="0.45">
      <c r="A40" s="13" t="s">
        <v>40</v>
      </c>
      <c r="B40" s="14">
        <f>IFERROR(B31+B32+B33+B34+B35+B36+B37+B38+B39, "NA")</f>
        <v>137572.91</v>
      </c>
      <c r="C40" s="15">
        <f>IFERROR(B40/B444, "NA")</f>
        <v>0.28772418933118599</v>
      </c>
      <c r="D40" s="2"/>
      <c r="E40" s="14">
        <f>IFERROR(E31+E32+E33+E34+E35+E36+E37+E38+E39, "NA")</f>
        <v>105513.44</v>
      </c>
      <c r="F40" s="15">
        <f>IFERROR(E40/E444, "NA")</f>
        <v>0.21851662019344606</v>
      </c>
      <c r="G40" s="2"/>
      <c r="H40" s="14">
        <f t="shared" si="8"/>
        <v>32059.47</v>
      </c>
      <c r="I40" s="15">
        <f>IFERROR(H40/H444, "NA")</f>
        <v>-6.791267801952845</v>
      </c>
      <c r="J40" s="2"/>
      <c r="K40" s="14">
        <f>IFERROR(K31+K32+K33+K34+K35+K36+K37+K38+K39, "NA")</f>
        <v>71029.790000000008</v>
      </c>
      <c r="L40" s="15">
        <f>IFERROR(K40/K444, "NA")</f>
        <v>0.16823218829631048</v>
      </c>
      <c r="M40" s="2"/>
      <c r="N40" s="14">
        <f t="shared" si="9"/>
        <v>66543.12</v>
      </c>
      <c r="O40" s="15">
        <f>IFERROR(N40/N444, "NA")</f>
        <v>1.1897831492122641</v>
      </c>
      <c r="P40" s="2"/>
      <c r="Q40" s="14">
        <f>IFERROR(Q31+Q32+Q33+Q34+Q35+Q36+Q37+Q38+Q39, "NA")</f>
        <v>245433.74</v>
      </c>
      <c r="R40" s="15">
        <f>IFERROR(Q40/Q444, "NA")</f>
        <v>0.26861610202199954</v>
      </c>
      <c r="S40" s="2"/>
      <c r="T40" s="14">
        <f>IFERROR(T31+T32+T33+T34+T35+T36+T37+T38+T39, "NA")</f>
        <v>181601.58000000002</v>
      </c>
      <c r="U40" s="15">
        <f>IFERROR(T40/T444, "NA")</f>
        <v>0.21720998592692478</v>
      </c>
      <c r="V40" s="2"/>
      <c r="W40" s="14">
        <f t="shared" si="10"/>
        <v>63832.159999999974</v>
      </c>
      <c r="X40" s="15">
        <f>IFERROR(W40/W444, "NA")</f>
        <v>0.82223554711979474</v>
      </c>
      <c r="Y40" s="2"/>
      <c r="Z40" s="14">
        <f>IFERROR(Z31+Z32+Z33+Z34+Z35+Z36+Z37+Z38+Z39, "NA")</f>
        <v>135041.26</v>
      </c>
      <c r="AA40" s="15">
        <f>IFERROR(Z40/Z444, "NA")</f>
        <v>0.17425998588538255</v>
      </c>
      <c r="AB40" s="2"/>
      <c r="AC40" s="14">
        <f t="shared" si="11"/>
        <v>110392.47999999998</v>
      </c>
      <c r="AD40" s="15">
        <f>IFERROR(AC40/AC444, "NA")</f>
        <v>0.79558850714294771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28426.619999999995</v>
      </c>
      <c r="C43" s="8">
        <f>IFERROR(B43/B444, "NA")</f>
        <v>5.9452302018803534E-2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28426.619999999995</v>
      </c>
      <c r="I43" s="8">
        <f>IFERROR(H43/H444, "NA")</f>
        <v>-6.0217086908906712</v>
      </c>
      <c r="J43" s="9"/>
      <c r="K43" s="7">
        <v>825.98</v>
      </c>
      <c r="L43" s="8">
        <f>IFERROR(K43/K444, "NA")</f>
        <v>1.9563118923621556E-3</v>
      </c>
      <c r="M43" s="9"/>
      <c r="N43" s="10">
        <f>IFERROR(B43-K43, "NA")</f>
        <v>27600.639999999996</v>
      </c>
      <c r="O43" s="8">
        <f>IFERROR(N43/N444, "NA")</f>
        <v>0.49349619283667467</v>
      </c>
      <c r="P43" s="9"/>
      <c r="Q43" s="7">
        <v>46013.67</v>
      </c>
      <c r="R43" s="8">
        <f>IFERROR(Q43/Q444, "NA")</f>
        <v>5.0359875847251559E-2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46013.67</v>
      </c>
      <c r="X43" s="8">
        <f>IFERROR(W43/W444, "NA")</f>
        <v>0.59271181058951627</v>
      </c>
      <c r="Y43" s="9"/>
      <c r="Z43" s="7">
        <v>4050.98</v>
      </c>
      <c r="AA43" s="8">
        <f>IFERROR(Z43/Z444, "NA")</f>
        <v>5.2274669062030892E-3</v>
      </c>
      <c r="AB43" s="9"/>
      <c r="AC43" s="10">
        <f>IFERROR(Q43-Z43, "NA")</f>
        <v>41962.689999999995</v>
      </c>
      <c r="AD43" s="8">
        <f>IFERROR(AC43/AC444, "NA")</f>
        <v>0.30242126902849092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129487.02000000002</v>
      </c>
      <c r="F46" s="8">
        <f>IFERROR(E46/E444, "NA")</f>
        <v>0.26816551492701934</v>
      </c>
      <c r="G46" s="9"/>
      <c r="H46" s="10">
        <f t="shared" ref="H46:H62" si="12">IFERROR(B46-E46, "NA")</f>
        <v>-129487.02000000002</v>
      </c>
      <c r="I46" s="8">
        <f>IFERROR(H46/H444, "NA")</f>
        <v>27.429680830557217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220722.16999999998</v>
      </c>
      <c r="U46" s="8">
        <f>IFERROR(T46/T444, "NA")</f>
        <v>0.26400133434665213</v>
      </c>
      <c r="V46" s="9"/>
      <c r="W46" s="10">
        <f t="shared" ref="W46:W62" si="14">IFERROR(Q46-T46, "NA")</f>
        <v>-220722.16999999998</v>
      </c>
      <c r="X46" s="8">
        <f>IFERROR(W46/W444, "NA")</f>
        <v>-2.8431689325791014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2356.4499999999998</v>
      </c>
      <c r="C47" s="8">
        <f>IFERROR(B47/B444, "NA")</f>
        <v>4.9283515624513078E-3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2356.4499999999998</v>
      </c>
      <c r="I47" s="8">
        <f>IFERROR(H47/H444, "NA")</f>
        <v>-0.49917490875275794</v>
      </c>
      <c r="J47" s="9"/>
      <c r="K47" s="7">
        <v>426.19</v>
      </c>
      <c r="L47" s="8">
        <f>IFERROR(K47/K444, "NA")</f>
        <v>1.0094197987915289E-3</v>
      </c>
      <c r="M47" s="9"/>
      <c r="N47" s="10">
        <f t="shared" si="13"/>
        <v>1930.2599999999998</v>
      </c>
      <c r="O47" s="8">
        <f>IFERROR(N47/N444, "NA")</f>
        <v>3.4512821484752515E-2</v>
      </c>
      <c r="P47" s="9"/>
      <c r="Q47" s="7">
        <v>2873.15</v>
      </c>
      <c r="R47" s="8">
        <f>IFERROR(Q47/Q444, "NA")</f>
        <v>3.1445324246149207E-3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2873.15</v>
      </c>
      <c r="X47" s="8">
        <f>IFERROR(W47/W444, "NA")</f>
        <v>3.7009652535763153E-2</v>
      </c>
      <c r="Y47" s="9"/>
      <c r="Z47" s="7">
        <v>713.52</v>
      </c>
      <c r="AA47" s="8">
        <f>IFERROR(Z47/Z444, "NA")</f>
        <v>9.2074070642511878E-4</v>
      </c>
      <c r="AB47" s="9"/>
      <c r="AC47" s="10">
        <f t="shared" si="15"/>
        <v>2159.63</v>
      </c>
      <c r="AD47" s="8">
        <f>IFERROR(AC47/AC444, "NA")</f>
        <v>1.5564255895701633E-2</v>
      </c>
    </row>
    <row r="48" spans="1:30" ht="16.5" customHeight="1" x14ac:dyDescent="0.45">
      <c r="A48" s="17" t="s">
        <v>46</v>
      </c>
      <c r="B48" s="7">
        <v>68955.509999999995</v>
      </c>
      <c r="C48" s="8">
        <f>IFERROR(B48/B444, "NA")</f>
        <v>0.14421566146030121</v>
      </c>
      <c r="D48" s="9"/>
      <c r="E48" s="7">
        <v>0</v>
      </c>
      <c r="F48" s="8">
        <f>IFERROR(E48/E444, "NA")</f>
        <v>0</v>
      </c>
      <c r="G48" s="9"/>
      <c r="H48" s="10">
        <f t="shared" si="12"/>
        <v>68955.509999999995</v>
      </c>
      <c r="I48" s="8">
        <f>IFERROR(H48/H444, "NA")</f>
        <v>-14.607082862886921</v>
      </c>
      <c r="J48" s="9"/>
      <c r="K48" s="7">
        <v>91019.31</v>
      </c>
      <c r="L48" s="8">
        <f>IFERROR(K48/K444, "NA")</f>
        <v>0.21557684034431546</v>
      </c>
      <c r="M48" s="9"/>
      <c r="N48" s="10">
        <f t="shared" si="13"/>
        <v>-22063.800000000003</v>
      </c>
      <c r="O48" s="8">
        <f>IFERROR(N48/N444, "NA")</f>
        <v>-0.39449814567741276</v>
      </c>
      <c r="P48" s="9"/>
      <c r="Q48" s="7">
        <v>151031.76</v>
      </c>
      <c r="R48" s="8">
        <f>IFERROR(Q48/Q444, "NA")</f>
        <v>0.16529741449860216</v>
      </c>
      <c r="S48" s="9"/>
      <c r="T48" s="7">
        <v>0</v>
      </c>
      <c r="U48" s="8">
        <f>IFERROR(T48/T444, "NA")</f>
        <v>0</v>
      </c>
      <c r="V48" s="9"/>
      <c r="W48" s="10">
        <f t="shared" si="14"/>
        <v>151031.76</v>
      </c>
      <c r="X48" s="8">
        <f>IFERROR(W48/W444, "NA")</f>
        <v>1.945472028771478</v>
      </c>
      <c r="Y48" s="9"/>
      <c r="Z48" s="7">
        <v>160398.47</v>
      </c>
      <c r="AA48" s="8">
        <f>IFERROR(Z48/Z444, "NA")</f>
        <v>0.20698144491718276</v>
      </c>
      <c r="AB48" s="9"/>
      <c r="AC48" s="10">
        <f t="shared" si="15"/>
        <v>-9366.7099999999919</v>
      </c>
      <c r="AD48" s="8">
        <f>IFERROR(AC48/AC444, "NA")</f>
        <v>-6.7505022314390567E-2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5.2909813943327058E-4</v>
      </c>
      <c r="AB49" s="9"/>
      <c r="AC49" s="10">
        <f t="shared" si="15"/>
        <v>-410.02</v>
      </c>
      <c r="AD49" s="8">
        <f>IFERROR(AC49/AC444, "NA")</f>
        <v>-2.9549766406076891E-3</v>
      </c>
    </row>
    <row r="50" spans="1:30" ht="16.5" customHeight="1" x14ac:dyDescent="0.45">
      <c r="A50" s="17" t="s">
        <v>48</v>
      </c>
      <c r="B50" s="7">
        <v>1139.03</v>
      </c>
      <c r="C50" s="8">
        <f>IFERROR(B50/B444, "NA")</f>
        <v>2.3822021601047822E-3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1139.03</v>
      </c>
      <c r="I50" s="8">
        <f>IFERROR(H50/H444, "NA")</f>
        <v>-0.24128464271113492</v>
      </c>
      <c r="J50" s="9"/>
      <c r="K50" s="7">
        <v>252.69</v>
      </c>
      <c r="L50" s="8">
        <f>IFERROR(K50/K444, "NA")</f>
        <v>5.9848961485870497E-4</v>
      </c>
      <c r="M50" s="9"/>
      <c r="N50" s="10">
        <f t="shared" si="13"/>
        <v>886.33999999999992</v>
      </c>
      <c r="O50" s="8">
        <f>IFERROR(N50/N444, "NA")</f>
        <v>1.5847654821006262E-2</v>
      </c>
      <c r="P50" s="9"/>
      <c r="Q50" s="7">
        <v>1276.17</v>
      </c>
      <c r="R50" s="8">
        <f>IFERROR(Q50/Q444, "NA")</f>
        <v>1.3967102115520678E-3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1276.17</v>
      </c>
      <c r="X50" s="8">
        <f>IFERROR(W50/W444, "NA")</f>
        <v>1.6438615553161118E-2</v>
      </c>
      <c r="Y50" s="9"/>
      <c r="Z50" s="7">
        <v>252.69</v>
      </c>
      <c r="AA50" s="8">
        <f>IFERROR(Z50/Z444, "NA")</f>
        <v>3.2607631055410258E-4</v>
      </c>
      <c r="AB50" s="9"/>
      <c r="AC50" s="10">
        <f t="shared" si="15"/>
        <v>1023.48</v>
      </c>
      <c r="AD50" s="8">
        <f>IFERROR(AC50/AC444, "NA")</f>
        <v>7.3761267551074525E-3</v>
      </c>
    </row>
    <row r="51" spans="1:30" ht="16.5" customHeight="1" x14ac:dyDescent="0.45">
      <c r="A51" s="17" t="s">
        <v>49</v>
      </c>
      <c r="B51" s="7">
        <v>3236.45</v>
      </c>
      <c r="C51" s="8">
        <f>IFERROR(B51/B444, "NA")</f>
        <v>6.768810462473439E-3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3236.45</v>
      </c>
      <c r="I51" s="8">
        <f>IFERROR(H51/H444, "NA")</f>
        <v>-0.68558833560349819</v>
      </c>
      <c r="J51" s="9"/>
      <c r="K51" s="7">
        <v>7352.5</v>
      </c>
      <c r="L51" s="8">
        <f>IFERROR(K51/K444, "NA")</f>
        <v>1.7414202751389562E-2</v>
      </c>
      <c r="M51" s="9"/>
      <c r="N51" s="10">
        <f t="shared" si="13"/>
        <v>-4116.05</v>
      </c>
      <c r="O51" s="8">
        <f>IFERROR(N51/N444, "NA")</f>
        <v>-7.3594489277255717E-2</v>
      </c>
      <c r="P51" s="9"/>
      <c r="Q51" s="7">
        <v>6779.44</v>
      </c>
      <c r="R51" s="8">
        <f>IFERROR(Q51/Q444, "NA")</f>
        <v>7.4197897432195939E-3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6779.44</v>
      </c>
      <c r="X51" s="8">
        <f>IFERROR(W51/W444, "NA")</f>
        <v>8.7327399817988663E-2</v>
      </c>
      <c r="Y51" s="9"/>
      <c r="Z51" s="7">
        <v>16255.86</v>
      </c>
      <c r="AA51" s="8">
        <f>IFERROR(Z51/Z444, "NA")</f>
        <v>2.0976892056211224E-2</v>
      </c>
      <c r="AB51" s="9"/>
      <c r="AC51" s="10">
        <f t="shared" si="15"/>
        <v>-9476.4200000000019</v>
      </c>
      <c r="AD51" s="8">
        <f>IFERROR(AC51/AC444, "NA")</f>
        <v>-6.8295692250591483E-2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525.56000000000006</v>
      </c>
      <c r="C55" s="8">
        <f>IFERROR(B55/B444, "NA")</f>
        <v>1.099172249426854E-3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525.56000000000006</v>
      </c>
      <c r="I55" s="8">
        <f>IFERROR(H55/H444, "NA")</f>
        <v>-0.1113311825178126</v>
      </c>
      <c r="J55" s="9"/>
      <c r="K55" s="7">
        <v>206</v>
      </c>
      <c r="L55" s="8">
        <f>IFERROR(K55/K444, "NA")</f>
        <v>4.8790557861764703E-4</v>
      </c>
      <c r="M55" s="9"/>
      <c r="N55" s="10">
        <f t="shared" si="13"/>
        <v>319.56000000000006</v>
      </c>
      <c r="O55" s="8">
        <f>IFERROR(N55/N444, "NA")</f>
        <v>5.7136951673181424E-3</v>
      </c>
      <c r="P55" s="9"/>
      <c r="Q55" s="7">
        <v>525.56000000000006</v>
      </c>
      <c r="R55" s="8">
        <f>IFERROR(Q55/Q444, "NA")</f>
        <v>5.7520159444533628E-4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525.56000000000006</v>
      </c>
      <c r="X55" s="8">
        <f>IFERROR(W55/W444, "NA")</f>
        <v>6.7698494637229815E-3</v>
      </c>
      <c r="Y55" s="9"/>
      <c r="Z55" s="7">
        <v>442.5</v>
      </c>
      <c r="AA55" s="8">
        <f>IFERROR(Z55/Z444, "NA")</f>
        <v>5.7101099141315605E-4</v>
      </c>
      <c r="AB55" s="9"/>
      <c r="AC55" s="10">
        <f t="shared" si="15"/>
        <v>83.060000000000059</v>
      </c>
      <c r="AD55" s="8">
        <f>IFERROR(AC55/AC444, "NA")</f>
        <v>5.9860582354244875E-4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304.54000000000002</v>
      </c>
      <c r="L56" s="8">
        <f>IFERROR(K56/K444, "NA")</f>
        <v>7.2129497530203025E-4</v>
      </c>
      <c r="M56" s="9"/>
      <c r="N56" s="10">
        <f t="shared" si="13"/>
        <v>-304.54000000000002</v>
      </c>
      <c r="O56" s="8">
        <f>IFERROR(N56/N444, "NA")</f>
        <v>-5.4451393361342687E-3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491.46000000000004</v>
      </c>
      <c r="AA56" s="8">
        <f>IFERROR(Z56/Z444, "NA")</f>
        <v>6.3418997025968288E-4</v>
      </c>
      <c r="AB56" s="9"/>
      <c r="AC56" s="10">
        <f t="shared" si="15"/>
        <v>-491.46000000000004</v>
      </c>
      <c r="AD56" s="8">
        <f>IFERROR(AC56/AC444, "NA")</f>
        <v>-3.5419072723112408E-3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2877.85</v>
      </c>
      <c r="L57" s="8">
        <f>IFERROR(K57/K444, "NA")</f>
        <v>6.8161119874990067E-3</v>
      </c>
      <c r="M57" s="9"/>
      <c r="N57" s="10">
        <f t="shared" si="13"/>
        <v>-2877.85</v>
      </c>
      <c r="O57" s="8">
        <f>IFERROR(N57/N444, "NA")</f>
        <v>-5.1455619092710327E-2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4803.38</v>
      </c>
      <c r="AA57" s="8">
        <f>IFERROR(Z57/Z444, "NA")</f>
        <v>6.1983791546533912E-3</v>
      </c>
      <c r="AB57" s="9"/>
      <c r="AC57" s="10">
        <f t="shared" si="15"/>
        <v>-4803.38</v>
      </c>
      <c r="AD57" s="8">
        <f>IFERROR(AC57/AC444, "NA")</f>
        <v>-3.4617520355012345E-2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1736.9</v>
      </c>
      <c r="L58" s="8">
        <f>IFERROR(K58/K444, "NA")</f>
        <v>4.1138019393251995E-3</v>
      </c>
      <c r="M58" s="9"/>
      <c r="N58" s="10">
        <f t="shared" si="13"/>
        <v>-1736.9</v>
      </c>
      <c r="O58" s="8">
        <f>IFERROR(N58/N444, "NA")</f>
        <v>-3.1055567455610465E-2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2101.9499999999998</v>
      </c>
      <c r="AA58" s="8">
        <f>IFERROR(Z58/Z444, "NA")</f>
        <v>2.7123989907364594E-3</v>
      </c>
      <c r="AB58" s="9"/>
      <c r="AC58" s="10">
        <f t="shared" si="15"/>
        <v>-2101.9499999999998</v>
      </c>
      <c r="AD58" s="8">
        <f>IFERROR(AC58/AC444, "NA")</f>
        <v>-1.5148561410968566E-2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76212.999999999985</v>
      </c>
      <c r="C61" s="15">
        <f>IFERROR(B61/B444, "NA")</f>
        <v>0.15939419789475759</v>
      </c>
      <c r="D61" s="2"/>
      <c r="E61" s="14">
        <f>IFERROR(E46+E47+E48+E49+E50+E51+E52+E53+E54+E55+E56+E57+E58+E59+E60, "NA")</f>
        <v>129487.02000000002</v>
      </c>
      <c r="F61" s="15">
        <f>IFERROR(E61/E444, "NA")</f>
        <v>0.26816551492701934</v>
      </c>
      <c r="G61" s="2"/>
      <c r="H61" s="14">
        <f t="shared" si="12"/>
        <v>-53274.020000000033</v>
      </c>
      <c r="I61" s="15">
        <f>IFERROR(H61/H444, "NA")</f>
        <v>11.285218898085093</v>
      </c>
      <c r="J61" s="2"/>
      <c r="K61" s="14">
        <f>IFERROR(K46+K47+K48+K49+K50+K51+K52+K53+K54+K55+K56+K57+K58+K59+K60, "NA")</f>
        <v>104175.98</v>
      </c>
      <c r="L61" s="15">
        <f>IFERROR(K61/K444, "NA")</f>
        <v>0.24673806699009912</v>
      </c>
      <c r="M61" s="2"/>
      <c r="N61" s="14">
        <f t="shared" si="13"/>
        <v>-27962.98000000001</v>
      </c>
      <c r="O61" s="15">
        <f>IFERROR(N61/N444, "NA")</f>
        <v>-0.49997478936604672</v>
      </c>
      <c r="P61" s="2"/>
      <c r="Q61" s="14">
        <f>IFERROR(Q46+Q47+Q48+Q49+Q50+Q51+Q52+Q53+Q54+Q55+Q56+Q57+Q58+Q59+Q60, "NA")</f>
        <v>162486.08000000002</v>
      </c>
      <c r="R61" s="15">
        <f>IFERROR(Q61/Q444, "NA")</f>
        <v>0.17783364847243407</v>
      </c>
      <c r="S61" s="2"/>
      <c r="T61" s="14">
        <f>IFERROR(T46+T47+T48+T49+T50+T51+T52+T53+T54+T55+T56+T57+T58+T59+T60, "NA")</f>
        <v>220722.16999999998</v>
      </c>
      <c r="U61" s="15">
        <f>IFERROR(T61/T444, "NA")</f>
        <v>0.26400133434665213</v>
      </c>
      <c r="V61" s="2"/>
      <c r="W61" s="14">
        <f t="shared" si="14"/>
        <v>-58236.089999999967</v>
      </c>
      <c r="X61" s="15">
        <f>IFERROR(W61/W444, "NA")</f>
        <v>-0.7501513864369872</v>
      </c>
      <c r="Y61" s="2"/>
      <c r="Z61" s="14">
        <f>IFERROR(Z46+Z47+Z48+Z49+Z50+Z51+Z52+Z53+Z54+Z55+Z56+Z57+Z58+Z59+Z60, "NA")</f>
        <v>185869.85</v>
      </c>
      <c r="AA61" s="15">
        <f>IFERROR(Z61/Z444, "NA")</f>
        <v>0.23985023123686916</v>
      </c>
      <c r="AB61" s="2"/>
      <c r="AC61" s="14">
        <f t="shared" si="15"/>
        <v>-23383.76999999999</v>
      </c>
      <c r="AD61" s="15">
        <f>IFERROR(AC61/AC444, "NA")</f>
        <v>-0.16852469176953033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104639.61999999998</v>
      </c>
      <c r="C62" s="15">
        <f>IFERROR(B62/B444, "NA")</f>
        <v>0.21884649991356112</v>
      </c>
      <c r="D62" s="2"/>
      <c r="E62" s="14">
        <f>IFERROR(E42+E43+E44+E46+E47+E48+E49+E50+E51+E52+E53+E54+E55+E56+E57+E58+E59+E60, "NA")</f>
        <v>129487.02000000002</v>
      </c>
      <c r="F62" s="15">
        <f>IFERROR(E62/E444, "NA")</f>
        <v>0.26816551492701934</v>
      </c>
      <c r="G62" s="2"/>
      <c r="H62" s="14">
        <f t="shared" si="12"/>
        <v>-24847.400000000038</v>
      </c>
      <c r="I62" s="15">
        <f>IFERROR(H62/H444, "NA")</f>
        <v>5.2635102071944226</v>
      </c>
      <c r="J62" s="2"/>
      <c r="K62" s="14">
        <f>IFERROR(K42+K43+K44+K46+K47+K48+K49+K50+K51+K52+K53+K54+K55+K56+K57+K58+K59+K60, "NA")</f>
        <v>105001.95999999999</v>
      </c>
      <c r="L62" s="15">
        <f>IFERROR(K62/K444, "NA")</f>
        <v>0.24869437888246126</v>
      </c>
      <c r="M62" s="2"/>
      <c r="N62" s="14">
        <f t="shared" si="13"/>
        <v>-362.34000000001106</v>
      </c>
      <c r="O62" s="15">
        <f>IFERROR(N62/N444, "NA")</f>
        <v>-6.4785965293720068E-3</v>
      </c>
      <c r="P62" s="2"/>
      <c r="Q62" s="14">
        <f>IFERROR(Q42+Q43+Q44+Q46+Q47+Q48+Q49+Q50+Q51+Q52+Q53+Q54+Q55+Q56+Q57+Q58+Q59+Q60, "NA")</f>
        <v>208499.75000000003</v>
      </c>
      <c r="R62" s="15">
        <f>IFERROR(Q62/Q444, "NA")</f>
        <v>0.22819352431968565</v>
      </c>
      <c r="S62" s="2"/>
      <c r="T62" s="14">
        <f>IFERROR(T42+T43+T44+T46+T47+T48+T49+T50+T51+T52+T53+T54+T55+T56+T57+T58+T59+T60, "NA")</f>
        <v>220722.16999999998</v>
      </c>
      <c r="U62" s="15">
        <f>IFERROR(T62/T444, "NA")</f>
        <v>0.26400133434665213</v>
      </c>
      <c r="V62" s="2"/>
      <c r="W62" s="14">
        <f t="shared" si="14"/>
        <v>-12222.419999999955</v>
      </c>
      <c r="X62" s="15">
        <f>IFERROR(W62/W444, "NA")</f>
        <v>-0.15743957584747076</v>
      </c>
      <c r="Y62" s="2"/>
      <c r="Z62" s="14">
        <f>IFERROR(Z42+Z43+Z44+Z46+Z47+Z48+Z49+Z50+Z51+Z52+Z53+Z54+Z55+Z56+Z57+Z58+Z59+Z60, "NA")</f>
        <v>189920.83</v>
      </c>
      <c r="AA62" s="15">
        <f>IFERROR(Z62/Z444, "NA")</f>
        <v>0.24507769814307223</v>
      </c>
      <c r="AB62" s="2"/>
      <c r="AC62" s="14">
        <f t="shared" si="15"/>
        <v>18578.920000000042</v>
      </c>
      <c r="AD62" s="15">
        <f>IFERROR(AC62/AC444, "NA")</f>
        <v>0.13389657725896084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1349.51</v>
      </c>
      <c r="C65" s="8">
        <f>IFERROR(B65/B444, "NA")</f>
        <v>2.8224064661009846E-3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1349.51</v>
      </c>
      <c r="I65" s="8">
        <f>IFERROR(H65/H444, "NA")</f>
        <v>-0.28587134507879836</v>
      </c>
      <c r="J65" s="9"/>
      <c r="K65" s="7">
        <v>0</v>
      </c>
      <c r="L65" s="8">
        <f>IFERROR(K65/K444, "NA")</f>
        <v>0</v>
      </c>
      <c r="M65" s="9"/>
      <c r="N65" s="10">
        <f t="shared" si="17"/>
        <v>1349.51</v>
      </c>
      <c r="O65" s="8">
        <f>IFERROR(N65/N444, "NA")</f>
        <v>2.4129079876228265E-2</v>
      </c>
      <c r="P65" s="9"/>
      <c r="Q65" s="7">
        <v>3459.71</v>
      </c>
      <c r="R65" s="8">
        <f>IFERROR(Q65/Q444, "NA")</f>
        <v>3.7864957537074246E-3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3459.71</v>
      </c>
      <c r="X65" s="8">
        <f>IFERROR(W65/W444, "NA")</f>
        <v>4.4565255894925479E-2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3459.71</v>
      </c>
      <c r="AD65" s="8">
        <f>IFERROR(AC65/AC444, "NA")</f>
        <v>2.4933813553672572E-2</v>
      </c>
    </row>
    <row r="66" spans="1:30" ht="16.5" customHeight="1" x14ac:dyDescent="0.45">
      <c r="A66" s="12" t="s">
        <v>63</v>
      </c>
      <c r="B66" s="7">
        <v>11235.28</v>
      </c>
      <c r="C66" s="8">
        <f>IFERROR(B66/B444, "NA")</f>
        <v>2.3497808034364378E-2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11235.28</v>
      </c>
      <c r="I66" s="8">
        <f>IFERROR(H66/H444, "NA")</f>
        <v>-2.3800080073040748</v>
      </c>
      <c r="J66" s="9"/>
      <c r="K66" s="7">
        <v>12596.78</v>
      </c>
      <c r="L66" s="8">
        <f>IFERROR(K66/K444, "NA")</f>
        <v>2.9835141915627202E-2</v>
      </c>
      <c r="M66" s="9"/>
      <c r="N66" s="10">
        <f t="shared" si="17"/>
        <v>-1361.5</v>
      </c>
      <c r="O66" s="8">
        <f>IFERROR(N66/N444, "NA")</f>
        <v>-2.4343459664237229E-2</v>
      </c>
      <c r="P66" s="9"/>
      <c r="Q66" s="7">
        <v>24724.940000000002</v>
      </c>
      <c r="R66" s="8">
        <f>IFERROR(Q66/Q444, "NA")</f>
        <v>2.706032595814992E-2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24724.940000000002</v>
      </c>
      <c r="X66" s="8">
        <f>IFERROR(W66/W444, "NA")</f>
        <v>0.31848717900826334</v>
      </c>
      <c r="Y66" s="9"/>
      <c r="Z66" s="7">
        <v>12596.78</v>
      </c>
      <c r="AA66" s="8">
        <f>IFERROR(Z66/Z444, "NA")</f>
        <v>1.6255140873250657E-2</v>
      </c>
      <c r="AB66" s="9"/>
      <c r="AC66" s="10">
        <f t="shared" si="19"/>
        <v>12128.160000000002</v>
      </c>
      <c r="AD66" s="8">
        <f>IFERROR(AC66/AC444, "NA")</f>
        <v>8.7406539909157005E-2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1.0816221853840943E-2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0.12730179196972427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7.1224075398677228E-2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12584.79</v>
      </c>
      <c r="C73" s="15">
        <f>IFERROR(B73/B444, "NA")</f>
        <v>2.6320214500465362E-2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12584.79</v>
      </c>
      <c r="I73" s="15">
        <f>IFERROR(H73/H444, "NA")</f>
        <v>-2.665879352382873</v>
      </c>
      <c r="J73" s="2"/>
      <c r="K73" s="14">
        <f>IFERROR(K64+K65+K66+K67+K68+K69+K70+K71+K72, "NA")</f>
        <v>12596.78</v>
      </c>
      <c r="L73" s="15">
        <f>IFERROR(K73/K444, "NA")</f>
        <v>2.9835141915627202E-2</v>
      </c>
      <c r="M73" s="2"/>
      <c r="N73" s="14">
        <f t="shared" si="17"/>
        <v>-11.989999999999782</v>
      </c>
      <c r="O73" s="15">
        <f>IFERROR(N73/N444, "NA")</f>
        <v>-2.1437978800896003E-4</v>
      </c>
      <c r="P73" s="2"/>
      <c r="Q73" s="14">
        <f>IFERROR(Q64+Q65+Q66+Q67+Q68+Q69+Q70+Q71+Q72, "NA")</f>
        <v>38067.4</v>
      </c>
      <c r="R73" s="15">
        <f>IFERROR(Q73/Q444, "NA")</f>
        <v>4.1663043565698284E-2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38067.4</v>
      </c>
      <c r="X73" s="15">
        <f>IFERROR(W73/W444, "NA")</f>
        <v>0.49035422687291308</v>
      </c>
      <c r="Y73" s="2"/>
      <c r="Z73" s="14">
        <f>IFERROR(Z64+Z65+Z66+Z67+Z68+Z69+Z70+Z71+Z72, "NA")</f>
        <v>12596.78</v>
      </c>
      <c r="AA73" s="15">
        <f>IFERROR(Z73/Z444, "NA")</f>
        <v>1.6255140873250657E-2</v>
      </c>
      <c r="AB73" s="2"/>
      <c r="AC73" s="14">
        <f t="shared" si="19"/>
        <v>25470.620000000003</v>
      </c>
      <c r="AD73" s="15">
        <f>IFERROR(AC73/AC444, "NA")</f>
        <v>0.18356442886150681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8861.6700000000019</v>
      </c>
      <c r="F75" s="8">
        <f>IFERROR(E75/E444, "NA")</f>
        <v>1.8352374613790013E-2</v>
      </c>
      <c r="G75" s="9"/>
      <c r="H75" s="10">
        <f t="shared" ref="H75:H92" si="20">IFERROR(B75-E75, "NA")</f>
        <v>-8861.6700000000019</v>
      </c>
      <c r="I75" s="8">
        <f>IFERROR(H75/H444, "NA")</f>
        <v>1.8771980367277274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15137.380000000001</v>
      </c>
      <c r="U75" s="8">
        <f>IFERROR(T75/T444, "NA")</f>
        <v>1.81055148130898E-2</v>
      </c>
      <c r="V75" s="9"/>
      <c r="W75" s="10">
        <f t="shared" ref="W75:W92" si="22">IFERROR(Q75-T75, "NA")</f>
        <v>-15137.380000000001</v>
      </c>
      <c r="X75" s="8">
        <f>IFERROR(W75/W444, "NA")</f>
        <v>-0.19498779183189546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1678.2999999999997</v>
      </c>
      <c r="C77" s="8">
        <f>IFERROR(B77/B444, "NA")</f>
        <v>3.5100479226217529E-3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1678.2999999999997</v>
      </c>
      <c r="I77" s="8">
        <f>IFERROR(H77/H444, "NA")</f>
        <v>-0.35552006168590616</v>
      </c>
      <c r="J77" s="9"/>
      <c r="K77" s="7">
        <v>391.68999999999994</v>
      </c>
      <c r="L77" s="8">
        <f>IFERROR(K77/K444, "NA")</f>
        <v>9.2770745674148605E-4</v>
      </c>
      <c r="M77" s="9"/>
      <c r="N77" s="10">
        <f t="shared" si="21"/>
        <v>1286.6099999999997</v>
      </c>
      <c r="O77" s="8">
        <f>IFERROR(N77/N444, "NA")</f>
        <v>2.3004435283587407E-2</v>
      </c>
      <c r="P77" s="9"/>
      <c r="Q77" s="7">
        <v>3148.9500000000003</v>
      </c>
      <c r="R77" s="8">
        <f>IFERROR(Q77/Q444, "NA")</f>
        <v>3.446383021593427E-3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3148.9500000000003</v>
      </c>
      <c r="X77" s="8">
        <f>IFERROR(W77/W444, "NA")</f>
        <v>4.056229064006104E-2</v>
      </c>
      <c r="Y77" s="9"/>
      <c r="Z77" s="7">
        <v>654.80999999999995</v>
      </c>
      <c r="AA77" s="8">
        <f>IFERROR(Z77/Z444, "NA")</f>
        <v>8.4498012946270884E-4</v>
      </c>
      <c r="AB77" s="9"/>
      <c r="AC77" s="10">
        <f t="shared" si="23"/>
        <v>2494.1400000000003</v>
      </c>
      <c r="AD77" s="8">
        <f>IFERROR(AC77/AC444, "NA")</f>
        <v>1.7975038872262969E-2</v>
      </c>
    </row>
    <row r="78" spans="1:30" ht="16.5" customHeight="1" x14ac:dyDescent="0.45">
      <c r="A78" s="12" t="s">
        <v>74</v>
      </c>
      <c r="B78" s="7">
        <v>100</v>
      </c>
      <c r="C78" s="8">
        <f>IFERROR(B78/B444, "NA")</f>
        <v>2.0914305682069673E-4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100</v>
      </c>
      <c r="I78" s="8">
        <f>IFERROR(H78/H444, "NA")</f>
        <v>-2.11833439603114E-2</v>
      </c>
      <c r="J78" s="9"/>
      <c r="K78" s="7">
        <v>75</v>
      </c>
      <c r="L78" s="8">
        <f>IFERROR(K78/K444, "NA")</f>
        <v>1.7763552619574528E-4</v>
      </c>
      <c r="M78" s="9"/>
      <c r="N78" s="10">
        <f t="shared" si="21"/>
        <v>25</v>
      </c>
      <c r="O78" s="8">
        <f>IFERROR(N78/N444, "NA")</f>
        <v>4.4699705589859037E-4</v>
      </c>
      <c r="P78" s="9"/>
      <c r="Q78" s="7">
        <v>125</v>
      </c>
      <c r="R78" s="8">
        <f>IFERROR(Q78/Q444, "NA")</f>
        <v>1.3680683329337663E-4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125</v>
      </c>
      <c r="X78" s="8">
        <f>IFERROR(W78/W444, "NA")</f>
        <v>1.6101514250806237E-3</v>
      </c>
      <c r="Y78" s="9"/>
      <c r="Z78" s="7">
        <v>100</v>
      </c>
      <c r="AA78" s="8">
        <f>IFERROR(Z78/Z444, "NA")</f>
        <v>1.2904203195777538E-4</v>
      </c>
      <c r="AB78" s="9"/>
      <c r="AC78" s="10">
        <f t="shared" si="23"/>
        <v>25</v>
      </c>
      <c r="AD78" s="8">
        <f>IFERROR(AC78/AC444, "NA")</f>
        <v>1.8017271356322187E-4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23.92</v>
      </c>
      <c r="L79" s="8">
        <f>IFERROR(K79/K444, "NA")</f>
        <v>5.6653890488029697E-5</v>
      </c>
      <c r="M79" s="9"/>
      <c r="N79" s="10">
        <f t="shared" si="21"/>
        <v>-23.92</v>
      </c>
      <c r="O79" s="8">
        <f>IFERROR(N79/N444, "NA")</f>
        <v>-4.2768678308377126E-4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68.77</v>
      </c>
      <c r="AA79" s="8">
        <f>IFERROR(Z79/Z444, "NA")</f>
        <v>8.8742205377362115E-5</v>
      </c>
      <c r="AB79" s="9"/>
      <c r="AC79" s="10">
        <f t="shared" si="23"/>
        <v>-68.77</v>
      </c>
      <c r="AD79" s="8">
        <f>IFERROR(AC79/AC444, "NA")</f>
        <v>-4.9561910046971066E-4</v>
      </c>
    </row>
    <row r="80" spans="1:30" ht="16.5" customHeight="1" x14ac:dyDescent="0.45">
      <c r="A80" s="12" t="s">
        <v>76</v>
      </c>
      <c r="B80" s="7">
        <v>7354.49</v>
      </c>
      <c r="C80" s="8">
        <f>IFERROR(B80/B444, "NA")</f>
        <v>1.538140519957246E-2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7354.49</v>
      </c>
      <c r="I80" s="8">
        <f>IFERROR(H80/H444, "NA")</f>
        <v>-1.5579269132267057</v>
      </c>
      <c r="J80" s="9"/>
      <c r="K80" s="7">
        <v>6235</v>
      </c>
      <c r="L80" s="8">
        <f>IFERROR(K80/K444, "NA")</f>
        <v>1.4767433411072957E-2</v>
      </c>
      <c r="M80" s="9"/>
      <c r="N80" s="10">
        <f t="shared" si="21"/>
        <v>1119.4899999999998</v>
      </c>
      <c r="O80" s="8">
        <f>IFERROR(N80/N444, "NA")</f>
        <v>2.0016349364316514E-2</v>
      </c>
      <c r="P80" s="9"/>
      <c r="Q80" s="7">
        <v>15341.87</v>
      </c>
      <c r="R80" s="8">
        <f>IFERROR(Q80/Q444, "NA")</f>
        <v>1.6790981211989249E-2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15341.87</v>
      </c>
      <c r="X80" s="8">
        <f>IFERROR(W80/W444, "NA")</f>
        <v>0.19762187075121335</v>
      </c>
      <c r="Y80" s="9"/>
      <c r="Z80" s="7">
        <v>11440</v>
      </c>
      <c r="AA80" s="8">
        <f>IFERROR(Z80/Z444, "NA")</f>
        <v>1.4762408455969503E-2</v>
      </c>
      <c r="AB80" s="9"/>
      <c r="AC80" s="10">
        <f t="shared" si="23"/>
        <v>3901.8700000000008</v>
      </c>
      <c r="AD80" s="8">
        <f>IFERROR(AC80/AC444, "NA")</f>
        <v>2.8120420234837143E-2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25</v>
      </c>
      <c r="C82" s="8">
        <f>IFERROR(B82/B444, "NA")</f>
        <v>5.2285764205174184E-5</v>
      </c>
      <c r="D82" s="9"/>
      <c r="E82" s="7">
        <v>0</v>
      </c>
      <c r="F82" s="8">
        <f>IFERROR(E82/E444, "NA")</f>
        <v>0</v>
      </c>
      <c r="G82" s="9"/>
      <c r="H82" s="10">
        <f t="shared" si="20"/>
        <v>25</v>
      </c>
      <c r="I82" s="8">
        <f>IFERROR(H82/H444, "NA")</f>
        <v>-5.29583599007785E-3</v>
      </c>
      <c r="J82" s="9"/>
      <c r="K82" s="7">
        <v>25</v>
      </c>
      <c r="L82" s="8">
        <f>IFERROR(K82/K444, "NA")</f>
        <v>5.9211842065248421E-5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2.7361366658675326E-5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3.2203028501612475E-4</v>
      </c>
      <c r="Y82" s="9"/>
      <c r="Z82" s="7">
        <v>25</v>
      </c>
      <c r="AA82" s="8">
        <f>IFERROR(Z82/Z444, "NA")</f>
        <v>3.2260507989443844E-5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190</v>
      </c>
      <c r="L86" s="8">
        <f>IFERROR(K86/K444, "NA")</f>
        <v>4.50009999695888E-4</v>
      </c>
      <c r="M86" s="9"/>
      <c r="N86" s="10">
        <f t="shared" si="21"/>
        <v>-190</v>
      </c>
      <c r="O86" s="8">
        <f>IFERROR(N86/N444, "NA")</f>
        <v>-3.3971776248292868E-3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260</v>
      </c>
      <c r="AA86" s="8">
        <f>IFERROR(Z86/Z444, "NA")</f>
        <v>3.3550928309021599E-4</v>
      </c>
      <c r="AB86" s="9"/>
      <c r="AC86" s="10">
        <f t="shared" si="23"/>
        <v>-260</v>
      </c>
      <c r="AD86" s="8">
        <f>IFERROR(AC86/AC444, "NA")</f>
        <v>-1.8737962210575072E-3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1.0816276576574261E-3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1.2730243603029429E-2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7.1224435744104359E-3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9157.7899999999991</v>
      </c>
      <c r="C88" s="15">
        <f>IFERROR(B88/B444, "NA")</f>
        <v>1.9152881943220082E-2</v>
      </c>
      <c r="D88" s="2"/>
      <c r="E88" s="14">
        <f>IFERROR(E75+E76+E77+E78+E79+E80+E81+E82+E83+E84+E85+E86+E87, "NA")</f>
        <v>8861.6700000000019</v>
      </c>
      <c r="F88" s="15">
        <f>IFERROR(E88/E444, "NA")</f>
        <v>1.8352374613790013E-2</v>
      </c>
      <c r="G88" s="2"/>
      <c r="H88" s="14">
        <f t="shared" si="20"/>
        <v>296.11999999999716</v>
      </c>
      <c r="I88" s="15">
        <f>IFERROR(H88/H444, "NA")</f>
        <v>-6.2728118135273514E-2</v>
      </c>
      <c r="J88" s="2"/>
      <c r="K88" s="14">
        <f>IFERROR(K75+K76+K77+K78+K79+K80+K81+K82+K83+K84+K85+K86+K87, "NA")</f>
        <v>6940.61</v>
      </c>
      <c r="L88" s="15">
        <f>IFERROR(K88/K444, "NA")</f>
        <v>1.6438652126259355E-2</v>
      </c>
      <c r="M88" s="2"/>
      <c r="N88" s="14">
        <f t="shared" si="21"/>
        <v>2217.1799999999994</v>
      </c>
      <c r="O88" s="15">
        <f>IFERROR(N88/N444, "NA")</f>
        <v>3.9642917295889452E-2</v>
      </c>
      <c r="P88" s="2"/>
      <c r="Q88" s="14">
        <f>IFERROR(Q75+Q76+Q77+Q78+Q79+Q80+Q81+Q82+Q83+Q84+Q85+Q86+Q87, "NA")</f>
        <v>19629.099999999999</v>
      </c>
      <c r="R88" s="15">
        <f>IFERROR(Q88/Q444, "NA")</f>
        <v>2.1483160091192152E-2</v>
      </c>
      <c r="S88" s="2"/>
      <c r="T88" s="14">
        <f>IFERROR(T75+T76+T77+T78+T79+T80+T81+T82+T83+T84+T85+T86+T87, "NA")</f>
        <v>15137.380000000001</v>
      </c>
      <c r="U88" s="15">
        <f>IFERROR(T88/T444, "NA")</f>
        <v>1.81055148130898E-2</v>
      </c>
      <c r="V88" s="2"/>
      <c r="W88" s="14">
        <f t="shared" si="22"/>
        <v>4491.7199999999975</v>
      </c>
      <c r="X88" s="15">
        <f>IFERROR(W88/W444, "NA")</f>
        <v>5.785879487250508E-2</v>
      </c>
      <c r="Y88" s="2"/>
      <c r="Z88" s="14">
        <f>IFERROR(Z75+Z76+Z77+Z78+Z79+Z80+Z81+Z82+Z83+Z84+Z85+Z86+Z87, "NA")</f>
        <v>12548.58</v>
      </c>
      <c r="AA88" s="15">
        <f>IFERROR(Z88/Z444, "NA")</f>
        <v>1.619294261384701E-2</v>
      </c>
      <c r="AB88" s="2"/>
      <c r="AC88" s="14">
        <f t="shared" si="23"/>
        <v>7080.5199999999986</v>
      </c>
      <c r="AD88" s="15">
        <f>IFERROR(AC88/AC444, "NA")</f>
        <v>5.1028660073546533E-2</v>
      </c>
    </row>
    <row r="89" spans="1:30" ht="16.5" customHeight="1" x14ac:dyDescent="0.45">
      <c r="A89" s="6" t="s">
        <v>85</v>
      </c>
      <c r="B89" s="7">
        <v>-113.32000000000001</v>
      </c>
      <c r="C89" s="8">
        <f>IFERROR(B89/B444, "NA")</f>
        <v>-2.3700091198921357E-4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-113.32000000000001</v>
      </c>
      <c r="I89" s="8">
        <f>IFERROR(H89/H444, "NA")</f>
        <v>2.4004965375824878E-2</v>
      </c>
      <c r="J89" s="9"/>
      <c r="K89" s="7">
        <v>-1736.6200000000001</v>
      </c>
      <c r="L89" s="8">
        <f>IFERROR(K89/K444, "NA")</f>
        <v>-4.113138766694069E-3</v>
      </c>
      <c r="M89" s="9"/>
      <c r="N89" s="10">
        <f t="shared" si="21"/>
        <v>1623.3000000000002</v>
      </c>
      <c r="O89" s="8">
        <f>IFERROR(N89/N444, "NA")</f>
        <v>2.9024412833607273E-2</v>
      </c>
      <c r="P89" s="9"/>
      <c r="Q89" s="7">
        <v>-132.58000000000001</v>
      </c>
      <c r="R89" s="8">
        <f>IFERROR(Q89/Q444, "NA")</f>
        <v>-1.45102799664287E-4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-132.58000000000001</v>
      </c>
      <c r="X89" s="8">
        <f>IFERROR(W89/W444, "NA")</f>
        <v>-1.7077910074975128E-3</v>
      </c>
      <c r="Y89" s="9"/>
      <c r="Z89" s="7">
        <v>1443.46</v>
      </c>
      <c r="AA89" s="8">
        <f>IFERROR(Z89/Z444, "NA")</f>
        <v>1.8626701144977044E-3</v>
      </c>
      <c r="AB89" s="9"/>
      <c r="AC89" s="10">
        <f t="shared" si="23"/>
        <v>-1576.04</v>
      </c>
      <c r="AD89" s="8">
        <f>IFERROR(AC89/AC444, "NA")</f>
        <v>-1.1358376139367207E-2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-18017.099999999999</v>
      </c>
      <c r="F94" s="8">
        <f>IFERROR(E94/E444, "NA")</f>
        <v>-3.7313121415502484E-2</v>
      </c>
      <c r="G94" s="9"/>
      <c r="H94" s="10">
        <f t="shared" ref="H94:H124" si="24">IFERROR(B94-E94, "NA")</f>
        <v>18017.099999999999</v>
      </c>
      <c r="I94" s="8">
        <f>IFERROR(H94/H444, "NA")</f>
        <v>-3.8166242646732647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-31239.980000000003</v>
      </c>
      <c r="U94" s="8">
        <f>IFERROR(T94/T444, "NA")</f>
        <v>-3.7365509794338857E-2</v>
      </c>
      <c r="V94" s="9"/>
      <c r="W94" s="10">
        <f t="shared" ref="W94:W124" si="26">IFERROR(Q94-T94, "NA")</f>
        <v>31239.980000000003</v>
      </c>
      <c r="X94" s="8">
        <f>IFERROR(W94/W444, "NA")</f>
        <v>0.40240878653192147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-7748.4</v>
      </c>
      <c r="C96" s="8">
        <f>IFERROR(B96/B444, "NA")</f>
        <v>-1.6205240614694867E-2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-7748.4</v>
      </c>
      <c r="I96" s="8">
        <f>IFERROR(H96/H444, "NA")</f>
        <v>1.6413702234207683</v>
      </c>
      <c r="J96" s="9"/>
      <c r="K96" s="7">
        <v>-2495.8199999999997</v>
      </c>
      <c r="L96" s="8">
        <f>IFERROR(K96/K444, "NA")</f>
        <v>-5.9112839865315325E-3</v>
      </c>
      <c r="M96" s="9"/>
      <c r="N96" s="10">
        <f t="shared" si="25"/>
        <v>-5252.58</v>
      </c>
      <c r="O96" s="8">
        <f>IFERROR(N96/N444, "NA")</f>
        <v>-9.3915511834872706E-2</v>
      </c>
      <c r="P96" s="9"/>
      <c r="Q96" s="7">
        <v>-14722.419999999998</v>
      </c>
      <c r="R96" s="8">
        <f>IFERROR(Q96/Q444, "NA")</f>
        <v>-1.6113021268920589E-2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-14722.419999999998</v>
      </c>
      <c r="X96" s="8">
        <f>IFERROR(W96/W444, "NA")</f>
        <v>-0.18964260434908378</v>
      </c>
      <c r="Y96" s="9"/>
      <c r="Z96" s="7">
        <v>-5350.77</v>
      </c>
      <c r="AA96" s="8">
        <f>IFERROR(Z96/Z444, "NA")</f>
        <v>-6.9047423333870577E-3</v>
      </c>
      <c r="AB96" s="9"/>
      <c r="AC96" s="10">
        <f t="shared" si="27"/>
        <v>-9371.6499999999978</v>
      </c>
      <c r="AD96" s="8">
        <f>IFERROR(AC96/AC444, "NA")</f>
        <v>-6.7540624442590708E-2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-7372.01</v>
      </c>
      <c r="C98" s="8">
        <f>IFERROR(B98/B444, "NA")</f>
        <v>-1.5418047063127447E-2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-7372.01</v>
      </c>
      <c r="I98" s="8">
        <f>IFERROR(H98/H444, "NA")</f>
        <v>1.5616382350885525</v>
      </c>
      <c r="J98" s="9"/>
      <c r="K98" s="7">
        <v>-8434.7100000000009</v>
      </c>
      <c r="L98" s="8">
        <f>IFERROR(K98/K444, "NA")</f>
        <v>-1.9977388655446862E-2</v>
      </c>
      <c r="M98" s="9"/>
      <c r="N98" s="10">
        <f t="shared" si="25"/>
        <v>1062.7000000000007</v>
      </c>
      <c r="O98" s="8">
        <f>IFERROR(N98/N444, "NA")</f>
        <v>1.900095085213729E-2</v>
      </c>
      <c r="P98" s="9"/>
      <c r="Q98" s="7">
        <v>-15544.22</v>
      </c>
      <c r="R98" s="8">
        <f>IFERROR(Q98/Q444, "NA")</f>
        <v>-1.7012444113724566E-2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-15544.22</v>
      </c>
      <c r="X98" s="8">
        <f>IFERROR(W98/W444, "NA")</f>
        <v>-0.20022838387813385</v>
      </c>
      <c r="Y98" s="9"/>
      <c r="Z98" s="7">
        <v>-15029.720000000001</v>
      </c>
      <c r="AA98" s="8">
        <f>IFERROR(Z98/Z444, "NA")</f>
        <v>-1.939465608556416E-2</v>
      </c>
      <c r="AB98" s="9"/>
      <c r="AC98" s="10">
        <f t="shared" si="27"/>
        <v>-514.49999999999818</v>
      </c>
      <c r="AD98" s="8">
        <f>IFERROR(AC98/AC444, "NA")</f>
        <v>-3.7079544451310929E-3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-2578.59</v>
      </c>
      <c r="C100" s="8">
        <f>IFERROR(B100/B444, "NA")</f>
        <v>-5.3929419488728042E-3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-2578.59</v>
      </c>
      <c r="I100" s="8">
        <f>IFERROR(H100/H444, "NA")</f>
        <v>0.54623158902619373</v>
      </c>
      <c r="J100" s="9"/>
      <c r="K100" s="7">
        <v>-359.77000000000004</v>
      </c>
      <c r="L100" s="8">
        <f>IFERROR(K100/K444, "NA")</f>
        <v>-8.5210577679257712E-4</v>
      </c>
      <c r="M100" s="9"/>
      <c r="N100" s="10">
        <f t="shared" si="25"/>
        <v>-2218.8200000000002</v>
      </c>
      <c r="O100" s="8">
        <f>IFERROR(N100/N444, "NA")</f>
        <v>-3.9672240302756415E-2</v>
      </c>
      <c r="P100" s="9"/>
      <c r="Q100" s="7">
        <v>-4105.7</v>
      </c>
      <c r="R100" s="8">
        <f>IFERROR(Q100/Q444, "NA")</f>
        <v>-4.4935025236209312E-3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-4105.7</v>
      </c>
      <c r="X100" s="8">
        <f>IFERROR(W100/W444, "NA")</f>
        <v>-5.2886389647628131E-2</v>
      </c>
      <c r="Y100" s="9"/>
      <c r="Z100" s="7">
        <v>-7113.73</v>
      </c>
      <c r="AA100" s="8">
        <f>IFERROR(Z100/Z444, "NA")</f>
        <v>-9.1797017399898543E-3</v>
      </c>
      <c r="AB100" s="9"/>
      <c r="AC100" s="10">
        <f t="shared" si="27"/>
        <v>3008.0299999999997</v>
      </c>
      <c r="AD100" s="8">
        <f>IFERROR(AC100/AC444, "NA")</f>
        <v>2.1678597103183126E-2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-5232.46</v>
      </c>
      <c r="C102" s="8">
        <f>IFERROR(B102/B444, "NA")</f>
        <v>-1.0943326790920228E-2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-5232.46</v>
      </c>
      <c r="I102" s="8">
        <f>IFERROR(H102/H444, "NA")</f>
        <v>1.1084099993857097</v>
      </c>
      <c r="J102" s="9"/>
      <c r="K102" s="7">
        <v>-1381.55</v>
      </c>
      <c r="L102" s="8">
        <f>IFERROR(K102/K444, "NA")</f>
        <v>-3.2721648162097583E-3</v>
      </c>
      <c r="M102" s="9"/>
      <c r="N102" s="10">
        <f t="shared" si="25"/>
        <v>-3850.91</v>
      </c>
      <c r="O102" s="8">
        <f>IFERROR(N102/N444, "NA")</f>
        <v>-6.8853817301217618E-2</v>
      </c>
      <c r="P102" s="9"/>
      <c r="Q102" s="7">
        <v>-9753.6899999999987</v>
      </c>
      <c r="R102" s="8">
        <f>IFERROR(Q102/Q444, "NA")</f>
        <v>-1.0674971534602196E-2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-9753.6899999999987</v>
      </c>
      <c r="X102" s="8">
        <f>IFERROR(W102/W444, "NA")</f>
        <v>-0.125639342826357</v>
      </c>
      <c r="Y102" s="9"/>
      <c r="Z102" s="7">
        <v>-2812.1000000000004</v>
      </c>
      <c r="AA102" s="8">
        <f>IFERROR(Z102/Z444, "NA")</f>
        <v>-3.6287909806846019E-3</v>
      </c>
      <c r="AB102" s="9"/>
      <c r="AC102" s="10">
        <f t="shared" si="27"/>
        <v>-6941.5899999999983</v>
      </c>
      <c r="AD102" s="8">
        <f>IFERROR(AC102/AC444, "NA")</f>
        <v>-5.0027404269732997E-2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-2297.8500000000004</v>
      </c>
      <c r="C104" s="8">
        <f>IFERROR(B104/B444, "NA")</f>
        <v>-4.805793731154381E-3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-2297.8500000000004</v>
      </c>
      <c r="I104" s="8">
        <f>IFERROR(H104/H444, "NA")</f>
        <v>0.48676146919201557</v>
      </c>
      <c r="J104" s="9"/>
      <c r="K104" s="7">
        <v>-2146.29</v>
      </c>
      <c r="L104" s="8">
        <f>IFERROR(K104/K444, "NA")</f>
        <v>-5.0834313802488812E-3</v>
      </c>
      <c r="M104" s="9"/>
      <c r="N104" s="10">
        <f t="shared" si="25"/>
        <v>-151.5600000000004</v>
      </c>
      <c r="O104" s="8">
        <f>IFERROR(N104/N444, "NA")</f>
        <v>-2.7098749516796211E-3</v>
      </c>
      <c r="P104" s="9"/>
      <c r="Q104" s="7">
        <v>-4985.25</v>
      </c>
      <c r="R104" s="8">
        <f>IFERROR(Q104/Q444, "NA")</f>
        <v>-5.4561301254064465E-3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-4985.25</v>
      </c>
      <c r="X104" s="8">
        <f>IFERROR(W104/W444, "NA")</f>
        <v>-6.4216059135065437E-2</v>
      </c>
      <c r="Y104" s="9"/>
      <c r="Z104" s="7">
        <v>-6034.02</v>
      </c>
      <c r="AA104" s="8">
        <f>IFERROR(Z104/Z444, "NA")</f>
        <v>-7.7864220167385579E-3</v>
      </c>
      <c r="AB104" s="9"/>
      <c r="AC104" s="10">
        <f t="shared" si="27"/>
        <v>1048.7700000000004</v>
      </c>
      <c r="AD104" s="8">
        <f>IFERROR(AC104/AC444, "NA")</f>
        <v>7.5583894721480104E-3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-93.16</v>
      </c>
      <c r="C106" s="8">
        <f>IFERROR(B106/B444, "NA")</f>
        <v>-1.9483767173416108E-4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-93.16</v>
      </c>
      <c r="I106" s="8">
        <f>IFERROR(H106/H444, "NA")</f>
        <v>1.9734403233426099E-2</v>
      </c>
      <c r="J106" s="9"/>
      <c r="K106" s="7">
        <v>-4075.3</v>
      </c>
      <c r="L106" s="8">
        <f>IFERROR(K106/K444, "NA")</f>
        <v>-9.6522407987402765E-3</v>
      </c>
      <c r="M106" s="9"/>
      <c r="N106" s="10">
        <f t="shared" si="25"/>
        <v>3982.1400000000003</v>
      </c>
      <c r="O106" s="8">
        <f>IFERROR(N106/N444, "NA")</f>
        <v>7.1200194247040507E-2</v>
      </c>
      <c r="P106" s="9"/>
      <c r="Q106" s="7">
        <v>-1178.77</v>
      </c>
      <c r="R106" s="8">
        <f>IFERROR(Q106/Q444, "NA")</f>
        <v>-1.2901103270498684E-3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-1178.77</v>
      </c>
      <c r="X106" s="8">
        <f>IFERROR(W106/W444, "NA")</f>
        <v>-1.5183985562738294E-2</v>
      </c>
      <c r="Y106" s="9"/>
      <c r="Z106" s="7">
        <v>-7111.6799999999994</v>
      </c>
      <c r="AA106" s="8">
        <f>IFERROR(Z106/Z444, "NA")</f>
        <v>-9.1770563783347189E-3</v>
      </c>
      <c r="AB106" s="9"/>
      <c r="AC106" s="10">
        <f t="shared" si="27"/>
        <v>5932.91</v>
      </c>
      <c r="AD106" s="8">
        <f>IFERROR(AC106/AC444, "NA")</f>
        <v>4.2757939761054985E-2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-1.4904354691123057E-5</v>
      </c>
      <c r="AB111" s="9"/>
      <c r="AC111" s="10">
        <f t="shared" si="27"/>
        <v>11.55</v>
      </c>
      <c r="AD111" s="8">
        <f>IFERROR(AC111/AC444, "NA")</f>
        <v>8.3239793666208499E-5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-25322.469999999998</v>
      </c>
      <c r="C118" s="15">
        <f>IFERROR(B118/B444, "NA")</f>
        <v>-5.2960187820503879E-2</v>
      </c>
      <c r="D118" s="2"/>
      <c r="E118" s="14">
        <f>IFERROR(E94+E95+E96+E97+E98+E99+E100+E101+E102+E103+E104+E105+E106+E107+E108+E109+E110+E111+E112+E113+E114+E115+E116+E117, "NA")</f>
        <v>-18017.099999999999</v>
      </c>
      <c r="F118" s="15">
        <f>IFERROR(E118/E444, "NA")</f>
        <v>-3.7313121415502484E-2</v>
      </c>
      <c r="G118" s="2"/>
      <c r="H118" s="14">
        <f t="shared" si="24"/>
        <v>-7305.369999999999</v>
      </c>
      <c r="I118" s="15">
        <f>IFERROR(H118/H444, "NA")</f>
        <v>1.5475216546734005</v>
      </c>
      <c r="J118" s="2"/>
      <c r="K118" s="14">
        <f>IFERROR(K94+K95+K96+K97+K98+K99+K100+K101+K102+K103+K104+K105+K106+K107+K108+K109+K110+K111+K112+K113+K114+K115+K116+K117, "NA")</f>
        <v>-18893.439999999999</v>
      </c>
      <c r="L118" s="15">
        <f>IFERROR(K118/K444, "NA")</f>
        <v>-4.4748615413969885E-2</v>
      </c>
      <c r="M118" s="2"/>
      <c r="N118" s="14">
        <f t="shared" si="25"/>
        <v>-6429.0299999999988</v>
      </c>
      <c r="O118" s="15">
        <f>IFERROR(N118/N444, "NA")</f>
        <v>-0.11495029929134855</v>
      </c>
      <c r="P118" s="2"/>
      <c r="Q118" s="14">
        <f>IFERROR(Q94+Q95+Q96+Q97+Q98+Q99+Q100+Q101+Q102+Q103+Q104+Q105+Q106+Q107+Q108+Q109+Q110+Q111+Q112+Q113+Q114+Q115+Q116+Q117, "NA")</f>
        <v>-50290.049999999996</v>
      </c>
      <c r="R118" s="15">
        <f>IFERROR(Q118/Q444, "NA")</f>
        <v>-5.5040179893324596E-2</v>
      </c>
      <c r="S118" s="2"/>
      <c r="T118" s="14">
        <f>IFERROR(T94+T95+T96+T97+T98+T99+T100+T101+T102+T103+T104+T105+T106+T107+T108+T109+T110+T111+T112+T113+T114+T115+T116+T117, "NA")</f>
        <v>-31239.980000000003</v>
      </c>
      <c r="U118" s="15">
        <f>IFERROR(T118/T444, "NA")</f>
        <v>-3.7365509794338857E-2</v>
      </c>
      <c r="V118" s="2"/>
      <c r="W118" s="14">
        <f t="shared" si="26"/>
        <v>-19050.069999999992</v>
      </c>
      <c r="X118" s="15">
        <f>IFERROR(W118/W444, "NA")</f>
        <v>-0.24538797886708499</v>
      </c>
      <c r="Y118" s="2"/>
      <c r="Z118" s="14">
        <f>IFERROR(Z94+Z95+Z96+Z97+Z98+Z99+Z100+Z101+Z102+Z103+Z104+Z105+Z106+Z107+Z108+Z109+Z110+Z111+Z112+Z113+Z114+Z115+Z116+Z117, "NA")</f>
        <v>-43463.57</v>
      </c>
      <c r="AA118" s="15">
        <f>IFERROR(Z118/Z444, "NA")</f>
        <v>-5.6086273889390068E-2</v>
      </c>
      <c r="AB118" s="2"/>
      <c r="AC118" s="14">
        <f t="shared" si="27"/>
        <v>-6826.4799999999959</v>
      </c>
      <c r="AD118" s="15">
        <f>IFERROR(AC118/AC444, "NA")</f>
        <v>-4.9197817027402481E-2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478141.62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482862.31</v>
      </c>
      <c r="F122" s="15">
        <f>IFERROR(E122/E444, "NA")</f>
        <v>1.0000000000000002</v>
      </c>
      <c r="G122" s="2"/>
      <c r="H122" s="14">
        <f t="shared" si="24"/>
        <v>-4720.6900000000023</v>
      </c>
      <c r="I122" s="15">
        <f>IFERROR(H122/H444, "NA")</f>
        <v>1.0000000000000246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422212.83999999997</v>
      </c>
      <c r="L122" s="15">
        <f>IFERROR(K122/K444, "NA")</f>
        <v>1</v>
      </c>
      <c r="M122" s="2"/>
      <c r="N122" s="14">
        <f t="shared" si="25"/>
        <v>55928.780000000028</v>
      </c>
      <c r="O122" s="15">
        <f>IFERROR(N122/N444, "NA")</f>
        <v>0.999999999999999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913697.05000000016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836064.6</v>
      </c>
      <c r="U122" s="15">
        <f>IFERROR(T122/T444, "NA")</f>
        <v>0.99999999999999989</v>
      </c>
      <c r="V122" s="2"/>
      <c r="W122" s="14">
        <f t="shared" si="26"/>
        <v>77632.450000000186</v>
      </c>
      <c r="X122" s="15">
        <f>IFERROR(W122/W444, "NA")</f>
        <v>1.0000000000000044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774941.29999999993</v>
      </c>
      <c r="AA122" s="15">
        <f>IFERROR(Z122/Z444, "NA")</f>
        <v>0.99999999999999989</v>
      </c>
      <c r="AB122" s="2"/>
      <c r="AC122" s="14">
        <f t="shared" si="27"/>
        <v>138755.75000000023</v>
      </c>
      <c r="AD122" s="15">
        <f>IFERROR(AC122/AC444, "NA")</f>
        <v>1.0000000000000024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478141.62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482862.31</v>
      </c>
      <c r="F124" s="15">
        <f>IFERROR(E124/E444, "NA")</f>
        <v>1.0000000000000002</v>
      </c>
      <c r="G124" s="2"/>
      <c r="H124" s="14">
        <f t="shared" si="24"/>
        <v>-4720.6900000000023</v>
      </c>
      <c r="I124" s="15">
        <f>IFERROR(H124/H444, "NA")</f>
        <v>1.0000000000000246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422212.83999999997</v>
      </c>
      <c r="L124" s="15">
        <f>IFERROR(K124/K444, "NA")</f>
        <v>1</v>
      </c>
      <c r="M124" s="2"/>
      <c r="N124" s="14">
        <f t="shared" si="25"/>
        <v>55928.780000000028</v>
      </c>
      <c r="O124" s="15">
        <f>IFERROR(N124/N444, "NA")</f>
        <v>0.999999999999999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913697.05000000016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836064.6</v>
      </c>
      <c r="U124" s="15">
        <f>IFERROR(T124/T444, "NA")</f>
        <v>0.99999999999999989</v>
      </c>
      <c r="V124" s="2"/>
      <c r="W124" s="14">
        <f t="shared" si="26"/>
        <v>77632.450000000186</v>
      </c>
      <c r="X124" s="15">
        <f>IFERROR(W124/W444, "NA")</f>
        <v>1.0000000000000044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774941.29999999993</v>
      </c>
      <c r="AA124" s="15">
        <f>IFERROR(Z124/Z444, "NA")</f>
        <v>0.99999999999999989</v>
      </c>
      <c r="AB124" s="2"/>
      <c r="AC124" s="14">
        <f t="shared" si="27"/>
        <v>138755.75000000023</v>
      </c>
      <c r="AD124" s="15">
        <f>IFERROR(AC124/AC444, "NA")</f>
        <v>1.0000000000000024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115676.81999999999</v>
      </c>
      <c r="F129" s="8">
        <f>IFERROR(E129/E444, "NA")</f>
        <v>0.23956481507119495</v>
      </c>
      <c r="G129" s="9"/>
      <c r="H129" s="10">
        <f t="shared" ref="H129:H141" si="28">IFERROR(-(B129-E129), "NA")</f>
        <v>115676.81999999999</v>
      </c>
      <c r="I129" s="8">
        <f>IFERROR(H129/H444, "NA")</f>
        <v>-24.504218662950287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207929.16</v>
      </c>
      <c r="U129" s="8">
        <f>IFERROR(T129/T444, "NA")</f>
        <v>0.24869987319161699</v>
      </c>
      <c r="V129" s="9"/>
      <c r="W129" s="10">
        <f t="shared" ref="W129:W141" si="30">IFERROR(-(Q129-T129), "NA")</f>
        <v>207929.16</v>
      </c>
      <c r="X129" s="8">
        <f>IFERROR(W129/W444, "NA")</f>
        <v>2.6783794663185363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28462.059999999998</v>
      </c>
      <c r="C130" s="8">
        <f>IFERROR(B130/B444, "NA")</f>
        <v>5.9526422318140794E-2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-28462.059999999998</v>
      </c>
      <c r="I130" s="8">
        <f>IFERROR(H130/H444, "NA")</f>
        <v>6.0292160679902063</v>
      </c>
      <c r="J130" s="9"/>
      <c r="K130" s="7">
        <v>28107.17</v>
      </c>
      <c r="L130" s="8">
        <f>IFERROR(K130/K444, "NA")</f>
        <v>6.6571092437643531E-2</v>
      </c>
      <c r="M130" s="9"/>
      <c r="N130" s="10">
        <f t="shared" si="29"/>
        <v>-354.88999999999942</v>
      </c>
      <c r="O130" s="8">
        <f>IFERROR(N130/N444, "NA")</f>
        <v>-6.3453914067140189E-3</v>
      </c>
      <c r="P130" s="9"/>
      <c r="Q130" s="7">
        <v>52696.77</v>
      </c>
      <c r="R130" s="8">
        <f>IFERROR(Q130/Q444, "NA")</f>
        <v>5.7674225827915281E-2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-52696.77</v>
      </c>
      <c r="X130" s="8">
        <f>IFERROR(W130/W444, "NA")</f>
        <v>-0.67879823450116683</v>
      </c>
      <c r="Y130" s="9"/>
      <c r="Z130" s="7">
        <v>51870.64</v>
      </c>
      <c r="AA130" s="8">
        <f>IFERROR(Z130/Z444, "NA")</f>
        <v>6.6934927845502618E-2</v>
      </c>
      <c r="AB130" s="9"/>
      <c r="AC130" s="10">
        <f t="shared" si="31"/>
        <v>-826.12999999999738</v>
      </c>
      <c r="AD130" s="8">
        <f>IFERROR(AC130/AC444, "NA")</f>
        <v>-5.9538433542393604E-3</v>
      </c>
    </row>
    <row r="131" spans="1:30" ht="16.5" customHeight="1" x14ac:dyDescent="0.45">
      <c r="A131" s="12" t="s">
        <v>123</v>
      </c>
      <c r="B131" s="7">
        <v>14958.09</v>
      </c>
      <c r="C131" s="8">
        <f>IFERROR(B131/B444, "NA")</f>
        <v>3.1283806667990958E-2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-14958.09</v>
      </c>
      <c r="I131" s="8">
        <f>IFERROR(H131/H444, "NA")</f>
        <v>3.1686236545929432</v>
      </c>
      <c r="J131" s="9"/>
      <c r="K131" s="7">
        <v>13383</v>
      </c>
      <c r="L131" s="8">
        <f>IFERROR(K131/K444, "NA")</f>
        <v>3.1697283294368786E-2</v>
      </c>
      <c r="M131" s="9"/>
      <c r="N131" s="10">
        <f t="shared" si="29"/>
        <v>-1575.0900000000001</v>
      </c>
      <c r="O131" s="8">
        <f>IFERROR(N131/N444, "NA")</f>
        <v>-2.8162423711012428E-2</v>
      </c>
      <c r="P131" s="9"/>
      <c r="Q131" s="7">
        <v>28391.87</v>
      </c>
      <c r="R131" s="8">
        <f>IFERROR(Q131/Q444, "NA")</f>
        <v>3.1073614607817768E-2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-28391.87</v>
      </c>
      <c r="X131" s="8">
        <f>IFERROR(W131/W444, "NA")</f>
        <v>-0.36572167952963042</v>
      </c>
      <c r="Y131" s="9"/>
      <c r="Z131" s="7">
        <v>25204.17</v>
      </c>
      <c r="AA131" s="8">
        <f>IFERROR(Z131/Z444, "NA")</f>
        <v>3.2523973106092029E-2</v>
      </c>
      <c r="AB131" s="9"/>
      <c r="AC131" s="10">
        <f t="shared" si="31"/>
        <v>-3187.7000000000007</v>
      </c>
      <c r="AD131" s="8">
        <f>IFERROR(AC131/AC444, "NA")</f>
        <v>-2.2973462361019298E-2</v>
      </c>
    </row>
    <row r="132" spans="1:30" ht="16.5" customHeight="1" x14ac:dyDescent="0.45">
      <c r="A132" s="12" t="s">
        <v>124</v>
      </c>
      <c r="B132" s="7">
        <v>18076.849999999999</v>
      </c>
      <c r="C132" s="8">
        <f>IFERROR(B132/B444, "NA")</f>
        <v>3.7806476666892117E-2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-18076.849999999999</v>
      </c>
      <c r="I132" s="8">
        <f>IFERROR(H132/H444, "NA")</f>
        <v>3.8292813126895506</v>
      </c>
      <c r="J132" s="9"/>
      <c r="K132" s="7">
        <v>15036.919999999998</v>
      </c>
      <c r="L132" s="8">
        <f>IFERROR(K132/K444, "NA")</f>
        <v>3.561454928751101E-2</v>
      </c>
      <c r="M132" s="9"/>
      <c r="N132" s="10">
        <f t="shared" si="29"/>
        <v>-3039.9300000000003</v>
      </c>
      <c r="O132" s="8">
        <f>IFERROR(N132/N444, "NA")</f>
        <v>-5.4353590405512076E-2</v>
      </c>
      <c r="P132" s="9"/>
      <c r="Q132" s="7">
        <v>34558.5</v>
      </c>
      <c r="R132" s="8">
        <f>IFERROR(Q132/Q444, "NA")</f>
        <v>3.7822711586953252E-2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-34558.5</v>
      </c>
      <c r="X132" s="8">
        <f>IFERROR(W132/W444, "NA")</f>
        <v>-0.44515534418918984</v>
      </c>
      <c r="Y132" s="9"/>
      <c r="Z132" s="7">
        <v>26642.3</v>
      </c>
      <c r="AA132" s="8">
        <f>IFERROR(Z132/Z444, "NA")</f>
        <v>3.4379765280286391E-2</v>
      </c>
      <c r="AB132" s="9"/>
      <c r="AC132" s="10">
        <f t="shared" si="31"/>
        <v>-7916.2000000000007</v>
      </c>
      <c r="AD132" s="8">
        <f>IFERROR(AC132/AC444, "NA")</f>
        <v>-5.7051329404367079E-2</v>
      </c>
    </row>
    <row r="133" spans="1:30" ht="16.5" customHeight="1" x14ac:dyDescent="0.45">
      <c r="A133" s="12" t="s">
        <v>125</v>
      </c>
      <c r="B133" s="7">
        <v>10840.009999999998</v>
      </c>
      <c r="C133" s="8">
        <f>IFERROR(B133/B444, "NA")</f>
        <v>2.2671128273669204E-2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-10840.009999999998</v>
      </c>
      <c r="I133" s="8">
        <f>IFERROR(H133/H444, "NA")</f>
        <v>2.2962766036321511</v>
      </c>
      <c r="J133" s="9"/>
      <c r="K133" s="7">
        <v>8396.74</v>
      </c>
      <c r="L133" s="8">
        <f>IFERROR(K133/K444, "NA")</f>
        <v>1.988745770971816E-2</v>
      </c>
      <c r="M133" s="9"/>
      <c r="N133" s="10">
        <f t="shared" si="29"/>
        <v>-2443.2699999999986</v>
      </c>
      <c r="O133" s="8">
        <f>IFERROR(N133/N444, "NA")</f>
        <v>-4.3685379870613932E-2</v>
      </c>
      <c r="P133" s="9"/>
      <c r="Q133" s="7">
        <v>20884.07</v>
      </c>
      <c r="R133" s="8">
        <f>IFERROR(Q133/Q444, "NA")</f>
        <v>2.2856667863817664E-2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-20884.07</v>
      </c>
      <c r="X133" s="8">
        <f>IFERROR(W133/W444, "NA")</f>
        <v>-0.26901212057586799</v>
      </c>
      <c r="Y133" s="9"/>
      <c r="Z133" s="7">
        <v>14637.08</v>
      </c>
      <c r="AA133" s="8">
        <f>IFERROR(Z133/Z444, "NA")</f>
        <v>1.8887985451285148E-2</v>
      </c>
      <c r="AB133" s="9"/>
      <c r="AC133" s="10">
        <f t="shared" si="31"/>
        <v>-6246.99</v>
      </c>
      <c r="AD133" s="8">
        <f>IFERROR(AC133/AC444, "NA")</f>
        <v>-4.5021485596092453E-2</v>
      </c>
    </row>
    <row r="134" spans="1:30" ht="16.5" customHeight="1" x14ac:dyDescent="0.45">
      <c r="A134" s="12" t="s">
        <v>126</v>
      </c>
      <c r="B134" s="7">
        <v>4014.42</v>
      </c>
      <c r="C134" s="8">
        <f>IFERROR(B134/B444, "NA")</f>
        <v>8.3958807016214134E-3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-4014.42</v>
      </c>
      <c r="I134" s="8">
        <f>IFERROR(H134/H444, "NA")</f>
        <v>0.85038839661153287</v>
      </c>
      <c r="J134" s="9"/>
      <c r="K134" s="7">
        <v>4679.6399999999994</v>
      </c>
      <c r="L134" s="8">
        <f>IFERROR(K134/K444, "NA")</f>
        <v>1.1083604184088764E-2</v>
      </c>
      <c r="M134" s="9"/>
      <c r="N134" s="10">
        <f t="shared" si="29"/>
        <v>665.21999999999935</v>
      </c>
      <c r="O134" s="8">
        <f>IFERROR(N134/N444, "NA")</f>
        <v>1.1894055260994399E-2</v>
      </c>
      <c r="P134" s="9"/>
      <c r="Q134" s="7">
        <v>7539.4500000000007</v>
      </c>
      <c r="R134" s="8">
        <f>IFERROR(Q134/Q444, "NA")</f>
        <v>8.2515862341899886E-3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-7539.4500000000007</v>
      </c>
      <c r="X134" s="8">
        <f>IFERROR(W134/W444, "NA")</f>
        <v>-9.7117249294592881E-2</v>
      </c>
      <c r="Y134" s="9"/>
      <c r="Z134" s="7">
        <v>8886.8100000000013</v>
      </c>
      <c r="AA134" s="8">
        <f>IFERROR(Z134/Z444, "NA")</f>
        <v>1.146772020022678E-2</v>
      </c>
      <c r="AB134" s="9"/>
      <c r="AC134" s="10">
        <f t="shared" si="31"/>
        <v>1347.3600000000006</v>
      </c>
      <c r="AD134" s="8">
        <f>IFERROR(AC134/AC444, "NA")</f>
        <v>9.7103002938617074E-3</v>
      </c>
    </row>
    <row r="135" spans="1:30" ht="16.5" customHeight="1" x14ac:dyDescent="0.45">
      <c r="A135" s="12" t="s">
        <v>127</v>
      </c>
      <c r="B135" s="7">
        <v>4306.62</v>
      </c>
      <c r="C135" s="8">
        <f>IFERROR(B135/B444, "NA")</f>
        <v>9.0069967136514901E-3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-4306.62</v>
      </c>
      <c r="I135" s="8">
        <f>IFERROR(H135/H444, "NA")</f>
        <v>0.91228612766356276</v>
      </c>
      <c r="J135" s="9"/>
      <c r="K135" s="7">
        <v>3517.59</v>
      </c>
      <c r="L135" s="8">
        <f>IFERROR(K135/K444, "NA")</f>
        <v>8.3313193412118888E-3</v>
      </c>
      <c r="M135" s="9"/>
      <c r="N135" s="10">
        <f t="shared" si="29"/>
        <v>-789.02999999999975</v>
      </c>
      <c r="O135" s="8">
        <f>IFERROR(N135/N444, "NA")</f>
        <v>-1.4107763480626584E-2</v>
      </c>
      <c r="P135" s="9"/>
      <c r="Q135" s="7">
        <v>8248.1899999999987</v>
      </c>
      <c r="R135" s="8">
        <f>IFERROR(Q135/Q444, "NA")</f>
        <v>9.0272700344167685E-3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-8248.1899999999987</v>
      </c>
      <c r="X135" s="8">
        <f>IFERROR(W135/W444, "NA")</f>
        <v>-0.10624667906268598</v>
      </c>
      <c r="Y135" s="9"/>
      <c r="Z135" s="7">
        <v>7010.85</v>
      </c>
      <c r="AA135" s="8">
        <f>IFERROR(Z135/Z444, "NA")</f>
        <v>9.0469432975116958E-3</v>
      </c>
      <c r="AB135" s="9"/>
      <c r="AC135" s="10">
        <f t="shared" si="31"/>
        <v>-1237.3399999999983</v>
      </c>
      <c r="AD135" s="8">
        <f>IFERROR(AC135/AC444, "NA")</f>
        <v>-8.9173962160126654E-3</v>
      </c>
    </row>
    <row r="136" spans="1:30" ht="16.5" customHeight="1" x14ac:dyDescent="0.45">
      <c r="A136" s="12" t="s">
        <v>128</v>
      </c>
      <c r="B136" s="7">
        <v>3696.23</v>
      </c>
      <c r="C136" s="8">
        <f>IFERROR(B136/B444, "NA")</f>
        <v>7.7304084091236389E-3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-3696.23</v>
      </c>
      <c r="I136" s="8">
        <f>IFERROR(H136/H444, "NA")</f>
        <v>0.78298511446421803</v>
      </c>
      <c r="J136" s="9"/>
      <c r="K136" s="7">
        <v>4303.2300000000005</v>
      </c>
      <c r="L136" s="8">
        <f>IFERROR(K136/K444, "NA")</f>
        <v>1.019208700521756E-2</v>
      </c>
      <c r="M136" s="9"/>
      <c r="N136" s="10">
        <f t="shared" si="29"/>
        <v>607.00000000000045</v>
      </c>
      <c r="O136" s="8">
        <f>IFERROR(N136/N444, "NA")</f>
        <v>1.0853088517217781E-2</v>
      </c>
      <c r="P136" s="9"/>
      <c r="Q136" s="7">
        <v>6918.5599999999995</v>
      </c>
      <c r="R136" s="8">
        <f>IFERROR(Q136/Q444, "NA")</f>
        <v>7.5720502764017898E-3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-6918.5599999999995</v>
      </c>
      <c r="X136" s="8">
        <f>IFERROR(W136/W444, "NA")</f>
        <v>-8.9119433948046389E-2</v>
      </c>
      <c r="Y136" s="9"/>
      <c r="Z136" s="7">
        <v>8421.0299999999988</v>
      </c>
      <c r="AA136" s="8">
        <f>IFERROR(Z136/Z444, "NA")</f>
        <v>1.086666822377385E-2</v>
      </c>
      <c r="AB136" s="9"/>
      <c r="AC136" s="10">
        <f t="shared" si="31"/>
        <v>1502.4699999999993</v>
      </c>
      <c r="AD136" s="8">
        <f>IFERROR(AC136/AC444, "NA")</f>
        <v>1.0828163877893354E-2</v>
      </c>
    </row>
    <row r="137" spans="1:30" ht="16.5" customHeight="1" x14ac:dyDescent="0.45">
      <c r="A137" s="12" t="s">
        <v>129</v>
      </c>
      <c r="B137" s="7">
        <v>2350.67</v>
      </c>
      <c r="C137" s="8">
        <f>IFERROR(B137/B444, "NA")</f>
        <v>4.9162630937670719E-3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-2350.67</v>
      </c>
      <c r="I137" s="8">
        <f>IFERROR(H137/H444, "NA")</f>
        <v>0.49795051147185199</v>
      </c>
      <c r="J137" s="9"/>
      <c r="K137" s="7">
        <v>1576.3300000000002</v>
      </c>
      <c r="L137" s="8">
        <f>IFERROR(K137/K444, "NA")</f>
        <v>3.7334961201085223E-3</v>
      </c>
      <c r="M137" s="9"/>
      <c r="N137" s="10">
        <f t="shared" si="29"/>
        <v>-774.33999999999992</v>
      </c>
      <c r="O137" s="8">
        <f>IFERROR(N137/N444, "NA")</f>
        <v>-1.3845108010580576E-2</v>
      </c>
      <c r="P137" s="9"/>
      <c r="Q137" s="7">
        <v>4795.88</v>
      </c>
      <c r="R137" s="8">
        <f>IFERROR(Q137/Q444, "NA")</f>
        <v>5.2488732452403127E-3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-4795.88</v>
      </c>
      <c r="X137" s="8">
        <f>IFERROR(W137/W444, "NA")</f>
        <v>-6.1776744132125291E-2</v>
      </c>
      <c r="Y137" s="9"/>
      <c r="Z137" s="7">
        <v>3746.41</v>
      </c>
      <c r="AA137" s="8">
        <f>IFERROR(Z137/Z444, "NA")</f>
        <v>4.8344435894692919E-3</v>
      </c>
      <c r="AB137" s="9"/>
      <c r="AC137" s="10">
        <f t="shared" si="31"/>
        <v>-1049.4700000000003</v>
      </c>
      <c r="AD137" s="8">
        <f>IFERROR(AC137/AC444, "NA")</f>
        <v>-7.5634343081277793E-3</v>
      </c>
    </row>
    <row r="138" spans="1:30" ht="16.5" customHeight="1" x14ac:dyDescent="0.45">
      <c r="A138" s="12" t="s">
        <v>130</v>
      </c>
      <c r="B138" s="7">
        <v>24756.54</v>
      </c>
      <c r="C138" s="8">
        <f>IFERROR(B138/B444, "NA")</f>
        <v>5.1776584519038521E-2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-24756.54</v>
      </c>
      <c r="I138" s="8">
        <f>IFERROR(H138/H444, "NA")</f>
        <v>5.2442630208720757</v>
      </c>
      <c r="J138" s="9"/>
      <c r="K138" s="7">
        <v>23638.690000000002</v>
      </c>
      <c r="L138" s="8">
        <f>IFERROR(K138/K444, "NA")</f>
        <v>5.5987615156374695E-2</v>
      </c>
      <c r="M138" s="9"/>
      <c r="N138" s="10">
        <f t="shared" si="29"/>
        <v>-1117.8499999999985</v>
      </c>
      <c r="O138" s="8">
        <f>IFERROR(N138/N444, "NA")</f>
        <v>-1.9987026357449544E-2</v>
      </c>
      <c r="P138" s="9"/>
      <c r="Q138" s="7">
        <v>47893.03</v>
      </c>
      <c r="R138" s="8">
        <f>IFERROR(Q138/Q444, "NA")</f>
        <v>5.2416750168997481E-2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-47893.03</v>
      </c>
      <c r="X138" s="8">
        <f>IFERROR(W138/W444, "NA")</f>
        <v>-0.61692024404743251</v>
      </c>
      <c r="Y138" s="9"/>
      <c r="Z138" s="7">
        <v>43789.5</v>
      </c>
      <c r="AA138" s="8">
        <f>IFERROR(Z138/Z444, "NA")</f>
        <v>5.6506860584150047E-2</v>
      </c>
      <c r="AB138" s="9"/>
      <c r="AC138" s="10">
        <f t="shared" si="31"/>
        <v>-4103.5299999999988</v>
      </c>
      <c r="AD138" s="8">
        <f>IFERROR(AC138/AC444, "NA")</f>
        <v>-2.9573765411523501E-2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1.98</v>
      </c>
      <c r="C140" s="8">
        <f>IFERROR(B140/B444, "NA")</f>
        <v>4.1410325250497953E-6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-1.98</v>
      </c>
      <c r="I140" s="8">
        <f>IFERROR(H140/H444, "NA")</f>
        <v>4.1943021041416568E-4</v>
      </c>
      <c r="J140" s="9"/>
      <c r="K140" s="7">
        <v>21.78</v>
      </c>
      <c r="L140" s="8">
        <f>IFERROR(K140/K444, "NA")</f>
        <v>5.158535680724443E-5</v>
      </c>
      <c r="M140" s="9"/>
      <c r="N140" s="10">
        <f t="shared" si="29"/>
        <v>19.8</v>
      </c>
      <c r="O140" s="8">
        <f>IFERROR(N140/N444, "NA")</f>
        <v>3.5402166827168359E-4</v>
      </c>
      <c r="P140" s="9"/>
      <c r="Q140" s="7">
        <v>22.06</v>
      </c>
      <c r="R140" s="8">
        <f>IFERROR(Q140/Q444, "NA")</f>
        <v>2.4143669939615104E-5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-22.06</v>
      </c>
      <c r="X140" s="8">
        <f>IFERROR(W140/W444, "NA")</f>
        <v>-2.8415952349822846E-4</v>
      </c>
      <c r="Y140" s="9"/>
      <c r="Z140" s="7">
        <v>33.659999999999997</v>
      </c>
      <c r="AA140" s="8">
        <f>IFERROR(Z140/Z444, "NA")</f>
        <v>4.3435547956987185E-5</v>
      </c>
      <c r="AB140" s="9"/>
      <c r="AC140" s="10">
        <f t="shared" si="31"/>
        <v>11.599999999999998</v>
      </c>
      <c r="AD140" s="8">
        <f>IFERROR(AC140/AC444, "NA")</f>
        <v>8.3600139093334926E-5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111463.46999999999</v>
      </c>
      <c r="C141" s="15">
        <f>IFERROR(B141/B444, "NA")</f>
        <v>0.23311810839642025</v>
      </c>
      <c r="D141" s="2"/>
      <c r="E141" s="14">
        <f>IFERROR(E129+E130+E131+E132+E133+E134+E135+E136+E137+E138+E139+E140, "NA")</f>
        <v>115676.81999999999</v>
      </c>
      <c r="F141" s="15">
        <f>IFERROR(E141/E444, "NA")</f>
        <v>0.23956481507119495</v>
      </c>
      <c r="G141" s="2"/>
      <c r="H141" s="14">
        <f t="shared" si="28"/>
        <v>4213.3500000000058</v>
      </c>
      <c r="I141" s="15">
        <f>IFERROR(H141/H444, "NA")</f>
        <v>-0.89252842275178157</v>
      </c>
      <c r="J141" s="2"/>
      <c r="K141" s="14">
        <f>IFERROR(K129+K130+K131+K132+K133+K134+K135+K136+K137+K138+K139+K140, "NA")</f>
        <v>102661.09</v>
      </c>
      <c r="L141" s="15">
        <f>IFERROR(K141/K444, "NA")</f>
        <v>0.24315008989305015</v>
      </c>
      <c r="M141" s="2"/>
      <c r="N141" s="14">
        <f t="shared" si="29"/>
        <v>-8802.3799999999901</v>
      </c>
      <c r="O141" s="15">
        <f>IFERROR(N141/N444, "NA")</f>
        <v>-0.15738551779602517</v>
      </c>
      <c r="P141" s="2"/>
      <c r="Q141" s="14">
        <f>IFERROR(Q129+Q130+Q131+Q132+Q133+Q134+Q135+Q136+Q137+Q138+Q139+Q140, "NA")</f>
        <v>211948.38</v>
      </c>
      <c r="R141" s="15">
        <f>IFERROR(Q141/Q444, "NA")</f>
        <v>0.23196789351568994</v>
      </c>
      <c r="S141" s="2"/>
      <c r="T141" s="14">
        <f>IFERROR(T129+T130+T131+T132+T133+T134+T135+T136+T137+T138+T139+T140, "NA")</f>
        <v>207929.16</v>
      </c>
      <c r="U141" s="15">
        <f>IFERROR(T141/T444, "NA")</f>
        <v>0.24869987319161699</v>
      </c>
      <c r="V141" s="2"/>
      <c r="W141" s="14">
        <f t="shared" si="30"/>
        <v>-4019.2200000000012</v>
      </c>
      <c r="X141" s="15">
        <f>IFERROR(W141/W444, "NA")</f>
        <v>-5.1772422485700367E-2</v>
      </c>
      <c r="Y141" s="2"/>
      <c r="Z141" s="14">
        <f>IFERROR(Z129+Z130+Z131+Z132+Z133+Z134+Z135+Z136+Z137+Z138+Z139+Z140, "NA")</f>
        <v>190242.45</v>
      </c>
      <c r="AA141" s="15">
        <f>IFERROR(Z141/Z444, "NA")</f>
        <v>0.24549272312625486</v>
      </c>
      <c r="AB141" s="2"/>
      <c r="AC141" s="14">
        <f t="shared" si="31"/>
        <v>-21705.929999999993</v>
      </c>
      <c r="AD141" s="15">
        <f>IFERROR(AC141/AC444, "NA")</f>
        <v>-0.15643265234053372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5574.8099999999995</v>
      </c>
      <c r="C144" s="8">
        <f>IFERROR(B144/B444, "NA")</f>
        <v>1.1659328045945883E-2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-5574.8099999999995</v>
      </c>
      <c r="I144" s="8">
        <f>IFERROR(H144/H444, "NA")</f>
        <v>1.1809311774338358</v>
      </c>
      <c r="J144" s="9"/>
      <c r="K144" s="7">
        <v>3663.04</v>
      </c>
      <c r="L144" s="8">
        <f>IFERROR(K144/K444, "NA")</f>
        <v>8.6758138383475035E-3</v>
      </c>
      <c r="M144" s="9"/>
      <c r="N144" s="10">
        <f t="shared" si="33"/>
        <v>-1911.7699999999995</v>
      </c>
      <c r="O144" s="8">
        <f>IFERROR(N144/N444, "NA")</f>
        <v>-3.4182222462209914E-2</v>
      </c>
      <c r="P144" s="9"/>
      <c r="Q144" s="7">
        <v>10887.73</v>
      </c>
      <c r="R144" s="8">
        <f>IFERROR(Q144/Q444, "NA")</f>
        <v>1.1916126904426363E-2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-10887.73</v>
      </c>
      <c r="X144" s="8">
        <f>IFERROR(W144/W444, "NA")</f>
        <v>-0.14024715180314445</v>
      </c>
      <c r="Y144" s="9"/>
      <c r="Z144" s="7">
        <v>7183.12</v>
      </c>
      <c r="AA144" s="8">
        <f>IFERROR(Z144/Z444, "NA")</f>
        <v>9.2692440059653543E-3</v>
      </c>
      <c r="AB144" s="9"/>
      <c r="AC144" s="10">
        <f t="shared" si="35"/>
        <v>-3704.6099999999997</v>
      </c>
      <c r="AD144" s="8">
        <f>IFERROR(AC144/AC444, "NA")</f>
        <v>-2.6698785455737891E-2</v>
      </c>
    </row>
    <row r="145" spans="1:30" ht="16.5" customHeight="1" x14ac:dyDescent="0.45">
      <c r="A145" s="12" t="s">
        <v>136</v>
      </c>
      <c r="B145" s="7">
        <v>-766.83999999999992</v>
      </c>
      <c r="C145" s="8">
        <f>IFERROR(B145/B444, "NA")</f>
        <v>-1.6037926169238307E-3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766.83999999999992</v>
      </c>
      <c r="I145" s="8">
        <f>IFERROR(H145/H444, "NA")</f>
        <v>-0.16244235482525191</v>
      </c>
      <c r="J145" s="9"/>
      <c r="K145" s="7">
        <v>289.69</v>
      </c>
      <c r="L145" s="8">
        <f>IFERROR(K145/K444, "NA")</f>
        <v>6.8612314111527264E-4</v>
      </c>
      <c r="M145" s="9"/>
      <c r="N145" s="10">
        <f t="shared" si="33"/>
        <v>1056.53</v>
      </c>
      <c r="O145" s="8">
        <f>IFERROR(N145/N444, "NA")</f>
        <v>1.8890631978741506E-2</v>
      </c>
      <c r="P145" s="9"/>
      <c r="Q145" s="7">
        <v>-622.04</v>
      </c>
      <c r="R145" s="8">
        <f>IFERROR(Q145/Q444, "NA")</f>
        <v>-6.8079458065449592E-4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622.04</v>
      </c>
      <c r="X145" s="8">
        <f>IFERROR(W145/W444, "NA")</f>
        <v>8.0126287396572078E-3</v>
      </c>
      <c r="Y145" s="9"/>
      <c r="Z145" s="7">
        <v>475.65999999999997</v>
      </c>
      <c r="AA145" s="8">
        <f>IFERROR(Z145/Z444, "NA")</f>
        <v>6.1380132921035426E-4</v>
      </c>
      <c r="AB145" s="9"/>
      <c r="AC145" s="10">
        <f t="shared" si="35"/>
        <v>1097.6999999999998</v>
      </c>
      <c r="AD145" s="8">
        <f>IFERROR(AC145/AC444, "NA")</f>
        <v>7.9110235071339439E-3</v>
      </c>
    </row>
    <row r="146" spans="1:30" ht="16.5" customHeight="1" x14ac:dyDescent="0.45">
      <c r="A146" s="12" t="s">
        <v>137</v>
      </c>
      <c r="B146" s="7">
        <v>170.61</v>
      </c>
      <c r="C146" s="8">
        <f>IFERROR(B146/B444, "NA")</f>
        <v>3.5681896924179073E-4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-170.61</v>
      </c>
      <c r="I146" s="8">
        <f>IFERROR(H146/H444, "NA")</f>
        <v>3.6140903130687282E-2</v>
      </c>
      <c r="J146" s="9"/>
      <c r="K146" s="7">
        <v>968.04</v>
      </c>
      <c r="L146" s="8">
        <f>IFERROR(K146/K444, "NA")</f>
        <v>2.2927772637137234E-3</v>
      </c>
      <c r="M146" s="9"/>
      <c r="N146" s="10">
        <f t="shared" si="33"/>
        <v>797.43</v>
      </c>
      <c r="O146" s="8">
        <f>IFERROR(N146/N444, "NA")</f>
        <v>1.4257954491408514E-2</v>
      </c>
      <c r="P146" s="9"/>
      <c r="Q146" s="7">
        <v>1107.6500000000001</v>
      </c>
      <c r="R146" s="8">
        <f>IFERROR(Q146/Q444, "NA")</f>
        <v>1.212272711179269E-3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-1107.6500000000001</v>
      </c>
      <c r="X146" s="8">
        <f>IFERROR(W146/W444, "NA")</f>
        <v>-1.4267873807924424E-2</v>
      </c>
      <c r="Y146" s="9"/>
      <c r="Z146" s="7">
        <v>1768.01</v>
      </c>
      <c r="AA146" s="8">
        <f>IFERROR(Z146/Z444, "NA")</f>
        <v>2.2814760292166644E-3</v>
      </c>
      <c r="AB146" s="9"/>
      <c r="AC146" s="10">
        <f t="shared" si="35"/>
        <v>660.3599999999999</v>
      </c>
      <c r="AD146" s="8">
        <f>IFERROR(AC146/AC444, "NA")</f>
        <v>4.7591541251443669E-3</v>
      </c>
    </row>
    <row r="147" spans="1:30" ht="16.5" customHeight="1" x14ac:dyDescent="0.45">
      <c r="A147" s="12" t="s">
        <v>138</v>
      </c>
      <c r="B147" s="7">
        <v>56.79</v>
      </c>
      <c r="C147" s="8">
        <f>IFERROR(B147/B444, "NA")</f>
        <v>1.1877234196847367E-4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-56.79</v>
      </c>
      <c r="I147" s="8">
        <f>IFERROR(H147/H444, "NA")</f>
        <v>1.2030021035060843E-2</v>
      </c>
      <c r="J147" s="9"/>
      <c r="K147" s="7">
        <v>73.2</v>
      </c>
      <c r="L147" s="8">
        <f>IFERROR(K147/K444, "NA")</f>
        <v>1.7337227356704739E-4</v>
      </c>
      <c r="M147" s="9"/>
      <c r="N147" s="10">
        <f t="shared" si="33"/>
        <v>16.410000000000004</v>
      </c>
      <c r="O147" s="8">
        <f>IFERROR(N147/N444, "NA")</f>
        <v>2.9340886749183476E-4</v>
      </c>
      <c r="P147" s="9"/>
      <c r="Q147" s="7">
        <v>127.50999999999999</v>
      </c>
      <c r="R147" s="8">
        <f>IFERROR(Q147/Q444, "NA")</f>
        <v>1.3955391450590763E-4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-127.50999999999999</v>
      </c>
      <c r="X147" s="8">
        <f>IFERROR(W147/W444, "NA")</f>
        <v>-1.6424832656962425E-3</v>
      </c>
      <c r="Y147" s="9"/>
      <c r="Z147" s="7">
        <v>-40.179999999999993</v>
      </c>
      <c r="AA147" s="8">
        <f>IFERROR(Z147/Z444, "NA")</f>
        <v>-5.1849088440634134E-5</v>
      </c>
      <c r="AB147" s="9"/>
      <c r="AC147" s="10">
        <f t="shared" si="35"/>
        <v>-167.69</v>
      </c>
      <c r="AD147" s="8">
        <f>IFERROR(AC147/AC444, "NA")</f>
        <v>-1.2085264934966668E-3</v>
      </c>
    </row>
    <row r="148" spans="1:30" ht="16.5" customHeight="1" x14ac:dyDescent="0.45">
      <c r="A148" s="13" t="s">
        <v>139</v>
      </c>
      <c r="B148" s="14">
        <f>IFERROR(B143+B144+B145+B146+B147, "NA")</f>
        <v>5035.369999999999</v>
      </c>
      <c r="C148" s="15">
        <f>IFERROR(B148/B444, "NA")</f>
        <v>1.0531126740232315E-2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-5035.369999999999</v>
      </c>
      <c r="I148" s="15">
        <f>IFERROR(H148/H444, "NA")</f>
        <v>1.066659746774332</v>
      </c>
      <c r="J148" s="2"/>
      <c r="K148" s="14">
        <f>IFERROR(K143+K144+K145+K146+K147, "NA")</f>
        <v>4993.97</v>
      </c>
      <c r="L148" s="15">
        <f>IFERROR(K148/K444, "NA")</f>
        <v>1.1828086516743547E-2</v>
      </c>
      <c r="M148" s="2"/>
      <c r="N148" s="14">
        <f t="shared" si="33"/>
        <v>-41.399999999998727</v>
      </c>
      <c r="O148" s="15">
        <f>IFERROR(N148/N444, "NA")</f>
        <v>-7.4022712456804282E-4</v>
      </c>
      <c r="P148" s="2"/>
      <c r="Q148" s="14">
        <f>IFERROR(Q143+Q144+Q145+Q146+Q147, "NA")</f>
        <v>11500.849999999999</v>
      </c>
      <c r="R148" s="15">
        <f>IFERROR(Q148/Q444, "NA")</f>
        <v>1.2587158949457044E-2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-11500.849999999999</v>
      </c>
      <c r="X148" s="15">
        <f>IFERROR(W148/W444, "NA")</f>
        <v>-0.14814488013710791</v>
      </c>
      <c r="Y148" s="2"/>
      <c r="Z148" s="14">
        <f>IFERROR(Z143+Z144+Z145+Z146+Z147, "NA")</f>
        <v>9386.6099999999988</v>
      </c>
      <c r="AA148" s="15">
        <f>IFERROR(Z148/Z444, "NA")</f>
        <v>1.2112672275951737E-2</v>
      </c>
      <c r="AB148" s="2"/>
      <c r="AC148" s="14">
        <f t="shared" si="35"/>
        <v>-2114.2399999999998</v>
      </c>
      <c r="AD148" s="15">
        <f>IFERROR(AC148/AC444, "NA")</f>
        <v>-1.5237134316956245E-2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116498.83999999998</v>
      </c>
      <c r="C149" s="15">
        <f>IFERROR(B149/B444, "NA")</f>
        <v>0.24364923513665254</v>
      </c>
      <c r="D149" s="2"/>
      <c r="E149" s="14">
        <f>IFERROR(E127+E129+E130+E131+E132+E133+E134+E135+E136+E137+E138+E139+E140+E143+E144+E145+E146+E147, "NA")</f>
        <v>115676.81999999999</v>
      </c>
      <c r="F149" s="15">
        <f>IFERROR(E149/E444, "NA")</f>
        <v>0.23956481507119495</v>
      </c>
      <c r="G149" s="2"/>
      <c r="H149" s="14">
        <f t="shared" si="32"/>
        <v>-822.01999999998952</v>
      </c>
      <c r="I149" s="15">
        <f>IFERROR(H149/H444, "NA")</f>
        <v>0.17413132402254955</v>
      </c>
      <c r="J149" s="2"/>
      <c r="K149" s="14">
        <f>IFERROR(K127+K129+K130+K131+K132+K133+K134+K135+K136+K137+K138+K139+K140+K143+K144+K145+K146+K147, "NA")</f>
        <v>107655.05999999998</v>
      </c>
      <c r="L149" s="15">
        <f>IFERROR(K149/K444, "NA")</f>
        <v>0.2549781764097937</v>
      </c>
      <c r="M149" s="2"/>
      <c r="N149" s="14">
        <f t="shared" si="33"/>
        <v>-8843.7799999999988</v>
      </c>
      <c r="O149" s="15">
        <f>IFERROR(N149/N444, "NA")</f>
        <v>-0.15812574492059339</v>
      </c>
      <c r="P149" s="2"/>
      <c r="Q149" s="14">
        <f>IFERROR(Q127+Q129+Q130+Q131+Q132+Q133+Q134+Q135+Q136+Q137+Q138+Q139+Q140+Q143+Q144+Q145+Q146+Q147, "NA")</f>
        <v>223449.23</v>
      </c>
      <c r="R149" s="15">
        <f>IFERROR(Q149/Q444, "NA")</f>
        <v>0.24455505246514697</v>
      </c>
      <c r="S149" s="2"/>
      <c r="T149" s="14">
        <f>IFERROR(T127+T129+T130+T131+T132+T133+T134+T135+T136+T137+T138+T139+T140+T143+T144+T145+T146+T147, "NA")</f>
        <v>207929.16</v>
      </c>
      <c r="U149" s="15">
        <f>IFERROR(T149/T444, "NA")</f>
        <v>0.24869987319161699</v>
      </c>
      <c r="V149" s="2"/>
      <c r="W149" s="14">
        <f t="shared" si="34"/>
        <v>-15520.070000000007</v>
      </c>
      <c r="X149" s="15">
        <f>IFERROR(W149/W444, "NA")</f>
        <v>-0.19991730262280838</v>
      </c>
      <c r="Y149" s="2"/>
      <c r="Z149" s="14">
        <f>IFERROR(Z127+Z129+Z130+Z131+Z132+Z133+Z134+Z135+Z136+Z137+Z138+Z139+Z140+Z143+Z144+Z145+Z146+Z147, "NA")</f>
        <v>199629.06000000003</v>
      </c>
      <c r="AA149" s="15">
        <f>IFERROR(Z149/Z444, "NA")</f>
        <v>0.25760539540220662</v>
      </c>
      <c r="AB149" s="2"/>
      <c r="AC149" s="14">
        <f t="shared" si="35"/>
        <v>-23820.169999999984</v>
      </c>
      <c r="AD149" s="15">
        <f>IFERROR(AC149/AC444, "NA")</f>
        <v>-0.17166978665748989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10860.25</v>
      </c>
      <c r="F153" s="8">
        <f>IFERROR(E153/E444, "NA")</f>
        <v>2.249140132722308E-2</v>
      </c>
      <c r="G153" s="9"/>
      <c r="H153" s="10">
        <f t="shared" ref="H153:H158" si="36">IFERROR(-(B153-E153), "NA")</f>
        <v>10860.25</v>
      </c>
      <c r="I153" s="8">
        <f>IFERROR(H153/H444, "NA")</f>
        <v>-2.3005641124497185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18778.309999999998</v>
      </c>
      <c r="U153" s="8">
        <f>IFERROR(T153/T444, "NA")</f>
        <v>2.2460357728338213E-2</v>
      </c>
      <c r="V153" s="9"/>
      <c r="W153" s="10">
        <f t="shared" ref="W153:W158" si="38">IFERROR(-(Q153-T153), "NA")</f>
        <v>18778.309999999998</v>
      </c>
      <c r="X153" s="8">
        <f>IFERROR(W153/W444, "NA")</f>
        <v>0.24188738085684577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15813.33</v>
      </c>
      <c r="C154" s="8">
        <f>IFERROR(B154/B444, "NA")</f>
        <v>3.3072481747144285E-2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-15813.33</v>
      </c>
      <c r="I154" s="8">
        <f>IFERROR(H154/H444, "NA")</f>
        <v>3.3497920854791103</v>
      </c>
      <c r="J154" s="9"/>
      <c r="K154" s="7">
        <v>14972.55</v>
      </c>
      <c r="L154" s="8">
        <f>IFERROR(K154/K444, "NA")</f>
        <v>3.5462090636561409E-2</v>
      </c>
      <c r="M154" s="9"/>
      <c r="N154" s="10">
        <f t="shared" si="37"/>
        <v>-840.78000000000065</v>
      </c>
      <c r="O154" s="8">
        <f>IFERROR(N154/N444, "NA")</f>
        <v>-1.5033047386336684E-2</v>
      </c>
      <c r="P154" s="9"/>
      <c r="Q154" s="7">
        <v>28449.010000000002</v>
      </c>
      <c r="R154" s="8">
        <f>IFERROR(Q154/Q444, "NA")</f>
        <v>3.113615174745284E-2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-28449.010000000002</v>
      </c>
      <c r="X154" s="8">
        <f>IFERROR(W154/W444, "NA")</f>
        <v>-0.36645771194906335</v>
      </c>
      <c r="Y154" s="9"/>
      <c r="Z154" s="7">
        <v>28723.42</v>
      </c>
      <c r="AA154" s="8">
        <f>IFERROR(Z154/Z444, "NA")</f>
        <v>3.7065284815766042E-2</v>
      </c>
      <c r="AB154" s="9"/>
      <c r="AC154" s="10">
        <f t="shared" si="39"/>
        <v>274.40999999999622</v>
      </c>
      <c r="AD154" s="8">
        <f>IFERROR(AC154/AC444, "NA")</f>
        <v>1.9776477731553209E-3</v>
      </c>
    </row>
    <row r="155" spans="1:30" ht="16.5" customHeight="1" x14ac:dyDescent="0.45">
      <c r="A155" s="12" t="s">
        <v>144</v>
      </c>
      <c r="B155" s="7">
        <v>5168.67</v>
      </c>
      <c r="C155" s="8">
        <f>IFERROR(B155/B444, "NA")</f>
        <v>1.0809914434974307E-2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-5168.67</v>
      </c>
      <c r="I155" s="8">
        <f>IFERROR(H155/H444, "NA")</f>
        <v>1.0948971442734272</v>
      </c>
      <c r="J155" s="9"/>
      <c r="K155" s="7">
        <v>5197.7000000000007</v>
      </c>
      <c r="L155" s="8">
        <f>IFERROR(K155/K444, "NA")</f>
        <v>1.2310615660101672E-2</v>
      </c>
      <c r="M155" s="9"/>
      <c r="N155" s="10">
        <f t="shared" si="37"/>
        <v>29.030000000000655</v>
      </c>
      <c r="O155" s="8">
        <f>IFERROR(N155/N444, "NA")</f>
        <v>5.190529813094548E-4</v>
      </c>
      <c r="P155" s="9"/>
      <c r="Q155" s="7">
        <v>10392.86</v>
      </c>
      <c r="R155" s="8">
        <f>IFERROR(Q155/Q444, "NA")</f>
        <v>1.1374514123691219E-2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-10392.86</v>
      </c>
      <c r="X155" s="8">
        <f>IFERROR(W155/W444, "NA")</f>
        <v>-0.13387262671730729</v>
      </c>
      <c r="Y155" s="9"/>
      <c r="Z155" s="7">
        <v>9797.0499999999993</v>
      </c>
      <c r="AA155" s="8">
        <f>IFERROR(Z155/Z444, "NA")</f>
        <v>1.2642312391919231E-2</v>
      </c>
      <c r="AB155" s="9"/>
      <c r="AC155" s="10">
        <f t="shared" si="39"/>
        <v>-595.81000000000131</v>
      </c>
      <c r="AD155" s="8">
        <f>IFERROR(AC155/AC444, "NA")</f>
        <v>-4.2939481787241376E-3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340.31</v>
      </c>
      <c r="AA156" s="8">
        <f>IFERROR(Z156/Z444, "NA")</f>
        <v>4.3914293895550537E-4</v>
      </c>
      <c r="AB156" s="9"/>
      <c r="AC156" s="10">
        <f t="shared" si="39"/>
        <v>340.31</v>
      </c>
      <c r="AD156" s="8">
        <f>IFERROR(AC156/AC444, "NA")</f>
        <v>2.452583046108001E-3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20982</v>
      </c>
      <c r="C158" s="15">
        <f>IFERROR(B158/B444, "NA")</f>
        <v>4.3882396182118588E-2</v>
      </c>
      <c r="D158" s="2"/>
      <c r="E158" s="14">
        <f>IFERROR(E153+E154+E155+E156+E157, "NA")</f>
        <v>10860.25</v>
      </c>
      <c r="F158" s="15">
        <f>IFERROR(E158/E444, "NA")</f>
        <v>2.249140132722308E-2</v>
      </c>
      <c r="G158" s="2"/>
      <c r="H158" s="14">
        <f t="shared" si="36"/>
        <v>-10121.75</v>
      </c>
      <c r="I158" s="15">
        <f>IFERROR(H158/H444, "NA")</f>
        <v>2.1441251173028189</v>
      </c>
      <c r="J158" s="2"/>
      <c r="K158" s="14">
        <f>IFERROR(K153+K154+K155+K156+K157, "NA")</f>
        <v>20170.25</v>
      </c>
      <c r="L158" s="15">
        <f>IFERROR(K158/K444, "NA")</f>
        <v>4.7772706296663081E-2</v>
      </c>
      <c r="M158" s="2"/>
      <c r="N158" s="14">
        <f t="shared" si="37"/>
        <v>-811.75</v>
      </c>
      <c r="O158" s="15">
        <f>IFERROR(N158/N444, "NA")</f>
        <v>-1.4513994405027228E-2</v>
      </c>
      <c r="P158" s="2"/>
      <c r="Q158" s="14">
        <f>IFERROR(Q153+Q154+Q155+Q156+Q157, "NA")</f>
        <v>38841.870000000003</v>
      </c>
      <c r="R158" s="15">
        <f>IFERROR(Q158/Q444, "NA")</f>
        <v>4.2510665871144056E-2</v>
      </c>
      <c r="S158" s="2"/>
      <c r="T158" s="14">
        <f>IFERROR(T153+T154+T155+T156+T157, "NA")</f>
        <v>18778.309999999998</v>
      </c>
      <c r="U158" s="15">
        <f>IFERROR(T158/T444, "NA")</f>
        <v>2.2460357728338213E-2</v>
      </c>
      <c r="V158" s="2"/>
      <c r="W158" s="14">
        <f t="shared" si="38"/>
        <v>-20063.560000000005</v>
      </c>
      <c r="X158" s="15">
        <f>IFERROR(W158/W444, "NA")</f>
        <v>-0.25844295780952486</v>
      </c>
      <c r="Y158" s="2"/>
      <c r="Z158" s="14">
        <f>IFERROR(Z153+Z154+Z155+Z156+Z157, "NA")</f>
        <v>38860.78</v>
      </c>
      <c r="AA158" s="15">
        <f>IFERROR(Z158/Z444, "NA")</f>
        <v>5.0146740146640778E-2</v>
      </c>
      <c r="AB158" s="2"/>
      <c r="AC158" s="14">
        <f t="shared" si="39"/>
        <v>18.909999999996217</v>
      </c>
      <c r="AD158" s="15">
        <f>IFERROR(AC158/AC444, "NA")</f>
        <v>1.3628264053919376E-4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1624.9599999999998</v>
      </c>
      <c r="C161" s="8">
        <f>IFERROR(B161/B444, "NA")</f>
        <v>3.3984910161135935E-3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-1624.9599999999998</v>
      </c>
      <c r="I161" s="8">
        <f>IFERROR(H161/H444, "NA")</f>
        <v>0.34422086601747609</v>
      </c>
      <c r="J161" s="9"/>
      <c r="K161" s="7">
        <v>1893.2</v>
      </c>
      <c r="L161" s="8">
        <f>IFERROR(K161/K444, "NA")</f>
        <v>4.4839943759171323E-3</v>
      </c>
      <c r="M161" s="9"/>
      <c r="N161" s="10">
        <f t="shared" si="41"/>
        <v>268.24000000000024</v>
      </c>
      <c r="O161" s="8">
        <f>IFERROR(N161/N444, "NA")</f>
        <v>4.7960996109695187E-3</v>
      </c>
      <c r="P161" s="9"/>
      <c r="Q161" s="7">
        <v>2761.57</v>
      </c>
      <c r="R161" s="8">
        <f>IFERROR(Q161/Q444, "NA")</f>
        <v>3.0224131729439207E-3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-2761.57</v>
      </c>
      <c r="X161" s="8">
        <f>IFERROR(W161/W444, "NA")</f>
        <v>-3.5572366967679188E-2</v>
      </c>
      <c r="Y161" s="9"/>
      <c r="Z161" s="7">
        <v>3286.49</v>
      </c>
      <c r="AA161" s="8">
        <f>IFERROR(Z161/Z444, "NA")</f>
        <v>4.2409534760890913E-3</v>
      </c>
      <c r="AB161" s="9"/>
      <c r="AC161" s="10">
        <f t="shared" si="43"/>
        <v>524.91999999999962</v>
      </c>
      <c r="AD161" s="8">
        <f>IFERROR(AC161/AC444, "NA")</f>
        <v>3.783050432144254E-3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1624.9599999999998</v>
      </c>
      <c r="C166" s="15">
        <f>IFERROR(B166/B444, "NA")</f>
        <v>3.3984910161135935E-3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-1624.9599999999998</v>
      </c>
      <c r="I166" s="15">
        <f>IFERROR(H166/H444, "NA")</f>
        <v>0.34422086601747609</v>
      </c>
      <c r="J166" s="2"/>
      <c r="K166" s="14">
        <f>IFERROR(K160+K161+K162+K163+K164+K165, "NA")</f>
        <v>1893.2</v>
      </c>
      <c r="L166" s="15">
        <f>IFERROR(K166/K444, "NA")</f>
        <v>4.4839943759171323E-3</v>
      </c>
      <c r="M166" s="2"/>
      <c r="N166" s="14">
        <f t="shared" si="41"/>
        <v>268.24000000000024</v>
      </c>
      <c r="O166" s="15">
        <f>IFERROR(N166/N444, "NA")</f>
        <v>4.7960996109695187E-3</v>
      </c>
      <c r="P166" s="2"/>
      <c r="Q166" s="14">
        <f>IFERROR(Q160+Q161+Q162+Q163+Q164+Q165, "NA")</f>
        <v>2761.57</v>
      </c>
      <c r="R166" s="15">
        <f>IFERROR(Q166/Q444, "NA")</f>
        <v>3.0224131729439207E-3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-2761.57</v>
      </c>
      <c r="X166" s="15">
        <f>IFERROR(W166/W444, "NA")</f>
        <v>-3.5572366967679188E-2</v>
      </c>
      <c r="Y166" s="2"/>
      <c r="Z166" s="14">
        <f>IFERROR(Z160+Z161+Z162+Z163+Z164+Z165, "NA")</f>
        <v>3286.49</v>
      </c>
      <c r="AA166" s="15">
        <f>IFERROR(Z166/Z444, "NA")</f>
        <v>4.2409534760890913E-3</v>
      </c>
      <c r="AB166" s="2"/>
      <c r="AC166" s="14">
        <f t="shared" si="43"/>
        <v>524.91999999999962</v>
      </c>
      <c r="AD166" s="15">
        <f>IFERROR(AC166/AC444, "NA")</f>
        <v>3.783050432144254E-3</v>
      </c>
    </row>
    <row r="167" spans="1:30" ht="16.5" customHeight="1" x14ac:dyDescent="0.45">
      <c r="A167" s="6" t="s">
        <v>155</v>
      </c>
      <c r="B167" s="7">
        <v>616.54999999999995</v>
      </c>
      <c r="C167" s="8">
        <f>IFERROR(B167/B444, "NA")</f>
        <v>1.2894715168280057E-3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-616.54999999999995</v>
      </c>
      <c r="I167" s="8">
        <f>IFERROR(H167/H444, "NA")</f>
        <v>0.13060590718729992</v>
      </c>
      <c r="J167" s="9"/>
      <c r="K167" s="7">
        <v>905.37</v>
      </c>
      <c r="L167" s="8">
        <f>IFERROR(K167/K444, "NA")</f>
        <v>2.1443450180245586E-3</v>
      </c>
      <c r="M167" s="9"/>
      <c r="N167" s="10">
        <f t="shared" si="41"/>
        <v>288.82000000000005</v>
      </c>
      <c r="O167" s="8">
        <f>IFERROR(N167/N444, "NA")</f>
        <v>5.1640675873852356E-3</v>
      </c>
      <c r="P167" s="9"/>
      <c r="Q167" s="7">
        <v>1289.94</v>
      </c>
      <c r="R167" s="8">
        <f>IFERROR(Q167/Q444, "NA")</f>
        <v>1.4117808523076661E-3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-1289.94</v>
      </c>
      <c r="X167" s="8">
        <f>IFERROR(W167/W444, "NA")</f>
        <v>-1.6615989834147998E-2</v>
      </c>
      <c r="Y167" s="9"/>
      <c r="Z167" s="7">
        <v>1897.5899999999997</v>
      </c>
      <c r="AA167" s="8">
        <f>IFERROR(Z167/Z444, "NA")</f>
        <v>2.4486886942275492E-3</v>
      </c>
      <c r="AB167" s="9"/>
      <c r="AC167" s="10">
        <f t="shared" si="43"/>
        <v>607.64999999999964</v>
      </c>
      <c r="AD167" s="8">
        <f>IFERROR(AC167/AC444, "NA")</f>
        <v>4.3792779758676679E-3</v>
      </c>
    </row>
    <row r="168" spans="1:30" ht="16.5" customHeight="1" x14ac:dyDescent="0.45">
      <c r="A168" s="6" t="s">
        <v>156</v>
      </c>
      <c r="B168" s="7">
        <v>197</v>
      </c>
      <c r="C168" s="8">
        <f>IFERROR(B168/B444, "NA")</f>
        <v>4.120118219367726E-4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-197</v>
      </c>
      <c r="I168" s="8">
        <f>IFERROR(H168/H444, "NA")</f>
        <v>4.1731187601813456E-2</v>
      </c>
      <c r="J168" s="9"/>
      <c r="K168" s="7">
        <v>195.59999999999997</v>
      </c>
      <c r="L168" s="8">
        <f>IFERROR(K168/K444, "NA")</f>
        <v>4.6327345231850356E-4</v>
      </c>
      <c r="M168" s="9"/>
      <c r="N168" s="10">
        <f t="shared" si="41"/>
        <v>-1.4000000000000341</v>
      </c>
      <c r="O168" s="8">
        <f>IFERROR(N168/N444, "NA")</f>
        <v>-2.5031835130321669E-5</v>
      </c>
      <c r="P168" s="9"/>
      <c r="Q168" s="7">
        <v>391.6</v>
      </c>
      <c r="R168" s="8">
        <f>IFERROR(Q168/Q444, "NA")</f>
        <v>4.2858844734149033E-4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-391.6</v>
      </c>
      <c r="X168" s="8">
        <f>IFERROR(W168/W444, "NA")</f>
        <v>-5.0442823844925782E-3</v>
      </c>
      <c r="Y168" s="9"/>
      <c r="Z168" s="7">
        <v>384.8</v>
      </c>
      <c r="AA168" s="8">
        <f>IFERROR(Z168/Z444, "NA")</f>
        <v>4.9655373897351969E-4</v>
      </c>
      <c r="AB168" s="9"/>
      <c r="AC168" s="10">
        <f t="shared" si="43"/>
        <v>-6.8000000000000114</v>
      </c>
      <c r="AD168" s="8">
        <f>IFERROR(AC168/AC444, "NA")</f>
        <v>-4.9006978089196425E-5</v>
      </c>
    </row>
    <row r="169" spans="1:30" ht="16.5" customHeight="1" x14ac:dyDescent="0.45">
      <c r="A169" s="6" t="s">
        <v>157</v>
      </c>
      <c r="B169" s="7">
        <v>-10715.890000000001</v>
      </c>
      <c r="C169" s="8">
        <f>IFERROR(B169/B444, "NA")</f>
        <v>-2.2411539911543363E-2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10715.890000000001</v>
      </c>
      <c r="I169" s="8">
        <f>IFERROR(H169/H444, "NA")</f>
        <v>-2.2699838371086134</v>
      </c>
      <c r="J169" s="9"/>
      <c r="K169" s="7">
        <v>-8638.64</v>
      </c>
      <c r="L169" s="8">
        <f>IFERROR(K169/K444, "NA")</f>
        <v>-2.0460391493541504E-2</v>
      </c>
      <c r="M169" s="9"/>
      <c r="N169" s="10">
        <f t="shared" si="41"/>
        <v>2077.2500000000018</v>
      </c>
      <c r="O169" s="8">
        <f>IFERROR(N169/N444, "NA")</f>
        <v>3.7140985374613904E-2</v>
      </c>
      <c r="P169" s="9"/>
      <c r="Q169" s="7">
        <v>-23139.65</v>
      </c>
      <c r="R169" s="8">
        <f>IFERROR(Q169/Q444, "NA")</f>
        <v>-2.5325297920136661E-2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23139.65</v>
      </c>
      <c r="X169" s="8">
        <f>IFERROR(W169/W444, "NA")</f>
        <v>0.29806672338693485</v>
      </c>
      <c r="Y169" s="9"/>
      <c r="Z169" s="7">
        <v>-20312.11</v>
      </c>
      <c r="AA169" s="8">
        <f>IFERROR(Z169/Z444, "NA")</f>
        <v>-2.621115947749849E-2</v>
      </c>
      <c r="AB169" s="9"/>
      <c r="AC169" s="10">
        <f t="shared" si="43"/>
        <v>2827.5400000000009</v>
      </c>
      <c r="AD169" s="8">
        <f>IFERROR(AC169/AC444, "NA")</f>
        <v>2.0377822180342099E-2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12704.619999999997</v>
      </c>
      <c r="C170" s="15">
        <f>IFERROR(B170/B444, "NA")</f>
        <v>2.6570830625453595E-2</v>
      </c>
      <c r="D170" s="2"/>
      <c r="E170" s="14">
        <f>IFERROR(E151+E153+E154+E155+E156+E157+E160+E161+E162+E163+E164+E165+E167+E168+E169, "NA")</f>
        <v>10860.25</v>
      </c>
      <c r="F170" s="15">
        <f>IFERROR(E170/E444, "NA")</f>
        <v>2.249140132722308E-2</v>
      </c>
      <c r="G170" s="2"/>
      <c r="H170" s="14">
        <f t="shared" si="40"/>
        <v>-1844.3699999999972</v>
      </c>
      <c r="I170" s="15">
        <f>IFERROR(H170/H444, "NA")</f>
        <v>0.39069924100079473</v>
      </c>
      <c r="J170" s="2"/>
      <c r="K170" s="14">
        <f>IFERROR(K151+K153+K154+K155+K156+K157+K160+K161+K162+K163+K164+K165+K167+K168+K169, "NA")</f>
        <v>14525.779999999999</v>
      </c>
      <c r="L170" s="15">
        <f>IFERROR(K170/K444, "NA")</f>
        <v>3.4403927649381764E-2</v>
      </c>
      <c r="M170" s="2"/>
      <c r="N170" s="14">
        <f t="shared" si="41"/>
        <v>1821.1600000000017</v>
      </c>
      <c r="O170" s="15">
        <f>IFERROR(N170/N444, "NA")</f>
        <v>3.2562126332811102E-2</v>
      </c>
      <c r="P170" s="2"/>
      <c r="Q170" s="14">
        <f>IFERROR(Q151+Q153+Q154+Q155+Q156+Q157+Q160+Q161+Q162+Q163+Q164+Q165+Q167+Q168+Q169, "NA")</f>
        <v>20145.330000000002</v>
      </c>
      <c r="R170" s="15">
        <f>IFERROR(Q170/Q444, "NA")</f>
        <v>2.2048150423600473E-2</v>
      </c>
      <c r="S170" s="2"/>
      <c r="T170" s="14">
        <f>IFERROR(T151+T153+T154+T155+T156+T157+T160+T161+T162+T163+T164+T165+T167+T168+T169, "NA")</f>
        <v>18778.309999999998</v>
      </c>
      <c r="U170" s="15">
        <f>IFERROR(T170/T444, "NA")</f>
        <v>2.2460357728338213E-2</v>
      </c>
      <c r="V170" s="2"/>
      <c r="W170" s="14">
        <f t="shared" si="42"/>
        <v>-1367.0200000000041</v>
      </c>
      <c r="X170" s="15">
        <f>IFERROR(W170/W444, "NA")</f>
        <v>-1.7608873608909767E-2</v>
      </c>
      <c r="Y170" s="2"/>
      <c r="Z170" s="14">
        <f>IFERROR(Z151+Z153+Z154+Z155+Z156+Z157+Z160+Z161+Z162+Z163+Z164+Z165+Z167+Z168+Z169, "NA")</f>
        <v>24117.549999999996</v>
      </c>
      <c r="AA170" s="15">
        <f>IFERROR(Z170/Z444, "NA")</f>
        <v>3.1121776578432448E-2</v>
      </c>
      <c r="AB170" s="2"/>
      <c r="AC170" s="14">
        <f t="shared" si="43"/>
        <v>3972.2199999999939</v>
      </c>
      <c r="AD170" s="15">
        <f>IFERROR(AC170/AC444, "NA")</f>
        <v>2.8627426250804E-2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129203.45999999998</v>
      </c>
      <c r="C171" s="15">
        <f>IFERROR(B171/B444, "NA")</f>
        <v>0.27022006576210611</v>
      </c>
      <c r="D171" s="2"/>
      <c r="E171" s="14">
        <f>IFERROR(E127+E129+E130+E131+E132+E133+E134+E135+E136+E137+E138+E139+E140+E143+E144+E145+E146+E147+E151+E153+E154+E155+E156+E157+E160+E161+E162+E163+E164+E165+E167+E168+E169, "NA")</f>
        <v>126537.06999999999</v>
      </c>
      <c r="F171" s="15">
        <f>IFERROR(E171/E444, "NA")</f>
        <v>0.26205621639841803</v>
      </c>
      <c r="G171" s="2"/>
      <c r="H171" s="14">
        <f t="shared" si="40"/>
        <v>-2666.3899999999849</v>
      </c>
      <c r="I171" s="15">
        <f>IFERROR(H171/H444, "NA")</f>
        <v>0.56483056502334394</v>
      </c>
      <c r="J171" s="2"/>
      <c r="K171" s="14">
        <f>IFERROR(K127+K129+K130+K131+K132+K133+K134+K135+K136+K137+K138+K139+K140+K143+K144+K145+K146+K147+K151+K153+K154+K155+K156+K157+K160+K161+K162+K163+K164+K165+K167+K168+K169, "NA")</f>
        <v>122180.83999999998</v>
      </c>
      <c r="L171" s="15">
        <f>IFERROR(K171/K444, "NA")</f>
        <v>0.28938210405917542</v>
      </c>
      <c r="M171" s="2"/>
      <c r="N171" s="14">
        <f t="shared" si="41"/>
        <v>-7022.6199999999953</v>
      </c>
      <c r="O171" s="15">
        <f>IFERROR(N171/N444, "NA")</f>
        <v>-0.12556361858778226</v>
      </c>
      <c r="P171" s="2"/>
      <c r="Q171" s="14">
        <f>IFERROR(Q127+Q129+Q130+Q131+Q132+Q133+Q134+Q135+Q136+Q137+Q138+Q139+Q140+Q143+Q144+Q145+Q146+Q147+Q151+Q153+Q154+Q155+Q156+Q157+Q160+Q161+Q162+Q163+Q164+Q165+Q167+Q168+Q169, "NA")</f>
        <v>243594.56000000003</v>
      </c>
      <c r="R171" s="15">
        <f>IFERROR(Q171/Q444, "NA")</f>
        <v>0.26660320288874745</v>
      </c>
      <c r="S171" s="2"/>
      <c r="T171" s="14">
        <f>IFERROR(T127+T129+T130+T131+T132+T133+T134+T135+T136+T137+T138+T139+T140+T143+T144+T145+T146+T147+T151+T153+T154+T155+T156+T157+T160+T161+T162+T163+T164+T165+T167+T168+T169, "NA")</f>
        <v>226707.47</v>
      </c>
      <c r="U171" s="15">
        <f>IFERROR(T171/T444, "NA")</f>
        <v>0.27116023091995523</v>
      </c>
      <c r="V171" s="2"/>
      <c r="W171" s="14">
        <f t="shared" si="42"/>
        <v>-16887.090000000026</v>
      </c>
      <c r="X171" s="15">
        <f>IFERROR(W171/W444, "NA")</f>
        <v>-0.21752617623171833</v>
      </c>
      <c r="Y171" s="2"/>
      <c r="Z171" s="14">
        <f>IFERROR(Z127+Z129+Z130+Z131+Z132+Z133+Z134+Z135+Z136+Z137+Z138+Z139+Z140+Z143+Z144+Z145+Z146+Z147+Z151+Z153+Z154+Z155+Z156+Z157+Z160+Z161+Z162+Z163+Z164+Z165+Z167+Z168+Z169, "NA")</f>
        <v>223746.61</v>
      </c>
      <c r="AA171" s="15">
        <f>IFERROR(Z171/Z444, "NA")</f>
        <v>0.28872717198063902</v>
      </c>
      <c r="AB171" s="2"/>
      <c r="AC171" s="14">
        <f t="shared" si="43"/>
        <v>-19847.950000000041</v>
      </c>
      <c r="AD171" s="15">
        <f>IFERROR(AC171/AC444, "NA")</f>
        <v>-0.14304236040668628</v>
      </c>
    </row>
    <row r="172" spans="1:30" ht="16.5" customHeight="1" x14ac:dyDescent="0.45">
      <c r="A172" s="22" t="s">
        <v>160</v>
      </c>
      <c r="B172" s="23">
        <f>IFERROR(B124-B171, "NA")</f>
        <v>348938.16000000003</v>
      </c>
      <c r="C172" s="24">
        <f>IFERROR(B172/B444, "NA")</f>
        <v>0.72977993423789378</v>
      </c>
      <c r="D172" s="25"/>
      <c r="E172" s="23">
        <f>IFERROR(E124-E171, "NA")</f>
        <v>356325.24</v>
      </c>
      <c r="F172" s="24">
        <f>IFERROR(E172/E444, "NA")</f>
        <v>0.73794378360158208</v>
      </c>
      <c r="G172" s="25"/>
      <c r="H172" s="23">
        <f>IFERROR(B172-E172, "NA")</f>
        <v>-7387.0799999999581</v>
      </c>
      <c r="I172" s="24">
        <f>IFERROR(H172/H444, "NA")</f>
        <v>1.5648305650233625</v>
      </c>
      <c r="J172" s="25"/>
      <c r="K172" s="23">
        <f>IFERROR(K124-K171, "NA")</f>
        <v>300032</v>
      </c>
      <c r="L172" s="24">
        <f>IFERROR(K172/K444, "NA")</f>
        <v>0.71061789594082458</v>
      </c>
      <c r="M172" s="25"/>
      <c r="N172" s="23">
        <f>IFERROR(B172-K172, "NA")</f>
        <v>48906.160000000033</v>
      </c>
      <c r="O172" s="24">
        <f>IFERROR(N172/N444, "NA")</f>
        <v>0.87443638141221669</v>
      </c>
      <c r="P172" s="25"/>
      <c r="Q172" s="23">
        <f>IFERROR(Q124-Q171, "NA")</f>
        <v>670102.49000000011</v>
      </c>
      <c r="R172" s="24">
        <f>IFERROR(Q172/Q444, "NA")</f>
        <v>0.73339679711125272</v>
      </c>
      <c r="S172" s="25"/>
      <c r="T172" s="23">
        <f>IFERROR(T124-T171, "NA")</f>
        <v>609357.13</v>
      </c>
      <c r="U172" s="24">
        <f>IFERROR(T172/T444, "NA")</f>
        <v>0.72883976908004466</v>
      </c>
      <c r="V172" s="25"/>
      <c r="W172" s="23">
        <f>IFERROR(Q172-T172, "NA")</f>
        <v>60745.360000000102</v>
      </c>
      <c r="X172" s="24">
        <f>IFERROR(W172/W444, "NA")</f>
        <v>0.78247382376828545</v>
      </c>
      <c r="Y172" s="25"/>
      <c r="Z172" s="23">
        <f>IFERROR(Z124-Z171, "NA")</f>
        <v>551194.68999999994</v>
      </c>
      <c r="AA172" s="24">
        <f>IFERROR(Z172/Z444, "NA")</f>
        <v>0.71127282801936087</v>
      </c>
      <c r="AB172" s="25"/>
      <c r="AC172" s="23">
        <f>IFERROR(Q172-Z172, "NA")</f>
        <v>118907.80000000016</v>
      </c>
      <c r="AD172" s="24">
        <f>IFERROR(AC172/AC444, "NA")</f>
        <v>0.85695763959331606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31370.799999999999</v>
      </c>
      <c r="C178" s="8">
        <f>IFERROR(B178/B444, "NA")</f>
        <v>6.5609850069107134E-2</v>
      </c>
      <c r="D178" s="9"/>
      <c r="E178" s="7">
        <v>32038.460000000003</v>
      </c>
      <c r="F178" s="8">
        <f>IFERROR(E178/E444, "NA")</f>
        <v>6.635113020107121E-2</v>
      </c>
      <c r="G178" s="9"/>
      <c r="H178" s="10">
        <f t="shared" si="44"/>
        <v>667.66000000000349</v>
      </c>
      <c r="I178" s="8">
        <f>IFERROR(H178/H444, "NA")</f>
        <v>-0.14143271428541582</v>
      </c>
      <c r="J178" s="9"/>
      <c r="K178" s="7">
        <v>25961.559999999998</v>
      </c>
      <c r="L178" s="8">
        <f>IFERROR(K178/K444, "NA")</f>
        <v>6.1489271619498825E-2</v>
      </c>
      <c r="M178" s="9"/>
      <c r="N178" s="10">
        <f t="shared" si="45"/>
        <v>-5409.2400000000016</v>
      </c>
      <c r="O178" s="8">
        <f>IFERROR(N178/N444, "NA")</f>
        <v>-9.6716574185955667E-2</v>
      </c>
      <c r="P178" s="9"/>
      <c r="Q178" s="7">
        <v>62741.599999999999</v>
      </c>
      <c r="R178" s="8">
        <f>IFERROR(Q178/Q444, "NA")</f>
        <v>6.8667836894077752E-2</v>
      </c>
      <c r="S178" s="9"/>
      <c r="T178" s="7">
        <v>64076.920000000006</v>
      </c>
      <c r="U178" s="8">
        <f>IFERROR(T178/T444, "NA")</f>
        <v>7.6641111225137393E-2</v>
      </c>
      <c r="V178" s="9"/>
      <c r="W178" s="10">
        <f t="shared" si="46"/>
        <v>1335.320000000007</v>
      </c>
      <c r="X178" s="8">
        <f>IFERROR(W178/W444, "NA")</f>
        <v>1.7200539207509358E-2</v>
      </c>
      <c r="Y178" s="9"/>
      <c r="Z178" s="7">
        <v>51923.119999999995</v>
      </c>
      <c r="AA178" s="8">
        <f>IFERROR(Z178/Z444, "NA")</f>
        <v>6.7002649103874046E-2</v>
      </c>
      <c r="AB178" s="9"/>
      <c r="AC178" s="10">
        <f t="shared" si="47"/>
        <v>-10818.480000000003</v>
      </c>
      <c r="AD178" s="8">
        <f>IFERROR(AC178/AC444, "NA")</f>
        <v>-7.7967795929177797E-2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93440.01</v>
      </c>
      <c r="C180" s="8">
        <f>IFERROR(B180/B444, "NA")</f>
        <v>0.19542329320756471</v>
      </c>
      <c r="D180" s="9"/>
      <c r="E180" s="7">
        <v>97422.56</v>
      </c>
      <c r="F180" s="8">
        <f>IFERROR(E180/E444, "NA")</f>
        <v>0.20176053914831332</v>
      </c>
      <c r="G180" s="9"/>
      <c r="H180" s="10">
        <f t="shared" si="44"/>
        <v>3982.5500000000029</v>
      </c>
      <c r="I180" s="8">
        <f>IFERROR(H180/H444, "NA")</f>
        <v>-0.84363726489138224</v>
      </c>
      <c r="J180" s="9"/>
      <c r="K180" s="7">
        <v>94200.19</v>
      </c>
      <c r="L180" s="8">
        <f>IFERROR(K180/K444, "NA")</f>
        <v>0.22311067091185577</v>
      </c>
      <c r="M180" s="9"/>
      <c r="N180" s="10">
        <f t="shared" si="45"/>
        <v>760.18000000000757</v>
      </c>
      <c r="O180" s="8">
        <f>IFERROR(N180/N444, "NA")</f>
        <v>1.3591928878119752E-2</v>
      </c>
      <c r="P180" s="9"/>
      <c r="Q180" s="7">
        <v>177545.66999999998</v>
      </c>
      <c r="R180" s="8">
        <f>IFERROR(Q180/Q444, "NA")</f>
        <v>0.19431568702120686</v>
      </c>
      <c r="S180" s="9"/>
      <c r="T180" s="7">
        <v>174291.69</v>
      </c>
      <c r="U180" s="8">
        <f>IFERROR(T180/T444, "NA")</f>
        <v>0.2084667739789485</v>
      </c>
      <c r="V180" s="9"/>
      <c r="W180" s="10">
        <f t="shared" si="46"/>
        <v>-3253.9799999999814</v>
      </c>
      <c r="X180" s="8">
        <f>IFERROR(W180/W444, "NA")</f>
        <v>-4.1915204273470542E-2</v>
      </c>
      <c r="Y180" s="9"/>
      <c r="Z180" s="7">
        <v>176651.41999999998</v>
      </c>
      <c r="AA180" s="8">
        <f>IFERROR(Z180/Z444, "NA")</f>
        <v>0.22795458185026399</v>
      </c>
      <c r="AB180" s="9"/>
      <c r="AC180" s="10">
        <f t="shared" si="47"/>
        <v>-894.25</v>
      </c>
      <c r="AD180" s="8">
        <f>IFERROR(AC180/AC444, "NA")</f>
        <v>-6.4447779641564461E-3</v>
      </c>
    </row>
    <row r="181" spans="1:30" ht="16.5" customHeight="1" x14ac:dyDescent="0.45">
      <c r="A181" s="12" t="s">
        <v>166</v>
      </c>
      <c r="B181" s="7">
        <v>344.76</v>
      </c>
      <c r="C181" s="8">
        <f>IFERROR(B181/B444, "NA")</f>
        <v>7.2104160269503403E-4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-344.76</v>
      </c>
      <c r="I181" s="8">
        <f>IFERROR(H181/H444, "NA")</f>
        <v>7.3031696637569574E-2</v>
      </c>
      <c r="J181" s="9"/>
      <c r="K181" s="7">
        <v>543.80999999999995</v>
      </c>
      <c r="L181" s="8">
        <f>IFERROR(K181/K444, "NA")</f>
        <v>1.2879996733401098E-3</v>
      </c>
      <c r="M181" s="9"/>
      <c r="N181" s="10">
        <f t="shared" si="45"/>
        <v>199.04999999999995</v>
      </c>
      <c r="O181" s="8">
        <f>IFERROR(N181/N444, "NA")</f>
        <v>3.5589905590645756E-3</v>
      </c>
      <c r="P181" s="9"/>
      <c r="Q181" s="7">
        <v>374.61</v>
      </c>
      <c r="R181" s="8">
        <f>IFERROR(Q181/Q444, "NA")</f>
        <v>4.0999366256025459E-4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-374.61</v>
      </c>
      <c r="X181" s="8">
        <f>IFERROR(W181/W444, "NA")</f>
        <v>-4.8254306027956193E-3</v>
      </c>
      <c r="Y181" s="9"/>
      <c r="Z181" s="7">
        <v>1241.8899999999999</v>
      </c>
      <c r="AA181" s="8">
        <f>IFERROR(Z181/Z444, "NA")</f>
        <v>1.6025600906804164E-3</v>
      </c>
      <c r="AB181" s="9"/>
      <c r="AC181" s="10">
        <f t="shared" si="47"/>
        <v>867.27999999999986</v>
      </c>
      <c r="AD181" s="8">
        <f>IFERROR(AC181/AC444, "NA")</f>
        <v>6.250407640764441E-3</v>
      </c>
    </row>
    <row r="182" spans="1:30" ht="16.5" customHeight="1" x14ac:dyDescent="0.45">
      <c r="A182" s="13" t="s">
        <v>167</v>
      </c>
      <c r="B182" s="14">
        <f>IFERROR(B177+B178+B179+B180+B181, "NA")</f>
        <v>125155.56999999999</v>
      </c>
      <c r="C182" s="15">
        <f>IFERROR(B182/B444, "NA")</f>
        <v>0.26175418487936686</v>
      </c>
      <c r="D182" s="2"/>
      <c r="E182" s="14">
        <f>IFERROR(E177+E178+E179+E180+E181, "NA")</f>
        <v>129461.02</v>
      </c>
      <c r="F182" s="15">
        <f>IFERROR(E182/E444, "NA")</f>
        <v>0.26811166934938457</v>
      </c>
      <c r="G182" s="2"/>
      <c r="H182" s="14">
        <f t="shared" si="44"/>
        <v>4305.4500000000116</v>
      </c>
      <c r="I182" s="15">
        <f>IFERROR(H182/H444, "NA")</f>
        <v>-0.91203828253922958</v>
      </c>
      <c r="J182" s="2"/>
      <c r="K182" s="14">
        <f>IFERROR(K177+K178+K179+K180+K181, "NA")</f>
        <v>120705.56</v>
      </c>
      <c r="L182" s="15">
        <f>IFERROR(K182/K444, "NA")</f>
        <v>0.28588794220469471</v>
      </c>
      <c r="M182" s="2"/>
      <c r="N182" s="14">
        <f t="shared" si="45"/>
        <v>-4450.0099999999948</v>
      </c>
      <c r="O182" s="15">
        <f>IFERROR(N182/N444, "NA")</f>
        <v>-7.956565474877135E-2</v>
      </c>
      <c r="P182" s="2"/>
      <c r="Q182" s="14">
        <f>IFERROR(Q177+Q178+Q179+Q180+Q181, "NA")</f>
        <v>240661.87999999998</v>
      </c>
      <c r="R182" s="15">
        <f>IFERROR(Q182/Q444, "NA")</f>
        <v>0.26339351757784485</v>
      </c>
      <c r="S182" s="2"/>
      <c r="T182" s="14">
        <f>IFERROR(T177+T178+T179+T180+T181, "NA")</f>
        <v>238368.61000000002</v>
      </c>
      <c r="U182" s="15">
        <f>IFERROR(T182/T444, "NA")</f>
        <v>0.28510788520408586</v>
      </c>
      <c r="V182" s="2"/>
      <c r="W182" s="14">
        <f t="shared" si="46"/>
        <v>-2293.2699999999604</v>
      </c>
      <c r="X182" s="15">
        <f>IFERROR(W182/W444, "NA")</f>
        <v>-2.9540095668756625E-2</v>
      </c>
      <c r="Y182" s="2"/>
      <c r="Z182" s="14">
        <f>IFERROR(Z177+Z178+Z179+Z180+Z181, "NA")</f>
        <v>229816.43</v>
      </c>
      <c r="AA182" s="15">
        <f>IFERROR(Z182/Z444, "NA")</f>
        <v>0.29655979104481844</v>
      </c>
      <c r="AB182" s="2"/>
      <c r="AC182" s="14">
        <f t="shared" si="47"/>
        <v>-10845.449999999983</v>
      </c>
      <c r="AD182" s="15">
        <f>IFERROR(AC182/AC444, "NA")</f>
        <v>-7.8162166252569651E-2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6.169720176210554E-3</v>
      </c>
      <c r="D184" s="9"/>
      <c r="E184" s="7">
        <v>2950</v>
      </c>
      <c r="F184" s="8">
        <f>IFERROR(E184/E444, "NA")</f>
        <v>6.1094020777890086E-3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1500</v>
      </c>
      <c r="L184" s="8">
        <f>IFERROR(K184/K444, "NA")</f>
        <v>3.5527105239149055E-3</v>
      </c>
      <c r="M184" s="9"/>
      <c r="N184" s="10">
        <f t="shared" si="45"/>
        <v>-1450</v>
      </c>
      <c r="O184" s="8">
        <f>IFERROR(N184/N444, "NA")</f>
        <v>-2.592582924211824E-2</v>
      </c>
      <c r="P184" s="9"/>
      <c r="Q184" s="7">
        <v>5900</v>
      </c>
      <c r="R184" s="8">
        <f>IFERROR(Q184/Q444, "NA")</f>
        <v>6.4572825314473765E-3</v>
      </c>
      <c r="S184" s="9"/>
      <c r="T184" s="7">
        <v>5900</v>
      </c>
      <c r="U184" s="8">
        <f>IFERROR(T184/T444, "NA")</f>
        <v>7.0568709642771614E-3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3000</v>
      </c>
      <c r="AA184" s="8">
        <f>IFERROR(Z184/Z444, "NA")</f>
        <v>3.8712609587332612E-3</v>
      </c>
      <c r="AB184" s="9"/>
      <c r="AC184" s="10">
        <f t="shared" si="47"/>
        <v>-2900</v>
      </c>
      <c r="AD184" s="8">
        <f>IFERROR(AC184/AC444, "NA")</f>
        <v>-2.0900034773333735E-2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13933.439999999999</v>
      </c>
      <c r="C186" s="8">
        <f>IFERROR(B186/B444, "NA")</f>
        <v>2.9140822336277687E-2</v>
      </c>
      <c r="D186" s="9"/>
      <c r="E186" s="7">
        <v>16703.09</v>
      </c>
      <c r="F186" s="8">
        <f>IFERROR(E186/E444, "NA")</f>
        <v>3.4591828051354849E-2</v>
      </c>
      <c r="G186" s="9"/>
      <c r="H186" s="10">
        <f t="shared" ref="H186:H197" si="48">IFERROR(-(B186-E186), "NA")</f>
        <v>2769.6500000000015</v>
      </c>
      <c r="I186" s="8">
        <f>IFERROR(H186/H444, "NA")</f>
        <v>-0.58670448599676495</v>
      </c>
      <c r="J186" s="9"/>
      <c r="K186" s="7">
        <v>14779.36</v>
      </c>
      <c r="L186" s="8">
        <f>IFERROR(K186/K444, "NA")</f>
        <v>3.5004525205817996E-2</v>
      </c>
      <c r="M186" s="9"/>
      <c r="N186" s="10">
        <f t="shared" ref="N186:N197" si="49">IFERROR(-(B186-K186), "NA")</f>
        <v>845.92000000000189</v>
      </c>
      <c r="O186" s="8">
        <f>IFERROR(N186/N444, "NA")</f>
        <v>1.5124949981029456E-2</v>
      </c>
      <c r="P186" s="9"/>
      <c r="Q186" s="7">
        <v>27024.18</v>
      </c>
      <c r="R186" s="8">
        <f>IFERROR(Q186/Q444, "NA")</f>
        <v>2.9576739905201623E-2</v>
      </c>
      <c r="S186" s="9"/>
      <c r="T186" s="7">
        <v>31216.159999999996</v>
      </c>
      <c r="U186" s="8">
        <f>IFERROR(T186/T444, "NA")</f>
        <v>3.7337019172920365E-2</v>
      </c>
      <c r="V186" s="9"/>
      <c r="W186" s="10">
        <f t="shared" ref="W186:W197" si="50">IFERROR(-(Q186-T186), "NA")</f>
        <v>4191.9799999999959</v>
      </c>
      <c r="X186" s="8">
        <f>IFERROR(W186/W444, "NA")</f>
        <v>5.3997780567275729E-2</v>
      </c>
      <c r="Y186" s="9"/>
      <c r="Z186" s="7">
        <v>28808.61</v>
      </c>
      <c r="AA186" s="8">
        <f>IFERROR(Z186/Z444, "NA")</f>
        <v>3.7175215722790873E-2</v>
      </c>
      <c r="AB186" s="9"/>
      <c r="AC186" s="10">
        <f t="shared" ref="AC186:AC197" si="51">IFERROR(-(Q186-Z186), "NA")</f>
        <v>1784.4300000000003</v>
      </c>
      <c r="AD186" s="8">
        <f>IFERROR(AC186/AC444, "NA")</f>
        <v>1.2860223810544802E-2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0.03</v>
      </c>
      <c r="L187" s="8">
        <f>IFERROR(K187/K444, "NA")</f>
        <v>7.1054210478298107E-8</v>
      </c>
      <c r="M187" s="9"/>
      <c r="N187" s="10">
        <f t="shared" si="49"/>
        <v>0.03</v>
      </c>
      <c r="O187" s="8">
        <f>IFERROR(N187/N444, "NA")</f>
        <v>5.3639646707830836E-7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4.9999999999999989E-2</v>
      </c>
      <c r="AA187" s="8">
        <f>IFERROR(Z187/Z444, "NA")</f>
        <v>6.4521015978887668E-8</v>
      </c>
      <c r="AB187" s="9"/>
      <c r="AC187" s="10">
        <f t="shared" si="51"/>
        <v>4.9999999999999989E-2</v>
      </c>
      <c r="AD187" s="8">
        <f>IFERROR(AC187/AC444, "NA")</f>
        <v>3.6034542712644365E-7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13933.439999999999</v>
      </c>
      <c r="C193" s="15">
        <f>IFERROR(B193/B444, "NA")</f>
        <v>2.9140822336277687E-2</v>
      </c>
      <c r="D193" s="2"/>
      <c r="E193" s="14">
        <f>IFERROR(E186+E187+E188+E189+E190+E191+E192, "NA")</f>
        <v>16703.09</v>
      </c>
      <c r="F193" s="15">
        <f>IFERROR(E193/E444, "NA")</f>
        <v>3.4591828051354849E-2</v>
      </c>
      <c r="G193" s="2"/>
      <c r="H193" s="14">
        <f t="shared" si="48"/>
        <v>2769.6500000000015</v>
      </c>
      <c r="I193" s="15">
        <f>IFERROR(H193/H444, "NA")</f>
        <v>-0.58670448599676495</v>
      </c>
      <c r="J193" s="2"/>
      <c r="K193" s="14">
        <f>IFERROR(K186+K187+K188+K189+K190+K191+K192, "NA")</f>
        <v>14779.390000000001</v>
      </c>
      <c r="L193" s="15">
        <f>IFERROR(K193/K444, "NA")</f>
        <v>3.5004596260028477E-2</v>
      </c>
      <c r="M193" s="2"/>
      <c r="N193" s="14">
        <f t="shared" si="49"/>
        <v>845.95000000000255</v>
      </c>
      <c r="O193" s="15">
        <f>IFERROR(N193/N444, "NA")</f>
        <v>1.5125486377496545E-2</v>
      </c>
      <c r="P193" s="2"/>
      <c r="Q193" s="14">
        <f>IFERROR(Q186+Q187+Q188+Q189+Q190+Q191+Q192, "NA")</f>
        <v>27024.18</v>
      </c>
      <c r="R193" s="15">
        <f>IFERROR(Q193/Q444, "NA")</f>
        <v>2.9576739905201623E-2</v>
      </c>
      <c r="S193" s="2"/>
      <c r="T193" s="14">
        <f>IFERROR(T186+T187+T188+T189+T190+T191+T192, "NA")</f>
        <v>31216.159999999996</v>
      </c>
      <c r="U193" s="15">
        <f>IFERROR(T193/T444, "NA")</f>
        <v>3.7337019172920365E-2</v>
      </c>
      <c r="V193" s="2"/>
      <c r="W193" s="14">
        <f t="shared" si="50"/>
        <v>4191.9799999999959</v>
      </c>
      <c r="X193" s="15">
        <f>IFERROR(W193/W444, "NA")</f>
        <v>5.3997780567275729E-2</v>
      </c>
      <c r="Y193" s="2"/>
      <c r="Z193" s="14">
        <f>IFERROR(Z186+Z187+Z188+Z189+Z190+Z191+Z192, "NA")</f>
        <v>28808.66</v>
      </c>
      <c r="AA193" s="15">
        <f>IFERROR(Z193/Z444, "NA")</f>
        <v>3.7175280243806848E-2</v>
      </c>
      <c r="AB193" s="2"/>
      <c r="AC193" s="14">
        <f t="shared" si="51"/>
        <v>1784.4799999999996</v>
      </c>
      <c r="AD193" s="15">
        <f>IFERROR(AC193/AC444, "NA")</f>
        <v>1.2860584155971922E-2</v>
      </c>
    </row>
    <row r="194" spans="1:30" ht="16.5" customHeight="1" x14ac:dyDescent="0.45">
      <c r="A194" s="6" t="s">
        <v>178</v>
      </c>
      <c r="B194" s="7">
        <v>1684.1599999999999</v>
      </c>
      <c r="C194" s="8">
        <f>IFERROR(B194/B444, "NA")</f>
        <v>3.5223037057514461E-3</v>
      </c>
      <c r="D194" s="9"/>
      <c r="E194" s="7">
        <v>1059.3000000000002</v>
      </c>
      <c r="F194" s="8">
        <f>IFERROR(E194/E444, "NA")</f>
        <v>2.1937930918650502E-3</v>
      </c>
      <c r="G194" s="9"/>
      <c r="H194" s="10">
        <f t="shared" si="48"/>
        <v>-624.85999999999967</v>
      </c>
      <c r="I194" s="8">
        <f>IFERROR(H194/H444, "NA")</f>
        <v>0.13236624307040173</v>
      </c>
      <c r="J194" s="9"/>
      <c r="K194" s="7">
        <v>1614.76</v>
      </c>
      <c r="L194" s="8">
        <f>IFERROR(K194/K444, "NA")</f>
        <v>3.8245165637312219E-3</v>
      </c>
      <c r="M194" s="9"/>
      <c r="N194" s="10">
        <f t="shared" si="49"/>
        <v>-69.399999999999864</v>
      </c>
      <c r="O194" s="8">
        <f>IFERROR(N194/N444, "NA")</f>
        <v>-1.2408638271744843E-3</v>
      </c>
      <c r="P194" s="9"/>
      <c r="Q194" s="7">
        <v>2894.64</v>
      </c>
      <c r="R194" s="8">
        <f>IFERROR(Q194/Q444, "NA")</f>
        <v>3.1680522553947177E-3</v>
      </c>
      <c r="S194" s="9"/>
      <c r="T194" s="7">
        <v>1954.1599999999999</v>
      </c>
      <c r="U194" s="8">
        <f>IFERROR(T194/T444, "NA")</f>
        <v>2.3373313497545519E-3</v>
      </c>
      <c r="V194" s="9"/>
      <c r="W194" s="10">
        <f t="shared" si="50"/>
        <v>-940.48</v>
      </c>
      <c r="X194" s="8">
        <f>IFERROR(W194/W444, "NA")</f>
        <v>-1.21145216980786E-2</v>
      </c>
      <c r="Y194" s="9"/>
      <c r="Z194" s="7">
        <v>1614.76</v>
      </c>
      <c r="AA194" s="8">
        <f>IFERROR(Z194/Z444, "NA")</f>
        <v>2.0837191152413737E-3</v>
      </c>
      <c r="AB194" s="9"/>
      <c r="AC194" s="10">
        <f t="shared" si="51"/>
        <v>-1279.8799999999999</v>
      </c>
      <c r="AD194" s="8">
        <f>IFERROR(AC194/AC444, "NA")</f>
        <v>-9.2239781054118553E-3</v>
      </c>
    </row>
    <row r="195" spans="1:30" ht="16.5" customHeight="1" x14ac:dyDescent="0.45">
      <c r="A195" s="6" t="s">
        <v>179</v>
      </c>
      <c r="B195" s="7">
        <v>1742.08</v>
      </c>
      <c r="C195" s="8">
        <f>IFERROR(B195/B444, "NA")</f>
        <v>3.6434393642619935E-3</v>
      </c>
      <c r="D195" s="9"/>
      <c r="E195" s="7">
        <v>508.19</v>
      </c>
      <c r="F195" s="8">
        <f>IFERROR(E195/E444, "NA")</f>
        <v>1.0524532345463039E-3</v>
      </c>
      <c r="G195" s="9"/>
      <c r="H195" s="10">
        <f t="shared" si="48"/>
        <v>-1233.8899999999999</v>
      </c>
      <c r="I195" s="8">
        <f>IFERROR(H195/H444, "NA")</f>
        <v>0.26137916279188628</v>
      </c>
      <c r="J195" s="9"/>
      <c r="K195" s="7">
        <v>1263.47</v>
      </c>
      <c r="L195" s="8">
        <f>IFERROR(K195/K444, "NA")</f>
        <v>2.992495443767177E-3</v>
      </c>
      <c r="M195" s="9"/>
      <c r="N195" s="10">
        <f t="shared" si="49"/>
        <v>-478.6099999999999</v>
      </c>
      <c r="O195" s="8">
        <f>IFERROR(N195/N444, "NA")</f>
        <v>-8.5574904369449707E-3</v>
      </c>
      <c r="P195" s="9"/>
      <c r="Q195" s="7">
        <v>3057.73</v>
      </c>
      <c r="R195" s="8">
        <f>IFERROR(Q195/Q444, "NA")</f>
        <v>3.3465468669292521E-3</v>
      </c>
      <c r="S195" s="9"/>
      <c r="T195" s="7">
        <v>950.47</v>
      </c>
      <c r="U195" s="8">
        <f>IFERROR(T195/T444, "NA")</f>
        <v>1.1368379907485617E-3</v>
      </c>
      <c r="V195" s="9"/>
      <c r="W195" s="10">
        <f t="shared" si="50"/>
        <v>-2107.2600000000002</v>
      </c>
      <c r="X195" s="8">
        <f>IFERROR(W195/W444, "NA")</f>
        <v>-2.7144061536123164E-2</v>
      </c>
      <c r="Y195" s="9"/>
      <c r="Z195" s="7">
        <v>2491.4</v>
      </c>
      <c r="AA195" s="8">
        <f>IFERROR(Z195/Z444, "NA")</f>
        <v>3.2149531841960156E-3</v>
      </c>
      <c r="AB195" s="9"/>
      <c r="AC195" s="10">
        <f t="shared" si="51"/>
        <v>-566.32999999999993</v>
      </c>
      <c r="AD195" s="8">
        <f>IFERROR(AC195/AC444, "NA")</f>
        <v>-4.0814885148903772E-3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145465.24999999997</v>
      </c>
      <c r="C196" s="15">
        <f>IFERROR(B196/B444, "NA")</f>
        <v>0.30423047046186852</v>
      </c>
      <c r="D196" s="2"/>
      <c r="E196" s="14">
        <f>IFERROR(E175+E177+E178+E179+E180+E181+E183+E184+E186+E187+E188+E189+E190+E191+E192+E194+E195, "NA")</f>
        <v>150681.60000000001</v>
      </c>
      <c r="F196" s="15">
        <f>IFERROR(E196/E444, "NA")</f>
        <v>0.31205914580493976</v>
      </c>
      <c r="G196" s="2"/>
      <c r="H196" s="14">
        <f t="shared" si="48"/>
        <v>5216.3500000000349</v>
      </c>
      <c r="I196" s="15">
        <f>IFERROR(H196/H444, "NA")</f>
        <v>-1.1049973626737111</v>
      </c>
      <c r="J196" s="2"/>
      <c r="K196" s="14">
        <f>IFERROR(K175+K177+K178+K179+K180+K181+K183+K184+K186+K187+K188+K189+K190+K191+K192+K194+K195, "NA")</f>
        <v>139863.18</v>
      </c>
      <c r="L196" s="15">
        <f>IFERROR(K196/K444, "NA")</f>
        <v>0.33126226099613648</v>
      </c>
      <c r="M196" s="2"/>
      <c r="N196" s="14">
        <f t="shared" si="49"/>
        <v>-5602.0699999999779</v>
      </c>
      <c r="O196" s="15">
        <f>IFERROR(N196/N444, "NA")</f>
        <v>-0.10016435187751224</v>
      </c>
      <c r="P196" s="2"/>
      <c r="Q196" s="14">
        <f>IFERROR(Q175+Q177+Q178+Q179+Q180+Q181+Q183+Q184+Q186+Q187+Q188+Q189+Q190+Q191+Q192+Q194+Q195, "NA")</f>
        <v>279538.43</v>
      </c>
      <c r="R196" s="15">
        <f>IFERROR(Q196/Q444, "NA")</f>
        <v>0.30594213913681784</v>
      </c>
      <c r="S196" s="2"/>
      <c r="T196" s="14">
        <f>IFERROR(T175+T177+T178+T179+T180+T181+T183+T184+T186+T187+T188+T189+T190+T191+T192+T194+T195, "NA")</f>
        <v>278389.39999999997</v>
      </c>
      <c r="U196" s="15">
        <f>IFERROR(T196/T444, "NA")</f>
        <v>0.33297594468178648</v>
      </c>
      <c r="V196" s="2"/>
      <c r="W196" s="14">
        <f t="shared" si="50"/>
        <v>-1149.0300000000279</v>
      </c>
      <c r="X196" s="15">
        <f>IFERROR(W196/W444, "NA")</f>
        <v>-1.4800898335683472E-2</v>
      </c>
      <c r="Y196" s="2"/>
      <c r="Z196" s="14">
        <f>IFERROR(Z175+Z177+Z178+Z179+Z180+Z181+Z183+Z184+Z186+Z187+Z188+Z189+Z190+Z191+Z192+Z194+Z195, "NA")</f>
        <v>265731.25</v>
      </c>
      <c r="AA196" s="15">
        <f>IFERROR(Z196/Z444, "NA")</f>
        <v>0.34290500454679596</v>
      </c>
      <c r="AB196" s="2"/>
      <c r="AC196" s="14">
        <f t="shared" si="51"/>
        <v>-13807.179999999993</v>
      </c>
      <c r="AD196" s="15">
        <f>IFERROR(AC196/AC444, "NA")</f>
        <v>-9.9507083490233766E-2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145465.24999999997</v>
      </c>
      <c r="C197" s="15">
        <f>IFERROR(B197/B444, "NA")</f>
        <v>0.30423047046186852</v>
      </c>
      <c r="D197" s="2"/>
      <c r="E197" s="14">
        <f>IFERROR(E175+E177+E178+E179+E180+E181+E183+E184+E186+E187+E188+E189+E190+E191+E192+E194+E195, "NA")</f>
        <v>150681.60000000001</v>
      </c>
      <c r="F197" s="15">
        <f>IFERROR(E197/E444, "NA")</f>
        <v>0.31205914580493976</v>
      </c>
      <c r="G197" s="2"/>
      <c r="H197" s="14">
        <f t="shared" si="48"/>
        <v>5216.3500000000349</v>
      </c>
      <c r="I197" s="15">
        <f>IFERROR(H197/H444, "NA")</f>
        <v>-1.1049973626737111</v>
      </c>
      <c r="J197" s="2"/>
      <c r="K197" s="14">
        <f>IFERROR(K175+K177+K178+K179+K180+K181+K183+K184+K186+K187+K188+K189+K190+K191+K192+K194+K195, "NA")</f>
        <v>139863.18</v>
      </c>
      <c r="L197" s="15">
        <f>IFERROR(K197/K444, "NA")</f>
        <v>0.33126226099613648</v>
      </c>
      <c r="M197" s="2"/>
      <c r="N197" s="14">
        <f t="shared" si="49"/>
        <v>-5602.0699999999779</v>
      </c>
      <c r="O197" s="15">
        <f>IFERROR(N197/N444, "NA")</f>
        <v>-0.10016435187751224</v>
      </c>
      <c r="P197" s="2"/>
      <c r="Q197" s="14">
        <f>IFERROR(Q175+Q177+Q178+Q179+Q180+Q181+Q183+Q184+Q186+Q187+Q188+Q189+Q190+Q191+Q192+Q194+Q195, "NA")</f>
        <v>279538.43</v>
      </c>
      <c r="R197" s="15">
        <f>IFERROR(Q197/Q444, "NA")</f>
        <v>0.30594213913681784</v>
      </c>
      <c r="S197" s="2"/>
      <c r="T197" s="14">
        <f>IFERROR(T175+T177+T178+T179+T180+T181+T183+T184+T186+T187+T188+T189+T190+T191+T192+T194+T195, "NA")</f>
        <v>278389.39999999997</v>
      </c>
      <c r="U197" s="15">
        <f>IFERROR(T197/T444, "NA")</f>
        <v>0.33297594468178648</v>
      </c>
      <c r="V197" s="2"/>
      <c r="W197" s="14">
        <f t="shared" si="50"/>
        <v>-1149.0300000000279</v>
      </c>
      <c r="X197" s="15">
        <f>IFERROR(W197/W444, "NA")</f>
        <v>-1.4800898335683472E-2</v>
      </c>
      <c r="Y197" s="2"/>
      <c r="Z197" s="14">
        <f>IFERROR(Z175+Z177+Z178+Z179+Z180+Z181+Z183+Z184+Z186+Z187+Z188+Z189+Z190+Z191+Z192+Z194+Z195, "NA")</f>
        <v>265731.25</v>
      </c>
      <c r="AA197" s="15">
        <f>IFERROR(Z197/Z444, "NA")</f>
        <v>0.34290500454679596</v>
      </c>
      <c r="AB197" s="2"/>
      <c r="AC197" s="14">
        <f t="shared" si="51"/>
        <v>-13807.179999999993</v>
      </c>
      <c r="AD197" s="15">
        <f>IFERROR(AC197/AC444, "NA")</f>
        <v>-9.9507083490233766E-2</v>
      </c>
    </row>
    <row r="198" spans="1:30" ht="16.5" customHeight="1" x14ac:dyDescent="0.45">
      <c r="A198" s="22" t="s">
        <v>181</v>
      </c>
      <c r="B198" s="23">
        <f>IFERROR(B172-B197, "NA")</f>
        <v>203472.91000000006</v>
      </c>
      <c r="C198" s="24">
        <f>IFERROR(B198/B444, "NA")</f>
        <v>0.42554946377602526</v>
      </c>
      <c r="D198" s="25"/>
      <c r="E198" s="23">
        <f>IFERROR(E172-E197, "NA")</f>
        <v>205643.63999999998</v>
      </c>
      <c r="F198" s="24">
        <f>IFERROR(E198/E444, "NA")</f>
        <v>0.42588463779664232</v>
      </c>
      <c r="G198" s="25"/>
      <c r="H198" s="23">
        <f>IFERROR(B198-E198, "NA")</f>
        <v>-2170.7299999999232</v>
      </c>
      <c r="I198" s="24">
        <f>IFERROR(H198/H444, "NA")</f>
        <v>0.45983320234965136</v>
      </c>
      <c r="J198" s="25"/>
      <c r="K198" s="23">
        <f>IFERROR(K172-K197, "NA")</f>
        <v>160168.82</v>
      </c>
      <c r="L198" s="24">
        <f>IFERROR(K198/K444, "NA")</f>
        <v>0.37935563494468816</v>
      </c>
      <c r="M198" s="25"/>
      <c r="N198" s="23">
        <f>IFERROR(B198-K198, "NA")</f>
        <v>43304.090000000055</v>
      </c>
      <c r="O198" s="24">
        <f>IFERROR(N198/N444, "NA")</f>
        <v>0.77427202953470442</v>
      </c>
      <c r="P198" s="25"/>
      <c r="Q198" s="23">
        <f>IFERROR(Q172-Q197, "NA")</f>
        <v>390564.06000000011</v>
      </c>
      <c r="R198" s="24">
        <f>IFERROR(Q198/Q444, "NA")</f>
        <v>0.42745465797443488</v>
      </c>
      <c r="S198" s="25"/>
      <c r="T198" s="23">
        <f>IFERROR(T172-T197, "NA")</f>
        <v>330967.73000000004</v>
      </c>
      <c r="U198" s="24">
        <f>IFERROR(T198/T444, "NA")</f>
        <v>0.39586382439825823</v>
      </c>
      <c r="V198" s="25"/>
      <c r="W198" s="23">
        <f>IFERROR(Q198-T198, "NA")</f>
        <v>59596.330000000075</v>
      </c>
      <c r="X198" s="24">
        <f>IFERROR(W198/W444, "NA")</f>
        <v>0.7676729254326019</v>
      </c>
      <c r="Y198" s="25"/>
      <c r="Z198" s="23">
        <f>IFERROR(Z172-Z197, "NA")</f>
        <v>285463.43999999994</v>
      </c>
      <c r="AA198" s="24">
        <f>IFERROR(Z198/Z444, "NA")</f>
        <v>0.36836782347256486</v>
      </c>
      <c r="AB198" s="25"/>
      <c r="AC198" s="23">
        <f>IFERROR(Q198-Z198, "NA")</f>
        <v>105100.62000000017</v>
      </c>
      <c r="AD198" s="24">
        <f>IFERROR(AC198/AC444, "NA")</f>
        <v>0.75745055610308232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9901.4499999999989</v>
      </c>
      <c r="F201" s="8">
        <f>IFERROR(E201/E444, "NA")</f>
        <v>2.0505742102753889E-2</v>
      </c>
      <c r="G201" s="9"/>
      <c r="H201" s="10">
        <f t="shared" ref="H201:H209" si="52">IFERROR(-(B201-E201), "NA")</f>
        <v>9901.4499999999989</v>
      </c>
      <c r="I201" s="8">
        <f>IFERROR(H201/H444, "NA")</f>
        <v>-2.0974582105582527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17189.670000000002</v>
      </c>
      <c r="U201" s="8">
        <f>IFERROR(T201/T444, "NA")</f>
        <v>2.0560217476018001E-2</v>
      </c>
      <c r="V201" s="9"/>
      <c r="W201" s="10">
        <f t="shared" ref="W201:W209" si="54">IFERROR(-(Q201-T201), "NA")</f>
        <v>17189.670000000002</v>
      </c>
      <c r="X201" s="8">
        <f>IFERROR(W201/W444, "NA")</f>
        <v>0.22142377317732517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5227.13</v>
      </c>
      <c r="C202" s="8">
        <f>IFERROR(B202/B444, "NA")</f>
        <v>1.0932179465991686E-2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-5227.13</v>
      </c>
      <c r="I202" s="8">
        <f>IFERROR(H202/H444, "NA")</f>
        <v>1.1072809271526252</v>
      </c>
      <c r="J202" s="9"/>
      <c r="K202" s="7">
        <v>4268.96</v>
      </c>
      <c r="L202" s="8">
        <f>IFERROR(K202/K444, "NA")</f>
        <v>1.0110919412114516E-2</v>
      </c>
      <c r="M202" s="9"/>
      <c r="N202" s="10">
        <f t="shared" si="53"/>
        <v>-958.17000000000007</v>
      </c>
      <c r="O202" s="8">
        <f>IFERROR(N202/N444, "NA")</f>
        <v>-1.7131966762014093E-2</v>
      </c>
      <c r="P202" s="9"/>
      <c r="Q202" s="7">
        <v>9816.36</v>
      </c>
      <c r="R202" s="8">
        <f>IFERROR(Q202/Q444, "NA")</f>
        <v>1.0743561008542166E-2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-9816.36</v>
      </c>
      <c r="X202" s="8">
        <f>IFERROR(W202/W444, "NA")</f>
        <v>-0.12644660834483545</v>
      </c>
      <c r="Y202" s="9"/>
      <c r="Z202" s="7">
        <v>8867.34</v>
      </c>
      <c r="AA202" s="8">
        <f>IFERROR(Z202/Z444, "NA")</f>
        <v>1.1442595716604598E-2</v>
      </c>
      <c r="AB202" s="9"/>
      <c r="AC202" s="10">
        <f t="shared" si="55"/>
        <v>-949.02000000000044</v>
      </c>
      <c r="AD202" s="8">
        <f>IFERROR(AC202/AC444, "NA")</f>
        <v>-6.8395003450307549E-3</v>
      </c>
    </row>
    <row r="203" spans="1:30" ht="16.5" customHeight="1" x14ac:dyDescent="0.45">
      <c r="A203" s="6" t="s">
        <v>185</v>
      </c>
      <c r="B203" s="7">
        <v>2681.06</v>
      </c>
      <c r="C203" s="8">
        <f>IFERROR(B203/B444, "NA")</f>
        <v>5.6072508391969717E-3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-2681.06</v>
      </c>
      <c r="I203" s="8">
        <f>IFERROR(H203/H444, "NA")</f>
        <v>0.5679381615823248</v>
      </c>
      <c r="J203" s="9"/>
      <c r="K203" s="7">
        <v>2786.08</v>
      </c>
      <c r="L203" s="8">
        <f>IFERROR(K203/K444, "NA")</f>
        <v>6.5987571576458931E-3</v>
      </c>
      <c r="M203" s="9"/>
      <c r="N203" s="10">
        <f t="shared" si="53"/>
        <v>105.01999999999998</v>
      </c>
      <c r="O203" s="8">
        <f>IFERROR(N203/N444, "NA")</f>
        <v>1.8777452324187981E-3</v>
      </c>
      <c r="P203" s="9"/>
      <c r="Q203" s="7">
        <v>5628.66</v>
      </c>
      <c r="R203" s="8">
        <f>IFERROR(Q203/Q444, "NA")</f>
        <v>6.1603132022807778E-3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-5628.66</v>
      </c>
      <c r="X203" s="8">
        <f>IFERROR(W203/W444, "NA")</f>
        <v>-7.2503959362354417E-2</v>
      </c>
      <c r="Y203" s="9"/>
      <c r="Z203" s="7">
        <v>5289.32</v>
      </c>
      <c r="AA203" s="8">
        <f>IFERROR(Z203/Z444, "NA")</f>
        <v>6.8254460047490039E-3</v>
      </c>
      <c r="AB203" s="9"/>
      <c r="AC203" s="10">
        <f t="shared" si="55"/>
        <v>-339.34000000000015</v>
      </c>
      <c r="AD203" s="8">
        <f>IFERROR(AC203/AC444, "NA")</f>
        <v>-2.4455923448217492E-3</v>
      </c>
    </row>
    <row r="204" spans="1:30" ht="16.5" customHeight="1" x14ac:dyDescent="0.45">
      <c r="A204" s="6" t="s">
        <v>186</v>
      </c>
      <c r="B204" s="7">
        <v>1165.17</v>
      </c>
      <c r="C204" s="8">
        <f>IFERROR(B204/B444, "NA")</f>
        <v>2.4368721551577123E-3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-1165.17</v>
      </c>
      <c r="I204" s="8">
        <f>IFERROR(H204/H444, "NA")</f>
        <v>0.24682196882236035</v>
      </c>
      <c r="J204" s="9"/>
      <c r="K204" s="7">
        <v>169.29</v>
      </c>
      <c r="L204" s="8">
        <f>IFERROR(K204/K444, "NA")</f>
        <v>4.0095890972903622E-4</v>
      </c>
      <c r="M204" s="9"/>
      <c r="N204" s="10">
        <f t="shared" si="53"/>
        <v>-995.88000000000011</v>
      </c>
      <c r="O204" s="8">
        <f>IFERROR(N204/N444, "NA")</f>
        <v>-1.7806217121131528E-2</v>
      </c>
      <c r="P204" s="9"/>
      <c r="Q204" s="7">
        <v>1308.8699999999999</v>
      </c>
      <c r="R204" s="8">
        <f>IFERROR(Q204/Q444, "NA")</f>
        <v>1.4324988791416149E-3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-1308.8699999999999</v>
      </c>
      <c r="X204" s="8">
        <f>IFERROR(W204/W444, "NA")</f>
        <v>-1.6859831165962205E-2</v>
      </c>
      <c r="Y204" s="9"/>
      <c r="Z204" s="7">
        <v>538.1</v>
      </c>
      <c r="AA204" s="8">
        <f>IFERROR(Z204/Z444, "NA")</f>
        <v>6.943751739647893E-4</v>
      </c>
      <c r="AB204" s="9"/>
      <c r="AC204" s="10">
        <f t="shared" si="55"/>
        <v>-770.76999999999987</v>
      </c>
      <c r="AD204" s="8">
        <f>IFERROR(AC204/AC444, "NA")</f>
        <v>-5.5548688973249792E-3</v>
      </c>
    </row>
    <row r="205" spans="1:30" ht="16.5" customHeight="1" x14ac:dyDescent="0.45">
      <c r="A205" s="6" t="s">
        <v>187</v>
      </c>
      <c r="B205" s="7">
        <v>1832.72</v>
      </c>
      <c r="C205" s="8">
        <f>IFERROR(B205/B444, "NA")</f>
        <v>3.8330066309642734E-3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-1832.72</v>
      </c>
      <c r="I205" s="8">
        <f>IFERROR(H205/H444, "NA")</f>
        <v>0.3882313814294191</v>
      </c>
      <c r="J205" s="9"/>
      <c r="K205" s="7">
        <v>1849.75</v>
      </c>
      <c r="L205" s="8">
        <f>IFERROR(K205/K444, "NA")</f>
        <v>4.3810841944077307E-3</v>
      </c>
      <c r="M205" s="9"/>
      <c r="N205" s="10">
        <f t="shared" si="53"/>
        <v>17.029999999999973</v>
      </c>
      <c r="O205" s="8">
        <f>IFERROR(N205/N444, "NA")</f>
        <v>3.0449439447811927E-4</v>
      </c>
      <c r="P205" s="9"/>
      <c r="Q205" s="7">
        <v>3737.78</v>
      </c>
      <c r="R205" s="8">
        <f>IFERROR(Q205/Q444, "NA")</f>
        <v>4.0908307627785384E-3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-3737.78</v>
      </c>
      <c r="X205" s="8">
        <f>IFERROR(W205/W444, "NA")</f>
        <v>-4.8147134349102831E-2</v>
      </c>
      <c r="Y205" s="9"/>
      <c r="Z205" s="7">
        <v>3922.65</v>
      </c>
      <c r="AA205" s="8">
        <f>IFERROR(Z205/Z444, "NA")</f>
        <v>5.0618672665916761E-3</v>
      </c>
      <c r="AB205" s="9"/>
      <c r="AC205" s="10">
        <f t="shared" si="55"/>
        <v>184.86999999999989</v>
      </c>
      <c r="AD205" s="8">
        <f>IFERROR(AC205/AC444, "NA")</f>
        <v>1.3323411822573122E-3</v>
      </c>
    </row>
    <row r="206" spans="1:30" ht="16.5" customHeight="1" x14ac:dyDescent="0.45">
      <c r="A206" s="6" t="s">
        <v>188</v>
      </c>
      <c r="B206" s="7">
        <v>326.17</v>
      </c>
      <c r="C206" s="8">
        <f>IFERROR(B206/B444, "NA")</f>
        <v>6.8216190843206658E-4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-326.17</v>
      </c>
      <c r="I206" s="8">
        <f>IFERROR(H206/H444, "NA")</f>
        <v>6.9093712995347695E-2</v>
      </c>
      <c r="J206" s="9"/>
      <c r="K206" s="7">
        <v>28.12</v>
      </c>
      <c r="L206" s="8">
        <f>IFERROR(K206/K444, "NA")</f>
        <v>6.6601479954991435E-5</v>
      </c>
      <c r="M206" s="9"/>
      <c r="N206" s="10">
        <f t="shared" si="53"/>
        <v>-298.05</v>
      </c>
      <c r="O206" s="8">
        <f>IFERROR(N206/N444, "NA")</f>
        <v>-5.329098900422994E-3</v>
      </c>
      <c r="P206" s="9"/>
      <c r="Q206" s="7">
        <v>326.17</v>
      </c>
      <c r="R206" s="8">
        <f>IFERROR(Q206/Q444, "NA")</f>
        <v>3.5697827852240526E-4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-326.17</v>
      </c>
      <c r="X206" s="8">
        <f>IFERROR(W206/W444, "NA")</f>
        <v>-4.2014647225483764E-3</v>
      </c>
      <c r="Y206" s="9"/>
      <c r="Z206" s="7">
        <v>28.12</v>
      </c>
      <c r="AA206" s="8">
        <f>IFERROR(Z206/Z444, "NA")</f>
        <v>3.6286619386526434E-5</v>
      </c>
      <c r="AB206" s="9"/>
      <c r="AC206" s="10">
        <f t="shared" si="55"/>
        <v>-298.05</v>
      </c>
      <c r="AD206" s="8">
        <f>IFERROR(AC206/AC444, "NA")</f>
        <v>-2.1480190911007308E-3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770.77</v>
      </c>
      <c r="L207" s="8">
        <f>IFERROR(K207/K444, "NA")</f>
        <v>1.825548460345261E-3</v>
      </c>
      <c r="M207" s="9"/>
      <c r="N207" s="10">
        <f t="shared" si="53"/>
        <v>770.77</v>
      </c>
      <c r="O207" s="8">
        <f>IFERROR(N207/N444, "NA")</f>
        <v>1.3781276830998258E-2</v>
      </c>
      <c r="P207" s="9"/>
      <c r="Q207" s="7">
        <v>497.99</v>
      </c>
      <c r="R207" s="8">
        <f>IFERROR(Q207/Q444, "NA")</f>
        <v>5.4502747929414898E-4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-497.99</v>
      </c>
      <c r="X207" s="8">
        <f>IFERROR(W207/W444, "NA")</f>
        <v>-6.4147144654071982E-3</v>
      </c>
      <c r="Y207" s="9"/>
      <c r="Z207" s="7">
        <v>770.77</v>
      </c>
      <c r="AA207" s="8">
        <f>IFERROR(Z207/Z444, "NA")</f>
        <v>9.9461726972094517E-4</v>
      </c>
      <c r="AB207" s="9"/>
      <c r="AC207" s="10">
        <f t="shared" si="55"/>
        <v>272.77999999999997</v>
      </c>
      <c r="AD207" s="8">
        <f>IFERROR(AC207/AC444, "NA")</f>
        <v>1.9659005122310263E-3</v>
      </c>
    </row>
    <row r="208" spans="1:30" ht="16.5" customHeight="1" x14ac:dyDescent="0.45">
      <c r="A208" s="6" t="s">
        <v>190</v>
      </c>
      <c r="B208" s="7">
        <v>1091.52</v>
      </c>
      <c r="C208" s="8">
        <f>IFERROR(B208/B444, "NA")</f>
        <v>2.2828382938092692E-3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-1091.52</v>
      </c>
      <c r="I208" s="8">
        <f>IFERROR(H208/H444, "NA")</f>
        <v>0.23122043599559097</v>
      </c>
      <c r="J208" s="9"/>
      <c r="K208" s="7">
        <v>271.96999999999997</v>
      </c>
      <c r="L208" s="8">
        <f>IFERROR(K208/K444, "NA")</f>
        <v>6.4415378745942445E-4</v>
      </c>
      <c r="M208" s="9"/>
      <c r="N208" s="10">
        <f t="shared" si="53"/>
        <v>-819.55</v>
      </c>
      <c r="O208" s="8">
        <f>IFERROR(N208/N444, "NA")</f>
        <v>-1.4653457486467588E-2</v>
      </c>
      <c r="P208" s="9"/>
      <c r="Q208" s="7">
        <v>1820.21</v>
      </c>
      <c r="R208" s="8">
        <f>IFERROR(Q208/Q444, "NA")</f>
        <v>1.9921373282314968E-3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-1820.21</v>
      </c>
      <c r="X208" s="8">
        <f>IFERROR(W208/W444, "NA")</f>
        <v>-2.3446509803568015E-2</v>
      </c>
      <c r="Y208" s="9"/>
      <c r="Z208" s="7">
        <v>385.36</v>
      </c>
      <c r="AA208" s="8">
        <f>IFERROR(Z208/Z444, "NA")</f>
        <v>4.972763743524832E-4</v>
      </c>
      <c r="AB208" s="9"/>
      <c r="AC208" s="10">
        <f t="shared" si="55"/>
        <v>-1434.85</v>
      </c>
      <c r="AD208" s="8">
        <f>IFERROR(AC208/AC444, "NA")</f>
        <v>-1.0340832722247555E-2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12323.77</v>
      </c>
      <c r="C209" s="15">
        <f>IFERROR(B209/B444, "NA")</f>
        <v>2.577430929355198E-2</v>
      </c>
      <c r="D209" s="2"/>
      <c r="E209" s="14">
        <f>IFERROR(E201+E202+E203+E204+E205+E206+E207+E208, "NA")</f>
        <v>9901.4499999999989</v>
      </c>
      <c r="F209" s="15">
        <f>IFERROR(E209/E444, "NA")</f>
        <v>2.0505742102753889E-2</v>
      </c>
      <c r="G209" s="2"/>
      <c r="H209" s="14">
        <f t="shared" si="52"/>
        <v>-2422.3200000000015</v>
      </c>
      <c r="I209" s="15">
        <f>IFERROR(H209/H444, "NA")</f>
        <v>0.51312837741941542</v>
      </c>
      <c r="J209" s="2"/>
      <c r="K209" s="14">
        <f>IFERROR(K201+K202+K203+K204+K205+K206+K207+K208, "NA")</f>
        <v>10144.94</v>
      </c>
      <c r="L209" s="15">
        <f>IFERROR(K209/K444, "NA")</f>
        <v>2.4028023401656856E-2</v>
      </c>
      <c r="M209" s="2"/>
      <c r="N209" s="14">
        <f t="shared" si="53"/>
        <v>-2178.83</v>
      </c>
      <c r="O209" s="15">
        <f>IFERROR(N209/N444, "NA")</f>
        <v>-3.895722381214102E-2</v>
      </c>
      <c r="P209" s="2"/>
      <c r="Q209" s="14">
        <f>IFERROR(Q201+Q202+Q203+Q204+Q205+Q206+Q207+Q208, "NA")</f>
        <v>23136.039999999997</v>
      </c>
      <c r="R209" s="15">
        <f>IFERROR(Q209/Q444, "NA")</f>
        <v>2.5321346938791144E-2</v>
      </c>
      <c r="S209" s="2"/>
      <c r="T209" s="14">
        <f>IFERROR(T201+T202+T203+T204+T205+T206+T207+T208, "NA")</f>
        <v>17189.670000000002</v>
      </c>
      <c r="U209" s="15">
        <f>IFERROR(T209/T444, "NA")</f>
        <v>2.0560217476018001E-2</v>
      </c>
      <c r="V209" s="2"/>
      <c r="W209" s="14">
        <f t="shared" si="54"/>
        <v>-5946.3699999999953</v>
      </c>
      <c r="X209" s="15">
        <f>IFERROR(W209/W444, "NA")</f>
        <v>-7.6596449036453282E-2</v>
      </c>
      <c r="Y209" s="2"/>
      <c r="Z209" s="14">
        <f>IFERROR(Z201+Z202+Z203+Z204+Z205+Z206+Z207+Z208, "NA")</f>
        <v>19801.66</v>
      </c>
      <c r="AA209" s="15">
        <f>IFERROR(Z209/Z444, "NA")</f>
        <v>2.5552464425370024E-2</v>
      </c>
      <c r="AB209" s="2"/>
      <c r="AC209" s="14">
        <f t="shared" si="55"/>
        <v>-3334.3799999999974</v>
      </c>
      <c r="AD209" s="15">
        <f>IFERROR(AC209/AC444, "NA")</f>
        <v>-2.403057170603741E-2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16509.13</v>
      </c>
      <c r="F213" s="8">
        <f>IFERROR(E213/E444, "NA")</f>
        <v>3.4190140042199613E-2</v>
      </c>
      <c r="G213" s="9"/>
      <c r="H213" s="10">
        <f t="shared" ref="H213:H227" si="56">IFERROR(-(B213-E213), "NA")</f>
        <v>16509.13</v>
      </c>
      <c r="I213" s="8">
        <f>IFERROR(H213/H444, "NA")</f>
        <v>-3.4971857927549572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30295.719999999998</v>
      </c>
      <c r="U213" s="8">
        <f>IFERROR(T213/T444, "NA")</f>
        <v>3.6236099459300147E-2</v>
      </c>
      <c r="V213" s="9"/>
      <c r="W213" s="10">
        <f t="shared" ref="W213:W227" si="58">IFERROR(-(Q213-T213), "NA")</f>
        <v>30295.719999999998</v>
      </c>
      <c r="X213" s="8">
        <f>IFERROR(W213/W444, "NA")</f>
        <v>0.3902455738547484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15751.039999999997</v>
      </c>
      <c r="C214" s="8">
        <f>IFERROR(B214/B444, "NA")</f>
        <v>3.2942206537050669E-2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-15751.039999999997</v>
      </c>
      <c r="I214" s="8">
        <f>IFERROR(H214/H444, "NA")</f>
        <v>3.3365969805262319</v>
      </c>
      <c r="J214" s="9"/>
      <c r="K214" s="7">
        <v>1676</v>
      </c>
      <c r="L214" s="8">
        <f>IFERROR(K214/K444, "NA")</f>
        <v>3.9695618920542542E-3</v>
      </c>
      <c r="M214" s="9"/>
      <c r="N214" s="10">
        <f t="shared" si="57"/>
        <v>-14075.039999999997</v>
      </c>
      <c r="O214" s="8">
        <f>IFERROR(N214/N444, "NA")</f>
        <v>-0.25166005766619576</v>
      </c>
      <c r="P214" s="9"/>
      <c r="Q214" s="7">
        <v>28264.780000000002</v>
      </c>
      <c r="R214" s="8">
        <f>IFERROR(Q214/Q444, "NA")</f>
        <v>3.0934520364271731E-2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-28264.780000000002</v>
      </c>
      <c r="X214" s="8">
        <f>IFERROR(W214/W444, "NA")</f>
        <v>-0.3640846063727225</v>
      </c>
      <c r="Y214" s="9"/>
      <c r="Z214" s="7">
        <v>3381</v>
      </c>
      <c r="AA214" s="8">
        <f>IFERROR(Z214/Z444, "NA")</f>
        <v>4.3629111004923858E-3</v>
      </c>
      <c r="AB214" s="9"/>
      <c r="AC214" s="10">
        <f t="shared" si="59"/>
        <v>-24883.780000000002</v>
      </c>
      <c r="AD214" s="8">
        <f>IFERROR(AC214/AC444, "NA")</f>
        <v>-0.17933512665240917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2.1</v>
      </c>
      <c r="C216" s="8">
        <f>IFERROR(B216/B444, "NA")</f>
        <v>4.3920041932346314E-6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-2.1</v>
      </c>
      <c r="I216" s="8">
        <f>IFERROR(H216/H444, "NA")</f>
        <v>4.4485022316653939E-4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-2.1</v>
      </c>
      <c r="O216" s="8">
        <f>IFERROR(N216/N444, "NA")</f>
        <v>-3.7547752695481591E-5</v>
      </c>
      <c r="P216" s="9"/>
      <c r="Q216" s="7">
        <v>2.1</v>
      </c>
      <c r="R216" s="8">
        <f>IFERROR(Q216/Q444, "NA")</f>
        <v>2.2983547993287275E-6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-2.705054394135448E-5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-1.5134507939310637E-5</v>
      </c>
    </row>
    <row r="217" spans="1:30" ht="16.5" customHeight="1" x14ac:dyDescent="0.45">
      <c r="A217" s="12" t="s">
        <v>197</v>
      </c>
      <c r="B217" s="7">
        <v>15536.36</v>
      </c>
      <c r="C217" s="8">
        <f>IFERROR(B217/B444, "NA")</f>
        <v>3.2493218222667999E-2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-15536.36</v>
      </c>
      <c r="I217" s="8">
        <f>IFERROR(H217/H444, "NA")</f>
        <v>3.2911205777122361</v>
      </c>
      <c r="J217" s="9"/>
      <c r="K217" s="7">
        <v>835.6099999999999</v>
      </c>
      <c r="L217" s="8">
        <f>IFERROR(K217/K444, "NA")</f>
        <v>1.9791202939256894E-3</v>
      </c>
      <c r="M217" s="9"/>
      <c r="N217" s="10">
        <f t="shared" si="57"/>
        <v>-14700.75</v>
      </c>
      <c r="O217" s="8">
        <f>IFERROR(N217/N444, "NA")</f>
        <v>-0.26284767878004806</v>
      </c>
      <c r="P217" s="9"/>
      <c r="Q217" s="7">
        <v>26551.870000000003</v>
      </c>
      <c r="R217" s="8">
        <f>IFERROR(Q217/Q444, "NA")</f>
        <v>2.9059818021739268E-2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-26551.870000000003</v>
      </c>
      <c r="X217" s="8">
        <f>IFERROR(W217/W444, "NA")</f>
        <v>-0.34202025055244373</v>
      </c>
      <c r="Y217" s="9"/>
      <c r="Z217" s="7">
        <v>2661.78</v>
      </c>
      <c r="AA217" s="8">
        <f>IFERROR(Z217/Z444, "NA")</f>
        <v>3.4348149982456736E-3</v>
      </c>
      <c r="AB217" s="9"/>
      <c r="AC217" s="10">
        <f t="shared" si="59"/>
        <v>-23890.090000000004</v>
      </c>
      <c r="AD217" s="8">
        <f>IFERROR(AC217/AC444, "NA")</f>
        <v>-0.17217369370278365</v>
      </c>
    </row>
    <row r="218" spans="1:30" ht="16.5" customHeight="1" x14ac:dyDescent="0.45">
      <c r="A218" s="13" t="s">
        <v>198</v>
      </c>
      <c r="B218" s="14">
        <f>IFERROR(B213+B214+B215+B216+B217, "NA")</f>
        <v>31289.5</v>
      </c>
      <c r="C218" s="15">
        <f>IFERROR(B218/B444, "NA")</f>
        <v>6.5439816763911904E-2</v>
      </c>
      <c r="D218" s="2"/>
      <c r="E218" s="14">
        <f>IFERROR(E213+E214+E215+E216+E217, "NA")</f>
        <v>16509.13</v>
      </c>
      <c r="F218" s="15">
        <f>IFERROR(E218/E444, "NA")</f>
        <v>3.4190140042199613E-2</v>
      </c>
      <c r="G218" s="2"/>
      <c r="H218" s="14">
        <f t="shared" si="56"/>
        <v>-14780.369999999999</v>
      </c>
      <c r="I218" s="15">
        <f>IFERROR(H218/H444, "NA")</f>
        <v>3.1309766157066776</v>
      </c>
      <c r="J218" s="2"/>
      <c r="K218" s="14">
        <f>IFERROR(K213+K214+K215+K216+K217, "NA")</f>
        <v>2511.6099999999997</v>
      </c>
      <c r="L218" s="15">
        <f>IFERROR(K218/K444, "NA")</f>
        <v>5.9486821859799427E-3</v>
      </c>
      <c r="M218" s="2"/>
      <c r="N218" s="14">
        <f t="shared" si="57"/>
        <v>-28777.89</v>
      </c>
      <c r="O218" s="15">
        <f>IFERROR(N218/N444, "NA")</f>
        <v>-0.5145452841989393</v>
      </c>
      <c r="P218" s="2"/>
      <c r="Q218" s="14">
        <f>IFERROR(Q213+Q214+Q215+Q216+Q217, "NA")</f>
        <v>54818.75</v>
      </c>
      <c r="R218" s="15">
        <f>IFERROR(Q218/Q444, "NA")</f>
        <v>5.9996636740810322E-2</v>
      </c>
      <c r="S218" s="2"/>
      <c r="T218" s="14">
        <f>IFERROR(T213+T214+T215+T216+T217, "NA")</f>
        <v>30295.719999999998</v>
      </c>
      <c r="U218" s="15">
        <f>IFERROR(T218/T444, "NA")</f>
        <v>3.6236099459300147E-2</v>
      </c>
      <c r="V218" s="2"/>
      <c r="W218" s="14">
        <f t="shared" si="58"/>
        <v>-24523.030000000002</v>
      </c>
      <c r="X218" s="15">
        <f>IFERROR(W218/W444, "NA")</f>
        <v>-0.31588633361435914</v>
      </c>
      <c r="Y218" s="2"/>
      <c r="Z218" s="14">
        <f>IFERROR(Z213+Z214+Z215+Z216+Z217, "NA")</f>
        <v>6042.7800000000007</v>
      </c>
      <c r="AA218" s="15">
        <f>IFERROR(Z218/Z444, "NA")</f>
        <v>7.7977260987380599E-3</v>
      </c>
      <c r="AB218" s="2"/>
      <c r="AC218" s="14">
        <f t="shared" si="59"/>
        <v>-48775.97</v>
      </c>
      <c r="AD218" s="15">
        <f>IFERROR(AC218/AC444, "NA")</f>
        <v>-0.35152395486313209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893.73</v>
      </c>
      <c r="C222" s="8">
        <f>IFERROR(B222/B444, "NA")</f>
        <v>1.8691742417236131E-3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-893.73</v>
      </c>
      <c r="I222" s="8">
        <f>IFERROR(H222/H444, "NA")</f>
        <v>0.18932189997649107</v>
      </c>
      <c r="J222" s="9"/>
      <c r="K222" s="7">
        <v>500</v>
      </c>
      <c r="L222" s="8">
        <f>IFERROR(K222/K444, "NA")</f>
        <v>1.1842368413049684E-3</v>
      </c>
      <c r="M222" s="9"/>
      <c r="N222" s="10">
        <f t="shared" si="57"/>
        <v>-393.73</v>
      </c>
      <c r="O222" s="8">
        <f>IFERROR(N222/N444, "NA")</f>
        <v>-7.039846032758079E-3</v>
      </c>
      <c r="P222" s="9"/>
      <c r="Q222" s="7">
        <v>1517.0300000000002</v>
      </c>
      <c r="R222" s="8">
        <f>IFERROR(Q222/Q444, "NA")</f>
        <v>1.6603205624884094E-3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-1517.0300000000002</v>
      </c>
      <c r="X222" s="8">
        <f>IFERROR(W222/W444, "NA")</f>
        <v>-1.9541184131120472E-2</v>
      </c>
      <c r="Y222" s="9"/>
      <c r="Z222" s="7">
        <v>800</v>
      </c>
      <c r="AA222" s="8">
        <f>IFERROR(Z222/Z444, "NA")</f>
        <v>1.032336255662203E-3</v>
      </c>
      <c r="AB222" s="9"/>
      <c r="AC222" s="10">
        <f t="shared" si="59"/>
        <v>-717.0300000000002</v>
      </c>
      <c r="AD222" s="8">
        <f>IFERROR(AC222/AC444, "NA")</f>
        <v>-5.1675696322494805E-3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482.87</v>
      </c>
      <c r="F226" s="8">
        <f>IFERROR(E226/E444, "NA")</f>
        <v>1.0000159258650775E-3</v>
      </c>
      <c r="G226" s="9"/>
      <c r="H226" s="10">
        <f t="shared" si="56"/>
        <v>482.87</v>
      </c>
      <c r="I226" s="8">
        <f>IFERROR(H226/H444, "NA")</f>
        <v>-0.10228801298115565</v>
      </c>
      <c r="J226" s="9"/>
      <c r="K226" s="7">
        <v>1334.28</v>
      </c>
      <c r="L226" s="8">
        <f>IFERROR(K226/K444, "NA")</f>
        <v>3.1602070652327866E-3</v>
      </c>
      <c r="M226" s="9"/>
      <c r="N226" s="10">
        <f t="shared" si="57"/>
        <v>1334.28</v>
      </c>
      <c r="O226" s="8">
        <f>IFERROR(N226/N444, "NA")</f>
        <v>2.3856769269774845E-2</v>
      </c>
      <c r="P226" s="9"/>
      <c r="Q226" s="7">
        <v>0</v>
      </c>
      <c r="R226" s="8">
        <f>IFERROR(Q226/Q444, "NA")</f>
        <v>0</v>
      </c>
      <c r="S226" s="9"/>
      <c r="T226" s="7">
        <v>836.06999999999994</v>
      </c>
      <c r="U226" s="8">
        <f>IFERROR(T226/T444, "NA")</f>
        <v>1.0000064588310518E-3</v>
      </c>
      <c r="V226" s="9"/>
      <c r="W226" s="10">
        <f t="shared" si="58"/>
        <v>836.06999999999994</v>
      </c>
      <c r="X226" s="8">
        <f>IFERROR(W226/W444, "NA")</f>
        <v>1.0769594415737256E-2</v>
      </c>
      <c r="Y226" s="9"/>
      <c r="Z226" s="7">
        <v>2180.88</v>
      </c>
      <c r="AA226" s="8">
        <f>IFERROR(Z226/Z444, "NA")</f>
        <v>2.8142518665607318E-3</v>
      </c>
      <c r="AB226" s="9"/>
      <c r="AC226" s="10">
        <f t="shared" si="59"/>
        <v>2180.88</v>
      </c>
      <c r="AD226" s="8">
        <f>IFERROR(AC226/AC444, "NA")</f>
        <v>1.5717402702230373E-2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32183.23</v>
      </c>
      <c r="C227" s="15">
        <f>IFERROR(B227/B444, "NA")</f>
        <v>6.7308991005635518E-2</v>
      </c>
      <c r="D227" s="2"/>
      <c r="E227" s="14">
        <f>IFERROR(E211+E213+E214+E215+E216+E217+E219+E220+E221+E222+E223+E224+E225+E226, "NA")</f>
        <v>16992</v>
      </c>
      <c r="F227" s="15">
        <f>IFERROR(E227/E444, "NA")</f>
        <v>3.5190155968064692E-2</v>
      </c>
      <c r="G227" s="2"/>
      <c r="H227" s="14">
        <f t="shared" si="56"/>
        <v>-15191.23</v>
      </c>
      <c r="I227" s="15">
        <f>IFERROR(H227/H444, "NA")</f>
        <v>3.2180105027020134</v>
      </c>
      <c r="J227" s="2"/>
      <c r="K227" s="14">
        <f>IFERROR(K211+K213+K214+K215+K216+K217+K219+K220+K221+K222+K223+K224+K225+K226, "NA")</f>
        <v>4345.8899999999994</v>
      </c>
      <c r="L227" s="15">
        <f>IFERROR(K227/K444, "NA")</f>
        <v>1.0293126092517698E-2</v>
      </c>
      <c r="M227" s="2"/>
      <c r="N227" s="14">
        <f t="shared" si="57"/>
        <v>-27837.34</v>
      </c>
      <c r="O227" s="15">
        <f>IFERROR(N227/N444, "NA")</f>
        <v>-0.49772836096192258</v>
      </c>
      <c r="P227" s="2"/>
      <c r="Q227" s="14">
        <f>IFERROR(Q211+Q213+Q214+Q215+Q216+Q217+Q219+Q220+Q221+Q222+Q223+Q224+Q225+Q226, "NA")</f>
        <v>56335.78</v>
      </c>
      <c r="R227" s="15">
        <f>IFERROR(Q227/Q444, "NA")</f>
        <v>6.1656957303298725E-2</v>
      </c>
      <c r="S227" s="2"/>
      <c r="T227" s="14">
        <f>IFERROR(T211+T213+T214+T215+T216+T217+T219+T220+T221+T222+T223+T224+T225+T226, "NA")</f>
        <v>31131.789999999997</v>
      </c>
      <c r="U227" s="15">
        <f>IFERROR(T227/T444, "NA")</f>
        <v>3.7236105918131202E-2</v>
      </c>
      <c r="V227" s="2"/>
      <c r="W227" s="14">
        <f t="shared" si="58"/>
        <v>-25203.99</v>
      </c>
      <c r="X227" s="15">
        <f>IFERROR(W227/W444, "NA")</f>
        <v>-0.3246579233297423</v>
      </c>
      <c r="Y227" s="2"/>
      <c r="Z227" s="14">
        <f>IFERROR(Z211+Z213+Z214+Z215+Z216+Z217+Z219+Z220+Z221+Z222+Z223+Z224+Z225+Z226, "NA")</f>
        <v>9023.66</v>
      </c>
      <c r="AA227" s="15">
        <f>IFERROR(Z227/Z444, "NA")</f>
        <v>1.1644314220960994E-2</v>
      </c>
      <c r="AB227" s="2"/>
      <c r="AC227" s="14">
        <f t="shared" si="59"/>
        <v>-47312.119999999995</v>
      </c>
      <c r="AD227" s="15">
        <f>IFERROR(AC227/AC444, "NA")</f>
        <v>-0.34097412179315117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8592.59</v>
      </c>
      <c r="F229" s="8">
        <f>IFERROR(E229/E444, "NA")</f>
        <v>1.7795114304945445E-2</v>
      </c>
      <c r="G229" s="9"/>
      <c r="H229" s="10">
        <f t="shared" ref="H229:H236" si="60">IFERROR(-(B229-E229), "NA")</f>
        <v>8592.59</v>
      </c>
      <c r="I229" s="8">
        <f>IFERROR(H229/H444, "NA")</f>
        <v>-1.8201978947993211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14640.43</v>
      </c>
      <c r="U229" s="8">
        <f>IFERROR(T229/T444, "NA")</f>
        <v>1.7511122944327506E-2</v>
      </c>
      <c r="V229" s="9"/>
      <c r="W229" s="10">
        <f t="shared" ref="W229:W236" si="62">IFERROR(-(Q229-T229), "NA")</f>
        <v>14640.43</v>
      </c>
      <c r="X229" s="8">
        <f>IFERROR(W229/W444, "NA")</f>
        <v>0.18858647382634491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485</v>
      </c>
      <c r="L230" s="8">
        <f>IFERROR(K230/K444, "NA")</f>
        <v>1.1487097360658193E-3</v>
      </c>
      <c r="M230" s="9"/>
      <c r="N230" s="10">
        <f t="shared" si="61"/>
        <v>485</v>
      </c>
      <c r="O230" s="8">
        <f>IFERROR(N230/N444, "NA")</f>
        <v>8.6717428844326518E-3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432.34</v>
      </c>
      <c r="AA230" s="8">
        <f>IFERROR(Z230/Z444, "NA")</f>
        <v>5.5790032096624605E-4</v>
      </c>
      <c r="AB230" s="9"/>
      <c r="AC230" s="10">
        <f t="shared" si="63"/>
        <v>432.34</v>
      </c>
      <c r="AD230" s="8">
        <f>IFERROR(AC230/AC444, "NA")</f>
        <v>3.1158348392769332E-3</v>
      </c>
    </row>
    <row r="231" spans="1:30" ht="16.5" customHeight="1" x14ac:dyDescent="0.45">
      <c r="A231" s="6" t="s">
        <v>210</v>
      </c>
      <c r="B231" s="7">
        <v>859.12</v>
      </c>
      <c r="C231" s="8">
        <f>IFERROR(B231/B444, "NA")</f>
        <v>1.7967898297579698E-3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-859.12</v>
      </c>
      <c r="I231" s="8">
        <f>IFERROR(H231/H444, "NA")</f>
        <v>0.18199034463182728</v>
      </c>
      <c r="J231" s="9"/>
      <c r="K231" s="7">
        <v>830.31</v>
      </c>
      <c r="L231" s="8">
        <f>IFERROR(K231/K444, "NA")</f>
        <v>1.9665673834078565E-3</v>
      </c>
      <c r="M231" s="9"/>
      <c r="N231" s="10">
        <f t="shared" si="61"/>
        <v>-28.810000000000059</v>
      </c>
      <c r="O231" s="8">
        <f>IFERROR(N231/N444, "NA")</f>
        <v>-5.1511940721753657E-4</v>
      </c>
      <c r="P231" s="9"/>
      <c r="Q231" s="7">
        <v>1953.39</v>
      </c>
      <c r="R231" s="8">
        <f>IFERROR(Q231/Q444, "NA")</f>
        <v>2.1378968006955917E-3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-1953.39</v>
      </c>
      <c r="X231" s="8">
        <f>IFERROR(W231/W444, "NA")</f>
        <v>-2.5162029537905917E-2</v>
      </c>
      <c r="Y231" s="9"/>
      <c r="Z231" s="7">
        <v>1006.92</v>
      </c>
      <c r="AA231" s="8">
        <f>IFERROR(Z231/Z444, "NA")</f>
        <v>1.2993500281892317E-3</v>
      </c>
      <c r="AB231" s="9"/>
      <c r="AC231" s="10">
        <f t="shared" si="63"/>
        <v>-946.47000000000014</v>
      </c>
      <c r="AD231" s="8">
        <f>IFERROR(AC231/AC444, "NA")</f>
        <v>-6.8211227282473042E-3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8.5</v>
      </c>
      <c r="L233" s="8">
        <f>IFERROR(K233/K444, "NA")</f>
        <v>2.0132026302184463E-5</v>
      </c>
      <c r="M233" s="9"/>
      <c r="N233" s="10">
        <f t="shared" si="61"/>
        <v>8.5</v>
      </c>
      <c r="O233" s="8">
        <f>IFERROR(N233/N444, "NA")</f>
        <v>1.5197899900552071E-4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2.1937145432821815E-5</v>
      </c>
      <c r="AB233" s="9"/>
      <c r="AC233" s="10">
        <f t="shared" si="63"/>
        <v>17</v>
      </c>
      <c r="AD233" s="8">
        <f>IFERROR(AC233/AC444, "NA")</f>
        <v>1.2251744522299087E-4</v>
      </c>
    </row>
    <row r="234" spans="1:30" ht="16.5" customHeight="1" x14ac:dyDescent="0.45">
      <c r="A234" s="6" t="s">
        <v>213</v>
      </c>
      <c r="B234" s="7">
        <v>7728.3799999999992</v>
      </c>
      <c r="C234" s="8">
        <f>IFERROR(B234/B444, "NA")</f>
        <v>1.616337017471936E-2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-7728.3799999999992</v>
      </c>
      <c r="I234" s="8">
        <f>IFERROR(H234/H444, "NA")</f>
        <v>1.637129317959914</v>
      </c>
      <c r="J234" s="9"/>
      <c r="K234" s="7">
        <v>6956.12</v>
      </c>
      <c r="L234" s="8">
        <f>IFERROR(K234/K444, "NA")</f>
        <v>1.6475387153076636E-2</v>
      </c>
      <c r="M234" s="9"/>
      <c r="N234" s="10">
        <f t="shared" si="61"/>
        <v>-772.25999999999931</v>
      </c>
      <c r="O234" s="8">
        <f>IFERROR(N234/N444, "NA")</f>
        <v>-1.3807917855529803E-2</v>
      </c>
      <c r="P234" s="9"/>
      <c r="Q234" s="7">
        <v>15097.5</v>
      </c>
      <c r="R234" s="8">
        <f>IFERROR(Q234/Q444, "NA")</f>
        <v>1.6523529325174029E-2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-15097.5</v>
      </c>
      <c r="X234" s="8">
        <f>IFERROR(W234/W444, "NA")</f>
        <v>-0.19447408912123773</v>
      </c>
      <c r="Y234" s="9"/>
      <c r="Z234" s="7">
        <v>12511.7</v>
      </c>
      <c r="AA234" s="8">
        <f>IFERROR(Z234/Z444, "NA")</f>
        <v>1.6145351912460984E-2</v>
      </c>
      <c r="AB234" s="9"/>
      <c r="AC234" s="10">
        <f t="shared" si="63"/>
        <v>-2585.7999999999993</v>
      </c>
      <c r="AD234" s="8">
        <f>IFERROR(AC234/AC444, "NA")</f>
        <v>-1.8635624109271158E-2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8587.5</v>
      </c>
      <c r="C236" s="15">
        <f>IFERROR(B236/B444, "NA")</f>
        <v>1.7960160004477331E-2</v>
      </c>
      <c r="D236" s="2"/>
      <c r="E236" s="14">
        <f>IFERROR(E229+E230+E231+E232+E233+E234+E235, "NA")</f>
        <v>8592.59</v>
      </c>
      <c r="F236" s="15">
        <f>IFERROR(E236/E444, "NA")</f>
        <v>1.7795114304945445E-2</v>
      </c>
      <c r="G236" s="2"/>
      <c r="H236" s="14">
        <f t="shared" si="60"/>
        <v>5.0900000000001455</v>
      </c>
      <c r="I236" s="15">
        <f>IFERROR(H236/H444, "NA")</f>
        <v>-1.078232207579881E-3</v>
      </c>
      <c r="J236" s="2"/>
      <c r="K236" s="14">
        <f>IFERROR(K229+K230+K231+K232+K233+K234+K235, "NA")</f>
        <v>8279.93</v>
      </c>
      <c r="L236" s="15">
        <f>IFERROR(K236/K444, "NA")</f>
        <v>1.9610796298852495E-2</v>
      </c>
      <c r="M236" s="2"/>
      <c r="N236" s="14">
        <f t="shared" si="61"/>
        <v>-307.56999999999971</v>
      </c>
      <c r="O236" s="15">
        <f>IFERROR(N236/N444, "NA")</f>
        <v>-5.499315379309172E-3</v>
      </c>
      <c r="P236" s="2"/>
      <c r="Q236" s="14">
        <f>IFERROR(Q229+Q230+Q231+Q232+Q233+Q234+Q235, "NA")</f>
        <v>17050.89</v>
      </c>
      <c r="R236" s="15">
        <f>IFERROR(Q236/Q444, "NA")</f>
        <v>1.8661426125869619E-2</v>
      </c>
      <c r="S236" s="2"/>
      <c r="T236" s="14">
        <f>IFERROR(T229+T230+T231+T232+T233+T234+T235, "NA")</f>
        <v>14640.43</v>
      </c>
      <c r="U236" s="15">
        <f>IFERROR(T236/T444, "NA")</f>
        <v>1.7511122944327506E-2</v>
      </c>
      <c r="V236" s="2"/>
      <c r="W236" s="14">
        <f t="shared" si="62"/>
        <v>-2410.4599999999991</v>
      </c>
      <c r="X236" s="15">
        <f>IFERROR(W236/W444, "NA")</f>
        <v>-3.104964483279871E-2</v>
      </c>
      <c r="Y236" s="2"/>
      <c r="Z236" s="14">
        <f>IFERROR(Z229+Z230+Z231+Z232+Z233+Z234+Z235, "NA")</f>
        <v>13967.960000000001</v>
      </c>
      <c r="AA236" s="15">
        <f>IFERROR(Z236/Z444, "NA")</f>
        <v>1.8024539407049282E-2</v>
      </c>
      <c r="AB236" s="2"/>
      <c r="AC236" s="14">
        <f t="shared" si="63"/>
        <v>-3082.9299999999985</v>
      </c>
      <c r="AD236" s="15">
        <f>IFERROR(AC236/AC444, "NA")</f>
        <v>-2.2218394553018533E-2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31991.989999999998</v>
      </c>
      <c r="F240" s="8">
        <f>IFERROR(E240/E444, "NA")</f>
        <v>6.6254891585967854E-2</v>
      </c>
      <c r="G240" s="9"/>
      <c r="H240" s="10">
        <f t="shared" ref="H240:H263" si="64">IFERROR(-(B240-E240), "NA")</f>
        <v>31991.989999999998</v>
      </c>
      <c r="I240" s="8">
        <f>IFERROR(H240/H444, "NA")</f>
        <v>-6.7769732814484263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54834.259999999995</v>
      </c>
      <c r="U240" s="8">
        <f>IFERROR(T240/T444, "NA")</f>
        <v>6.558615207485162E-2</v>
      </c>
      <c r="V240" s="9"/>
      <c r="W240" s="10">
        <f t="shared" ref="W240:W263" si="66">IFERROR(-(Q240-T240), "NA")</f>
        <v>54834.259999999995</v>
      </c>
      <c r="X240" s="8">
        <f>IFERROR(W240/W444, "NA")</f>
        <v>0.70633169505793147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380.82</v>
      </c>
      <c r="C241" s="8">
        <f>IFERROR(B241/B444, "NA")</f>
        <v>7.9645858898457736E-4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-380.82</v>
      </c>
      <c r="I241" s="8">
        <f>IFERROR(H241/H444, "NA")</f>
        <v>8.0670410469657866E-2</v>
      </c>
      <c r="J241" s="9"/>
      <c r="K241" s="7">
        <v>147.41</v>
      </c>
      <c r="L241" s="8">
        <f>IFERROR(K241/K444, "NA")</f>
        <v>3.491367055535308E-4</v>
      </c>
      <c r="M241" s="9"/>
      <c r="N241" s="10">
        <f t="shared" si="65"/>
        <v>-233.41</v>
      </c>
      <c r="O241" s="8">
        <f>IFERROR(N241/N444, "NA")</f>
        <v>-4.1733433126915987E-3</v>
      </c>
      <c r="P241" s="9"/>
      <c r="Q241" s="7">
        <v>459.53</v>
      </c>
      <c r="R241" s="8">
        <f>IFERROR(Q241/Q444, "NA")</f>
        <v>5.0293475282644291E-4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-459.53</v>
      </c>
      <c r="X241" s="8">
        <f>IFERROR(W241/W444, "NA")</f>
        <v>-5.9193030749383913E-3</v>
      </c>
      <c r="Y241" s="9"/>
      <c r="Z241" s="7">
        <v>194.82</v>
      </c>
      <c r="AA241" s="8">
        <f>IFERROR(Z241/Z444, "NA")</f>
        <v>2.5139968666013795E-4</v>
      </c>
      <c r="AB241" s="9"/>
      <c r="AC241" s="10">
        <f t="shared" si="67"/>
        <v>-264.70999999999998</v>
      </c>
      <c r="AD241" s="8">
        <f>IFERROR(AC241/AC444, "NA")</f>
        <v>-1.9077407602928181E-3</v>
      </c>
    </row>
    <row r="242" spans="1:30" ht="16.5" customHeight="1" x14ac:dyDescent="0.45">
      <c r="A242" s="12" t="s">
        <v>219</v>
      </c>
      <c r="B242" s="7">
        <v>6595.0999999999995</v>
      </c>
      <c r="C242" s="8">
        <f>IFERROR(B242/B444, "NA")</f>
        <v>1.379319374038177E-2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-6595.0999999999995</v>
      </c>
      <c r="I242" s="8">
        <f>IFERROR(H242/H444, "NA")</f>
        <v>1.3970627175264969</v>
      </c>
      <c r="J242" s="9"/>
      <c r="K242" s="7">
        <v>4593.8</v>
      </c>
      <c r="L242" s="8">
        <f>IFERROR(K242/K444, "NA")</f>
        <v>1.0880294403173528E-2</v>
      </c>
      <c r="M242" s="9"/>
      <c r="N242" s="10">
        <f t="shared" si="65"/>
        <v>-2001.2999999999993</v>
      </c>
      <c r="O242" s="8">
        <f>IFERROR(N242/N444, "NA")</f>
        <v>-3.5783008318793941E-2</v>
      </c>
      <c r="P242" s="9"/>
      <c r="Q242" s="7">
        <v>12351.2</v>
      </c>
      <c r="R242" s="8">
        <f>IFERROR(Q242/Q444, "NA")</f>
        <v>1.3517828474985227E-2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-12351.2</v>
      </c>
      <c r="X242" s="8">
        <f>IFERROR(W242/W444, "NA")</f>
        <v>-0.15909841825164639</v>
      </c>
      <c r="Y242" s="9"/>
      <c r="Z242" s="7">
        <v>8593.56</v>
      </c>
      <c r="AA242" s="8">
        <f>IFERROR(Z242/Z444, "NA")</f>
        <v>1.10893044415106E-2</v>
      </c>
      <c r="AB242" s="9"/>
      <c r="AC242" s="10">
        <f t="shared" si="67"/>
        <v>-3757.6400000000012</v>
      </c>
      <c r="AD242" s="8">
        <f>IFERROR(AC242/AC444, "NA")</f>
        <v>-2.7080967815748209E-2</v>
      </c>
    </row>
    <row r="243" spans="1:30" ht="16.5" customHeight="1" x14ac:dyDescent="0.45">
      <c r="A243" s="12" t="s">
        <v>220</v>
      </c>
      <c r="B243" s="7">
        <v>13082.82</v>
      </c>
      <c r="C243" s="8">
        <f>IFERROR(B243/B444, "NA")</f>
        <v>2.7361809666349476E-2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-13082.82</v>
      </c>
      <c r="I243" s="8">
        <f>IFERROR(H243/H444, "NA")</f>
        <v>2.7713787603084117</v>
      </c>
      <c r="J243" s="9"/>
      <c r="K243" s="7">
        <v>12820.67</v>
      </c>
      <c r="L243" s="8">
        <f>IFERROR(K243/K444, "NA")</f>
        <v>3.0365419488426741E-2</v>
      </c>
      <c r="M243" s="9"/>
      <c r="N243" s="10">
        <f t="shared" si="65"/>
        <v>-262.14999999999964</v>
      </c>
      <c r="O243" s="8">
        <f>IFERROR(N243/N444, "NA")</f>
        <v>-4.6872111281526119E-3</v>
      </c>
      <c r="P243" s="9"/>
      <c r="Q243" s="7">
        <v>27408.34</v>
      </c>
      <c r="R243" s="8">
        <f>IFERROR(Q243/Q444, "NA")</f>
        <v>2.9997185609825491E-2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-27408.34</v>
      </c>
      <c r="X243" s="8">
        <f>IFERROR(W243/W444, "NA")</f>
        <v>-0.35305262168075408</v>
      </c>
      <c r="Y243" s="9"/>
      <c r="Z243" s="7">
        <v>22695.339999999997</v>
      </c>
      <c r="AA243" s="8">
        <f>IFERROR(Z243/Z444, "NA")</f>
        <v>2.9286527895725775E-2</v>
      </c>
      <c r="AB243" s="9"/>
      <c r="AC243" s="10">
        <f t="shared" si="67"/>
        <v>-4713.0000000000036</v>
      </c>
      <c r="AD243" s="8">
        <f>IFERROR(AC243/AC444, "NA")</f>
        <v>-3.3966159960938609E-2</v>
      </c>
    </row>
    <row r="244" spans="1:30" ht="16.5" customHeight="1" x14ac:dyDescent="0.45">
      <c r="A244" s="12" t="s">
        <v>221</v>
      </c>
      <c r="B244" s="7">
        <v>340.62</v>
      </c>
      <c r="C244" s="8">
        <f>IFERROR(B244/B444, "NA")</f>
        <v>7.1238308014265729E-4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-340.62</v>
      </c>
      <c r="I244" s="8">
        <f>IFERROR(H244/H444, "NA")</f>
        <v>7.2154706197612689E-2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-340.62</v>
      </c>
      <c r="O244" s="8">
        <f>IFERROR(N244/N444, "NA")</f>
        <v>-6.0902454872071134E-3</v>
      </c>
      <c r="P244" s="9"/>
      <c r="Q244" s="7">
        <v>737.25</v>
      </c>
      <c r="R244" s="8">
        <f>IFERROR(Q244/Q444, "NA")</f>
        <v>8.0688670276433537E-4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-737.25</v>
      </c>
      <c r="X244" s="8">
        <f>IFERROR(W244/W444, "NA")</f>
        <v>-9.4966731051255183E-3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-737.25</v>
      </c>
      <c r="AD244" s="8">
        <f>IFERROR(AC244/AC444, "NA")</f>
        <v>-5.3132933229794125E-3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1897.6000000000001</v>
      </c>
      <c r="C246" s="8">
        <f>IFERROR(B246/B444, "NA")</f>
        <v>3.9686986462295418E-3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-1897.6000000000001</v>
      </c>
      <c r="I246" s="8">
        <f>IFERROR(H246/H444, "NA")</f>
        <v>0.40197513499086912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-1897.6000000000001</v>
      </c>
      <c r="O246" s="8">
        <f>IFERROR(N246/N444, "NA")</f>
        <v>-3.3928864530926604E-2</v>
      </c>
      <c r="P246" s="9"/>
      <c r="Q246" s="7">
        <v>3107.48</v>
      </c>
      <c r="R246" s="8">
        <f>IFERROR(Q246/Q444, "NA")</f>
        <v>3.400995986580016E-3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-3107.48</v>
      </c>
      <c r="X246" s="8">
        <f>IFERROR(W246/W444, "NA")</f>
        <v>-4.0028106803276294E-2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-3107.48</v>
      </c>
      <c r="AD246" s="8">
        <f>IFERROR(AC246/AC444, "NA")</f>
        <v>-2.2395324157737626E-2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72.11</v>
      </c>
      <c r="L247" s="8">
        <f>IFERROR(K247/K444, "NA")</f>
        <v>1.7079063725300255E-4</v>
      </c>
      <c r="M247" s="9"/>
      <c r="N247" s="10">
        <f t="shared" si="65"/>
        <v>72.11</v>
      </c>
      <c r="O247" s="8">
        <f>IFERROR(N247/N444, "NA")</f>
        <v>1.289318308033894E-3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129.25</v>
      </c>
      <c r="AA247" s="8">
        <f>IFERROR(Z247/Z444, "NA")</f>
        <v>1.6678682630542468E-4</v>
      </c>
      <c r="AB247" s="9"/>
      <c r="AC247" s="10">
        <f t="shared" si="67"/>
        <v>129.25</v>
      </c>
      <c r="AD247" s="8">
        <f>IFERROR(AC247/AC444, "NA")</f>
        <v>9.3149292912185694E-4</v>
      </c>
    </row>
    <row r="248" spans="1:30" ht="16.5" customHeight="1" x14ac:dyDescent="0.45">
      <c r="A248" s="12" t="s">
        <v>225</v>
      </c>
      <c r="B248" s="7">
        <v>1046.82</v>
      </c>
      <c r="C248" s="8">
        <f>IFERROR(B248/B444, "NA")</f>
        <v>2.1893513474104177E-3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-1046.82</v>
      </c>
      <c r="I248" s="8">
        <f>IFERROR(H248/H444, "NA")</f>
        <v>0.22175148124533178</v>
      </c>
      <c r="J248" s="9"/>
      <c r="K248" s="7">
        <v>777.01</v>
      </c>
      <c r="L248" s="8">
        <f>IFERROR(K248/K444, "NA")</f>
        <v>1.840327736124747E-3</v>
      </c>
      <c r="M248" s="9"/>
      <c r="N248" s="10">
        <f t="shared" si="65"/>
        <v>-269.80999999999995</v>
      </c>
      <c r="O248" s="8">
        <f>IFERROR(N248/N444, "NA")</f>
        <v>-4.824171026079945E-3</v>
      </c>
      <c r="P248" s="9"/>
      <c r="Q248" s="7">
        <v>2178.4899999999998</v>
      </c>
      <c r="R248" s="8">
        <f>IFERROR(Q248/Q444, "NA")</f>
        <v>2.3842585460903043E-3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-2178.4899999999998</v>
      </c>
      <c r="X248" s="8">
        <f>IFERROR(W248/W444, "NA")</f>
        <v>-2.8061590224191101E-2</v>
      </c>
      <c r="Y248" s="9"/>
      <c r="Z248" s="7">
        <v>777.01</v>
      </c>
      <c r="AA248" s="8">
        <f>IFERROR(Z248/Z444, "NA")</f>
        <v>1.0026694925151104E-3</v>
      </c>
      <c r="AB248" s="9"/>
      <c r="AC248" s="10">
        <f t="shared" si="67"/>
        <v>-1401.4799999999998</v>
      </c>
      <c r="AD248" s="8">
        <f>IFERROR(AC248/AC444, "NA")</f>
        <v>-1.0100338184183365E-2</v>
      </c>
    </row>
    <row r="249" spans="1:30" ht="16.5" customHeight="1" x14ac:dyDescent="0.45">
      <c r="A249" s="12" t="s">
        <v>226</v>
      </c>
      <c r="B249" s="7">
        <v>10049.690000000002</v>
      </c>
      <c r="C249" s="8">
        <f>IFERROR(B249/B444, "NA")</f>
        <v>2.1018228867003882E-2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-10049.690000000002</v>
      </c>
      <c r="I249" s="8">
        <f>IFERROR(H249/H444, "NA")</f>
        <v>2.1288603996450193</v>
      </c>
      <c r="J249" s="9"/>
      <c r="K249" s="7">
        <v>6061.74</v>
      </c>
      <c r="L249" s="8">
        <f>IFERROR(K249/K444, "NA")</f>
        <v>1.4357071660823959E-2</v>
      </c>
      <c r="M249" s="9"/>
      <c r="N249" s="10">
        <f t="shared" si="65"/>
        <v>-3987.9500000000025</v>
      </c>
      <c r="O249" s="8">
        <f>IFERROR(N249/N444, "NA")</f>
        <v>-7.1304076362831384E-2</v>
      </c>
      <c r="P249" s="9"/>
      <c r="Q249" s="7">
        <v>17408.34</v>
      </c>
      <c r="R249" s="8">
        <f>IFERROR(Q249/Q444, "NA")</f>
        <v>1.9052638946355362E-2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-17408.34</v>
      </c>
      <c r="X249" s="8">
        <f>IFERROR(W249/W444, "NA")</f>
        <v>-0.2242405076743042</v>
      </c>
      <c r="Y249" s="9"/>
      <c r="Z249" s="7">
        <v>11682.869999999999</v>
      </c>
      <c r="AA249" s="8">
        <f>IFERROR(Z249/Z444, "NA")</f>
        <v>1.5075812838985351E-2</v>
      </c>
      <c r="AB249" s="9"/>
      <c r="AC249" s="10">
        <f t="shared" si="67"/>
        <v>-5725.4700000000012</v>
      </c>
      <c r="AD249" s="8">
        <f>IFERROR(AC249/AC444, "NA")</f>
        <v>-4.1262938652992805E-2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0.6</v>
      </c>
      <c r="L250" s="8">
        <f>IFERROR(K250/K444, "NA")</f>
        <v>1.421084209565962E-6</v>
      </c>
      <c r="M250" s="9"/>
      <c r="N250" s="10">
        <f t="shared" si="65"/>
        <v>0.6</v>
      </c>
      <c r="O250" s="8">
        <f>IFERROR(N250/N444, "NA")</f>
        <v>1.0727929341566169E-5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7.7425219174665218E-7</v>
      </c>
      <c r="AB250" s="9"/>
      <c r="AC250" s="10">
        <f t="shared" si="67"/>
        <v>0.6</v>
      </c>
      <c r="AD250" s="8">
        <f>IFERROR(AC250/AC444, "NA")</f>
        <v>4.3241451255173244E-6</v>
      </c>
    </row>
    <row r="251" spans="1:30" ht="16.5" customHeight="1" x14ac:dyDescent="0.45">
      <c r="A251" s="12" t="s">
        <v>228</v>
      </c>
      <c r="B251" s="7">
        <v>58.31</v>
      </c>
      <c r="C251" s="8">
        <f>IFERROR(B251/B444, "NA")</f>
        <v>1.2195131643214828E-4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-58.31</v>
      </c>
      <c r="I251" s="8">
        <f>IFERROR(H251/H444, "NA")</f>
        <v>1.2352007863257576E-2</v>
      </c>
      <c r="J251" s="9"/>
      <c r="K251" s="7">
        <v>69.53</v>
      </c>
      <c r="L251" s="8">
        <f>IFERROR(K251/K444, "NA")</f>
        <v>1.6467997515186891E-4</v>
      </c>
      <c r="M251" s="9"/>
      <c r="N251" s="10">
        <f t="shared" si="65"/>
        <v>11.219999999999999</v>
      </c>
      <c r="O251" s="8">
        <f>IFERROR(N251/N444, "NA")</f>
        <v>2.0061227868728733E-4</v>
      </c>
      <c r="P251" s="9"/>
      <c r="Q251" s="7">
        <v>95.28</v>
      </c>
      <c r="R251" s="8">
        <f>IFERROR(Q251/Q444, "NA")</f>
        <v>1.0427964060954341E-4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-95.28</v>
      </c>
      <c r="X251" s="8">
        <f>IFERROR(W251/W444, "NA")</f>
        <v>-1.2273218222534545E-3</v>
      </c>
      <c r="Y251" s="9"/>
      <c r="Z251" s="7">
        <v>69.53</v>
      </c>
      <c r="AA251" s="8">
        <f>IFERROR(Z251/Z444, "NA")</f>
        <v>8.9722924820241214E-5</v>
      </c>
      <c r="AB251" s="9"/>
      <c r="AC251" s="10">
        <f t="shared" si="67"/>
        <v>-25.75</v>
      </c>
      <c r="AD251" s="8">
        <f>IFERROR(AC251/AC444, "NA")</f>
        <v>-1.8557789497011852E-4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28.04</v>
      </c>
      <c r="L252" s="8">
        <f>IFERROR(K252/K444, "NA")</f>
        <v>6.6412002060382627E-5</v>
      </c>
      <c r="M252" s="9"/>
      <c r="N252" s="10">
        <f t="shared" si="65"/>
        <v>28.04</v>
      </c>
      <c r="O252" s="8">
        <f>IFERROR(N252/N444, "NA")</f>
        <v>5.0135189789585893E-4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28.04</v>
      </c>
      <c r="AA252" s="8">
        <f>IFERROR(Z252/Z444, "NA")</f>
        <v>3.6183385760960213E-5</v>
      </c>
      <c r="AB252" s="9"/>
      <c r="AC252" s="10">
        <f t="shared" si="67"/>
        <v>28.04</v>
      </c>
      <c r="AD252" s="8">
        <f>IFERROR(AC252/AC444, "NA")</f>
        <v>2.0208171553250963E-4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705.57</v>
      </c>
      <c r="L253" s="8">
        <f>IFERROR(K253/K444, "NA")</f>
        <v>1.6711239762390933E-3</v>
      </c>
      <c r="M253" s="9"/>
      <c r="N253" s="10">
        <f t="shared" si="65"/>
        <v>705.57</v>
      </c>
      <c r="O253" s="8">
        <f>IFERROR(N253/N444, "NA")</f>
        <v>1.2615508509214736E-2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944.58</v>
      </c>
      <c r="AA253" s="8">
        <f>IFERROR(Z253/Z444, "NA")</f>
        <v>1.2189052254667546E-3</v>
      </c>
      <c r="AB253" s="9"/>
      <c r="AC253" s="10">
        <f t="shared" si="67"/>
        <v>944.58</v>
      </c>
      <c r="AD253" s="8">
        <f>IFERROR(AC253/AC444, "NA")</f>
        <v>6.8075016711019246E-3</v>
      </c>
    </row>
    <row r="254" spans="1:30" ht="16.5" customHeight="1" x14ac:dyDescent="0.45">
      <c r="A254" s="12" t="s">
        <v>231</v>
      </c>
      <c r="B254" s="7">
        <v>2246.98</v>
      </c>
      <c r="C254" s="8">
        <f>IFERROR(B254/B444, "NA")</f>
        <v>4.699402658149692E-3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-2246.98</v>
      </c>
      <c r="I254" s="8">
        <f>IFERROR(H254/H444, "NA")</f>
        <v>0.47598550211940505</v>
      </c>
      <c r="J254" s="9"/>
      <c r="K254" s="7">
        <v>2519.35</v>
      </c>
      <c r="L254" s="8">
        <f>IFERROR(K254/K444, "NA")</f>
        <v>5.9670141722833444E-3</v>
      </c>
      <c r="M254" s="9"/>
      <c r="N254" s="10">
        <f t="shared" si="65"/>
        <v>272.36999999999989</v>
      </c>
      <c r="O254" s="8">
        <f>IFERROR(N254/N444, "NA")</f>
        <v>4.8699435246039599E-3</v>
      </c>
      <c r="P254" s="9"/>
      <c r="Q254" s="7">
        <v>4945.25</v>
      </c>
      <c r="R254" s="8">
        <f>IFERROR(Q254/Q444, "NA")</f>
        <v>5.4123519387525663E-3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-4945.25</v>
      </c>
      <c r="X254" s="8">
        <f>IFERROR(W254/W444, "NA")</f>
        <v>-6.3700810679039627E-2</v>
      </c>
      <c r="Y254" s="9"/>
      <c r="Z254" s="7">
        <v>2519.35</v>
      </c>
      <c r="AA254" s="8">
        <f>IFERROR(Z254/Z444, "NA")</f>
        <v>3.2510204321282137E-3</v>
      </c>
      <c r="AB254" s="9"/>
      <c r="AC254" s="10">
        <f t="shared" si="67"/>
        <v>-2425.9</v>
      </c>
      <c r="AD254" s="8">
        <f>IFERROR(AC254/AC444, "NA")</f>
        <v>-1.7483239433320797E-2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35698.76</v>
      </c>
      <c r="C262" s="15">
        <f>IFERROR(B262/B444, "NA")</f>
        <v>7.466147791108417E-2</v>
      </c>
      <c r="D262" s="2"/>
      <c r="E262" s="14">
        <f>IFERROR(E240+E241+E242+E243+E244+E245+E246+E247+E248+E249+E250+E251+E252+E253+E254+E255+E256+E257+E258+E259+E260+E261, "NA")</f>
        <v>31991.989999999998</v>
      </c>
      <c r="F262" s="15">
        <f>IFERROR(E262/E444, "NA")</f>
        <v>6.6254891585967854E-2</v>
      </c>
      <c r="G262" s="2"/>
      <c r="H262" s="14">
        <f t="shared" si="64"/>
        <v>-3706.7700000000041</v>
      </c>
      <c r="I262" s="15">
        <f>IFERROR(H262/H444, "NA")</f>
        <v>0.78521783891763575</v>
      </c>
      <c r="J262" s="2"/>
      <c r="K262" s="14">
        <f>IFERROR(K240+K241+K242+K243+K244+K245+K246+K247+K248+K249+K250+K251+K252+K253+K254+K255+K256+K257+K258+K259+K260+K261, "NA")</f>
        <v>27795.829999999994</v>
      </c>
      <c r="L262" s="15">
        <f>IFERROR(K262/K444, "NA")</f>
        <v>6.5833691841299752E-2</v>
      </c>
      <c r="M262" s="2"/>
      <c r="N262" s="14">
        <f t="shared" si="65"/>
        <v>-7902.9300000000076</v>
      </c>
      <c r="O262" s="15">
        <f>IFERROR(N262/N444, "NA")</f>
        <v>-0.14130345771890601</v>
      </c>
      <c r="P262" s="2"/>
      <c r="Q262" s="14">
        <f>IFERROR(Q240+Q241+Q242+Q243+Q244+Q245+Q246+Q247+Q248+Q249+Q250+Q251+Q252+Q253+Q254+Q255+Q256+Q257+Q258+Q259+Q260+Q261, "NA")</f>
        <v>68691.16</v>
      </c>
      <c r="R262" s="15">
        <f>IFERROR(Q262/Q444, "NA")</f>
        <v>7.5179360598789297E-2</v>
      </c>
      <c r="S262" s="2"/>
      <c r="T262" s="14">
        <f>IFERROR(T240+T241+T242+T243+T244+T245+T246+T247+T248+T249+T250+T251+T252+T253+T254+T255+T256+T257+T258+T259+T260+T261, "NA")</f>
        <v>54834.259999999995</v>
      </c>
      <c r="U262" s="15">
        <f>IFERROR(T262/T444, "NA")</f>
        <v>6.558615207485162E-2</v>
      </c>
      <c r="V262" s="2"/>
      <c r="W262" s="14">
        <f t="shared" si="66"/>
        <v>-13856.900000000009</v>
      </c>
      <c r="X262" s="15">
        <f>IFERROR(W262/W444, "NA")</f>
        <v>-0.17849365825759766</v>
      </c>
      <c r="Y262" s="2"/>
      <c r="Z262" s="14">
        <f>IFERROR(Z240+Z241+Z242+Z243+Z244+Z245+Z246+Z247+Z248+Z249+Z250+Z251+Z252+Z253+Z254+Z255+Z256+Z257+Z258+Z259+Z260+Z261, "NA")</f>
        <v>47634.94999999999</v>
      </c>
      <c r="AA262" s="15">
        <f>IFERROR(Z262/Z444, "NA")</f>
        <v>6.146910740207031E-2</v>
      </c>
      <c r="AB262" s="2"/>
      <c r="AC262" s="14">
        <f t="shared" si="67"/>
        <v>-21056.210000000014</v>
      </c>
      <c r="AD262" s="15">
        <f>IFERROR(AC262/AC444, "NA")</f>
        <v>-0.151750179722282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35698.76</v>
      </c>
      <c r="C263" s="15">
        <f>IFERROR(B263/B444, "NA")</f>
        <v>7.466147791108417E-2</v>
      </c>
      <c r="D263" s="2"/>
      <c r="E263" s="14">
        <f>IFERROR(E238+E240+E241+E242+E243+E244+E245+E246+E247+E248+E249+E250+E251+E252+E253+E254+E255+E256+E257+E258+E259+E260+E261, "NA")</f>
        <v>31991.989999999998</v>
      </c>
      <c r="F263" s="15">
        <f>IFERROR(E263/E444, "NA")</f>
        <v>6.6254891585967854E-2</v>
      </c>
      <c r="G263" s="2"/>
      <c r="H263" s="14">
        <f t="shared" si="64"/>
        <v>-3706.7700000000041</v>
      </c>
      <c r="I263" s="15">
        <f>IFERROR(H263/H444, "NA")</f>
        <v>0.78521783891763575</v>
      </c>
      <c r="J263" s="2"/>
      <c r="K263" s="14">
        <f>IFERROR(K238+K240+K241+K242+K243+K244+K245+K246+K247+K248+K249+K250+K251+K252+K253+K254+K255+K256+K257+K258+K259+K260+K261, "NA")</f>
        <v>27795.829999999994</v>
      </c>
      <c r="L263" s="15">
        <f>IFERROR(K263/K444, "NA")</f>
        <v>6.5833691841299752E-2</v>
      </c>
      <c r="M263" s="2"/>
      <c r="N263" s="14">
        <f t="shared" si="65"/>
        <v>-7902.9300000000076</v>
      </c>
      <c r="O263" s="15">
        <f>IFERROR(N263/N444, "NA")</f>
        <v>-0.14130345771890601</v>
      </c>
      <c r="P263" s="2"/>
      <c r="Q263" s="14">
        <f>IFERROR(Q238+Q240+Q241+Q242+Q243+Q244+Q245+Q246+Q247+Q248+Q249+Q250+Q251+Q252+Q253+Q254+Q255+Q256+Q257+Q258+Q259+Q260+Q261, "NA")</f>
        <v>68691.16</v>
      </c>
      <c r="R263" s="15">
        <f>IFERROR(Q263/Q444, "NA")</f>
        <v>7.5179360598789297E-2</v>
      </c>
      <c r="S263" s="2"/>
      <c r="T263" s="14">
        <f>IFERROR(T238+T240+T241+T242+T243+T244+T245+T246+T247+T248+T249+T250+T251+T252+T253+T254+T255+T256+T257+T258+T259+T260+T261, "NA")</f>
        <v>54834.259999999995</v>
      </c>
      <c r="U263" s="15">
        <f>IFERROR(T263/T444, "NA")</f>
        <v>6.558615207485162E-2</v>
      </c>
      <c r="V263" s="2"/>
      <c r="W263" s="14">
        <f t="shared" si="66"/>
        <v>-13856.900000000009</v>
      </c>
      <c r="X263" s="15">
        <f>IFERROR(W263/W444, "NA")</f>
        <v>-0.17849365825759766</v>
      </c>
      <c r="Y263" s="2"/>
      <c r="Z263" s="14">
        <f>IFERROR(Z238+Z240+Z241+Z242+Z243+Z244+Z245+Z246+Z247+Z248+Z249+Z250+Z251+Z252+Z253+Z254+Z255+Z256+Z257+Z258+Z259+Z260+Z261, "NA")</f>
        <v>47634.94999999999</v>
      </c>
      <c r="AA263" s="15">
        <f>IFERROR(Z263/Z444, "NA")</f>
        <v>6.146910740207031E-2</v>
      </c>
      <c r="AB263" s="2"/>
      <c r="AC263" s="14">
        <f t="shared" si="67"/>
        <v>-21056.210000000014</v>
      </c>
      <c r="AD263" s="15">
        <f>IFERROR(AC263/AC444, "NA")</f>
        <v>-0.151750179722282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11282.939999999999</v>
      </c>
      <c r="C265" s="8">
        <f>IFERROR(B265/B444, "NA")</f>
        <v>2.3597485615245117E-2</v>
      </c>
      <c r="D265" s="9"/>
      <c r="E265" s="7">
        <v>13405</v>
      </c>
      <c r="F265" s="8">
        <f>IFERROR(E265/E444, "NA")</f>
        <v>2.776153723822429E-2</v>
      </c>
      <c r="G265" s="9"/>
      <c r="H265" s="10">
        <f>IFERROR(-(B265-E265), "NA")</f>
        <v>2122.0600000000013</v>
      </c>
      <c r="I265" s="8">
        <f>IFERROR(H265/H444, "NA")</f>
        <v>-0.44952326884418436</v>
      </c>
      <c r="J265" s="9"/>
      <c r="K265" s="7">
        <v>11398.32</v>
      </c>
      <c r="L265" s="8">
        <f>IFERROR(K265/K444, "NA")</f>
        <v>2.6996620945966495E-2</v>
      </c>
      <c r="M265" s="9"/>
      <c r="N265" s="10">
        <f>IFERROR(-(B265-K265), "NA")</f>
        <v>115.38000000000102</v>
      </c>
      <c r="O265" s="8">
        <f>IFERROR(N265/N444, "NA")</f>
        <v>2.0629808123831922E-3</v>
      </c>
      <c r="P265" s="9"/>
      <c r="Q265" s="7">
        <v>21860.959999999999</v>
      </c>
      <c r="R265" s="8">
        <f>IFERROR(Q265/Q444, "NA")</f>
        <v>2.3925829682825396E-2</v>
      </c>
      <c r="S265" s="9"/>
      <c r="T265" s="7">
        <v>23245.71</v>
      </c>
      <c r="U265" s="8">
        <f>IFERROR(T265/T444, "NA")</f>
        <v>2.7803724736102924E-2</v>
      </c>
      <c r="V265" s="9"/>
      <c r="W265" s="10">
        <f>IFERROR(-(Q265-T265), "NA")</f>
        <v>1384.75</v>
      </c>
      <c r="X265" s="8">
        <f>IFERROR(W265/W444, "NA")</f>
        <v>1.7837257487043148E-2</v>
      </c>
      <c r="Y265" s="9"/>
      <c r="Z265" s="7">
        <v>20602.64</v>
      </c>
      <c r="AA265" s="8">
        <f>IFERROR(Z265/Z444, "NA")</f>
        <v>2.658606529294541E-2</v>
      </c>
      <c r="AB265" s="9"/>
      <c r="AC265" s="10">
        <f>IFERROR(-(Q265-Z265), "NA")</f>
        <v>-1258.3199999999997</v>
      </c>
      <c r="AD265" s="8">
        <f>IFERROR(AC265/AC444, "NA")</f>
        <v>-9.0685971572349311E-3</v>
      </c>
    </row>
    <row r="266" spans="1:30" ht="16.5" customHeight="1" x14ac:dyDescent="0.45">
      <c r="A266" s="6" t="s">
        <v>242</v>
      </c>
      <c r="B266" s="7">
        <v>44.62</v>
      </c>
      <c r="C266" s="8">
        <f>IFERROR(B266/B444, "NA")</f>
        <v>9.3319631953394879E-5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-44.62</v>
      </c>
      <c r="I266" s="8">
        <f>IFERROR(H266/H444, "NA")</f>
        <v>9.4520080750909452E-3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-44.62</v>
      </c>
      <c r="O266" s="8">
        <f>IFERROR(N266/N444, "NA")</f>
        <v>-7.97800345367804E-4</v>
      </c>
      <c r="P266" s="9"/>
      <c r="Q266" s="7">
        <v>44.62</v>
      </c>
      <c r="R266" s="8">
        <f>IFERROR(Q266/Q444, "NA")</f>
        <v>4.8834567212403721E-5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-44.62</v>
      </c>
      <c r="X266" s="8">
        <f>IFERROR(W266/W444, "NA")</f>
        <v>-5.7475965269677943E-4</v>
      </c>
      <c r="Y266" s="9"/>
      <c r="Z266" s="7">
        <v>42.57</v>
      </c>
      <c r="AA266" s="8">
        <f>IFERROR(Z266/Z444, "NA")</f>
        <v>5.493319300442498E-5</v>
      </c>
      <c r="AB266" s="9"/>
      <c r="AC266" s="10">
        <f>IFERROR(-(Q266-Z266), "NA")</f>
        <v>-2.0499999999999972</v>
      </c>
      <c r="AD266" s="8">
        <f>IFERROR(AC266/AC444, "NA")</f>
        <v>-1.4774162512184172E-5</v>
      </c>
    </row>
    <row r="267" spans="1:30" ht="16.5" customHeight="1" x14ac:dyDescent="0.45">
      <c r="A267" s="19" t="s">
        <v>243</v>
      </c>
      <c r="B267" s="14">
        <f>IFERROR(B265+B266, "NA")</f>
        <v>11327.56</v>
      </c>
      <c r="C267" s="15">
        <f>IFERROR(B267/B444, "NA")</f>
        <v>2.3690805247198514E-2</v>
      </c>
      <c r="D267" s="2"/>
      <c r="E267" s="14">
        <f>IFERROR(E265+E266, "NA")</f>
        <v>13405</v>
      </c>
      <c r="F267" s="15">
        <f>IFERROR(E267/E444, "NA")</f>
        <v>2.776153723822429E-2</v>
      </c>
      <c r="G267" s="2"/>
      <c r="H267" s="14">
        <f>IFERROR(-(B267-E267), "NA")</f>
        <v>2077.4400000000005</v>
      </c>
      <c r="I267" s="15">
        <f>IFERROR(H267/H444, "NA")</f>
        <v>-0.44007126076909325</v>
      </c>
      <c r="J267" s="2"/>
      <c r="K267" s="14">
        <f>IFERROR(K265+K266, "NA")</f>
        <v>11398.32</v>
      </c>
      <c r="L267" s="15">
        <f>IFERROR(K267/K444, "NA")</f>
        <v>2.6996620945966495E-2</v>
      </c>
      <c r="M267" s="2"/>
      <c r="N267" s="14">
        <f>IFERROR(-(B267-K267), "NA")</f>
        <v>70.760000000000218</v>
      </c>
      <c r="O267" s="15">
        <f>IFERROR(N267/N444, "NA")</f>
        <v>1.2651804670153739E-3</v>
      </c>
      <c r="P267" s="2"/>
      <c r="Q267" s="14">
        <f>IFERROR(Q265+Q266, "NA")</f>
        <v>21905.579999999998</v>
      </c>
      <c r="R267" s="15">
        <f>IFERROR(Q267/Q444, "NA")</f>
        <v>2.3974664250037799E-2</v>
      </c>
      <c r="S267" s="2"/>
      <c r="T267" s="14">
        <f>IFERROR(T265+T266, "NA")</f>
        <v>23245.71</v>
      </c>
      <c r="U267" s="15">
        <f>IFERROR(T267/T444, "NA")</f>
        <v>2.7803724736102924E-2</v>
      </c>
      <c r="V267" s="2"/>
      <c r="W267" s="14">
        <f>IFERROR(-(Q267-T267), "NA")</f>
        <v>1340.130000000001</v>
      </c>
      <c r="X267" s="15">
        <f>IFERROR(W267/W444, "NA")</f>
        <v>1.7262497834346382E-2</v>
      </c>
      <c r="Y267" s="2"/>
      <c r="Z267" s="14">
        <f>IFERROR(Z265+Z266, "NA")</f>
        <v>20645.21</v>
      </c>
      <c r="AA267" s="15">
        <f>IFERROR(Z267/Z444, "NA")</f>
        <v>2.6640998485949835E-2</v>
      </c>
      <c r="AB267" s="2"/>
      <c r="AC267" s="14">
        <f>IFERROR(-(Q267-Z267), "NA")</f>
        <v>-1260.369999999999</v>
      </c>
      <c r="AD267" s="15">
        <f>IFERROR(AC267/AC444, "NA")</f>
        <v>-9.0833713197471105E-3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1215.57</v>
      </c>
      <c r="C270" s="8">
        <f>IFERROR(B270/B444, "NA")</f>
        <v>2.5422802557953433E-3</v>
      </c>
      <c r="D270" s="9"/>
      <c r="E270" s="7">
        <v>1059.3000000000002</v>
      </c>
      <c r="F270" s="8">
        <f>IFERROR(E270/E444, "NA")</f>
        <v>2.1937930918650502E-3</v>
      </c>
      <c r="G270" s="9"/>
      <c r="H270" s="10">
        <f>IFERROR(-(B270-E270), "NA")</f>
        <v>-156.26999999999975</v>
      </c>
      <c r="I270" s="8">
        <f>IFERROR(H270/H444, "NA")</f>
        <v>3.3103211606778572E-2</v>
      </c>
      <c r="J270" s="9"/>
      <c r="K270" s="7">
        <v>937.7700000000001</v>
      </c>
      <c r="L270" s="8">
        <f>IFERROR(K270/K444, "NA")</f>
        <v>2.2210835653411207E-3</v>
      </c>
      <c r="M270" s="9"/>
      <c r="N270" s="10">
        <f>IFERROR(-(B270-K270), "NA")</f>
        <v>-277.79999999999984</v>
      </c>
      <c r="O270" s="8">
        <f>IFERROR(N270/N444, "NA")</f>
        <v>-4.9670312851451334E-3</v>
      </c>
      <c r="P270" s="9"/>
      <c r="Q270" s="7">
        <v>2422.69</v>
      </c>
      <c r="R270" s="8">
        <f>IFERROR(Q270/Q444, "NA")</f>
        <v>2.651524375612245E-3</v>
      </c>
      <c r="S270" s="9"/>
      <c r="T270" s="7">
        <v>1954.1599999999999</v>
      </c>
      <c r="U270" s="8">
        <f>IFERROR(T270/T444, "NA")</f>
        <v>2.3373313497545519E-3</v>
      </c>
      <c r="V270" s="9"/>
      <c r="W270" s="10">
        <f>IFERROR(-(Q270-T270), "NA")</f>
        <v>-468.5300000000002</v>
      </c>
      <c r="X270" s="8">
        <f>IFERROR(W270/W444, "NA")</f>
        <v>-6.0352339775441993E-3</v>
      </c>
      <c r="Y270" s="9"/>
      <c r="Z270" s="7">
        <v>1866.5400000000002</v>
      </c>
      <c r="AA270" s="8">
        <f>IFERROR(Z270/Z444, "NA")</f>
        <v>2.4086211433046608E-3</v>
      </c>
      <c r="AB270" s="9"/>
      <c r="AC270" s="10">
        <f>IFERROR(-(Q270-Z270), "NA")</f>
        <v>-556.14999999999986</v>
      </c>
      <c r="AD270" s="8">
        <f>IFERROR(AC270/AC444, "NA")</f>
        <v>-4.0081221859274326E-3</v>
      </c>
    </row>
    <row r="271" spans="1:30" ht="16.5" customHeight="1" x14ac:dyDescent="0.45">
      <c r="A271" s="6" t="s">
        <v>246</v>
      </c>
      <c r="B271" s="7">
        <v>4841.3999999999996</v>
      </c>
      <c r="C271" s="8">
        <f>IFERROR(B271/B444, "NA")</f>
        <v>1.0125451952917211E-2</v>
      </c>
      <c r="D271" s="9"/>
      <c r="E271" s="7">
        <v>3083.7</v>
      </c>
      <c r="F271" s="8">
        <f>IFERROR(E271/E444, "NA")</f>
        <v>6.3862926058569375E-3</v>
      </c>
      <c r="G271" s="9"/>
      <c r="H271" s="10">
        <f>IFERROR(-(B271-E271), "NA")</f>
        <v>-1757.6999999999998</v>
      </c>
      <c r="I271" s="8">
        <f>IFERROR(H271/H444, "NA")</f>
        <v>0.37233963679039339</v>
      </c>
      <c r="J271" s="9"/>
      <c r="K271" s="7">
        <v>3932.37</v>
      </c>
      <c r="L271" s="8">
        <f>IFERROR(K271/K444, "NA")</f>
        <v>9.3137148552848367E-3</v>
      </c>
      <c r="M271" s="9"/>
      <c r="N271" s="10">
        <f>IFERROR(-(B271-K271), "NA")</f>
        <v>-909.02999999999975</v>
      </c>
      <c r="O271" s="8">
        <f>IFERROR(N271/N444, "NA")</f>
        <v>-1.6253349348939818E-2</v>
      </c>
      <c r="P271" s="9"/>
      <c r="Q271" s="7">
        <v>9450.2599999999984</v>
      </c>
      <c r="R271" s="8">
        <f>IFERROR(Q271/Q444, "NA")</f>
        <v>1.0342881155192522E-2</v>
      </c>
      <c r="S271" s="9"/>
      <c r="T271" s="7">
        <v>5376.93</v>
      </c>
      <c r="U271" s="8">
        <f>IFERROR(T271/T444, "NA")</f>
        <v>6.4312374905001355E-3</v>
      </c>
      <c r="V271" s="9"/>
      <c r="W271" s="10">
        <f>IFERROR(-(Q271-T271), "NA")</f>
        <v>-4073.3299999999981</v>
      </c>
      <c r="X271" s="8">
        <f>IFERROR(W271/W444, "NA")</f>
        <v>-5.2469424834589232E-2</v>
      </c>
      <c r="Y271" s="9"/>
      <c r="Z271" s="7">
        <v>7743.54</v>
      </c>
      <c r="AA271" s="8">
        <f>IFERROR(Z271/Z444, "NA")</f>
        <v>9.9924213614631194E-3</v>
      </c>
      <c r="AB271" s="9"/>
      <c r="AC271" s="10">
        <f>IFERROR(-(Q271-Z271), "NA")</f>
        <v>-1706.7199999999984</v>
      </c>
      <c r="AD271" s="8">
        <f>IFERROR(AC271/AC444, "NA")</f>
        <v>-1.2300174947704868E-2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6056.9699999999993</v>
      </c>
      <c r="C273" s="15">
        <f>IFERROR(B273/B444, "NA")</f>
        <v>1.2667732208712553E-2</v>
      </c>
      <c r="D273" s="2"/>
      <c r="E273" s="14">
        <f>IFERROR(E269+E270+E271+E272, "NA")</f>
        <v>4143</v>
      </c>
      <c r="F273" s="15">
        <f>IFERROR(E273/E444, "NA")</f>
        <v>8.5800856977219873E-3</v>
      </c>
      <c r="G273" s="2"/>
      <c r="H273" s="14">
        <f>IFERROR(-(B273-E273), "NA")</f>
        <v>-1913.9699999999993</v>
      </c>
      <c r="I273" s="15">
        <f>IFERROR(H273/H444, "NA")</f>
        <v>0.40544284839717193</v>
      </c>
      <c r="J273" s="2"/>
      <c r="K273" s="14">
        <f>IFERROR(K269+K270+K271+K272, "NA")</f>
        <v>4870.1400000000003</v>
      </c>
      <c r="L273" s="15">
        <f>IFERROR(K273/K444, "NA")</f>
        <v>1.1534798420625958E-2</v>
      </c>
      <c r="M273" s="2"/>
      <c r="N273" s="14">
        <f>IFERROR(-(B273-K273), "NA")</f>
        <v>-1186.829999999999</v>
      </c>
      <c r="O273" s="15">
        <f>IFERROR(N273/N444, "NA")</f>
        <v>-2.1220380634084941E-2</v>
      </c>
      <c r="P273" s="2"/>
      <c r="Q273" s="14">
        <f>IFERROR(Q269+Q270+Q271+Q272, "NA")</f>
        <v>11872.949999999999</v>
      </c>
      <c r="R273" s="15">
        <f>IFERROR(Q273/Q444, "NA")</f>
        <v>1.2994405530804767E-2</v>
      </c>
      <c r="S273" s="2"/>
      <c r="T273" s="14">
        <f>IFERROR(T269+T270+T271+T272, "NA")</f>
        <v>7331.09</v>
      </c>
      <c r="U273" s="15">
        <f>IFERROR(T273/T444, "NA")</f>
        <v>8.7685688402546879E-3</v>
      </c>
      <c r="V273" s="2"/>
      <c r="W273" s="14">
        <f>IFERROR(-(Q273-T273), "NA")</f>
        <v>-4541.8599999999988</v>
      </c>
      <c r="X273" s="15">
        <f>IFERROR(W273/W444, "NA")</f>
        <v>-5.8504658812133438E-2</v>
      </c>
      <c r="Y273" s="2"/>
      <c r="Z273" s="14">
        <f>IFERROR(Z269+Z270+Z271+Z272, "NA")</f>
        <v>9610.08</v>
      </c>
      <c r="AA273" s="15">
        <f>IFERROR(Z273/Z444, "NA")</f>
        <v>1.2401042504767779E-2</v>
      </c>
      <c r="AB273" s="2"/>
      <c r="AC273" s="14">
        <f>IFERROR(-(Q273-Z273), "NA")</f>
        <v>-2262.869999999999</v>
      </c>
      <c r="AD273" s="15">
        <f>IFERROR(AC273/AC444, "NA")</f>
        <v>-1.6308297133632306E-2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2.0297961093619079E-3</v>
      </c>
      <c r="D287" s="9"/>
      <c r="E287" s="7">
        <v>2703</v>
      </c>
      <c r="F287" s="8">
        <f>IFERROR(E287/E444, "NA")</f>
        <v>5.5978690902588777E-3</v>
      </c>
      <c r="G287" s="9"/>
      <c r="H287" s="10">
        <f t="shared" si="72"/>
        <v>1732.47</v>
      </c>
      <c r="I287" s="8">
        <f>IFERROR(H287/H444, "NA")</f>
        <v>-0.36699507910920687</v>
      </c>
      <c r="J287" s="9"/>
      <c r="K287" s="7">
        <v>970.53</v>
      </c>
      <c r="L287" s="8">
        <f>IFERROR(K287/K444, "NA")</f>
        <v>2.298674763183422E-3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1941.06</v>
      </c>
      <c r="R287" s="8">
        <f>IFERROR(Q287/Q444, "NA")</f>
        <v>2.124402174659533E-3</v>
      </c>
      <c r="S287" s="9"/>
      <c r="T287" s="7">
        <v>5406</v>
      </c>
      <c r="U287" s="8">
        <f>IFERROR(T287/T444, "NA")</f>
        <v>6.4660075309970061E-3</v>
      </c>
      <c r="V287" s="9"/>
      <c r="W287" s="10">
        <f t="shared" si="74"/>
        <v>3464.94</v>
      </c>
      <c r="X287" s="8">
        <f>IFERROR(W287/W444, "NA")</f>
        <v>4.463262463055085E-2</v>
      </c>
      <c r="Y287" s="9"/>
      <c r="Z287" s="7">
        <v>1941.06</v>
      </c>
      <c r="AA287" s="8">
        <f>IFERROR(Z287/Z444, "NA")</f>
        <v>2.5047832655195946E-3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949.95</v>
      </c>
      <c r="C288" s="8">
        <f>IFERROR(B288/B444, "NA")</f>
        <v>1.9867544682682088E-3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-949.95</v>
      </c>
      <c r="I288" s="8">
        <f>IFERROR(H288/H444, "NA")</f>
        <v>0.20123117595097814</v>
      </c>
      <c r="J288" s="9"/>
      <c r="K288" s="7">
        <v>681.44</v>
      </c>
      <c r="L288" s="8">
        <f>IFERROR(K288/K444, "NA")</f>
        <v>1.6139727062777155E-3</v>
      </c>
      <c r="M288" s="9"/>
      <c r="N288" s="10">
        <f t="shared" si="73"/>
        <v>-268.51</v>
      </c>
      <c r="O288" s="8">
        <f>IFERROR(N288/N444, "NA")</f>
        <v>-4.8009271791732196E-3</v>
      </c>
      <c r="P288" s="9"/>
      <c r="Q288" s="7">
        <v>1899.88</v>
      </c>
      <c r="R288" s="8">
        <f>IFERROR(Q288/Q444, "NA")</f>
        <v>2.0793325314993633E-3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-1899.88</v>
      </c>
      <c r="X288" s="8">
        <f>IFERROR(W288/W444, "NA")</f>
        <v>-2.4472755915857403E-2</v>
      </c>
      <c r="Y288" s="9"/>
      <c r="Z288" s="7">
        <v>1362.8600000000001</v>
      </c>
      <c r="AA288" s="8">
        <f>IFERROR(Z288/Z444, "NA")</f>
        <v>1.7586622367397377E-3</v>
      </c>
      <c r="AB288" s="9"/>
      <c r="AC288" s="10">
        <f t="shared" si="75"/>
        <v>-537.02</v>
      </c>
      <c r="AD288" s="8">
        <f>IFERROR(AC288/AC444, "NA")</f>
        <v>-3.8702540255088559E-3</v>
      </c>
    </row>
    <row r="289" spans="1:30" ht="16.5" customHeight="1" x14ac:dyDescent="0.45">
      <c r="A289" s="6" t="s">
        <v>262</v>
      </c>
      <c r="B289" s="7">
        <v>1005.15</v>
      </c>
      <c r="C289" s="8">
        <f>IFERROR(B289/B444, "NA")</f>
        <v>2.1022014356332332E-3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-1005.15</v>
      </c>
      <c r="I289" s="8">
        <f>IFERROR(H289/H444, "NA")</f>
        <v>0.21292438181707002</v>
      </c>
      <c r="J289" s="9"/>
      <c r="K289" s="7">
        <v>946.0300000000002</v>
      </c>
      <c r="L289" s="8">
        <f>IFERROR(K289/K444, "NA")</f>
        <v>2.240647157959479E-3</v>
      </c>
      <c r="M289" s="9"/>
      <c r="N289" s="10">
        <f t="shared" si="73"/>
        <v>-59.119999999999777</v>
      </c>
      <c r="O289" s="8">
        <f>IFERROR(N289/N444, "NA")</f>
        <v>-1.0570586377889825E-3</v>
      </c>
      <c r="P289" s="9"/>
      <c r="Q289" s="7">
        <v>1996.0600000000002</v>
      </c>
      <c r="R289" s="8">
        <f>IFERROR(Q289/Q444, "NA")</f>
        <v>2.1845971813086191E-3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-1996.0600000000002</v>
      </c>
      <c r="X289" s="8">
        <f>IFERROR(W289/W444, "NA")</f>
        <v>-2.571167082837144E-2</v>
      </c>
      <c r="Y289" s="9"/>
      <c r="Z289" s="7">
        <v>1925.2800000000002</v>
      </c>
      <c r="AA289" s="8">
        <f>IFERROR(Z289/Z444, "NA")</f>
        <v>2.4844204328766579E-3</v>
      </c>
      <c r="AB289" s="9"/>
      <c r="AC289" s="10">
        <f t="shared" si="75"/>
        <v>-70.779999999999973</v>
      </c>
      <c r="AD289" s="8">
        <f>IFERROR(AC289/AC444, "NA")</f>
        <v>-5.1010498664019353E-4</v>
      </c>
    </row>
    <row r="290" spans="1:30" ht="16.5" customHeight="1" x14ac:dyDescent="0.45">
      <c r="A290" s="6" t="s">
        <v>263</v>
      </c>
      <c r="B290" s="7">
        <v>4995.9100000000008</v>
      </c>
      <c r="C290" s="8">
        <f>IFERROR(B290/B444, "NA")</f>
        <v>1.0448598890010872E-2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-4995.9100000000008</v>
      </c>
      <c r="I290" s="8">
        <f>IFERROR(H290/H444, "NA")</f>
        <v>1.0583007992475935</v>
      </c>
      <c r="J290" s="9"/>
      <c r="K290" s="7">
        <v>1857.44</v>
      </c>
      <c r="L290" s="8">
        <f>IFERROR(K290/K444, "NA")</f>
        <v>4.3992977570270018E-3</v>
      </c>
      <c r="M290" s="9"/>
      <c r="N290" s="10">
        <f t="shared" si="73"/>
        <v>-3138.4700000000007</v>
      </c>
      <c r="O290" s="8">
        <f>IFERROR(N290/N444, "NA")</f>
        <v>-5.6115474001041964E-2</v>
      </c>
      <c r="P290" s="9"/>
      <c r="Q290" s="7">
        <v>7781.51</v>
      </c>
      <c r="R290" s="8">
        <f>IFERROR(Q290/Q444, "NA")</f>
        <v>8.5165099307259462E-3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-7781.51</v>
      </c>
      <c r="X290" s="8">
        <f>IFERROR(W290/W444, "NA")</f>
        <v>-0.100235275326233</v>
      </c>
      <c r="Y290" s="9"/>
      <c r="Z290" s="7">
        <v>2833.4</v>
      </c>
      <c r="AA290" s="8">
        <f>IFERROR(Z290/Z444, "NA")</f>
        <v>3.6562769334916078E-3</v>
      </c>
      <c r="AB290" s="9"/>
      <c r="AC290" s="10">
        <f t="shared" si="75"/>
        <v>-4948.1100000000006</v>
      </c>
      <c r="AD290" s="8">
        <f>IFERROR(AC290/AC444, "NA")</f>
        <v>-3.5660576228372549E-2</v>
      </c>
    </row>
    <row r="291" spans="1:30" ht="16.5" customHeight="1" x14ac:dyDescent="0.45">
      <c r="A291" s="6" t="s">
        <v>264</v>
      </c>
      <c r="B291" s="7">
        <v>4981.6500000000005</v>
      </c>
      <c r="C291" s="8">
        <f>IFERROR(B291/B444, "NA")</f>
        <v>1.041877509010824E-2</v>
      </c>
      <c r="D291" s="9"/>
      <c r="E291" s="7">
        <v>5943.6500000000005</v>
      </c>
      <c r="F291" s="8">
        <f>IFERROR(E291/E444, "NA")</f>
        <v>1.2309202596491743E-2</v>
      </c>
      <c r="G291" s="9"/>
      <c r="H291" s="10">
        <f t="shared" si="72"/>
        <v>962</v>
      </c>
      <c r="I291" s="8">
        <f>IFERROR(H291/H444, "NA")</f>
        <v>-0.20378376889819566</v>
      </c>
      <c r="J291" s="9"/>
      <c r="K291" s="7">
        <v>2964.2</v>
      </c>
      <c r="L291" s="8">
        <f>IFERROR(K291/K444, "NA")</f>
        <v>7.0206296899923745E-3</v>
      </c>
      <c r="M291" s="9"/>
      <c r="N291" s="10">
        <f t="shared" si="73"/>
        <v>-2017.4500000000007</v>
      </c>
      <c r="O291" s="8">
        <f>IFERROR(N291/N444, "NA")</f>
        <v>-3.6071768416904459E-2</v>
      </c>
      <c r="P291" s="9"/>
      <c r="Q291" s="7">
        <v>10650.71</v>
      </c>
      <c r="R291" s="8">
        <f>IFERROR(Q291/Q444, "NA")</f>
        <v>1.1656719259408794E-2</v>
      </c>
      <c r="S291" s="9"/>
      <c r="T291" s="7">
        <v>10268.9</v>
      </c>
      <c r="U291" s="8">
        <f>IFERROR(T291/T444, "NA")</f>
        <v>1.2282424109333176E-2</v>
      </c>
      <c r="V291" s="9"/>
      <c r="W291" s="10">
        <f t="shared" si="74"/>
        <v>-381.80999999999949</v>
      </c>
      <c r="X291" s="8">
        <f>IFERROR(W291/W444, "NA")</f>
        <v>-4.9181753248802567E-3</v>
      </c>
      <c r="Y291" s="9"/>
      <c r="Z291" s="7">
        <v>2964.41</v>
      </c>
      <c r="AA291" s="8">
        <f>IFERROR(Z291/Z444, "NA")</f>
        <v>3.8253348995594886E-3</v>
      </c>
      <c r="AB291" s="9"/>
      <c r="AC291" s="10">
        <f t="shared" si="75"/>
        <v>-7686.2999999999993</v>
      </c>
      <c r="AD291" s="8">
        <f>IFERROR(AC291/AC444, "NA")</f>
        <v>-5.5394461130439679E-2</v>
      </c>
    </row>
    <row r="292" spans="1:30" ht="16.5" customHeight="1" x14ac:dyDescent="0.45">
      <c r="A292" s="6" t="s">
        <v>265</v>
      </c>
      <c r="B292" s="7">
        <v>1703.69</v>
      </c>
      <c r="C292" s="8">
        <f>IFERROR(B292/B444, "NA")</f>
        <v>3.5631493447485286E-3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-1703.69</v>
      </c>
      <c r="I292" s="8">
        <f>IFERROR(H292/H444, "NA")</f>
        <v>0.36089851271742929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-1703.69</v>
      </c>
      <c r="O292" s="8">
        <f>IFERROR(N292/N444, "NA")</f>
        <v>-3.0461776566554775E-2</v>
      </c>
      <c r="P292" s="9"/>
      <c r="Q292" s="7">
        <v>1703.69</v>
      </c>
      <c r="R292" s="8">
        <f>IFERROR(Q292/Q444, "NA")</f>
        <v>1.8646114705087426E-3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-1703.69</v>
      </c>
      <c r="X292" s="8">
        <f>IFERROR(W292/W444, "NA")</f>
        <v>-2.1945591051164861E-2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-1703.69</v>
      </c>
      <c r="AD292" s="8">
        <f>IFERROR(AC292/AC444, "NA")</f>
        <v>-1.2278338014821017E-2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4.0487161472175056E-4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-4.7651465334406012E-3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-2.6660516771377066E-3</v>
      </c>
    </row>
    <row r="294" spans="1:30" ht="16.5" customHeight="1" x14ac:dyDescent="0.45">
      <c r="A294" s="6" t="s">
        <v>267</v>
      </c>
      <c r="B294" s="7">
        <v>1328.35</v>
      </c>
      <c r="C294" s="8">
        <f>IFERROR(B294/B444, "NA")</f>
        <v>2.7781517952777252E-3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-1328.35</v>
      </c>
      <c r="I294" s="8">
        <f>IFERROR(H294/H444, "NA")</f>
        <v>0.28138894949679644</v>
      </c>
      <c r="J294" s="9"/>
      <c r="K294" s="7">
        <v>1268.1799999999998</v>
      </c>
      <c r="L294" s="8">
        <f>IFERROR(K294/K444, "NA")</f>
        <v>3.0036509548122692E-3</v>
      </c>
      <c r="M294" s="9"/>
      <c r="N294" s="10">
        <f t="shared" si="73"/>
        <v>-60.170000000000073</v>
      </c>
      <c r="O294" s="8">
        <f>IFERROR(N294/N444, "NA")</f>
        <v>-1.0758325141367285E-3</v>
      </c>
      <c r="P294" s="9"/>
      <c r="Q294" s="7">
        <v>3031.63</v>
      </c>
      <c r="R294" s="8">
        <f>IFERROR(Q294/Q444, "NA")</f>
        <v>3.3179816001375952E-3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-3031.63</v>
      </c>
      <c r="X294" s="8">
        <f>IFERROR(W294/W444, "NA")</f>
        <v>-3.9051066918537373E-2</v>
      </c>
      <c r="Y294" s="9"/>
      <c r="Z294" s="7">
        <v>2536.3599999999997</v>
      </c>
      <c r="AA294" s="8">
        <f>IFERROR(Z294/Z444, "NA")</f>
        <v>3.272970481764231E-3</v>
      </c>
      <c r="AB294" s="9"/>
      <c r="AC294" s="10">
        <f t="shared" si="75"/>
        <v>-495.27000000000044</v>
      </c>
      <c r="AD294" s="8">
        <f>IFERROR(AC294/AC444, "NA")</f>
        <v>-3.5693655938582786E-3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15935.230000000003</v>
      </c>
      <c r="C295" s="15">
        <f>IFERROR(B295/B444, "NA")</f>
        <v>3.3327427133408721E-2</v>
      </c>
      <c r="D295" s="2"/>
      <c r="E295" s="14">
        <f>IFERROR(E286+E287+E288+E289+E290+E291+E292+E293+E294, "NA")</f>
        <v>8646.6500000000015</v>
      </c>
      <c r="F295" s="15">
        <f>IFERROR(E295/E444, "NA")</f>
        <v>1.7907071686750625E-2</v>
      </c>
      <c r="G295" s="2"/>
      <c r="H295" s="14">
        <f t="shared" si="72"/>
        <v>-7288.5800000000017</v>
      </c>
      <c r="I295" s="15">
        <f>IFERROR(H295/H444, "NA")</f>
        <v>1.543964971222465</v>
      </c>
      <c r="J295" s="2"/>
      <c r="K295" s="14">
        <f>IFERROR(K286+K287+K288+K289+K290+K291+K292+K293+K294, "NA")</f>
        <v>8687.82</v>
      </c>
      <c r="L295" s="15">
        <f>IFERROR(K295/K444, "NA")</f>
        <v>2.0576873029252263E-2</v>
      </c>
      <c r="M295" s="2"/>
      <c r="N295" s="14">
        <f t="shared" si="73"/>
        <v>-7247.4100000000035</v>
      </c>
      <c r="O295" s="15">
        <f>IFERROR(N295/N444, "NA")</f>
        <v>-0.12958283731560016</v>
      </c>
      <c r="P295" s="2"/>
      <c r="Q295" s="14">
        <f>IFERROR(Q286+Q287+Q288+Q289+Q290+Q291+Q292+Q293+Q294, "NA")</f>
        <v>29374.47</v>
      </c>
      <c r="R295" s="15">
        <f>IFERROR(Q295/Q444, "NA")</f>
        <v>3.2149025762970344E-2</v>
      </c>
      <c r="S295" s="2"/>
      <c r="T295" s="14">
        <f>IFERROR(T286+T287+T288+T289+T290+T291+T292+T293+T294, "NA")</f>
        <v>15674.9</v>
      </c>
      <c r="U295" s="15">
        <f>IFERROR(T295/T444, "NA")</f>
        <v>1.8748431640330184E-2</v>
      </c>
      <c r="V295" s="2"/>
      <c r="W295" s="14">
        <f t="shared" si="74"/>
        <v>-13699.570000000002</v>
      </c>
      <c r="X295" s="15">
        <f>IFERROR(W295/W444, "NA")</f>
        <v>-0.1764670572679341</v>
      </c>
      <c r="Y295" s="2"/>
      <c r="Z295" s="14">
        <f>IFERROR(Z286+Z287+Z288+Z289+Z290+Z291+Z292+Z293+Z294, "NA")</f>
        <v>13563.369999999999</v>
      </c>
      <c r="AA295" s="15">
        <f>IFERROR(Z295/Z444, "NA")</f>
        <v>1.7502448249951317E-2</v>
      </c>
      <c r="AB295" s="2"/>
      <c r="AC295" s="14">
        <f t="shared" si="75"/>
        <v>-15811.100000000002</v>
      </c>
      <c r="AD295" s="15">
        <f>IFERROR(AC295/AC444, "NA")</f>
        <v>-0.1139491516567783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6277.21</v>
      </c>
      <c r="F297" s="8">
        <f>IFERROR(E297/E444, "NA")</f>
        <v>1.299999993787049E-2</v>
      </c>
      <c r="G297" s="9"/>
      <c r="H297" s="10">
        <f t="shared" ref="H297:H325" si="76">IFERROR(-(B297-E297), "NA")</f>
        <v>6277.21</v>
      </c>
      <c r="I297" s="8">
        <f>IFERROR(H297/H444, "NA")</f>
        <v>-1.3297229854110633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10868.84</v>
      </c>
      <c r="U297" s="8">
        <f>IFERROR(T297/T444, "NA")</f>
        <v>1.3000000239215964E-2</v>
      </c>
      <c r="V297" s="9"/>
      <c r="W297" s="10">
        <f t="shared" ref="W297:W325" si="78">IFERROR(-(Q297-T297), "NA")</f>
        <v>10868.84</v>
      </c>
      <c r="X297" s="8">
        <f>IFERROR(W297/W444, "NA")</f>
        <v>0.14000382571978628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1687.01</v>
      </c>
      <c r="C299" s="8">
        <f>IFERROR(B299/B444, "NA")</f>
        <v>3.5282642828708363E-3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-1687.01</v>
      </c>
      <c r="I299" s="8">
        <f>IFERROR(H299/H444, "NA")</f>
        <v>0.35736513094484934</v>
      </c>
      <c r="J299" s="9"/>
      <c r="K299" s="7">
        <v>1074.9099999999999</v>
      </c>
      <c r="L299" s="8">
        <f>IFERROR(K299/K444, "NA")</f>
        <v>2.5458960461742469E-3</v>
      </c>
      <c r="M299" s="9"/>
      <c r="N299" s="10">
        <f t="shared" si="77"/>
        <v>-612.10000000000014</v>
      </c>
      <c r="O299" s="8">
        <f>IFERROR(N299/N444, "NA")</f>
        <v>-1.0944275916621088E-2</v>
      </c>
      <c r="P299" s="9"/>
      <c r="Q299" s="7">
        <v>3773.73</v>
      </c>
      <c r="R299" s="8">
        <f>IFERROR(Q299/Q444, "NA")</f>
        <v>4.1301764080337137E-3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-3773.73</v>
      </c>
      <c r="X299" s="8">
        <f>IFERROR(W299/W444, "NA")</f>
        <v>-4.8610213898956013E-2</v>
      </c>
      <c r="Y299" s="9"/>
      <c r="Z299" s="7">
        <v>2149.8199999999997</v>
      </c>
      <c r="AA299" s="8">
        <f>IFERROR(Z299/Z444, "NA")</f>
        <v>2.7741714114346461E-3</v>
      </c>
      <c r="AB299" s="9"/>
      <c r="AC299" s="10">
        <f t="shared" si="79"/>
        <v>-1623.9100000000003</v>
      </c>
      <c r="AD299" s="8">
        <f>IFERROR(AC299/AC444, "NA")</f>
        <v>-1.1703370851298066E-2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197.01</v>
      </c>
      <c r="C304" s="8">
        <f>IFERROR(B304/B444, "NA")</f>
        <v>4.1203273624245464E-4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-197.01</v>
      </c>
      <c r="I304" s="8">
        <f>IFERROR(H304/H444, "NA")</f>
        <v>4.1733305936209483E-2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-197.01</v>
      </c>
      <c r="O304" s="8">
        <f>IFERROR(N304/N444, "NA")</f>
        <v>-3.5225155993032511E-3</v>
      </c>
      <c r="P304" s="9"/>
      <c r="Q304" s="7">
        <v>197.01</v>
      </c>
      <c r="R304" s="8">
        <f>IFERROR(Q304/Q444, "NA")</f>
        <v>2.1561851381702503E-4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-2.5377274580410691E-3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-197.01</v>
      </c>
      <c r="AD304" s="8">
        <f>IFERROR(AC304/AC444, "NA")</f>
        <v>-1.4198330519636134E-3</v>
      </c>
    </row>
    <row r="305" spans="1:30" ht="16.5" customHeight="1" x14ac:dyDescent="0.45">
      <c r="A305" s="6" t="s">
        <v>277</v>
      </c>
      <c r="B305" s="7">
        <v>20.59</v>
      </c>
      <c r="C305" s="8">
        <f>IFERROR(B305/B444, "NA")</f>
        <v>4.3062555399381456E-5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-20.59</v>
      </c>
      <c r="I305" s="8">
        <f>IFERROR(H305/H444, "NA")</f>
        <v>4.3616505214281167E-3</v>
      </c>
      <c r="J305" s="9"/>
      <c r="K305" s="7">
        <v>58.33</v>
      </c>
      <c r="L305" s="8">
        <f>IFERROR(K305/K444, "NA")</f>
        <v>1.3815306990663762E-4</v>
      </c>
      <c r="M305" s="9"/>
      <c r="N305" s="10">
        <f t="shared" si="77"/>
        <v>37.739999999999995</v>
      </c>
      <c r="O305" s="8">
        <f>IFERROR(N305/N444, "NA")</f>
        <v>6.7478675558451187E-4</v>
      </c>
      <c r="P305" s="9"/>
      <c r="Q305" s="7">
        <v>35.590000000000003</v>
      </c>
      <c r="R305" s="8">
        <f>IFERROR(Q305/Q444, "NA")</f>
        <v>3.8951641575290196E-5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-35.590000000000003</v>
      </c>
      <c r="X305" s="8">
        <f>IFERROR(W305/W444, "NA")</f>
        <v>-4.5844231374895519E-4</v>
      </c>
      <c r="Y305" s="9"/>
      <c r="Z305" s="7">
        <v>101.66</v>
      </c>
      <c r="AA305" s="8">
        <f>IFERROR(Z305/Z444, "NA")</f>
        <v>1.3118412968827445E-4</v>
      </c>
      <c r="AB305" s="9"/>
      <c r="AC305" s="10">
        <f t="shared" si="79"/>
        <v>66.069999999999993</v>
      </c>
      <c r="AD305" s="8">
        <f>IFERROR(AC305/AC444, "NA")</f>
        <v>4.7616044740488267E-4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65.86</v>
      </c>
      <c r="C310" s="8">
        <f>IFERROR(B310/B444, "NA")</f>
        <v>1.3774161722211086E-4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-65.86</v>
      </c>
      <c r="I310" s="8">
        <f>IFERROR(H310/H444, "NA")</f>
        <v>1.3951350332261086E-2</v>
      </c>
      <c r="J310" s="9"/>
      <c r="K310" s="7">
        <v>135.98000000000002</v>
      </c>
      <c r="L310" s="8">
        <f>IFERROR(K310/K444, "NA")</f>
        <v>3.2206505136129929E-4</v>
      </c>
      <c r="M310" s="9"/>
      <c r="N310" s="10">
        <f t="shared" si="77"/>
        <v>70.120000000000019</v>
      </c>
      <c r="O310" s="8">
        <f>IFERROR(N310/N444, "NA")</f>
        <v>1.2537373423843665E-3</v>
      </c>
      <c r="P310" s="9"/>
      <c r="Q310" s="7">
        <v>97.43</v>
      </c>
      <c r="R310" s="8">
        <f>IFERROR(Q310/Q444, "NA")</f>
        <v>1.0663271814218949E-4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-97.43</v>
      </c>
      <c r="X310" s="8">
        <f>IFERROR(W310/W444, "NA")</f>
        <v>-1.2550164267648414E-3</v>
      </c>
      <c r="Y310" s="9"/>
      <c r="Z310" s="7">
        <v>212.89</v>
      </c>
      <c r="AA310" s="8">
        <f>IFERROR(Z310/Z444, "NA")</f>
        <v>2.74717581834908E-4</v>
      </c>
      <c r="AB310" s="9"/>
      <c r="AC310" s="10">
        <f t="shared" si="79"/>
        <v>115.45999999999998</v>
      </c>
      <c r="AD310" s="8">
        <f>IFERROR(AC310/AC444, "NA")</f>
        <v>8.321096603203837E-4</v>
      </c>
    </row>
    <row r="311" spans="1:30" ht="16.5" customHeight="1" x14ac:dyDescent="0.45">
      <c r="A311" s="6" t="s">
        <v>283</v>
      </c>
      <c r="B311" s="7">
        <v>167.48</v>
      </c>
      <c r="C311" s="8">
        <f>IFERROR(B311/B444, "NA")</f>
        <v>3.5027279156330286E-4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-167.48</v>
      </c>
      <c r="I311" s="8">
        <f>IFERROR(H311/H444, "NA")</f>
        <v>3.547786446472953E-2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-167.48</v>
      </c>
      <c r="O311" s="8">
        <f>IFERROR(N311/N444, "NA")</f>
        <v>-2.9945226768758361E-3</v>
      </c>
      <c r="P311" s="9"/>
      <c r="Q311" s="7">
        <v>167.48</v>
      </c>
      <c r="R311" s="8">
        <f>IFERROR(Q311/Q444, "NA")</f>
        <v>1.8329926751979773E-4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-2.1573452853800227E-3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-1.2070130427027357E-3</v>
      </c>
    </row>
    <row r="312" spans="1:30" ht="16.5" customHeight="1" x14ac:dyDescent="0.45">
      <c r="A312" s="6" t="s">
        <v>284</v>
      </c>
      <c r="B312" s="7">
        <v>601.84999999999991</v>
      </c>
      <c r="C312" s="8">
        <f>IFERROR(B312/B444, "NA")</f>
        <v>1.2587274874753631E-3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-601.84999999999991</v>
      </c>
      <c r="I312" s="8">
        <f>IFERROR(H312/H444, "NA")</f>
        <v>0.12749195562513413</v>
      </c>
      <c r="J312" s="9"/>
      <c r="K312" s="7">
        <v>200</v>
      </c>
      <c r="L312" s="8">
        <f>IFERROR(K312/K444, "NA")</f>
        <v>4.7369473652198737E-4</v>
      </c>
      <c r="M312" s="9"/>
      <c r="N312" s="10">
        <f t="shared" si="77"/>
        <v>-401.84999999999991</v>
      </c>
      <c r="O312" s="8">
        <f>IFERROR(N312/N444, "NA")</f>
        <v>-7.1850306765139397E-3</v>
      </c>
      <c r="P312" s="9"/>
      <c r="Q312" s="7">
        <v>978.84</v>
      </c>
      <c r="R312" s="8">
        <f>IFERROR(Q312/Q444, "NA")</f>
        <v>1.0712960056071103E-3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-978.84</v>
      </c>
      <c r="X312" s="8">
        <f>IFERROR(W312/W444, "NA")</f>
        <v>-1.2608644967407342E-2</v>
      </c>
      <c r="Y312" s="9"/>
      <c r="Z312" s="7">
        <v>451.17</v>
      </c>
      <c r="AA312" s="8">
        <f>IFERROR(Z312/Z444, "NA")</f>
        <v>5.8219893558389521E-4</v>
      </c>
      <c r="AB312" s="9"/>
      <c r="AC312" s="10">
        <f t="shared" si="79"/>
        <v>-527.67000000000007</v>
      </c>
      <c r="AD312" s="8">
        <f>IFERROR(AC312/AC444, "NA")</f>
        <v>-3.8028694306362115E-3</v>
      </c>
    </row>
    <row r="313" spans="1:30" ht="16.5" customHeight="1" x14ac:dyDescent="0.45">
      <c r="A313" s="6" t="s">
        <v>285</v>
      </c>
      <c r="B313" s="7">
        <v>277.05</v>
      </c>
      <c r="C313" s="8">
        <f>IFERROR(B313/B444, "NA")</f>
        <v>5.7943083892174037E-4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-277.05</v>
      </c>
      <c r="I313" s="8">
        <f>IFERROR(H313/H444, "NA")</f>
        <v>5.868845444204273E-2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-277.05</v>
      </c>
      <c r="O313" s="8">
        <f>IFERROR(N313/N444, "NA")</f>
        <v>-4.9536213734681783E-3</v>
      </c>
      <c r="P313" s="9"/>
      <c r="Q313" s="7">
        <v>572.04999999999995</v>
      </c>
      <c r="R313" s="8">
        <f>IFERROR(Q313/Q444, "NA")</f>
        <v>6.2608279188380877E-4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-572.04999999999995</v>
      </c>
      <c r="X313" s="8">
        <f>IFERROR(W313/W444, "NA")</f>
        <v>-7.3686969817389654E-3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-572.04999999999995</v>
      </c>
      <c r="AD313" s="8">
        <f>IFERROR(AC313/AC444, "NA")</f>
        <v>-4.122712031753642E-3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1249.6300000000001</v>
      </c>
      <c r="C315" s="8">
        <f>IFERROR(B315/B444, "NA")</f>
        <v>2.6135143809484728E-3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-1249.6300000000001</v>
      </c>
      <c r="I315" s="8">
        <f>IFERROR(H315/H444, "NA")</f>
        <v>0.26471342113123936</v>
      </c>
      <c r="J315" s="9"/>
      <c r="K315" s="7">
        <v>605.44000000000005</v>
      </c>
      <c r="L315" s="8">
        <f>IFERROR(K315/K444, "NA")</f>
        <v>1.4339687063993603E-3</v>
      </c>
      <c r="M315" s="9"/>
      <c r="N315" s="10">
        <f t="shared" si="77"/>
        <v>-644.19000000000005</v>
      </c>
      <c r="O315" s="8">
        <f>IFERROR(N315/N444, "NA")</f>
        <v>-1.1518041337572518E-2</v>
      </c>
      <c r="P315" s="9"/>
      <c r="Q315" s="7">
        <v>2499.2600000000002</v>
      </c>
      <c r="R315" s="8">
        <f>IFERROR(Q315/Q444, "NA")</f>
        <v>2.735326769414436E-3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-2499.2600000000002</v>
      </c>
      <c r="X315" s="8">
        <f>IFERROR(W315/W444, "NA")</f>
        <v>-3.2193496405175999E-2</v>
      </c>
      <c r="Y315" s="9"/>
      <c r="Z315" s="7">
        <v>1210.8800000000001</v>
      </c>
      <c r="AA315" s="8">
        <f>IFERROR(Z315/Z444, "NA")</f>
        <v>1.5625441565703107E-3</v>
      </c>
      <c r="AB315" s="9"/>
      <c r="AC315" s="10">
        <f t="shared" si="79"/>
        <v>-1288.3800000000001</v>
      </c>
      <c r="AD315" s="8">
        <f>IFERROR(AC315/AC444, "NA")</f>
        <v>-9.2852368280233518E-3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2.7601654923911454E-3</v>
      </c>
      <c r="D318" s="9"/>
      <c r="E318" s="7">
        <v>3210</v>
      </c>
      <c r="F318" s="8">
        <f>IFERROR(E318/E444, "NA")</f>
        <v>6.6478578541365142E-3</v>
      </c>
      <c r="G318" s="9"/>
      <c r="H318" s="10">
        <f t="shared" si="76"/>
        <v>1890.25</v>
      </c>
      <c r="I318" s="8">
        <f>IFERROR(H318/H444, "NA")</f>
        <v>-0.40041815920978624</v>
      </c>
      <c r="J318" s="9"/>
      <c r="K318" s="7">
        <v>1319.75</v>
      </c>
      <c r="L318" s="8">
        <f>IFERROR(K318/K444, "NA")</f>
        <v>3.1257931426244643E-3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2639.5</v>
      </c>
      <c r="R318" s="8">
        <f>IFERROR(Q318/Q444, "NA")</f>
        <v>2.8888130918229408E-3</v>
      </c>
      <c r="S318" s="9"/>
      <c r="T318" s="7">
        <v>6420</v>
      </c>
      <c r="U318" s="8">
        <f>IFERROR(T318/T444, "NA")</f>
        <v>7.6788324729931152E-3</v>
      </c>
      <c r="V318" s="9"/>
      <c r="W318" s="10">
        <f t="shared" si="78"/>
        <v>3780.5</v>
      </c>
      <c r="X318" s="8">
        <f>IFERROR(W318/W444, "NA")</f>
        <v>4.8697419700138384E-2</v>
      </c>
      <c r="Y318" s="9"/>
      <c r="Z318" s="7">
        <v>2639.5</v>
      </c>
      <c r="AA318" s="8">
        <f>IFERROR(Z318/Z444, "NA")</f>
        <v>3.406064433525481E-3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1139.44</v>
      </c>
      <c r="C319" s="8">
        <f>IFERROR(B319/B444, "NA")</f>
        <v>2.3830596466377471E-3</v>
      </c>
      <c r="D319" s="9"/>
      <c r="E319" s="7">
        <v>1084</v>
      </c>
      <c r="F319" s="8">
        <f>IFERROR(E319/E444, "NA")</f>
        <v>2.2449463906180629E-3</v>
      </c>
      <c r="G319" s="9"/>
      <c r="H319" s="10">
        <f t="shared" si="76"/>
        <v>-55.440000000000055</v>
      </c>
      <c r="I319" s="8">
        <f>IFERROR(H319/H444, "NA")</f>
        <v>1.1744045891596651E-2</v>
      </c>
      <c r="J319" s="9"/>
      <c r="K319" s="7">
        <v>1037.6600000000001</v>
      </c>
      <c r="L319" s="8">
        <f>IFERROR(K319/K444, "NA")</f>
        <v>2.4576704014970274E-3</v>
      </c>
      <c r="M319" s="9"/>
      <c r="N319" s="10">
        <f t="shared" si="77"/>
        <v>-101.77999999999997</v>
      </c>
      <c r="O319" s="8">
        <f>IFERROR(N319/N444, "NA")</f>
        <v>-1.8198144139743406E-3</v>
      </c>
      <c r="P319" s="9"/>
      <c r="Q319" s="7">
        <v>2259.9</v>
      </c>
      <c r="R319" s="8">
        <f>IFERROR(Q319/Q444, "NA")</f>
        <v>2.4733581004776147E-3</v>
      </c>
      <c r="S319" s="9"/>
      <c r="T319" s="7">
        <v>2168</v>
      </c>
      <c r="U319" s="8">
        <f>IFERROR(T319/T444, "NA")</f>
        <v>2.5931010594157436E-3</v>
      </c>
      <c r="V319" s="9"/>
      <c r="W319" s="10">
        <f t="shared" si="78"/>
        <v>-91.900000000000091</v>
      </c>
      <c r="X319" s="8">
        <f>IFERROR(W319/W444, "NA")</f>
        <v>-1.1837833277192756E-3</v>
      </c>
      <c r="Y319" s="9"/>
      <c r="Z319" s="7">
        <v>2041.9099999999999</v>
      </c>
      <c r="AA319" s="8">
        <f>IFERROR(Z319/Z444, "NA")</f>
        <v>2.634922154749011E-3</v>
      </c>
      <c r="AB319" s="9"/>
      <c r="AC319" s="10">
        <f t="shared" si="79"/>
        <v>-217.99000000000024</v>
      </c>
      <c r="AD319" s="8">
        <f>IFERROR(AC319/AC444, "NA")</f>
        <v>-1.5710339931858709E-3</v>
      </c>
    </row>
    <row r="320" spans="1:30" ht="16.5" customHeight="1" x14ac:dyDescent="0.45">
      <c r="A320" s="6" t="s">
        <v>292</v>
      </c>
      <c r="B320" s="7">
        <v>5142.4099999999989</v>
      </c>
      <c r="C320" s="8">
        <f>IFERROR(B320/B444, "NA")</f>
        <v>1.0754993468253189E-2</v>
      </c>
      <c r="D320" s="9"/>
      <c r="E320" s="7">
        <v>4243</v>
      </c>
      <c r="F320" s="8">
        <f>IFERROR(E320/E444, "NA")</f>
        <v>8.7871840732402593E-3</v>
      </c>
      <c r="G320" s="9"/>
      <c r="H320" s="10">
        <f t="shared" si="76"/>
        <v>-899.40999999999894</v>
      </c>
      <c r="I320" s="8">
        <f>IFERROR(H320/H444, "NA")</f>
        <v>0.19052511391343652</v>
      </c>
      <c r="J320" s="9"/>
      <c r="K320" s="7">
        <v>4340.22</v>
      </c>
      <c r="L320" s="8">
        <f>IFERROR(K320/K444, "NA")</f>
        <v>1.0279696846737301E-2</v>
      </c>
      <c r="M320" s="9"/>
      <c r="N320" s="10">
        <f t="shared" si="77"/>
        <v>-802.18999999999869</v>
      </c>
      <c r="O320" s="8">
        <f>IFERROR(N320/N444, "NA")</f>
        <v>-1.4343062730851584E-2</v>
      </c>
      <c r="P320" s="9"/>
      <c r="Q320" s="7">
        <v>10284.82</v>
      </c>
      <c r="R320" s="8">
        <f>IFERROR(Q320/Q444, "NA")</f>
        <v>1.1256269241539087E-2</v>
      </c>
      <c r="S320" s="9"/>
      <c r="T320" s="7">
        <v>8486</v>
      </c>
      <c r="U320" s="8">
        <f>IFERROR(T320/T444, "NA")</f>
        <v>1.0149933390314576E-2</v>
      </c>
      <c r="V320" s="9"/>
      <c r="W320" s="10">
        <f t="shared" si="78"/>
        <v>-1798.8199999999997</v>
      </c>
      <c r="X320" s="8">
        <f>IFERROR(W320/W444, "NA")</f>
        <v>-2.3170980691708216E-2</v>
      </c>
      <c r="Y320" s="9"/>
      <c r="Z320" s="7">
        <v>8740.41</v>
      </c>
      <c r="AA320" s="8">
        <f>IFERROR(Z320/Z444, "NA")</f>
        <v>1.1278802665440594E-2</v>
      </c>
      <c r="AB320" s="9"/>
      <c r="AC320" s="10">
        <f t="shared" si="79"/>
        <v>-1544.4099999999999</v>
      </c>
      <c r="AD320" s="8">
        <f>IFERROR(AC320/AC444, "NA")</f>
        <v>-1.1130421622167017E-2</v>
      </c>
    </row>
    <row r="321" spans="1:30" ht="16.5" customHeight="1" x14ac:dyDescent="0.45">
      <c r="A321" s="6" t="s">
        <v>293</v>
      </c>
      <c r="B321" s="7">
        <v>10715.890000000001</v>
      </c>
      <c r="C321" s="8">
        <f>IFERROR(B321/B444, "NA")</f>
        <v>2.2411539911543363E-2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-10715.890000000001</v>
      </c>
      <c r="I321" s="8">
        <f>IFERROR(H321/H444, "NA")</f>
        <v>2.2699838371086134</v>
      </c>
      <c r="J321" s="9"/>
      <c r="K321" s="7">
        <v>8018.5300000000007</v>
      </c>
      <c r="L321" s="8">
        <f>IFERROR(K321/K444, "NA")</f>
        <v>1.8991677278218259E-2</v>
      </c>
      <c r="M321" s="9"/>
      <c r="N321" s="10">
        <f t="shared" si="77"/>
        <v>-2697.3600000000006</v>
      </c>
      <c r="O321" s="8">
        <f>IFERROR(N321/N444, "NA")</f>
        <v>-4.8228479147944876E-2</v>
      </c>
      <c r="P321" s="9"/>
      <c r="Q321" s="7">
        <v>23139.65</v>
      </c>
      <c r="R321" s="8">
        <f>IFERROR(Q321/Q444, "NA")</f>
        <v>2.5325297920136661E-2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-23139.65</v>
      </c>
      <c r="X321" s="8">
        <f>IFERROR(W321/W444, "NA")</f>
        <v>-0.29806672338693485</v>
      </c>
      <c r="Y321" s="9"/>
      <c r="Z321" s="7">
        <v>19096.150000000001</v>
      </c>
      <c r="AA321" s="8">
        <f>IFERROR(Z321/Z444, "NA")</f>
        <v>2.4642059985704724E-2</v>
      </c>
      <c r="AB321" s="9"/>
      <c r="AC321" s="10">
        <f t="shared" si="79"/>
        <v>-4043.5</v>
      </c>
      <c r="AD321" s="8">
        <f>IFERROR(AC321/AC444, "NA")</f>
        <v>-2.9141134691715503E-2</v>
      </c>
    </row>
    <row r="322" spans="1:30" ht="16.5" customHeight="1" x14ac:dyDescent="0.45">
      <c r="A322" s="6" t="s">
        <v>294</v>
      </c>
      <c r="B322" s="7">
        <v>1718.16</v>
      </c>
      <c r="C322" s="8">
        <f>IFERROR(B322/B444, "NA")</f>
        <v>3.5934123450704833E-3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-1718.16</v>
      </c>
      <c r="I322" s="8">
        <f>IFERROR(H322/H444, "NA")</f>
        <v>0.36396374258848635</v>
      </c>
      <c r="J322" s="9"/>
      <c r="K322" s="7">
        <v>1256.8</v>
      </c>
      <c r="L322" s="8">
        <f>IFERROR(K322/K444, "NA")</f>
        <v>2.9766977243041687E-3</v>
      </c>
      <c r="M322" s="9"/>
      <c r="N322" s="10">
        <f t="shared" si="77"/>
        <v>-461.36000000000013</v>
      </c>
      <c r="O322" s="8">
        <f>IFERROR(N322/N444, "NA")</f>
        <v>-8.2490624683749479E-3</v>
      </c>
      <c r="P322" s="9"/>
      <c r="Q322" s="7">
        <v>2794.26</v>
      </c>
      <c r="R322" s="8">
        <f>IFERROR(Q322/Q444, "NA")</f>
        <v>3.0581908959868048E-3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-2794.26</v>
      </c>
      <c r="X322" s="8">
        <f>IFERROR(W322/W444, "NA")</f>
        <v>-3.5993453768366268E-2</v>
      </c>
      <c r="Y322" s="9"/>
      <c r="Z322" s="7">
        <v>2581.48</v>
      </c>
      <c r="AA322" s="8">
        <f>IFERROR(Z322/Z444, "NA")</f>
        <v>3.3311942465835799E-3</v>
      </c>
      <c r="AB322" s="9"/>
      <c r="AC322" s="10">
        <f t="shared" si="79"/>
        <v>-212.7800000000002</v>
      </c>
      <c r="AD322" s="8">
        <f>IFERROR(AC322/AC444, "NA")</f>
        <v>-1.5334859996792953E-3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-31.29</v>
      </c>
      <c r="L323" s="8">
        <f>IFERROR(K323/K444, "NA")</f>
        <v>-7.4109541528864927E-5</v>
      </c>
      <c r="M323" s="9"/>
      <c r="N323" s="10">
        <f t="shared" si="77"/>
        <v>-31.29</v>
      </c>
      <c r="O323" s="8">
        <f>IFERROR(N323/N444, "NA")</f>
        <v>-5.5946151516267568E-4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-4.0377251799587911E-5</v>
      </c>
      <c r="AB323" s="9"/>
      <c r="AC323" s="10">
        <f t="shared" si="79"/>
        <v>-31.29</v>
      </c>
      <c r="AD323" s="8">
        <f>IFERROR(AC323/AC444, "NA")</f>
        <v>-2.2550416829572847E-4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24302.13</v>
      </c>
      <c r="C324" s="15">
        <f>IFERROR(B324/B444, "NA")</f>
        <v>5.0826217554539588E-2</v>
      </c>
      <c r="D324" s="2"/>
      <c r="E324" s="14">
        <f>IFERROR(E297+E298+E299+E300+E301+E302+E303+E304+E305+E306+E307+E308+E309+E310+E311+E312+E313+E314+E315+E316+E317+E318+E319+E320+E321+E322+E323, "NA")</f>
        <v>14814.21</v>
      </c>
      <c r="F324" s="15">
        <f>IFERROR(E324/E444, "NA")</f>
        <v>3.0679988255865324E-2</v>
      </c>
      <c r="G324" s="2"/>
      <c r="H324" s="14">
        <f t="shared" si="76"/>
        <v>-9487.9200000000019</v>
      </c>
      <c r="I324" s="15">
        <f>IFERROR(H324/H444, "NA")</f>
        <v>2.0098587282791778</v>
      </c>
      <c r="J324" s="2"/>
      <c r="K324" s="14">
        <f>IFERROR(K297+K298+K299+K300+K301+K302+K303+K304+K305+K306+K307+K308+K309+K310+K311+K312+K313+K314+K315+K316+K317+K318+K319+K320+K321+K322+K323, "NA")</f>
        <v>18016.329999999998</v>
      </c>
      <c r="L324" s="15">
        <f>IFERROR(K324/K444, "NA")</f>
        <v>4.2671203462215881E-2</v>
      </c>
      <c r="M324" s="2"/>
      <c r="N324" s="14">
        <f t="shared" si="77"/>
        <v>-6285.8000000000029</v>
      </c>
      <c r="O324" s="15">
        <f>IFERROR(N324/N444, "NA")</f>
        <v>-0.11238936375869442</v>
      </c>
      <c r="P324" s="2"/>
      <c r="Q324" s="14">
        <f>IFERROR(Q297+Q298+Q299+Q300+Q301+Q302+Q303+Q304+Q305+Q306+Q307+Q308+Q309+Q310+Q311+Q312+Q313+Q314+Q315+Q316+Q317+Q318+Q319+Q320+Q321+Q322+Q323, "NA")</f>
        <v>49439.520000000004</v>
      </c>
      <c r="R324" s="15">
        <f>IFERROR(Q324/Q444, "NA")</f>
        <v>5.410931336595648E-2</v>
      </c>
      <c r="S324" s="2"/>
      <c r="T324" s="14">
        <f>IFERROR(T297+T298+T299+T300+T301+T302+T303+T304+T305+T306+T307+T308+T309+T310+T311+T312+T313+T314+T315+T316+T317+T318+T319+T320+T321+T322+T323, "NA")</f>
        <v>27942.84</v>
      </c>
      <c r="U324" s="15">
        <f>IFERROR(T324/T444, "NA")</f>
        <v>3.3421867161939393E-2</v>
      </c>
      <c r="V324" s="2"/>
      <c r="W324" s="14">
        <f t="shared" si="78"/>
        <v>-21496.680000000004</v>
      </c>
      <c r="X324" s="15">
        <f>IFERROR(W324/W444, "NA")</f>
        <v>-0.27690327949201715</v>
      </c>
      <c r="Y324" s="2"/>
      <c r="Z324" s="14">
        <f>IFERROR(Z297+Z298+Z299+Z300+Z301+Z302+Z303+Z304+Z305+Z306+Z307+Z308+Z309+Z310+Z311+Z312+Z313+Z314+Z315+Z316+Z317+Z318+Z319+Z320+Z321+Z322+Z323, "NA")</f>
        <v>39194.58</v>
      </c>
      <c r="AA324" s="15">
        <f>IFERROR(Z324/Z444, "NA")</f>
        <v>5.0577482449315835E-2</v>
      </c>
      <c r="AB324" s="2"/>
      <c r="AC324" s="14">
        <f t="shared" si="79"/>
        <v>-10244.940000000002</v>
      </c>
      <c r="AD324" s="15">
        <f>IFERROR(AC324/AC444, "NA")</f>
        <v>-7.3834345603695783E-2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146415.15</v>
      </c>
      <c r="C325" s="15">
        <f>IFERROR(B325/B444, "NA")</f>
        <v>0.30621712035860837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108486.89</v>
      </c>
      <c r="F325" s="15">
        <f>IFERROR(E325/E444, "NA")</f>
        <v>0.22467458684029409</v>
      </c>
      <c r="G325" s="2"/>
      <c r="H325" s="14">
        <f t="shared" si="76"/>
        <v>-37928.259999999995</v>
      </c>
      <c r="I325" s="15">
        <f>IFERROR(H325/H444, "NA")</f>
        <v>8.0344737739612029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93539.199999999997</v>
      </c>
      <c r="L325" s="15">
        <f>IFERROR(K325/K444, "NA")</f>
        <v>0.22154513349238741</v>
      </c>
      <c r="M325" s="2"/>
      <c r="N325" s="14">
        <f t="shared" si="77"/>
        <v>-52875.95</v>
      </c>
      <c r="O325" s="15">
        <f>IFERROR(N325/N444, "NA")</f>
        <v>-0.94541575911364262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277806.39</v>
      </c>
      <c r="R325" s="15">
        <f>IFERROR(Q325/Q444, "NA")</f>
        <v>0.30404649987651822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191990.68999999997</v>
      </c>
      <c r="U325" s="15">
        <f>IFERROR(T325/T444, "NA")</f>
        <v>0.22963619079195549</v>
      </c>
      <c r="V325" s="2"/>
      <c r="W325" s="14">
        <f t="shared" si="78"/>
        <v>-85815.700000000041</v>
      </c>
      <c r="X325" s="15">
        <f>IFERROR(W325/W444, "NA")</f>
        <v>-1.1054101731943307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173441.47</v>
      </c>
      <c r="AA325" s="15">
        <f>IFERROR(Z325/Z444, "NA")</f>
        <v>0.22381239714543538</v>
      </c>
      <c r="AB325" s="2"/>
      <c r="AC325" s="14">
        <f t="shared" si="79"/>
        <v>-104364.92000000001</v>
      </c>
      <c r="AD325" s="15">
        <f>IFERROR(AC325/AC444, "NA")</f>
        <v>-0.75214843348834259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52829.58</v>
      </c>
      <c r="C329" s="8">
        <f>IFERROR(B329/B444, "NA")</f>
        <v>0.11048939851753545</v>
      </c>
      <c r="D329" s="9"/>
      <c r="E329" s="7">
        <v>48760.91</v>
      </c>
      <c r="F329" s="8">
        <f>IFERROR(E329/E444, "NA")</f>
        <v>0.1009830524979264</v>
      </c>
      <c r="G329" s="9"/>
      <c r="H329" s="10">
        <f t="shared" si="80"/>
        <v>-4068.6699999999983</v>
      </c>
      <c r="I329" s="8">
        <f>IFERROR(H329/H444, "NA")</f>
        <v>0.8618803607100014</v>
      </c>
      <c r="J329" s="9"/>
      <c r="K329" s="7">
        <v>52186.869999999995</v>
      </c>
      <c r="L329" s="8">
        <f>IFERROR(K329/K444, "NA")</f>
        <v>0.12360322817278603</v>
      </c>
      <c r="M329" s="9"/>
      <c r="N329" s="10">
        <f t="shared" si="81"/>
        <v>-642.7100000000064</v>
      </c>
      <c r="O329" s="8">
        <f>IFERROR(N329/N444, "NA")</f>
        <v>-1.1491579111863435E-2</v>
      </c>
      <c r="P329" s="9"/>
      <c r="Q329" s="7">
        <v>105659.16</v>
      </c>
      <c r="R329" s="8">
        <f>IFERROR(Q329/Q444, "NA")</f>
        <v>0.11563916070430567</v>
      </c>
      <c r="S329" s="9"/>
      <c r="T329" s="7">
        <v>97521.82</v>
      </c>
      <c r="U329" s="8">
        <f>IFERROR(T329/T444, "NA")</f>
        <v>0.11664388134601082</v>
      </c>
      <c r="V329" s="9"/>
      <c r="W329" s="10">
        <f t="shared" si="82"/>
        <v>-8137.3399999999965</v>
      </c>
      <c r="X329" s="8">
        <f>IFERROR(W329/W444, "NA")</f>
        <v>-0.10481879677892446</v>
      </c>
      <c r="Y329" s="9"/>
      <c r="Z329" s="7">
        <v>104373.73999999999</v>
      </c>
      <c r="AA329" s="8">
        <f>IFERROR(Z329/Z444, "NA")</f>
        <v>0.13468599492632538</v>
      </c>
      <c r="AB329" s="9"/>
      <c r="AC329" s="10">
        <f t="shared" si="83"/>
        <v>-1285.4200000000128</v>
      </c>
      <c r="AD329" s="8">
        <f>IFERROR(AC329/AC444, "NA")</f>
        <v>-9.2639043787375586E-3</v>
      </c>
    </row>
    <row r="330" spans="1:30" ht="16.5" customHeight="1" x14ac:dyDescent="0.45">
      <c r="A330" s="6" t="s">
        <v>301</v>
      </c>
      <c r="B330" s="7">
        <v>6225.6100000000006</v>
      </c>
      <c r="C330" s="8">
        <f>IFERROR(B330/B444, "NA")</f>
        <v>1.302043105973498E-2</v>
      </c>
      <c r="D330" s="9"/>
      <c r="E330" s="7">
        <v>6065</v>
      </c>
      <c r="F330" s="8">
        <f>IFERROR(E330/E444, "NA")</f>
        <v>1.2560516475183164E-2</v>
      </c>
      <c r="G330" s="9"/>
      <c r="H330" s="10">
        <f t="shared" si="80"/>
        <v>-160.61000000000058</v>
      </c>
      <c r="I330" s="8">
        <f>IFERROR(H330/H444, "NA")</f>
        <v>3.4022568734656262E-2</v>
      </c>
      <c r="J330" s="9"/>
      <c r="K330" s="7">
        <v>6042.42</v>
      </c>
      <c r="L330" s="8">
        <f>IFERROR(K330/K444, "NA")</f>
        <v>1.4311312749275934E-2</v>
      </c>
      <c r="M330" s="9"/>
      <c r="N330" s="10">
        <f t="shared" si="81"/>
        <v>-183.19000000000051</v>
      </c>
      <c r="O330" s="8">
        <f>IFERROR(N330/N444, "NA")</f>
        <v>-3.2754156268025199E-3</v>
      </c>
      <c r="P330" s="9"/>
      <c r="Q330" s="7">
        <v>12451.220000000001</v>
      </c>
      <c r="R330" s="8">
        <f>IFERROR(Q330/Q444, "NA")</f>
        <v>1.3627295830713256E-2</v>
      </c>
      <c r="S330" s="9"/>
      <c r="T330" s="7">
        <v>12130</v>
      </c>
      <c r="U330" s="8">
        <f>IFERROR(T330/T444, "NA")</f>
        <v>1.4508448270624063E-2</v>
      </c>
      <c r="V330" s="9"/>
      <c r="W330" s="10">
        <f t="shared" si="82"/>
        <v>-321.22000000000116</v>
      </c>
      <c r="X330" s="8">
        <f>IFERROR(W330/W444, "NA")</f>
        <v>-4.1377027261151984E-3</v>
      </c>
      <c r="Y330" s="9"/>
      <c r="Z330" s="7">
        <v>12084.84</v>
      </c>
      <c r="AA330" s="8">
        <f>IFERROR(Z330/Z444, "NA")</f>
        <v>1.5594523094846022E-2</v>
      </c>
      <c r="AB330" s="9"/>
      <c r="AC330" s="10">
        <f t="shared" si="83"/>
        <v>-366.38000000000102</v>
      </c>
      <c r="AD330" s="8">
        <f>IFERROR(AC330/AC444, "NA")</f>
        <v>-2.6404671518117364E-3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4.0816358969127174E-4</v>
      </c>
      <c r="D332" s="9"/>
      <c r="E332" s="7">
        <v>195</v>
      </c>
      <c r="F332" s="8">
        <f>IFERROR(E332/E444, "NA")</f>
        <v>4.0384183226062939E-4</v>
      </c>
      <c r="G332" s="9"/>
      <c r="H332" s="10">
        <f t="shared" si="80"/>
        <v>-0.15999999999999659</v>
      </c>
      <c r="I332" s="8">
        <f>IFERROR(H332/H444, "NA")</f>
        <v>3.3893350336497512E-5</v>
      </c>
      <c r="J332" s="9"/>
      <c r="K332" s="7">
        <v>195.16</v>
      </c>
      <c r="L332" s="8">
        <f>IFERROR(K332/K444, "NA")</f>
        <v>4.6223132389815527E-4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390.32</v>
      </c>
      <c r="R332" s="8">
        <f>IFERROR(Q332/Q444, "NA")</f>
        <v>4.271875453685661E-4</v>
      </c>
      <c r="S332" s="9"/>
      <c r="T332" s="7">
        <v>390</v>
      </c>
      <c r="U332" s="8">
        <f>IFERROR(T332/T444, "NA")</f>
        <v>4.664711315369649E-4</v>
      </c>
      <c r="V332" s="9"/>
      <c r="W332" s="10">
        <f t="shared" si="82"/>
        <v>-0.31999999999999318</v>
      </c>
      <c r="X332" s="8">
        <f>IFERROR(W332/W444, "NA")</f>
        <v>-4.121987648206309E-6</v>
      </c>
      <c r="Y332" s="9"/>
      <c r="Z332" s="7">
        <v>390.32</v>
      </c>
      <c r="AA332" s="8">
        <f>IFERROR(Z332/Z444, "NA")</f>
        <v>5.0367685913758886E-4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5618.89</v>
      </c>
      <c r="C333" s="8">
        <f>IFERROR(B333/B444, "NA")</f>
        <v>1.1751518305392448E-2</v>
      </c>
      <c r="D333" s="9"/>
      <c r="E333" s="7">
        <v>5155</v>
      </c>
      <c r="F333" s="8">
        <f>IFERROR(E333/E444, "NA")</f>
        <v>1.0675921257966894E-2</v>
      </c>
      <c r="G333" s="9"/>
      <c r="H333" s="10">
        <f t="shared" si="80"/>
        <v>-463.89000000000033</v>
      </c>
      <c r="I333" s="8">
        <f>IFERROR(H333/H444, "NA")</f>
        <v>9.8267414297488614E-2</v>
      </c>
      <c r="J333" s="9"/>
      <c r="K333" s="7">
        <v>5480.7000000000007</v>
      </c>
      <c r="L333" s="8">
        <f>IFERROR(K333/K444, "NA")</f>
        <v>1.2980893712280284E-2</v>
      </c>
      <c r="M333" s="9"/>
      <c r="N333" s="10">
        <f t="shared" si="81"/>
        <v>-138.1899999999996</v>
      </c>
      <c r="O333" s="8">
        <f>IFERROR(N333/N444, "NA")</f>
        <v>-2.4708209261850409E-3</v>
      </c>
      <c r="P333" s="9"/>
      <c r="Q333" s="7">
        <v>11142.49</v>
      </c>
      <c r="R333" s="8">
        <f>IFERROR(Q333/Q444, "NA")</f>
        <v>1.219495017522493E-2</v>
      </c>
      <c r="S333" s="9"/>
      <c r="T333" s="7">
        <v>10310</v>
      </c>
      <c r="U333" s="8">
        <f>IFERROR(T333/T444, "NA")</f>
        <v>1.2331582990118226E-2</v>
      </c>
      <c r="V333" s="9"/>
      <c r="W333" s="10">
        <f t="shared" si="82"/>
        <v>-832.48999999999978</v>
      </c>
      <c r="X333" s="8">
        <f>IFERROR(W333/W444, "NA")</f>
        <v>-1.0723479678922945E-2</v>
      </c>
      <c r="Y333" s="9"/>
      <c r="Z333" s="7">
        <v>10961.400000000001</v>
      </c>
      <c r="AA333" s="8">
        <f>IFERROR(Z333/Z444, "NA")</f>
        <v>1.4144813291019591E-2</v>
      </c>
      <c r="AB333" s="9"/>
      <c r="AC333" s="10">
        <f t="shared" si="83"/>
        <v>-181.08999999999833</v>
      </c>
      <c r="AD333" s="8">
        <f>IFERROR(AC333/AC444, "NA")</f>
        <v>-1.3050990679665418E-3</v>
      </c>
    </row>
    <row r="334" spans="1:30" ht="16.5" customHeight="1" x14ac:dyDescent="0.45">
      <c r="A334" s="6" t="s">
        <v>305</v>
      </c>
      <c r="B334" s="7">
        <v>-4067.87</v>
      </c>
      <c r="C334" s="8">
        <f>IFERROR(B334/B444, "NA")</f>
        <v>-8.5076676654920764E-3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4067.87</v>
      </c>
      <c r="I334" s="8">
        <f>IFERROR(H334/H444, "NA")</f>
        <v>-0.86171089395831924</v>
      </c>
      <c r="J334" s="9"/>
      <c r="K334" s="7">
        <v>-4018.39</v>
      </c>
      <c r="L334" s="8">
        <f>IFERROR(K334/K444, "NA")</f>
        <v>-9.5174509614629442E-3</v>
      </c>
      <c r="M334" s="9"/>
      <c r="N334" s="10">
        <f t="shared" si="81"/>
        <v>49.480000000000018</v>
      </c>
      <c r="O334" s="8">
        <f>IFERROR(N334/N444, "NA")</f>
        <v>8.8469657303449033E-4</v>
      </c>
      <c r="P334" s="9"/>
      <c r="Q334" s="7">
        <v>-8135.74</v>
      </c>
      <c r="R334" s="8">
        <f>IFERROR(Q334/Q444, "NA")</f>
        <v>-8.9041986071860483E-3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8135.74</v>
      </c>
      <c r="X334" s="8">
        <f>IFERROR(W334/W444, "NA")</f>
        <v>0.10479818684068347</v>
      </c>
      <c r="Y334" s="9"/>
      <c r="Z334" s="7">
        <v>-8036.78</v>
      </c>
      <c r="AA334" s="8">
        <f>IFERROR(Z334/Z444, "NA")</f>
        <v>-1.0370824215976099E-2</v>
      </c>
      <c r="AB334" s="9"/>
      <c r="AC334" s="10">
        <f t="shared" si="83"/>
        <v>98.960000000000036</v>
      </c>
      <c r="AD334" s="8">
        <f>IFERROR(AC334/AC444, "NA")</f>
        <v>7.1319566936865763E-4</v>
      </c>
    </row>
    <row r="335" spans="1:30" ht="16.5" customHeight="1" x14ac:dyDescent="0.45">
      <c r="A335" s="6" t="s">
        <v>306</v>
      </c>
      <c r="B335" s="7">
        <v>1654.81</v>
      </c>
      <c r="C335" s="8">
        <f>IFERROR(B335/B444, "NA")</f>
        <v>3.4609202185745718E-3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-1654.81</v>
      </c>
      <c r="I335" s="8">
        <f>IFERROR(H335/H444, "NA")</f>
        <v>0.35054409418962906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-1654.81</v>
      </c>
      <c r="O335" s="8">
        <f>IFERROR(N335/N444, "NA")</f>
        <v>-2.958780792286185E-2</v>
      </c>
      <c r="P335" s="9"/>
      <c r="Q335" s="7">
        <v>3309.62</v>
      </c>
      <c r="R335" s="8">
        <f>IFERROR(Q335/Q444, "NA")</f>
        <v>3.6222290528354012E-3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-4.2631914875802666E-2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-2.3852128650524412E-2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15709.95</v>
      </c>
      <c r="F337" s="8">
        <f>IFERROR(E337/E444, "NA")</f>
        <v>3.2535051244732695E-2</v>
      </c>
      <c r="G337" s="9"/>
      <c r="H337" s="10">
        <f t="shared" ref="H337:H344" si="84">IFERROR(-(B337-E337), "NA")</f>
        <v>15709.95</v>
      </c>
      <c r="I337" s="8">
        <f>IFERROR(H337/H444, "NA")</f>
        <v>-3.3278927444929409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31141.43</v>
      </c>
      <c r="U337" s="8">
        <f>IFERROR(T337/T444, "NA")</f>
        <v>3.7247636127638935E-2</v>
      </c>
      <c r="V337" s="9"/>
      <c r="W337" s="10">
        <f t="shared" ref="W337:W344" si="86">IFERROR(-(Q337-T337), "NA")</f>
        <v>31141.43</v>
      </c>
      <c r="X337" s="8">
        <f>IFERROR(W337/W444, "NA")</f>
        <v>0.40113934314838789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10383.23</v>
      </c>
      <c r="C338" s="8">
        <f>IFERROR(B338/B444, "NA")</f>
        <v>2.171580461872363E-2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-10383.23</v>
      </c>
      <c r="I338" s="8">
        <f>IFERROR(H338/H444, "NA")</f>
        <v>2.1995153250902413</v>
      </c>
      <c r="J338" s="9"/>
      <c r="K338" s="7">
        <v>7854.66</v>
      </c>
      <c r="L338" s="8">
        <f>IFERROR(K338/K444, "NA")</f>
        <v>1.8603555495848967E-2</v>
      </c>
      <c r="M338" s="9"/>
      <c r="N338" s="10">
        <f t="shared" si="85"/>
        <v>-2528.5699999999997</v>
      </c>
      <c r="O338" s="8">
        <f>IFERROR(N338/N444, "NA")</f>
        <v>-4.5210533825339939E-2</v>
      </c>
      <c r="P338" s="9"/>
      <c r="Q338" s="7">
        <v>20939.68</v>
      </c>
      <c r="R338" s="8">
        <f>IFERROR(Q338/Q444, "NA")</f>
        <v>2.2917530487813222E-2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-20939.68</v>
      </c>
      <c r="X338" s="8">
        <f>IFERROR(W338/W444, "NA")</f>
        <v>-0.26972844474185786</v>
      </c>
      <c r="Y338" s="9"/>
      <c r="Z338" s="7">
        <v>15522.23</v>
      </c>
      <c r="AA338" s="8">
        <f>IFERROR(Z338/Z444, "NA")</f>
        <v>2.0030200997159395E-2</v>
      </c>
      <c r="AB338" s="9"/>
      <c r="AC338" s="10">
        <f t="shared" si="87"/>
        <v>-5417.4500000000007</v>
      </c>
      <c r="AD338" s="8">
        <f>IFERROR(AC338/AC444, "NA")</f>
        <v>-3.9043066683723052E-2</v>
      </c>
    </row>
    <row r="339" spans="1:30" ht="16.5" customHeight="1" x14ac:dyDescent="0.45">
      <c r="A339" s="12" t="s">
        <v>309</v>
      </c>
      <c r="B339" s="7">
        <v>3147.78</v>
      </c>
      <c r="C339" s="8">
        <f>IFERROR(B339/B444, "NA")</f>
        <v>6.5833633139905281E-3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-3147.78</v>
      </c>
      <c r="I339" s="8">
        <f>IFERROR(H339/H444, "NA")</f>
        <v>0.66680506451389021</v>
      </c>
      <c r="J339" s="9"/>
      <c r="K339" s="7">
        <v>2872.41</v>
      </c>
      <c r="L339" s="8">
        <f>IFERROR(K339/K444, "NA")</f>
        <v>6.8032274906656082E-3</v>
      </c>
      <c r="M339" s="9"/>
      <c r="N339" s="10">
        <f t="shared" si="85"/>
        <v>-275.37000000000035</v>
      </c>
      <c r="O339" s="8">
        <f>IFERROR(N339/N444, "NA")</f>
        <v>-4.9235831713117994E-3</v>
      </c>
      <c r="P339" s="9"/>
      <c r="Q339" s="7">
        <v>6070.01</v>
      </c>
      <c r="R339" s="8">
        <f>IFERROR(Q339/Q444, "NA")</f>
        <v>6.6433507692730326E-3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-6070.01</v>
      </c>
      <c r="X339" s="8">
        <f>IFERROR(W339/W444, "NA")</f>
        <v>-7.818908201402909E-2</v>
      </c>
      <c r="Y339" s="9"/>
      <c r="Z339" s="7">
        <v>5510.630000000001</v>
      </c>
      <c r="AA339" s="8">
        <f>IFERROR(Z339/Z444, "NA")</f>
        <v>7.1110289256747583E-3</v>
      </c>
      <c r="AB339" s="9"/>
      <c r="AC339" s="10">
        <f t="shared" si="87"/>
        <v>-559.3799999999992</v>
      </c>
      <c r="AD339" s="8">
        <f>IFERROR(AC339/AC444, "NA")</f>
        <v>-4.0314005005197958E-3</v>
      </c>
    </row>
    <row r="340" spans="1:30" ht="16.5" customHeight="1" x14ac:dyDescent="0.45">
      <c r="A340" s="12" t="s">
        <v>310</v>
      </c>
      <c r="B340" s="7">
        <v>2489.13</v>
      </c>
      <c r="C340" s="8">
        <f>IFERROR(B340/B444, "NA")</f>
        <v>5.2058425702410094E-3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-2489.13</v>
      </c>
      <c r="I340" s="8">
        <f>IFERROR(H340/H444, "NA")</f>
        <v>0.52728096951929915</v>
      </c>
      <c r="J340" s="9"/>
      <c r="K340" s="7">
        <v>2466.21</v>
      </c>
      <c r="L340" s="8">
        <f>IFERROR(K340/K444, "NA")</f>
        <v>5.8411534807894525E-3</v>
      </c>
      <c r="M340" s="9"/>
      <c r="N340" s="10">
        <f t="shared" si="85"/>
        <v>-22.920000000000073</v>
      </c>
      <c r="O340" s="8">
        <f>IFERROR(N340/N444, "NA")</f>
        <v>-4.0980690084782892E-4</v>
      </c>
      <c r="P340" s="9"/>
      <c r="Q340" s="7">
        <v>5398.69</v>
      </c>
      <c r="R340" s="8">
        <f>IFERROR(Q340/Q444, "NA")</f>
        <v>5.9086214626609549E-3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-5398.69</v>
      </c>
      <c r="X340" s="8">
        <f>IFERROR(W340/W444, "NA")</f>
        <v>-6.9541667176548097E-2</v>
      </c>
      <c r="Y340" s="9"/>
      <c r="Z340" s="7">
        <v>4734.7199999999993</v>
      </c>
      <c r="AA340" s="8">
        <f>IFERROR(Z340/Z444, "NA")</f>
        <v>6.1097788955111814E-3</v>
      </c>
      <c r="AB340" s="9"/>
      <c r="AC340" s="10">
        <f t="shared" si="87"/>
        <v>-663.97000000000025</v>
      </c>
      <c r="AD340" s="8">
        <f>IFERROR(AC340/AC444, "NA")</f>
        <v>-4.7851710649828988E-3</v>
      </c>
    </row>
    <row r="341" spans="1:30" ht="16.5" customHeight="1" x14ac:dyDescent="0.45">
      <c r="A341" s="12" t="s">
        <v>311</v>
      </c>
      <c r="B341" s="7">
        <v>1863.98</v>
      </c>
      <c r="C341" s="8">
        <f>IFERROR(B341/B444, "NA")</f>
        <v>3.8983847505264231E-3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-1863.98</v>
      </c>
      <c r="I341" s="8">
        <f>IFERROR(H341/H444, "NA")</f>
        <v>0.3948532947514124</v>
      </c>
      <c r="J341" s="9"/>
      <c r="K341" s="7">
        <v>1748.81</v>
      </c>
      <c r="L341" s="8">
        <f>IFERROR(K341/K444, "NA")</f>
        <v>4.1420104608850834E-3</v>
      </c>
      <c r="M341" s="9"/>
      <c r="N341" s="10">
        <f t="shared" si="85"/>
        <v>-115.17000000000007</v>
      </c>
      <c r="O341" s="8">
        <f>IFERROR(N341/N444, "NA")</f>
        <v>-2.0592260371136272E-3</v>
      </c>
      <c r="P341" s="9"/>
      <c r="Q341" s="7">
        <v>3766.8</v>
      </c>
      <c r="R341" s="8">
        <f>IFERROR(Q341/Q444, "NA")</f>
        <v>4.122591837195929E-3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-3766.8</v>
      </c>
      <c r="X341" s="8">
        <f>IFERROR(W341/W444, "NA")</f>
        <v>-4.8520947103949545E-2</v>
      </c>
      <c r="Y341" s="9"/>
      <c r="Z341" s="7">
        <v>3497.62</v>
      </c>
      <c r="AA341" s="8">
        <f>IFERROR(Z341/Z444, "NA")</f>
        <v>4.5133999181615429E-3</v>
      </c>
      <c r="AB341" s="9"/>
      <c r="AC341" s="10">
        <f t="shared" si="87"/>
        <v>-269.18000000000029</v>
      </c>
      <c r="AD341" s="8">
        <f>IFERROR(AC341/AC444, "NA")</f>
        <v>-1.9399556414779245E-3</v>
      </c>
    </row>
    <row r="342" spans="1:30" ht="16.5" customHeight="1" x14ac:dyDescent="0.45">
      <c r="A342" s="13" t="s">
        <v>312</v>
      </c>
      <c r="B342" s="14">
        <f>IFERROR(B337+B338+B339+B340+B341, "NA")</f>
        <v>17884.12</v>
      </c>
      <c r="C342" s="15">
        <f>IFERROR(B342/B444, "NA")</f>
        <v>3.7403395253481589E-2</v>
      </c>
      <c r="D342" s="2"/>
      <c r="E342" s="14">
        <f>IFERROR(E337+E338+E339+E340+E341, "NA")</f>
        <v>15709.95</v>
      </c>
      <c r="F342" s="15">
        <f>IFERROR(E342/E444, "NA")</f>
        <v>3.2535051244732695E-2</v>
      </c>
      <c r="G342" s="2"/>
      <c r="H342" s="14">
        <f t="shared" si="84"/>
        <v>-2174.1699999999983</v>
      </c>
      <c r="I342" s="15">
        <f>IFERROR(H342/H444, "NA")</f>
        <v>0.46056190938190195</v>
      </c>
      <c r="J342" s="2"/>
      <c r="K342" s="14">
        <f>IFERROR(K337+K338+K339+K340+K341, "NA")</f>
        <v>14942.089999999998</v>
      </c>
      <c r="L342" s="15">
        <f>IFERROR(K342/K444, "NA")</f>
        <v>3.5389946928189107E-2</v>
      </c>
      <c r="M342" s="2"/>
      <c r="N342" s="14">
        <f t="shared" si="85"/>
        <v>-2942.0300000000007</v>
      </c>
      <c r="O342" s="15">
        <f>IFERROR(N342/N444, "NA")</f>
        <v>-5.2603149934613201E-2</v>
      </c>
      <c r="P342" s="2"/>
      <c r="Q342" s="14">
        <f>IFERROR(Q337+Q338+Q339+Q340+Q341, "NA")</f>
        <v>36175.18</v>
      </c>
      <c r="R342" s="15">
        <f>IFERROR(Q342/Q444, "NA")</f>
        <v>3.9592094556943139E-2</v>
      </c>
      <c r="S342" s="2"/>
      <c r="T342" s="14">
        <f>IFERROR(T337+T338+T339+T340+T341, "NA")</f>
        <v>31141.43</v>
      </c>
      <c r="U342" s="15">
        <f>IFERROR(T342/T444, "NA")</f>
        <v>3.7247636127638935E-2</v>
      </c>
      <c r="V342" s="2"/>
      <c r="W342" s="14">
        <f t="shared" si="86"/>
        <v>-5033.75</v>
      </c>
      <c r="X342" s="15">
        <f>IFERROR(W342/W444, "NA")</f>
        <v>-6.484079788799671E-2</v>
      </c>
      <c r="Y342" s="2"/>
      <c r="Z342" s="14">
        <f>IFERROR(Z337+Z338+Z339+Z340+Z341, "NA")</f>
        <v>29265.200000000001</v>
      </c>
      <c r="AA342" s="15">
        <f>IFERROR(Z342/Z444, "NA")</f>
        <v>3.7764408736506883E-2</v>
      </c>
      <c r="AB342" s="2"/>
      <c r="AC342" s="14">
        <f t="shared" si="87"/>
        <v>-6909.98</v>
      </c>
      <c r="AD342" s="15">
        <f>IFERROR(AC342/AC444, "NA")</f>
        <v>-4.9799593890703667E-2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80340.3</v>
      </c>
      <c r="C343" s="15">
        <f>IFERROR(B343/B444, "NA")</f>
        <v>0.16802615927891823</v>
      </c>
      <c r="D343" s="2"/>
      <c r="E343" s="14">
        <f>IFERROR(E328+E329+E330+E331+E332+E333+E334+E335+E337+E338+E339+E340+E341, "NA")</f>
        <v>75885.86</v>
      </c>
      <c r="F343" s="15">
        <f>IFERROR(E343/E444, "NA")</f>
        <v>0.15715838330806978</v>
      </c>
      <c r="G343" s="2"/>
      <c r="H343" s="14">
        <f t="shared" si="84"/>
        <v>-4454.4400000000023</v>
      </c>
      <c r="I343" s="15">
        <f>IFERROR(H343/H444, "NA")</f>
        <v>0.94359934670569556</v>
      </c>
      <c r="J343" s="2"/>
      <c r="K343" s="14">
        <f>IFERROR(K328+K329+K330+K331+K332+K333+K334+K335+K337+K338+K339+K340+K341, "NA")</f>
        <v>74828.850000000006</v>
      </c>
      <c r="L343" s="15">
        <f>IFERROR(K343/K444, "NA")</f>
        <v>0.1772301619249666</v>
      </c>
      <c r="M343" s="2"/>
      <c r="N343" s="14">
        <f t="shared" si="85"/>
        <v>-5511.4499999999971</v>
      </c>
      <c r="O343" s="15">
        <f>IFERROR(N343/N444, "NA")</f>
        <v>-9.8544076949291376E-2</v>
      </c>
      <c r="P343" s="2"/>
      <c r="Q343" s="14">
        <f>IFERROR(Q328+Q329+Q330+Q331+Q332+Q333+Q334+Q335+Q337+Q338+Q339+Q340+Q341, "NA")</f>
        <v>160992.25</v>
      </c>
      <c r="R343" s="15">
        <f>IFERROR(Q343/Q444, "NA")</f>
        <v>0.17619871925820491</v>
      </c>
      <c r="S343" s="2"/>
      <c r="T343" s="14">
        <f>IFERROR(T328+T329+T330+T331+T332+T333+T334+T335+T337+T338+T339+T340+T341, "NA")</f>
        <v>151493.25</v>
      </c>
      <c r="U343" s="15">
        <f>IFERROR(T343/T444, "NA")</f>
        <v>0.18119801986592901</v>
      </c>
      <c r="V343" s="2"/>
      <c r="W343" s="14">
        <f t="shared" si="86"/>
        <v>-9499</v>
      </c>
      <c r="X343" s="15">
        <f>IFERROR(W343/W444, "NA")</f>
        <v>-0.12235862709472675</v>
      </c>
      <c r="Y343" s="2"/>
      <c r="Z343" s="14">
        <f>IFERROR(Z328+Z329+Z330+Z331+Z332+Z333+Z334+Z335+Z337+Z338+Z339+Z340+Z341, "NA")</f>
        <v>149038.72</v>
      </c>
      <c r="AA343" s="15">
        <f>IFERROR(Z343/Z444, "NA")</f>
        <v>0.19232259269185936</v>
      </c>
      <c r="AB343" s="2"/>
      <c r="AC343" s="14">
        <f t="shared" si="87"/>
        <v>-11953.529999999999</v>
      </c>
      <c r="AD343" s="15">
        <f>IFERROR(AC343/AC444, "NA")</f>
        <v>-8.6147997470375159E-2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80340.3</v>
      </c>
      <c r="C344" s="15">
        <f>IFERROR(B344/B444, "NA")</f>
        <v>0.16802615927891823</v>
      </c>
      <c r="D344" s="2"/>
      <c r="E344" s="14">
        <f>IFERROR(E328+E329+E330+E331+E332+E333+E334+E335+E337+E338+E339+E340+E341, "NA")</f>
        <v>75885.86</v>
      </c>
      <c r="F344" s="15">
        <f>IFERROR(E344/E444, "NA")</f>
        <v>0.15715838330806978</v>
      </c>
      <c r="G344" s="2"/>
      <c r="H344" s="14">
        <f t="shared" si="84"/>
        <v>-4454.4400000000023</v>
      </c>
      <c r="I344" s="15">
        <f>IFERROR(H344/H444, "NA")</f>
        <v>0.94359934670569556</v>
      </c>
      <c r="J344" s="2"/>
      <c r="K344" s="14">
        <f>IFERROR(K328+K329+K330+K331+K332+K333+K334+K335+K337+K338+K339+K340+K341, "NA")</f>
        <v>74828.850000000006</v>
      </c>
      <c r="L344" s="15">
        <f>IFERROR(K344/K444, "NA")</f>
        <v>0.1772301619249666</v>
      </c>
      <c r="M344" s="2"/>
      <c r="N344" s="14">
        <f t="shared" si="85"/>
        <v>-5511.4499999999971</v>
      </c>
      <c r="O344" s="15">
        <f>IFERROR(N344/N444, "NA")</f>
        <v>-9.8544076949291376E-2</v>
      </c>
      <c r="P344" s="2"/>
      <c r="Q344" s="14">
        <f>IFERROR(Q328+Q329+Q330+Q331+Q332+Q333+Q334+Q335+Q337+Q338+Q339+Q340+Q341, "NA")</f>
        <v>160992.25</v>
      </c>
      <c r="R344" s="15">
        <f>IFERROR(Q344/Q444, "NA")</f>
        <v>0.17619871925820491</v>
      </c>
      <c r="S344" s="2"/>
      <c r="T344" s="14">
        <f>IFERROR(T328+T329+T330+T331+T332+T333+T334+T335+T337+T338+T339+T340+T341, "NA")</f>
        <v>151493.25</v>
      </c>
      <c r="U344" s="15">
        <f>IFERROR(T344/T444, "NA")</f>
        <v>0.18119801986592901</v>
      </c>
      <c r="V344" s="2"/>
      <c r="W344" s="14">
        <f t="shared" si="86"/>
        <v>-9499</v>
      </c>
      <c r="X344" s="15">
        <f>IFERROR(W344/W444, "NA")</f>
        <v>-0.12235862709472675</v>
      </c>
      <c r="Y344" s="2"/>
      <c r="Z344" s="14">
        <f>IFERROR(Z328+Z329+Z330+Z331+Z332+Z333+Z334+Z335+Z337+Z338+Z339+Z340+Z341, "NA")</f>
        <v>149038.72</v>
      </c>
      <c r="AA344" s="15">
        <f>IFERROR(Z344/Z444, "NA")</f>
        <v>0.19232259269185936</v>
      </c>
      <c r="AB344" s="2"/>
      <c r="AC344" s="14">
        <f t="shared" si="87"/>
        <v>-11953.529999999999</v>
      </c>
      <c r="AD344" s="15">
        <f>IFERROR(AC344/AC444, "NA")</f>
        <v>-8.6147997470375159E-2</v>
      </c>
    </row>
    <row r="345" spans="1:30" ht="16.5" customHeight="1" x14ac:dyDescent="0.45">
      <c r="A345" s="22" t="s">
        <v>315</v>
      </c>
      <c r="B345" s="23">
        <f>IFERROR(B198-B325-B344, "NA")</f>
        <v>-23282.539999999935</v>
      </c>
      <c r="C345" s="24">
        <f>IFERROR(B345/B444, "NA")</f>
        <v>-4.8693815861501309E-2</v>
      </c>
      <c r="D345" s="25"/>
      <c r="E345" s="23">
        <f>IFERROR(E198-E325-E344, "NA")</f>
        <v>21270.889999999985</v>
      </c>
      <c r="F345" s="24">
        <f>IFERROR(E345/E444, "NA")</f>
        <v>4.4051667648278427E-2</v>
      </c>
      <c r="G345" s="25"/>
      <c r="H345" s="23">
        <f>IFERROR(B345-E345, "NA")</f>
        <v>-44553.42999999992</v>
      </c>
      <c r="I345" s="24">
        <f>IFERROR(H345/H444, "NA")</f>
        <v>9.4379063230165503</v>
      </c>
      <c r="J345" s="25"/>
      <c r="K345" s="23">
        <f>IFERROR(K198-K325-K344, "NA")</f>
        <v>-8199.2299999999959</v>
      </c>
      <c r="L345" s="24">
        <f>IFERROR(K345/K444, "NA")</f>
        <v>-1.9419660472665863E-2</v>
      </c>
      <c r="M345" s="25"/>
      <c r="N345" s="23">
        <f>IFERROR(B345-K345, "NA")</f>
        <v>-15083.309999999939</v>
      </c>
      <c r="O345" s="24">
        <f>IFERROR(N345/N444, "NA")</f>
        <v>-0.2696878065282296</v>
      </c>
      <c r="P345" s="25"/>
      <c r="Q345" s="23">
        <f>IFERROR(Q198-Q325-Q344, "NA")</f>
        <v>-48234.5799999999</v>
      </c>
      <c r="R345" s="24">
        <f>IFERROR(Q345/Q444, "NA")</f>
        <v>-5.2790561160288199E-2</v>
      </c>
      <c r="S345" s="25"/>
      <c r="T345" s="23">
        <f>IFERROR(T198-T325-T344, "NA")</f>
        <v>-12516.209999999934</v>
      </c>
      <c r="U345" s="24">
        <f>IFERROR(T345/T444, "NA")</f>
        <v>-1.4970386259626269E-2</v>
      </c>
      <c r="V345" s="25"/>
      <c r="W345" s="23">
        <f>IFERROR(Q345-T345, "NA")</f>
        <v>-35718.369999999966</v>
      </c>
      <c r="X345" s="24">
        <f>IFERROR(W345/W444, "NA")</f>
        <v>-0.46009587485645553</v>
      </c>
      <c r="Y345" s="25"/>
      <c r="Z345" s="23">
        <f>IFERROR(Z198-Z325-Z344, "NA")</f>
        <v>-37016.750000000058</v>
      </c>
      <c r="AA345" s="24">
        <f>IFERROR(Z345/Z444, "NA")</f>
        <v>-4.7767166364729892E-2</v>
      </c>
      <c r="AB345" s="25"/>
      <c r="AC345" s="23">
        <f>IFERROR(Q345-Z345, "NA")</f>
        <v>-11217.829999999842</v>
      </c>
      <c r="AD345" s="24">
        <f>IFERROR(AC345/AC444, "NA")</f>
        <v>-8.0845874855635547E-2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65276.88</v>
      </c>
      <c r="C350" s="8">
        <f>IFERROR(B350/B444, "NA")</f>
        <v>0.13652206222917801</v>
      </c>
      <c r="D350" s="9"/>
      <c r="E350" s="7">
        <v>55962</v>
      </c>
      <c r="F350" s="8">
        <f>IFERROR(E350/E444, "NA")</f>
        <v>0.11589639290753509</v>
      </c>
      <c r="G350" s="9"/>
      <c r="H350" s="10">
        <f t="shared" si="88"/>
        <v>-9314.8799999999974</v>
      </c>
      <c r="I350" s="8">
        <f>IFERROR(H350/H444, "NA")</f>
        <v>1.9732030698902538</v>
      </c>
      <c r="J350" s="9"/>
      <c r="K350" s="7">
        <v>53577.5</v>
      </c>
      <c r="L350" s="8">
        <f>IFERROR(K350/K444, "NA")</f>
        <v>0.1268968987300339</v>
      </c>
      <c r="M350" s="9"/>
      <c r="N350" s="10">
        <f t="shared" si="89"/>
        <v>-11699.379999999997</v>
      </c>
      <c r="O350" s="8">
        <f>IFERROR(N350/N444, "NA")</f>
        <v>-0.20918353663355393</v>
      </c>
      <c r="P350" s="9"/>
      <c r="Q350" s="7">
        <v>125887.42</v>
      </c>
      <c r="R350" s="8">
        <f>IFERROR(Q350/Q444, "NA")</f>
        <v>0.13777807425338628</v>
      </c>
      <c r="S350" s="9"/>
      <c r="T350" s="7">
        <v>124615</v>
      </c>
      <c r="U350" s="8">
        <f>IFERROR(T350/T444, "NA")</f>
        <v>0.14904948732430484</v>
      </c>
      <c r="V350" s="9"/>
      <c r="W350" s="10">
        <f t="shared" si="90"/>
        <v>-1272.4199999999983</v>
      </c>
      <c r="X350" s="8">
        <f>IFERROR(W350/W444, "NA")</f>
        <v>-1.6390311010408675E-2</v>
      </c>
      <c r="Y350" s="9"/>
      <c r="Z350" s="7">
        <v>106412.54</v>
      </c>
      <c r="AA350" s="8">
        <f>IFERROR(Z350/Z444, "NA")</f>
        <v>0.13731690387388049</v>
      </c>
      <c r="AB350" s="9"/>
      <c r="AC350" s="10">
        <f t="shared" si="91"/>
        <v>-19474.880000000005</v>
      </c>
      <c r="AD350" s="8">
        <f>IFERROR(AC350/AC444, "NA")</f>
        <v>-0.14035367903672474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8653.85</v>
      </c>
      <c r="L352" s="8">
        <f>IFERROR(K352/K444, "NA")</f>
        <v>2.0496415978254003E-2</v>
      </c>
      <c r="M352" s="9"/>
      <c r="N352" s="10">
        <f t="shared" si="89"/>
        <v>8653.85</v>
      </c>
      <c r="O352" s="8">
        <f>IFERROR(N352/N444, "NA")</f>
        <v>0.15472981888752066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13269.25</v>
      </c>
      <c r="AA352" s="8">
        <f>IFERROR(Z352/Z444, "NA")</f>
        <v>1.7122909825557107E-2</v>
      </c>
      <c r="AB352" s="9"/>
      <c r="AC352" s="10">
        <f t="shared" si="91"/>
        <v>13269.25</v>
      </c>
      <c r="AD352" s="8">
        <f>IFERROR(AC352/AC444, "NA")</f>
        <v>9.5630271177951268E-2</v>
      </c>
    </row>
    <row r="353" spans="1:30" ht="16.5" customHeight="1" x14ac:dyDescent="0.45">
      <c r="A353" s="6" t="s">
        <v>322</v>
      </c>
      <c r="B353" s="7">
        <v>2581.85</v>
      </c>
      <c r="C353" s="8">
        <f>IFERROR(B353/B444, "NA")</f>
        <v>5.3997600125251588E-3</v>
      </c>
      <c r="D353" s="9"/>
      <c r="E353" s="7">
        <v>4189.2299999999996</v>
      </c>
      <c r="F353" s="8">
        <f>IFERROR(E353/E444, "NA")</f>
        <v>8.6758272767240834E-3</v>
      </c>
      <c r="G353" s="9"/>
      <c r="H353" s="10">
        <f t="shared" si="88"/>
        <v>1607.3799999999997</v>
      </c>
      <c r="I353" s="8">
        <f>IFERROR(H353/H444, "NA")</f>
        <v>-0.3404968341492533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-2581.85</v>
      </c>
      <c r="O353" s="8">
        <f>IFERROR(N353/N444, "NA")</f>
        <v>-4.6163173950871016E-2</v>
      </c>
      <c r="P353" s="9"/>
      <c r="Q353" s="7">
        <v>6774.8</v>
      </c>
      <c r="R353" s="8">
        <f>IFERROR(Q353/Q444, "NA")</f>
        <v>7.4147114735677441E-3</v>
      </c>
      <c r="S353" s="9"/>
      <c r="T353" s="7">
        <v>7227.82</v>
      </c>
      <c r="U353" s="8">
        <f>IFERROR(T353/T444, "NA")</f>
        <v>8.6450496767833482E-3</v>
      </c>
      <c r="V353" s="9"/>
      <c r="W353" s="10">
        <f t="shared" si="90"/>
        <v>453.01999999999953</v>
      </c>
      <c r="X353" s="8">
        <f>IFERROR(W353/W444, "NA")</f>
        <v>5.8354463887201873E-3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-6774.8</v>
      </c>
      <c r="AD353" s="8">
        <f>IFERROR(AC353/AC444, "NA")</f>
        <v>-4.882536399392462E-2</v>
      </c>
    </row>
    <row r="354" spans="1:30" ht="16.5" customHeight="1" x14ac:dyDescent="0.45">
      <c r="A354" s="6" t="s">
        <v>323</v>
      </c>
      <c r="B354" s="7">
        <v>5617.07</v>
      </c>
      <c r="C354" s="8">
        <f>IFERROR(B354/B444, "NA")</f>
        <v>1.174771190175831E-2</v>
      </c>
      <c r="D354" s="9"/>
      <c r="E354" s="7">
        <v>4817.09</v>
      </c>
      <c r="F354" s="8">
        <f>IFERROR(E354/E444, "NA")</f>
        <v>9.9761151372531037E-3</v>
      </c>
      <c r="G354" s="9"/>
      <c r="H354" s="10">
        <f t="shared" si="88"/>
        <v>-799.97999999999956</v>
      </c>
      <c r="I354" s="8">
        <f>IFERROR(H354/H444, "NA")</f>
        <v>0.16946251501369902</v>
      </c>
      <c r="J354" s="9"/>
      <c r="K354" s="7">
        <v>4776.62</v>
      </c>
      <c r="L354" s="8">
        <f>IFERROR(K354/K444, "NA")</f>
        <v>1.1313298761828277E-2</v>
      </c>
      <c r="M354" s="9"/>
      <c r="N354" s="10">
        <f t="shared" si="89"/>
        <v>-840.44999999999982</v>
      </c>
      <c r="O354" s="8">
        <f>IFERROR(N354/N444, "NA")</f>
        <v>-1.5027147025198808E-2</v>
      </c>
      <c r="P354" s="9"/>
      <c r="Q354" s="7">
        <v>12407.31</v>
      </c>
      <c r="R354" s="8">
        <f>IFERROR(Q354/Q444, "NA")</f>
        <v>1.3579238326313957E-2</v>
      </c>
      <c r="S354" s="9"/>
      <c r="T354" s="7">
        <v>12252.09</v>
      </c>
      <c r="U354" s="8">
        <f>IFERROR(T354/T444, "NA")</f>
        <v>1.4654477656391622E-2</v>
      </c>
      <c r="V354" s="9"/>
      <c r="W354" s="10">
        <f t="shared" si="90"/>
        <v>-155.21999999999935</v>
      </c>
      <c r="X354" s="8">
        <f>IFERROR(W354/W444, "NA")</f>
        <v>-1.9994216336081069E-3</v>
      </c>
      <c r="Y354" s="9"/>
      <c r="Z354" s="7">
        <v>9808.1200000000008</v>
      </c>
      <c r="AA354" s="8">
        <f>IFERROR(Z354/Z444, "NA")</f>
        <v>1.2656597344856959E-2</v>
      </c>
      <c r="AB354" s="9"/>
      <c r="AC354" s="10">
        <f t="shared" si="91"/>
        <v>-2599.1899999999987</v>
      </c>
      <c r="AD354" s="8">
        <f>IFERROR(AC354/AC444, "NA")</f>
        <v>-1.8732124614655614E-2</v>
      </c>
    </row>
    <row r="355" spans="1:30" ht="16.5" customHeight="1" x14ac:dyDescent="0.45">
      <c r="A355" s="6" t="s">
        <v>324</v>
      </c>
      <c r="B355" s="7">
        <v>307.39999999999998</v>
      </c>
      <c r="C355" s="8">
        <f>IFERROR(B355/B444, "NA")</f>
        <v>6.4290575666682169E-4</v>
      </c>
      <c r="D355" s="9"/>
      <c r="E355" s="7">
        <v>280</v>
      </c>
      <c r="F355" s="8">
        <f>IFERROR(E355/E444, "NA")</f>
        <v>5.7987545145116019E-4</v>
      </c>
      <c r="G355" s="9"/>
      <c r="H355" s="10">
        <f t="shared" si="88"/>
        <v>-27.399999999999977</v>
      </c>
      <c r="I355" s="8">
        <f>IFERROR(H355/H444, "NA")</f>
        <v>5.8042362451253184E-3</v>
      </c>
      <c r="J355" s="9"/>
      <c r="K355" s="7">
        <v>267.12</v>
      </c>
      <c r="L355" s="8">
        <f>IFERROR(K355/K444, "NA")</f>
        <v>6.3266669009876637E-4</v>
      </c>
      <c r="M355" s="9"/>
      <c r="N355" s="10">
        <f t="shared" si="89"/>
        <v>-40.279999999999973</v>
      </c>
      <c r="O355" s="8">
        <f>IFERROR(N355/N444, "NA")</f>
        <v>-7.2020165646380829E-4</v>
      </c>
      <c r="P355" s="9"/>
      <c r="Q355" s="7">
        <v>540.6</v>
      </c>
      <c r="R355" s="8">
        <f>IFERROR(Q355/Q444, "NA")</f>
        <v>5.916621926271953E-4</v>
      </c>
      <c r="S355" s="9"/>
      <c r="T355" s="7">
        <v>560</v>
      </c>
      <c r="U355" s="8">
        <f>IFERROR(T355/T444, "NA")</f>
        <v>6.6980470169410351E-4</v>
      </c>
      <c r="V355" s="9"/>
      <c r="W355" s="10">
        <f t="shared" si="90"/>
        <v>19.399999999999977</v>
      </c>
      <c r="X355" s="8">
        <f>IFERROR(W355/W444, "NA")</f>
        <v>2.4989550117251249E-4</v>
      </c>
      <c r="Y355" s="9"/>
      <c r="Z355" s="7">
        <v>267.12</v>
      </c>
      <c r="AA355" s="8">
        <f>IFERROR(Z355/Z444, "NA")</f>
        <v>3.4469707576560959E-4</v>
      </c>
      <c r="AB355" s="9"/>
      <c r="AC355" s="10">
        <f t="shared" si="91"/>
        <v>-273.48</v>
      </c>
      <c r="AD355" s="8">
        <f>IFERROR(AC355/AC444, "NA")</f>
        <v>-1.9709453482107966E-3</v>
      </c>
    </row>
    <row r="356" spans="1:30" ht="16.5" customHeight="1" x14ac:dyDescent="0.45">
      <c r="A356" s="6" t="s">
        <v>325</v>
      </c>
      <c r="B356" s="7">
        <v>6187.5</v>
      </c>
      <c r="C356" s="8">
        <f>IFERROR(B356/B444, "NA")</f>
        <v>1.294072664078061E-2</v>
      </c>
      <c r="D356" s="9"/>
      <c r="E356" s="7">
        <v>6187.5</v>
      </c>
      <c r="F356" s="8">
        <f>IFERROR(E356/E444, "NA")</f>
        <v>1.2814211985193048E-2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-6187.5</v>
      </c>
      <c r="O356" s="8">
        <f>IFERROR(N356/N444, "NA")</f>
        <v>-0.11063177133490111</v>
      </c>
      <c r="P356" s="9"/>
      <c r="Q356" s="7">
        <v>12375</v>
      </c>
      <c r="R356" s="8">
        <f>IFERROR(Q356/Q444, "NA")</f>
        <v>1.3543876496044285E-2</v>
      </c>
      <c r="S356" s="9"/>
      <c r="T356" s="7">
        <v>12375</v>
      </c>
      <c r="U356" s="8">
        <f>IFERROR(T356/T444, "NA")</f>
        <v>1.4801487827615234E-2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1800</v>
      </c>
      <c r="AA356" s="8">
        <f>IFERROR(Z356/Z444, "NA")</f>
        <v>2.3227565752399568E-3</v>
      </c>
      <c r="AB356" s="9"/>
      <c r="AC356" s="10">
        <f t="shared" si="91"/>
        <v>-10575</v>
      </c>
      <c r="AD356" s="8">
        <f>IFERROR(AC356/AC444, "NA")</f>
        <v>-7.6213057837242845E-2</v>
      </c>
    </row>
    <row r="357" spans="1:30" ht="16.5" customHeight="1" x14ac:dyDescent="0.45">
      <c r="A357" s="6" t="s">
        <v>326</v>
      </c>
      <c r="B357" s="7">
        <v>3469.35</v>
      </c>
      <c r="C357" s="8">
        <f>IFERROR(B357/B444, "NA")</f>
        <v>7.2559046418088418E-3</v>
      </c>
      <c r="D357" s="9"/>
      <c r="E357" s="7">
        <v>2294.44</v>
      </c>
      <c r="F357" s="8">
        <f>IFERROR(E357/E444, "NA")</f>
        <v>4.7517479672414282E-3</v>
      </c>
      <c r="G357" s="9"/>
      <c r="H357" s="10">
        <f t="shared" si="88"/>
        <v>-1174.9099999999999</v>
      </c>
      <c r="I357" s="8">
        <f>IFERROR(H357/H444, "NA")</f>
        <v>0.24888522652409462</v>
      </c>
      <c r="J357" s="9"/>
      <c r="K357" s="7">
        <v>2156.7600000000002</v>
      </c>
      <c r="L357" s="8">
        <f>IFERROR(K357/K444, "NA")</f>
        <v>5.1082292997058076E-3</v>
      </c>
      <c r="M357" s="9"/>
      <c r="N357" s="10">
        <f t="shared" si="89"/>
        <v>-1312.5899999999997</v>
      </c>
      <c r="O357" s="8">
        <f>IFERROR(N357/N444, "NA")</f>
        <v>-2.3468954624077221E-2</v>
      </c>
      <c r="P357" s="9"/>
      <c r="Q357" s="7">
        <v>6938.7</v>
      </c>
      <c r="R357" s="8">
        <f>IFERROR(Q357/Q444, "NA")</f>
        <v>7.5940925933820191E-3</v>
      </c>
      <c r="S357" s="9"/>
      <c r="T357" s="7">
        <v>5109.21</v>
      </c>
      <c r="U357" s="8">
        <f>IFERROR(T357/T444, "NA")</f>
        <v>6.1110229998973756E-3</v>
      </c>
      <c r="V357" s="9"/>
      <c r="W357" s="10">
        <f t="shared" si="90"/>
        <v>-1829.4899999999998</v>
      </c>
      <c r="X357" s="8">
        <f>IFERROR(W357/W444, "NA")</f>
        <v>-2.3566047445365997E-2</v>
      </c>
      <c r="Y357" s="9"/>
      <c r="Z357" s="7">
        <v>4313.5200000000004</v>
      </c>
      <c r="AA357" s="8">
        <f>IFERROR(Z357/Z444, "NA")</f>
        <v>5.5662538569050332E-3</v>
      </c>
      <c r="AB357" s="9"/>
      <c r="AC357" s="10">
        <f t="shared" si="91"/>
        <v>-2625.1799999999994</v>
      </c>
      <c r="AD357" s="8">
        <f>IFERROR(AC357/AC444, "NA")</f>
        <v>-1.8919432167675946E-2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83440.049999999988</v>
      </c>
      <c r="C358" s="15">
        <f>IFERROR(B358/B444, "NA")</f>
        <v>0.17450907118271775</v>
      </c>
      <c r="D358" s="2"/>
      <c r="E358" s="14">
        <f>IFERROR(E349+E350+E351+E352+E353+E354+E355+E356+E357, "NA")</f>
        <v>73730.259999999995</v>
      </c>
      <c r="F358" s="15">
        <f>IFERROR(E358/E444, "NA")</f>
        <v>0.1526941707253979</v>
      </c>
      <c r="G358" s="2"/>
      <c r="H358" s="14">
        <f t="shared" si="88"/>
        <v>-9709.7899999999936</v>
      </c>
      <c r="I358" s="15">
        <f>IFERROR(H358/H444, "NA")</f>
        <v>2.0568582135239186</v>
      </c>
      <c r="J358" s="2"/>
      <c r="K358" s="14">
        <f>IFERROR(K349+K350+K351+K352+K353+K354+K355+K356+K357, "NA")</f>
        <v>69431.849999999991</v>
      </c>
      <c r="L358" s="15">
        <f>IFERROR(K358/K444, "NA")</f>
        <v>0.16444750945992073</v>
      </c>
      <c r="M358" s="2"/>
      <c r="N358" s="14">
        <f t="shared" si="89"/>
        <v>-14008.199999999997</v>
      </c>
      <c r="O358" s="15">
        <f>IFERROR(N358/N444, "NA")</f>
        <v>-0.25046496633754528</v>
      </c>
      <c r="P358" s="2"/>
      <c r="Q358" s="14">
        <f>IFERROR(Q349+Q350+Q351+Q352+Q353+Q354+Q355+Q356+Q357, "NA")</f>
        <v>164923.83000000002</v>
      </c>
      <c r="R358" s="15">
        <f>IFERROR(Q358/Q444, "NA")</f>
        <v>0.1805016553353215</v>
      </c>
      <c r="S358" s="2"/>
      <c r="T358" s="14">
        <f>IFERROR(T349+T350+T351+T352+T353+T354+T355+T356+T357, "NA")</f>
        <v>162139.12</v>
      </c>
      <c r="U358" s="15">
        <f>IFERROR(T358/T444, "NA")</f>
        <v>0.19393133018668651</v>
      </c>
      <c r="V358" s="2"/>
      <c r="W358" s="14">
        <f t="shared" si="90"/>
        <v>-2784.710000000021</v>
      </c>
      <c r="X358" s="15">
        <f>IFERROR(W358/W444, "NA")</f>
        <v>-3.587043819949038E-2</v>
      </c>
      <c r="Y358" s="2"/>
      <c r="Z358" s="14">
        <f>IFERROR(Z349+Z350+Z351+Z352+Z353+Z354+Z355+Z356+Z357, "NA")</f>
        <v>135870.54999999996</v>
      </c>
      <c r="AA358" s="15">
        <f>IFERROR(Z358/Z444, "NA")</f>
        <v>0.17533011855220512</v>
      </c>
      <c r="AB358" s="2"/>
      <c r="AC358" s="14">
        <f t="shared" si="91"/>
        <v>-29053.280000000057</v>
      </c>
      <c r="AD358" s="15">
        <f>IFERROR(AC358/AC444, "NA")</f>
        <v>-0.20938433182048372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3.1064756327740723E-3</v>
      </c>
      <c r="G360" s="9"/>
      <c r="H360" s="10">
        <f t="shared" ref="H360:H383" si="92">IFERROR(-(B360-E360), "NA")</f>
        <v>1500</v>
      </c>
      <c r="I360" s="8">
        <f>IFERROR(H360/H444, "NA")</f>
        <v>-0.317750159404671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2500</v>
      </c>
      <c r="U360" s="8">
        <f>IFERROR(T360/T444, "NA")</f>
        <v>2.9901995611343905E-3</v>
      </c>
      <c r="V360" s="9"/>
      <c r="W360" s="10">
        <f t="shared" ref="W360:W383" si="94">IFERROR(-(Q360-T360), "NA")</f>
        <v>2500</v>
      </c>
      <c r="X360" s="8">
        <f>IFERROR(W360/W444, "NA")</f>
        <v>3.2203028501612475E-2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152.68</v>
      </c>
      <c r="L361" s="8">
        <f>IFERROR(K361/K444, "NA")</f>
        <v>3.616185618608852E-4</v>
      </c>
      <c r="M361" s="9"/>
      <c r="N361" s="10">
        <f t="shared" si="93"/>
        <v>152.68</v>
      </c>
      <c r="O361" s="8">
        <f>IFERROR(N361/N444, "NA")</f>
        <v>2.7299004197838712E-3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347.71</v>
      </c>
      <c r="AA361" s="8">
        <f>IFERROR(Z361/Z444, "NA")</f>
        <v>4.4869204932038073E-4</v>
      </c>
      <c r="AB361" s="9"/>
      <c r="AC361" s="10">
        <f t="shared" si="95"/>
        <v>347.71</v>
      </c>
      <c r="AD361" s="8">
        <f>IFERROR(AC361/AC444, "NA")</f>
        <v>2.5059141693227148E-3</v>
      </c>
    </row>
    <row r="362" spans="1:30" ht="16.5" customHeight="1" x14ac:dyDescent="0.45">
      <c r="A362" s="6" t="s">
        <v>330</v>
      </c>
      <c r="B362" s="7">
        <v>1011.15</v>
      </c>
      <c r="C362" s="8">
        <f>IFERROR(B362/B444, "NA")</f>
        <v>2.1147500190424749E-3</v>
      </c>
      <c r="D362" s="9"/>
      <c r="E362" s="7">
        <v>500</v>
      </c>
      <c r="F362" s="8">
        <f>IFERROR(E362/E444, "NA")</f>
        <v>1.0354918775913574E-3</v>
      </c>
      <c r="G362" s="9"/>
      <c r="H362" s="10">
        <f t="shared" si="92"/>
        <v>-511.15</v>
      </c>
      <c r="I362" s="8">
        <f>IFERROR(H362/H444, "NA")</f>
        <v>0.10827866265313171</v>
      </c>
      <c r="J362" s="9"/>
      <c r="K362" s="7">
        <v>511.24</v>
      </c>
      <c r="L362" s="8">
        <f>IFERROR(K362/K444, "NA")</f>
        <v>1.2108584854975042E-3</v>
      </c>
      <c r="M362" s="9"/>
      <c r="N362" s="10">
        <f t="shared" si="93"/>
        <v>-499.90999999999997</v>
      </c>
      <c r="O362" s="8">
        <f>IFERROR(N362/N444, "NA")</f>
        <v>-8.9383319285705719E-3</v>
      </c>
      <c r="P362" s="9"/>
      <c r="Q362" s="7">
        <v>1737.43</v>
      </c>
      <c r="R362" s="8">
        <f>IFERROR(Q362/Q444, "NA")</f>
        <v>1.9015383709512909E-3</v>
      </c>
      <c r="S362" s="9"/>
      <c r="T362" s="7">
        <v>900</v>
      </c>
      <c r="U362" s="8">
        <f>IFERROR(T362/T444, "NA")</f>
        <v>1.0764718420083806E-3</v>
      </c>
      <c r="V362" s="9"/>
      <c r="W362" s="10">
        <f t="shared" si="94"/>
        <v>-837.43000000000006</v>
      </c>
      <c r="X362" s="8">
        <f>IFERROR(W362/W444, "NA")</f>
        <v>-1.0787112863242134E-2</v>
      </c>
      <c r="Y362" s="9"/>
      <c r="Z362" s="7">
        <v>910</v>
      </c>
      <c r="AA362" s="8">
        <f>IFERROR(Z362/Z444, "NA")</f>
        <v>1.1742824908157559E-3</v>
      </c>
      <c r="AB362" s="9"/>
      <c r="AC362" s="10">
        <f t="shared" si="95"/>
        <v>-827.43000000000006</v>
      </c>
      <c r="AD362" s="8">
        <f>IFERROR(AC362/AC444, "NA")</f>
        <v>-5.9632123353446668E-3</v>
      </c>
    </row>
    <row r="363" spans="1:30" ht="16.5" customHeight="1" x14ac:dyDescent="0.45">
      <c r="A363" s="6" t="s">
        <v>331</v>
      </c>
      <c r="B363" s="7">
        <v>724.19</v>
      </c>
      <c r="C363" s="8">
        <f>IFERROR(B363/B444, "NA")</f>
        <v>1.5145931031898038E-3</v>
      </c>
      <c r="D363" s="9"/>
      <c r="E363" s="7">
        <v>200</v>
      </c>
      <c r="F363" s="8">
        <f>IFERROR(E363/E444, "NA")</f>
        <v>4.1419675103654294E-4</v>
      </c>
      <c r="G363" s="9"/>
      <c r="H363" s="10">
        <f t="shared" si="92"/>
        <v>-524.19000000000005</v>
      </c>
      <c r="I363" s="8">
        <f>IFERROR(H363/H444, "NA")</f>
        <v>0.11104097070555634</v>
      </c>
      <c r="J363" s="9"/>
      <c r="K363" s="7">
        <v>223.17</v>
      </c>
      <c r="L363" s="8">
        <f>IFERROR(K363/K444, "NA")</f>
        <v>5.2857227174805954E-4</v>
      </c>
      <c r="M363" s="9"/>
      <c r="N363" s="10">
        <f t="shared" si="93"/>
        <v>-501.0200000000001</v>
      </c>
      <c r="O363" s="8">
        <f>IFERROR(N363/N444, "NA")</f>
        <v>-8.9581785978524713E-3</v>
      </c>
      <c r="P363" s="9"/>
      <c r="Q363" s="7">
        <v>1050.74</v>
      </c>
      <c r="R363" s="8">
        <f>IFERROR(Q363/Q444, "NA")</f>
        <v>1.1499872961174605E-3</v>
      </c>
      <c r="S363" s="9"/>
      <c r="T363" s="7">
        <v>400</v>
      </c>
      <c r="U363" s="8">
        <f>IFERROR(T363/T444, "NA")</f>
        <v>4.7843192978150247E-4</v>
      </c>
      <c r="V363" s="9"/>
      <c r="W363" s="10">
        <f t="shared" si="94"/>
        <v>-650.74</v>
      </c>
      <c r="X363" s="8">
        <f>IFERROR(W363/W444, "NA")</f>
        <v>-8.3823195068557198E-3</v>
      </c>
      <c r="Y363" s="9"/>
      <c r="Z363" s="7">
        <v>454.37</v>
      </c>
      <c r="AA363" s="8">
        <f>IFERROR(Z363/Z444, "NA")</f>
        <v>5.8632828060654397E-4</v>
      </c>
      <c r="AB363" s="9"/>
      <c r="AC363" s="10">
        <f t="shared" si="95"/>
        <v>-596.37</v>
      </c>
      <c r="AD363" s="8">
        <f>IFERROR(AC363/AC444, "NA")</f>
        <v>-4.297984047507945E-3</v>
      </c>
    </row>
    <row r="364" spans="1:30" ht="16.5" customHeight="1" x14ac:dyDescent="0.45">
      <c r="A364" s="6" t="s">
        <v>332</v>
      </c>
      <c r="B364" s="7">
        <v>1851.27</v>
      </c>
      <c r="C364" s="8">
        <f>IFERROR(B364/B444, "NA")</f>
        <v>3.8718026680045125E-3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-1851.27</v>
      </c>
      <c r="I364" s="8">
        <f>IFERROR(H364/H444, "NA")</f>
        <v>0.39216089173405683</v>
      </c>
      <c r="J364" s="9"/>
      <c r="K364" s="7">
        <v>281.36</v>
      </c>
      <c r="L364" s="8">
        <f>IFERROR(K364/K444, "NA")</f>
        <v>6.6639375533913189E-4</v>
      </c>
      <c r="M364" s="9"/>
      <c r="N364" s="10">
        <f t="shared" si="93"/>
        <v>-1569.9099999999999</v>
      </c>
      <c r="O364" s="8">
        <f>IFERROR(N364/N444, "NA")</f>
        <v>-2.8069805921030234E-2</v>
      </c>
      <c r="P364" s="9"/>
      <c r="Q364" s="7">
        <v>1896.53</v>
      </c>
      <c r="R364" s="8">
        <f>IFERROR(Q364/Q444, "NA")</f>
        <v>2.0756661083671008E-3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-1896.53</v>
      </c>
      <c r="X364" s="8">
        <f>IFERROR(W364/W444, "NA")</f>
        <v>-2.4429603857665242E-2</v>
      </c>
      <c r="Y364" s="9"/>
      <c r="Z364" s="7">
        <v>1320.53</v>
      </c>
      <c r="AA364" s="8">
        <f>IFERROR(Z364/Z444, "NA")</f>
        <v>1.7040387446120111E-3</v>
      </c>
      <c r="AB364" s="9"/>
      <c r="AC364" s="10">
        <f t="shared" si="95"/>
        <v>-576</v>
      </c>
      <c r="AD364" s="8">
        <f>IFERROR(AC364/AC444, "NA")</f>
        <v>-4.1511793204966315E-3</v>
      </c>
    </row>
    <row r="365" spans="1:30" ht="16.5" customHeight="1" x14ac:dyDescent="0.45">
      <c r="A365" s="6" t="s">
        <v>333</v>
      </c>
      <c r="B365" s="7">
        <v>896.2</v>
      </c>
      <c r="C365" s="8">
        <f>IFERROR(B365/B444, "NA")</f>
        <v>1.8743400752270843E-3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-896.2</v>
      </c>
      <c r="I365" s="8">
        <f>IFERROR(H365/H444, "NA")</f>
        <v>0.18984512857231076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-896.2</v>
      </c>
      <c r="O365" s="8">
        <f>IFERROR(N365/N444, "NA")</f>
        <v>-1.6023950459852668E-2</v>
      </c>
      <c r="P365" s="9"/>
      <c r="Q365" s="7">
        <v>896.2</v>
      </c>
      <c r="R365" s="8">
        <f>IFERROR(Q365/Q444, "NA")</f>
        <v>9.8085027198019305E-4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-896.2</v>
      </c>
      <c r="X365" s="8">
        <f>IFERROR(W365/W444, "NA")</f>
        <v>-1.154414165725804E-2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-896.2</v>
      </c>
      <c r="AD365" s="8">
        <f>IFERROR(AC365/AC444, "NA")</f>
        <v>-6.4588314358143776E-3</v>
      </c>
    </row>
    <row r="366" spans="1:30" ht="16.5" customHeight="1" x14ac:dyDescent="0.45">
      <c r="A366" s="6" t="s">
        <v>334</v>
      </c>
      <c r="B366" s="7">
        <v>1049.3499999999999</v>
      </c>
      <c r="C366" s="8">
        <f>IFERROR(B366/B444, "NA")</f>
        <v>2.1946426667479812E-3</v>
      </c>
      <c r="D366" s="9"/>
      <c r="E366" s="7">
        <v>345</v>
      </c>
      <c r="F366" s="8">
        <f>IFERROR(E366/E444, "NA")</f>
        <v>7.1448939553803658E-4</v>
      </c>
      <c r="G366" s="9"/>
      <c r="H366" s="10">
        <f t="shared" si="92"/>
        <v>-704.34999999999991</v>
      </c>
      <c r="I366" s="8">
        <f>IFERROR(H366/H444, "NA")</f>
        <v>0.14920488318445332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-1049.3499999999999</v>
      </c>
      <c r="O366" s="8">
        <f>IFERROR(N366/N444, "NA")</f>
        <v>-1.8762254424287431E-2</v>
      </c>
      <c r="P366" s="9"/>
      <c r="Q366" s="7">
        <v>1049.3499999999999</v>
      </c>
      <c r="R366" s="8">
        <f>IFERROR(Q366/Q444, "NA")</f>
        <v>1.148466004131238E-3</v>
      </c>
      <c r="S366" s="9"/>
      <c r="T366" s="7">
        <v>345</v>
      </c>
      <c r="U366" s="8">
        <f>IFERROR(T366/T444, "NA")</f>
        <v>4.1264753943654587E-4</v>
      </c>
      <c r="V366" s="9"/>
      <c r="W366" s="10">
        <f t="shared" si="94"/>
        <v>-704.34999999999991</v>
      </c>
      <c r="X366" s="8">
        <f>IFERROR(W366/W444, "NA")</f>
        <v>-9.0728812500442974E-3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-1049.3499999999999</v>
      </c>
      <c r="AD366" s="8">
        <f>IFERROR(AC366/AC444, "NA")</f>
        <v>-7.5625694791026732E-3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5532.16</v>
      </c>
      <c r="C368" s="15">
        <f>IFERROR(B368/B444, "NA")</f>
        <v>1.1570128532211857E-2</v>
      </c>
      <c r="D368" s="2"/>
      <c r="E368" s="14">
        <f>IFERROR(E360+E361+E362+E363+E364+E365+E366+E367, "NA")</f>
        <v>2545</v>
      </c>
      <c r="F368" s="15">
        <f>IFERROR(E368/E444, "NA")</f>
        <v>5.2706536569400095E-3</v>
      </c>
      <c r="G368" s="2"/>
      <c r="H368" s="14">
        <f t="shared" si="92"/>
        <v>-2987.16</v>
      </c>
      <c r="I368" s="15">
        <f>IFERROR(H368/H444, "NA")</f>
        <v>0.63278037744483795</v>
      </c>
      <c r="J368" s="2"/>
      <c r="K368" s="14">
        <f>IFERROR(K360+K361+K362+K363+K364+K365+K366+K367, "NA")</f>
        <v>1168.45</v>
      </c>
      <c r="L368" s="15">
        <f>IFERROR(K368/K444, "NA")</f>
        <v>2.7674430744455808E-3</v>
      </c>
      <c r="M368" s="2"/>
      <c r="N368" s="14">
        <f t="shared" si="93"/>
        <v>-4363.71</v>
      </c>
      <c r="O368" s="15">
        <f>IFERROR(N368/N444, "NA")</f>
        <v>-7.8022620911809504E-2</v>
      </c>
      <c r="P368" s="2"/>
      <c r="Q368" s="14">
        <f>IFERROR(Q360+Q361+Q362+Q363+Q364+Q365+Q366+Q367, "NA")</f>
        <v>6630.25</v>
      </c>
      <c r="R368" s="15">
        <f>IFERROR(Q368/Q444, "NA")</f>
        <v>7.256508051547283E-3</v>
      </c>
      <c r="S368" s="2"/>
      <c r="T368" s="14">
        <f>IFERROR(T360+T361+T362+T363+T364+T365+T366+T367, "NA")</f>
        <v>4145</v>
      </c>
      <c r="U368" s="15">
        <f>IFERROR(T368/T444, "NA")</f>
        <v>4.9577508723608193E-3</v>
      </c>
      <c r="V368" s="2"/>
      <c r="W368" s="14">
        <f t="shared" si="94"/>
        <v>-2485.25</v>
      </c>
      <c r="X368" s="15">
        <f>IFERROR(W368/W444, "NA")</f>
        <v>-3.2013030633452962E-2</v>
      </c>
      <c r="Y368" s="2"/>
      <c r="Z368" s="14">
        <f>IFERROR(Z360+Z361+Z362+Z363+Z364+Z365+Z366+Z367, "NA")</f>
        <v>3032.6099999999997</v>
      </c>
      <c r="AA368" s="15">
        <f>IFERROR(Z368/Z444, "NA")</f>
        <v>3.9133415653546917E-3</v>
      </c>
      <c r="AB368" s="2"/>
      <c r="AC368" s="14">
        <f t="shared" si="95"/>
        <v>-3597.6400000000003</v>
      </c>
      <c r="AD368" s="15">
        <f>IFERROR(AC368/AC444, "NA")</f>
        <v>-2.5927862448943583E-2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103</v>
      </c>
      <c r="C370" s="8">
        <f>IFERROR(B370/B444, "NA")</f>
        <v>2.1541734852531763E-4</v>
      </c>
      <c r="D370" s="9"/>
      <c r="E370" s="7">
        <v>635</v>
      </c>
      <c r="F370" s="8">
        <f>IFERROR(E370/E444, "NA")</f>
        <v>1.315074684541024E-3</v>
      </c>
      <c r="G370" s="9"/>
      <c r="H370" s="10">
        <f t="shared" si="92"/>
        <v>532</v>
      </c>
      <c r="I370" s="8">
        <f>IFERROR(H370/H444, "NA")</f>
        <v>-0.11269538986885665</v>
      </c>
      <c r="J370" s="9"/>
      <c r="K370" s="7">
        <v>1644.5</v>
      </c>
      <c r="L370" s="8">
        <f>IFERROR(K370/K444, "NA")</f>
        <v>3.8949549710520412E-3</v>
      </c>
      <c r="M370" s="9"/>
      <c r="N370" s="10">
        <f t="shared" si="93"/>
        <v>1541.5</v>
      </c>
      <c r="O370" s="8">
        <f>IFERROR(N370/N444, "NA")</f>
        <v>2.7561838466707081E-2</v>
      </c>
      <c r="P370" s="9"/>
      <c r="Q370" s="7">
        <v>206</v>
      </c>
      <c r="R370" s="8">
        <f>IFERROR(Q370/Q444, "NA")</f>
        <v>2.2545766126748468E-4</v>
      </c>
      <c r="S370" s="9"/>
      <c r="T370" s="7">
        <v>1270</v>
      </c>
      <c r="U370" s="8">
        <f>IFERROR(T370/T444, "NA")</f>
        <v>1.5190213770562703E-3</v>
      </c>
      <c r="V370" s="9"/>
      <c r="W370" s="10">
        <f t="shared" si="94"/>
        <v>1064</v>
      </c>
      <c r="X370" s="8">
        <f>IFERROR(W370/W444, "NA")</f>
        <v>1.3705608930286269E-2</v>
      </c>
      <c r="Y370" s="9"/>
      <c r="Z370" s="7">
        <v>1692</v>
      </c>
      <c r="AA370" s="8">
        <f>IFERROR(Z370/Z444, "NA")</f>
        <v>2.1833911807255593E-3</v>
      </c>
      <c r="AB370" s="9"/>
      <c r="AC370" s="10">
        <f t="shared" si="95"/>
        <v>1486</v>
      </c>
      <c r="AD370" s="8">
        <f>IFERROR(AC370/AC444, "NA")</f>
        <v>1.0709466094197907E-2</v>
      </c>
    </row>
    <row r="371" spans="1:30" ht="16.5" customHeight="1" x14ac:dyDescent="0.45">
      <c r="A371" s="20" t="s">
        <v>339</v>
      </c>
      <c r="B371" s="7">
        <v>187.21</v>
      </c>
      <c r="C371" s="8">
        <f>IFERROR(B371/B444, "NA")</f>
        <v>3.9153671667402638E-4</v>
      </c>
      <c r="D371" s="9"/>
      <c r="E371" s="7">
        <v>100</v>
      </c>
      <c r="F371" s="8">
        <f>IFERROR(E371/E444, "NA")</f>
        <v>2.0709837551827147E-4</v>
      </c>
      <c r="G371" s="9"/>
      <c r="H371" s="10">
        <f t="shared" si="92"/>
        <v>-87.210000000000008</v>
      </c>
      <c r="I371" s="8">
        <f>IFERROR(H371/H444, "NA")</f>
        <v>1.8473994267787574E-2</v>
      </c>
      <c r="J371" s="9"/>
      <c r="K371" s="7">
        <v>73.84</v>
      </c>
      <c r="L371" s="8">
        <f>IFERROR(K371/K444, "NA")</f>
        <v>1.7488809672391774E-4</v>
      </c>
      <c r="M371" s="9"/>
      <c r="N371" s="10">
        <f t="shared" si="93"/>
        <v>-113.37</v>
      </c>
      <c r="O371" s="8">
        <f>IFERROR(N371/N444, "NA")</f>
        <v>-2.0270422490889276E-3</v>
      </c>
      <c r="P371" s="9"/>
      <c r="Q371" s="7">
        <v>297.27999999999997</v>
      </c>
      <c r="R371" s="8">
        <f>IFERROR(Q371/Q444, "NA")</f>
        <v>3.2535948321164003E-4</v>
      </c>
      <c r="S371" s="9"/>
      <c r="T371" s="7">
        <v>200</v>
      </c>
      <c r="U371" s="8">
        <f>IFERROR(T371/T444, "NA")</f>
        <v>2.3921596489075123E-4</v>
      </c>
      <c r="V371" s="9"/>
      <c r="W371" s="10">
        <f t="shared" si="94"/>
        <v>-97.279999999999973</v>
      </c>
      <c r="X371" s="8">
        <f>IFERROR(W371/W444, "NA")</f>
        <v>-1.2530842450547443E-3</v>
      </c>
      <c r="Y371" s="9"/>
      <c r="Z371" s="7">
        <v>307</v>
      </c>
      <c r="AA371" s="8">
        <f>IFERROR(Z371/Z444, "NA")</f>
        <v>3.9615903811037042E-4</v>
      </c>
      <c r="AB371" s="9"/>
      <c r="AC371" s="10">
        <f t="shared" si="95"/>
        <v>9.7200000000000273</v>
      </c>
      <c r="AD371" s="8">
        <f>IFERROR(AC371/AC444, "NA")</f>
        <v>7.0051151033380854E-5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5.7968181058992523E-4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5.8713874454795111E-2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-277.17</v>
      </c>
      <c r="O372" s="8">
        <f>IFERROR(N372/N444, "NA")</f>
        <v>-4.9557669593364917E-3</v>
      </c>
      <c r="P372" s="9"/>
      <c r="Q372" s="7">
        <v>277.17</v>
      </c>
      <c r="R372" s="8">
        <f>IFERROR(Q372/Q444, "NA")</f>
        <v>3.0334999987140162E-4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-277.17</v>
      </c>
      <c r="X372" s="8">
        <f>IFERROR(W372/W444, "NA")</f>
        <v>-3.570285363916772E-3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-277.17</v>
      </c>
      <c r="AD372" s="8">
        <f>IFERROR(AC372/AC444, "NA")</f>
        <v>-1.9975388407327283E-3</v>
      </c>
    </row>
    <row r="373" spans="1:30" ht="16.5" customHeight="1" x14ac:dyDescent="0.45">
      <c r="A373" s="20" t="s">
        <v>341</v>
      </c>
      <c r="B373" s="7">
        <v>607.08000000000004</v>
      </c>
      <c r="C373" s="8">
        <f>IFERROR(B373/B444, "NA")</f>
        <v>1.2696656693470859E-3</v>
      </c>
      <c r="D373" s="9"/>
      <c r="E373" s="7">
        <v>325</v>
      </c>
      <c r="F373" s="8">
        <f>IFERROR(E373/E444, "NA")</f>
        <v>6.7306972043438228E-4</v>
      </c>
      <c r="G373" s="9"/>
      <c r="H373" s="10">
        <f t="shared" si="92"/>
        <v>-282.08000000000004</v>
      </c>
      <c r="I373" s="8">
        <f>IFERROR(H373/H444, "NA")</f>
        <v>5.9753976643246401E-2</v>
      </c>
      <c r="J373" s="9"/>
      <c r="K373" s="7">
        <v>788.11</v>
      </c>
      <c r="L373" s="8">
        <f>IFERROR(K373/K444, "NA")</f>
        <v>1.8666177940017173E-3</v>
      </c>
      <c r="M373" s="9"/>
      <c r="N373" s="10">
        <f t="shared" si="93"/>
        <v>181.02999999999997</v>
      </c>
      <c r="O373" s="8">
        <f>IFERROR(N373/N444, "NA")</f>
        <v>3.236795081172872E-3</v>
      </c>
      <c r="P373" s="9"/>
      <c r="Q373" s="7">
        <v>1061.97</v>
      </c>
      <c r="R373" s="8">
        <f>IFERROR(Q373/Q444, "NA")</f>
        <v>1.1622780220205374E-3</v>
      </c>
      <c r="S373" s="9"/>
      <c r="T373" s="7">
        <v>650</v>
      </c>
      <c r="U373" s="8">
        <f>IFERROR(T373/T444, "NA")</f>
        <v>7.7745188589494157E-4</v>
      </c>
      <c r="V373" s="9"/>
      <c r="W373" s="10">
        <f t="shared" si="94"/>
        <v>-411.97</v>
      </c>
      <c r="X373" s="8">
        <f>IFERROR(W373/W444, "NA")</f>
        <v>-5.3066726607237163E-3</v>
      </c>
      <c r="Y373" s="9"/>
      <c r="Z373" s="7">
        <v>1551.96</v>
      </c>
      <c r="AA373" s="8">
        <f>IFERROR(Z373/Z444, "NA")</f>
        <v>2.0026807191718906E-3</v>
      </c>
      <c r="AB373" s="9"/>
      <c r="AC373" s="10">
        <f t="shared" si="95"/>
        <v>489.99</v>
      </c>
      <c r="AD373" s="8">
        <f>IFERROR(AC373/AC444, "NA")</f>
        <v>3.5313131167537233E-3</v>
      </c>
    </row>
    <row r="374" spans="1:30" ht="16.5" customHeight="1" x14ac:dyDescent="0.45">
      <c r="A374" s="20" t="s">
        <v>342</v>
      </c>
      <c r="B374" s="7">
        <v>1897.01</v>
      </c>
      <c r="C374" s="8">
        <f>IFERROR(B374/B444, "NA")</f>
        <v>3.9674647021942996E-3</v>
      </c>
      <c r="D374" s="9"/>
      <c r="E374" s="7">
        <v>1900</v>
      </c>
      <c r="F374" s="8">
        <f>IFERROR(E374/E444, "NA")</f>
        <v>3.9348691348471583E-3</v>
      </c>
      <c r="G374" s="9"/>
      <c r="H374" s="10">
        <f t="shared" si="92"/>
        <v>2.9900000000000091</v>
      </c>
      <c r="I374" s="8">
        <f>IFERROR(H374/H444, "NA")</f>
        <v>-6.3338198441331272E-4</v>
      </c>
      <c r="J374" s="9"/>
      <c r="K374" s="7">
        <v>1780.85</v>
      </c>
      <c r="L374" s="8">
        <f>IFERROR(K374/K444, "NA")</f>
        <v>4.2178963576759059E-3</v>
      </c>
      <c r="M374" s="9"/>
      <c r="N374" s="10">
        <f t="shared" si="93"/>
        <v>-116.16000000000008</v>
      </c>
      <c r="O374" s="8">
        <f>IFERROR(N374/N444, "NA")</f>
        <v>-2.0769271205272116E-3</v>
      </c>
      <c r="P374" s="9"/>
      <c r="Q374" s="7">
        <v>3794.02</v>
      </c>
      <c r="R374" s="8">
        <f>IFERROR(Q374/Q444, "NA")</f>
        <v>4.1523828932138939E-3</v>
      </c>
      <c r="S374" s="9"/>
      <c r="T374" s="7">
        <v>3800</v>
      </c>
      <c r="U374" s="8">
        <f>IFERROR(T374/T444, "NA")</f>
        <v>4.5451033329242732E-3</v>
      </c>
      <c r="V374" s="9"/>
      <c r="W374" s="10">
        <f t="shared" si="94"/>
        <v>5.9800000000000182</v>
      </c>
      <c r="X374" s="8">
        <f>IFERROR(W374/W444, "NA")</f>
        <v>7.7029644175857266E-5</v>
      </c>
      <c r="Y374" s="9"/>
      <c r="Z374" s="7">
        <v>3561.71</v>
      </c>
      <c r="AA374" s="8">
        <f>IFERROR(Z374/Z444, "NA")</f>
        <v>4.5961029564432817E-3</v>
      </c>
      <c r="AB374" s="9"/>
      <c r="AC374" s="10">
        <f t="shared" si="95"/>
        <v>-232.30999999999995</v>
      </c>
      <c r="AD374" s="8">
        <f>IFERROR(AC374/AC444, "NA")</f>
        <v>-1.6742369235148824E-3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205.26</v>
      </c>
      <c r="R375" s="8">
        <f>IFERROR(Q375/Q444, "NA")</f>
        <v>2.2464776481438789E-4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-205.26</v>
      </c>
      <c r="X375" s="8">
        <f>IFERROR(W375/W444, "NA")</f>
        <v>-2.6439974520963902E-3</v>
      </c>
      <c r="Y375" s="9"/>
      <c r="Z375" s="7">
        <v>184.99</v>
      </c>
      <c r="AA375" s="8">
        <f>IFERROR(Z375/Z444, "NA")</f>
        <v>2.3871485491868869E-4</v>
      </c>
      <c r="AB375" s="9"/>
      <c r="AC375" s="10">
        <f t="shared" si="95"/>
        <v>-20.269999999999982</v>
      </c>
      <c r="AD375" s="8">
        <f>IFERROR(AC375/AC444, "NA")</f>
        <v>-1.4608403615706014E-4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-2.6409191098953422E-3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3.1082363109756359E-2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1.7390270313122173E-2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8906.06</v>
      </c>
      <c r="C378" s="8">
        <f>IFERROR(B378/B444, "NA")</f>
        <v>1.8626406126285341E-2</v>
      </c>
      <c r="D378" s="9"/>
      <c r="E378" s="7">
        <v>8470.33</v>
      </c>
      <c r="F378" s="8">
        <f>IFERROR(E378/E444, "NA")</f>
        <v>1.7541915831036804E-2</v>
      </c>
      <c r="G378" s="9"/>
      <c r="H378" s="10">
        <f t="shared" si="92"/>
        <v>-435.72999999999956</v>
      </c>
      <c r="I378" s="8">
        <f>IFERROR(H378/H444, "NA")</f>
        <v>9.230218463826477E-2</v>
      </c>
      <c r="J378" s="9"/>
      <c r="K378" s="7">
        <v>4704.2299999999996</v>
      </c>
      <c r="L378" s="8">
        <f>IFERROR(K378/K444, "NA")</f>
        <v>1.1141844951944143E-2</v>
      </c>
      <c r="M378" s="9"/>
      <c r="N378" s="10">
        <f t="shared" si="93"/>
        <v>-4201.83</v>
      </c>
      <c r="O378" s="8">
        <f>IFERROR(N378/N444, "NA")</f>
        <v>-7.5128225575454954E-2</v>
      </c>
      <c r="P378" s="9"/>
      <c r="Q378" s="7">
        <v>16835.02</v>
      </c>
      <c r="R378" s="8">
        <f>IFERROR(Q378/Q444, "NA")</f>
        <v>1.8425166197045293E-2</v>
      </c>
      <c r="S378" s="9"/>
      <c r="T378" s="7">
        <v>16940.66</v>
      </c>
      <c r="U378" s="8">
        <f>IFERROR(T378/T444, "NA")</f>
        <v>2.0262381638930769E-2</v>
      </c>
      <c r="V378" s="9"/>
      <c r="W378" s="10">
        <f t="shared" si="94"/>
        <v>105.63999999999942</v>
      </c>
      <c r="X378" s="8">
        <f>IFERROR(W378/W444, "NA")</f>
        <v>1.3607711723641292E-3</v>
      </c>
      <c r="Y378" s="9"/>
      <c r="Z378" s="7">
        <v>11532.58</v>
      </c>
      <c r="AA378" s="8">
        <f>IFERROR(Z378/Z444, "NA")</f>
        <v>1.4881875569156012E-2</v>
      </c>
      <c r="AB378" s="9"/>
      <c r="AC378" s="10">
        <f t="shared" si="95"/>
        <v>-5302.4400000000005</v>
      </c>
      <c r="AD378" s="8">
        <f>IFERROR(AC378/AC444, "NA")</f>
        <v>-3.8214200132246808E-2</v>
      </c>
    </row>
    <row r="379" spans="1:30" ht="16.5" customHeight="1" x14ac:dyDescent="0.45">
      <c r="A379" s="20" t="s">
        <v>347</v>
      </c>
      <c r="B379" s="7">
        <v>214.32</v>
      </c>
      <c r="C379" s="8">
        <f>IFERROR(B379/B444, "NA")</f>
        <v>4.4823539937811723E-4</v>
      </c>
      <c r="D379" s="9"/>
      <c r="E379" s="7">
        <v>200</v>
      </c>
      <c r="F379" s="8">
        <f>IFERROR(E379/E444, "NA")</f>
        <v>4.1419675103654294E-4</v>
      </c>
      <c r="G379" s="9"/>
      <c r="H379" s="10">
        <f t="shared" si="92"/>
        <v>-14.319999999999993</v>
      </c>
      <c r="I379" s="8">
        <f>IFERROR(H379/H444, "NA")</f>
        <v>3.0334548551165909E-3</v>
      </c>
      <c r="J379" s="9"/>
      <c r="K379" s="7">
        <v>430.2</v>
      </c>
      <c r="L379" s="8">
        <f>IFERROR(K379/K444, "NA")</f>
        <v>1.0189173782587948E-3</v>
      </c>
      <c r="M379" s="9"/>
      <c r="N379" s="10">
        <f t="shared" si="93"/>
        <v>215.88</v>
      </c>
      <c r="O379" s="8">
        <f>IFERROR(N379/N444, "NA")</f>
        <v>3.8599089770955074E-3</v>
      </c>
      <c r="P379" s="9"/>
      <c r="Q379" s="7">
        <v>232.73</v>
      </c>
      <c r="R379" s="8">
        <f>IFERROR(Q379/Q444, "NA")</f>
        <v>2.5471243449894034E-4</v>
      </c>
      <c r="S379" s="9"/>
      <c r="T379" s="7">
        <v>400</v>
      </c>
      <c r="U379" s="8">
        <f>IFERROR(T379/T444, "NA")</f>
        <v>4.7843192978150247E-4</v>
      </c>
      <c r="V379" s="9"/>
      <c r="W379" s="10">
        <f t="shared" si="94"/>
        <v>167.27</v>
      </c>
      <c r="X379" s="8">
        <f>IFERROR(W379/W444, "NA")</f>
        <v>2.1546402309858873E-3</v>
      </c>
      <c r="Y379" s="9"/>
      <c r="Z379" s="7">
        <v>511.9</v>
      </c>
      <c r="AA379" s="8">
        <f>IFERROR(Z379/Z444, "NA")</f>
        <v>6.6056616159185211E-4</v>
      </c>
      <c r="AB379" s="9"/>
      <c r="AC379" s="10">
        <f t="shared" si="95"/>
        <v>279.16999999999996</v>
      </c>
      <c r="AD379" s="8">
        <f>IFERROR(AC379/AC444, "NA")</f>
        <v>2.0119526578177855E-3</v>
      </c>
    </row>
    <row r="380" spans="1:30" ht="16.5" customHeight="1" x14ac:dyDescent="0.45">
      <c r="A380" s="20" t="s">
        <v>348</v>
      </c>
      <c r="B380" s="7">
        <v>11500</v>
      </c>
      <c r="C380" s="8">
        <f>IFERROR(B380/B444, "NA")</f>
        <v>2.4051451534380125E-2</v>
      </c>
      <c r="D380" s="9"/>
      <c r="E380" s="7">
        <v>11500</v>
      </c>
      <c r="F380" s="8">
        <f>IFERROR(E380/E444, "NA")</f>
        <v>2.3816313184601218E-2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2.7237447350014276E-2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23000</v>
      </c>
      <c r="R380" s="8">
        <f>IFERROR(Q380/Q444, "NA")</f>
        <v>2.51724573259813E-2</v>
      </c>
      <c r="S380" s="9"/>
      <c r="T380" s="7">
        <v>23000</v>
      </c>
      <c r="U380" s="8">
        <f>IFERROR(T380/T444, "NA")</f>
        <v>2.7509835962436391E-2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23000</v>
      </c>
      <c r="AA380" s="8">
        <f>IFERROR(Z380/Z444, "NA")</f>
        <v>2.9679667350288336E-2</v>
      </c>
      <c r="AB380" s="9"/>
      <c r="AC380" s="10">
        <f t="shared" si="95"/>
        <v>0</v>
      </c>
      <c r="AD380" s="8">
        <f>IFERROR(AC380/AC444, "NA")</f>
        <v>0</v>
      </c>
    </row>
    <row r="381" spans="1:30" ht="16.5" customHeight="1" x14ac:dyDescent="0.45">
      <c r="A381" s="20" t="s">
        <v>349</v>
      </c>
      <c r="B381" s="7">
        <v>13241.51</v>
      </c>
      <c r="C381" s="8">
        <f>IFERROR(B381/B444, "NA")</f>
        <v>2.7693698783218243E-2</v>
      </c>
      <c r="D381" s="9"/>
      <c r="E381" s="7">
        <v>4000</v>
      </c>
      <c r="F381" s="8">
        <f>IFERROR(E381/E444, "NA")</f>
        <v>8.283935020730859E-3</v>
      </c>
      <c r="G381" s="9"/>
      <c r="H381" s="10">
        <f t="shared" si="92"/>
        <v>-9241.51</v>
      </c>
      <c r="I381" s="8">
        <f>IFERROR(H381/H444, "NA")</f>
        <v>1.957660850426574</v>
      </c>
      <c r="J381" s="9"/>
      <c r="K381" s="7">
        <v>4167</v>
      </c>
      <c r="L381" s="8">
        <f>IFERROR(K381/K444, "NA")</f>
        <v>9.8694298354356069E-3</v>
      </c>
      <c r="M381" s="9"/>
      <c r="N381" s="10">
        <f t="shared" si="93"/>
        <v>-9074.51</v>
      </c>
      <c r="O381" s="8">
        <f>IFERROR(N381/N444, "NA")</f>
        <v>-0.16225117014889268</v>
      </c>
      <c r="P381" s="9"/>
      <c r="Q381" s="7">
        <v>17241.509999999998</v>
      </c>
      <c r="R381" s="8">
        <f>IFERROR(Q381/Q444, "NA")</f>
        <v>1.8870051074368687E-2</v>
      </c>
      <c r="S381" s="9"/>
      <c r="T381" s="7">
        <v>8000</v>
      </c>
      <c r="U381" s="8">
        <f>IFERROR(T381/T444, "NA")</f>
        <v>9.5686385956300496E-3</v>
      </c>
      <c r="V381" s="9"/>
      <c r="W381" s="10">
        <f t="shared" si="94"/>
        <v>-9241.5099999999984</v>
      </c>
      <c r="X381" s="8">
        <f>IFERROR(W381/W444, "NA")</f>
        <v>-0.11904184397117465</v>
      </c>
      <c r="Y381" s="9"/>
      <c r="Z381" s="7">
        <v>8334</v>
      </c>
      <c r="AA381" s="8">
        <f>IFERROR(Z381/Z444, "NA")</f>
        <v>1.0754362943361E-2</v>
      </c>
      <c r="AB381" s="9"/>
      <c r="AC381" s="10">
        <f t="shared" si="95"/>
        <v>-8907.5099999999984</v>
      </c>
      <c r="AD381" s="8">
        <f>IFERROR(AC381/AC444, "NA")</f>
        <v>-6.4195609911661358E-2</v>
      </c>
    </row>
    <row r="382" spans="1:30" ht="16.5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795</v>
      </c>
      <c r="F382" s="8">
        <f>IFERROR(E382/E444, "NA")</f>
        <v>1.6464320853702581E-3</v>
      </c>
      <c r="G382" s="9"/>
      <c r="H382" s="10">
        <f t="shared" si="92"/>
        <v>795</v>
      </c>
      <c r="I382" s="8">
        <f>IFERROR(H382/H444, "NA")</f>
        <v>-0.16840758448447563</v>
      </c>
      <c r="J382" s="9"/>
      <c r="K382" s="7">
        <v>105.99</v>
      </c>
      <c r="L382" s="8">
        <f>IFERROR(K382/K444, "NA")</f>
        <v>2.510345256198272E-4</v>
      </c>
      <c r="M382" s="9"/>
      <c r="N382" s="10">
        <f t="shared" si="93"/>
        <v>105.99</v>
      </c>
      <c r="O382" s="8">
        <f>IFERROR(N382/N444, "NA")</f>
        <v>1.8950887181876635E-3</v>
      </c>
      <c r="P382" s="9"/>
      <c r="Q382" s="7">
        <v>505.62</v>
      </c>
      <c r="R382" s="8">
        <f>IFERROR(Q382/Q444, "NA")</f>
        <v>5.5337816839837672E-4</v>
      </c>
      <c r="S382" s="9"/>
      <c r="T382" s="7">
        <v>1590</v>
      </c>
      <c r="U382" s="8">
        <f>IFERROR(T382/T444, "NA")</f>
        <v>1.9017669208814723E-3</v>
      </c>
      <c r="V382" s="9"/>
      <c r="W382" s="10">
        <f t="shared" si="94"/>
        <v>1084.3800000000001</v>
      </c>
      <c r="X382" s="8">
        <f>IFERROR(W382/W444, "NA")</f>
        <v>1.3968128018631416E-2</v>
      </c>
      <c r="Y382" s="9"/>
      <c r="Z382" s="7">
        <v>211.98</v>
      </c>
      <c r="AA382" s="8">
        <f>IFERROR(Z382/Z444, "NA")</f>
        <v>2.7354329934409222E-4</v>
      </c>
      <c r="AB382" s="9"/>
      <c r="AC382" s="10">
        <f t="shared" si="95"/>
        <v>-293.64</v>
      </c>
      <c r="AD382" s="8">
        <f>IFERROR(AC382/AC444, "NA")</f>
        <v>-2.1162366244281785E-3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2098.5</v>
      </c>
      <c r="C385" s="8">
        <f>IFERROR(B385/B444, "NA")</f>
        <v>4.3888670473823214E-3</v>
      </c>
      <c r="D385" s="9"/>
      <c r="E385" s="7">
        <v>965.72</v>
      </c>
      <c r="F385" s="8">
        <f>IFERROR(E385/E444, "NA")</f>
        <v>1.9999904320550516E-3</v>
      </c>
      <c r="G385" s="9"/>
      <c r="H385" s="10">
        <f>IFERROR(-(B385-E385), "NA")</f>
        <v>-1132.78</v>
      </c>
      <c r="I385" s="8">
        <f>IFERROR(H385/H444, "NA")</f>
        <v>0.23996068371361545</v>
      </c>
      <c r="J385" s="9"/>
      <c r="K385" s="7">
        <v>478.47</v>
      </c>
      <c r="L385" s="8">
        <f>IFERROR(K385/K444, "NA")</f>
        <v>1.1332436029183766E-3</v>
      </c>
      <c r="M385" s="9"/>
      <c r="N385" s="10">
        <f>IFERROR(-(B385-K385), "NA")</f>
        <v>-1620.03</v>
      </c>
      <c r="O385" s="8">
        <f>IFERROR(N385/N444, "NA")</f>
        <v>-2.8965945618695733E-2</v>
      </c>
      <c r="P385" s="9"/>
      <c r="Q385" s="7">
        <v>4295.7299999999996</v>
      </c>
      <c r="R385" s="8">
        <f>IFERROR(Q385/Q444, "NA")</f>
        <v>4.7014817438668539E-3</v>
      </c>
      <c r="S385" s="9"/>
      <c r="T385" s="7">
        <v>1672.12</v>
      </c>
      <c r="U385" s="8">
        <f>IFERROR(T385/T444, "NA")</f>
        <v>1.9999889960656148E-3</v>
      </c>
      <c r="V385" s="9"/>
      <c r="W385" s="10">
        <f>IFERROR(-(Q385-T385), "NA")</f>
        <v>-2623.6099999999997</v>
      </c>
      <c r="X385" s="8">
        <f>IFERROR(W385/W444, "NA")</f>
        <v>-3.3795275042846198E-2</v>
      </c>
      <c r="Y385" s="9"/>
      <c r="Z385" s="7">
        <v>3213.04</v>
      </c>
      <c r="AA385" s="8">
        <f>IFERROR(Z385/Z444, "NA")</f>
        <v>4.1461721036161062E-3</v>
      </c>
      <c r="AB385" s="9"/>
      <c r="AC385" s="10">
        <f>IFERROR(-(Q385-Z385), "NA")</f>
        <v>-1082.6899999999996</v>
      </c>
      <c r="AD385" s="8">
        <f>IFERROR(AC385/AC444, "NA")</f>
        <v>-7.8028478099105838E-3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221.74</v>
      </c>
      <c r="L386" s="8">
        <f>IFERROR(K386/K444, "NA")</f>
        <v>5.251853543819274E-4</v>
      </c>
      <c r="M386" s="9"/>
      <c r="N386" s="10">
        <f>IFERROR(-(B386-K386), "NA")</f>
        <v>221.74</v>
      </c>
      <c r="O386" s="8">
        <f>IFERROR(N386/N444, "NA")</f>
        <v>3.9646850869981369E-3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2317.9899999999998</v>
      </c>
      <c r="AA386" s="8">
        <f>IFERROR(Z386/Z444, "NA")</f>
        <v>2.9911813965780372E-3</v>
      </c>
      <c r="AB386" s="9"/>
      <c r="AC386" s="10">
        <f>IFERROR(-(Q386-Z386), "NA")</f>
        <v>2317.9899999999998</v>
      </c>
      <c r="AD386" s="8">
        <f>IFERROR(AC386/AC444, "NA")</f>
        <v>1.6705541932496504E-2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3611.72</v>
      </c>
      <c r="C389" s="8">
        <f>IFERROR(B389/B444, "NA")</f>
        <v>7.5536616118044679E-3</v>
      </c>
      <c r="D389" s="9"/>
      <c r="E389" s="7">
        <v>2211.39</v>
      </c>
      <c r="F389" s="8">
        <f>IFERROR(E389/E444, "NA")</f>
        <v>4.5797527663735032E-3</v>
      </c>
      <c r="G389" s="9"/>
      <c r="H389" s="10">
        <f t="shared" si="96"/>
        <v>-1400.33</v>
      </c>
      <c r="I389" s="8">
        <f>IFERROR(H389/H444, "NA")</f>
        <v>0.29663672047942857</v>
      </c>
      <c r="J389" s="9"/>
      <c r="K389" s="7">
        <v>1017.15</v>
      </c>
      <c r="L389" s="8">
        <f>IFERROR(K389/K444, "NA")</f>
        <v>2.4090930062666974E-3</v>
      </c>
      <c r="M389" s="9"/>
      <c r="N389" s="10">
        <f t="shared" si="97"/>
        <v>-2594.5699999999997</v>
      </c>
      <c r="O389" s="8">
        <f>IFERROR(N389/N444, "NA")</f>
        <v>-4.6390606052912217E-2</v>
      </c>
      <c r="P389" s="9"/>
      <c r="Q389" s="7">
        <v>6806.47</v>
      </c>
      <c r="R389" s="8">
        <f>IFERROR(Q389/Q444, "NA")</f>
        <v>7.449372852850954E-3</v>
      </c>
      <c r="S389" s="9"/>
      <c r="T389" s="7">
        <v>4058.85</v>
      </c>
      <c r="U389" s="8">
        <f>IFERROR(T389/T444, "NA")</f>
        <v>4.8547085954841283E-3</v>
      </c>
      <c r="V389" s="9"/>
      <c r="W389" s="10">
        <f t="shared" si="98"/>
        <v>-2747.6200000000003</v>
      </c>
      <c r="X389" s="8">
        <f>IFERROR(W389/W444, "NA")</f>
        <v>-3.539267406864019E-2</v>
      </c>
      <c r="Y389" s="9"/>
      <c r="Z389" s="7">
        <v>1733.15</v>
      </c>
      <c r="AA389" s="8">
        <f>IFERROR(Z389/Z444, "NA")</f>
        <v>2.2364919768761839E-3</v>
      </c>
      <c r="AB389" s="9"/>
      <c r="AC389" s="10">
        <f t="shared" si="99"/>
        <v>-5073.32</v>
      </c>
      <c r="AD389" s="8">
        <f>IFERROR(AC389/AC444, "NA")</f>
        <v>-3.6562953246982589E-2</v>
      </c>
    </row>
    <row r="390" spans="1:30" ht="16.5" customHeight="1" x14ac:dyDescent="0.45">
      <c r="A390" s="12" t="s">
        <v>356</v>
      </c>
      <c r="B390" s="7">
        <v>10432.280000000001</v>
      </c>
      <c r="C390" s="8">
        <f>IFERROR(B390/B444, "NA")</f>
        <v>2.1818389288094184E-2</v>
      </c>
      <c r="D390" s="9"/>
      <c r="E390" s="7">
        <v>10745.4</v>
      </c>
      <c r="F390" s="8">
        <f>IFERROR(E390/E444, "NA")</f>
        <v>2.2253548842940344E-2</v>
      </c>
      <c r="G390" s="9"/>
      <c r="H390" s="10">
        <f t="shared" si="96"/>
        <v>313.11999999999898</v>
      </c>
      <c r="I390" s="8">
        <f>IFERROR(H390/H444, "NA")</f>
        <v>-6.6329286608526841E-2</v>
      </c>
      <c r="J390" s="9"/>
      <c r="K390" s="7">
        <v>8426.8700000000008</v>
      </c>
      <c r="L390" s="8">
        <f>IFERROR(K390/K444, "NA")</f>
        <v>1.9958819821775203E-2</v>
      </c>
      <c r="M390" s="9"/>
      <c r="N390" s="10">
        <f t="shared" si="97"/>
        <v>-2005.4099999999999</v>
      </c>
      <c r="O390" s="8">
        <f>IFERROR(N390/N444, "NA")</f>
        <v>-3.585649463478368E-2</v>
      </c>
      <c r="P390" s="9"/>
      <c r="Q390" s="7">
        <v>23238.48</v>
      </c>
      <c r="R390" s="8">
        <f>IFERROR(Q390/Q444, "NA")</f>
        <v>2.5433462874811734E-2</v>
      </c>
      <c r="S390" s="9"/>
      <c r="T390" s="7">
        <v>19722.41</v>
      </c>
      <c r="U390" s="8">
        <f>IFERROR(T390/T444, "NA")</f>
        <v>2.3589576690605005E-2</v>
      </c>
      <c r="V390" s="9"/>
      <c r="W390" s="10">
        <f t="shared" si="98"/>
        <v>-3516.0699999999997</v>
      </c>
      <c r="X390" s="8">
        <f>IFERROR(W390/W444, "NA")</f>
        <v>-4.5291240969465824E-2</v>
      </c>
      <c r="Y390" s="9"/>
      <c r="Z390" s="7">
        <v>14756.96</v>
      </c>
      <c r="AA390" s="8">
        <f>IFERROR(Z390/Z444, "NA")</f>
        <v>1.9042681039196128E-2</v>
      </c>
      <c r="AB390" s="9"/>
      <c r="AC390" s="10">
        <f t="shared" si="99"/>
        <v>-8481.52</v>
      </c>
      <c r="AD390" s="8">
        <f>IFERROR(AC390/AC444, "NA")</f>
        <v>-6.1125538941629504E-2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4786.21</v>
      </c>
      <c r="C392" s="8">
        <f>IFERROR(B392/B444, "NA")</f>
        <v>1.0010025899857869E-2</v>
      </c>
      <c r="D392" s="9"/>
      <c r="E392" s="7">
        <v>1650.75</v>
      </c>
      <c r="F392" s="8">
        <f>IFERROR(E392/E444, "NA")</f>
        <v>3.4186764338678664E-3</v>
      </c>
      <c r="G392" s="9"/>
      <c r="H392" s="10">
        <f t="shared" si="96"/>
        <v>-3135.46</v>
      </c>
      <c r="I392" s="8">
        <f>IFERROR(H392/H444, "NA")</f>
        <v>0.66419527653797983</v>
      </c>
      <c r="J392" s="9"/>
      <c r="K392" s="7">
        <v>2604.21</v>
      </c>
      <c r="L392" s="8">
        <f>IFERROR(K392/K444, "NA")</f>
        <v>6.1680028489896239E-3</v>
      </c>
      <c r="M392" s="9"/>
      <c r="N392" s="10">
        <f t="shared" si="97"/>
        <v>-2182</v>
      </c>
      <c r="O392" s="8">
        <f>IFERROR(N392/N444, "NA")</f>
        <v>-3.9013903038828963E-2</v>
      </c>
      <c r="P392" s="9"/>
      <c r="Q392" s="7">
        <v>9130.93</v>
      </c>
      <c r="R392" s="8">
        <f>IFERROR(Q392/Q444, "NA")</f>
        <v>9.9933889465879319E-3</v>
      </c>
      <c r="S392" s="9"/>
      <c r="T392" s="7">
        <v>3029.83</v>
      </c>
      <c r="U392" s="8">
        <f>IFERROR(T392/T444, "NA")</f>
        <v>3.6239185345247242E-3</v>
      </c>
      <c r="V392" s="9"/>
      <c r="W392" s="10">
        <f t="shared" si="98"/>
        <v>-6101.1</v>
      </c>
      <c r="X392" s="8">
        <f>IFERROR(W392/W444, "NA")</f>
        <v>-7.8589558876475146E-2</v>
      </c>
      <c r="Y392" s="9"/>
      <c r="Z392" s="7">
        <v>2803.84</v>
      </c>
      <c r="AA392" s="8">
        <f>IFERROR(Z392/Z444, "NA")</f>
        <v>3.6181321088448893E-3</v>
      </c>
      <c r="AB392" s="9"/>
      <c r="AC392" s="10">
        <f t="shared" si="99"/>
        <v>-6327.09</v>
      </c>
      <c r="AD392" s="8">
        <f>IFERROR(AC392/AC444, "NA")</f>
        <v>-4.5598758970349013E-2</v>
      </c>
    </row>
    <row r="393" spans="1:30" ht="16.5" customHeight="1" x14ac:dyDescent="0.45">
      <c r="A393" s="13" t="s">
        <v>359</v>
      </c>
      <c r="B393" s="14">
        <f>IFERROR(B388+B389+B390+B391+B392, "NA")</f>
        <v>18830.21</v>
      </c>
      <c r="C393" s="15">
        <f>IFERROR(B393/B444, "NA")</f>
        <v>3.938207679975652E-2</v>
      </c>
      <c r="D393" s="2"/>
      <c r="E393" s="14">
        <f>IFERROR(E388+E389+E390+E391+E392, "NA")</f>
        <v>14607.539999999999</v>
      </c>
      <c r="F393" s="15">
        <f>IFERROR(E393/E444, "NA")</f>
        <v>3.025197804318171E-2</v>
      </c>
      <c r="G393" s="2"/>
      <c r="H393" s="14">
        <f t="shared" si="96"/>
        <v>-4222.67</v>
      </c>
      <c r="I393" s="15">
        <f>IFERROR(H393/H444, "NA")</f>
        <v>0.89450271040888141</v>
      </c>
      <c r="J393" s="2"/>
      <c r="K393" s="14">
        <f>IFERROR(K388+K389+K390+K391+K392, "NA")</f>
        <v>12048.23</v>
      </c>
      <c r="L393" s="15">
        <f>IFERROR(K393/K444, "NA")</f>
        <v>2.853591567703152E-2</v>
      </c>
      <c r="M393" s="2"/>
      <c r="N393" s="14">
        <f t="shared" si="97"/>
        <v>-6781.98</v>
      </c>
      <c r="O393" s="15">
        <f>IFERROR(N393/N444, "NA")</f>
        <v>-0.12126100372652486</v>
      </c>
      <c r="P393" s="2"/>
      <c r="Q393" s="14">
        <f>IFERROR(Q388+Q389+Q390+Q391+Q392, "NA")</f>
        <v>39175.880000000005</v>
      </c>
      <c r="R393" s="15">
        <f>IFERROR(Q393/Q444, "NA")</f>
        <v>4.2876224674250625E-2</v>
      </c>
      <c r="S393" s="2"/>
      <c r="T393" s="14">
        <f>IFERROR(T388+T389+T390+T391+T392, "NA")</f>
        <v>26811.089999999997</v>
      </c>
      <c r="U393" s="15">
        <f>IFERROR(T393/T444, "NA")</f>
        <v>3.2068203820613851E-2</v>
      </c>
      <c r="V393" s="2"/>
      <c r="W393" s="14">
        <f t="shared" si="98"/>
        <v>-12364.790000000008</v>
      </c>
      <c r="X393" s="15">
        <f>IFERROR(W393/W444, "NA")</f>
        <v>-0.15927347391458127</v>
      </c>
      <c r="Y393" s="2"/>
      <c r="Z393" s="14">
        <f>IFERROR(Z388+Z389+Z390+Z391+Z392, "NA")</f>
        <v>19293.95</v>
      </c>
      <c r="AA393" s="15">
        <f>IFERROR(Z393/Z444, "NA")</f>
        <v>2.4897305124917203E-2</v>
      </c>
      <c r="AB393" s="2"/>
      <c r="AC393" s="14">
        <f t="shared" si="99"/>
        <v>-19881.930000000004</v>
      </c>
      <c r="AD393" s="15">
        <f>IFERROR(AC393/AC444, "NA")</f>
        <v>-0.14328725115896113</v>
      </c>
    </row>
    <row r="394" spans="1:30" ht="16.5" customHeight="1" x14ac:dyDescent="0.45">
      <c r="A394" s="6" t="s">
        <v>360</v>
      </c>
      <c r="B394" s="7">
        <v>2711.79</v>
      </c>
      <c r="C394" s="8">
        <f>IFERROR(B394/B444, "NA")</f>
        <v>5.671520500557972E-3</v>
      </c>
      <c r="D394" s="9"/>
      <c r="E394" s="7">
        <v>2414.31</v>
      </c>
      <c r="F394" s="8">
        <f>IFERROR(E394/E444, "NA")</f>
        <v>4.9999967899751804E-3</v>
      </c>
      <c r="G394" s="9"/>
      <c r="H394" s="10">
        <f t="shared" si="96"/>
        <v>-297.48</v>
      </c>
      <c r="I394" s="8">
        <f>IFERROR(H394/H444, "NA")</f>
        <v>6.3016211613134351E-2</v>
      </c>
      <c r="J394" s="9"/>
      <c r="K394" s="7">
        <v>7036.44</v>
      </c>
      <c r="L394" s="8">
        <f>IFERROR(K394/K444, "NA")</f>
        <v>1.6665622959263864E-2</v>
      </c>
      <c r="M394" s="9"/>
      <c r="N394" s="10">
        <f t="shared" si="97"/>
        <v>4324.6499999999996</v>
      </c>
      <c r="O394" s="8">
        <f>IFERROR(N394/N444, "NA")</f>
        <v>7.7324232711673546E-2</v>
      </c>
      <c r="P394" s="9"/>
      <c r="Q394" s="7">
        <v>6612.06</v>
      </c>
      <c r="R394" s="8">
        <f>IFERROR(Q394/Q444, "NA")</f>
        <v>7.2365999211664311E-3</v>
      </c>
      <c r="S394" s="9"/>
      <c r="T394" s="7">
        <v>4180.32</v>
      </c>
      <c r="U394" s="8">
        <f>IFERROR(T394/T444, "NA")</f>
        <v>4.9999964117605255E-3</v>
      </c>
      <c r="V394" s="9"/>
      <c r="W394" s="10">
        <f t="shared" si="98"/>
        <v>-2431.7400000000007</v>
      </c>
      <c r="X394" s="8">
        <f>IFERROR(W394/W444, "NA")</f>
        <v>-3.1323757011404454E-2</v>
      </c>
      <c r="Y394" s="9"/>
      <c r="Z394" s="7">
        <v>13038.91</v>
      </c>
      <c r="AA394" s="8">
        <f>IFERROR(Z394/Z444, "NA")</f>
        <v>1.682567440914557E-2</v>
      </c>
      <c r="AB394" s="9"/>
      <c r="AC394" s="10">
        <f t="shared" si="99"/>
        <v>6426.8499999999995</v>
      </c>
      <c r="AD394" s="8">
        <f>IFERROR(AC394/AC444, "NA")</f>
        <v>4.6317720166551689E-2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23640.5</v>
      </c>
      <c r="C396" s="15">
        <f>IFERROR(B396/B444, "NA")</f>
        <v>4.9442464347696814E-2</v>
      </c>
      <c r="D396" s="2"/>
      <c r="E396" s="14">
        <f>IFERROR(E385+E386+E388+E389+E390+E391+E392+E394+E395, "NA")</f>
        <v>17987.57</v>
      </c>
      <c r="F396" s="15">
        <f>IFERROR(E396/E444, "NA")</f>
        <v>3.7251965265211941E-2</v>
      </c>
      <c r="G396" s="2"/>
      <c r="H396" s="14">
        <f t="shared" si="96"/>
        <v>-5652.93</v>
      </c>
      <c r="I396" s="15">
        <f>IFERROR(H396/H444, "NA")</f>
        <v>1.1974796057356312</v>
      </c>
      <c r="J396" s="2"/>
      <c r="K396" s="14">
        <f>IFERROR(K385+K386+K388+K389+K390+K391+K392+K394+K395, "NA")</f>
        <v>19784.88</v>
      </c>
      <c r="L396" s="15">
        <f>IFERROR(K396/K444, "NA")</f>
        <v>4.6859967593595689E-2</v>
      </c>
      <c r="M396" s="2"/>
      <c r="N396" s="14">
        <f t="shared" si="97"/>
        <v>-3855.619999999999</v>
      </c>
      <c r="O396" s="15">
        <f>IFERROR(N396/N444, "NA")</f>
        <v>-6.89380315465489E-2</v>
      </c>
      <c r="P396" s="2"/>
      <c r="Q396" s="14">
        <f>IFERROR(Q385+Q386+Q388+Q389+Q390+Q391+Q392+Q394+Q395, "NA")</f>
        <v>50083.67</v>
      </c>
      <c r="R396" s="15">
        <f>IFERROR(Q396/Q444, "NA")</f>
        <v>5.4814306339283907E-2</v>
      </c>
      <c r="S396" s="2"/>
      <c r="T396" s="14">
        <f>IFERROR(T385+T386+T388+T389+T390+T391+T392+T394+T395, "NA")</f>
        <v>32663.53</v>
      </c>
      <c r="U396" s="15">
        <f>IFERROR(T396/T444, "NA")</f>
        <v>3.9068189228439999E-2</v>
      </c>
      <c r="V396" s="2"/>
      <c r="W396" s="14">
        <f t="shared" si="98"/>
        <v>-17420.14</v>
      </c>
      <c r="X396" s="15">
        <f>IFERROR(W396/W444, "NA")</f>
        <v>-0.22439250596883178</v>
      </c>
      <c r="Y396" s="2"/>
      <c r="Z396" s="14">
        <f>IFERROR(Z385+Z386+Z388+Z389+Z390+Z391+Z392+Z394+Z395, "NA")</f>
        <v>37863.89</v>
      </c>
      <c r="AA396" s="15">
        <f>IFERROR(Z396/Z444, "NA")</f>
        <v>4.8860333034256916E-2</v>
      </c>
      <c r="AB396" s="2"/>
      <c r="AC396" s="14">
        <f t="shared" si="99"/>
        <v>-12219.779999999999</v>
      </c>
      <c r="AD396" s="15">
        <f>IFERROR(AC396/AC444, "NA")</f>
        <v>-8.8066836869823473E-2</v>
      </c>
    </row>
    <row r="397" spans="1:30" ht="16.5" customHeight="1" x14ac:dyDescent="0.45">
      <c r="A397" s="20" t="s">
        <v>363</v>
      </c>
      <c r="B397" s="7">
        <v>2790.41</v>
      </c>
      <c r="C397" s="8">
        <f>IFERROR(B397/B444, "NA")</f>
        <v>5.8359487718304039E-3</v>
      </c>
      <c r="D397" s="9"/>
      <c r="E397" s="7">
        <v>16724.240000000002</v>
      </c>
      <c r="F397" s="8">
        <f>IFERROR(E397/E444, "NA")</f>
        <v>3.4635629357776969E-2</v>
      </c>
      <c r="G397" s="9"/>
      <c r="H397" s="10">
        <f t="shared" si="96"/>
        <v>13933.830000000002</v>
      </c>
      <c r="I397" s="8">
        <f>IFERROR(H397/H444, "NA")</f>
        <v>-2.9516511357450583</v>
      </c>
      <c r="J397" s="9"/>
      <c r="K397" s="7">
        <v>3421.87</v>
      </c>
      <c r="L397" s="8">
        <f>IFERROR(K397/K444, "NA")</f>
        <v>8.1046090403124639E-3</v>
      </c>
      <c r="M397" s="9"/>
      <c r="N397" s="10">
        <f t="shared" si="97"/>
        <v>631.46</v>
      </c>
      <c r="O397" s="8">
        <f>IFERROR(N397/N444, "NA")</f>
        <v>1.1290430436708954E-2</v>
      </c>
      <c r="P397" s="9"/>
      <c r="Q397" s="7">
        <v>4561.84</v>
      </c>
      <c r="R397" s="8">
        <f>IFERROR(Q397/Q444, "NA")</f>
        <v>4.9927270751284579E-3</v>
      </c>
      <c r="S397" s="9"/>
      <c r="T397" s="7">
        <v>23357.57</v>
      </c>
      <c r="U397" s="8">
        <f>IFERROR(T397/T444, "NA")</f>
        <v>2.7937518225266321E-2</v>
      </c>
      <c r="V397" s="9"/>
      <c r="W397" s="10">
        <f t="shared" si="98"/>
        <v>18795.73</v>
      </c>
      <c r="X397" s="8">
        <f>IFERROR(W397/W444, "NA")</f>
        <v>0.24211177155944505</v>
      </c>
      <c r="Y397" s="9"/>
      <c r="Z397" s="7">
        <v>9843.49</v>
      </c>
      <c r="AA397" s="8">
        <f>IFERROR(Z397/Z444, "NA")</f>
        <v>1.2702239511560423E-2</v>
      </c>
      <c r="AB397" s="9"/>
      <c r="AC397" s="10">
        <f t="shared" si="99"/>
        <v>5281.65</v>
      </c>
      <c r="AD397" s="8">
        <f>IFERROR(AC397/AC444, "NA")</f>
        <v>3.8064368503647625E-2</v>
      </c>
    </row>
    <row r="398" spans="1:30" ht="16.5" customHeight="1" x14ac:dyDescent="0.45">
      <c r="A398" s="20" t="s">
        <v>364</v>
      </c>
      <c r="B398" s="7">
        <v>179.87</v>
      </c>
      <c r="C398" s="8">
        <f>IFERROR(B398/B444, "NA")</f>
        <v>3.7618561630338725E-4</v>
      </c>
      <c r="D398" s="9"/>
      <c r="E398" s="7">
        <v>75</v>
      </c>
      <c r="F398" s="8">
        <f>IFERROR(E398/E444, "NA")</f>
        <v>1.5532378163870359E-4</v>
      </c>
      <c r="G398" s="9"/>
      <c r="H398" s="10">
        <f t="shared" si="96"/>
        <v>-104.87</v>
      </c>
      <c r="I398" s="8">
        <f>IFERROR(H398/H444, "NA")</f>
        <v>2.2214972811178565E-2</v>
      </c>
      <c r="J398" s="9"/>
      <c r="K398" s="7">
        <v>99.83</v>
      </c>
      <c r="L398" s="8">
        <f>IFERROR(K398/K444, "NA")</f>
        <v>2.3644472773495001E-4</v>
      </c>
      <c r="M398" s="9"/>
      <c r="N398" s="10">
        <f t="shared" si="97"/>
        <v>-80.040000000000006</v>
      </c>
      <c r="O398" s="8">
        <f>IFERROR(N398/N444, "NA")</f>
        <v>-1.4311057741649271E-3</v>
      </c>
      <c r="P398" s="9"/>
      <c r="Q398" s="7">
        <v>300.02999999999997</v>
      </c>
      <c r="R398" s="8">
        <f>IFERROR(Q398/Q444, "NA")</f>
        <v>3.2836923354409429E-4</v>
      </c>
      <c r="S398" s="9"/>
      <c r="T398" s="7">
        <v>150</v>
      </c>
      <c r="U398" s="8">
        <f>IFERROR(T398/T444, "NA")</f>
        <v>1.7941197366806342E-4</v>
      </c>
      <c r="V398" s="9"/>
      <c r="W398" s="10">
        <f t="shared" si="98"/>
        <v>-150.02999999999997</v>
      </c>
      <c r="X398" s="8">
        <f>IFERROR(W398/W444, "NA")</f>
        <v>-1.9325681464387673E-3</v>
      </c>
      <c r="Y398" s="9"/>
      <c r="Z398" s="7">
        <v>278.82</v>
      </c>
      <c r="AA398" s="8">
        <f>IFERROR(Z398/Z444, "NA")</f>
        <v>3.597949935046693E-4</v>
      </c>
      <c r="AB398" s="9"/>
      <c r="AC398" s="10">
        <f t="shared" si="99"/>
        <v>-21.20999999999998</v>
      </c>
      <c r="AD398" s="8">
        <f>IFERROR(AC398/AC444, "NA")</f>
        <v>-1.5285853018703728E-4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1.4496886286279004E-3</v>
      </c>
      <c r="G399" s="9"/>
      <c r="H399" s="10">
        <f t="shared" si="96"/>
        <v>700</v>
      </c>
      <c r="I399" s="8">
        <f>IFERROR(H399/H444, "NA")</f>
        <v>-0.14828340772217979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1400</v>
      </c>
      <c r="U399" s="8">
        <f>IFERROR(T399/T444, "NA")</f>
        <v>1.6745117542352587E-3</v>
      </c>
      <c r="V399" s="9"/>
      <c r="W399" s="10">
        <f t="shared" si="98"/>
        <v>1400</v>
      </c>
      <c r="X399" s="8">
        <f>IFERROR(W399/W444, "NA")</f>
        <v>1.8033695960902985E-2</v>
      </c>
      <c r="Y399" s="9"/>
      <c r="Z399" s="7">
        <v>1562.5</v>
      </c>
      <c r="AA399" s="8">
        <f>IFERROR(Z399/Z444, "NA")</f>
        <v>2.0162817493402404E-3</v>
      </c>
      <c r="AB399" s="9"/>
      <c r="AC399" s="10">
        <f t="shared" si="99"/>
        <v>1562.5</v>
      </c>
      <c r="AD399" s="8">
        <f>IFERROR(AC399/AC444, "NA")</f>
        <v>1.1260794597701365E-2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1.9737272793503867E-2</v>
      </c>
      <c r="M401" s="9"/>
      <c r="N401" s="10">
        <f t="shared" si="97"/>
        <v>8333.33</v>
      </c>
      <c r="O401" s="8">
        <f>IFERROR(N401/N444, "NA")</f>
        <v>0.148998959033256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16666.66</v>
      </c>
      <c r="AA401" s="8">
        <f>IFERROR(Z401/Z444, "NA")</f>
        <v>2.1506996723493765E-2</v>
      </c>
      <c r="AB401" s="9"/>
      <c r="AC401" s="10">
        <f t="shared" si="99"/>
        <v>16666.66</v>
      </c>
      <c r="AD401" s="8">
        <f>IFERROR(AC401/AC444, "NA")</f>
        <v>0.12011509432942429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152516.34999999998</v>
      </c>
      <c r="C403" s="15">
        <f>IFERROR(B403/B444, "NA")</f>
        <v>0.31897735654135267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139687.4</v>
      </c>
      <c r="F403" s="15">
        <f>IFERROR(E403/E444, "NA")</f>
        <v>0.28929033620370992</v>
      </c>
      <c r="G403" s="2"/>
      <c r="H403" s="14">
        <f t="shared" si="96"/>
        <v>-12828.949999999983</v>
      </c>
      <c r="I403" s="15">
        <f>IFERROR(H403/H444, "NA")</f>
        <v>2.7176006049963655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127434.93</v>
      </c>
      <c r="L403" s="15">
        <f>IFERROR(K403/K444, "NA")</f>
        <v>0.30182627795023953</v>
      </c>
      <c r="M403" s="2"/>
      <c r="N403" s="14">
        <f t="shared" si="97"/>
        <v>-25081.419999999984</v>
      </c>
      <c r="O403" s="15">
        <f>IFERROR(N403/N444, "NA")</f>
        <v>-0.4484528359102406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287743.20000000007</v>
      </c>
      <c r="R403" s="15">
        <f>IFERROR(Q403/Q444, "NA")</f>
        <v>0.31492188794962189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279705.88</v>
      </c>
      <c r="U403" s="15">
        <f>IFERROR(T403/T444, "NA")</f>
        <v>0.33455055984908338</v>
      </c>
      <c r="V403" s="2"/>
      <c r="W403" s="14">
        <f t="shared" si="98"/>
        <v>-8037.3200000000652</v>
      </c>
      <c r="X403" s="15">
        <f>IFERROR(W403/W444, "NA")</f>
        <v>-0.10353041801463282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256006.6399999999</v>
      </c>
      <c r="AA403" s="15">
        <f>IFERROR(Z403/Z444, "NA")</f>
        <v>0.33035617020282682</v>
      </c>
      <c r="AB403" s="2"/>
      <c r="AC403" s="14">
        <f t="shared" si="99"/>
        <v>-31736.560000000172</v>
      </c>
      <c r="AD403" s="15">
        <f>IFERROR(AC403/AC444, "NA")</f>
        <v>-0.22872248537448142</v>
      </c>
    </row>
    <row r="404" spans="1:30" ht="16.5" customHeight="1" x14ac:dyDescent="0.45">
      <c r="A404" s="22" t="s">
        <v>370</v>
      </c>
      <c r="B404" s="23">
        <f>IFERROR(B345-B403, "NA")</f>
        <v>-175798.8899999999</v>
      </c>
      <c r="C404" s="24">
        <f>IFERROR(B404/B444, "NA")</f>
        <v>-0.36767117240285396</v>
      </c>
      <c r="D404" s="25"/>
      <c r="E404" s="23">
        <f>IFERROR(E345-E403, "NA")</f>
        <v>-118416.51000000001</v>
      </c>
      <c r="F404" s="24">
        <f>IFERROR(E404/E444, "NA")</f>
        <v>-0.24523866855543153</v>
      </c>
      <c r="G404" s="25"/>
      <c r="H404" s="23">
        <f>IFERROR(B404-E404, "NA")</f>
        <v>-57382.379999999888</v>
      </c>
      <c r="I404" s="24">
        <f>IFERROR(H404/H444, "NA")</f>
        <v>12.155506928012912</v>
      </c>
      <c r="J404" s="25"/>
      <c r="K404" s="23">
        <f>IFERROR(K345-K403, "NA")</f>
        <v>-135634.15999999997</v>
      </c>
      <c r="L404" s="24">
        <f>IFERROR(K404/K444, "NA")</f>
        <v>-0.32124593842290533</v>
      </c>
      <c r="M404" s="25"/>
      <c r="N404" s="23">
        <f>IFERROR(B404-K404, "NA")</f>
        <v>-40164.729999999923</v>
      </c>
      <c r="O404" s="24">
        <f>IFERROR(N404/N444, "NA")</f>
        <v>-0.7181406424384702</v>
      </c>
      <c r="P404" s="25"/>
      <c r="Q404" s="23">
        <f>IFERROR(Q345-Q403, "NA")</f>
        <v>-335977.77999999997</v>
      </c>
      <c r="R404" s="24">
        <f>IFERROR(Q404/Q444, "NA")</f>
        <v>-0.36771244910991013</v>
      </c>
      <c r="S404" s="25"/>
      <c r="T404" s="23">
        <f>IFERROR(T345-T403, "NA")</f>
        <v>-292222.08999999997</v>
      </c>
      <c r="U404" s="24">
        <f>IFERROR(T404/T444, "NA")</f>
        <v>-0.34952094610870971</v>
      </c>
      <c r="V404" s="25"/>
      <c r="W404" s="23">
        <f>IFERROR(Q404-T404, "NA")</f>
        <v>-43755.69</v>
      </c>
      <c r="X404" s="24">
        <f>IFERROR(W404/W444, "NA")</f>
        <v>-0.56362629287108801</v>
      </c>
      <c r="Y404" s="25"/>
      <c r="Z404" s="23">
        <f>IFERROR(Z345-Z403, "NA")</f>
        <v>-293023.38999999996</v>
      </c>
      <c r="AA404" s="24">
        <f>IFERROR(Z404/Z444, "NA")</f>
        <v>-0.3781233365675567</v>
      </c>
      <c r="AB404" s="25"/>
      <c r="AC404" s="23">
        <f>IFERROR(Q404-Z404, "NA")</f>
        <v>-42954.390000000014</v>
      </c>
      <c r="AD404" s="24">
        <f>IFERROR(AC404/AC444, "NA")</f>
        <v>-0.30956836023011697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-40</v>
      </c>
      <c r="L407" s="8">
        <f>IFERROR(K407/K444, "NA")</f>
        <v>-9.4738947304397482E-5</v>
      </c>
      <c r="M407" s="9"/>
      <c r="N407" s="10">
        <f t="shared" ref="N407:N429" si="101">IFERROR(-(B407-K407), "NA")</f>
        <v>-40</v>
      </c>
      <c r="O407" s="8">
        <f>IFERROR(N407/N444, "NA")</f>
        <v>-7.1519528943774456E-4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-5.1616812783110152E-5</v>
      </c>
      <c r="AB407" s="9"/>
      <c r="AC407" s="10">
        <f t="shared" ref="AC407:AC429" si="103">IFERROR(-(Q407-Z407), "NA")</f>
        <v>-40</v>
      </c>
      <c r="AD407" s="8">
        <f>IFERROR(AC407/AC444, "NA")</f>
        <v>-2.8827634170115496E-4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28073.379999999997</v>
      </c>
      <c r="C410" s="8">
        <f>IFERROR(B410/B444, "NA")</f>
        <v>5.8713525084890111E-2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-28073.379999999997</v>
      </c>
      <c r="I410" s="8">
        <f>IFERROR(H410/H444, "NA")</f>
        <v>5.9468806466852673</v>
      </c>
      <c r="J410" s="9"/>
      <c r="K410" s="7">
        <v>34033.569999999992</v>
      </c>
      <c r="L410" s="8">
        <f>IFERROR(K410/K444, "NA")</f>
        <v>8.060761487026305E-2</v>
      </c>
      <c r="M410" s="9"/>
      <c r="N410" s="10">
        <f t="shared" si="101"/>
        <v>5960.1899999999951</v>
      </c>
      <c r="O410" s="8">
        <f>IFERROR(N410/N444, "NA")</f>
        <v>0.10656749530384868</v>
      </c>
      <c r="P410" s="9"/>
      <c r="Q410" s="7">
        <v>55836.619999999995</v>
      </c>
      <c r="R410" s="8">
        <f>IFERROR(Q410/Q444, "NA")</f>
        <v>6.1110649312044948E-2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-55836.619999999995</v>
      </c>
      <c r="X410" s="8">
        <f>IFERROR(W410/W444, "NA")</f>
        <v>-0.719243306117482</v>
      </c>
      <c r="Y410" s="9"/>
      <c r="Z410" s="7">
        <v>67606.429999999993</v>
      </c>
      <c r="AA410" s="8">
        <f>IFERROR(Z410/Z444, "NA")</f>
        <v>8.7240711006111027E-2</v>
      </c>
      <c r="AB410" s="9"/>
      <c r="AC410" s="10">
        <f t="shared" si="103"/>
        <v>11769.809999999998</v>
      </c>
      <c r="AD410" s="8">
        <f>IFERROR(AC410/AC444, "NA")</f>
        <v>8.4823944232941748E-2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5.6127722158970383E-4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5.6849740186287703E-2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-4.7984239956601876E-3</v>
      </c>
      <c r="P411" s="9"/>
      <c r="Q411" s="7">
        <v>268.37</v>
      </c>
      <c r="R411" s="8">
        <f>IFERROR(Q411/Q444, "NA")</f>
        <v>2.9371879880754788E-4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-268.37</v>
      </c>
      <c r="X411" s="8">
        <f>IFERROR(W411/W444, "NA")</f>
        <v>-3.456930703591096E-3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-268.37</v>
      </c>
      <c r="AD411" s="8">
        <f>IFERROR(AC411/AC444, "NA")</f>
        <v>-1.934118045558474E-3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-104.37</v>
      </c>
      <c r="C416" s="8">
        <f>IFERROR(B416/B444, "NA")</f>
        <v>-2.1828260840376119E-4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104.37</v>
      </c>
      <c r="I416" s="8">
        <f>IFERROR(H416/H444, "NA")</f>
        <v>-2.2109056091377009E-2</v>
      </c>
      <c r="J416" s="9"/>
      <c r="K416" s="7">
        <v>-56.9</v>
      </c>
      <c r="L416" s="8">
        <f>IFERROR(K416/K444, "NA")</f>
        <v>-1.347661525405054E-4</v>
      </c>
      <c r="M416" s="9"/>
      <c r="N416" s="10">
        <f t="shared" si="101"/>
        <v>47.470000000000006</v>
      </c>
      <c r="O416" s="8">
        <f>IFERROR(N416/N444, "NA")</f>
        <v>8.4875800974024346E-4</v>
      </c>
      <c r="P416" s="9"/>
      <c r="Q416" s="7">
        <v>-214.08999999999997</v>
      </c>
      <c r="R416" s="8">
        <f>IFERROR(Q416/Q444, "NA")</f>
        <v>-2.3431179951823199E-4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214.08999999999997</v>
      </c>
      <c r="X416" s="8">
        <f>IFERROR(W416/W444, "NA")</f>
        <v>2.7577385487640854E-3</v>
      </c>
      <c r="Y416" s="9"/>
      <c r="Z416" s="7">
        <v>-149.13999999999999</v>
      </c>
      <c r="AA416" s="8">
        <f>IFERROR(Z416/Z444, "NA")</f>
        <v>-1.9245328646182617E-4</v>
      </c>
      <c r="AB416" s="9"/>
      <c r="AC416" s="10">
        <f t="shared" si="103"/>
        <v>64.949999999999989</v>
      </c>
      <c r="AD416" s="8">
        <f>IFERROR(AC416/AC444, "NA")</f>
        <v>4.6808870983725031E-4</v>
      </c>
    </row>
    <row r="417" spans="1:30" ht="16.5" customHeight="1" x14ac:dyDescent="0.45">
      <c r="A417" s="6" t="s">
        <v>382</v>
      </c>
      <c r="B417" s="7">
        <v>-249.45999999999998</v>
      </c>
      <c r="C417" s="8">
        <f>IFERROR(B417/B444, "NA")</f>
        <v>-5.2172826954491E-4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249.45999999999998</v>
      </c>
      <c r="I417" s="8">
        <f>IFERROR(H417/H444, "NA")</f>
        <v>-5.2843969843392812E-2</v>
      </c>
      <c r="J417" s="9"/>
      <c r="K417" s="7">
        <v>17.41</v>
      </c>
      <c r="L417" s="8">
        <f>IFERROR(K417/K444, "NA")</f>
        <v>4.1235126814239002E-5</v>
      </c>
      <c r="M417" s="9"/>
      <c r="N417" s="10">
        <f t="shared" si="101"/>
        <v>266.87</v>
      </c>
      <c r="O417" s="8">
        <f>IFERROR(N417/N444, "NA")</f>
        <v>4.7716041723062722E-3</v>
      </c>
      <c r="P417" s="9"/>
      <c r="Q417" s="7">
        <v>-10.969999999999999</v>
      </c>
      <c r="R417" s="8">
        <f>IFERROR(Q417/Q444, "NA")</f>
        <v>-1.2006167689826732E-5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10.969999999999999</v>
      </c>
      <c r="X417" s="8">
        <f>IFERROR(W417/W444, "NA")</f>
        <v>1.4130688906507553E-4</v>
      </c>
      <c r="Y417" s="9"/>
      <c r="Z417" s="7">
        <v>-10.940000000000001</v>
      </c>
      <c r="AA417" s="8">
        <f>IFERROR(Z417/Z444, "NA")</f>
        <v>-1.4117198296180627E-5</v>
      </c>
      <c r="AB417" s="9"/>
      <c r="AC417" s="10">
        <f t="shared" si="103"/>
        <v>2.9999999999997584E-2</v>
      </c>
      <c r="AD417" s="8">
        <f>IFERROR(AC417/AC444, "NA")</f>
        <v>2.1620725627584883E-7</v>
      </c>
    </row>
    <row r="418" spans="1:30" ht="16.5" customHeight="1" x14ac:dyDescent="0.45">
      <c r="A418" s="6" t="s">
        <v>383</v>
      </c>
      <c r="B418" s="7">
        <v>-1725.69</v>
      </c>
      <c r="C418" s="8">
        <f>IFERROR(B418/B444, "NA")</f>
        <v>-3.6091608172490815E-3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1725.69</v>
      </c>
      <c r="I418" s="8">
        <f>IFERROR(H418/H444, "NA")</f>
        <v>-0.36555884838869779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1725.69</v>
      </c>
      <c r="O418" s="8">
        <f>IFERROR(N418/N444, "NA")</f>
        <v>3.0855133975745536E-2</v>
      </c>
      <c r="P418" s="9"/>
      <c r="Q418" s="7">
        <v>-1725.69</v>
      </c>
      <c r="R418" s="8">
        <f>IFERROR(Q418/Q444, "NA")</f>
        <v>-1.8886894731683769E-3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1725.69</v>
      </c>
      <c r="X418" s="8">
        <f>IFERROR(W418/W444, "NA")</f>
        <v>2.2228977701979052E-2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1725.69</v>
      </c>
      <c r="AD418" s="8">
        <f>IFERROR(AC418/AC444, "NA")</f>
        <v>1.2436890002756653E-2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-20</v>
      </c>
      <c r="R421" s="8">
        <f>IFERROR(Q421/Q444, "NA")</f>
        <v>-2.1889093326940262E-5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2.5762422801289977E-4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1.4413817085057748E-4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-0.99</v>
      </c>
      <c r="R423" s="8">
        <f>IFERROR(Q423/Q444, "NA")</f>
        <v>-1.0835101196835429E-6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0.99</v>
      </c>
      <c r="X423" s="8">
        <f>IFERROR(W423/W444, "NA")</f>
        <v>1.2752399286638539E-5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0.99</v>
      </c>
      <c r="AD423" s="8">
        <f>IFERROR(AC423/AC444, "NA")</f>
        <v>7.1348394571035855E-6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1.0022135282847788E-4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1.0151058425781222E-2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-8.5680395674641804E-4</v>
      </c>
      <c r="P424" s="9"/>
      <c r="Q424" s="7">
        <v>95.84</v>
      </c>
      <c r="R424" s="8">
        <f>IFERROR(Q424/Q444, "NA")</f>
        <v>1.0489253522269773E-4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-95.84</v>
      </c>
      <c r="X424" s="8">
        <f>IFERROR(W424/W444, "NA")</f>
        <v>-1.2345353006378158E-3</v>
      </c>
      <c r="Y424" s="9"/>
      <c r="Z424" s="7">
        <v>24.48</v>
      </c>
      <c r="AA424" s="8">
        <f>IFERROR(Z424/Z444, "NA")</f>
        <v>3.158948942326341E-5</v>
      </c>
      <c r="AB424" s="9"/>
      <c r="AC424" s="10">
        <f t="shared" si="103"/>
        <v>-71.36</v>
      </c>
      <c r="AD424" s="8">
        <f>IFERROR(AC424/AC444, "NA")</f>
        <v>-5.1428499359486041E-4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-355.3</v>
      </c>
      <c r="C426" s="8">
        <f>IFERROR(B426/B444, "NA")</f>
        <v>-7.4308528088393557E-4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355.3</v>
      </c>
      <c r="I426" s="8">
        <f>IFERROR(H426/H444, "NA")</f>
        <v>-7.5264421090986397E-2</v>
      </c>
      <c r="J426" s="9"/>
      <c r="K426" s="7">
        <v>-723.3</v>
      </c>
      <c r="L426" s="8">
        <f>IFERROR(K426/K444, "NA")</f>
        <v>-1.7131170146317673E-3</v>
      </c>
      <c r="M426" s="9"/>
      <c r="N426" s="10">
        <f t="shared" si="101"/>
        <v>-367.99999999999994</v>
      </c>
      <c r="O426" s="8">
        <f>IFERROR(N426/N444, "NA")</f>
        <v>-6.5797966628272486E-3</v>
      </c>
      <c r="P426" s="9"/>
      <c r="Q426" s="7">
        <v>-730.8</v>
      </c>
      <c r="R426" s="8">
        <f>IFERROR(Q426/Q444, "NA")</f>
        <v>-7.9982747016639705E-4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730.8</v>
      </c>
      <c r="X426" s="8">
        <f>IFERROR(W426/W444, "NA")</f>
        <v>9.4135892915913569E-3</v>
      </c>
      <c r="Y426" s="9"/>
      <c r="Z426" s="7">
        <v>-723.3</v>
      </c>
      <c r="AA426" s="8">
        <f>IFERROR(Z426/Z444, "NA")</f>
        <v>-9.3336101715058917E-4</v>
      </c>
      <c r="AB426" s="9"/>
      <c r="AC426" s="10">
        <f t="shared" si="103"/>
        <v>7.5</v>
      </c>
      <c r="AD426" s="8">
        <f>IFERROR(AC426/AC444, "NA")</f>
        <v>5.4051814068966556E-5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25954.85</v>
      </c>
      <c r="C428" s="15">
        <f>IFERROR(B428/B444, "NA")</f>
        <v>5.4282766683226603E-2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-25954.85</v>
      </c>
      <c r="I428" s="15">
        <f>IFERROR(H428/H444, "NA")</f>
        <v>5.4981051498828828</v>
      </c>
      <c r="J428" s="2"/>
      <c r="K428" s="14">
        <f>IFERROR(K407+K408+K409+K410+K411+K412+K413+K414+K415+K416+K417+K418+K419+K420+K421+K422+K423+K424+K425+K426+K427, "NA")</f>
        <v>33230.779999999992</v>
      </c>
      <c r="L428" s="15">
        <f>IFERROR(K428/K444, "NA")</f>
        <v>7.8706227882600621E-2</v>
      </c>
      <c r="M428" s="2"/>
      <c r="N428" s="14">
        <f t="shared" si="101"/>
        <v>7275.929999999993</v>
      </c>
      <c r="O428" s="15">
        <f>IFERROR(N428/N444, "NA")</f>
        <v>0.13009277155696911</v>
      </c>
      <c r="P428" s="2"/>
      <c r="Q428" s="14">
        <f>IFERROR(Q407+Q408+Q409+Q410+Q411+Q412+Q413+Q414+Q415+Q416+Q417+Q418+Q419+Q420+Q421+Q422+Q423+Q424+Q425+Q426+Q427, "NA")</f>
        <v>53498.289999999994</v>
      </c>
      <c r="R428" s="15">
        <f>IFERROR(Q428/Q444, "NA")</f>
        <v>5.8551453132085735E-2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-53498.289999999994</v>
      </c>
      <c r="X428" s="15">
        <f>IFERROR(W428/W444, "NA")</f>
        <v>-0.68912278306301178</v>
      </c>
      <c r="Y428" s="2"/>
      <c r="Z428" s="14">
        <f>IFERROR(Z407+Z408+Z409+Z410+Z411+Z412+Z413+Z414+Z415+Z416+Z417+Z418+Z419+Z420+Z421+Z422+Z423+Z424+Z425+Z426+Z427, "NA")</f>
        <v>66707.529999999984</v>
      </c>
      <c r="AA428" s="15">
        <f>IFERROR(Z428/Z444, "NA")</f>
        <v>8.6080752180842574E-2</v>
      </c>
      <c r="AB428" s="2"/>
      <c r="AC428" s="14">
        <f t="shared" si="103"/>
        <v>13209.239999999991</v>
      </c>
      <c r="AD428" s="15">
        <f>IFERROR(AC428/AC444, "NA")</f>
        <v>9.5197784596314033E-2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25954.85</v>
      </c>
      <c r="C429" s="15">
        <f>IFERROR(B429/B444, "NA")</f>
        <v>5.4282766683226603E-2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-25954.85</v>
      </c>
      <c r="I429" s="15">
        <f>IFERROR(H429/H444, "NA")</f>
        <v>5.4981051498828828</v>
      </c>
      <c r="J429" s="2"/>
      <c r="K429" s="14">
        <f>IFERROR(K407+K408+K409+K410+K411+K412+K413+K414+K415+K416+K417+K418+K419+K420+K421+K422+K423+K424+K425+K426+K427, "NA")</f>
        <v>33230.779999999992</v>
      </c>
      <c r="L429" s="15">
        <f>IFERROR(K429/K444, "NA")</f>
        <v>7.8706227882600621E-2</v>
      </c>
      <c r="M429" s="2"/>
      <c r="N429" s="14">
        <f t="shared" si="101"/>
        <v>7275.929999999993</v>
      </c>
      <c r="O429" s="15">
        <f>IFERROR(N429/N444, "NA")</f>
        <v>0.13009277155696911</v>
      </c>
      <c r="P429" s="2"/>
      <c r="Q429" s="14">
        <f>IFERROR(Q407+Q408+Q409+Q410+Q411+Q412+Q413+Q414+Q415+Q416+Q417+Q418+Q419+Q420+Q421+Q422+Q423+Q424+Q425+Q426+Q427, "NA")</f>
        <v>53498.289999999994</v>
      </c>
      <c r="R429" s="15">
        <f>IFERROR(Q429/Q444, "NA")</f>
        <v>5.8551453132085735E-2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-53498.289999999994</v>
      </c>
      <c r="X429" s="15">
        <f>IFERROR(W429/W444, "NA")</f>
        <v>-0.68912278306301178</v>
      </c>
      <c r="Y429" s="2"/>
      <c r="Z429" s="14">
        <f>IFERROR(Z407+Z408+Z409+Z410+Z411+Z412+Z413+Z414+Z415+Z416+Z417+Z418+Z419+Z420+Z421+Z422+Z423+Z424+Z425+Z426+Z427, "NA")</f>
        <v>66707.529999999984</v>
      </c>
      <c r="AA429" s="15">
        <f>IFERROR(Z429/Z444, "NA")</f>
        <v>8.6080752180842574E-2</v>
      </c>
      <c r="AB429" s="2"/>
      <c r="AC429" s="14">
        <f t="shared" si="103"/>
        <v>13209.239999999991</v>
      </c>
      <c r="AD429" s="15">
        <f>IFERROR(AC429/AC444, "NA")</f>
        <v>9.5197784596314033E-2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-201753.7399999999</v>
      </c>
      <c r="C443" s="24">
        <f>IFERROR(B443/B444, "NA")</f>
        <v>-0.42195393908608059</v>
      </c>
      <c r="D443" s="25"/>
      <c r="E443" s="23">
        <f>IFERROR(E404-E429-E442, "NA")</f>
        <v>-118416.51000000001</v>
      </c>
      <c r="F443" s="24">
        <f>IFERROR(E443/E444, "NA")</f>
        <v>-0.24523866855543153</v>
      </c>
      <c r="G443" s="25"/>
      <c r="H443" s="23">
        <f>IFERROR(B443-E443, "NA")</f>
        <v>-83337.229999999894</v>
      </c>
      <c r="I443" s="24">
        <f>IFERROR(H443/H444, "NA")</f>
        <v>17.653612077895797</v>
      </c>
      <c r="J443" s="25"/>
      <c r="K443" s="23">
        <f>IFERROR(K404-K429-K442, "NA")</f>
        <v>-168864.93999999997</v>
      </c>
      <c r="L443" s="24">
        <f>IFERROR(K443/K444, "NA")</f>
        <v>-0.39995216630550595</v>
      </c>
      <c r="M443" s="25"/>
      <c r="N443" s="23">
        <f>IFERROR(B443-K443, "NA")</f>
        <v>-32888.79999999993</v>
      </c>
      <c r="O443" s="24">
        <f>IFERROR(N443/N444, "NA")</f>
        <v>-0.58804787088150112</v>
      </c>
      <c r="P443" s="25"/>
      <c r="Q443" s="23">
        <f>IFERROR(Q404-Q429-Q442, "NA")</f>
        <v>-389476.06999999995</v>
      </c>
      <c r="R443" s="24">
        <f>IFERROR(Q443/Q444, "NA")</f>
        <v>-0.42626390224199584</v>
      </c>
      <c r="S443" s="25"/>
      <c r="T443" s="23">
        <f>IFERROR(T404-T429-T442, "NA")</f>
        <v>-292222.08999999997</v>
      </c>
      <c r="U443" s="24">
        <f>IFERROR(T443/T444, "NA")</f>
        <v>-0.34952094610870971</v>
      </c>
      <c r="V443" s="25"/>
      <c r="W443" s="23">
        <f>IFERROR(Q443-T443, "NA")</f>
        <v>-97253.979999999981</v>
      </c>
      <c r="X443" s="24">
        <f>IFERROR(W443/W444, "NA")</f>
        <v>-1.2527490759340996</v>
      </c>
      <c r="Y443" s="25"/>
      <c r="Z443" s="23">
        <f>IFERROR(Z404-Z429-Z442, "NA")</f>
        <v>-359730.91999999993</v>
      </c>
      <c r="AA443" s="24">
        <f>IFERROR(Z443/Z444, "NA")</f>
        <v>-0.46420408874839925</v>
      </c>
      <c r="AB443" s="25"/>
      <c r="AC443" s="23">
        <f>IFERROR(Q443-Z443, "NA")</f>
        <v>-29745.150000000023</v>
      </c>
      <c r="AD443" s="24">
        <f>IFERROR(AC443/AC444, "NA")</f>
        <v>-0.21437057563380291</v>
      </c>
    </row>
    <row r="444" spans="1:30" ht="15.75" hidden="1" x14ac:dyDescent="0.45">
      <c r="A444" s="26" t="s">
        <v>117</v>
      </c>
      <c r="B444" s="7">
        <v>478141.62000000005</v>
      </c>
      <c r="C444" s="27"/>
      <c r="D444" s="9"/>
      <c r="E444" s="7">
        <v>482862.30999999994</v>
      </c>
      <c r="F444" s="27"/>
      <c r="G444" s="9"/>
      <c r="H444" s="10">
        <f>IFERROR(B444-E444, "NA")</f>
        <v>-4720.6899999998859</v>
      </c>
      <c r="I444" s="27"/>
      <c r="J444" s="9"/>
      <c r="K444" s="7">
        <v>422212.83999999997</v>
      </c>
      <c r="L444" s="27"/>
      <c r="M444" s="9"/>
      <c r="N444" s="10">
        <f>IFERROR(B444-K444, "NA")</f>
        <v>55928.780000000086</v>
      </c>
      <c r="O444" s="27"/>
      <c r="P444" s="9"/>
      <c r="Q444" s="7">
        <v>913697.04999999993</v>
      </c>
      <c r="R444" s="27"/>
      <c r="S444" s="9"/>
      <c r="T444" s="7">
        <v>836064.60000000009</v>
      </c>
      <c r="U444" s="27"/>
      <c r="V444" s="9"/>
      <c r="W444" s="10">
        <f>IFERROR(Q444-T444, "NA")</f>
        <v>77632.449999999837</v>
      </c>
      <c r="X444" s="27"/>
      <c r="Y444" s="9"/>
      <c r="Z444" s="7">
        <v>774941.3</v>
      </c>
      <c r="AA444" s="27"/>
      <c r="AB444" s="9"/>
      <c r="AC444" s="10">
        <f>IFERROR(Q444-Z444, "NA")</f>
        <v>138755.74999999988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65276.88</v>
      </c>
      <c r="C350" s="8" t="str">
        <f>IFERROR(B350/B444, "NA")</f>
        <v>NA</v>
      </c>
      <c r="D350" s="9"/>
      <c r="E350" s="7">
        <v>55962</v>
      </c>
      <c r="F350" s="8" t="str">
        <f>IFERROR(E350/E444, "NA")</f>
        <v>NA</v>
      </c>
      <c r="G350" s="9"/>
      <c r="H350" s="10">
        <f t="shared" si="88"/>
        <v>-9314.8799999999974</v>
      </c>
      <c r="I350" s="8" t="str">
        <f>IFERROR(H350/H444, "NA")</f>
        <v>NA</v>
      </c>
      <c r="J350" s="9"/>
      <c r="K350" s="7">
        <v>53577.5</v>
      </c>
      <c r="L350" s="8" t="str">
        <f>IFERROR(K350/K444, "NA")</f>
        <v>NA</v>
      </c>
      <c r="M350" s="9"/>
      <c r="N350" s="10">
        <f t="shared" si="89"/>
        <v>-11699.379999999997</v>
      </c>
      <c r="O350" s="8" t="str">
        <f>IFERROR(N350/N444, "NA")</f>
        <v>NA</v>
      </c>
      <c r="P350" s="9"/>
      <c r="Q350" s="7">
        <v>125887.42</v>
      </c>
      <c r="R350" s="8" t="str">
        <f>IFERROR(Q350/Q444, "NA")</f>
        <v>NA</v>
      </c>
      <c r="S350" s="9"/>
      <c r="T350" s="7">
        <v>124615</v>
      </c>
      <c r="U350" s="8" t="str">
        <f>IFERROR(T350/T444, "NA")</f>
        <v>NA</v>
      </c>
      <c r="V350" s="9"/>
      <c r="W350" s="10">
        <f t="shared" si="90"/>
        <v>-1272.4199999999983</v>
      </c>
      <c r="X350" s="8" t="str">
        <f>IFERROR(W350/W444, "NA")</f>
        <v>NA</v>
      </c>
      <c r="Y350" s="9"/>
      <c r="Z350" s="7">
        <v>106412.54</v>
      </c>
      <c r="AA350" s="8" t="str">
        <f>IFERROR(Z350/Z444, "NA")</f>
        <v>NA</v>
      </c>
      <c r="AB350" s="9"/>
      <c r="AC350" s="10">
        <f t="shared" si="91"/>
        <v>-19474.880000000005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8653.85</v>
      </c>
      <c r="L352" s="8" t="str">
        <f>IFERROR(K352/K444, "NA")</f>
        <v>NA</v>
      </c>
      <c r="M352" s="9"/>
      <c r="N352" s="10">
        <f t="shared" si="89"/>
        <v>8653.85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0</v>
      </c>
      <c r="U352" s="8" t="str">
        <f>IFERROR(T352/T444, "NA")</f>
        <v>NA</v>
      </c>
      <c r="V352" s="9"/>
      <c r="W352" s="10">
        <f t="shared" si="90"/>
        <v>0</v>
      </c>
      <c r="X352" s="8" t="str">
        <f>IFERROR(W352/W444, "NA")</f>
        <v>NA</v>
      </c>
      <c r="Y352" s="9"/>
      <c r="Z352" s="7">
        <v>13269.25</v>
      </c>
      <c r="AA352" s="8" t="str">
        <f>IFERROR(Z352/Z444, "NA")</f>
        <v>NA</v>
      </c>
      <c r="AB352" s="9"/>
      <c r="AC352" s="10">
        <f t="shared" si="91"/>
        <v>13269.25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2581.85</v>
      </c>
      <c r="C353" s="8" t="str">
        <f>IFERROR(B353/B444, "NA")</f>
        <v>NA</v>
      </c>
      <c r="D353" s="9"/>
      <c r="E353" s="7">
        <v>4189.2299999999996</v>
      </c>
      <c r="F353" s="8" t="str">
        <f>IFERROR(E353/E444, "NA")</f>
        <v>NA</v>
      </c>
      <c r="G353" s="9"/>
      <c r="H353" s="10">
        <f t="shared" si="88"/>
        <v>1607.3799999999997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-2581.85</v>
      </c>
      <c r="O353" s="8" t="str">
        <f>IFERROR(N353/N444, "NA")</f>
        <v>NA</v>
      </c>
      <c r="P353" s="9"/>
      <c r="Q353" s="7">
        <v>6774.8</v>
      </c>
      <c r="R353" s="8" t="str">
        <f>IFERROR(Q353/Q444, "NA")</f>
        <v>NA</v>
      </c>
      <c r="S353" s="9"/>
      <c r="T353" s="7">
        <v>7227.82</v>
      </c>
      <c r="U353" s="8" t="str">
        <f>IFERROR(T353/T444, "NA")</f>
        <v>NA</v>
      </c>
      <c r="V353" s="9"/>
      <c r="W353" s="10">
        <f t="shared" si="90"/>
        <v>453.01999999999953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5617.07</v>
      </c>
      <c r="C354" s="8" t="str">
        <f>IFERROR(B354/B444, "NA")</f>
        <v>NA</v>
      </c>
      <c r="D354" s="9"/>
      <c r="E354" s="7">
        <v>4817.09</v>
      </c>
      <c r="F354" s="8" t="str">
        <f>IFERROR(E354/E444, "NA")</f>
        <v>NA</v>
      </c>
      <c r="G354" s="9"/>
      <c r="H354" s="10">
        <f t="shared" si="88"/>
        <v>-799.97999999999956</v>
      </c>
      <c r="I354" s="8" t="str">
        <f>IFERROR(H354/H444, "NA")</f>
        <v>NA</v>
      </c>
      <c r="J354" s="9"/>
      <c r="K354" s="7">
        <v>4776.62</v>
      </c>
      <c r="L354" s="8" t="str">
        <f>IFERROR(K354/K444, "NA")</f>
        <v>NA</v>
      </c>
      <c r="M354" s="9"/>
      <c r="N354" s="10">
        <f t="shared" si="89"/>
        <v>-840.44999999999982</v>
      </c>
      <c r="O354" s="8" t="str">
        <f>IFERROR(N354/N444, "NA")</f>
        <v>NA</v>
      </c>
      <c r="P354" s="9"/>
      <c r="Q354" s="7">
        <v>12407.31</v>
      </c>
      <c r="R354" s="8" t="str">
        <f>IFERROR(Q354/Q444, "NA")</f>
        <v>NA</v>
      </c>
      <c r="S354" s="9"/>
      <c r="T354" s="7">
        <v>12252.09</v>
      </c>
      <c r="U354" s="8" t="str">
        <f>IFERROR(T354/T444, "NA")</f>
        <v>NA</v>
      </c>
      <c r="V354" s="9"/>
      <c r="W354" s="10">
        <f t="shared" si="90"/>
        <v>-155.21999999999935</v>
      </c>
      <c r="X354" s="8" t="str">
        <f>IFERROR(W354/W444, "NA")</f>
        <v>NA</v>
      </c>
      <c r="Y354" s="9"/>
      <c r="Z354" s="7">
        <v>9808.1200000000008</v>
      </c>
      <c r="AA354" s="8" t="str">
        <f>IFERROR(Z354/Z444, "NA")</f>
        <v>NA</v>
      </c>
      <c r="AB354" s="9"/>
      <c r="AC354" s="10">
        <f t="shared" si="91"/>
        <v>-2599.1899999999987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307.39999999999998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-27.399999999999977</v>
      </c>
      <c r="I355" s="8" t="str">
        <f>IFERROR(H355/H444, "NA")</f>
        <v>NA</v>
      </c>
      <c r="J355" s="9"/>
      <c r="K355" s="7">
        <v>267.12</v>
      </c>
      <c r="L355" s="8" t="str">
        <f>IFERROR(K355/K444, "NA")</f>
        <v>NA</v>
      </c>
      <c r="M355" s="9"/>
      <c r="N355" s="10">
        <f t="shared" si="89"/>
        <v>-40.279999999999973</v>
      </c>
      <c r="O355" s="8" t="str">
        <f>IFERROR(N355/N444, "NA")</f>
        <v>NA</v>
      </c>
      <c r="P355" s="9"/>
      <c r="Q355" s="7">
        <v>540.6</v>
      </c>
      <c r="R355" s="8" t="str">
        <f>IFERROR(Q355/Q444, "NA")</f>
        <v>NA</v>
      </c>
      <c r="S355" s="9"/>
      <c r="T355" s="7">
        <v>560</v>
      </c>
      <c r="U355" s="8" t="str">
        <f>IFERROR(T355/T444, "NA")</f>
        <v>NA</v>
      </c>
      <c r="V355" s="9"/>
      <c r="W355" s="10">
        <f t="shared" si="90"/>
        <v>19.399999999999977</v>
      </c>
      <c r="X355" s="8" t="str">
        <f>IFERROR(W355/W444, "NA")</f>
        <v>NA</v>
      </c>
      <c r="Y355" s="9"/>
      <c r="Z355" s="7">
        <v>267.12</v>
      </c>
      <c r="AA355" s="8" t="str">
        <f>IFERROR(Z355/Z444, "NA")</f>
        <v>NA</v>
      </c>
      <c r="AB355" s="9"/>
      <c r="AC355" s="10">
        <f t="shared" si="91"/>
        <v>-273.48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6187.5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0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-6187.5</v>
      </c>
      <c r="O356" s="8" t="str">
        <f>IFERROR(N356/N444, "NA")</f>
        <v>NA</v>
      </c>
      <c r="P356" s="9"/>
      <c r="Q356" s="7">
        <v>12375</v>
      </c>
      <c r="R356" s="8" t="str">
        <f>IFERROR(Q356/Q444, "NA")</f>
        <v>NA</v>
      </c>
      <c r="S356" s="9"/>
      <c r="T356" s="7">
        <v>12375</v>
      </c>
      <c r="U356" s="8" t="str">
        <f>IFERROR(T356/T444, "NA")</f>
        <v>NA</v>
      </c>
      <c r="V356" s="9"/>
      <c r="W356" s="10">
        <f t="shared" si="90"/>
        <v>0</v>
      </c>
      <c r="X356" s="8" t="str">
        <f>IFERROR(W356/W444, "NA")</f>
        <v>NA</v>
      </c>
      <c r="Y356" s="9"/>
      <c r="Z356" s="7">
        <v>1800</v>
      </c>
      <c r="AA356" s="8" t="str">
        <f>IFERROR(Z356/Z444, "NA")</f>
        <v>NA</v>
      </c>
      <c r="AB356" s="9"/>
      <c r="AC356" s="10">
        <f t="shared" si="91"/>
        <v>-10575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3469.35</v>
      </c>
      <c r="C357" s="8" t="str">
        <f>IFERROR(B357/B444, "NA")</f>
        <v>NA</v>
      </c>
      <c r="D357" s="9"/>
      <c r="E357" s="7">
        <v>2294.44</v>
      </c>
      <c r="F357" s="8" t="str">
        <f>IFERROR(E357/E444, "NA")</f>
        <v>NA</v>
      </c>
      <c r="G357" s="9"/>
      <c r="H357" s="10">
        <f t="shared" si="88"/>
        <v>-1174.9099999999999</v>
      </c>
      <c r="I357" s="8" t="str">
        <f>IFERROR(H357/H444, "NA")</f>
        <v>NA</v>
      </c>
      <c r="J357" s="9"/>
      <c r="K357" s="7">
        <v>2156.7600000000002</v>
      </c>
      <c r="L357" s="8" t="str">
        <f>IFERROR(K357/K444, "NA")</f>
        <v>NA</v>
      </c>
      <c r="M357" s="9"/>
      <c r="N357" s="10">
        <f t="shared" si="89"/>
        <v>-1312.5899999999997</v>
      </c>
      <c r="O357" s="8" t="str">
        <f>IFERROR(N357/N444, "NA")</f>
        <v>NA</v>
      </c>
      <c r="P357" s="9"/>
      <c r="Q357" s="7">
        <v>6938.7</v>
      </c>
      <c r="R357" s="8" t="str">
        <f>IFERROR(Q357/Q444, "NA")</f>
        <v>NA</v>
      </c>
      <c r="S357" s="9"/>
      <c r="T357" s="7">
        <v>5109.21</v>
      </c>
      <c r="U357" s="8" t="str">
        <f>IFERROR(T357/T444, "NA")</f>
        <v>NA</v>
      </c>
      <c r="V357" s="9"/>
      <c r="W357" s="10">
        <f t="shared" si="90"/>
        <v>-1829.4899999999998</v>
      </c>
      <c r="X357" s="8" t="str">
        <f>IFERROR(W357/W444, "NA")</f>
        <v>NA</v>
      </c>
      <c r="Y357" s="9"/>
      <c r="Z357" s="7">
        <v>4313.5200000000004</v>
      </c>
      <c r="AA357" s="8" t="str">
        <f>IFERROR(Z357/Z444, "NA")</f>
        <v>NA</v>
      </c>
      <c r="AB357" s="9"/>
      <c r="AC357" s="10">
        <f t="shared" si="91"/>
        <v>-2625.1799999999994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83440.049999999988</v>
      </c>
      <c r="C358" s="15" t="str">
        <f>IFERROR(B358/B444, "NA")</f>
        <v>NA</v>
      </c>
      <c r="D358" s="2"/>
      <c r="E358" s="14">
        <f>IFERROR(E349+E350+E351+E352+E353+E354+E355+E356+E357, "NA")</f>
        <v>73730.259999999995</v>
      </c>
      <c r="F358" s="15" t="str">
        <f>IFERROR(E358/E444, "NA")</f>
        <v>NA</v>
      </c>
      <c r="G358" s="2"/>
      <c r="H358" s="14">
        <f t="shared" si="88"/>
        <v>-9709.7899999999936</v>
      </c>
      <c r="I358" s="15" t="str">
        <f>IFERROR(H358/H444, "NA")</f>
        <v>NA</v>
      </c>
      <c r="J358" s="2"/>
      <c r="K358" s="14">
        <f>IFERROR(K349+K350+K351+K352+K353+K354+K355+K356+K357, "NA")</f>
        <v>69431.849999999991</v>
      </c>
      <c r="L358" s="15" t="str">
        <f>IFERROR(K358/K444, "NA")</f>
        <v>NA</v>
      </c>
      <c r="M358" s="2"/>
      <c r="N358" s="14">
        <f t="shared" si="89"/>
        <v>-14008.199999999997</v>
      </c>
      <c r="O358" s="15" t="str">
        <f>IFERROR(N358/N444, "NA")</f>
        <v>NA</v>
      </c>
      <c r="P358" s="2"/>
      <c r="Q358" s="14">
        <f>IFERROR(Q349+Q350+Q351+Q352+Q353+Q354+Q355+Q356+Q357, "NA")</f>
        <v>164923.83000000002</v>
      </c>
      <c r="R358" s="15" t="str">
        <f>IFERROR(Q358/Q444, "NA")</f>
        <v>NA</v>
      </c>
      <c r="S358" s="2"/>
      <c r="T358" s="14">
        <f>IFERROR(T349+T350+T351+T352+T353+T354+T355+T356+T357, "NA")</f>
        <v>162139.12</v>
      </c>
      <c r="U358" s="15" t="str">
        <f>IFERROR(T358/T444, "NA")</f>
        <v>NA</v>
      </c>
      <c r="V358" s="2"/>
      <c r="W358" s="14">
        <f t="shared" si="90"/>
        <v>-2784.710000000021</v>
      </c>
      <c r="X358" s="15" t="str">
        <f>IFERROR(W358/W444, "NA")</f>
        <v>NA</v>
      </c>
      <c r="Y358" s="2"/>
      <c r="Z358" s="14">
        <f>IFERROR(Z349+Z350+Z351+Z352+Z353+Z354+Z355+Z356+Z357, "NA")</f>
        <v>135870.54999999996</v>
      </c>
      <c r="AA358" s="15" t="str">
        <f>IFERROR(Z358/Z444, "NA")</f>
        <v>NA</v>
      </c>
      <c r="AB358" s="2"/>
      <c r="AC358" s="14">
        <f t="shared" si="91"/>
        <v>-29053.280000000057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2500</v>
      </c>
      <c r="U360" s="8" t="str">
        <f>IFERROR(T360/T444, "NA")</f>
        <v>NA</v>
      </c>
      <c r="V360" s="9"/>
      <c r="W360" s="10">
        <f t="shared" ref="W360:W383" si="94">IFERROR(-(Q360-T360), "NA")</f>
        <v>2500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152.68</v>
      </c>
      <c r="L361" s="8" t="str">
        <f>IFERROR(K361/K444, "NA")</f>
        <v>NA</v>
      </c>
      <c r="M361" s="9"/>
      <c r="N361" s="10">
        <f t="shared" si="93"/>
        <v>152.68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347.71</v>
      </c>
      <c r="AA361" s="8" t="str">
        <f>IFERROR(Z361/Z444, "NA")</f>
        <v>NA</v>
      </c>
      <c r="AB361" s="9"/>
      <c r="AC361" s="10">
        <f t="shared" si="95"/>
        <v>347.71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1011.15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-511.15</v>
      </c>
      <c r="I362" s="8" t="str">
        <f>IFERROR(H362/H444, "NA")</f>
        <v>NA</v>
      </c>
      <c r="J362" s="9"/>
      <c r="K362" s="7">
        <v>511.24</v>
      </c>
      <c r="L362" s="8" t="str">
        <f>IFERROR(K362/K444, "NA")</f>
        <v>NA</v>
      </c>
      <c r="M362" s="9"/>
      <c r="N362" s="10">
        <f t="shared" si="93"/>
        <v>-499.90999999999997</v>
      </c>
      <c r="O362" s="8" t="str">
        <f>IFERROR(N362/N444, "NA")</f>
        <v>NA</v>
      </c>
      <c r="P362" s="9"/>
      <c r="Q362" s="7">
        <v>1737.43</v>
      </c>
      <c r="R362" s="8" t="str">
        <f>IFERROR(Q362/Q444, "NA")</f>
        <v>NA</v>
      </c>
      <c r="S362" s="9"/>
      <c r="T362" s="7">
        <v>900</v>
      </c>
      <c r="U362" s="8" t="str">
        <f>IFERROR(T362/T444, "NA")</f>
        <v>NA</v>
      </c>
      <c r="V362" s="9"/>
      <c r="W362" s="10">
        <f t="shared" si="94"/>
        <v>-837.43000000000006</v>
      </c>
      <c r="X362" s="8" t="str">
        <f>IFERROR(W362/W444, "NA")</f>
        <v>NA</v>
      </c>
      <c r="Y362" s="9"/>
      <c r="Z362" s="7">
        <v>910</v>
      </c>
      <c r="AA362" s="8" t="str">
        <f>IFERROR(Z362/Z444, "NA")</f>
        <v>NA</v>
      </c>
      <c r="AB362" s="9"/>
      <c r="AC362" s="10">
        <f t="shared" si="95"/>
        <v>-827.43000000000006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724.19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-524.19000000000005</v>
      </c>
      <c r="I363" s="8" t="str">
        <f>IFERROR(H363/H444, "NA")</f>
        <v>NA</v>
      </c>
      <c r="J363" s="9"/>
      <c r="K363" s="7">
        <v>223.17</v>
      </c>
      <c r="L363" s="8" t="str">
        <f>IFERROR(K363/K444, "NA")</f>
        <v>NA</v>
      </c>
      <c r="M363" s="9"/>
      <c r="N363" s="10">
        <f t="shared" si="93"/>
        <v>-501.0200000000001</v>
      </c>
      <c r="O363" s="8" t="str">
        <f>IFERROR(N363/N444, "NA")</f>
        <v>NA</v>
      </c>
      <c r="P363" s="9"/>
      <c r="Q363" s="7">
        <v>1050.74</v>
      </c>
      <c r="R363" s="8" t="str">
        <f>IFERROR(Q363/Q444, "NA")</f>
        <v>NA</v>
      </c>
      <c r="S363" s="9"/>
      <c r="T363" s="7">
        <v>400</v>
      </c>
      <c r="U363" s="8" t="str">
        <f>IFERROR(T363/T444, "NA")</f>
        <v>NA</v>
      </c>
      <c r="V363" s="9"/>
      <c r="W363" s="10">
        <f t="shared" si="94"/>
        <v>-650.74</v>
      </c>
      <c r="X363" s="8" t="str">
        <f>IFERROR(W363/W444, "NA")</f>
        <v>NA</v>
      </c>
      <c r="Y363" s="9"/>
      <c r="Z363" s="7">
        <v>454.37</v>
      </c>
      <c r="AA363" s="8" t="str">
        <f>IFERROR(Z363/Z444, "NA")</f>
        <v>NA</v>
      </c>
      <c r="AB363" s="9"/>
      <c r="AC363" s="10">
        <f t="shared" si="95"/>
        <v>-596.37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1851.27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-1851.27</v>
      </c>
      <c r="I364" s="8" t="str">
        <f>IFERROR(H364/H444, "NA")</f>
        <v>NA</v>
      </c>
      <c r="J364" s="9"/>
      <c r="K364" s="7">
        <v>281.36</v>
      </c>
      <c r="L364" s="8" t="str">
        <f>IFERROR(K364/K444, "NA")</f>
        <v>NA</v>
      </c>
      <c r="M364" s="9"/>
      <c r="N364" s="10">
        <f t="shared" si="93"/>
        <v>-1569.9099999999999</v>
      </c>
      <c r="O364" s="8" t="str">
        <f>IFERROR(N364/N444, "NA")</f>
        <v>NA</v>
      </c>
      <c r="P364" s="9"/>
      <c r="Q364" s="7">
        <v>1896.53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-1896.53</v>
      </c>
      <c r="X364" s="8" t="str">
        <f>IFERROR(W364/W444, "NA")</f>
        <v>NA</v>
      </c>
      <c r="Y364" s="9"/>
      <c r="Z364" s="7">
        <v>1320.53</v>
      </c>
      <c r="AA364" s="8" t="str">
        <f>IFERROR(Z364/Z444, "NA")</f>
        <v>NA</v>
      </c>
      <c r="AB364" s="9"/>
      <c r="AC364" s="10">
        <f t="shared" si="95"/>
        <v>-576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896.2</v>
      </c>
      <c r="C365" s="8" t="str">
        <f>IFERROR(B365/B444, "NA")</f>
        <v>NA</v>
      </c>
      <c r="D365" s="9"/>
      <c r="E365" s="7">
        <v>0</v>
      </c>
      <c r="F365" s="8" t="str">
        <f>IFERROR(E365/E444, "NA")</f>
        <v>NA</v>
      </c>
      <c r="G365" s="9"/>
      <c r="H365" s="10">
        <f t="shared" si="92"/>
        <v>-896.2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-896.2</v>
      </c>
      <c r="O365" s="8" t="str">
        <f>IFERROR(N365/N444, "NA")</f>
        <v>NA</v>
      </c>
      <c r="P365" s="9"/>
      <c r="Q365" s="7">
        <v>896.2</v>
      </c>
      <c r="R365" s="8" t="str">
        <f>IFERROR(Q365/Q444, "NA")</f>
        <v>NA</v>
      </c>
      <c r="S365" s="9"/>
      <c r="T365" s="7">
        <v>0</v>
      </c>
      <c r="U365" s="8" t="str">
        <f>IFERROR(T365/T444, "NA")</f>
        <v>NA</v>
      </c>
      <c r="V365" s="9"/>
      <c r="W365" s="10">
        <f t="shared" si="94"/>
        <v>-896.2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-896.2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1049.3499999999999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-704.34999999999991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-1049.3499999999999</v>
      </c>
      <c r="O366" s="8" t="str">
        <f>IFERROR(N366/N444, "NA")</f>
        <v>NA</v>
      </c>
      <c r="P366" s="9"/>
      <c r="Q366" s="7">
        <v>1049.3499999999999</v>
      </c>
      <c r="R366" s="8" t="str">
        <f>IFERROR(Q366/Q444, "NA")</f>
        <v>NA</v>
      </c>
      <c r="S366" s="9"/>
      <c r="T366" s="7">
        <v>345</v>
      </c>
      <c r="U366" s="8" t="str">
        <f>IFERROR(T366/T444, "NA")</f>
        <v>NA</v>
      </c>
      <c r="V366" s="9"/>
      <c r="W366" s="10">
        <f t="shared" si="94"/>
        <v>-704.34999999999991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-1049.3499999999999</v>
      </c>
      <c r="AD366" s="8" t="str">
        <f>IFERROR(AC366/AC444, "NA")</f>
        <v>NA</v>
      </c>
    </row>
    <row r="367" spans="1:30" ht="16.5" hidden="1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0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0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0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5532.16</v>
      </c>
      <c r="C368" s="15" t="str">
        <f>IFERROR(B368/B444, "NA")</f>
        <v>NA</v>
      </c>
      <c r="D368" s="2"/>
      <c r="E368" s="14">
        <f>IFERROR(E360+E361+E362+E363+E364+E365+E366+E367, "NA")</f>
        <v>2545</v>
      </c>
      <c r="F368" s="15" t="str">
        <f>IFERROR(E368/E444, "NA")</f>
        <v>NA</v>
      </c>
      <c r="G368" s="2"/>
      <c r="H368" s="14">
        <f t="shared" si="92"/>
        <v>-2987.16</v>
      </c>
      <c r="I368" s="15" t="str">
        <f>IFERROR(H368/H444, "NA")</f>
        <v>NA</v>
      </c>
      <c r="J368" s="2"/>
      <c r="K368" s="14">
        <f>IFERROR(K360+K361+K362+K363+K364+K365+K366+K367, "NA")</f>
        <v>1168.45</v>
      </c>
      <c r="L368" s="15" t="str">
        <f>IFERROR(K368/K444, "NA")</f>
        <v>NA</v>
      </c>
      <c r="M368" s="2"/>
      <c r="N368" s="14">
        <f t="shared" si="93"/>
        <v>-4363.71</v>
      </c>
      <c r="O368" s="15" t="str">
        <f>IFERROR(N368/N444, "NA")</f>
        <v>NA</v>
      </c>
      <c r="P368" s="2"/>
      <c r="Q368" s="14">
        <f>IFERROR(Q360+Q361+Q362+Q363+Q364+Q365+Q366+Q367, "NA")</f>
        <v>6630.25</v>
      </c>
      <c r="R368" s="15" t="str">
        <f>IFERROR(Q368/Q444, "NA")</f>
        <v>NA</v>
      </c>
      <c r="S368" s="2"/>
      <c r="T368" s="14">
        <f>IFERROR(T360+T361+T362+T363+T364+T365+T366+T367, "NA")</f>
        <v>4145</v>
      </c>
      <c r="U368" s="15" t="str">
        <f>IFERROR(T368/T444, "NA")</f>
        <v>NA</v>
      </c>
      <c r="V368" s="2"/>
      <c r="W368" s="14">
        <f t="shared" si="94"/>
        <v>-2485.25</v>
      </c>
      <c r="X368" s="15" t="str">
        <f>IFERROR(W368/W444, "NA")</f>
        <v>NA</v>
      </c>
      <c r="Y368" s="2"/>
      <c r="Z368" s="14">
        <f>IFERROR(Z360+Z361+Z362+Z363+Z364+Z365+Z366+Z367, "NA")</f>
        <v>3032.6099999999997</v>
      </c>
      <c r="AA368" s="15" t="str">
        <f>IFERROR(Z368/Z444, "NA")</f>
        <v>NA</v>
      </c>
      <c r="AB368" s="2"/>
      <c r="AC368" s="14">
        <f t="shared" si="95"/>
        <v>-3597.6400000000003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103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532</v>
      </c>
      <c r="I370" s="8" t="str">
        <f>IFERROR(H370/H444, "NA")</f>
        <v>NA</v>
      </c>
      <c r="J370" s="9"/>
      <c r="K370" s="7">
        <v>1644.5</v>
      </c>
      <c r="L370" s="8" t="str">
        <f>IFERROR(K370/K444, "NA")</f>
        <v>NA</v>
      </c>
      <c r="M370" s="9"/>
      <c r="N370" s="10">
        <f t="shared" si="93"/>
        <v>1541.5</v>
      </c>
      <c r="O370" s="8" t="str">
        <f>IFERROR(N370/N444, "NA")</f>
        <v>NA</v>
      </c>
      <c r="P370" s="9"/>
      <c r="Q370" s="7">
        <v>206</v>
      </c>
      <c r="R370" s="8" t="str">
        <f>IFERROR(Q370/Q444, "NA")</f>
        <v>NA</v>
      </c>
      <c r="S370" s="9"/>
      <c r="T370" s="7">
        <v>1270</v>
      </c>
      <c r="U370" s="8" t="str">
        <f>IFERROR(T370/T444, "NA")</f>
        <v>NA</v>
      </c>
      <c r="V370" s="9"/>
      <c r="W370" s="10">
        <f t="shared" si="94"/>
        <v>1064</v>
      </c>
      <c r="X370" s="8" t="str">
        <f>IFERROR(W370/W444, "NA")</f>
        <v>NA</v>
      </c>
      <c r="Y370" s="9"/>
      <c r="Z370" s="7">
        <v>1692</v>
      </c>
      <c r="AA370" s="8" t="str">
        <f>IFERROR(Z370/Z444, "NA")</f>
        <v>NA</v>
      </c>
      <c r="AB370" s="9"/>
      <c r="AC370" s="10">
        <f t="shared" si="95"/>
        <v>1486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187.21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-87.210000000000008</v>
      </c>
      <c r="I371" s="8" t="str">
        <f>IFERROR(H371/H444, "NA")</f>
        <v>NA</v>
      </c>
      <c r="J371" s="9"/>
      <c r="K371" s="7">
        <v>73.84</v>
      </c>
      <c r="L371" s="8" t="str">
        <f>IFERROR(K371/K444, "NA")</f>
        <v>NA</v>
      </c>
      <c r="M371" s="9"/>
      <c r="N371" s="10">
        <f t="shared" si="93"/>
        <v>-113.37</v>
      </c>
      <c r="O371" s="8" t="str">
        <f>IFERROR(N371/N444, "NA")</f>
        <v>NA</v>
      </c>
      <c r="P371" s="9"/>
      <c r="Q371" s="7">
        <v>297.27999999999997</v>
      </c>
      <c r="R371" s="8" t="str">
        <f>IFERROR(Q371/Q444, "NA")</f>
        <v>NA</v>
      </c>
      <c r="S371" s="9"/>
      <c r="T371" s="7">
        <v>200</v>
      </c>
      <c r="U371" s="8" t="str">
        <f>IFERROR(T371/T444, "NA")</f>
        <v>NA</v>
      </c>
      <c r="V371" s="9"/>
      <c r="W371" s="10">
        <f t="shared" si="94"/>
        <v>-97.279999999999973</v>
      </c>
      <c r="X371" s="8" t="str">
        <f>IFERROR(W371/W444, "NA")</f>
        <v>NA</v>
      </c>
      <c r="Y371" s="9"/>
      <c r="Z371" s="7">
        <v>307</v>
      </c>
      <c r="AA371" s="8" t="str">
        <f>IFERROR(Z371/Z444, "NA")</f>
        <v>NA</v>
      </c>
      <c r="AB371" s="9"/>
      <c r="AC371" s="10">
        <f t="shared" si="95"/>
        <v>9.7200000000000273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-277.17</v>
      </c>
      <c r="O372" s="8" t="str">
        <f>IFERROR(N372/N444, "NA")</f>
        <v>NA</v>
      </c>
      <c r="P372" s="9"/>
      <c r="Q372" s="7">
        <v>277.17</v>
      </c>
      <c r="R372" s="8" t="str">
        <f>IFERROR(Q372/Q444, "NA")</f>
        <v>NA</v>
      </c>
      <c r="S372" s="9"/>
      <c r="T372" s="7">
        <v>0</v>
      </c>
      <c r="U372" s="8" t="str">
        <f>IFERROR(T372/T444, "NA")</f>
        <v>NA</v>
      </c>
      <c r="V372" s="9"/>
      <c r="W372" s="10">
        <f t="shared" si="94"/>
        <v>-277.17</v>
      </c>
      <c r="X372" s="8" t="str">
        <f>IFERROR(W372/W444, "NA")</f>
        <v>NA</v>
      </c>
      <c r="Y372" s="9"/>
      <c r="Z372" s="7">
        <v>0</v>
      </c>
      <c r="AA372" s="8" t="str">
        <f>IFERROR(Z372/Z444, "NA")</f>
        <v>NA</v>
      </c>
      <c r="AB372" s="9"/>
      <c r="AC372" s="10">
        <f t="shared" si="95"/>
        <v>-277.17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607.08000000000004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-282.08000000000004</v>
      </c>
      <c r="I373" s="8" t="str">
        <f>IFERROR(H373/H444, "NA")</f>
        <v>NA</v>
      </c>
      <c r="J373" s="9"/>
      <c r="K373" s="7">
        <v>788.11</v>
      </c>
      <c r="L373" s="8" t="str">
        <f>IFERROR(K373/K444, "NA")</f>
        <v>NA</v>
      </c>
      <c r="M373" s="9"/>
      <c r="N373" s="10">
        <f t="shared" si="93"/>
        <v>181.02999999999997</v>
      </c>
      <c r="O373" s="8" t="str">
        <f>IFERROR(N373/N444, "NA")</f>
        <v>NA</v>
      </c>
      <c r="P373" s="9"/>
      <c r="Q373" s="7">
        <v>1061.97</v>
      </c>
      <c r="R373" s="8" t="str">
        <f>IFERROR(Q373/Q444, "NA")</f>
        <v>NA</v>
      </c>
      <c r="S373" s="9"/>
      <c r="T373" s="7">
        <v>650</v>
      </c>
      <c r="U373" s="8" t="str">
        <f>IFERROR(T373/T444, "NA")</f>
        <v>NA</v>
      </c>
      <c r="V373" s="9"/>
      <c r="W373" s="10">
        <f t="shared" si="94"/>
        <v>-411.97</v>
      </c>
      <c r="X373" s="8" t="str">
        <f>IFERROR(W373/W444, "NA")</f>
        <v>NA</v>
      </c>
      <c r="Y373" s="9"/>
      <c r="Z373" s="7">
        <v>1551.96</v>
      </c>
      <c r="AA373" s="8" t="str">
        <f>IFERROR(Z373/Z444, "NA")</f>
        <v>NA</v>
      </c>
      <c r="AB373" s="9"/>
      <c r="AC373" s="10">
        <f t="shared" si="95"/>
        <v>489.99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1897.01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2.9900000000000091</v>
      </c>
      <c r="I374" s="8" t="str">
        <f>IFERROR(H374/H444, "NA")</f>
        <v>NA</v>
      </c>
      <c r="J374" s="9"/>
      <c r="K374" s="7">
        <v>1780.85</v>
      </c>
      <c r="L374" s="8" t="str">
        <f>IFERROR(K374/K444, "NA")</f>
        <v>NA</v>
      </c>
      <c r="M374" s="9"/>
      <c r="N374" s="10">
        <f t="shared" si="93"/>
        <v>-116.16000000000008</v>
      </c>
      <c r="O374" s="8" t="str">
        <f>IFERROR(N374/N444, "NA")</f>
        <v>NA</v>
      </c>
      <c r="P374" s="9"/>
      <c r="Q374" s="7">
        <v>3794.02</v>
      </c>
      <c r="R374" s="8" t="str">
        <f>IFERROR(Q374/Q444, "NA")</f>
        <v>NA</v>
      </c>
      <c r="S374" s="9"/>
      <c r="T374" s="7">
        <v>3800</v>
      </c>
      <c r="U374" s="8" t="str">
        <f>IFERROR(T374/T444, "NA")</f>
        <v>NA</v>
      </c>
      <c r="V374" s="9"/>
      <c r="W374" s="10">
        <f t="shared" si="94"/>
        <v>5.9800000000000182</v>
      </c>
      <c r="X374" s="8" t="str">
        <f>IFERROR(W374/W444, "NA")</f>
        <v>NA</v>
      </c>
      <c r="Y374" s="9"/>
      <c r="Z374" s="7">
        <v>3561.71</v>
      </c>
      <c r="AA374" s="8" t="str">
        <f>IFERROR(Z374/Z444, "NA")</f>
        <v>NA</v>
      </c>
      <c r="AB374" s="9"/>
      <c r="AC374" s="10">
        <f t="shared" si="95"/>
        <v>-232.30999999999995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205.26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-205.26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-20.269999999999982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8906.06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-435.72999999999956</v>
      </c>
      <c r="I378" s="8" t="str">
        <f>IFERROR(H378/H444, "NA")</f>
        <v>NA</v>
      </c>
      <c r="J378" s="9"/>
      <c r="K378" s="7">
        <v>4704.2299999999996</v>
      </c>
      <c r="L378" s="8" t="str">
        <f>IFERROR(K378/K444, "NA")</f>
        <v>NA</v>
      </c>
      <c r="M378" s="9"/>
      <c r="N378" s="10">
        <f t="shared" si="93"/>
        <v>-4201.83</v>
      </c>
      <c r="O378" s="8" t="str">
        <f>IFERROR(N378/N444, "NA")</f>
        <v>NA</v>
      </c>
      <c r="P378" s="9"/>
      <c r="Q378" s="7">
        <v>16835.02</v>
      </c>
      <c r="R378" s="8" t="str">
        <f>IFERROR(Q378/Q444, "NA")</f>
        <v>NA</v>
      </c>
      <c r="S378" s="9"/>
      <c r="T378" s="7">
        <v>16940.66</v>
      </c>
      <c r="U378" s="8" t="str">
        <f>IFERROR(T378/T444, "NA")</f>
        <v>NA</v>
      </c>
      <c r="V378" s="9"/>
      <c r="W378" s="10">
        <f t="shared" si="94"/>
        <v>105.63999999999942</v>
      </c>
      <c r="X378" s="8" t="str">
        <f>IFERROR(W378/W444, "NA")</f>
        <v>NA</v>
      </c>
      <c r="Y378" s="9"/>
      <c r="Z378" s="7">
        <v>11532.58</v>
      </c>
      <c r="AA378" s="8" t="str">
        <f>IFERROR(Z378/Z444, "NA")</f>
        <v>NA</v>
      </c>
      <c r="AB378" s="9"/>
      <c r="AC378" s="10">
        <f t="shared" si="95"/>
        <v>-5302.4400000000005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214.32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-14.319999999999993</v>
      </c>
      <c r="I379" s="8" t="str">
        <f>IFERROR(H379/H444, "NA")</f>
        <v>NA</v>
      </c>
      <c r="J379" s="9"/>
      <c r="K379" s="7">
        <v>430.2</v>
      </c>
      <c r="L379" s="8" t="str">
        <f>IFERROR(K379/K444, "NA")</f>
        <v>NA</v>
      </c>
      <c r="M379" s="9"/>
      <c r="N379" s="10">
        <f t="shared" si="93"/>
        <v>215.88</v>
      </c>
      <c r="O379" s="8" t="str">
        <f>IFERROR(N379/N444, "NA")</f>
        <v>NA</v>
      </c>
      <c r="P379" s="9"/>
      <c r="Q379" s="7">
        <v>232.73</v>
      </c>
      <c r="R379" s="8" t="str">
        <f>IFERROR(Q379/Q444, "NA")</f>
        <v>NA</v>
      </c>
      <c r="S379" s="9"/>
      <c r="T379" s="7">
        <v>400</v>
      </c>
      <c r="U379" s="8" t="str">
        <f>IFERROR(T379/T444, "NA")</f>
        <v>NA</v>
      </c>
      <c r="V379" s="9"/>
      <c r="W379" s="10">
        <f t="shared" si="94"/>
        <v>167.27</v>
      </c>
      <c r="X379" s="8" t="str">
        <f>IFERROR(W379/W444, "NA")</f>
        <v>NA</v>
      </c>
      <c r="Y379" s="9"/>
      <c r="Z379" s="7">
        <v>511.9</v>
      </c>
      <c r="AA379" s="8" t="str">
        <f>IFERROR(Z379/Z444, "NA")</f>
        <v>NA</v>
      </c>
      <c r="AB379" s="9"/>
      <c r="AC379" s="10">
        <f t="shared" si="95"/>
        <v>279.16999999999996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11500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0</v>
      </c>
      <c r="O380" s="8" t="str">
        <f>IFERROR(N380/N444, "NA")</f>
        <v>NA</v>
      </c>
      <c r="P380" s="9"/>
      <c r="Q380" s="7">
        <v>23000</v>
      </c>
      <c r="R380" s="8" t="str">
        <f>IFERROR(Q380/Q444, "NA")</f>
        <v>NA</v>
      </c>
      <c r="S380" s="9"/>
      <c r="T380" s="7">
        <v>23000</v>
      </c>
      <c r="U380" s="8" t="str">
        <f>IFERROR(T380/T444, "NA")</f>
        <v>NA</v>
      </c>
      <c r="V380" s="9"/>
      <c r="W380" s="10">
        <f t="shared" si="94"/>
        <v>0</v>
      </c>
      <c r="X380" s="8" t="str">
        <f>IFERROR(W380/W444, "NA")</f>
        <v>NA</v>
      </c>
      <c r="Y380" s="9"/>
      <c r="Z380" s="7">
        <v>23000</v>
      </c>
      <c r="AA380" s="8" t="str">
        <f>IFERROR(Z380/Z444, "NA")</f>
        <v>NA</v>
      </c>
      <c r="AB380" s="9"/>
      <c r="AC380" s="10">
        <f t="shared" si="95"/>
        <v>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13241.51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-9241.51</v>
      </c>
      <c r="I381" s="8" t="str">
        <f>IFERROR(H381/H444, "NA")</f>
        <v>NA</v>
      </c>
      <c r="J381" s="9"/>
      <c r="K381" s="7">
        <v>4167</v>
      </c>
      <c r="L381" s="8" t="str">
        <f>IFERROR(K381/K444, "NA")</f>
        <v>NA</v>
      </c>
      <c r="M381" s="9"/>
      <c r="N381" s="10">
        <f t="shared" si="93"/>
        <v>-9074.51</v>
      </c>
      <c r="O381" s="8" t="str">
        <f>IFERROR(N381/N444, "NA")</f>
        <v>NA</v>
      </c>
      <c r="P381" s="9"/>
      <c r="Q381" s="7">
        <v>17241.509999999998</v>
      </c>
      <c r="R381" s="8" t="str">
        <f>IFERROR(Q381/Q444, "NA")</f>
        <v>NA</v>
      </c>
      <c r="S381" s="9"/>
      <c r="T381" s="7">
        <v>8000</v>
      </c>
      <c r="U381" s="8" t="str">
        <f>IFERROR(T381/T444, "NA")</f>
        <v>NA</v>
      </c>
      <c r="V381" s="9"/>
      <c r="W381" s="10">
        <f t="shared" si="94"/>
        <v>-9241.5099999999984</v>
      </c>
      <c r="X381" s="8" t="str">
        <f>IFERROR(W381/W444, "NA")</f>
        <v>NA</v>
      </c>
      <c r="Y381" s="9"/>
      <c r="Z381" s="7">
        <v>8334</v>
      </c>
      <c r="AA381" s="8" t="str">
        <f>IFERROR(Z381/Z444, "NA")</f>
        <v>NA</v>
      </c>
      <c r="AB381" s="9"/>
      <c r="AC381" s="10">
        <f t="shared" si="95"/>
        <v>-8907.5099999999984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0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795</v>
      </c>
      <c r="I382" s="8" t="str">
        <f>IFERROR(H382/H444, "NA")</f>
        <v>NA</v>
      </c>
      <c r="J382" s="9"/>
      <c r="K382" s="7">
        <v>105.99</v>
      </c>
      <c r="L382" s="8" t="str">
        <f>IFERROR(K382/K444, "NA")</f>
        <v>NA</v>
      </c>
      <c r="M382" s="9"/>
      <c r="N382" s="10">
        <f t="shared" si="93"/>
        <v>105.99</v>
      </c>
      <c r="O382" s="8" t="str">
        <f>IFERROR(N382/N444, "NA")</f>
        <v>NA</v>
      </c>
      <c r="P382" s="9"/>
      <c r="Q382" s="7">
        <v>505.62</v>
      </c>
      <c r="R382" s="8" t="str">
        <f>IFERROR(Q382/Q444, "NA")</f>
        <v>NA</v>
      </c>
      <c r="S382" s="9"/>
      <c r="T382" s="7">
        <v>1590</v>
      </c>
      <c r="U382" s="8" t="str">
        <f>IFERROR(T382/T444, "NA")</f>
        <v>NA</v>
      </c>
      <c r="V382" s="9"/>
      <c r="W382" s="10">
        <f t="shared" si="94"/>
        <v>1084.3800000000001</v>
      </c>
      <c r="X382" s="8" t="str">
        <f>IFERROR(W382/W444, "NA")</f>
        <v>NA</v>
      </c>
      <c r="Y382" s="9"/>
      <c r="Z382" s="7">
        <v>211.98</v>
      </c>
      <c r="AA382" s="8" t="str">
        <f>IFERROR(Z382/Z444, "NA")</f>
        <v>NA</v>
      </c>
      <c r="AB382" s="9"/>
      <c r="AC382" s="10">
        <f t="shared" si="95"/>
        <v>-293.64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2098.5</v>
      </c>
      <c r="C385" s="8" t="str">
        <f>IFERROR(B385/B444, "NA")</f>
        <v>NA</v>
      </c>
      <c r="D385" s="9"/>
      <c r="E385" s="7">
        <v>965.72</v>
      </c>
      <c r="F385" s="8" t="str">
        <f>IFERROR(E385/E444, "NA")</f>
        <v>NA</v>
      </c>
      <c r="G385" s="9"/>
      <c r="H385" s="10">
        <f>IFERROR(-(B385-E385), "NA")</f>
        <v>-1132.78</v>
      </c>
      <c r="I385" s="8" t="str">
        <f>IFERROR(H385/H444, "NA")</f>
        <v>NA</v>
      </c>
      <c r="J385" s="9"/>
      <c r="K385" s="7">
        <v>478.47</v>
      </c>
      <c r="L385" s="8" t="str">
        <f>IFERROR(K385/K444, "NA")</f>
        <v>NA</v>
      </c>
      <c r="M385" s="9"/>
      <c r="N385" s="10">
        <f>IFERROR(-(B385-K385), "NA")</f>
        <v>-1620.03</v>
      </c>
      <c r="O385" s="8" t="str">
        <f>IFERROR(N385/N444, "NA")</f>
        <v>NA</v>
      </c>
      <c r="P385" s="9"/>
      <c r="Q385" s="7">
        <v>4295.7299999999996</v>
      </c>
      <c r="R385" s="8" t="str">
        <f>IFERROR(Q385/Q444, "NA")</f>
        <v>NA</v>
      </c>
      <c r="S385" s="9"/>
      <c r="T385" s="7">
        <v>1672.12</v>
      </c>
      <c r="U385" s="8" t="str">
        <f>IFERROR(T385/T444, "NA")</f>
        <v>NA</v>
      </c>
      <c r="V385" s="9"/>
      <c r="W385" s="10">
        <f>IFERROR(-(Q385-T385), "NA")</f>
        <v>-2623.6099999999997</v>
      </c>
      <c r="X385" s="8" t="str">
        <f>IFERROR(W385/W444, "NA")</f>
        <v>NA</v>
      </c>
      <c r="Y385" s="9"/>
      <c r="Z385" s="7">
        <v>3213.04</v>
      </c>
      <c r="AA385" s="8" t="str">
        <f>IFERROR(Z385/Z444, "NA")</f>
        <v>NA</v>
      </c>
      <c r="AB385" s="9"/>
      <c r="AC385" s="10">
        <f>IFERROR(-(Q385-Z385), "NA")</f>
        <v>-1082.6899999999996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221.74</v>
      </c>
      <c r="L386" s="8" t="str">
        <f>IFERROR(K386/K444, "NA")</f>
        <v>NA</v>
      </c>
      <c r="M386" s="9"/>
      <c r="N386" s="10">
        <f>IFERROR(-(B386-K386), "NA")</f>
        <v>221.74</v>
      </c>
      <c r="O386" s="8" t="str">
        <f>IFERROR(N386/N444, "NA")</f>
        <v>NA</v>
      </c>
      <c r="P386" s="9"/>
      <c r="Q386" s="7">
        <v>0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0</v>
      </c>
      <c r="X386" s="8" t="str">
        <f>IFERROR(W386/W444, "NA")</f>
        <v>NA</v>
      </c>
      <c r="Y386" s="9"/>
      <c r="Z386" s="7">
        <v>2317.9899999999998</v>
      </c>
      <c r="AA386" s="8" t="str">
        <f>IFERROR(Z386/Z444, "NA")</f>
        <v>NA</v>
      </c>
      <c r="AB386" s="9"/>
      <c r="AC386" s="10">
        <f>IFERROR(-(Q386-Z386), "NA")</f>
        <v>2317.9899999999998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3611.72</v>
      </c>
      <c r="C389" s="8" t="str">
        <f>IFERROR(B389/B444, "NA")</f>
        <v>NA</v>
      </c>
      <c r="D389" s="9"/>
      <c r="E389" s="7">
        <v>2211.39</v>
      </c>
      <c r="F389" s="8" t="str">
        <f>IFERROR(E389/E444, "NA")</f>
        <v>NA</v>
      </c>
      <c r="G389" s="9"/>
      <c r="H389" s="10">
        <f t="shared" si="96"/>
        <v>-1400.33</v>
      </c>
      <c r="I389" s="8" t="str">
        <f>IFERROR(H389/H444, "NA")</f>
        <v>NA</v>
      </c>
      <c r="J389" s="9"/>
      <c r="K389" s="7">
        <v>1017.15</v>
      </c>
      <c r="L389" s="8" t="str">
        <f>IFERROR(K389/K444, "NA")</f>
        <v>NA</v>
      </c>
      <c r="M389" s="9"/>
      <c r="N389" s="10">
        <f t="shared" si="97"/>
        <v>-2594.5699999999997</v>
      </c>
      <c r="O389" s="8" t="str">
        <f>IFERROR(N389/N444, "NA")</f>
        <v>NA</v>
      </c>
      <c r="P389" s="9"/>
      <c r="Q389" s="7">
        <v>6806.47</v>
      </c>
      <c r="R389" s="8" t="str">
        <f>IFERROR(Q389/Q444, "NA")</f>
        <v>NA</v>
      </c>
      <c r="S389" s="9"/>
      <c r="T389" s="7">
        <v>4058.85</v>
      </c>
      <c r="U389" s="8" t="str">
        <f>IFERROR(T389/T444, "NA")</f>
        <v>NA</v>
      </c>
      <c r="V389" s="9"/>
      <c r="W389" s="10">
        <f t="shared" si="98"/>
        <v>-2747.6200000000003</v>
      </c>
      <c r="X389" s="8" t="str">
        <f>IFERROR(W389/W444, "NA")</f>
        <v>NA</v>
      </c>
      <c r="Y389" s="9"/>
      <c r="Z389" s="7">
        <v>1733.15</v>
      </c>
      <c r="AA389" s="8" t="str">
        <f>IFERROR(Z389/Z444, "NA")</f>
        <v>NA</v>
      </c>
      <c r="AB389" s="9"/>
      <c r="AC389" s="10">
        <f t="shared" si="99"/>
        <v>-5073.32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10432.280000000001</v>
      </c>
      <c r="C390" s="8" t="str">
        <f>IFERROR(B390/B444, "NA")</f>
        <v>NA</v>
      </c>
      <c r="D390" s="9"/>
      <c r="E390" s="7">
        <v>10745.4</v>
      </c>
      <c r="F390" s="8" t="str">
        <f>IFERROR(E390/E444, "NA")</f>
        <v>NA</v>
      </c>
      <c r="G390" s="9"/>
      <c r="H390" s="10">
        <f t="shared" si="96"/>
        <v>313.11999999999898</v>
      </c>
      <c r="I390" s="8" t="str">
        <f>IFERROR(H390/H444, "NA")</f>
        <v>NA</v>
      </c>
      <c r="J390" s="9"/>
      <c r="K390" s="7">
        <v>8426.8700000000008</v>
      </c>
      <c r="L390" s="8" t="str">
        <f>IFERROR(K390/K444, "NA")</f>
        <v>NA</v>
      </c>
      <c r="M390" s="9"/>
      <c r="N390" s="10">
        <f t="shared" si="97"/>
        <v>-2005.4099999999999</v>
      </c>
      <c r="O390" s="8" t="str">
        <f>IFERROR(N390/N444, "NA")</f>
        <v>NA</v>
      </c>
      <c r="P390" s="9"/>
      <c r="Q390" s="7">
        <v>23238.48</v>
      </c>
      <c r="R390" s="8" t="str">
        <f>IFERROR(Q390/Q444, "NA")</f>
        <v>NA</v>
      </c>
      <c r="S390" s="9"/>
      <c r="T390" s="7">
        <v>19722.41</v>
      </c>
      <c r="U390" s="8" t="str">
        <f>IFERROR(T390/T444, "NA")</f>
        <v>NA</v>
      </c>
      <c r="V390" s="9"/>
      <c r="W390" s="10">
        <f t="shared" si="98"/>
        <v>-3516.0699999999997</v>
      </c>
      <c r="X390" s="8" t="str">
        <f>IFERROR(W390/W444, "NA")</f>
        <v>NA</v>
      </c>
      <c r="Y390" s="9"/>
      <c r="Z390" s="7">
        <v>14756.96</v>
      </c>
      <c r="AA390" s="8" t="str">
        <f>IFERROR(Z390/Z444, "NA")</f>
        <v>NA</v>
      </c>
      <c r="AB390" s="9"/>
      <c r="AC390" s="10">
        <f t="shared" si="99"/>
        <v>-8481.52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4786.21</v>
      </c>
      <c r="C392" s="8" t="str">
        <f>IFERROR(B392/B444, "NA")</f>
        <v>NA</v>
      </c>
      <c r="D392" s="9"/>
      <c r="E392" s="7">
        <v>1650.75</v>
      </c>
      <c r="F392" s="8" t="str">
        <f>IFERROR(E392/E444, "NA")</f>
        <v>NA</v>
      </c>
      <c r="G392" s="9"/>
      <c r="H392" s="10">
        <f t="shared" si="96"/>
        <v>-3135.46</v>
      </c>
      <c r="I392" s="8" t="str">
        <f>IFERROR(H392/H444, "NA")</f>
        <v>NA</v>
      </c>
      <c r="J392" s="9"/>
      <c r="K392" s="7">
        <v>2604.21</v>
      </c>
      <c r="L392" s="8" t="str">
        <f>IFERROR(K392/K444, "NA")</f>
        <v>NA</v>
      </c>
      <c r="M392" s="9"/>
      <c r="N392" s="10">
        <f t="shared" si="97"/>
        <v>-2182</v>
      </c>
      <c r="O392" s="8" t="str">
        <f>IFERROR(N392/N444, "NA")</f>
        <v>NA</v>
      </c>
      <c r="P392" s="9"/>
      <c r="Q392" s="7">
        <v>9130.93</v>
      </c>
      <c r="R392" s="8" t="str">
        <f>IFERROR(Q392/Q444, "NA")</f>
        <v>NA</v>
      </c>
      <c r="S392" s="9"/>
      <c r="T392" s="7">
        <v>3029.83</v>
      </c>
      <c r="U392" s="8" t="str">
        <f>IFERROR(T392/T444, "NA")</f>
        <v>NA</v>
      </c>
      <c r="V392" s="9"/>
      <c r="W392" s="10">
        <f t="shared" si="98"/>
        <v>-6101.1</v>
      </c>
      <c r="X392" s="8" t="str">
        <f>IFERROR(W392/W444, "NA")</f>
        <v>NA</v>
      </c>
      <c r="Y392" s="9"/>
      <c r="Z392" s="7">
        <v>2803.84</v>
      </c>
      <c r="AA392" s="8" t="str">
        <f>IFERROR(Z392/Z444, "NA")</f>
        <v>NA</v>
      </c>
      <c r="AB392" s="9"/>
      <c r="AC392" s="10">
        <f t="shared" si="99"/>
        <v>-6327.09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18830.21</v>
      </c>
      <c r="C393" s="15" t="str">
        <f>IFERROR(B393/B444, "NA")</f>
        <v>NA</v>
      </c>
      <c r="D393" s="2"/>
      <c r="E393" s="14">
        <f>IFERROR(E388+E389+E390+E391+E392, "NA")</f>
        <v>14607.539999999999</v>
      </c>
      <c r="F393" s="15" t="str">
        <f>IFERROR(E393/E444, "NA")</f>
        <v>NA</v>
      </c>
      <c r="G393" s="2"/>
      <c r="H393" s="14">
        <f t="shared" si="96"/>
        <v>-4222.67</v>
      </c>
      <c r="I393" s="15" t="str">
        <f>IFERROR(H393/H444, "NA")</f>
        <v>NA</v>
      </c>
      <c r="J393" s="2"/>
      <c r="K393" s="14">
        <f>IFERROR(K388+K389+K390+K391+K392, "NA")</f>
        <v>12048.23</v>
      </c>
      <c r="L393" s="15" t="str">
        <f>IFERROR(K393/K444, "NA")</f>
        <v>NA</v>
      </c>
      <c r="M393" s="2"/>
      <c r="N393" s="14">
        <f t="shared" si="97"/>
        <v>-6781.98</v>
      </c>
      <c r="O393" s="15" t="str">
        <f>IFERROR(N393/N444, "NA")</f>
        <v>NA</v>
      </c>
      <c r="P393" s="2"/>
      <c r="Q393" s="14">
        <f>IFERROR(Q388+Q389+Q390+Q391+Q392, "NA")</f>
        <v>39175.880000000005</v>
      </c>
      <c r="R393" s="15" t="str">
        <f>IFERROR(Q393/Q444, "NA")</f>
        <v>NA</v>
      </c>
      <c r="S393" s="2"/>
      <c r="T393" s="14">
        <f>IFERROR(T388+T389+T390+T391+T392, "NA")</f>
        <v>26811.089999999997</v>
      </c>
      <c r="U393" s="15" t="str">
        <f>IFERROR(T393/T444, "NA")</f>
        <v>NA</v>
      </c>
      <c r="V393" s="2"/>
      <c r="W393" s="14">
        <f t="shared" si="98"/>
        <v>-12364.790000000008</v>
      </c>
      <c r="X393" s="15" t="str">
        <f>IFERROR(W393/W444, "NA")</f>
        <v>NA</v>
      </c>
      <c r="Y393" s="2"/>
      <c r="Z393" s="14">
        <f>IFERROR(Z388+Z389+Z390+Z391+Z392, "NA")</f>
        <v>19293.95</v>
      </c>
      <c r="AA393" s="15" t="str">
        <f>IFERROR(Z393/Z444, "NA")</f>
        <v>NA</v>
      </c>
      <c r="AB393" s="2"/>
      <c r="AC393" s="14">
        <f t="shared" si="99"/>
        <v>-19881.930000000004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2711.79</v>
      </c>
      <c r="C394" s="8" t="str">
        <f>IFERROR(B394/B444, "NA")</f>
        <v>NA</v>
      </c>
      <c r="D394" s="9"/>
      <c r="E394" s="7">
        <v>2414.31</v>
      </c>
      <c r="F394" s="8" t="str">
        <f>IFERROR(E394/E444, "NA")</f>
        <v>NA</v>
      </c>
      <c r="G394" s="9"/>
      <c r="H394" s="10">
        <f t="shared" si="96"/>
        <v>-297.48</v>
      </c>
      <c r="I394" s="8" t="str">
        <f>IFERROR(H394/H444, "NA")</f>
        <v>NA</v>
      </c>
      <c r="J394" s="9"/>
      <c r="K394" s="7">
        <v>7036.44</v>
      </c>
      <c r="L394" s="8" t="str">
        <f>IFERROR(K394/K444, "NA")</f>
        <v>NA</v>
      </c>
      <c r="M394" s="9"/>
      <c r="N394" s="10">
        <f t="shared" si="97"/>
        <v>4324.6499999999996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4180.32</v>
      </c>
      <c r="U394" s="8" t="str">
        <f>IFERROR(T394/T444, "NA")</f>
        <v>NA</v>
      </c>
      <c r="V394" s="9"/>
      <c r="W394" s="10">
        <f t="shared" si="98"/>
        <v>-2431.7400000000007</v>
      </c>
      <c r="X394" s="8" t="str">
        <f>IFERROR(W394/W444, "NA")</f>
        <v>NA</v>
      </c>
      <c r="Y394" s="9"/>
      <c r="Z394" s="7">
        <v>13038.91</v>
      </c>
      <c r="AA394" s="8" t="str">
        <f>IFERROR(Z394/Z444, "NA")</f>
        <v>NA</v>
      </c>
      <c r="AB394" s="9"/>
      <c r="AC394" s="10">
        <f t="shared" si="99"/>
        <v>6426.8499999999995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23640.5</v>
      </c>
      <c r="C396" s="15" t="str">
        <f>IFERROR(B396/B444, "NA")</f>
        <v>NA</v>
      </c>
      <c r="D396" s="2"/>
      <c r="E396" s="14">
        <f>IFERROR(E385+E386+E388+E389+E390+E391+E392+E394+E395, "NA")</f>
        <v>17987.57</v>
      </c>
      <c r="F396" s="15" t="str">
        <f>IFERROR(E396/E444, "NA")</f>
        <v>NA</v>
      </c>
      <c r="G396" s="2"/>
      <c r="H396" s="14">
        <f t="shared" si="96"/>
        <v>-5652.93</v>
      </c>
      <c r="I396" s="15" t="str">
        <f>IFERROR(H396/H444, "NA")</f>
        <v>NA</v>
      </c>
      <c r="J396" s="2"/>
      <c r="K396" s="14">
        <f>IFERROR(K385+K386+K388+K389+K390+K391+K392+K394+K395, "NA")</f>
        <v>19784.88</v>
      </c>
      <c r="L396" s="15" t="str">
        <f>IFERROR(K396/K444, "NA")</f>
        <v>NA</v>
      </c>
      <c r="M396" s="2"/>
      <c r="N396" s="14">
        <f t="shared" si="97"/>
        <v>-3855.619999999999</v>
      </c>
      <c r="O396" s="15" t="str">
        <f>IFERROR(N396/N444, "NA")</f>
        <v>NA</v>
      </c>
      <c r="P396" s="2"/>
      <c r="Q396" s="14">
        <f>IFERROR(Q385+Q386+Q388+Q389+Q390+Q391+Q392+Q394+Q395, "NA")</f>
        <v>50083.67</v>
      </c>
      <c r="R396" s="15" t="str">
        <f>IFERROR(Q396/Q444, "NA")</f>
        <v>NA</v>
      </c>
      <c r="S396" s="2"/>
      <c r="T396" s="14">
        <f>IFERROR(T385+T386+T388+T389+T390+T391+T392+T394+T395, "NA")</f>
        <v>32663.53</v>
      </c>
      <c r="U396" s="15" t="str">
        <f>IFERROR(T396/T444, "NA")</f>
        <v>NA</v>
      </c>
      <c r="V396" s="2"/>
      <c r="W396" s="14">
        <f t="shared" si="98"/>
        <v>-17420.14</v>
      </c>
      <c r="X396" s="15" t="str">
        <f>IFERROR(W396/W444, "NA")</f>
        <v>NA</v>
      </c>
      <c r="Y396" s="2"/>
      <c r="Z396" s="14">
        <f>IFERROR(Z385+Z386+Z388+Z389+Z390+Z391+Z392+Z394+Z395, "NA")</f>
        <v>37863.89</v>
      </c>
      <c r="AA396" s="15" t="str">
        <f>IFERROR(Z396/Z444, "NA")</f>
        <v>NA</v>
      </c>
      <c r="AB396" s="2"/>
      <c r="AC396" s="14">
        <f t="shared" si="99"/>
        <v>-12219.779999999999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2790.41</v>
      </c>
      <c r="C397" s="8" t="str">
        <f>IFERROR(B397/B444, "NA")</f>
        <v>NA</v>
      </c>
      <c r="D397" s="9"/>
      <c r="E397" s="7">
        <v>16724.240000000002</v>
      </c>
      <c r="F397" s="8" t="str">
        <f>IFERROR(E397/E444, "NA")</f>
        <v>NA</v>
      </c>
      <c r="G397" s="9"/>
      <c r="H397" s="10">
        <f t="shared" si="96"/>
        <v>13933.830000000002</v>
      </c>
      <c r="I397" s="8" t="str">
        <f>IFERROR(H397/H444, "NA")</f>
        <v>NA</v>
      </c>
      <c r="J397" s="9"/>
      <c r="K397" s="7">
        <v>3421.87</v>
      </c>
      <c r="L397" s="8" t="str">
        <f>IFERROR(K397/K444, "NA")</f>
        <v>NA</v>
      </c>
      <c r="M397" s="9"/>
      <c r="N397" s="10">
        <f t="shared" si="97"/>
        <v>631.46</v>
      </c>
      <c r="O397" s="8" t="str">
        <f>IFERROR(N397/N444, "NA")</f>
        <v>NA</v>
      </c>
      <c r="P397" s="9"/>
      <c r="Q397" s="7">
        <v>4561.84</v>
      </c>
      <c r="R397" s="8" t="str">
        <f>IFERROR(Q397/Q444, "NA")</f>
        <v>NA</v>
      </c>
      <c r="S397" s="9"/>
      <c r="T397" s="7">
        <v>23357.57</v>
      </c>
      <c r="U397" s="8" t="str">
        <f>IFERROR(T397/T444, "NA")</f>
        <v>NA</v>
      </c>
      <c r="V397" s="9"/>
      <c r="W397" s="10">
        <f t="shared" si="98"/>
        <v>18795.73</v>
      </c>
      <c r="X397" s="8" t="str">
        <f>IFERROR(W397/W444, "NA")</f>
        <v>NA</v>
      </c>
      <c r="Y397" s="9"/>
      <c r="Z397" s="7">
        <v>9843.49</v>
      </c>
      <c r="AA397" s="8" t="str">
        <f>IFERROR(Z397/Z444, "NA")</f>
        <v>NA</v>
      </c>
      <c r="AB397" s="9"/>
      <c r="AC397" s="10">
        <f t="shared" si="99"/>
        <v>5281.65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179.87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-104.87</v>
      </c>
      <c r="I398" s="8" t="str">
        <f>IFERROR(H398/H444, "NA")</f>
        <v>NA</v>
      </c>
      <c r="J398" s="9"/>
      <c r="K398" s="7">
        <v>99.83</v>
      </c>
      <c r="L398" s="8" t="str">
        <f>IFERROR(K398/K444, "NA")</f>
        <v>NA</v>
      </c>
      <c r="M398" s="9"/>
      <c r="N398" s="10">
        <f t="shared" si="97"/>
        <v>-80.040000000000006</v>
      </c>
      <c r="O398" s="8" t="str">
        <f>IFERROR(N398/N444, "NA")</f>
        <v>NA</v>
      </c>
      <c r="P398" s="9"/>
      <c r="Q398" s="7">
        <v>300.02999999999997</v>
      </c>
      <c r="R398" s="8" t="str">
        <f>IFERROR(Q398/Q444, "NA")</f>
        <v>NA</v>
      </c>
      <c r="S398" s="9"/>
      <c r="T398" s="7">
        <v>150</v>
      </c>
      <c r="U398" s="8" t="str">
        <f>IFERROR(T398/T444, "NA")</f>
        <v>NA</v>
      </c>
      <c r="V398" s="9"/>
      <c r="W398" s="10">
        <f t="shared" si="98"/>
        <v>-150.02999999999997</v>
      </c>
      <c r="X398" s="8" t="str">
        <f>IFERROR(W398/W444, "NA")</f>
        <v>NA</v>
      </c>
      <c r="Y398" s="9"/>
      <c r="Z398" s="7">
        <v>278.82</v>
      </c>
      <c r="AA398" s="8" t="str">
        <f>IFERROR(Z398/Z444, "NA")</f>
        <v>NA</v>
      </c>
      <c r="AB398" s="9"/>
      <c r="AC398" s="10">
        <f t="shared" si="99"/>
        <v>-21.20999999999998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0</v>
      </c>
      <c r="O399" s="8" t="str">
        <f>IFERROR(N399/N444, "NA")</f>
        <v>NA</v>
      </c>
      <c r="P399" s="9"/>
      <c r="Q399" s="7">
        <v>0</v>
      </c>
      <c r="R399" s="8" t="str">
        <f>IFERROR(Q399/Q444, "NA")</f>
        <v>NA</v>
      </c>
      <c r="S399" s="9"/>
      <c r="T399" s="7">
        <v>1400</v>
      </c>
      <c r="U399" s="8" t="str">
        <f>IFERROR(T399/T444, "NA")</f>
        <v>NA</v>
      </c>
      <c r="V399" s="9"/>
      <c r="W399" s="10">
        <f t="shared" si="98"/>
        <v>1400</v>
      </c>
      <c r="X399" s="8" t="str">
        <f>IFERROR(W399/W444, "NA")</f>
        <v>NA</v>
      </c>
      <c r="Y399" s="9"/>
      <c r="Z399" s="7">
        <v>1562.5</v>
      </c>
      <c r="AA399" s="8" t="str">
        <f>IFERROR(Z399/Z444, "NA")</f>
        <v>NA</v>
      </c>
      <c r="AB399" s="9"/>
      <c r="AC399" s="10">
        <f t="shared" si="99"/>
        <v>1562.5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16666.66</v>
      </c>
      <c r="AA401" s="8" t="str">
        <f>IFERROR(Z401/Z444, "NA")</f>
        <v>NA</v>
      </c>
      <c r="AB401" s="9"/>
      <c r="AC401" s="10">
        <f t="shared" si="99"/>
        <v>16666.66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152516.34999999998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139687.4</v>
      </c>
      <c r="F403" s="15" t="str">
        <f>IFERROR(E403/E444, "NA")</f>
        <v>NA</v>
      </c>
      <c r="G403" s="2"/>
      <c r="H403" s="14">
        <f t="shared" si="96"/>
        <v>-12828.949999999983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127434.93</v>
      </c>
      <c r="L403" s="15" t="str">
        <f>IFERROR(K403/K444, "NA")</f>
        <v>NA</v>
      </c>
      <c r="M403" s="2"/>
      <c r="N403" s="14">
        <f t="shared" si="97"/>
        <v>-25081.419999999984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287743.20000000007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279705.88</v>
      </c>
      <c r="U403" s="15" t="str">
        <f>IFERROR(T403/T444, "NA")</f>
        <v>NA</v>
      </c>
      <c r="V403" s="2"/>
      <c r="W403" s="14">
        <f t="shared" si="98"/>
        <v>-8037.3200000000652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256006.6399999999</v>
      </c>
      <c r="AA403" s="15" t="str">
        <f>IFERROR(Z403/Z444, "NA")</f>
        <v>NA</v>
      </c>
      <c r="AB403" s="2"/>
      <c r="AC403" s="14">
        <f t="shared" si="99"/>
        <v>-31736.560000000172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-152516.34999999998</v>
      </c>
      <c r="C404" s="24" t="str">
        <f>IFERROR(B404/B444, "NA")</f>
        <v>NA</v>
      </c>
      <c r="D404" s="25"/>
      <c r="E404" s="23">
        <f>IFERROR(E345-E403, "NA")</f>
        <v>-139687.4</v>
      </c>
      <c r="F404" s="24" t="str">
        <f>IFERROR(E404/E444, "NA")</f>
        <v>NA</v>
      </c>
      <c r="G404" s="25"/>
      <c r="H404" s="23">
        <f>IFERROR(B404-E404, "NA")</f>
        <v>-12828.949999999983</v>
      </c>
      <c r="I404" s="24" t="str">
        <f>IFERROR(H404/H444, "NA")</f>
        <v>NA</v>
      </c>
      <c r="J404" s="25"/>
      <c r="K404" s="23">
        <f>IFERROR(K345-K403, "NA")</f>
        <v>-127434.93</v>
      </c>
      <c r="L404" s="24" t="str">
        <f>IFERROR(K404/K444, "NA")</f>
        <v>NA</v>
      </c>
      <c r="M404" s="25"/>
      <c r="N404" s="23">
        <f>IFERROR(B404-K404, "NA")</f>
        <v>-25081.419999999984</v>
      </c>
      <c r="O404" s="24" t="str">
        <f>IFERROR(N404/N444, "NA")</f>
        <v>NA</v>
      </c>
      <c r="P404" s="25"/>
      <c r="Q404" s="23">
        <f>IFERROR(Q345-Q403, "NA")</f>
        <v>-287743.20000000007</v>
      </c>
      <c r="R404" s="24" t="str">
        <f>IFERROR(Q404/Q444, "NA")</f>
        <v>NA</v>
      </c>
      <c r="S404" s="25"/>
      <c r="T404" s="23">
        <f>IFERROR(T345-T403, "NA")</f>
        <v>-279705.88</v>
      </c>
      <c r="U404" s="24" t="str">
        <f>IFERROR(T404/T444, "NA")</f>
        <v>NA</v>
      </c>
      <c r="V404" s="25"/>
      <c r="W404" s="23">
        <f>IFERROR(Q404-T404, "NA")</f>
        <v>-8037.3200000000652</v>
      </c>
      <c r="X404" s="24" t="str">
        <f>IFERROR(W404/W444, "NA")</f>
        <v>NA</v>
      </c>
      <c r="Y404" s="25"/>
      <c r="Z404" s="23">
        <f>IFERROR(Z345-Z403, "NA")</f>
        <v>-256006.6399999999</v>
      </c>
      <c r="AA404" s="24" t="str">
        <f>IFERROR(Z404/Z444, "NA")</f>
        <v>NA</v>
      </c>
      <c r="AB404" s="25"/>
      <c r="AC404" s="23">
        <f>IFERROR(Q404-Z404, "NA")</f>
        <v>-31736.560000000172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244.59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-244.59</v>
      </c>
      <c r="X410" s="8" t="str">
        <f>IFERROR(W410/W444, "NA")</f>
        <v>NA</v>
      </c>
      <c r="Y410" s="9"/>
      <c r="Z410" s="7">
        <v>369.78</v>
      </c>
      <c r="AA410" s="8" t="str">
        <f>IFERROR(Z410/Z444, "NA")</f>
        <v>NA</v>
      </c>
      <c r="AB410" s="9"/>
      <c r="AC410" s="10">
        <f t="shared" si="103"/>
        <v>125.18999999999997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268.37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-268.37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-268.37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-1725.69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1725.69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1725.69</v>
      </c>
      <c r="O418" s="8" t="str">
        <f>IFERROR(N418/N444, "NA")</f>
        <v>NA</v>
      </c>
      <c r="P418" s="9"/>
      <c r="Q418" s="7">
        <v>-1725.69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1725.69</v>
      </c>
      <c r="X418" s="8" t="str">
        <f>IFERROR(W418/W444, "NA")</f>
        <v>NA</v>
      </c>
      <c r="Y418" s="9"/>
      <c r="Z418" s="7">
        <v>0</v>
      </c>
      <c r="AA418" s="8" t="str">
        <f>IFERROR(Z418/Z444, "NA")</f>
        <v>NA</v>
      </c>
      <c r="AB418" s="9"/>
      <c r="AC418" s="10">
        <f t="shared" si="103"/>
        <v>1725.69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0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</v>
      </c>
      <c r="O423" s="8" t="str">
        <f>IFERROR(N423/N444, "NA")</f>
        <v>NA</v>
      </c>
      <c r="P423" s="9"/>
      <c r="Q423" s="7">
        <v>-0.99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0.99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0.99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-220.36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220.36</v>
      </c>
      <c r="I426" s="8" t="str">
        <f>IFERROR(H426/H444, "NA")</f>
        <v>NA</v>
      </c>
      <c r="J426" s="9"/>
      <c r="K426" s="7">
        <v>-531.28</v>
      </c>
      <c r="L426" s="8" t="str">
        <f>IFERROR(K426/K444, "NA")</f>
        <v>NA</v>
      </c>
      <c r="M426" s="9"/>
      <c r="N426" s="10">
        <f t="shared" si="101"/>
        <v>-310.91999999999996</v>
      </c>
      <c r="O426" s="8" t="str">
        <f>IFERROR(N426/N444, "NA")</f>
        <v>NA</v>
      </c>
      <c r="P426" s="9"/>
      <c r="Q426" s="7">
        <v>-452.81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452.81</v>
      </c>
      <c r="X426" s="8" t="str">
        <f>IFERROR(W426/W444, "NA")</f>
        <v>NA</v>
      </c>
      <c r="Y426" s="9"/>
      <c r="Z426" s="7">
        <v>-531.28</v>
      </c>
      <c r="AA426" s="8" t="str">
        <f>IFERROR(Z426/Z444, "NA")</f>
        <v>NA</v>
      </c>
      <c r="AB426" s="9"/>
      <c r="AC426" s="10">
        <f t="shared" si="103"/>
        <v>-78.46999999999997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-1617.98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1617.98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-346.39</v>
      </c>
      <c r="L428" s="15" t="str">
        <f>IFERROR(K428/K444, "NA")</f>
        <v>NA</v>
      </c>
      <c r="M428" s="2"/>
      <c r="N428" s="14">
        <f t="shared" si="101"/>
        <v>1271.5900000000001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-1666.53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1666.53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-161.5</v>
      </c>
      <c r="AA428" s="15" t="str">
        <f>IFERROR(Z428/Z444, "NA")</f>
        <v>NA</v>
      </c>
      <c r="AB428" s="2"/>
      <c r="AC428" s="14">
        <f t="shared" si="103"/>
        <v>1505.03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-1617.98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1617.98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-346.39</v>
      </c>
      <c r="L429" s="15" t="str">
        <f>IFERROR(K429/K444, "NA")</f>
        <v>NA</v>
      </c>
      <c r="M429" s="2"/>
      <c r="N429" s="14">
        <f t="shared" si="101"/>
        <v>1271.5900000000001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-1666.53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1666.53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-161.5</v>
      </c>
      <c r="AA429" s="15" t="str">
        <f>IFERROR(Z429/Z444, "NA")</f>
        <v>NA</v>
      </c>
      <c r="AB429" s="2"/>
      <c r="AC429" s="14">
        <f t="shared" si="103"/>
        <v>1505.03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-150898.36999999997</v>
      </c>
      <c r="C443" s="24" t="str">
        <f>IFERROR(B443/B444, "NA")</f>
        <v>NA</v>
      </c>
      <c r="D443" s="25"/>
      <c r="E443" s="23">
        <f>IFERROR(E404-E429-E442, "NA")</f>
        <v>-139687.4</v>
      </c>
      <c r="F443" s="24" t="str">
        <f>IFERROR(E443/E444, "NA")</f>
        <v>NA</v>
      </c>
      <c r="G443" s="25"/>
      <c r="H443" s="23">
        <f>IFERROR(B443-E443, "NA")</f>
        <v>-11210.969999999972</v>
      </c>
      <c r="I443" s="24" t="str">
        <f>IFERROR(H443/H444, "NA")</f>
        <v>NA</v>
      </c>
      <c r="J443" s="25"/>
      <c r="K443" s="23">
        <f>IFERROR(K404-K429-K442, "NA")</f>
        <v>-127088.54</v>
      </c>
      <c r="L443" s="24" t="str">
        <f>IFERROR(K443/K444, "NA")</f>
        <v>NA</v>
      </c>
      <c r="M443" s="25"/>
      <c r="N443" s="23">
        <f>IFERROR(B443-K443, "NA")</f>
        <v>-23809.829999999973</v>
      </c>
      <c r="O443" s="24" t="str">
        <f>IFERROR(N443/N444, "NA")</f>
        <v>NA</v>
      </c>
      <c r="P443" s="25"/>
      <c r="Q443" s="23">
        <f>IFERROR(Q404-Q429-Q442, "NA")</f>
        <v>-286076.67000000004</v>
      </c>
      <c r="R443" s="24" t="str">
        <f>IFERROR(Q443/Q444, "NA")</f>
        <v>NA</v>
      </c>
      <c r="S443" s="25"/>
      <c r="T443" s="23">
        <f>IFERROR(T404-T429-T442, "NA")</f>
        <v>-279705.88</v>
      </c>
      <c r="U443" s="24" t="str">
        <f>IFERROR(T443/T444, "NA")</f>
        <v>NA</v>
      </c>
      <c r="V443" s="25"/>
      <c r="W443" s="23">
        <f>IFERROR(Q443-T443, "NA")</f>
        <v>-6370.7900000000373</v>
      </c>
      <c r="X443" s="24" t="str">
        <f>IFERROR(W443/W444, "NA")</f>
        <v>NA</v>
      </c>
      <c r="Y443" s="25"/>
      <c r="Z443" s="23">
        <f>IFERROR(Z404-Z429-Z442, "NA")</f>
        <v>-255845.1399999999</v>
      </c>
      <c r="AA443" s="24" t="str">
        <f>IFERROR(Z443/Z444, "NA")</f>
        <v>NA</v>
      </c>
      <c r="AB443" s="25"/>
      <c r="AC443" s="23">
        <f>IFERROR(Q443-Z443, "NA")</f>
        <v>-30231.530000000144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36745.14</v>
      </c>
      <c r="F10" s="8">
        <f>IFERROR(E10/E444, "NA")</f>
        <v>0.56399997789748613</v>
      </c>
      <c r="G10" s="9"/>
      <c r="H10" s="10">
        <f t="shared" ref="H10:H19" si="0">IFERROR(B10-E10, "NA")</f>
        <v>-36745.14</v>
      </c>
      <c r="I10" s="8">
        <f>IFERROR(H10/H444, "NA")</f>
        <v>-3.0416198291832135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63997.99</v>
      </c>
      <c r="U10" s="8">
        <f>IFERROR(T10/T444, "NA")</f>
        <v>0.5639999675689833</v>
      </c>
      <c r="V10" s="9"/>
      <c r="W10" s="10">
        <f t="shared" ref="W10:W19" si="2">IFERROR(Q10-T10, "NA")</f>
        <v>-63997.99</v>
      </c>
      <c r="X10" s="8">
        <f>IFERROR(W10/W444, "NA")</f>
        <v>-2.3203238838800955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28359.69</v>
      </c>
      <c r="C11" s="8">
        <f>IFERROR(B11/B444, "NA")</f>
        <v>0.36720252580092066</v>
      </c>
      <c r="D11" s="9"/>
      <c r="E11" s="7">
        <v>0</v>
      </c>
      <c r="F11" s="8">
        <f>IFERROR(E11/E444, "NA")</f>
        <v>0</v>
      </c>
      <c r="G11" s="9"/>
      <c r="H11" s="10">
        <f t="shared" si="0"/>
        <v>28359.69</v>
      </c>
      <c r="I11" s="8">
        <f>IFERROR(H11/H444, "NA")</f>
        <v>2.3475048796518094</v>
      </c>
      <c r="J11" s="9"/>
      <c r="K11" s="7">
        <v>33080.82</v>
      </c>
      <c r="L11" s="8">
        <f>IFERROR(K11/K444, "NA")</f>
        <v>0.56614848022508468</v>
      </c>
      <c r="M11" s="9"/>
      <c r="N11" s="10">
        <f t="shared" si="1"/>
        <v>-4721.130000000001</v>
      </c>
      <c r="O11" s="8">
        <f>IFERROR(N11/N444, "NA")</f>
        <v>-0.25111872679236968</v>
      </c>
      <c r="P11" s="9"/>
      <c r="Q11" s="7">
        <v>53661.68</v>
      </c>
      <c r="R11" s="8">
        <f>IFERROR(Q11/Q444, "NA")</f>
        <v>0.38043599322269467</v>
      </c>
      <c r="S11" s="9"/>
      <c r="T11" s="7">
        <v>0</v>
      </c>
      <c r="U11" s="8">
        <f>IFERROR(T11/T444, "NA")</f>
        <v>0</v>
      </c>
      <c r="V11" s="9"/>
      <c r="W11" s="10">
        <f t="shared" si="2"/>
        <v>53661.68</v>
      </c>
      <c r="X11" s="8">
        <f>IFERROR(W11/W444, "NA")</f>
        <v>1.9455685679055055</v>
      </c>
      <c r="Y11" s="9"/>
      <c r="Z11" s="7">
        <v>62269.25</v>
      </c>
      <c r="AA11" s="8">
        <f>IFERROR(Z11/Z444, "NA")</f>
        <v>0.56692778252727016</v>
      </c>
      <c r="AB11" s="9"/>
      <c r="AC11" s="10">
        <f t="shared" si="3"/>
        <v>-8607.57</v>
      </c>
      <c r="AD11" s="8">
        <f>IFERROR(AC11/AC444, "NA")</f>
        <v>-0.27573509272728391</v>
      </c>
    </row>
    <row r="12" spans="1:30" ht="16.5" customHeight="1" x14ac:dyDescent="0.45">
      <c r="A12" s="12" t="s">
        <v>14</v>
      </c>
      <c r="B12" s="7">
        <v>2566.4499999999998</v>
      </c>
      <c r="C12" s="8">
        <f>IFERROR(B12/B444, "NA")</f>
        <v>3.3230508596595126E-2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2566.4499999999998</v>
      </c>
      <c r="I12" s="8">
        <f>IFERROR(H12/H444, "NA")</f>
        <v>0.21244075299773676</v>
      </c>
      <c r="J12" s="9"/>
      <c r="K12" s="7">
        <v>2377.1999999999998</v>
      </c>
      <c r="L12" s="8">
        <f>IFERROR(K12/K444, "NA")</f>
        <v>4.0683639861136184E-2</v>
      </c>
      <c r="M12" s="9"/>
      <c r="N12" s="10">
        <f t="shared" si="1"/>
        <v>189.25</v>
      </c>
      <c r="O12" s="8">
        <f>IFERROR(N12/N444, "NA")</f>
        <v>1.0066280539924966E-2</v>
      </c>
      <c r="P12" s="9"/>
      <c r="Q12" s="7">
        <v>4887.2</v>
      </c>
      <c r="R12" s="8">
        <f>IFERROR(Q12/Q444, "NA")</f>
        <v>3.4647942182912526E-2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4887.2</v>
      </c>
      <c r="X12" s="8">
        <f>IFERROR(W12/W444, "NA")</f>
        <v>0.17719129749698082</v>
      </c>
      <c r="Y12" s="9"/>
      <c r="Z12" s="7">
        <v>4727.2</v>
      </c>
      <c r="AA12" s="8">
        <f>IFERROR(Z12/Z444, "NA")</f>
        <v>4.3038594708670989E-2</v>
      </c>
      <c r="AB12" s="9"/>
      <c r="AC12" s="10">
        <f t="shared" si="3"/>
        <v>160</v>
      </c>
      <c r="AD12" s="8">
        <f>IFERROR(AC12/AC444, "NA")</f>
        <v>5.1254436311717975E-3</v>
      </c>
    </row>
    <row r="13" spans="1:30" ht="16.5" customHeight="1" x14ac:dyDescent="0.45">
      <c r="A13" s="12" t="s">
        <v>15</v>
      </c>
      <c r="B13" s="7">
        <v>137.5</v>
      </c>
      <c r="C13" s="8">
        <f>IFERROR(B13/B444, "NA")</f>
        <v>1.7803561074760195E-3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137.5</v>
      </c>
      <c r="I13" s="8">
        <f>IFERROR(H13/H444, "NA")</f>
        <v>1.1381715419037507E-2</v>
      </c>
      <c r="J13" s="9"/>
      <c r="K13" s="7">
        <v>171.5</v>
      </c>
      <c r="L13" s="8">
        <f>IFERROR(K13/K444, "NA")</f>
        <v>2.9350682467545247E-3</v>
      </c>
      <c r="M13" s="9"/>
      <c r="N13" s="10">
        <f t="shared" si="1"/>
        <v>-34</v>
      </c>
      <c r="O13" s="8">
        <f>IFERROR(N13/N444, "NA")</f>
        <v>-1.8084731221001259E-3</v>
      </c>
      <c r="P13" s="9"/>
      <c r="Q13" s="7">
        <v>218</v>
      </c>
      <c r="R13" s="8">
        <f>IFERROR(Q13/Q444, "NA")</f>
        <v>1.5455171459884864E-3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218</v>
      </c>
      <c r="X13" s="8">
        <f>IFERROR(W13/W444, "NA")</f>
        <v>7.903851459801485E-3</v>
      </c>
      <c r="Y13" s="9"/>
      <c r="Z13" s="7">
        <v>324</v>
      </c>
      <c r="AA13" s="8">
        <f>IFERROR(Z13/Z444, "NA")</f>
        <v>2.949844450331994E-3</v>
      </c>
      <c r="AB13" s="9"/>
      <c r="AC13" s="10">
        <f t="shared" si="3"/>
        <v>-106</v>
      </c>
      <c r="AD13" s="8">
        <f>IFERROR(AC13/AC444, "NA")</f>
        <v>-3.3956064056513162E-3</v>
      </c>
    </row>
    <row r="14" spans="1:30" ht="16.5" customHeight="1" x14ac:dyDescent="0.45">
      <c r="A14" s="12" t="s">
        <v>16</v>
      </c>
      <c r="B14" s="7">
        <v>260</v>
      </c>
      <c r="C14" s="8">
        <f>IFERROR(B14/B444, "NA")</f>
        <v>3.3664915486819277E-3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260</v>
      </c>
      <c r="I14" s="8">
        <f>IFERROR(H14/H444, "NA")</f>
        <v>2.1521789155998193E-2</v>
      </c>
      <c r="J14" s="9"/>
      <c r="K14" s="7">
        <v>440</v>
      </c>
      <c r="L14" s="8">
        <f>IFERROR(K14/K444, "NA")</f>
        <v>7.5302042482331836E-3</v>
      </c>
      <c r="M14" s="9"/>
      <c r="N14" s="10">
        <f t="shared" si="1"/>
        <v>-180</v>
      </c>
      <c r="O14" s="8">
        <f>IFERROR(N14/N444, "NA")</f>
        <v>-9.574269469941844E-3</v>
      </c>
      <c r="P14" s="9"/>
      <c r="Q14" s="7">
        <v>375</v>
      </c>
      <c r="R14" s="8">
        <f>IFERROR(Q14/Q444, "NA")</f>
        <v>2.6585730722279008E-3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375</v>
      </c>
      <c r="X14" s="8">
        <f>IFERROR(W14/W444, "NA")</f>
        <v>1.3596074758832831E-2</v>
      </c>
      <c r="Y14" s="9"/>
      <c r="Z14" s="7">
        <v>679.99</v>
      </c>
      <c r="AA14" s="8">
        <f>IFERROR(Z14/Z444, "NA")</f>
        <v>6.1909405178433722E-3</v>
      </c>
      <c r="AB14" s="9"/>
      <c r="AC14" s="10">
        <f t="shared" si="3"/>
        <v>-304.99</v>
      </c>
      <c r="AD14" s="8">
        <f>IFERROR(AC14/AC444, "NA")</f>
        <v>-9.7700565816942909E-3</v>
      </c>
    </row>
    <row r="15" spans="1:30" ht="16.5" customHeight="1" x14ac:dyDescent="0.45">
      <c r="A15" s="12" t="s">
        <v>17</v>
      </c>
      <c r="B15" s="7">
        <v>33</v>
      </c>
      <c r="C15" s="8">
        <f>IFERROR(B15/B444, "NA")</f>
        <v>4.2728546579424466E-4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33</v>
      </c>
      <c r="I15" s="8">
        <f>IFERROR(H15/H444, "NA")</f>
        <v>2.7316117005690018E-3</v>
      </c>
      <c r="J15" s="9"/>
      <c r="K15" s="7">
        <v>32</v>
      </c>
      <c r="L15" s="8">
        <f>IFERROR(K15/K444, "NA")</f>
        <v>5.4765121805332238E-4</v>
      </c>
      <c r="M15" s="9"/>
      <c r="N15" s="10">
        <f t="shared" si="1"/>
        <v>1</v>
      </c>
      <c r="O15" s="8">
        <f>IFERROR(N15/N444, "NA")</f>
        <v>5.3190385944121352E-5</v>
      </c>
      <c r="P15" s="9"/>
      <c r="Q15" s="7">
        <v>69</v>
      </c>
      <c r="R15" s="8">
        <f>IFERROR(Q15/Q444, "NA")</f>
        <v>4.8917744528993376E-4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69</v>
      </c>
      <c r="X15" s="8">
        <f>IFERROR(W15/W444, "NA")</f>
        <v>2.5016777556252407E-3</v>
      </c>
      <c r="Y15" s="9"/>
      <c r="Z15" s="7">
        <v>32</v>
      </c>
      <c r="AA15" s="8">
        <f>IFERROR(Z15/Z444, "NA")</f>
        <v>2.9134266176118458E-4</v>
      </c>
      <c r="AB15" s="9"/>
      <c r="AC15" s="10">
        <f t="shared" si="3"/>
        <v>37</v>
      </c>
      <c r="AD15" s="8">
        <f>IFERROR(AC15/AC444, "NA")</f>
        <v>1.1852588397084781E-3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31356.639999999999</v>
      </c>
      <c r="C18" s="15">
        <f>IFERROR(B18/B444, "NA")</f>
        <v>0.40600716751946797</v>
      </c>
      <c r="D18" s="2"/>
      <c r="E18" s="14">
        <f>IFERROR(E10+E11+E12+E13+E14+E15+E16+E17, "NA")</f>
        <v>36745.14</v>
      </c>
      <c r="F18" s="15">
        <f>IFERROR(E18/E444, "NA")</f>
        <v>0.56399997789748613</v>
      </c>
      <c r="G18" s="2"/>
      <c r="H18" s="14">
        <f t="shared" si="0"/>
        <v>-5388.5</v>
      </c>
      <c r="I18" s="15">
        <f>IFERROR(H18/H444, "NA")</f>
        <v>-0.4460390802580626</v>
      </c>
      <c r="J18" s="2"/>
      <c r="K18" s="14">
        <f>IFERROR(K10+K11+K12+K13+K14+K15+K16+K17, "NA")</f>
        <v>36101.519999999997</v>
      </c>
      <c r="L18" s="15">
        <f>IFERROR(K18/K444, "NA")</f>
        <v>0.61784504379926186</v>
      </c>
      <c r="M18" s="2"/>
      <c r="N18" s="14">
        <f t="shared" si="1"/>
        <v>-4744.8799999999974</v>
      </c>
      <c r="O18" s="15">
        <f>IFERROR(N18/N444, "NA")</f>
        <v>-0.25238199845854237</v>
      </c>
      <c r="P18" s="2"/>
      <c r="Q18" s="14">
        <f>IFERROR(Q10+Q11+Q12+Q13+Q14+Q15+Q16+Q17, "NA")</f>
        <v>59210.879999999997</v>
      </c>
      <c r="R18" s="15">
        <f>IFERROR(Q18/Q444, "NA")</f>
        <v>0.41977720306911348</v>
      </c>
      <c r="S18" s="2"/>
      <c r="T18" s="14">
        <f>IFERROR(T10+T11+T12+T13+T14+T15+T16+T17, "NA")</f>
        <v>63997.99</v>
      </c>
      <c r="U18" s="15">
        <f>IFERROR(T18/T444, "NA")</f>
        <v>0.5639999675689833</v>
      </c>
      <c r="V18" s="2"/>
      <c r="W18" s="14">
        <f t="shared" si="2"/>
        <v>-4787.1100000000006</v>
      </c>
      <c r="X18" s="15">
        <f>IFERROR(W18/W444, "NA")</f>
        <v>-0.17356241450334997</v>
      </c>
      <c r="Y18" s="2"/>
      <c r="Z18" s="14">
        <f>IFERROR(Z10+Z11+Z12+Z13+Z14+Z15+Z16+Z17, "NA")</f>
        <v>68032.44</v>
      </c>
      <c r="AA18" s="15">
        <f>IFERROR(Z18/Z444, "NA")</f>
        <v>0.61939850486587766</v>
      </c>
      <c r="AB18" s="2"/>
      <c r="AC18" s="14">
        <f t="shared" si="3"/>
        <v>-8821.5600000000049</v>
      </c>
      <c r="AD18" s="15">
        <f>IFERROR(AC18/AC444, "NA")</f>
        <v>-0.28259005324374942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6906</v>
      </c>
      <c r="F21" s="8">
        <f>IFERROR(E21/E444, "NA")</f>
        <v>0.10599997298581633</v>
      </c>
      <c r="G21" s="9"/>
      <c r="H21" s="10">
        <f t="shared" ref="H21:H29" si="4">IFERROR(B21-E21, "NA")</f>
        <v>-6906</v>
      </c>
      <c r="I21" s="8">
        <f>IFERROR(H21/H444, "NA")</f>
        <v>-0.57165183042816747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12027.99</v>
      </c>
      <c r="U21" s="8">
        <f>IFERROR(T21/T444, "NA")</f>
        <v>0.10599998484202482</v>
      </c>
      <c r="V21" s="9"/>
      <c r="W21" s="10">
        <f t="shared" ref="W21:W29" si="6">IFERROR(Q21-T21, "NA")</f>
        <v>-12027.99</v>
      </c>
      <c r="X21" s="8">
        <f>IFERROR(W21/W444, "NA")</f>
        <v>-0.43608920330264983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5995.7</v>
      </c>
      <c r="C22" s="8">
        <f>IFERROR(B22/B444, "NA")</f>
        <v>7.7632589917047051E-2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5995.7</v>
      </c>
      <c r="I22" s="8">
        <f>IFERROR(H22/H444, "NA")</f>
        <v>0.49630073554853221</v>
      </c>
      <c r="J22" s="9"/>
      <c r="K22" s="7">
        <v>5665.2</v>
      </c>
      <c r="L22" s="8">
        <f>IFERROR(K22/K444, "NA")</f>
        <v>9.695480251611506E-2</v>
      </c>
      <c r="M22" s="9"/>
      <c r="N22" s="10">
        <f t="shared" si="5"/>
        <v>330.5</v>
      </c>
      <c r="O22" s="8">
        <f>IFERROR(N22/N444, "NA")</f>
        <v>1.7579422554532109E-2</v>
      </c>
      <c r="P22" s="9"/>
      <c r="Q22" s="7">
        <v>11247</v>
      </c>
      <c r="R22" s="8">
        <f>IFERROR(Q22/Q444, "NA")</f>
        <v>7.9735923582259199E-2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11247</v>
      </c>
      <c r="X22" s="8">
        <f>IFERROR(W22/W444, "NA")</f>
        <v>0.40777347416691423</v>
      </c>
      <c r="Y22" s="9"/>
      <c r="Z22" s="7">
        <v>10630.15</v>
      </c>
      <c r="AA22" s="8">
        <f>IFERROR(Z22/Z444, "NA")</f>
        <v>9.6781756122520504E-2</v>
      </c>
      <c r="AB22" s="9"/>
      <c r="AC22" s="10">
        <f t="shared" si="7"/>
        <v>616.85000000000036</v>
      </c>
      <c r="AD22" s="8">
        <f>IFERROR(AC22/AC444, "NA")</f>
        <v>1.9760186899302035E-2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794.92</v>
      </c>
      <c r="C24" s="8">
        <f>IFERROR(B24/B444, "NA")</f>
        <v>1.0292659468762453E-2</v>
      </c>
      <c r="D24" s="9"/>
      <c r="E24" s="7">
        <v>0</v>
      </c>
      <c r="F24" s="8">
        <f>IFERROR(E24/E444, "NA")</f>
        <v>0</v>
      </c>
      <c r="G24" s="9"/>
      <c r="H24" s="10">
        <f t="shared" si="4"/>
        <v>794.92</v>
      </c>
      <c r="I24" s="8">
        <f>IFERROR(H24/H444, "NA")</f>
        <v>6.5800387061100321E-2</v>
      </c>
      <c r="J24" s="9"/>
      <c r="K24" s="7">
        <v>288.75</v>
      </c>
      <c r="L24" s="8">
        <f>IFERROR(K24/K444, "NA")</f>
        <v>4.9416965379030266E-3</v>
      </c>
      <c r="M24" s="9"/>
      <c r="N24" s="10">
        <f t="shared" si="5"/>
        <v>506.16999999999996</v>
      </c>
      <c r="O24" s="8">
        <f>IFERROR(N24/N444, "NA")</f>
        <v>2.6923377653335905E-2</v>
      </c>
      <c r="P24" s="9"/>
      <c r="Q24" s="7">
        <v>1205.3</v>
      </c>
      <c r="R24" s="8">
        <f>IFERROR(Q24/Q444, "NA")</f>
        <v>8.5450083305501027E-3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1205.3</v>
      </c>
      <c r="X24" s="8">
        <f>IFERROR(W24/W444, "NA")</f>
        <v>4.3699597084856559E-2</v>
      </c>
      <c r="Y24" s="9"/>
      <c r="Z24" s="7">
        <v>669.35</v>
      </c>
      <c r="AA24" s="8">
        <f>IFERROR(Z24/Z444, "NA")</f>
        <v>6.0940690828077786E-3</v>
      </c>
      <c r="AB24" s="9"/>
      <c r="AC24" s="10">
        <f t="shared" si="7"/>
        <v>535.94999999999993</v>
      </c>
      <c r="AD24" s="8">
        <f>IFERROR(AC24/AC444, "NA")</f>
        <v>1.7168634463290779E-2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513.4</v>
      </c>
      <c r="L27" s="8">
        <f>IFERROR(K27/K444, "NA")</f>
        <v>8.7863792296429908E-3</v>
      </c>
      <c r="M27" s="9"/>
      <c r="N27" s="10">
        <f t="shared" si="5"/>
        <v>-513.4</v>
      </c>
      <c r="O27" s="8">
        <f>IFERROR(N27/N444, "NA")</f>
        <v>-2.7307944143711901E-2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860.22</v>
      </c>
      <c r="AA27" s="8">
        <f>IFERROR(Z27/Z444, "NA")</f>
        <v>7.8318370156314435E-3</v>
      </c>
      <c r="AB27" s="9"/>
      <c r="AC27" s="10">
        <f t="shared" si="7"/>
        <v>-860.22</v>
      </c>
      <c r="AD27" s="8">
        <f>IFERROR(AC27/AC444, "NA")</f>
        <v>-2.7556307002541275E-2</v>
      </c>
    </row>
    <row r="28" spans="1:30" ht="16.5" customHeight="1" x14ac:dyDescent="0.45">
      <c r="A28" s="12" t="s">
        <v>29</v>
      </c>
      <c r="B28" s="7">
        <v>712.81</v>
      </c>
      <c r="C28" s="8">
        <f>IFERROR(B28/B444, "NA")</f>
        <v>9.2294955415998647E-3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712.81</v>
      </c>
      <c r="I28" s="8">
        <f>IFERROR(H28/H444, "NA")</f>
        <v>5.9003640493411814E-2</v>
      </c>
      <c r="J28" s="9"/>
      <c r="K28" s="7">
        <v>748.86</v>
      </c>
      <c r="L28" s="8">
        <f>IFERROR(K28/K444, "NA")</f>
        <v>1.2816065348481594E-2</v>
      </c>
      <c r="M28" s="9"/>
      <c r="N28" s="10">
        <f t="shared" si="5"/>
        <v>-36.050000000000068</v>
      </c>
      <c r="O28" s="8">
        <f>IFERROR(N28/N444, "NA")</f>
        <v>-1.9175134132855783E-3</v>
      </c>
      <c r="P28" s="9"/>
      <c r="Q28" s="7">
        <v>1515.47</v>
      </c>
      <c r="R28" s="8">
        <f>IFERROR(Q28/Q444, "NA")</f>
        <v>1.0743967290051245E-2</v>
      </c>
      <c r="S28" s="9"/>
      <c r="T28" s="7">
        <v>0</v>
      </c>
      <c r="U28" s="8">
        <f>IFERROR(T28/T444, "NA")</f>
        <v>0</v>
      </c>
      <c r="V28" s="9"/>
      <c r="W28" s="10">
        <f t="shared" si="6"/>
        <v>1515.47</v>
      </c>
      <c r="X28" s="8">
        <f>IFERROR(W28/W444, "NA")</f>
        <v>5.4945182439382373E-2</v>
      </c>
      <c r="Y28" s="9"/>
      <c r="Z28" s="7">
        <v>748.86</v>
      </c>
      <c r="AA28" s="8">
        <f>IFERROR(Z28/Z444, "NA")</f>
        <v>6.8179645527025219E-3</v>
      </c>
      <c r="AB28" s="9"/>
      <c r="AC28" s="10">
        <f t="shared" si="7"/>
        <v>766.61</v>
      </c>
      <c r="AD28" s="8">
        <f>IFERROR(AC28/AC444, "NA")</f>
        <v>2.4557602138078824E-2</v>
      </c>
    </row>
    <row r="29" spans="1:30" ht="16.5" customHeight="1" x14ac:dyDescent="0.45">
      <c r="A29" s="13" t="s">
        <v>30</v>
      </c>
      <c r="B29" s="14">
        <f>IFERROR(B21+B22+B23+B24+B25+B26+B27+B28, "NA")</f>
        <v>7503.43</v>
      </c>
      <c r="C29" s="15">
        <f>IFERROR(B29/B444, "NA")</f>
        <v>9.7154744927409373E-2</v>
      </c>
      <c r="D29" s="2"/>
      <c r="E29" s="14">
        <f>IFERROR(E21+E22+E23+E24+E25+E26+E27+E28, "NA")</f>
        <v>6906</v>
      </c>
      <c r="F29" s="15">
        <f>IFERROR(E29/E444, "NA")</f>
        <v>0.10599997298581633</v>
      </c>
      <c r="G29" s="2"/>
      <c r="H29" s="14">
        <f t="shared" si="4"/>
        <v>597.43000000000029</v>
      </c>
      <c r="I29" s="15">
        <f>IFERROR(H29/H444, "NA")</f>
        <v>4.9452932674876951E-2</v>
      </c>
      <c r="J29" s="2"/>
      <c r="K29" s="14">
        <f>IFERROR(K21+K22+K23+K24+K25+K26+K27+K28, "NA")</f>
        <v>7216.2099999999991</v>
      </c>
      <c r="L29" s="15">
        <f>IFERROR(K29/K444, "NA")</f>
        <v>0.12349894363214267</v>
      </c>
      <c r="M29" s="2"/>
      <c r="N29" s="14">
        <f t="shared" si="5"/>
        <v>287.22000000000116</v>
      </c>
      <c r="O29" s="15">
        <f>IFERROR(N29/N444, "NA")</f>
        <v>1.5277342650870596E-2</v>
      </c>
      <c r="P29" s="2"/>
      <c r="Q29" s="14">
        <f>IFERROR(Q21+Q22+Q23+Q24+Q25+Q26+Q27+Q28, "NA")</f>
        <v>13967.769999999999</v>
      </c>
      <c r="R29" s="15">
        <f>IFERROR(Q29/Q444, "NA")</f>
        <v>9.9024899202860533E-2</v>
      </c>
      <c r="S29" s="2"/>
      <c r="T29" s="14">
        <f>IFERROR(T21+T22+T23+T24+T25+T26+T27+T28, "NA")</f>
        <v>12027.99</v>
      </c>
      <c r="U29" s="15">
        <f>IFERROR(T29/T444, "NA")</f>
        <v>0.10599998484202482</v>
      </c>
      <c r="V29" s="2"/>
      <c r="W29" s="14">
        <f t="shared" si="6"/>
        <v>1939.7799999999988</v>
      </c>
      <c r="X29" s="15">
        <f>IFERROR(W29/W444, "NA")</f>
        <v>7.0329050388503289E-2</v>
      </c>
      <c r="Y29" s="2"/>
      <c r="Z29" s="14">
        <f>IFERROR(Z21+Z22+Z23+Z24+Z25+Z26+Z27+Z28, "NA")</f>
        <v>12908.58</v>
      </c>
      <c r="AA29" s="15">
        <f>IFERROR(Z29/Z444, "NA")</f>
        <v>0.11752562677366225</v>
      </c>
      <c r="AB29" s="2"/>
      <c r="AC29" s="14">
        <f t="shared" si="7"/>
        <v>1059.1899999999987</v>
      </c>
      <c r="AD29" s="15">
        <f>IFERROR(AC29/AC444, "NA")</f>
        <v>3.3930116498130311E-2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14007.46</v>
      </c>
      <c r="F31" s="8">
        <f>IFERROR(E31/E444, "NA")</f>
        <v>0.21500005525628477</v>
      </c>
      <c r="G31" s="9"/>
      <c r="H31" s="10">
        <f t="shared" ref="H31:H40" si="8">IFERROR(B31-E31, "NA")</f>
        <v>-14007.46</v>
      </c>
      <c r="I31" s="8">
        <f>IFERROR(H31/H444, "NA")</f>
        <v>-1.1594830797349172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24396.400000000001</v>
      </c>
      <c r="U31" s="8">
        <f>IFERROR(T31/T444, "NA")</f>
        <v>0.21500001498171967</v>
      </c>
      <c r="V31" s="9"/>
      <c r="W31" s="10">
        <f t="shared" ref="W31:W40" si="10">IFERROR(Q31-T31, "NA")</f>
        <v>-24396.400000000001</v>
      </c>
      <c r="X31" s="8">
        <f>IFERROR(W31/W444, "NA")</f>
        <v>-0.88452074199037145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6138.35</v>
      </c>
      <c r="C33" s="8">
        <f>IFERROR(B33/B444, "NA")</f>
        <v>7.9479628453275816E-2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6138.35</v>
      </c>
      <c r="I33" s="8">
        <f>IFERROR(H33/H444, "NA")</f>
        <v>0.50810874794508276</v>
      </c>
      <c r="J33" s="9"/>
      <c r="K33" s="7">
        <v>3864.83</v>
      </c>
      <c r="L33" s="8">
        <f>IFERROR(K33/K444, "NA")</f>
        <v>6.6143089283406939E-2</v>
      </c>
      <c r="M33" s="9"/>
      <c r="N33" s="10">
        <f t="shared" si="9"/>
        <v>2273.5200000000004</v>
      </c>
      <c r="O33" s="8">
        <f>IFERROR(N33/N444, "NA")</f>
        <v>0.12092940625167881</v>
      </c>
      <c r="P33" s="9"/>
      <c r="Q33" s="7">
        <v>10832.71</v>
      </c>
      <c r="R33" s="8">
        <f>IFERROR(Q33/Q444, "NA")</f>
        <v>7.6798802947343731E-2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10832.71</v>
      </c>
      <c r="X33" s="8">
        <f>IFERROR(W33/W444, "NA")</f>
        <v>0.3927528933353493</v>
      </c>
      <c r="Y33" s="9"/>
      <c r="Z33" s="7">
        <v>7080.15</v>
      </c>
      <c r="AA33" s="8">
        <f>IFERROR(Z33/Z444, "NA")</f>
        <v>6.4460929583389087E-2</v>
      </c>
      <c r="AB33" s="9"/>
      <c r="AC33" s="10">
        <f t="shared" si="11"/>
        <v>3752.5599999999995</v>
      </c>
      <c r="AD33" s="8">
        <f>IFERROR(AC33/AC444, "NA")</f>
        <v>0.12020959220368774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530.87</v>
      </c>
      <c r="C35" s="8">
        <f>IFERROR(B35/B444, "NA")</f>
        <v>6.8737283401875959E-3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530.87</v>
      </c>
      <c r="I35" s="8">
        <f>IFERROR(H35/H444, "NA")</f>
        <v>4.3943354650941388E-2</v>
      </c>
      <c r="J35" s="9"/>
      <c r="K35" s="7">
        <v>0</v>
      </c>
      <c r="L35" s="8">
        <f>IFERROR(K35/K444, "NA")</f>
        <v>0</v>
      </c>
      <c r="M35" s="9"/>
      <c r="N35" s="10">
        <f t="shared" si="9"/>
        <v>530.87</v>
      </c>
      <c r="O35" s="8">
        <f>IFERROR(N35/N444, "NA")</f>
        <v>2.8237180186155703E-2</v>
      </c>
      <c r="P35" s="9"/>
      <c r="Q35" s="7">
        <v>980.67</v>
      </c>
      <c r="R35" s="8">
        <f>IFERROR(Q35/Q444, "NA")</f>
        <v>6.952487612644628E-3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980.67</v>
      </c>
      <c r="X35" s="8">
        <f>IFERROR(W35/W444, "NA")</f>
        <v>3.5555367023318914E-2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980.67</v>
      </c>
      <c r="AD35" s="8">
        <f>IFERROR(AC35/AC444, "NA")</f>
        <v>3.1414805036132788E-2</v>
      </c>
    </row>
    <row r="36" spans="1:30" ht="16.5" customHeight="1" x14ac:dyDescent="0.45">
      <c r="A36" s="12" t="s">
        <v>36</v>
      </c>
      <c r="B36" s="7">
        <v>10386.49</v>
      </c>
      <c r="C36" s="8">
        <f>IFERROR(B36/B444, "NA")</f>
        <v>0.13448473386718982</v>
      </c>
      <c r="D36" s="9"/>
      <c r="E36" s="7">
        <v>0</v>
      </c>
      <c r="F36" s="8">
        <f>IFERROR(E36/E444, "NA")</f>
        <v>0</v>
      </c>
      <c r="G36" s="9"/>
      <c r="H36" s="10">
        <f t="shared" si="8"/>
        <v>10386.49</v>
      </c>
      <c r="I36" s="8">
        <f>IFERROR(H36/H444, "NA")</f>
        <v>0.8597532609649372</v>
      </c>
      <c r="J36" s="9"/>
      <c r="K36" s="7">
        <v>5861.35</v>
      </c>
      <c r="L36" s="8">
        <f>IFERROR(K36/K444, "NA")</f>
        <v>0.1003117333417763</v>
      </c>
      <c r="M36" s="9"/>
      <c r="N36" s="10">
        <f t="shared" si="9"/>
        <v>4525.1399999999994</v>
      </c>
      <c r="O36" s="8">
        <f>IFERROR(N36/N444, "NA")</f>
        <v>0.24069394305118127</v>
      </c>
      <c r="P36" s="9"/>
      <c r="Q36" s="7">
        <v>19806.849999999999</v>
      </c>
      <c r="R36" s="8">
        <f>IFERROR(Q36/Q444, "NA")</f>
        <v>0.14042122148175251</v>
      </c>
      <c r="S36" s="9"/>
      <c r="T36" s="7">
        <v>0</v>
      </c>
      <c r="U36" s="8">
        <f>IFERROR(T36/T444, "NA")</f>
        <v>0</v>
      </c>
      <c r="V36" s="9"/>
      <c r="W36" s="10">
        <f t="shared" si="10"/>
        <v>19806.849999999999</v>
      </c>
      <c r="X36" s="8">
        <f>IFERROR(W36/W444, "NA")</f>
        <v>0.71812110223196812</v>
      </c>
      <c r="Y36" s="9"/>
      <c r="Z36" s="7">
        <v>14004.22</v>
      </c>
      <c r="AA36" s="8">
        <f>IFERROR(Z36/Z444, "NA")</f>
        <v>0.127500835334038</v>
      </c>
      <c r="AB36" s="9"/>
      <c r="AC36" s="10">
        <f t="shared" si="11"/>
        <v>5802.6299999999992</v>
      </c>
      <c r="AD36" s="8">
        <f>IFERROR(AC36/AC444, "NA")</f>
        <v>0.18588158110966502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938.15</v>
      </c>
      <c r="C39" s="8">
        <f>IFERROR(B39/B444, "NA")</f>
        <v>1.2147207870753655E-2</v>
      </c>
      <c r="D39" s="9"/>
      <c r="E39" s="7">
        <v>0</v>
      </c>
      <c r="F39" s="8">
        <f>IFERROR(E39/E444, "NA")</f>
        <v>0</v>
      </c>
      <c r="G39" s="9"/>
      <c r="H39" s="10">
        <f t="shared" si="8"/>
        <v>938.15</v>
      </c>
      <c r="I39" s="8">
        <f>IFERROR(H39/H444, "NA")</f>
        <v>7.765640960269117E-2</v>
      </c>
      <c r="J39" s="9"/>
      <c r="K39" s="7">
        <v>1027.3</v>
      </c>
      <c r="L39" s="8">
        <f>IFERROR(K39/K444, "NA")</f>
        <v>1.7581315509568065E-2</v>
      </c>
      <c r="M39" s="9"/>
      <c r="N39" s="10">
        <f t="shared" si="9"/>
        <v>-89.149999999999977</v>
      </c>
      <c r="O39" s="8">
        <f>IFERROR(N39/N444, "NA")</f>
        <v>-4.7419229069184171E-3</v>
      </c>
      <c r="P39" s="9"/>
      <c r="Q39" s="7">
        <v>1399.25</v>
      </c>
      <c r="R39" s="8">
        <f>IFERROR(Q39/Q444, "NA")</f>
        <v>9.9200223235063733E-3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1399.25</v>
      </c>
      <c r="X39" s="8">
        <f>IFERROR(W39/W444, "NA")</f>
        <v>5.0731486950124902E-2</v>
      </c>
      <c r="Y39" s="9"/>
      <c r="Z39" s="7">
        <v>1518.27</v>
      </c>
      <c r="AA39" s="8">
        <f>IFERROR(Z39/Z444, "NA")</f>
        <v>1.3823025721004804E-2</v>
      </c>
      <c r="AB39" s="9"/>
      <c r="AC39" s="10">
        <f t="shared" si="11"/>
        <v>-119.01999999999998</v>
      </c>
      <c r="AD39" s="8">
        <f>IFERROR(AC39/AC444, "NA")</f>
        <v>-3.8126893811379205E-3</v>
      </c>
    </row>
    <row r="40" spans="1:30" ht="16.5" customHeight="1" x14ac:dyDescent="0.45">
      <c r="A40" s="13" t="s">
        <v>40</v>
      </c>
      <c r="B40" s="14">
        <f>IFERROR(B31+B32+B33+B34+B35+B36+B37+B38+B39, "NA")</f>
        <v>17993.86</v>
      </c>
      <c r="C40" s="15">
        <f>IFERROR(B40/B444, "NA")</f>
        <v>0.2329852985314069</v>
      </c>
      <c r="D40" s="2"/>
      <c r="E40" s="14">
        <f>IFERROR(E31+E32+E33+E34+E35+E36+E37+E38+E39, "NA")</f>
        <v>14007.46</v>
      </c>
      <c r="F40" s="15">
        <f>IFERROR(E40/E444, "NA")</f>
        <v>0.21500005525628477</v>
      </c>
      <c r="G40" s="2"/>
      <c r="H40" s="14">
        <f t="shared" si="8"/>
        <v>3986.4000000000015</v>
      </c>
      <c r="I40" s="15">
        <f>IFERROR(H40/H444, "NA")</f>
        <v>0.32997869342873554</v>
      </c>
      <c r="J40" s="2"/>
      <c r="K40" s="14">
        <f>IFERROR(K31+K32+K33+K34+K35+K36+K37+K38+K39, "NA")</f>
        <v>10753.48</v>
      </c>
      <c r="L40" s="15">
        <f>IFERROR(K40/K444, "NA")</f>
        <v>0.18403613813475128</v>
      </c>
      <c r="M40" s="2"/>
      <c r="N40" s="14">
        <f t="shared" si="9"/>
        <v>7240.380000000001</v>
      </c>
      <c r="O40" s="15">
        <f>IFERROR(N40/N444, "NA")</f>
        <v>0.3851186065820974</v>
      </c>
      <c r="P40" s="2"/>
      <c r="Q40" s="14">
        <f>IFERROR(Q31+Q32+Q33+Q34+Q35+Q36+Q37+Q38+Q39, "NA")</f>
        <v>33019.479999999996</v>
      </c>
      <c r="R40" s="15">
        <f>IFERROR(Q40/Q444, "NA")</f>
        <v>0.23409253436524724</v>
      </c>
      <c r="S40" s="2"/>
      <c r="T40" s="14">
        <f>IFERROR(T31+T32+T33+T34+T35+T36+T37+T38+T39, "NA")</f>
        <v>24396.400000000001</v>
      </c>
      <c r="U40" s="15">
        <f>IFERROR(T40/T444, "NA")</f>
        <v>0.21500001498171967</v>
      </c>
      <c r="V40" s="2"/>
      <c r="W40" s="14">
        <f t="shared" si="10"/>
        <v>8623.0799999999945</v>
      </c>
      <c r="X40" s="15">
        <f>IFERROR(W40/W444, "NA")</f>
        <v>0.31264010755038968</v>
      </c>
      <c r="Y40" s="2"/>
      <c r="Z40" s="14">
        <f>IFERROR(Z31+Z32+Z33+Z34+Z35+Z36+Z37+Z38+Z39, "NA")</f>
        <v>22602.639999999999</v>
      </c>
      <c r="AA40" s="15">
        <f>IFERROR(Z40/Z444, "NA")</f>
        <v>0.20578479063843191</v>
      </c>
      <c r="AB40" s="2"/>
      <c r="AC40" s="14">
        <f t="shared" si="11"/>
        <v>10416.839999999997</v>
      </c>
      <c r="AD40" s="15">
        <f>IFERROR(AC40/AC444, "NA")</f>
        <v>0.33369328896834755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13187.1</v>
      </c>
      <c r="C43" s="8">
        <f>IFERROR(B43/B444, "NA")</f>
        <v>0.17074715654470557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13187.1</v>
      </c>
      <c r="I43" s="8">
        <f>IFERROR(H43/H444, "NA")</f>
        <v>1.0915768683810145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13187.1</v>
      </c>
      <c r="O43" s="8">
        <f>IFERROR(N43/N444, "NA")</f>
        <v>0.70142693848372273</v>
      </c>
      <c r="P43" s="9"/>
      <c r="Q43" s="7">
        <v>16365.76</v>
      </c>
      <c r="R43" s="8">
        <f>IFERROR(Q43/Q444, "NA")</f>
        <v>0.11602551691345198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16365.76</v>
      </c>
      <c r="X43" s="8">
        <f>IFERROR(W43/W444, "NA")</f>
        <v>0.59336025718697594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16365.76</v>
      </c>
      <c r="AD43" s="8">
        <f>IFERROR(AC43/AC444, "NA")</f>
        <v>0.52426112725803853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9577.19</v>
      </c>
      <c r="F46" s="8">
        <f>IFERROR(E46/E444, "NA")</f>
        <v>0.14699998280915585</v>
      </c>
      <c r="G46" s="9"/>
      <c r="H46" s="10">
        <f t="shared" ref="H46:H62" si="12">IFERROR(B46-E46, "NA")</f>
        <v>-9577.19</v>
      </c>
      <c r="I46" s="8">
        <f>IFERROR(H46/H444, "NA")</f>
        <v>-0.79276255341128599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16680.330000000002</v>
      </c>
      <c r="U46" s="8">
        <f>IFERROR(T46/T444, "NA")</f>
        <v>0.14700001639176388</v>
      </c>
      <c r="V46" s="9"/>
      <c r="W46" s="10">
        <f t="shared" ref="W46:W62" si="14">IFERROR(Q46-T46, "NA")</f>
        <v>-16680.330000000002</v>
      </c>
      <c r="X46" s="8">
        <f>IFERROR(W46/W444, "NA")</f>
        <v>-0.60476536981867213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2356.4499999999998</v>
      </c>
      <c r="C47" s="8">
        <f>IFERROR(B47/B444, "NA")</f>
        <v>3.051141926881357E-2</v>
      </c>
      <c r="D47" s="9"/>
      <c r="E47" s="7">
        <v>0</v>
      </c>
      <c r="F47" s="8">
        <f>IFERROR(E47/E444, "NA")</f>
        <v>0</v>
      </c>
      <c r="G47" s="9"/>
      <c r="H47" s="10">
        <f t="shared" si="12"/>
        <v>2356.4499999999998</v>
      </c>
      <c r="I47" s="8">
        <f>IFERROR(H47/H444, "NA")</f>
        <v>0.19505776944866132</v>
      </c>
      <c r="J47" s="9"/>
      <c r="K47" s="7">
        <v>426.19</v>
      </c>
      <c r="L47" s="8">
        <f>IFERROR(K47/K444, "NA")</f>
        <v>7.2938585194420461E-3</v>
      </c>
      <c r="M47" s="9"/>
      <c r="N47" s="10">
        <f t="shared" si="13"/>
        <v>1930.2599999999998</v>
      </c>
      <c r="O47" s="8">
        <f>IFERROR(N47/N444, "NA")</f>
        <v>0.10267127437249968</v>
      </c>
      <c r="P47" s="9"/>
      <c r="Q47" s="7">
        <v>2873.15</v>
      </c>
      <c r="R47" s="8">
        <f>IFERROR(Q47/Q444, "NA")</f>
        <v>2.0369277926590917E-2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2873.15</v>
      </c>
      <c r="X47" s="8">
        <f>IFERROR(W47/W444, "NA")</f>
        <v>0.10416949918224146</v>
      </c>
      <c r="Y47" s="9"/>
      <c r="Z47" s="7">
        <v>713.52</v>
      </c>
      <c r="AA47" s="8">
        <f>IFERROR(Z47/Z444, "NA")</f>
        <v>6.4962130006200134E-3</v>
      </c>
      <c r="AB47" s="9"/>
      <c r="AC47" s="10">
        <f t="shared" si="15"/>
        <v>2159.63</v>
      </c>
      <c r="AD47" s="8">
        <f>IFERROR(AC47/AC444, "NA")</f>
        <v>6.9181636432422186E-2</v>
      </c>
    </row>
    <row r="48" spans="1:30" ht="16.5" customHeight="1" x14ac:dyDescent="0.45">
      <c r="A48" s="17" t="s">
        <v>46</v>
      </c>
      <c r="B48" s="7">
        <v>7050.67</v>
      </c>
      <c r="C48" s="8">
        <f>IFERROR(B48/B444, "NA")</f>
        <v>9.1292388336712341E-2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7050.67</v>
      </c>
      <c r="I48" s="8">
        <f>IFERROR(H48/H444, "NA")</f>
        <v>0.58362705057123765</v>
      </c>
      <c r="J48" s="9"/>
      <c r="K48" s="7">
        <v>5794.39</v>
      </c>
      <c r="L48" s="8">
        <f>IFERROR(K48/K444, "NA")</f>
        <v>9.9165773167999724E-2</v>
      </c>
      <c r="M48" s="9"/>
      <c r="N48" s="10">
        <f t="shared" si="13"/>
        <v>1256.2799999999997</v>
      </c>
      <c r="O48" s="8">
        <f>IFERROR(N48/N444, "NA")</f>
        <v>6.6822018053880758E-2</v>
      </c>
      <c r="P48" s="9"/>
      <c r="Q48" s="7">
        <v>20230.37</v>
      </c>
      <c r="R48" s="8">
        <f>IFERROR(Q48/Q444, "NA")</f>
        <v>0.14342377846188575</v>
      </c>
      <c r="S48" s="9"/>
      <c r="T48" s="7">
        <v>0</v>
      </c>
      <c r="U48" s="8">
        <f>IFERROR(T48/T444, "NA")</f>
        <v>0</v>
      </c>
      <c r="V48" s="9"/>
      <c r="W48" s="10">
        <f t="shared" si="14"/>
        <v>20230.37</v>
      </c>
      <c r="X48" s="8">
        <f>IFERROR(W48/W444, "NA")</f>
        <v>0.73347632778359706</v>
      </c>
      <c r="Y48" s="9"/>
      <c r="Z48" s="7">
        <v>8001.11</v>
      </c>
      <c r="AA48" s="8">
        <f>IFERROR(Z48/Z444, "NA")</f>
        <v>7.2845771388875991E-2</v>
      </c>
      <c r="AB48" s="9"/>
      <c r="AC48" s="10">
        <f t="shared" si="15"/>
        <v>12229.259999999998</v>
      </c>
      <c r="AD48" s="8">
        <f>IFERROR(AC48/AC444, "NA")</f>
        <v>0.39175239238090009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1139.03</v>
      </c>
      <c r="C50" s="8">
        <f>IFERROR(B50/B444, "NA")</f>
        <v>1.4748211033442985E-2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1139.03</v>
      </c>
      <c r="I50" s="8">
        <f>IFERROR(H50/H444, "NA")</f>
        <v>9.4284475009063937E-2</v>
      </c>
      <c r="J50" s="9"/>
      <c r="K50" s="7">
        <v>252.69</v>
      </c>
      <c r="L50" s="8">
        <f>IFERROR(K50/K444, "NA")</f>
        <v>4.3245620715591888E-3</v>
      </c>
      <c r="M50" s="9"/>
      <c r="N50" s="10">
        <f t="shared" si="13"/>
        <v>886.33999999999992</v>
      </c>
      <c r="O50" s="8">
        <f>IFERROR(N50/N444, "NA")</f>
        <v>4.7144766677712516E-2</v>
      </c>
      <c r="P50" s="9"/>
      <c r="Q50" s="7">
        <v>1276.17</v>
      </c>
      <c r="R50" s="8">
        <f>IFERROR(Q50/Q444, "NA")</f>
        <v>9.0474431935602135E-3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1276.17</v>
      </c>
      <c r="X50" s="8">
        <f>IFERROR(W50/W444, "NA")</f>
        <v>4.6269073933279184E-2</v>
      </c>
      <c r="Y50" s="9"/>
      <c r="Z50" s="7">
        <v>252.69</v>
      </c>
      <c r="AA50" s="8">
        <f>IFERROR(Z50/Z444, "NA")</f>
        <v>2.3006055375135543E-3</v>
      </c>
      <c r="AB50" s="9"/>
      <c r="AC50" s="10">
        <f t="shared" si="15"/>
        <v>1023.48</v>
      </c>
      <c r="AD50" s="8">
        <f>IFERROR(AC50/AC444, "NA")</f>
        <v>3.2786181547698197E-2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334.29</v>
      </c>
      <c r="C55" s="8">
        <f>IFERROR(B55/B444, "NA")</f>
        <v>4.3284017684956985E-3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334.29</v>
      </c>
      <c r="I55" s="8">
        <f>IFERROR(H55/H444, "NA")</f>
        <v>2.7671226526763987E-2</v>
      </c>
      <c r="J55" s="9"/>
      <c r="K55" s="7">
        <v>0</v>
      </c>
      <c r="L55" s="8">
        <f>IFERROR(K55/K444, "NA")</f>
        <v>0</v>
      </c>
      <c r="M55" s="9"/>
      <c r="N55" s="10">
        <f t="shared" si="13"/>
        <v>334.29</v>
      </c>
      <c r="O55" s="8">
        <f>IFERROR(N55/N444, "NA")</f>
        <v>1.7781014117260328E-2</v>
      </c>
      <c r="P55" s="9"/>
      <c r="Q55" s="7">
        <v>334.29</v>
      </c>
      <c r="R55" s="8">
        <f>IFERROR(Q55/Q444, "NA")</f>
        <v>2.3699583795068402E-3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1.2120084883013939E-2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334.29</v>
      </c>
      <c r="AD55" s="8">
        <f>IFERROR(AC55/AC444, "NA")</f>
        <v>1.0708653446652627E-2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186.92</v>
      </c>
      <c r="AA56" s="8">
        <f>IFERROR(Z56/Z444, "NA")</f>
        <v>1.7018053230125193E-3</v>
      </c>
      <c r="AB56" s="9"/>
      <c r="AC56" s="10">
        <f t="shared" si="15"/>
        <v>-186.92</v>
      </c>
      <c r="AD56" s="8">
        <f>IFERROR(AC56/AC444, "NA")</f>
        <v>-5.9877995221164519E-3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2877.85</v>
      </c>
      <c r="L57" s="8">
        <f>IFERROR(K57/K444, "NA")</f>
        <v>4.9251814308586057E-2</v>
      </c>
      <c r="M57" s="9"/>
      <c r="N57" s="10">
        <f t="shared" si="13"/>
        <v>-2877.85</v>
      </c>
      <c r="O57" s="8">
        <f>IFERROR(N57/N444, "NA")</f>
        <v>-0.15307395218928962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4803.38</v>
      </c>
      <c r="AA57" s="8">
        <f>IFERROR(Z57/Z444, "NA")</f>
        <v>4.3732172332826218E-2</v>
      </c>
      <c r="AB57" s="9"/>
      <c r="AC57" s="10">
        <f t="shared" si="15"/>
        <v>-4803.38</v>
      </c>
      <c r="AD57" s="8">
        <f>IFERROR(AC57/AC444, "NA")</f>
        <v>-0.15387158393186243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10880.44</v>
      </c>
      <c r="C61" s="15">
        <f>IFERROR(B61/B444, "NA")</f>
        <v>0.1408804204074646</v>
      </c>
      <c r="D61" s="2"/>
      <c r="E61" s="14">
        <f>IFERROR(E46+E47+E48+E49+E50+E51+E52+E53+E54+E55+E56+E57+E58+E59+E60, "NA")</f>
        <v>9577.19</v>
      </c>
      <c r="F61" s="15">
        <f>IFERROR(E61/E444, "NA")</f>
        <v>0.14699998280915585</v>
      </c>
      <c r="G61" s="2"/>
      <c r="H61" s="14">
        <f t="shared" si="12"/>
        <v>1303.25</v>
      </c>
      <c r="I61" s="15">
        <f>IFERROR(H61/H444, "NA")</f>
        <v>0.10787796814444095</v>
      </c>
      <c r="J61" s="2"/>
      <c r="K61" s="14">
        <f>IFERROR(K46+K47+K48+K49+K50+K51+K52+K53+K54+K55+K56+K57+K58+K59+K60, "NA")</f>
        <v>9351.119999999999</v>
      </c>
      <c r="L61" s="15">
        <f>IFERROR(K61/K444, "NA")</f>
        <v>0.160036008067587</v>
      </c>
      <c r="M61" s="2"/>
      <c r="N61" s="14">
        <f t="shared" si="13"/>
        <v>1529.3200000000015</v>
      </c>
      <c r="O61" s="15">
        <f>IFERROR(N61/N444, "NA")</f>
        <v>8.1345121032063747E-2</v>
      </c>
      <c r="P61" s="2"/>
      <c r="Q61" s="14">
        <f>IFERROR(Q46+Q47+Q48+Q49+Q50+Q51+Q52+Q53+Q54+Q55+Q56+Q57+Q58+Q59+Q60, "NA")</f>
        <v>24713.980000000003</v>
      </c>
      <c r="R61" s="15">
        <f>IFERROR(Q61/Q444, "NA")</f>
        <v>0.17521045796154375</v>
      </c>
      <c r="S61" s="2"/>
      <c r="T61" s="14">
        <f>IFERROR(T46+T47+T48+T49+T50+T51+T52+T53+T54+T55+T56+T57+T58+T59+T60, "NA")</f>
        <v>16680.330000000002</v>
      </c>
      <c r="U61" s="15">
        <f>IFERROR(T61/T444, "NA")</f>
        <v>0.14700001639176388</v>
      </c>
      <c r="V61" s="2"/>
      <c r="W61" s="14">
        <f t="shared" si="14"/>
        <v>8033.6500000000015</v>
      </c>
      <c r="X61" s="15">
        <f>IFERROR(W61/W444, "NA")</f>
        <v>0.29126961596345968</v>
      </c>
      <c r="Y61" s="2"/>
      <c r="Z61" s="14">
        <f>IFERROR(Z46+Z47+Z48+Z49+Z50+Z51+Z52+Z53+Z54+Z55+Z56+Z57+Z58+Z59+Z60, "NA")</f>
        <v>13957.619999999999</v>
      </c>
      <c r="AA61" s="15">
        <f>IFERROR(Z61/Z444, "NA")</f>
        <v>0.12707656758284827</v>
      </c>
      <c r="AB61" s="2"/>
      <c r="AC61" s="14">
        <f t="shared" si="15"/>
        <v>10756.360000000004</v>
      </c>
      <c r="AD61" s="15">
        <f>IFERROR(AC61/AC444, "NA")</f>
        <v>0.34456948035369439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24067.54</v>
      </c>
      <c r="C62" s="15">
        <f>IFERROR(B62/B444, "NA")</f>
        <v>0.31162757695217019</v>
      </c>
      <c r="D62" s="2"/>
      <c r="E62" s="14">
        <f>IFERROR(E42+E43+E44+E46+E47+E48+E49+E50+E51+E52+E53+E54+E55+E56+E57+E58+E59+E60, "NA")</f>
        <v>9577.19</v>
      </c>
      <c r="F62" s="15">
        <f>IFERROR(E62/E444, "NA")</f>
        <v>0.14699998280915585</v>
      </c>
      <c r="G62" s="2"/>
      <c r="H62" s="14">
        <f t="shared" si="12"/>
        <v>14490.35</v>
      </c>
      <c r="I62" s="15">
        <f>IFERROR(H62/H444, "NA")</f>
        <v>1.1994548365254556</v>
      </c>
      <c r="J62" s="2"/>
      <c r="K62" s="14">
        <f>IFERROR(K42+K43+K44+K46+K47+K48+K49+K50+K51+K52+K53+K54+K55+K56+K57+K58+K59+K60, "NA")</f>
        <v>9351.119999999999</v>
      </c>
      <c r="L62" s="15">
        <f>IFERROR(K62/K444, "NA")</f>
        <v>0.160036008067587</v>
      </c>
      <c r="M62" s="2"/>
      <c r="N62" s="14">
        <f t="shared" si="13"/>
        <v>14716.420000000002</v>
      </c>
      <c r="O62" s="15">
        <f>IFERROR(N62/N444, "NA")</f>
        <v>0.78277205951578643</v>
      </c>
      <c r="P62" s="2"/>
      <c r="Q62" s="14">
        <f>IFERROR(Q42+Q43+Q44+Q46+Q47+Q48+Q49+Q50+Q51+Q52+Q53+Q54+Q55+Q56+Q57+Q58+Q59+Q60, "NA")</f>
        <v>41079.74</v>
      </c>
      <c r="R62" s="15">
        <f>IFERROR(Q62/Q444, "NA")</f>
        <v>0.2912359748749957</v>
      </c>
      <c r="S62" s="2"/>
      <c r="T62" s="14">
        <f>IFERROR(T42+T43+T44+T46+T47+T48+T49+T50+T51+T52+T53+T54+T55+T56+T57+T58+T59+T60, "NA")</f>
        <v>16680.330000000002</v>
      </c>
      <c r="U62" s="15">
        <f>IFERROR(T62/T444, "NA")</f>
        <v>0.14700001639176388</v>
      </c>
      <c r="V62" s="2"/>
      <c r="W62" s="14">
        <f t="shared" si="14"/>
        <v>24399.409999999996</v>
      </c>
      <c r="X62" s="15">
        <f>IFERROR(W62/W444, "NA")</f>
        <v>0.88462987315043551</v>
      </c>
      <c r="Y62" s="2"/>
      <c r="Z62" s="14">
        <f>IFERROR(Z42+Z43+Z44+Z46+Z47+Z48+Z49+Z50+Z51+Z52+Z53+Z54+Z55+Z56+Z57+Z58+Z59+Z60, "NA")</f>
        <v>13957.619999999999</v>
      </c>
      <c r="AA62" s="15">
        <f>IFERROR(Z62/Z444, "NA")</f>
        <v>0.12707656758284827</v>
      </c>
      <c r="AB62" s="2"/>
      <c r="AC62" s="14">
        <f t="shared" si="15"/>
        <v>27122.12</v>
      </c>
      <c r="AD62" s="15">
        <f>IFERROR(AC62/AC444, "NA")</f>
        <v>0.8688306076117327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400.22</v>
      </c>
      <c r="R66" s="8">
        <f>IFERROR(Q66/Q444, "NA")</f>
        <v>2.8373709732454682E-3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400.22</v>
      </c>
      <c r="X66" s="8">
        <f>IFERROR(W66/W444, "NA")</f>
        <v>1.4510456106613535E-2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400.22</v>
      </c>
      <c r="AD66" s="8">
        <f>IFERROR(AC66/AC444, "NA")</f>
        <v>1.2820656562922356E-2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>
        <f>IFERROR(B73/B444, "NA")</f>
        <v>0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0</v>
      </c>
      <c r="I73" s="15">
        <f>IFERROR(H73/H444, "NA")</f>
        <v>0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0</v>
      </c>
      <c r="O73" s="15">
        <f>IFERROR(N73/N444, "NA")</f>
        <v>0</v>
      </c>
      <c r="P73" s="2"/>
      <c r="Q73" s="14">
        <f>IFERROR(Q64+Q65+Q66+Q67+Q68+Q69+Q70+Q71+Q72, "NA")</f>
        <v>400.22</v>
      </c>
      <c r="R73" s="15">
        <f>IFERROR(Q73/Q444, "NA")</f>
        <v>2.8373709732454682E-3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400.22</v>
      </c>
      <c r="X73" s="15">
        <f>IFERROR(W73/W444, "NA")</f>
        <v>1.4510456106613535E-2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400.22</v>
      </c>
      <c r="AD73" s="15">
        <f>IFERROR(AC73/AC444, "NA")</f>
        <v>1.2820656562922356E-2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521.21</v>
      </c>
      <c r="F75" s="8">
        <f>IFERROR(E75/E444, "NA")</f>
        <v>8.0000356096057539E-3</v>
      </c>
      <c r="G75" s="9"/>
      <c r="H75" s="10">
        <f t="shared" ref="H75:H92" si="20">IFERROR(B75-E75, "NA")</f>
        <v>-521.21</v>
      </c>
      <c r="I75" s="8">
        <f>IFERROR(H75/H444, "NA")</f>
        <v>-4.3143737407683923E-2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907.78</v>
      </c>
      <c r="U75" s="8">
        <f>IFERROR(T75/T444, "NA")</f>
        <v>8.0000620419449376E-3</v>
      </c>
      <c r="V75" s="9"/>
      <c r="W75" s="10">
        <f t="shared" ref="W75:W92" si="22">IFERROR(Q75-T75, "NA")</f>
        <v>-907.78</v>
      </c>
      <c r="X75" s="8">
        <f>IFERROR(W75/W444, "NA")</f>
        <v>-3.2912652652195375E-2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165.01</v>
      </c>
      <c r="C77" s="8">
        <f>IFERROR(B77/B444, "NA")</f>
        <v>2.1365568094154032E-3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165.01</v>
      </c>
      <c r="I77" s="8">
        <f>IFERROR(H77/H444, "NA")</f>
        <v>1.3658886263966392E-2</v>
      </c>
      <c r="J77" s="9"/>
      <c r="K77" s="7">
        <v>71.760000000000005</v>
      </c>
      <c r="L77" s="8">
        <f>IFERROR(K77/K444, "NA")</f>
        <v>1.2281078564845755E-3</v>
      </c>
      <c r="M77" s="9"/>
      <c r="N77" s="10">
        <f t="shared" si="21"/>
        <v>93.249999999999986</v>
      </c>
      <c r="O77" s="8">
        <f>IFERROR(N77/N444, "NA")</f>
        <v>4.9600034892893158E-3</v>
      </c>
      <c r="P77" s="9"/>
      <c r="Q77" s="7">
        <v>452.4</v>
      </c>
      <c r="R77" s="8">
        <f>IFERROR(Q77/Q444, "NA")</f>
        <v>3.2073025543357392E-3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452.4</v>
      </c>
      <c r="X77" s="8">
        <f>IFERROR(W77/W444, "NA")</f>
        <v>1.6402304589055925E-2</v>
      </c>
      <c r="Y77" s="9"/>
      <c r="Z77" s="7">
        <v>110.63</v>
      </c>
      <c r="AA77" s="8">
        <f>IFERROR(Z77/Z444, "NA")</f>
        <v>1.0072262084574954E-3</v>
      </c>
      <c r="AB77" s="9"/>
      <c r="AC77" s="10">
        <f t="shared" si="23"/>
        <v>341.77</v>
      </c>
      <c r="AD77" s="8">
        <f>IFERROR(AC77/AC444, "NA")</f>
        <v>1.0948267936409907E-2</v>
      </c>
    </row>
    <row r="78" spans="1:30" ht="16.5" customHeight="1" x14ac:dyDescent="0.45">
      <c r="A78" s="12" t="s">
        <v>74</v>
      </c>
      <c r="B78" s="7">
        <v>100</v>
      </c>
      <c r="C78" s="8">
        <f>IFERROR(B78/B444, "NA")</f>
        <v>1.2948044418007415E-3</v>
      </c>
      <c r="D78" s="9"/>
      <c r="E78" s="7">
        <v>0</v>
      </c>
      <c r="F78" s="8">
        <f>IFERROR(E78/E444, "NA")</f>
        <v>0</v>
      </c>
      <c r="G78" s="9"/>
      <c r="H78" s="10">
        <f t="shared" si="20"/>
        <v>100</v>
      </c>
      <c r="I78" s="8">
        <f>IFERROR(H78/H444, "NA")</f>
        <v>8.2776112138454594E-3</v>
      </c>
      <c r="J78" s="9"/>
      <c r="K78" s="7">
        <v>75</v>
      </c>
      <c r="L78" s="8">
        <f>IFERROR(K78/K444, "NA")</f>
        <v>1.2835575423124745E-3</v>
      </c>
      <c r="M78" s="9"/>
      <c r="N78" s="10">
        <f t="shared" si="21"/>
        <v>25</v>
      </c>
      <c r="O78" s="8">
        <f>IFERROR(N78/N444, "NA")</f>
        <v>1.3297596486030339E-3</v>
      </c>
      <c r="P78" s="9"/>
      <c r="Q78" s="7">
        <v>125</v>
      </c>
      <c r="R78" s="8">
        <f>IFERROR(Q78/Q444, "NA")</f>
        <v>8.8619102407596695E-4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125</v>
      </c>
      <c r="X78" s="8">
        <f>IFERROR(W78/W444, "NA")</f>
        <v>4.5320249196109438E-3</v>
      </c>
      <c r="Y78" s="9"/>
      <c r="Z78" s="7">
        <v>100</v>
      </c>
      <c r="AA78" s="8">
        <f>IFERROR(Z78/Z444, "NA")</f>
        <v>9.1044581800370184E-4</v>
      </c>
      <c r="AB78" s="9"/>
      <c r="AC78" s="10">
        <f t="shared" si="23"/>
        <v>25</v>
      </c>
      <c r="AD78" s="8">
        <f>IFERROR(AC78/AC444, "NA")</f>
        <v>8.0085056737059341E-4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5.98</v>
      </c>
      <c r="AA79" s="8">
        <f>IFERROR(Z79/Z444, "NA")</f>
        <v>5.4444659916621371E-5</v>
      </c>
      <c r="AB79" s="9"/>
      <c r="AC79" s="10">
        <f t="shared" si="23"/>
        <v>-5.98</v>
      </c>
      <c r="AD79" s="8">
        <f>IFERROR(AC79/AC444, "NA")</f>
        <v>-1.9156345571504595E-4</v>
      </c>
    </row>
    <row r="80" spans="1:30" ht="16.5" customHeight="1" x14ac:dyDescent="0.45">
      <c r="A80" s="12" t="s">
        <v>76</v>
      </c>
      <c r="B80" s="7">
        <v>724.44</v>
      </c>
      <c r="C80" s="8">
        <f>IFERROR(B80/B444, "NA")</f>
        <v>9.3800812981812923E-3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724.44</v>
      </c>
      <c r="I80" s="8">
        <f>IFERROR(H80/H444, "NA")</f>
        <v>5.9966326677582053E-2</v>
      </c>
      <c r="J80" s="9"/>
      <c r="K80" s="7">
        <v>135</v>
      </c>
      <c r="L80" s="8">
        <f>IFERROR(K80/K444, "NA")</f>
        <v>2.3104035761624541E-3</v>
      </c>
      <c r="M80" s="9"/>
      <c r="N80" s="10">
        <f t="shared" si="21"/>
        <v>589.44000000000005</v>
      </c>
      <c r="O80" s="8">
        <f>IFERROR(N80/N444, "NA")</f>
        <v>3.1352541090902894E-2</v>
      </c>
      <c r="P80" s="9"/>
      <c r="Q80" s="7">
        <v>1975.63</v>
      </c>
      <c r="R80" s="8">
        <f>IFERROR(Q80/Q444, "NA")</f>
        <v>1.400628458316162E-2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1975.63</v>
      </c>
      <c r="X80" s="8">
        <f>IFERROR(W80/W444, "NA")</f>
        <v>7.1628835135447752E-2</v>
      </c>
      <c r="Y80" s="9"/>
      <c r="Z80" s="7">
        <v>270</v>
      </c>
      <c r="AA80" s="8">
        <f>IFERROR(Z80/Z444, "NA")</f>
        <v>2.4582037086099949E-3</v>
      </c>
      <c r="AB80" s="9"/>
      <c r="AC80" s="10">
        <f t="shared" si="23"/>
        <v>1705.63</v>
      </c>
      <c r="AD80" s="8">
        <f>IFERROR(AC80/AC444, "NA")</f>
        <v>5.4638190128972211E-2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25</v>
      </c>
      <c r="C82" s="8">
        <f>IFERROR(B82/B444, "NA")</f>
        <v>3.2370111045018537E-4</v>
      </c>
      <c r="D82" s="9"/>
      <c r="E82" s="7">
        <v>0</v>
      </c>
      <c r="F82" s="8">
        <f>IFERROR(E82/E444, "NA")</f>
        <v>0</v>
      </c>
      <c r="G82" s="9"/>
      <c r="H82" s="10">
        <f t="shared" si="20"/>
        <v>25</v>
      </c>
      <c r="I82" s="8">
        <f>IFERROR(H82/H444, "NA")</f>
        <v>2.0694028034613648E-3</v>
      </c>
      <c r="J82" s="9"/>
      <c r="K82" s="7">
        <v>0</v>
      </c>
      <c r="L82" s="8">
        <f>IFERROR(K82/K444, "NA")</f>
        <v>0</v>
      </c>
      <c r="M82" s="9"/>
      <c r="N82" s="10">
        <f t="shared" si="21"/>
        <v>25</v>
      </c>
      <c r="O82" s="8">
        <f>IFERROR(N82/N444, "NA")</f>
        <v>1.3297596486030339E-3</v>
      </c>
      <c r="P82" s="9"/>
      <c r="Q82" s="7">
        <v>25</v>
      </c>
      <c r="R82" s="8">
        <f>IFERROR(Q82/Q444, "NA")</f>
        <v>1.772382048151934E-4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9.0640498392218871E-4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25</v>
      </c>
      <c r="AD82" s="8">
        <f>IFERROR(AC82/AC444, "NA")</f>
        <v>8.0085056737059341E-4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190</v>
      </c>
      <c r="L86" s="8">
        <f>IFERROR(K86/K444, "NA")</f>
        <v>3.2516791071916019E-3</v>
      </c>
      <c r="M86" s="9"/>
      <c r="N86" s="10">
        <f t="shared" si="21"/>
        <v>-190</v>
      </c>
      <c r="O86" s="8">
        <f>IFERROR(N86/N444, "NA")</f>
        <v>-1.0106173329383057E-2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260</v>
      </c>
      <c r="AA86" s="8">
        <f>IFERROR(Z86/Z444, "NA")</f>
        <v>2.3671591268096246E-3</v>
      </c>
      <c r="AB86" s="9"/>
      <c r="AC86" s="10">
        <f t="shared" si="23"/>
        <v>-260</v>
      </c>
      <c r="AD86" s="8">
        <f>IFERROR(AC86/AC444, "NA")</f>
        <v>-8.3288459006541707E-3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1014.45</v>
      </c>
      <c r="C88" s="15">
        <f>IFERROR(B88/B444, "NA")</f>
        <v>1.3135143659847621E-2</v>
      </c>
      <c r="D88" s="2"/>
      <c r="E88" s="14">
        <f>IFERROR(E75+E76+E77+E78+E79+E80+E81+E82+E83+E84+E85+E86+E87, "NA")</f>
        <v>521.21</v>
      </c>
      <c r="F88" s="15">
        <f>IFERROR(E88/E444, "NA")</f>
        <v>8.0000356096057539E-3</v>
      </c>
      <c r="G88" s="2"/>
      <c r="H88" s="14">
        <f t="shared" si="20"/>
        <v>493.24</v>
      </c>
      <c r="I88" s="15">
        <f>IFERROR(H88/H444, "NA")</f>
        <v>4.0828489551171347E-2</v>
      </c>
      <c r="J88" s="2"/>
      <c r="K88" s="14">
        <f>IFERROR(K75+K76+K77+K78+K79+K80+K81+K82+K83+K84+K85+K86+K87, "NA")</f>
        <v>471.76</v>
      </c>
      <c r="L88" s="15">
        <f>IFERROR(K88/K444, "NA")</f>
        <v>8.0737480821511057E-3</v>
      </c>
      <c r="M88" s="2"/>
      <c r="N88" s="14">
        <f t="shared" si="21"/>
        <v>542.69000000000005</v>
      </c>
      <c r="O88" s="15">
        <f>IFERROR(N88/N444, "NA")</f>
        <v>2.8865890548015222E-2</v>
      </c>
      <c r="P88" s="2"/>
      <c r="Q88" s="14">
        <f>IFERROR(Q75+Q76+Q77+Q78+Q79+Q80+Q81+Q82+Q83+Q84+Q85+Q86+Q87, "NA")</f>
        <v>2578.0300000000002</v>
      </c>
      <c r="R88" s="15">
        <f>IFERROR(Q88/Q444, "NA")</f>
        <v>1.827701636638852E-2</v>
      </c>
      <c r="S88" s="2"/>
      <c r="T88" s="14">
        <f>IFERROR(T75+T76+T77+T78+T79+T80+T81+T82+T83+T84+T85+T86+T87, "NA")</f>
        <v>907.78</v>
      </c>
      <c r="U88" s="15">
        <f>IFERROR(T88/T444, "NA")</f>
        <v>8.0000620419449376E-3</v>
      </c>
      <c r="V88" s="2"/>
      <c r="W88" s="14">
        <f t="shared" si="22"/>
        <v>1670.2500000000002</v>
      </c>
      <c r="X88" s="15">
        <f>IFERROR(W88/W444, "NA")</f>
        <v>6.0556916975841438E-2</v>
      </c>
      <c r="Y88" s="2"/>
      <c r="Z88" s="14">
        <f>IFERROR(Z75+Z76+Z77+Z78+Z79+Z80+Z81+Z82+Z83+Z84+Z85+Z86+Z87, "NA")</f>
        <v>746.61</v>
      </c>
      <c r="AA88" s="15">
        <f>IFERROR(Z88/Z444, "NA")</f>
        <v>6.7974795217974381E-3</v>
      </c>
      <c r="AB88" s="2"/>
      <c r="AC88" s="14">
        <f t="shared" si="23"/>
        <v>1831.42</v>
      </c>
      <c r="AD88" s="15">
        <f>IFERROR(AC88/AC444, "NA")</f>
        <v>5.8667749843754086E-2</v>
      </c>
    </row>
    <row r="89" spans="1:30" ht="16.5" customHeight="1" x14ac:dyDescent="0.45">
      <c r="A89" s="6" t="s">
        <v>85</v>
      </c>
      <c r="B89" s="7">
        <v>-99.95</v>
      </c>
      <c r="C89" s="8">
        <f>IFERROR(B89/B444, "NA")</f>
        <v>-1.2941570395798411E-3</v>
      </c>
      <c r="D89" s="9"/>
      <c r="E89" s="7">
        <v>0</v>
      </c>
      <c r="F89" s="8">
        <f>IFERROR(E89/E444, "NA")</f>
        <v>0</v>
      </c>
      <c r="G89" s="9"/>
      <c r="H89" s="10">
        <f t="shared" si="20"/>
        <v>-99.95</v>
      </c>
      <c r="I89" s="8">
        <f>IFERROR(H89/H444, "NA")</f>
        <v>-8.2734724082385372E-3</v>
      </c>
      <c r="J89" s="9"/>
      <c r="K89" s="7">
        <v>-92.83</v>
      </c>
      <c r="L89" s="8">
        <f>IFERROR(K89/K444, "NA")</f>
        <v>-1.5887019553715599E-3</v>
      </c>
      <c r="M89" s="9"/>
      <c r="N89" s="10">
        <f t="shared" si="21"/>
        <v>-7.1200000000000045</v>
      </c>
      <c r="O89" s="8">
        <f>IFERROR(N89/N444, "NA")</f>
        <v>-3.787155479221443E-4</v>
      </c>
      <c r="P89" s="9"/>
      <c r="Q89" s="7">
        <v>-102.22</v>
      </c>
      <c r="R89" s="8">
        <f>IFERROR(Q89/Q444, "NA")</f>
        <v>-7.2469157184836268E-4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-102.22</v>
      </c>
      <c r="X89" s="8">
        <f>IFERROR(W89/W444, "NA")</f>
        <v>-3.706108698261045E-3</v>
      </c>
      <c r="Y89" s="9"/>
      <c r="Z89" s="7">
        <v>-208.64</v>
      </c>
      <c r="AA89" s="8">
        <f>IFERROR(Z89/Z444, "NA")</f>
        <v>-1.8995541546829235E-3</v>
      </c>
      <c r="AB89" s="9"/>
      <c r="AC89" s="10">
        <f t="shared" si="23"/>
        <v>106.41999999999999</v>
      </c>
      <c r="AD89" s="8">
        <f>IFERROR(AC89/AC444, "NA")</f>
        <v>3.4090606951831417E-3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-2606.04</v>
      </c>
      <c r="F94" s="8">
        <f>IFERROR(E94/E444, "NA")</f>
        <v>-4.0000024558348793E-2</v>
      </c>
      <c r="G94" s="9"/>
      <c r="H94" s="10">
        <f t="shared" ref="H94:H124" si="24">IFERROR(B94-E94, "NA")</f>
        <v>2606.04</v>
      </c>
      <c r="I94" s="8">
        <f>IFERROR(H94/H444, "NA")</f>
        <v>0.2157178592772982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-4538.87</v>
      </c>
      <c r="U94" s="8">
        <f>IFERROR(T94/T444, "NA")</f>
        <v>-4.0000045826436605E-2</v>
      </c>
      <c r="V94" s="9"/>
      <c r="W94" s="10">
        <f t="shared" ref="W94:W124" si="26">IFERROR(Q94-T94, "NA")</f>
        <v>4538.87</v>
      </c>
      <c r="X94" s="8">
        <f>IFERROR(W94/W444, "NA")</f>
        <v>0.16456217557499619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-1260.9000000000001</v>
      </c>
      <c r="C96" s="8">
        <f>IFERROR(B96/B444, "NA")</f>
        <v>-1.6326189206665551E-2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-1260.9000000000001</v>
      </c>
      <c r="I96" s="8">
        <f>IFERROR(H96/H444, "NA")</f>
        <v>-0.10437239979537741</v>
      </c>
      <c r="J96" s="9"/>
      <c r="K96" s="7">
        <v>-896.9</v>
      </c>
      <c r="L96" s="8">
        <f>IFERROR(K96/K444, "NA")</f>
        <v>-1.5349636796000777E-2</v>
      </c>
      <c r="M96" s="9"/>
      <c r="N96" s="10">
        <f t="shared" si="25"/>
        <v>-364.00000000000011</v>
      </c>
      <c r="O96" s="8">
        <f>IFERROR(N96/N444, "NA")</f>
        <v>-1.9361300483660179E-2</v>
      </c>
      <c r="P96" s="9"/>
      <c r="Q96" s="7">
        <v>-2487.8000000000002</v>
      </c>
      <c r="R96" s="8">
        <f>IFERROR(Q96/Q444, "NA")</f>
        <v>-1.7637328237569527E-2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-2487.8000000000002</v>
      </c>
      <c r="X96" s="8">
        <f>IFERROR(W96/W444, "NA")</f>
        <v>-9.0198172760064851E-2</v>
      </c>
      <c r="Y96" s="9"/>
      <c r="Z96" s="7">
        <v>-2324.16</v>
      </c>
      <c r="AA96" s="8">
        <f>IFERROR(Z96/Z444, "NA")</f>
        <v>-2.1160217523714834E-2</v>
      </c>
      <c r="AB96" s="9"/>
      <c r="AC96" s="10">
        <f t="shared" si="27"/>
        <v>-163.64000000000033</v>
      </c>
      <c r="AD96" s="8">
        <f>IFERROR(AC96/AC444, "NA")</f>
        <v>-5.2420474737809664E-3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-1408.52</v>
      </c>
      <c r="C98" s="8">
        <f>IFERROR(B98/B444, "NA")</f>
        <v>-1.8237579523651803E-2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-1408.52</v>
      </c>
      <c r="I98" s="8">
        <f>IFERROR(H98/H444, "NA")</f>
        <v>-0.11659180946925607</v>
      </c>
      <c r="J98" s="9"/>
      <c r="K98" s="7">
        <v>-1519.91</v>
      </c>
      <c r="L98" s="8">
        <f>IFERROR(K98/K444, "NA")</f>
        <v>-2.6011892588482043E-2</v>
      </c>
      <c r="M98" s="9"/>
      <c r="N98" s="10">
        <f t="shared" si="25"/>
        <v>111.3900000000001</v>
      </c>
      <c r="O98" s="8">
        <f>IFERROR(N98/N444, "NA")</f>
        <v>5.9248770903156832E-3</v>
      </c>
      <c r="P98" s="9"/>
      <c r="Q98" s="7">
        <v>-3068.66</v>
      </c>
      <c r="R98" s="8">
        <f>IFERROR(Q98/Q444, "NA")</f>
        <v>-2.1755351583527652E-2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-3068.66</v>
      </c>
      <c r="X98" s="8">
        <f>IFERROR(W98/W444, "NA")</f>
        <v>-0.11125794871850654</v>
      </c>
      <c r="Y98" s="9"/>
      <c r="Z98" s="7">
        <v>-2623.55</v>
      </c>
      <c r="AA98" s="8">
        <f>IFERROR(Z98/Z444, "NA")</f>
        <v>-2.388600125823612E-2</v>
      </c>
      <c r="AB98" s="9"/>
      <c r="AC98" s="10">
        <f t="shared" si="27"/>
        <v>-445.10999999999967</v>
      </c>
      <c r="AD98" s="8">
        <f>IFERROR(AC98/AC444, "NA")</f>
        <v>-1.4258663841692982E-2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-643.70000000000005</v>
      </c>
      <c r="C100" s="8">
        <f>IFERROR(B100/B444, "NA")</f>
        <v>-8.3346561918713723E-3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-643.70000000000005</v>
      </c>
      <c r="I100" s="8">
        <f>IFERROR(H100/H444, "NA")</f>
        <v>-5.3282983383523226E-2</v>
      </c>
      <c r="J100" s="9"/>
      <c r="K100" s="7">
        <v>-30.54</v>
      </c>
      <c r="L100" s="8">
        <f>IFERROR(K100/K444, "NA")</f>
        <v>-5.2266463122963957E-4</v>
      </c>
      <c r="M100" s="9"/>
      <c r="N100" s="10">
        <f t="shared" si="25"/>
        <v>-613.16000000000008</v>
      </c>
      <c r="O100" s="8">
        <f>IFERROR(N100/N444, "NA")</f>
        <v>-3.2614217045497454E-2</v>
      </c>
      <c r="P100" s="9"/>
      <c r="Q100" s="7">
        <v>-739.32</v>
      </c>
      <c r="R100" s="8">
        <f>IFERROR(Q100/Q444, "NA")</f>
        <v>-5.2414299833587518E-3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-739.32</v>
      </c>
      <c r="X100" s="8">
        <f>IFERROR(W100/W444, "NA")</f>
        <v>-2.6804933308534104E-2</v>
      </c>
      <c r="Y100" s="9"/>
      <c r="Z100" s="7">
        <v>-30.54</v>
      </c>
      <c r="AA100" s="8">
        <f>IFERROR(Z100/Z444, "NA")</f>
        <v>-2.7805015281833054E-4</v>
      </c>
      <c r="AB100" s="9"/>
      <c r="AC100" s="10">
        <f t="shared" si="27"/>
        <v>-708.78000000000009</v>
      </c>
      <c r="AD100" s="8">
        <f>IFERROR(AC100/AC444, "NA")</f>
        <v>-2.2705074605637171E-2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-930.32</v>
      </c>
      <c r="C102" s="8">
        <f>IFERROR(B102/B444, "NA")</f>
        <v>-1.2045824682960659E-2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-930.32</v>
      </c>
      <c r="I102" s="8">
        <f>IFERROR(H102/H444, "NA")</f>
        <v>-7.7008272644647088E-2</v>
      </c>
      <c r="J102" s="9"/>
      <c r="K102" s="7">
        <v>-82.46</v>
      </c>
      <c r="L102" s="8">
        <f>IFERROR(K102/K444, "NA")</f>
        <v>-1.4112287325211551E-3</v>
      </c>
      <c r="M102" s="9"/>
      <c r="N102" s="10">
        <f t="shared" si="25"/>
        <v>-847.86</v>
      </c>
      <c r="O102" s="8">
        <f>IFERROR(N102/N444, "NA")</f>
        <v>-4.5098000626582729E-2</v>
      </c>
      <c r="P102" s="9"/>
      <c r="Q102" s="7">
        <v>-1741.08</v>
      </c>
      <c r="R102" s="8">
        <f>IFERROR(Q102/Q444, "NA")</f>
        <v>-1.2343435745585475E-2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-1741.08</v>
      </c>
      <c r="X102" s="8">
        <f>IFERROR(W102/W444, "NA")</f>
        <v>-6.3124943576289769E-2</v>
      </c>
      <c r="Y102" s="9"/>
      <c r="Z102" s="7">
        <v>-133.86000000000001</v>
      </c>
      <c r="AA102" s="8">
        <f>IFERROR(Z102/Z444, "NA")</f>
        <v>-1.2187227719797555E-3</v>
      </c>
      <c r="AB102" s="9"/>
      <c r="AC102" s="10">
        <f t="shared" si="27"/>
        <v>-1607.2199999999998</v>
      </c>
      <c r="AD102" s="8">
        <f>IFERROR(AC102/AC444, "NA")</f>
        <v>-5.1485721955574597E-2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-360.79</v>
      </c>
      <c r="C104" s="8">
        <f>IFERROR(B104/B444, "NA")</f>
        <v>-4.671524945572895E-3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-360.79</v>
      </c>
      <c r="I104" s="8">
        <f>IFERROR(H104/H444, "NA")</f>
        <v>-2.9864793498433035E-2</v>
      </c>
      <c r="J104" s="9"/>
      <c r="K104" s="7">
        <v>-266.86</v>
      </c>
      <c r="L104" s="8">
        <f>IFERROR(K104/K444, "NA")</f>
        <v>-4.5670688765534258E-3</v>
      </c>
      <c r="M104" s="9"/>
      <c r="N104" s="10">
        <f t="shared" si="25"/>
        <v>-93.93</v>
      </c>
      <c r="O104" s="8">
        <f>IFERROR(N104/N444, "NA")</f>
        <v>-4.9961729517313189E-3</v>
      </c>
      <c r="P104" s="9"/>
      <c r="Q104" s="7">
        <v>-828.06</v>
      </c>
      <c r="R104" s="8">
        <f>IFERROR(Q104/Q444, "NA")</f>
        <v>-5.8705547151707612E-3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-828.06</v>
      </c>
      <c r="X104" s="8">
        <f>IFERROR(W104/W444, "NA")</f>
        <v>-3.0022308439464303E-2</v>
      </c>
      <c r="Y104" s="9"/>
      <c r="Z104" s="7">
        <v>-517.6</v>
      </c>
      <c r="AA104" s="8">
        <f>IFERROR(Z104/Z444, "NA")</f>
        <v>-4.7124675539871614E-3</v>
      </c>
      <c r="AB104" s="9"/>
      <c r="AC104" s="10">
        <f t="shared" si="27"/>
        <v>-310.45999999999992</v>
      </c>
      <c r="AD104" s="8">
        <f>IFERROR(AC104/AC444, "NA")</f>
        <v>-9.9452826858349754E-3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-2573.2399999999998</v>
      </c>
      <c r="L106" s="8">
        <f>IFERROR(K106/K444, "NA")</f>
        <v>-4.4038688135735353E-2</v>
      </c>
      <c r="M106" s="9"/>
      <c r="N106" s="10">
        <f t="shared" si="25"/>
        <v>2573.2399999999998</v>
      </c>
      <c r="O106" s="8">
        <f>IFERROR(N106/N444, "NA")</f>
        <v>0.13687162872685082</v>
      </c>
      <c r="P106" s="9"/>
      <c r="Q106" s="7">
        <v>-235.87</v>
      </c>
      <c r="R106" s="8">
        <f>IFERROR(Q106/Q444, "NA")</f>
        <v>-1.6722070147903866E-3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-235.87</v>
      </c>
      <c r="X106" s="8">
        <f>IFERROR(W106/W444, "NA")</f>
        <v>-8.5517497423090658E-3</v>
      </c>
      <c r="Y106" s="9"/>
      <c r="Z106" s="7">
        <v>-2573.2399999999998</v>
      </c>
      <c r="AA106" s="8">
        <f>IFERROR(Z106/Z444, "NA")</f>
        <v>-2.3427955967198457E-2</v>
      </c>
      <c r="AB106" s="9"/>
      <c r="AC106" s="10">
        <f t="shared" si="27"/>
        <v>2337.37</v>
      </c>
      <c r="AD106" s="8">
        <f>IFERROR(AC106/AC444, "NA")</f>
        <v>7.4875363626200148E-2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-4604.2299999999996</v>
      </c>
      <c r="C118" s="15">
        <f>IFERROR(B118/B444, "NA")</f>
        <v>-5.961577455072227E-2</v>
      </c>
      <c r="D118" s="2"/>
      <c r="E118" s="14">
        <f>IFERROR(E94+E95+E96+E97+E98+E99+E100+E101+E102+E103+E104+E105+E106+E107+E108+E109+E110+E111+E112+E113+E114+E115+E116+E117, "NA")</f>
        <v>-2606.04</v>
      </c>
      <c r="F118" s="15">
        <f>IFERROR(E118/E444, "NA")</f>
        <v>-4.0000024558348793E-2</v>
      </c>
      <c r="G118" s="2"/>
      <c r="H118" s="14">
        <f t="shared" si="24"/>
        <v>-1998.1899999999996</v>
      </c>
      <c r="I118" s="15">
        <f>IFERROR(H118/H444, "NA")</f>
        <v>-0.16540239951393856</v>
      </c>
      <c r="J118" s="2"/>
      <c r="K118" s="14">
        <f>IFERROR(K94+K95+K96+K97+K98+K99+K100+K101+K102+K103+K104+K105+K106+K107+K108+K109+K110+K111+K112+K113+K114+K115+K116+K117, "NA")</f>
        <v>-5369.91</v>
      </c>
      <c r="L118" s="15">
        <f>IFERROR(K118/K444, "NA")</f>
        <v>-9.1901179760522395E-2</v>
      </c>
      <c r="M118" s="2"/>
      <c r="N118" s="14">
        <f t="shared" si="25"/>
        <v>765.68000000000029</v>
      </c>
      <c r="O118" s="15">
        <f>IFERROR(N118/N444, "NA")</f>
        <v>4.0726814709694852E-2</v>
      </c>
      <c r="P118" s="2"/>
      <c r="Q118" s="14">
        <f>IFERROR(Q94+Q95+Q96+Q97+Q98+Q99+Q100+Q101+Q102+Q103+Q104+Q105+Q106+Q107+Q108+Q109+Q110+Q111+Q112+Q113+Q114+Q115+Q116+Q117, "NA")</f>
        <v>-9100.7900000000009</v>
      </c>
      <c r="R118" s="15">
        <f>IFERROR(Q118/Q444, "NA")</f>
        <v>-6.4520307280002562E-2</v>
      </c>
      <c r="S118" s="2"/>
      <c r="T118" s="14">
        <f>IFERROR(T94+T95+T96+T97+T98+T99+T100+T101+T102+T103+T104+T105+T106+T107+T108+T109+T110+T111+T112+T113+T114+T115+T116+T117, "NA")</f>
        <v>-4538.87</v>
      </c>
      <c r="U118" s="15">
        <f>IFERROR(T118/T444, "NA")</f>
        <v>-4.0000045826436605E-2</v>
      </c>
      <c r="V118" s="2"/>
      <c r="W118" s="14">
        <f t="shared" si="26"/>
        <v>-4561.920000000001</v>
      </c>
      <c r="X118" s="15">
        <f>IFERROR(W118/W444, "NA")</f>
        <v>-0.16539788097017247</v>
      </c>
      <c r="Y118" s="2"/>
      <c r="Z118" s="14">
        <f>IFERROR(Z94+Z95+Z96+Z97+Z98+Z99+Z100+Z101+Z102+Z103+Z104+Z105+Z106+Z107+Z108+Z109+Z110+Z111+Z112+Z113+Z114+Z115+Z116+Z117, "NA")</f>
        <v>-8202.9500000000007</v>
      </c>
      <c r="AA118" s="15">
        <f>IFERROR(Z118/Z444, "NA")</f>
        <v>-7.4683415227934674E-2</v>
      </c>
      <c r="AB118" s="2"/>
      <c r="AC118" s="14">
        <f t="shared" si="27"/>
        <v>-897.84000000000015</v>
      </c>
      <c r="AD118" s="15">
        <f>IFERROR(AC118/AC444, "NA")</f>
        <v>-2.8761426936320549E-2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77231.739999999991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65150.96</v>
      </c>
      <c r="F122" s="15">
        <f>IFERROR(E122/E444, "NA")</f>
        <v>1</v>
      </c>
      <c r="G122" s="2"/>
      <c r="H122" s="14">
        <f t="shared" si="24"/>
        <v>12080.779999999992</v>
      </c>
      <c r="I122" s="15">
        <f>IFERROR(H122/H444, "NA")</f>
        <v>0.99999999999999878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58431.35</v>
      </c>
      <c r="L122" s="15">
        <f>IFERROR(K122/K444, "NA")</f>
        <v>1</v>
      </c>
      <c r="M122" s="2"/>
      <c r="N122" s="14">
        <f t="shared" si="25"/>
        <v>18800.389999999992</v>
      </c>
      <c r="O122" s="15">
        <f>IFERROR(N122/N444, "NA")</f>
        <v>0.99999999999999922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141053.11000000004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113471.62000000001</v>
      </c>
      <c r="U122" s="15">
        <f>IFERROR(T122/T444, "NA")</f>
        <v>1.0000000000000002</v>
      </c>
      <c r="V122" s="2"/>
      <c r="W122" s="14">
        <f t="shared" si="26"/>
        <v>27581.490000000034</v>
      </c>
      <c r="X122" s="15">
        <f>IFERROR(W122/W444, "NA")</f>
        <v>1.0000000000000016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109836.3</v>
      </c>
      <c r="AA122" s="15">
        <f>IFERROR(Z122/Z444, "NA")</f>
        <v>1</v>
      </c>
      <c r="AB122" s="2"/>
      <c r="AC122" s="14">
        <f t="shared" si="27"/>
        <v>31216.810000000041</v>
      </c>
      <c r="AD122" s="15">
        <f>IFERROR(AC122/AC444, "NA")</f>
        <v>1.0000000000000018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77231.739999999991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65150.96</v>
      </c>
      <c r="F124" s="15">
        <f>IFERROR(E124/E444, "NA")</f>
        <v>1</v>
      </c>
      <c r="G124" s="2"/>
      <c r="H124" s="14">
        <f t="shared" si="24"/>
        <v>12080.779999999992</v>
      </c>
      <c r="I124" s="15">
        <f>IFERROR(H124/H444, "NA")</f>
        <v>0.99999999999999878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58431.35</v>
      </c>
      <c r="L124" s="15">
        <f>IFERROR(K124/K444, "NA")</f>
        <v>1</v>
      </c>
      <c r="M124" s="2"/>
      <c r="N124" s="14">
        <f t="shared" si="25"/>
        <v>18800.389999999992</v>
      </c>
      <c r="O124" s="15">
        <f>IFERROR(N124/N444, "NA")</f>
        <v>0.99999999999999922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141053.11000000004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113471.62000000001</v>
      </c>
      <c r="U124" s="15">
        <f>IFERROR(T124/T444, "NA")</f>
        <v>1.0000000000000002</v>
      </c>
      <c r="V124" s="2"/>
      <c r="W124" s="14">
        <f t="shared" si="26"/>
        <v>27581.490000000034</v>
      </c>
      <c r="X124" s="15">
        <f>IFERROR(W124/W444, "NA")</f>
        <v>1.0000000000000016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109836.3</v>
      </c>
      <c r="AA124" s="15">
        <f>IFERROR(Z124/Z444, "NA")</f>
        <v>1</v>
      </c>
      <c r="AB124" s="2"/>
      <c r="AC124" s="14">
        <f t="shared" si="27"/>
        <v>31216.810000000041</v>
      </c>
      <c r="AD124" s="15">
        <f>IFERROR(AC124/AC444, "NA")</f>
        <v>1.0000000000000018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17069.55</v>
      </c>
      <c r="F129" s="8">
        <f>IFERROR(E129/E444, "NA")</f>
        <v>0.26199997666956865</v>
      </c>
      <c r="G129" s="9"/>
      <c r="H129" s="10">
        <f t="shared" ref="H129:H141" si="28">IFERROR(-(B129-E129), "NA")</f>
        <v>17069.55</v>
      </c>
      <c r="I129" s="8">
        <f>IFERROR(H129/H444, "NA")</f>
        <v>1.4129509849529576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30116.13</v>
      </c>
      <c r="U129" s="8">
        <f>IFERROR(T129/T444, "NA")</f>
        <v>0.26540671579378178</v>
      </c>
      <c r="V129" s="9"/>
      <c r="W129" s="10">
        <f t="shared" ref="W129:W141" si="30">IFERROR(-(Q129-T129), "NA")</f>
        <v>30116.13</v>
      </c>
      <c r="X129" s="8">
        <f>IFERROR(W129/W444, "NA")</f>
        <v>1.0918964131379418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4299.51</v>
      </c>
      <c r="C130" s="8">
        <f>IFERROR(B130/B444, "NA")</f>
        <v>5.5670246455667059E-2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-4299.51</v>
      </c>
      <c r="I130" s="8">
        <f>IFERROR(H130/H444, "NA")</f>
        <v>-0.35589672190040694</v>
      </c>
      <c r="J130" s="9"/>
      <c r="K130" s="7">
        <v>3899.89</v>
      </c>
      <c r="L130" s="8">
        <f>IFERROR(K130/K444, "NA")</f>
        <v>6.6743109649186602E-2</v>
      </c>
      <c r="M130" s="9"/>
      <c r="N130" s="10">
        <f t="shared" si="29"/>
        <v>-399.62000000000035</v>
      </c>
      <c r="O130" s="8">
        <f>IFERROR(N130/N444, "NA")</f>
        <v>-2.1255942030989794E-2</v>
      </c>
      <c r="P130" s="9"/>
      <c r="Q130" s="7">
        <v>7857.67</v>
      </c>
      <c r="R130" s="8">
        <f>IFERROR(Q130/Q444, "NA")</f>
        <v>5.5707172993208022E-2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-7857.67</v>
      </c>
      <c r="X130" s="8">
        <f>IFERROR(W130/W444, "NA")</f>
        <v>-0.28488925000063459</v>
      </c>
      <c r="Y130" s="9"/>
      <c r="Z130" s="7">
        <v>7362.49</v>
      </c>
      <c r="AA130" s="8">
        <f>IFERROR(Z130/Z444, "NA")</f>
        <v>6.7031482305940748E-2</v>
      </c>
      <c r="AB130" s="9"/>
      <c r="AC130" s="10">
        <f t="shared" si="31"/>
        <v>-495.18000000000029</v>
      </c>
      <c r="AD130" s="8">
        <f>IFERROR(AC130/AC444, "NA")</f>
        <v>-1.5862607358022827E-2</v>
      </c>
    </row>
    <row r="131" spans="1:30" ht="16.5" customHeight="1" x14ac:dyDescent="0.45">
      <c r="A131" s="12" t="s">
        <v>123</v>
      </c>
      <c r="B131" s="7">
        <v>2420.48</v>
      </c>
      <c r="C131" s="8">
        <f>IFERROR(B131/B444, "NA")</f>
        <v>3.1340482552898584E-2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-2420.48</v>
      </c>
      <c r="I131" s="8">
        <f>IFERROR(H131/H444, "NA")</f>
        <v>-0.20035792390888657</v>
      </c>
      <c r="J131" s="9"/>
      <c r="K131" s="7">
        <v>1798.71</v>
      </c>
      <c r="L131" s="8">
        <f>IFERROR(K131/K444, "NA")</f>
        <v>3.0783303825771612E-2</v>
      </c>
      <c r="M131" s="9"/>
      <c r="N131" s="10">
        <f t="shared" si="29"/>
        <v>-621.77</v>
      </c>
      <c r="O131" s="8">
        <f>IFERROR(N131/N444, "NA")</f>
        <v>-3.3072186268476335E-2</v>
      </c>
      <c r="P131" s="9"/>
      <c r="Q131" s="7">
        <v>4267.6400000000003</v>
      </c>
      <c r="R131" s="8">
        <f>IFERROR(Q131/Q444, "NA")</f>
        <v>3.0255554095900479E-2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-4267.6400000000003</v>
      </c>
      <c r="X131" s="8">
        <f>IFERROR(W131/W444, "NA")</f>
        <v>-0.1547284066234276</v>
      </c>
      <c r="Y131" s="9"/>
      <c r="Z131" s="7">
        <v>3403.5</v>
      </c>
      <c r="AA131" s="8">
        <f>IFERROR(Z131/Z444, "NA")</f>
        <v>3.0987023415755991E-2</v>
      </c>
      <c r="AB131" s="9"/>
      <c r="AC131" s="10">
        <f t="shared" si="31"/>
        <v>-864.14000000000033</v>
      </c>
      <c r="AD131" s="8">
        <f>IFERROR(AC131/AC444, "NA")</f>
        <v>-2.7681880371504992E-2</v>
      </c>
    </row>
    <row r="132" spans="1:30" ht="16.5" customHeight="1" x14ac:dyDescent="0.45">
      <c r="A132" s="12" t="s">
        <v>124</v>
      </c>
      <c r="B132" s="7">
        <v>3241.21</v>
      </c>
      <c r="C132" s="8">
        <f>IFERROR(B132/B444, "NA")</f>
        <v>4.1967331048089813E-2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-3241.21</v>
      </c>
      <c r="I132" s="8">
        <f>IFERROR(H132/H444, "NA")</f>
        <v>-0.26829476242428041</v>
      </c>
      <c r="J132" s="9"/>
      <c r="K132" s="7">
        <v>2255.12</v>
      </c>
      <c r="L132" s="8">
        <f>IFERROR(K132/K444, "NA")</f>
        <v>3.859435046426276E-2</v>
      </c>
      <c r="M132" s="9"/>
      <c r="N132" s="10">
        <f t="shared" si="29"/>
        <v>-986.09000000000015</v>
      </c>
      <c r="O132" s="8">
        <f>IFERROR(N132/N444, "NA")</f>
        <v>-5.2450507675638636E-2</v>
      </c>
      <c r="P132" s="9"/>
      <c r="Q132" s="7">
        <v>5697.19</v>
      </c>
      <c r="R132" s="8">
        <f>IFERROR(Q132/Q444, "NA")</f>
        <v>4.0390389123642859E-2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-5697.19</v>
      </c>
      <c r="X132" s="8">
        <f>IFERROR(W132/W444, "NA")</f>
        <v>-0.20655845641406614</v>
      </c>
      <c r="Y132" s="9"/>
      <c r="Z132" s="7">
        <v>3961.82</v>
      </c>
      <c r="AA132" s="8">
        <f>IFERROR(Z132/Z444, "NA")</f>
        <v>3.607022450683426E-2</v>
      </c>
      <c r="AB132" s="9"/>
      <c r="AC132" s="10">
        <f t="shared" si="31"/>
        <v>-1735.3699999999994</v>
      </c>
      <c r="AD132" s="8">
        <f>IFERROR(AC132/AC444, "NA")</f>
        <v>-5.5590881963916247E-2</v>
      </c>
    </row>
    <row r="133" spans="1:30" ht="16.5" customHeight="1" x14ac:dyDescent="0.45">
      <c r="A133" s="12" t="s">
        <v>125</v>
      </c>
      <c r="B133" s="7">
        <v>1358.65</v>
      </c>
      <c r="C133" s="8">
        <f>IFERROR(B133/B444, "NA")</f>
        <v>1.7591860548525774E-2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-1358.65</v>
      </c>
      <c r="I133" s="8">
        <f>IFERROR(H133/H444, "NA")</f>
        <v>-0.11246376475691135</v>
      </c>
      <c r="J133" s="9"/>
      <c r="K133" s="7">
        <v>1118.48</v>
      </c>
      <c r="L133" s="8">
        <f>IFERROR(K133/K444, "NA")</f>
        <v>1.9141779199008752E-2</v>
      </c>
      <c r="M133" s="9"/>
      <c r="N133" s="10">
        <f t="shared" si="29"/>
        <v>-240.17000000000007</v>
      </c>
      <c r="O133" s="8">
        <f>IFERROR(N133/N444, "NA")</f>
        <v>-1.2774734992199629E-2</v>
      </c>
      <c r="P133" s="9"/>
      <c r="Q133" s="7">
        <v>2660.5</v>
      </c>
      <c r="R133" s="8">
        <f>IFERROR(Q133/Q444, "NA")</f>
        <v>1.8861689756432879E-2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-2660.5</v>
      </c>
      <c r="X133" s="8">
        <f>IFERROR(W133/W444, "NA")</f>
        <v>-9.6459618388999316E-2</v>
      </c>
      <c r="Y133" s="9"/>
      <c r="Z133" s="7">
        <v>2140.62</v>
      </c>
      <c r="AA133" s="8">
        <f>IFERROR(Z133/Z444, "NA")</f>
        <v>1.9489185269350843E-2</v>
      </c>
      <c r="AB133" s="9"/>
      <c r="AC133" s="10">
        <f t="shared" si="31"/>
        <v>-519.88000000000011</v>
      </c>
      <c r="AD133" s="8">
        <f>IFERROR(AC133/AC444, "NA")</f>
        <v>-1.6653847718584969E-2</v>
      </c>
    </row>
    <row r="134" spans="1:30" ht="16.5" customHeight="1" x14ac:dyDescent="0.45">
      <c r="A134" s="12" t="s">
        <v>126</v>
      </c>
      <c r="B134" s="7">
        <v>532.36</v>
      </c>
      <c r="C134" s="8">
        <f>IFERROR(B134/B444, "NA")</f>
        <v>6.8930209263704271E-3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-532.36</v>
      </c>
      <c r="I134" s="8">
        <f>IFERROR(H134/H444, "NA")</f>
        <v>-4.4066691058027692E-2</v>
      </c>
      <c r="J134" s="9"/>
      <c r="K134" s="7">
        <v>606.25</v>
      </c>
      <c r="L134" s="8">
        <f>IFERROR(K134/K444, "NA")</f>
        <v>1.0375423467025835E-2</v>
      </c>
      <c r="M134" s="9"/>
      <c r="N134" s="10">
        <f t="shared" si="29"/>
        <v>73.889999999999986</v>
      </c>
      <c r="O134" s="8">
        <f>IFERROR(N134/N444, "NA")</f>
        <v>3.9302376174111262E-3</v>
      </c>
      <c r="P134" s="9"/>
      <c r="Q134" s="7">
        <v>1043.72</v>
      </c>
      <c r="R134" s="8">
        <f>IFERROR(Q134/Q444, "NA")</f>
        <v>7.3994823651885458E-3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-1043.72</v>
      </c>
      <c r="X134" s="8">
        <f>IFERROR(W134/W444, "NA")</f>
        <v>-3.7841320392770675E-2</v>
      </c>
      <c r="Y134" s="9"/>
      <c r="Z134" s="7">
        <v>1283.4000000000001</v>
      </c>
      <c r="AA134" s="8">
        <f>IFERROR(Z134/Z444, "NA")</f>
        <v>1.1684661628259511E-2</v>
      </c>
      <c r="AB134" s="9"/>
      <c r="AC134" s="10">
        <f t="shared" si="31"/>
        <v>239.68000000000006</v>
      </c>
      <c r="AD134" s="8">
        <f>IFERROR(AC134/AC444, "NA")</f>
        <v>7.6779145594953547E-3</v>
      </c>
    </row>
    <row r="135" spans="1:30" ht="16.5" customHeight="1" x14ac:dyDescent="0.45">
      <c r="A135" s="12" t="s">
        <v>127</v>
      </c>
      <c r="B135" s="7">
        <v>528.23</v>
      </c>
      <c r="C135" s="8">
        <f>IFERROR(B135/B444, "NA")</f>
        <v>6.8395455029240564E-3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-528.23</v>
      </c>
      <c r="I135" s="8">
        <f>IFERROR(H135/H444, "NA")</f>
        <v>-4.3724825714895874E-2</v>
      </c>
      <c r="J135" s="9"/>
      <c r="K135" s="7">
        <v>427.67</v>
      </c>
      <c r="L135" s="8">
        <f>IFERROR(K135/K444, "NA")</f>
        <v>7.3191873882770125E-3</v>
      </c>
      <c r="M135" s="9"/>
      <c r="N135" s="10">
        <f t="shared" si="29"/>
        <v>-100.56</v>
      </c>
      <c r="O135" s="8">
        <f>IFERROR(N135/N444, "NA")</f>
        <v>-5.3488252105408432E-3</v>
      </c>
      <c r="P135" s="9"/>
      <c r="Q135" s="7">
        <v>999.38</v>
      </c>
      <c r="R135" s="8">
        <f>IFERROR(Q135/Q444, "NA")</f>
        <v>7.0851326851283187E-3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-999.38</v>
      </c>
      <c r="X135" s="8">
        <f>IFERROR(W135/W444, "NA")</f>
        <v>-3.6233720513286279E-2</v>
      </c>
      <c r="Y135" s="9"/>
      <c r="Z135" s="7">
        <v>945.29</v>
      </c>
      <c r="AA135" s="8">
        <f>IFERROR(Z135/Z444, "NA")</f>
        <v>8.6063532730071921E-3</v>
      </c>
      <c r="AB135" s="9"/>
      <c r="AC135" s="10">
        <f t="shared" si="31"/>
        <v>-54.090000000000032</v>
      </c>
      <c r="AD135" s="8">
        <f>IFERROR(AC135/AC444, "NA")</f>
        <v>-1.7327202875630169E-3</v>
      </c>
    </row>
    <row r="136" spans="1:30" ht="16.5" customHeight="1" x14ac:dyDescent="0.45">
      <c r="A136" s="12" t="s">
        <v>128</v>
      </c>
      <c r="B136" s="7">
        <v>802.14</v>
      </c>
      <c r="C136" s="8">
        <f>IFERROR(B136/B444, "NA")</f>
        <v>1.0386144349460467E-2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-802.14</v>
      </c>
      <c r="I136" s="8">
        <f>IFERROR(H136/H444, "NA")</f>
        <v>-6.6398030590739968E-2</v>
      </c>
      <c r="J136" s="9"/>
      <c r="K136" s="7">
        <v>866.22</v>
      </c>
      <c r="L136" s="8">
        <f>IFERROR(K136/K444, "NA")</f>
        <v>1.4824576190692156E-2</v>
      </c>
      <c r="M136" s="9"/>
      <c r="N136" s="10">
        <f t="shared" si="29"/>
        <v>64.080000000000041</v>
      </c>
      <c r="O136" s="8">
        <f>IFERROR(N136/N444, "NA")</f>
        <v>3.4084399312992986E-3</v>
      </c>
      <c r="P136" s="9"/>
      <c r="Q136" s="7">
        <v>1439.3</v>
      </c>
      <c r="R136" s="8">
        <f>IFERROR(Q136/Q444, "NA")</f>
        <v>1.0203957927620314E-2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-1439.3</v>
      </c>
      <c r="X136" s="8">
        <f>IFERROR(W136/W444, "NA")</f>
        <v>-5.2183547734368244E-2</v>
      </c>
      <c r="Y136" s="9"/>
      <c r="Z136" s="7">
        <v>1697.1</v>
      </c>
      <c r="AA136" s="8">
        <f>IFERROR(Z136/Z444, "NA")</f>
        <v>1.5451175977340824E-2</v>
      </c>
      <c r="AB136" s="9"/>
      <c r="AC136" s="10">
        <f t="shared" si="31"/>
        <v>257.79999999999995</v>
      </c>
      <c r="AD136" s="8">
        <f>IFERROR(AC136/AC444, "NA")</f>
        <v>8.2583710507255579E-3</v>
      </c>
    </row>
    <row r="137" spans="1:30" ht="16.5" customHeight="1" x14ac:dyDescent="0.45">
      <c r="A137" s="12" t="s">
        <v>129</v>
      </c>
      <c r="B137" s="7">
        <v>274.25</v>
      </c>
      <c r="C137" s="8">
        <f>IFERROR(B137/B444, "NA")</f>
        <v>3.5510011816385335E-3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-274.25</v>
      </c>
      <c r="I137" s="8">
        <f>IFERROR(H137/H444, "NA")</f>
        <v>-2.2701348753971173E-2</v>
      </c>
      <c r="J137" s="9"/>
      <c r="K137" s="7">
        <v>341.01</v>
      </c>
      <c r="L137" s="8">
        <f>IFERROR(K137/K444, "NA")</f>
        <v>5.8360794333863581E-3</v>
      </c>
      <c r="M137" s="9"/>
      <c r="N137" s="10">
        <f t="shared" si="29"/>
        <v>66.759999999999991</v>
      </c>
      <c r="O137" s="8">
        <f>IFERROR(N137/N444, "NA")</f>
        <v>3.5509901656295409E-3</v>
      </c>
      <c r="P137" s="9"/>
      <c r="Q137" s="7">
        <v>822.4</v>
      </c>
      <c r="R137" s="8">
        <f>IFERROR(Q137/Q444, "NA")</f>
        <v>5.8304279856006011E-3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-822.4</v>
      </c>
      <c r="X137" s="8">
        <f>IFERROR(W137/W444, "NA")</f>
        <v>-2.9817098351104319E-2</v>
      </c>
      <c r="Y137" s="9"/>
      <c r="Z137" s="7">
        <v>591.14</v>
      </c>
      <c r="AA137" s="8">
        <f>IFERROR(Z137/Z444, "NA")</f>
        <v>5.3820094085470834E-3</v>
      </c>
      <c r="AB137" s="9"/>
      <c r="AC137" s="10">
        <f t="shared" si="31"/>
        <v>-231.26</v>
      </c>
      <c r="AD137" s="8">
        <f>IFERROR(AC137/AC444, "NA")</f>
        <v>-7.4081880884049366E-3</v>
      </c>
    </row>
    <row r="138" spans="1:30" ht="16.5" customHeight="1" x14ac:dyDescent="0.45">
      <c r="A138" s="12" t="s">
        <v>130</v>
      </c>
      <c r="B138" s="7">
        <v>3736.96</v>
      </c>
      <c r="C138" s="8">
        <f>IFERROR(B138/B444, "NA")</f>
        <v>4.8386324068316985E-2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-3736.96</v>
      </c>
      <c r="I138" s="8">
        <f>IFERROR(H138/H444, "NA")</f>
        <v>-0.30933102001691931</v>
      </c>
      <c r="J138" s="9"/>
      <c r="K138" s="7">
        <v>3488.34</v>
      </c>
      <c r="L138" s="8">
        <f>IFERROR(K138/K444, "NA")</f>
        <v>5.9699801562003961E-2</v>
      </c>
      <c r="M138" s="9"/>
      <c r="N138" s="10">
        <f t="shared" si="29"/>
        <v>-248.61999999999989</v>
      </c>
      <c r="O138" s="8">
        <f>IFERROR(N138/N444, "NA")</f>
        <v>-1.3224193753427446E-2</v>
      </c>
      <c r="P138" s="9"/>
      <c r="Q138" s="7">
        <v>6988.79</v>
      </c>
      <c r="R138" s="8">
        <f>IFERROR(Q138/Q444, "NA")</f>
        <v>4.9547223737215013E-2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-6988.79</v>
      </c>
      <c r="X138" s="8">
        <f>IFERROR(W138/W444, "NA")</f>
        <v>-0.2533869635034221</v>
      </c>
      <c r="Y138" s="9"/>
      <c r="Z138" s="7">
        <v>6529.63</v>
      </c>
      <c r="AA138" s="8">
        <f>IFERROR(Z138/Z444, "NA")</f>
        <v>5.9448743266115121E-2</v>
      </c>
      <c r="AB138" s="9"/>
      <c r="AC138" s="10">
        <f t="shared" si="31"/>
        <v>-459.15999999999985</v>
      </c>
      <c r="AD138" s="8">
        <f>IFERROR(AC138/AC444, "NA")</f>
        <v>-1.4708741860555262E-2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17193.79</v>
      </c>
      <c r="C141" s="15">
        <f>IFERROR(B141/B444, "NA")</f>
        <v>0.2226259566338917</v>
      </c>
      <c r="D141" s="2"/>
      <c r="E141" s="14">
        <f>IFERROR(E129+E130+E131+E132+E133+E134+E135+E136+E137+E138+E139+E140, "NA")</f>
        <v>17069.55</v>
      </c>
      <c r="F141" s="15">
        <f>IFERROR(E141/E444, "NA")</f>
        <v>0.26199997666956865</v>
      </c>
      <c r="G141" s="2"/>
      <c r="H141" s="14">
        <f t="shared" si="28"/>
        <v>-124.2400000000016</v>
      </c>
      <c r="I141" s="15">
        <f>IFERROR(H141/H444, "NA")</f>
        <v>-1.0284104172081731E-2</v>
      </c>
      <c r="J141" s="2"/>
      <c r="K141" s="14">
        <f>IFERROR(K129+K130+K131+K132+K133+K134+K135+K136+K137+K138+K139+K140, "NA")</f>
        <v>14801.69</v>
      </c>
      <c r="L141" s="15">
        <f>IFERROR(K141/K444, "NA")</f>
        <v>0.25331761117961504</v>
      </c>
      <c r="M141" s="2"/>
      <c r="N141" s="14">
        <f t="shared" si="29"/>
        <v>-2392.1000000000004</v>
      </c>
      <c r="O141" s="15">
        <f>IFERROR(N141/N444, "NA")</f>
        <v>-0.12723672221693272</v>
      </c>
      <c r="P141" s="2"/>
      <c r="Q141" s="14">
        <f>IFERROR(Q129+Q130+Q131+Q132+Q133+Q134+Q135+Q136+Q137+Q138+Q139+Q140, "NA")</f>
        <v>31776.590000000004</v>
      </c>
      <c r="R141" s="15">
        <f>IFERROR(Q141/Q444, "NA")</f>
        <v>0.22528103066993707</v>
      </c>
      <c r="S141" s="2"/>
      <c r="T141" s="14">
        <f>IFERROR(T129+T130+T131+T132+T133+T134+T135+T136+T137+T138+T139+T140, "NA")</f>
        <v>30116.13</v>
      </c>
      <c r="U141" s="15">
        <f>IFERROR(T141/T444, "NA")</f>
        <v>0.26540671579378178</v>
      </c>
      <c r="V141" s="2"/>
      <c r="W141" s="14">
        <f t="shared" si="30"/>
        <v>-1660.4600000000028</v>
      </c>
      <c r="X141" s="15">
        <f>IFERROR(W141/W444, "NA")</f>
        <v>-6.0201968784137597E-2</v>
      </c>
      <c r="Y141" s="2"/>
      <c r="Z141" s="14">
        <f>IFERROR(Z129+Z130+Z131+Z132+Z133+Z134+Z135+Z136+Z137+Z138+Z139+Z140, "NA")</f>
        <v>27914.99</v>
      </c>
      <c r="AA141" s="15">
        <f>IFERROR(Z141/Z444, "NA")</f>
        <v>0.25415085905115159</v>
      </c>
      <c r="AB141" s="2"/>
      <c r="AC141" s="14">
        <f t="shared" si="31"/>
        <v>-3861.6000000000022</v>
      </c>
      <c r="AD141" s="15">
        <f>IFERROR(AC141/AC444, "NA")</f>
        <v>-0.12370258203833141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730.09</v>
      </c>
      <c r="C144" s="8">
        <f>IFERROR(B144/B444, "NA")</f>
        <v>9.4532377491430338E-3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-730.09</v>
      </c>
      <c r="I144" s="8">
        <f>IFERROR(H144/H444, "NA")</f>
        <v>-6.0434011711164318E-2</v>
      </c>
      <c r="J144" s="9"/>
      <c r="K144" s="7">
        <v>687.43</v>
      </c>
      <c r="L144" s="8">
        <f>IFERROR(K144/K444, "NA")</f>
        <v>1.1764746150824856E-2</v>
      </c>
      <c r="M144" s="9"/>
      <c r="N144" s="10">
        <f t="shared" si="33"/>
        <v>-42.660000000000082</v>
      </c>
      <c r="O144" s="8">
        <f>IFERROR(N144/N444, "NA")</f>
        <v>-2.2691018643762211E-3</v>
      </c>
      <c r="P144" s="9"/>
      <c r="Q144" s="7">
        <v>1259.01</v>
      </c>
      <c r="R144" s="8">
        <f>IFERROR(Q144/Q444, "NA")</f>
        <v>8.9257868897750642E-3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-1259.01</v>
      </c>
      <c r="X144" s="8">
        <f>IFERROR(W144/W444, "NA")</f>
        <v>-4.5646917552314994E-2</v>
      </c>
      <c r="Y144" s="9"/>
      <c r="Z144" s="7">
        <v>1548.92</v>
      </c>
      <c r="AA144" s="8">
        <f>IFERROR(Z144/Z444, "NA")</f>
        <v>1.4102077364222939E-2</v>
      </c>
      <c r="AB144" s="9"/>
      <c r="AC144" s="10">
        <f t="shared" si="35"/>
        <v>289.91000000000008</v>
      </c>
      <c r="AD144" s="8">
        <f>IFERROR(AC144/AC444, "NA")</f>
        <v>9.2869835194563516E-3</v>
      </c>
    </row>
    <row r="145" spans="1:30" ht="16.5" customHeight="1" x14ac:dyDescent="0.45">
      <c r="A145" s="12" t="s">
        <v>136</v>
      </c>
      <c r="B145" s="7">
        <v>61</v>
      </c>
      <c r="C145" s="8">
        <f>IFERROR(B145/B444, "NA")</f>
        <v>7.8983070949845222E-4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-61</v>
      </c>
      <c r="I145" s="8">
        <f>IFERROR(H145/H444, "NA")</f>
        <v>-5.0493428404457304E-3</v>
      </c>
      <c r="J145" s="9"/>
      <c r="K145" s="7">
        <v>62.85</v>
      </c>
      <c r="L145" s="8">
        <f>IFERROR(K145/K444, "NA")</f>
        <v>1.0756212204578535E-3</v>
      </c>
      <c r="M145" s="9"/>
      <c r="N145" s="10">
        <f t="shared" si="33"/>
        <v>1.8500000000000014</v>
      </c>
      <c r="O145" s="8">
        <f>IFERROR(N145/N444, "NA")</f>
        <v>9.8402213996624577E-5</v>
      </c>
      <c r="P145" s="9"/>
      <c r="Q145" s="7">
        <v>100.55</v>
      </c>
      <c r="R145" s="8">
        <f>IFERROR(Q145/Q444, "NA")</f>
        <v>7.1285205976670779E-4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-100.55</v>
      </c>
      <c r="X145" s="8">
        <f>IFERROR(W145/W444, "NA")</f>
        <v>-3.6455608453350428E-3</v>
      </c>
      <c r="Y145" s="9"/>
      <c r="Z145" s="7">
        <v>93.8</v>
      </c>
      <c r="AA145" s="8">
        <f>IFERROR(Z145/Z444, "NA")</f>
        <v>8.5399817728747226E-4</v>
      </c>
      <c r="AB145" s="9"/>
      <c r="AC145" s="10">
        <f t="shared" si="35"/>
        <v>-6.75</v>
      </c>
      <c r="AD145" s="8">
        <f>IFERROR(AC145/AC444, "NA")</f>
        <v>-2.1622965319006022E-4</v>
      </c>
    </row>
    <row r="146" spans="1:30" ht="16.5" customHeight="1" x14ac:dyDescent="0.45">
      <c r="A146" s="12" t="s">
        <v>137</v>
      </c>
      <c r="B146" s="7">
        <v>-4.0999999999999996</v>
      </c>
      <c r="C146" s="8">
        <f>IFERROR(B146/B444, "NA")</f>
        <v>-5.3086982113830392E-5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4.0999999999999996</v>
      </c>
      <c r="I146" s="8">
        <f>IFERROR(H146/H444, "NA")</f>
        <v>3.393820597676638E-4</v>
      </c>
      <c r="J146" s="9"/>
      <c r="K146" s="7">
        <v>177.47</v>
      </c>
      <c r="L146" s="8">
        <f>IFERROR(K146/K444, "NA")</f>
        <v>3.0372394271225979E-3</v>
      </c>
      <c r="M146" s="9"/>
      <c r="N146" s="10">
        <f t="shared" si="33"/>
        <v>181.57</v>
      </c>
      <c r="O146" s="8">
        <f>IFERROR(N146/N444, "NA")</f>
        <v>9.6577783758741136E-3</v>
      </c>
      <c r="P146" s="9"/>
      <c r="Q146" s="7">
        <v>74.040000000000006</v>
      </c>
      <c r="R146" s="8">
        <f>IFERROR(Q146/Q444, "NA")</f>
        <v>5.249086673806768E-4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-74.040000000000006</v>
      </c>
      <c r="X146" s="8">
        <f>IFERROR(W146/W444, "NA")</f>
        <v>-2.6844090003839542E-3</v>
      </c>
      <c r="Y146" s="9"/>
      <c r="Z146" s="7">
        <v>316.64</v>
      </c>
      <c r="AA146" s="8">
        <f>IFERROR(Z146/Z444, "NA")</f>
        <v>2.8828356381269214E-3</v>
      </c>
      <c r="AB146" s="9"/>
      <c r="AC146" s="10">
        <f t="shared" si="35"/>
        <v>242.59999999999997</v>
      </c>
      <c r="AD146" s="8">
        <f>IFERROR(AC146/AC444, "NA")</f>
        <v>7.7714539057642373E-3</v>
      </c>
    </row>
    <row r="147" spans="1:30" ht="16.5" customHeight="1" x14ac:dyDescent="0.45">
      <c r="A147" s="12" t="s">
        <v>138</v>
      </c>
      <c r="B147" s="7">
        <v>9.86</v>
      </c>
      <c r="C147" s="8">
        <f>IFERROR(B147/B444, "NA")</f>
        <v>1.2766771796155309E-4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-9.86</v>
      </c>
      <c r="I147" s="8">
        <f>IFERROR(H147/H444, "NA")</f>
        <v>-8.161724656851623E-4</v>
      </c>
      <c r="J147" s="9"/>
      <c r="K147" s="7">
        <v>19.37</v>
      </c>
      <c r="L147" s="8">
        <f>IFERROR(K147/K444, "NA")</f>
        <v>3.3150012792790176E-4</v>
      </c>
      <c r="M147" s="9"/>
      <c r="N147" s="10">
        <f t="shared" si="33"/>
        <v>9.5100000000000016</v>
      </c>
      <c r="O147" s="8">
        <f>IFERROR(N147/N444, "NA")</f>
        <v>5.0584057032859416E-4</v>
      </c>
      <c r="P147" s="9"/>
      <c r="Q147" s="7">
        <v>37.58</v>
      </c>
      <c r="R147" s="8">
        <f>IFERROR(Q147/Q444, "NA")</f>
        <v>2.6642446947819869E-4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-37.58</v>
      </c>
      <c r="X147" s="8">
        <f>IFERROR(W147/W444, "NA")</f>
        <v>-1.362507971831834E-3</v>
      </c>
      <c r="Y147" s="9"/>
      <c r="Z147" s="7">
        <v>19.37</v>
      </c>
      <c r="AA147" s="8">
        <f>IFERROR(Z147/Z444, "NA")</f>
        <v>1.7635335494731706E-4</v>
      </c>
      <c r="AB147" s="9"/>
      <c r="AC147" s="10">
        <f t="shared" si="35"/>
        <v>-18.209999999999997</v>
      </c>
      <c r="AD147" s="8">
        <f>IFERROR(AC147/AC444, "NA")</f>
        <v>-5.8333955327274012E-4</v>
      </c>
    </row>
    <row r="148" spans="1:30" ht="16.5" customHeight="1" x14ac:dyDescent="0.45">
      <c r="A148" s="13" t="s">
        <v>139</v>
      </c>
      <c r="B148" s="14">
        <f>IFERROR(B143+B144+B145+B146+B147, "NA")</f>
        <v>796.85</v>
      </c>
      <c r="C148" s="15">
        <f>IFERROR(B148/B444, "NA")</f>
        <v>1.0317649194489208E-2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-796.85</v>
      </c>
      <c r="I148" s="15">
        <f>IFERROR(H148/H444, "NA")</f>
        <v>-6.5960144957527542E-2</v>
      </c>
      <c r="J148" s="2"/>
      <c r="K148" s="14">
        <f>IFERROR(K143+K144+K145+K146+K147, "NA")</f>
        <v>947.12</v>
      </c>
      <c r="L148" s="15">
        <f>IFERROR(K148/K444, "NA")</f>
        <v>1.6209106926333209E-2</v>
      </c>
      <c r="M148" s="2"/>
      <c r="N148" s="14">
        <f t="shared" si="33"/>
        <v>150.26999999999998</v>
      </c>
      <c r="O148" s="15">
        <f>IFERROR(N148/N444, "NA")</f>
        <v>7.9929192958231154E-3</v>
      </c>
      <c r="P148" s="2"/>
      <c r="Q148" s="14">
        <f>IFERROR(Q143+Q144+Q145+Q146+Q147, "NA")</f>
        <v>1471.1799999999998</v>
      </c>
      <c r="R148" s="15">
        <f>IFERROR(Q148/Q444, "NA")</f>
        <v>1.0429972086400648E-2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-1471.1799999999998</v>
      </c>
      <c r="X148" s="15">
        <f>IFERROR(W148/W444, "NA")</f>
        <v>-5.3339395369865816E-2</v>
      </c>
      <c r="Y148" s="2"/>
      <c r="Z148" s="14">
        <f>IFERROR(Z143+Z144+Z145+Z146+Z147, "NA")</f>
        <v>1978.73</v>
      </c>
      <c r="AA148" s="15">
        <f>IFERROR(Z148/Z444, "NA")</f>
        <v>1.801526453458465E-2</v>
      </c>
      <c r="AB148" s="2"/>
      <c r="AC148" s="14">
        <f t="shared" si="35"/>
        <v>507.55000000000018</v>
      </c>
      <c r="AD148" s="15">
        <f>IFERROR(AC148/AC444, "NA")</f>
        <v>1.6258868218757792E-2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17990.640000000003</v>
      </c>
      <c r="C149" s="15">
        <f>IFERROR(B149/B444, "NA")</f>
        <v>0.23294360582838095</v>
      </c>
      <c r="D149" s="2"/>
      <c r="E149" s="14">
        <f>IFERROR(E127+E129+E130+E131+E132+E133+E134+E135+E136+E137+E138+E139+E140+E143+E144+E145+E146+E147, "NA")</f>
        <v>17069.55</v>
      </c>
      <c r="F149" s="15">
        <f>IFERROR(E149/E444, "NA")</f>
        <v>0.26199997666956865</v>
      </c>
      <c r="G149" s="2"/>
      <c r="H149" s="14">
        <f t="shared" si="32"/>
        <v>-921.09000000000378</v>
      </c>
      <c r="I149" s="15">
        <f>IFERROR(H149/H444, "NA")</f>
        <v>-7.6244249129609462E-2</v>
      </c>
      <c r="J149" s="2"/>
      <c r="K149" s="14">
        <f>IFERROR(K127+K129+K130+K131+K132+K133+K134+K135+K136+K137+K138+K139+K140+K143+K144+K145+K146+K147, "NA")</f>
        <v>15748.810000000001</v>
      </c>
      <c r="L149" s="15">
        <f>IFERROR(K149/K444, "NA")</f>
        <v>0.2695267181059483</v>
      </c>
      <c r="M149" s="2"/>
      <c r="N149" s="14">
        <f t="shared" si="33"/>
        <v>-2241.8300000000017</v>
      </c>
      <c r="O149" s="15">
        <f>IFERROR(N149/N444, "NA")</f>
        <v>-0.11924380292110967</v>
      </c>
      <c r="P149" s="2"/>
      <c r="Q149" s="14">
        <f>IFERROR(Q127+Q129+Q130+Q131+Q132+Q133+Q134+Q135+Q136+Q137+Q138+Q139+Q140+Q143+Q144+Q145+Q146+Q147, "NA")</f>
        <v>33247.770000000011</v>
      </c>
      <c r="R149" s="15">
        <f>IFERROR(Q149/Q444, "NA")</f>
        <v>0.23571100275633777</v>
      </c>
      <c r="S149" s="2"/>
      <c r="T149" s="14">
        <f>IFERROR(T127+T129+T130+T131+T132+T133+T134+T135+T136+T137+T138+T139+T140+T143+T144+T145+T146+T147, "NA")</f>
        <v>30116.13</v>
      </c>
      <c r="U149" s="15">
        <f>IFERROR(T149/T444, "NA")</f>
        <v>0.26540671579378178</v>
      </c>
      <c r="V149" s="2"/>
      <c r="W149" s="14">
        <f t="shared" si="34"/>
        <v>-3131.6400000000103</v>
      </c>
      <c r="X149" s="15">
        <f>IFERROR(W149/W444, "NA")</f>
        <v>-0.11354136415400369</v>
      </c>
      <c r="Y149" s="2"/>
      <c r="Z149" s="14">
        <f>IFERROR(Z127+Z129+Z130+Z131+Z132+Z133+Z134+Z135+Z136+Z137+Z138+Z139+Z140+Z143+Z144+Z145+Z146+Z147, "NA")</f>
        <v>29893.72</v>
      </c>
      <c r="AA149" s="15">
        <f>IFERROR(Z149/Z444, "NA")</f>
        <v>0.27216612358573622</v>
      </c>
      <c r="AB149" s="2"/>
      <c r="AC149" s="14">
        <f t="shared" si="35"/>
        <v>-3354.0500000000102</v>
      </c>
      <c r="AD149" s="15">
        <f>IFERROR(AC149/AC444, "NA")</f>
        <v>-0.10744371381957388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1303.02</v>
      </c>
      <c r="F153" s="8">
        <f>IFERROR(E153/E444, "NA")</f>
        <v>2.0000012279174396E-2</v>
      </c>
      <c r="G153" s="9"/>
      <c r="H153" s="10">
        <f t="shared" ref="H153:H158" si="36">IFERROR(-(B153-E153), "NA")</f>
        <v>1303.02</v>
      </c>
      <c r="I153" s="8">
        <f>IFERROR(H153/H444, "NA")</f>
        <v>0.1078589296386491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2269.4299999999998</v>
      </c>
      <c r="U153" s="8">
        <f>IFERROR(T153/T444, "NA")</f>
        <v>1.9999978849336953E-2</v>
      </c>
      <c r="V153" s="9"/>
      <c r="W153" s="10">
        <f t="shared" ref="W153:W158" si="38">IFERROR(-(Q153-T153), "NA")</f>
        <v>2269.4299999999998</v>
      </c>
      <c r="X153" s="8">
        <f>IFERROR(W153/W444, "NA")</f>
        <v>8.22809065065013E-2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2491.6999999999998</v>
      </c>
      <c r="C154" s="8">
        <f>IFERROR(B154/B444, "NA")</f>
        <v>3.226264227634907E-2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-2491.6999999999998</v>
      </c>
      <c r="I154" s="8">
        <f>IFERROR(H154/H444, "NA")</f>
        <v>-0.2062532386153873</v>
      </c>
      <c r="J154" s="9"/>
      <c r="K154" s="7">
        <v>2395.6799999999998</v>
      </c>
      <c r="L154" s="8">
        <f>IFERROR(K154/K444, "NA")</f>
        <v>4.0999908439561979E-2</v>
      </c>
      <c r="M154" s="9"/>
      <c r="N154" s="10">
        <f t="shared" si="37"/>
        <v>-96.019999999999982</v>
      </c>
      <c r="O154" s="8">
        <f>IFERROR(N154/N444, "NA")</f>
        <v>-5.1073408583545317E-3</v>
      </c>
      <c r="P154" s="9"/>
      <c r="Q154" s="7">
        <v>4436.1000000000004</v>
      </c>
      <c r="R154" s="8">
        <f>IFERROR(Q154/Q444, "NA")</f>
        <v>3.1449856015227179E-2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-4436.1000000000004</v>
      </c>
      <c r="X154" s="8">
        <f>IFERROR(W154/W444, "NA")</f>
        <v>-0.16083612596708888</v>
      </c>
      <c r="Y154" s="9"/>
      <c r="Z154" s="7">
        <v>4828.3</v>
      </c>
      <c r="AA154" s="8">
        <f>IFERROR(Z154/Z444, "NA")</f>
        <v>4.3959055430672737E-2</v>
      </c>
      <c r="AB154" s="9"/>
      <c r="AC154" s="10">
        <f t="shared" si="39"/>
        <v>392.19999999999982</v>
      </c>
      <c r="AD154" s="8">
        <f>IFERROR(AC154/AC444, "NA")</f>
        <v>1.2563743700909864E-2</v>
      </c>
    </row>
    <row r="155" spans="1:30" ht="16.5" customHeight="1" x14ac:dyDescent="0.45">
      <c r="A155" s="12" t="s">
        <v>144</v>
      </c>
      <c r="B155" s="7">
        <v>868.24</v>
      </c>
      <c r="C155" s="8">
        <f>IFERROR(B155/B444, "NA")</f>
        <v>1.1242010085490757E-2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-868.24</v>
      </c>
      <c r="I155" s="8">
        <f>IFERROR(H155/H444, "NA")</f>
        <v>-7.1869531603091813E-2</v>
      </c>
      <c r="J155" s="9"/>
      <c r="K155" s="7">
        <v>377.22</v>
      </c>
      <c r="L155" s="8">
        <f>IFERROR(K155/K444, "NA")</f>
        <v>6.455781014814822E-3</v>
      </c>
      <c r="M155" s="9"/>
      <c r="N155" s="10">
        <f t="shared" si="37"/>
        <v>-491.02</v>
      </c>
      <c r="O155" s="8">
        <f>IFERROR(N155/N444, "NA")</f>
        <v>-2.6117543306282465E-2</v>
      </c>
      <c r="P155" s="9"/>
      <c r="Q155" s="7">
        <v>1634.67</v>
      </c>
      <c r="R155" s="8">
        <f>IFERROR(Q155/Q444, "NA")</f>
        <v>1.1589039050610088E-2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-1634.67</v>
      </c>
      <c r="X155" s="8">
        <f>IFERROR(W155/W444, "NA")</f>
        <v>-5.9266921402723369E-2</v>
      </c>
      <c r="Y155" s="9"/>
      <c r="Z155" s="7">
        <v>570.5</v>
      </c>
      <c r="AA155" s="8">
        <f>IFERROR(Z155/Z444, "NA")</f>
        <v>5.1940933917111187E-3</v>
      </c>
      <c r="AB155" s="9"/>
      <c r="AC155" s="10">
        <f t="shared" si="39"/>
        <v>-1064.17</v>
      </c>
      <c r="AD155" s="8">
        <f>IFERROR(AC155/AC444, "NA")</f>
        <v>-3.4089645931150575E-2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3359.9399999999996</v>
      </c>
      <c r="C158" s="15">
        <f>IFERROR(B158/B444, "NA")</f>
        <v>4.3504652361839827E-2</v>
      </c>
      <c r="D158" s="2"/>
      <c r="E158" s="14">
        <f>IFERROR(E153+E154+E155+E156+E157, "NA")</f>
        <v>1303.02</v>
      </c>
      <c r="F158" s="15">
        <f>IFERROR(E158/E444, "NA")</f>
        <v>2.0000012279174396E-2</v>
      </c>
      <c r="G158" s="2"/>
      <c r="H158" s="14">
        <f t="shared" si="36"/>
        <v>-2056.9199999999996</v>
      </c>
      <c r="I158" s="15">
        <f>IFERROR(H158/H444, "NA")</f>
        <v>-0.17026384057982999</v>
      </c>
      <c r="J158" s="2"/>
      <c r="K158" s="14">
        <f>IFERROR(K153+K154+K155+K156+K157, "NA")</f>
        <v>2772.8999999999996</v>
      </c>
      <c r="L158" s="15">
        <f>IFERROR(K158/K444, "NA")</f>
        <v>4.7455689454376795E-2</v>
      </c>
      <c r="M158" s="2"/>
      <c r="N158" s="14">
        <f t="shared" si="37"/>
        <v>-587.04</v>
      </c>
      <c r="O158" s="15">
        <f>IFERROR(N158/N444, "NA")</f>
        <v>-3.1224884164636996E-2</v>
      </c>
      <c r="P158" s="2"/>
      <c r="Q158" s="14">
        <f>IFERROR(Q153+Q154+Q155+Q156+Q157, "NA")</f>
        <v>6070.77</v>
      </c>
      <c r="R158" s="15">
        <f>IFERROR(Q158/Q444, "NA")</f>
        <v>4.3038895065837267E-2</v>
      </c>
      <c r="S158" s="2"/>
      <c r="T158" s="14">
        <f>IFERROR(T153+T154+T155+T156+T157, "NA")</f>
        <v>2269.4299999999998</v>
      </c>
      <c r="U158" s="15">
        <f>IFERROR(T158/T444, "NA")</f>
        <v>1.9999978849336953E-2</v>
      </c>
      <c r="V158" s="2"/>
      <c r="W158" s="14">
        <f t="shared" si="38"/>
        <v>-3801.3400000000006</v>
      </c>
      <c r="X158" s="15">
        <f>IFERROR(W158/W444, "NA")</f>
        <v>-0.13782214086331093</v>
      </c>
      <c r="Y158" s="2"/>
      <c r="Z158" s="14">
        <f>IFERROR(Z153+Z154+Z155+Z156+Z157, "NA")</f>
        <v>5398.8</v>
      </c>
      <c r="AA158" s="15">
        <f>IFERROR(Z158/Z444, "NA")</f>
        <v>4.9153148822383856E-2</v>
      </c>
      <c r="AB158" s="2"/>
      <c r="AC158" s="14">
        <f t="shared" si="39"/>
        <v>-671.97000000000025</v>
      </c>
      <c r="AD158" s="15">
        <f>IFERROR(AC158/AC444, "NA")</f>
        <v>-2.1525902230240715E-2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295.57</v>
      </c>
      <c r="C161" s="8">
        <f>IFERROR(B161/B444, "NA")</f>
        <v>3.8270534886304512E-3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-295.57</v>
      </c>
      <c r="I161" s="8">
        <f>IFERROR(H161/H444, "NA")</f>
        <v>-2.4466135464763023E-2</v>
      </c>
      <c r="J161" s="9"/>
      <c r="K161" s="7">
        <v>318.52</v>
      </c>
      <c r="L161" s="8">
        <f>IFERROR(K161/K444, "NA")</f>
        <v>5.4511833116982576E-3</v>
      </c>
      <c r="M161" s="9"/>
      <c r="N161" s="10">
        <f t="shared" si="41"/>
        <v>22.949999999999989</v>
      </c>
      <c r="O161" s="8">
        <f>IFERROR(N161/N444, "NA")</f>
        <v>1.2207193574175843E-3</v>
      </c>
      <c r="P161" s="9"/>
      <c r="Q161" s="7">
        <v>616.26</v>
      </c>
      <c r="R161" s="8">
        <f>IFERROR(Q161/Q444, "NA")</f>
        <v>4.3689926439764428E-3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-616.26</v>
      </c>
      <c r="X161" s="8">
        <f>IFERROR(W161/W444, "NA")</f>
        <v>-2.2343245415675519E-2</v>
      </c>
      <c r="Y161" s="9"/>
      <c r="Z161" s="7">
        <v>398.29</v>
      </c>
      <c r="AA161" s="8">
        <f>IFERROR(Z161/Z444, "NA")</f>
        <v>3.6262146485269444E-3</v>
      </c>
      <c r="AB161" s="9"/>
      <c r="AC161" s="10">
        <f t="shared" si="43"/>
        <v>-217.96999999999997</v>
      </c>
      <c r="AD161" s="8">
        <f>IFERROR(AC161/AC444, "NA")</f>
        <v>-6.9824559267907286E-3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295.57</v>
      </c>
      <c r="C166" s="15">
        <f>IFERROR(B166/B444, "NA")</f>
        <v>3.8270534886304512E-3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-295.57</v>
      </c>
      <c r="I166" s="15">
        <f>IFERROR(H166/H444, "NA")</f>
        <v>-2.4466135464763023E-2</v>
      </c>
      <c r="J166" s="2"/>
      <c r="K166" s="14">
        <f>IFERROR(K160+K161+K162+K163+K164+K165, "NA")</f>
        <v>318.52</v>
      </c>
      <c r="L166" s="15">
        <f>IFERROR(K166/K444, "NA")</f>
        <v>5.4511833116982576E-3</v>
      </c>
      <c r="M166" s="2"/>
      <c r="N166" s="14">
        <f t="shared" si="41"/>
        <v>22.949999999999989</v>
      </c>
      <c r="O166" s="15">
        <f>IFERROR(N166/N444, "NA")</f>
        <v>1.2207193574175843E-3</v>
      </c>
      <c r="P166" s="2"/>
      <c r="Q166" s="14">
        <f>IFERROR(Q160+Q161+Q162+Q163+Q164+Q165, "NA")</f>
        <v>616.26</v>
      </c>
      <c r="R166" s="15">
        <f>IFERROR(Q166/Q444, "NA")</f>
        <v>4.3689926439764428E-3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-616.26</v>
      </c>
      <c r="X166" s="15">
        <f>IFERROR(W166/W444, "NA")</f>
        <v>-2.2343245415675519E-2</v>
      </c>
      <c r="Y166" s="2"/>
      <c r="Z166" s="14">
        <f>IFERROR(Z160+Z161+Z162+Z163+Z164+Z165, "NA")</f>
        <v>398.29</v>
      </c>
      <c r="AA166" s="15">
        <f>IFERROR(Z166/Z444, "NA")</f>
        <v>3.6262146485269444E-3</v>
      </c>
      <c r="AB166" s="2"/>
      <c r="AC166" s="14">
        <f t="shared" si="43"/>
        <v>-217.96999999999997</v>
      </c>
      <c r="AD166" s="15">
        <f>IFERROR(AC166/AC444, "NA")</f>
        <v>-6.9824559267907286E-3</v>
      </c>
    </row>
    <row r="167" spans="1:30" ht="16.5" customHeight="1" x14ac:dyDescent="0.45">
      <c r="A167" s="6" t="s">
        <v>155</v>
      </c>
      <c r="B167" s="7">
        <v>56.5</v>
      </c>
      <c r="C167" s="8">
        <f>IFERROR(B167/B444, "NA")</f>
        <v>7.3156450961741888E-4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-56.5</v>
      </c>
      <c r="I167" s="8">
        <f>IFERROR(H167/H444, "NA")</f>
        <v>-4.6768503358226845E-3</v>
      </c>
      <c r="J167" s="9"/>
      <c r="K167" s="7">
        <v>141.27000000000001</v>
      </c>
      <c r="L167" s="8">
        <f>IFERROR(K167/K444, "NA")</f>
        <v>2.4177089866997772E-3</v>
      </c>
      <c r="M167" s="9"/>
      <c r="N167" s="10">
        <f t="shared" si="41"/>
        <v>84.77000000000001</v>
      </c>
      <c r="O167" s="8">
        <f>IFERROR(N167/N444, "NA")</f>
        <v>4.5089490164831681E-3</v>
      </c>
      <c r="P167" s="9"/>
      <c r="Q167" s="7">
        <v>142.59</v>
      </c>
      <c r="R167" s="8">
        <f>IFERROR(Q167/Q444, "NA")</f>
        <v>1.010895824983937E-3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-142.59</v>
      </c>
      <c r="X167" s="8">
        <f>IFERROR(W167/W444, "NA")</f>
        <v>-5.1697714662985953E-3</v>
      </c>
      <c r="Y167" s="9"/>
      <c r="Z167" s="7">
        <v>281.52</v>
      </c>
      <c r="AA167" s="8">
        <f>IFERROR(Z167/Z444, "NA")</f>
        <v>2.5630870668440211E-3</v>
      </c>
      <c r="AB167" s="9"/>
      <c r="AC167" s="10">
        <f t="shared" si="43"/>
        <v>138.92999999999998</v>
      </c>
      <c r="AD167" s="8">
        <f>IFERROR(AC167/AC444, "NA")</f>
        <v>4.4504867729918606E-3</v>
      </c>
    </row>
    <row r="168" spans="1:30" ht="16.5" customHeight="1" x14ac:dyDescent="0.45">
      <c r="A168" s="6" t="s">
        <v>156</v>
      </c>
      <c r="B168" s="7">
        <v>30</v>
      </c>
      <c r="C168" s="8">
        <f>IFERROR(B168/B444, "NA")</f>
        <v>3.8844133254022241E-4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-30</v>
      </c>
      <c r="I168" s="8">
        <f>IFERROR(H168/H444, "NA")</f>
        <v>-2.483283364153638E-3</v>
      </c>
      <c r="J168" s="9"/>
      <c r="K168" s="7">
        <v>29.8</v>
      </c>
      <c r="L168" s="8">
        <f>IFERROR(K168/K444, "NA")</f>
        <v>5.1000019681215656E-4</v>
      </c>
      <c r="M168" s="9"/>
      <c r="N168" s="10">
        <f t="shared" si="41"/>
        <v>-0.19999999999999929</v>
      </c>
      <c r="O168" s="8">
        <f>IFERROR(N168/N444, "NA")</f>
        <v>-1.0638077188824233E-5</v>
      </c>
      <c r="P168" s="9"/>
      <c r="Q168" s="7">
        <v>62.6</v>
      </c>
      <c r="R168" s="8">
        <f>IFERROR(Q168/Q444, "NA")</f>
        <v>4.4380446485724423E-4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-62.6</v>
      </c>
      <c r="X168" s="8">
        <f>IFERROR(W168/W444, "NA")</f>
        <v>-2.2696380797411608E-3</v>
      </c>
      <c r="Y168" s="9"/>
      <c r="Z168" s="7">
        <v>66.7</v>
      </c>
      <c r="AA168" s="8">
        <f>IFERROR(Z168/Z444, "NA")</f>
        <v>6.0726736060846918E-4</v>
      </c>
      <c r="AB168" s="9"/>
      <c r="AC168" s="10">
        <f t="shared" si="43"/>
        <v>4.1000000000000014</v>
      </c>
      <c r="AD168" s="8">
        <f>IFERROR(AC168/AC444, "NA")</f>
        <v>1.3133949304877735E-4</v>
      </c>
    </row>
    <row r="169" spans="1:30" ht="16.5" customHeight="1" x14ac:dyDescent="0.45">
      <c r="A169" s="6" t="s">
        <v>157</v>
      </c>
      <c r="B169" s="7">
        <v>-2290.67</v>
      </c>
      <c r="C169" s="8">
        <f>IFERROR(B169/B444, "NA")</f>
        <v>-2.9659696906997043E-2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2290.67</v>
      </c>
      <c r="I169" s="8">
        <f>IFERROR(H169/H444, "NA")</f>
        <v>0.1896127567921938</v>
      </c>
      <c r="J169" s="9"/>
      <c r="K169" s="7">
        <v>-2103.1799999999998</v>
      </c>
      <c r="L169" s="8">
        <f>IFERROR(K169/K444, "NA")</f>
        <v>-3.5994034024543327E-2</v>
      </c>
      <c r="M169" s="9"/>
      <c r="N169" s="10">
        <f t="shared" si="41"/>
        <v>187.49000000000024</v>
      </c>
      <c r="O169" s="8">
        <f>IFERROR(N169/N444, "NA")</f>
        <v>9.9726654606633255E-3</v>
      </c>
      <c r="P169" s="9"/>
      <c r="Q169" s="7">
        <v>-4339.95</v>
      </c>
      <c r="R169" s="8">
        <f>IFERROR(Q169/Q444, "NA")</f>
        <v>-3.0768197879507939E-2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4339.95</v>
      </c>
      <c r="X169" s="8">
        <f>IFERROR(W169/W444, "NA")</f>
        <v>0.15735009239892411</v>
      </c>
      <c r="Y169" s="9"/>
      <c r="Z169" s="7">
        <v>-3481.35</v>
      </c>
      <c r="AA169" s="8">
        <f>IFERROR(Z169/Z444, "NA")</f>
        <v>-3.1695805485071872E-2</v>
      </c>
      <c r="AB169" s="9"/>
      <c r="AC169" s="10">
        <f t="shared" si="43"/>
        <v>858.59999999999991</v>
      </c>
      <c r="AD169" s="8">
        <f>IFERROR(AC169/AC444, "NA")</f>
        <v>2.7504411885775657E-2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1451.3399999999997</v>
      </c>
      <c r="C170" s="15">
        <f>IFERROR(B170/B444, "NA")</f>
        <v>1.8792014785630876E-2</v>
      </c>
      <c r="D170" s="2"/>
      <c r="E170" s="14">
        <f>IFERROR(E151+E153+E154+E155+E156+E157+E160+E161+E162+E163+E164+E165+E167+E168+E169, "NA")</f>
        <v>1303.02</v>
      </c>
      <c r="F170" s="15">
        <f>IFERROR(E170/E444, "NA")</f>
        <v>2.0000012279174396E-2</v>
      </c>
      <c r="G170" s="2"/>
      <c r="H170" s="14">
        <f t="shared" si="40"/>
        <v>-148.31999999999971</v>
      </c>
      <c r="I170" s="15">
        <f>IFERROR(H170/H444, "NA")</f>
        <v>-1.2277352952375562E-2</v>
      </c>
      <c r="J170" s="2"/>
      <c r="K170" s="14">
        <f>IFERROR(K151+K153+K154+K155+K156+K157+K160+K161+K162+K163+K164+K165+K167+K168+K169, "NA")</f>
        <v>1159.31</v>
      </c>
      <c r="L170" s="15">
        <f>IFERROR(K170/K444, "NA")</f>
        <v>1.9840547925043663E-2</v>
      </c>
      <c r="M170" s="2"/>
      <c r="N170" s="14">
        <f t="shared" si="41"/>
        <v>-292.02999999999975</v>
      </c>
      <c r="O170" s="15">
        <f>IFERROR(N170/N444, "NA")</f>
        <v>-1.5533188407261745E-2</v>
      </c>
      <c r="P170" s="2"/>
      <c r="Q170" s="14">
        <f>IFERROR(Q151+Q153+Q154+Q155+Q156+Q157+Q160+Q161+Q162+Q163+Q164+Q165+Q167+Q168+Q169, "NA")</f>
        <v>2552.2700000000013</v>
      </c>
      <c r="R170" s="15">
        <f>IFERROR(Q170/Q444, "NA")</f>
        <v>1.8094390120146953E-2</v>
      </c>
      <c r="S170" s="2"/>
      <c r="T170" s="14">
        <f>IFERROR(T151+T153+T154+T155+T156+T157+T160+T161+T162+T163+T164+T165+T167+T168+T169, "NA")</f>
        <v>2269.4299999999998</v>
      </c>
      <c r="U170" s="15">
        <f>IFERROR(T170/T444, "NA")</f>
        <v>1.9999978849336953E-2</v>
      </c>
      <c r="V170" s="2"/>
      <c r="W170" s="14">
        <f t="shared" si="42"/>
        <v>-282.84000000000151</v>
      </c>
      <c r="X170" s="15">
        <f>IFERROR(W170/W444, "NA")</f>
        <v>-1.0254703426102128E-2</v>
      </c>
      <c r="Y170" s="2"/>
      <c r="Z170" s="14">
        <f>IFERROR(Z151+Z153+Z154+Z155+Z156+Z157+Z160+Z161+Z162+Z163+Z164+Z165+Z167+Z168+Z169, "NA")</f>
        <v>2663.9600000000005</v>
      </c>
      <c r="AA170" s="15">
        <f>IFERROR(Z170/Z444, "NA")</f>
        <v>2.4253912413291421E-2</v>
      </c>
      <c r="AB170" s="2"/>
      <c r="AC170" s="14">
        <f t="shared" si="43"/>
        <v>111.68999999999915</v>
      </c>
      <c r="AD170" s="15">
        <f>IFERROR(AC170/AC444, "NA")</f>
        <v>3.5778799947848356E-3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19441.980000000003</v>
      </c>
      <c r="C171" s="15">
        <f>IFERROR(B171/B444, "NA")</f>
        <v>0.25173562061401183</v>
      </c>
      <c r="D171" s="2"/>
      <c r="E171" s="14">
        <f>IFERROR(E127+E129+E130+E131+E132+E133+E134+E135+E136+E137+E138+E139+E140+E143+E144+E145+E146+E147+E151+E153+E154+E155+E156+E157+E160+E161+E162+E163+E164+E165+E167+E168+E169, "NA")</f>
        <v>18372.57</v>
      </c>
      <c r="F171" s="15">
        <f>IFERROR(E171/E444, "NA")</f>
        <v>0.28199998894874306</v>
      </c>
      <c r="G171" s="2"/>
      <c r="H171" s="14">
        <f t="shared" si="40"/>
        <v>-1069.4100000000035</v>
      </c>
      <c r="I171" s="15">
        <f>IFERROR(H171/H444, "NA")</f>
        <v>-8.8521602081985021E-2</v>
      </c>
      <c r="J171" s="2"/>
      <c r="K171" s="14">
        <f>IFERROR(K127+K129+K130+K131+K132+K133+K134+K135+K136+K137+K138+K139+K140+K143+K144+K145+K146+K147+K151+K153+K154+K155+K156+K157+K160+K161+K162+K163+K164+K165+K167+K168+K169, "NA")</f>
        <v>16908.120000000003</v>
      </c>
      <c r="L171" s="15">
        <f>IFERROR(K171/K444, "NA")</f>
        <v>0.289367266030992</v>
      </c>
      <c r="M171" s="2"/>
      <c r="N171" s="14">
        <f t="shared" si="41"/>
        <v>-2533.8600000000006</v>
      </c>
      <c r="O171" s="15">
        <f>IFERROR(N171/N444, "NA")</f>
        <v>-0.13477699132837137</v>
      </c>
      <c r="P171" s="2"/>
      <c r="Q171" s="14">
        <f>IFERROR(Q127+Q129+Q130+Q131+Q132+Q133+Q134+Q135+Q136+Q137+Q138+Q139+Q140+Q143+Q144+Q145+Q146+Q147+Q151+Q153+Q154+Q155+Q156+Q157+Q160+Q161+Q162+Q163+Q164+Q165+Q167+Q168+Q169, "NA")</f>
        <v>35800.040000000008</v>
      </c>
      <c r="R171" s="15">
        <f>IFERROR(Q171/Q444, "NA")</f>
        <v>0.25380539287648468</v>
      </c>
      <c r="S171" s="2"/>
      <c r="T171" s="14">
        <f>IFERROR(T127+T129+T130+T131+T132+T133+T134+T135+T136+T137+T138+T139+T140+T143+T144+T145+T146+T147+T151+T153+T154+T155+T156+T157+T160+T161+T162+T163+T164+T165+T167+T168+T169, "NA")</f>
        <v>32385.56</v>
      </c>
      <c r="U171" s="15">
        <f>IFERROR(T171/T444, "NA")</f>
        <v>0.28540669464311874</v>
      </c>
      <c r="V171" s="2"/>
      <c r="W171" s="14">
        <f t="shared" si="42"/>
        <v>-3414.4800000000068</v>
      </c>
      <c r="X171" s="15">
        <f>IFERROR(W171/W444, "NA")</f>
        <v>-0.12379606758010564</v>
      </c>
      <c r="Y171" s="2"/>
      <c r="Z171" s="14">
        <f>IFERROR(Z127+Z129+Z130+Z131+Z132+Z133+Z134+Z135+Z136+Z137+Z138+Z139+Z140+Z143+Z144+Z145+Z146+Z147+Z151+Z153+Z154+Z155+Z156+Z157+Z160+Z161+Z162+Z163+Z164+Z165+Z167+Z168+Z169, "NA")</f>
        <v>32557.68</v>
      </c>
      <c r="AA171" s="15">
        <f>IFERROR(Z171/Z444, "NA")</f>
        <v>0.29642003599902766</v>
      </c>
      <c r="AB171" s="2"/>
      <c r="AC171" s="14">
        <f t="shared" si="43"/>
        <v>-3242.3600000000079</v>
      </c>
      <c r="AD171" s="15">
        <f>IFERROR(AC171/AC444, "NA")</f>
        <v>-0.10386583382478894</v>
      </c>
    </row>
    <row r="172" spans="1:30" ht="16.5" customHeight="1" x14ac:dyDescent="0.45">
      <c r="A172" s="22" t="s">
        <v>160</v>
      </c>
      <c r="B172" s="23">
        <f>IFERROR(B124-B171, "NA")</f>
        <v>57789.759999999987</v>
      </c>
      <c r="C172" s="24">
        <f>IFERROR(B172/B444, "NA")</f>
        <v>0.748264379385988</v>
      </c>
      <c r="D172" s="25"/>
      <c r="E172" s="23">
        <f>IFERROR(E124-E171, "NA")</f>
        <v>46778.39</v>
      </c>
      <c r="F172" s="24">
        <f>IFERROR(E172/E444, "NA")</f>
        <v>0.71800001105125699</v>
      </c>
      <c r="G172" s="25"/>
      <c r="H172" s="23">
        <f>IFERROR(B172-E172, "NA")</f>
        <v>11011.369999999988</v>
      </c>
      <c r="I172" s="24">
        <f>IFERROR(H172/H444, "NA")</f>
        <v>0.91147839791801377</v>
      </c>
      <c r="J172" s="25"/>
      <c r="K172" s="23">
        <f>IFERROR(K124-K171, "NA")</f>
        <v>41523.229999999996</v>
      </c>
      <c r="L172" s="24">
        <f>IFERROR(K172/K444, "NA")</f>
        <v>0.71063273396900806</v>
      </c>
      <c r="M172" s="25"/>
      <c r="N172" s="23">
        <f>IFERROR(B172-K172, "NA")</f>
        <v>16266.529999999992</v>
      </c>
      <c r="O172" s="24">
        <f>IFERROR(N172/N444, "NA")</f>
        <v>0.86522300867162782</v>
      </c>
      <c r="P172" s="25"/>
      <c r="Q172" s="23">
        <f>IFERROR(Q124-Q171, "NA")</f>
        <v>105253.07000000004</v>
      </c>
      <c r="R172" s="24">
        <f>IFERROR(Q172/Q444, "NA")</f>
        <v>0.74619460712351571</v>
      </c>
      <c r="S172" s="25"/>
      <c r="T172" s="23">
        <f>IFERROR(T124-T171, "NA")</f>
        <v>81086.060000000012</v>
      </c>
      <c r="U172" s="24">
        <f>IFERROR(T172/T444, "NA")</f>
        <v>0.71459330535688148</v>
      </c>
      <c r="V172" s="25"/>
      <c r="W172" s="23">
        <f>IFERROR(Q172-T172, "NA")</f>
        <v>24167.010000000024</v>
      </c>
      <c r="X172" s="24">
        <f>IFERROR(W172/W444, "NA")</f>
        <v>0.8762039324198958</v>
      </c>
      <c r="Y172" s="25"/>
      <c r="Z172" s="23">
        <f>IFERROR(Z124-Z171, "NA")</f>
        <v>77278.62</v>
      </c>
      <c r="AA172" s="24">
        <f>IFERROR(Z172/Z444, "NA")</f>
        <v>0.70357996400097234</v>
      </c>
      <c r="AB172" s="25"/>
      <c r="AC172" s="23">
        <f>IFERROR(Q172-Z172, "NA")</f>
        <v>27974.450000000041</v>
      </c>
      <c r="AD172" s="24">
        <f>IFERROR(AC172/AC444, "NA")</f>
        <v>0.89613416617521313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4615.3999999999996</v>
      </c>
      <c r="C178" s="8">
        <f>IFERROR(B178/B444, "NA")</f>
        <v>5.9760404206871412E-2</v>
      </c>
      <c r="D178" s="9"/>
      <c r="E178" s="7">
        <v>5000</v>
      </c>
      <c r="F178" s="8">
        <f>IFERROR(E178/E444, "NA")</f>
        <v>7.6744839983938842E-2</v>
      </c>
      <c r="G178" s="9"/>
      <c r="H178" s="10">
        <f t="shared" si="44"/>
        <v>384.60000000000036</v>
      </c>
      <c r="I178" s="8">
        <f>IFERROR(H178/H444, "NA")</f>
        <v>3.1835692728449667E-2</v>
      </c>
      <c r="J178" s="9"/>
      <c r="K178" s="7">
        <v>5307.68</v>
      </c>
      <c r="L178" s="8">
        <f>IFERROR(K178/K444, "NA")</f>
        <v>9.0836169282414322E-2</v>
      </c>
      <c r="M178" s="9"/>
      <c r="N178" s="10">
        <f t="shared" si="45"/>
        <v>692.28000000000065</v>
      </c>
      <c r="O178" s="8">
        <f>IFERROR(N178/N444, "NA")</f>
        <v>3.6822640381396363E-2</v>
      </c>
      <c r="P178" s="9"/>
      <c r="Q178" s="7">
        <v>9230.7999999999993</v>
      </c>
      <c r="R178" s="8">
        <f>IFERROR(Q178/Q444, "NA")</f>
        <v>6.5442016840323483E-2</v>
      </c>
      <c r="S178" s="9"/>
      <c r="T178" s="7">
        <v>10000</v>
      </c>
      <c r="U178" s="8">
        <f>IFERROR(T178/T444, "NA")</f>
        <v>8.8127762695200798E-2</v>
      </c>
      <c r="V178" s="9"/>
      <c r="W178" s="10">
        <f t="shared" si="46"/>
        <v>769.20000000000073</v>
      </c>
      <c r="X178" s="8">
        <f>IFERROR(W178/W444, "NA")</f>
        <v>2.7888268545317927E-2</v>
      </c>
      <c r="Y178" s="9"/>
      <c r="Z178" s="7">
        <v>10615.36</v>
      </c>
      <c r="AA178" s="8">
        <f>IFERROR(Z178/Z444, "NA")</f>
        <v>9.6647101186037768E-2</v>
      </c>
      <c r="AB178" s="9"/>
      <c r="AC178" s="10">
        <f t="shared" si="47"/>
        <v>1384.5600000000013</v>
      </c>
      <c r="AD178" s="8">
        <f>IFERROR(AC178/AC444, "NA")</f>
        <v>4.4353026462345194E-2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15267.11</v>
      </c>
      <c r="C180" s="8">
        <f>IFERROR(B180/B444, "NA")</f>
        <v>0.19767921841460517</v>
      </c>
      <c r="D180" s="9"/>
      <c r="E180" s="7">
        <v>14463.51</v>
      </c>
      <c r="F180" s="8">
        <f>IFERROR(E180/E444, "NA")</f>
        <v>0.22199995211121987</v>
      </c>
      <c r="G180" s="9"/>
      <c r="H180" s="10">
        <f t="shared" si="44"/>
        <v>-803.60000000000036</v>
      </c>
      <c r="I180" s="8">
        <f>IFERROR(H180/H444, "NA")</f>
        <v>-6.6518883714462143E-2</v>
      </c>
      <c r="J180" s="9"/>
      <c r="K180" s="7">
        <v>13411.94</v>
      </c>
      <c r="L180" s="8">
        <f>IFERROR(K180/K444, "NA")</f>
        <v>0.2295332899205649</v>
      </c>
      <c r="M180" s="9"/>
      <c r="N180" s="10">
        <f t="shared" si="45"/>
        <v>-1855.17</v>
      </c>
      <c r="O180" s="8">
        <f>IFERROR(N180/N444, "NA")</f>
        <v>-9.8677208291955615E-2</v>
      </c>
      <c r="P180" s="9"/>
      <c r="Q180" s="7">
        <v>28665.72</v>
      </c>
      <c r="R180" s="8">
        <f>IFERROR(Q180/Q444, "NA")</f>
        <v>0.20322643010139943</v>
      </c>
      <c r="S180" s="9"/>
      <c r="T180" s="7">
        <v>25625.58</v>
      </c>
      <c r="U180" s="8">
        <f>IFERROR(T180/T444, "NA")</f>
        <v>0.22583250331668836</v>
      </c>
      <c r="V180" s="9"/>
      <c r="W180" s="10">
        <f t="shared" si="46"/>
        <v>-3040.1399999999994</v>
      </c>
      <c r="X180" s="8">
        <f>IFERROR(W180/W444, "NA")</f>
        <v>-0.11022392191284809</v>
      </c>
      <c r="Y180" s="9"/>
      <c r="Z180" s="7">
        <v>25149.85</v>
      </c>
      <c r="AA180" s="8">
        <f>IFERROR(Z180/Z444, "NA")</f>
        <v>0.22897575755920399</v>
      </c>
      <c r="AB180" s="9"/>
      <c r="AC180" s="10">
        <f t="shared" si="47"/>
        <v>-3515.8700000000026</v>
      </c>
      <c r="AD180" s="8">
        <f>IFERROR(AC180/AC444, "NA")</f>
        <v>-0.11262745937205002</v>
      </c>
    </row>
    <row r="181" spans="1:30" ht="16.5" customHeight="1" x14ac:dyDescent="0.45">
      <c r="A181" s="12" t="s">
        <v>166</v>
      </c>
      <c r="B181" s="7">
        <v>78.459999999999994</v>
      </c>
      <c r="C181" s="8">
        <f>IFERROR(B181/B444, "NA")</f>
        <v>1.0159035650368616E-3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-78.459999999999994</v>
      </c>
      <c r="I181" s="8">
        <f>IFERROR(H181/H444, "NA")</f>
        <v>-6.4946137583831469E-3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-78.459999999999994</v>
      </c>
      <c r="O181" s="8">
        <f>IFERROR(N181/N444, "NA")</f>
        <v>-4.1733176811757609E-3</v>
      </c>
      <c r="P181" s="9"/>
      <c r="Q181" s="7">
        <v>78.459999999999994</v>
      </c>
      <c r="R181" s="8">
        <f>IFERROR(Q181/Q444, "NA")</f>
        <v>5.5624438199200293E-4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-78.459999999999994</v>
      </c>
      <c r="X181" s="8">
        <f>IFERROR(W181/W444, "NA")</f>
        <v>-2.844661401541397E-3</v>
      </c>
      <c r="Y181" s="9"/>
      <c r="Z181" s="7">
        <v>0.31</v>
      </c>
      <c r="AA181" s="8">
        <f>IFERROR(Z181/Z444, "NA")</f>
        <v>2.8223820358114758E-6</v>
      </c>
      <c r="AB181" s="9"/>
      <c r="AC181" s="10">
        <f t="shared" si="47"/>
        <v>-78.149999999999991</v>
      </c>
      <c r="AD181" s="8">
        <f>IFERROR(AC181/AC444, "NA")</f>
        <v>-2.5034588736004746E-3</v>
      </c>
    </row>
    <row r="182" spans="1:30" ht="16.5" customHeight="1" x14ac:dyDescent="0.45">
      <c r="A182" s="13" t="s">
        <v>167</v>
      </c>
      <c r="B182" s="14">
        <f>IFERROR(B177+B178+B179+B180+B181, "NA")</f>
        <v>19960.97</v>
      </c>
      <c r="C182" s="15">
        <f>IFERROR(B182/B444, "NA")</f>
        <v>0.25845552618651346</v>
      </c>
      <c r="D182" s="2"/>
      <c r="E182" s="14">
        <f>IFERROR(E177+E178+E179+E180+E181, "NA")</f>
        <v>19463.510000000002</v>
      </c>
      <c r="F182" s="15">
        <f>IFERROR(E182/E444, "NA")</f>
        <v>0.29874479209515875</v>
      </c>
      <c r="G182" s="2"/>
      <c r="H182" s="14">
        <f t="shared" si="44"/>
        <v>-497.45999999999913</v>
      </c>
      <c r="I182" s="15">
        <f>IFERROR(H182/H444, "NA")</f>
        <v>-4.1177804744395551E-2</v>
      </c>
      <c r="J182" s="2"/>
      <c r="K182" s="14">
        <f>IFERROR(K177+K178+K179+K180+K181, "NA")</f>
        <v>18719.620000000003</v>
      </c>
      <c r="L182" s="15">
        <f>IFERROR(K182/K444, "NA")</f>
        <v>0.32036945920297927</v>
      </c>
      <c r="M182" s="2"/>
      <c r="N182" s="14">
        <f t="shared" si="45"/>
        <v>-1241.3499999999985</v>
      </c>
      <c r="O182" s="15">
        <f>IFERROR(N182/N444, "NA")</f>
        <v>-6.6027885591734961E-2</v>
      </c>
      <c r="P182" s="2"/>
      <c r="Q182" s="14">
        <f>IFERROR(Q177+Q178+Q179+Q180+Q181, "NA")</f>
        <v>37974.980000000003</v>
      </c>
      <c r="R182" s="15">
        <f>IFERROR(Q182/Q444, "NA")</f>
        <v>0.2692246913237149</v>
      </c>
      <c r="S182" s="2"/>
      <c r="T182" s="14">
        <f>IFERROR(T177+T178+T179+T180+T181, "NA")</f>
        <v>35625.58</v>
      </c>
      <c r="U182" s="15">
        <f>IFERROR(T182/T444, "NA")</f>
        <v>0.31396026601188914</v>
      </c>
      <c r="V182" s="2"/>
      <c r="W182" s="14">
        <f t="shared" si="46"/>
        <v>-2349.4000000000015</v>
      </c>
      <c r="X182" s="15">
        <f>IFERROR(W182/W444, "NA")</f>
        <v>-8.5180314769071661E-2</v>
      </c>
      <c r="Y182" s="2"/>
      <c r="Z182" s="14">
        <f>IFERROR(Z177+Z178+Z179+Z180+Z181, "NA")</f>
        <v>35765.519999999997</v>
      </c>
      <c r="AA182" s="15">
        <f>IFERROR(Z182/Z444, "NA")</f>
        <v>0.32562568112727758</v>
      </c>
      <c r="AB182" s="2"/>
      <c r="AC182" s="14">
        <f t="shared" si="47"/>
        <v>-2209.4600000000064</v>
      </c>
      <c r="AD182" s="15">
        <f>IFERROR(AC182/AC444, "NA")</f>
        <v>-7.0777891783305458E-2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3.8844133254022245E-3</v>
      </c>
      <c r="D184" s="9"/>
      <c r="E184" s="7">
        <v>300</v>
      </c>
      <c r="F184" s="8">
        <f>IFERROR(E184/E444, "NA")</f>
        <v>4.6046903990363307E-3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5.134230169249898E-3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600</v>
      </c>
      <c r="R184" s="8">
        <f>IFERROR(Q184/Q444, "NA")</f>
        <v>4.2537169155646409E-3</v>
      </c>
      <c r="S184" s="9"/>
      <c r="T184" s="7">
        <v>600</v>
      </c>
      <c r="U184" s="8">
        <f>IFERROR(T184/T444, "NA")</f>
        <v>5.287665761712048E-3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5.4626749080222111E-3</v>
      </c>
      <c r="AB184" s="9"/>
      <c r="AC184" s="10">
        <f t="shared" si="47"/>
        <v>0</v>
      </c>
      <c r="AD184" s="8">
        <f>IFERROR(AC184/AC444, "NA")</f>
        <v>0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3060.11</v>
      </c>
      <c r="C186" s="8">
        <f>IFERROR(B186/B444, "NA")</f>
        <v>3.9622440203988668E-2</v>
      </c>
      <c r="D186" s="9"/>
      <c r="E186" s="7">
        <v>2493.08</v>
      </c>
      <c r="F186" s="8">
        <f>IFERROR(E186/E444, "NA")</f>
        <v>3.8266205133431645E-2</v>
      </c>
      <c r="G186" s="9"/>
      <c r="H186" s="10">
        <f t="shared" ref="H186:H197" si="48">IFERROR(-(B186-E186), "NA")</f>
        <v>-567.0300000000002</v>
      </c>
      <c r="I186" s="8">
        <f>IFERROR(H186/H444, "NA")</f>
        <v>-4.6936538865867926E-2</v>
      </c>
      <c r="J186" s="9"/>
      <c r="K186" s="7">
        <v>3101.44</v>
      </c>
      <c r="L186" s="8">
        <f>IFERROR(K186/K444, "NA")</f>
        <v>5.3078356053728008E-2</v>
      </c>
      <c r="M186" s="9"/>
      <c r="N186" s="10">
        <f t="shared" ref="N186:N197" si="49">IFERROR(-(B186-K186), "NA")</f>
        <v>41.329999999999927</v>
      </c>
      <c r="O186" s="8">
        <f>IFERROR(N186/N444, "NA")</f>
        <v>2.1983586510705318E-3</v>
      </c>
      <c r="P186" s="9"/>
      <c r="Q186" s="7">
        <v>6025.89</v>
      </c>
      <c r="R186" s="8">
        <f>IFERROR(Q186/Q444, "NA")</f>
        <v>4.2720717040553031E-2</v>
      </c>
      <c r="S186" s="9"/>
      <c r="T186" s="7">
        <v>4628.97</v>
      </c>
      <c r="U186" s="8">
        <f>IFERROR(T186/T444, "NA")</f>
        <v>4.0794076968320367E-2</v>
      </c>
      <c r="V186" s="9"/>
      <c r="W186" s="10">
        <f t="shared" ref="W186:W197" si="50">IFERROR(-(Q186-T186), "NA")</f>
        <v>-1396.92</v>
      </c>
      <c r="X186" s="8">
        <f>IFERROR(W186/W444, "NA")</f>
        <v>-5.0647010005623355E-2</v>
      </c>
      <c r="Y186" s="9"/>
      <c r="Z186" s="7">
        <v>6188.94</v>
      </c>
      <c r="AA186" s="8">
        <f>IFERROR(Z186/Z444, "NA")</f>
        <v>5.63469454087583E-2</v>
      </c>
      <c r="AB186" s="9"/>
      <c r="AC186" s="10">
        <f t="shared" ref="AC186:AC197" si="51">IFERROR(-(Q186-Z186), "NA")</f>
        <v>163.04999999999927</v>
      </c>
      <c r="AD186" s="8">
        <f>IFERROR(AC186/AC444, "NA")</f>
        <v>5.2231474003909869E-3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1.7114100564166325E-7</v>
      </c>
      <c r="M187" s="9"/>
      <c r="N187" s="10">
        <f t="shared" si="49"/>
        <v>0.01</v>
      </c>
      <c r="O187" s="8">
        <f>IFERROR(N187/N444, "NA")</f>
        <v>5.3190385944121349E-7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0.01</v>
      </c>
      <c r="AA187" s="8">
        <f>IFERROR(Z187/Z444, "NA")</f>
        <v>9.1044581800370188E-8</v>
      </c>
      <c r="AB187" s="9"/>
      <c r="AC187" s="10">
        <f t="shared" si="51"/>
        <v>0.01</v>
      </c>
      <c r="AD187" s="8">
        <f>IFERROR(AC187/AC444, "NA")</f>
        <v>3.2034022694823734E-7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3060.11</v>
      </c>
      <c r="C193" s="15">
        <f>IFERROR(B193/B444, "NA")</f>
        <v>3.9622440203988668E-2</v>
      </c>
      <c r="D193" s="2"/>
      <c r="E193" s="14">
        <f>IFERROR(E186+E187+E188+E189+E190+E191+E192, "NA")</f>
        <v>2493.08</v>
      </c>
      <c r="F193" s="15">
        <f>IFERROR(E193/E444, "NA")</f>
        <v>3.8266205133431645E-2</v>
      </c>
      <c r="G193" s="2"/>
      <c r="H193" s="14">
        <f t="shared" si="48"/>
        <v>-567.0300000000002</v>
      </c>
      <c r="I193" s="15">
        <f>IFERROR(H193/H444, "NA")</f>
        <v>-4.6936538865867926E-2</v>
      </c>
      <c r="J193" s="2"/>
      <c r="K193" s="14">
        <f>IFERROR(K186+K187+K188+K189+K190+K191+K192, "NA")</f>
        <v>3101.4500000000003</v>
      </c>
      <c r="L193" s="15">
        <f>IFERROR(K193/K444, "NA")</f>
        <v>5.3078527194733653E-2</v>
      </c>
      <c r="M193" s="2"/>
      <c r="N193" s="14">
        <f t="shared" si="49"/>
        <v>41.340000000000146</v>
      </c>
      <c r="O193" s="15">
        <f>IFERROR(N193/N444, "NA")</f>
        <v>2.1988905549299846E-3</v>
      </c>
      <c r="P193" s="2"/>
      <c r="Q193" s="14">
        <f>IFERROR(Q186+Q187+Q188+Q189+Q190+Q191+Q192, "NA")</f>
        <v>6025.89</v>
      </c>
      <c r="R193" s="15">
        <f>IFERROR(Q193/Q444, "NA")</f>
        <v>4.2720717040553031E-2</v>
      </c>
      <c r="S193" s="2"/>
      <c r="T193" s="14">
        <f>IFERROR(T186+T187+T188+T189+T190+T191+T192, "NA")</f>
        <v>4628.97</v>
      </c>
      <c r="U193" s="15">
        <f>IFERROR(T193/T444, "NA")</f>
        <v>4.0794076968320367E-2</v>
      </c>
      <c r="V193" s="2"/>
      <c r="W193" s="14">
        <f t="shared" si="50"/>
        <v>-1396.92</v>
      </c>
      <c r="X193" s="15">
        <f>IFERROR(W193/W444, "NA")</f>
        <v>-5.0647010005623355E-2</v>
      </c>
      <c r="Y193" s="2"/>
      <c r="Z193" s="14">
        <f>IFERROR(Z186+Z187+Z188+Z189+Z190+Z191+Z192, "NA")</f>
        <v>6188.95</v>
      </c>
      <c r="AA193" s="15">
        <f>IFERROR(Z193/Z444, "NA")</f>
        <v>5.6347036453340105E-2</v>
      </c>
      <c r="AB193" s="2"/>
      <c r="AC193" s="14">
        <f t="shared" si="51"/>
        <v>163.05999999999949</v>
      </c>
      <c r="AD193" s="15">
        <f>IFERROR(AC193/AC444, "NA")</f>
        <v>5.2234677406179418E-3</v>
      </c>
    </row>
    <row r="194" spans="1:30" ht="16.5" customHeight="1" x14ac:dyDescent="0.45">
      <c r="A194" s="6" t="s">
        <v>178</v>
      </c>
      <c r="B194" s="7">
        <v>314.82</v>
      </c>
      <c r="C194" s="8">
        <f>IFERROR(B194/B444, "NA")</f>
        <v>4.0763033436770945E-3</v>
      </c>
      <c r="D194" s="9"/>
      <c r="E194" s="7">
        <v>158.11000000000001</v>
      </c>
      <c r="F194" s="8">
        <f>IFERROR(E194/E444, "NA")</f>
        <v>2.4268253299721144E-3</v>
      </c>
      <c r="G194" s="9"/>
      <c r="H194" s="10">
        <f t="shared" si="48"/>
        <v>-156.70999999999998</v>
      </c>
      <c r="I194" s="8">
        <f>IFERROR(H194/H444, "NA")</f>
        <v>-1.2971844533217218E-2</v>
      </c>
      <c r="J194" s="9"/>
      <c r="K194" s="7">
        <v>272.42</v>
      </c>
      <c r="L194" s="8">
        <f>IFERROR(K194/K444, "NA")</f>
        <v>4.6622232756901904E-3</v>
      </c>
      <c r="M194" s="9"/>
      <c r="N194" s="10">
        <f t="shared" si="49"/>
        <v>-42.399999999999977</v>
      </c>
      <c r="O194" s="8">
        <f>IFERROR(N194/N444, "NA")</f>
        <v>-2.2552723640307444E-3</v>
      </c>
      <c r="P194" s="9"/>
      <c r="Q194" s="7">
        <v>539.54</v>
      </c>
      <c r="R194" s="8">
        <f>IFERROR(Q194/Q444, "NA")</f>
        <v>3.8250840410395774E-3</v>
      </c>
      <c r="S194" s="9"/>
      <c r="T194" s="7">
        <v>289.81</v>
      </c>
      <c r="U194" s="8">
        <f>IFERROR(T194/T444, "NA")</f>
        <v>2.5540306906696141E-3</v>
      </c>
      <c r="V194" s="9"/>
      <c r="W194" s="10">
        <f t="shared" si="50"/>
        <v>-249.72999999999996</v>
      </c>
      <c r="X194" s="8">
        <f>IFERROR(W194/W444, "NA")</f>
        <v>-9.0542606653955266E-3</v>
      </c>
      <c r="Y194" s="9"/>
      <c r="Z194" s="7">
        <v>272.42</v>
      </c>
      <c r="AA194" s="8">
        <f>IFERROR(Z194/Z444, "NA")</f>
        <v>2.4802364974056846E-3</v>
      </c>
      <c r="AB194" s="9"/>
      <c r="AC194" s="10">
        <f t="shared" si="51"/>
        <v>-267.11999999999995</v>
      </c>
      <c r="AD194" s="8">
        <f>IFERROR(AC194/AC444, "NA")</f>
        <v>-8.5569281422413143E-3</v>
      </c>
    </row>
    <row r="195" spans="1:30" ht="16.5" customHeight="1" x14ac:dyDescent="0.45">
      <c r="A195" s="6" t="s">
        <v>179</v>
      </c>
      <c r="B195" s="7">
        <v>-172.78</v>
      </c>
      <c r="C195" s="8">
        <f>IFERROR(B195/B444, "NA")</f>
        <v>-2.2371631145433209E-3</v>
      </c>
      <c r="D195" s="9"/>
      <c r="E195" s="7">
        <v>138.34</v>
      </c>
      <c r="F195" s="8">
        <f>IFERROR(E195/E444, "NA")</f>
        <v>2.1233762326756198E-3</v>
      </c>
      <c r="G195" s="9"/>
      <c r="H195" s="10">
        <f t="shared" si="48"/>
        <v>311.12</v>
      </c>
      <c r="I195" s="8">
        <f>IFERROR(H195/H444, "NA")</f>
        <v>2.5753304008515995E-2</v>
      </c>
      <c r="J195" s="9"/>
      <c r="K195" s="7">
        <v>202.75</v>
      </c>
      <c r="L195" s="8">
        <f>IFERROR(K195/K444, "NA")</f>
        <v>3.4698838893847225E-3</v>
      </c>
      <c r="M195" s="9"/>
      <c r="N195" s="10">
        <f t="shared" si="49"/>
        <v>375.53</v>
      </c>
      <c r="O195" s="8">
        <f>IFERROR(N195/N444, "NA")</f>
        <v>1.9974585633595891E-2</v>
      </c>
      <c r="P195" s="9"/>
      <c r="Q195" s="7">
        <v>-345.56</v>
      </c>
      <c r="R195" s="8">
        <f>IFERROR(Q195/Q444, "NA")</f>
        <v>-2.4498573622375292E-3</v>
      </c>
      <c r="S195" s="9"/>
      <c r="T195" s="7">
        <v>253.57</v>
      </c>
      <c r="U195" s="8">
        <f>IFERROR(T195/T444, "NA")</f>
        <v>2.2346556786622066E-3</v>
      </c>
      <c r="V195" s="9"/>
      <c r="W195" s="10">
        <f t="shared" si="50"/>
        <v>599.13</v>
      </c>
      <c r="X195" s="8">
        <f>IFERROR(W195/W444, "NA")</f>
        <v>2.1722176720692037E-2</v>
      </c>
      <c r="Y195" s="9"/>
      <c r="Z195" s="7">
        <v>405.5</v>
      </c>
      <c r="AA195" s="8">
        <f>IFERROR(Z195/Z444, "NA")</f>
        <v>3.6918577920050108E-3</v>
      </c>
      <c r="AB195" s="9"/>
      <c r="AC195" s="10">
        <f t="shared" si="51"/>
        <v>751.06</v>
      </c>
      <c r="AD195" s="8">
        <f>IFERROR(AC195/AC444, "NA")</f>
        <v>2.4059473085174313E-2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23463.120000000003</v>
      </c>
      <c r="C196" s="15">
        <f>IFERROR(B196/B444, "NA")</f>
        <v>0.30380151994503818</v>
      </c>
      <c r="D196" s="2"/>
      <c r="E196" s="14">
        <f>IFERROR(E175+E177+E178+E179+E180+E181+E183+E184+E186+E187+E188+E189+E190+E191+E192+E194+E195, "NA")</f>
        <v>22553.040000000005</v>
      </c>
      <c r="F196" s="15">
        <f>IFERROR(E196/E444, "NA")</f>
        <v>0.34616588919027447</v>
      </c>
      <c r="G196" s="2"/>
      <c r="H196" s="14">
        <f t="shared" si="48"/>
        <v>-910.07999999999811</v>
      </c>
      <c r="I196" s="15">
        <f>IFERROR(H196/H444, "NA")</f>
        <v>-7.5332884134964598E-2</v>
      </c>
      <c r="J196" s="2"/>
      <c r="K196" s="14">
        <f>IFERROR(K175+K177+K178+K179+K180+K181+K183+K184+K186+K187+K188+K189+K190+K191+K192+K194+K195, "NA")</f>
        <v>22596.239999999998</v>
      </c>
      <c r="L196" s="15">
        <f>IFERROR(K196/K444, "NA")</f>
        <v>0.38671432373203768</v>
      </c>
      <c r="M196" s="2"/>
      <c r="N196" s="14">
        <f t="shared" si="49"/>
        <v>-866.88000000000466</v>
      </c>
      <c r="O196" s="15">
        <f>IFERROR(N196/N444, "NA")</f>
        <v>-4.6109681767240167E-2</v>
      </c>
      <c r="P196" s="2"/>
      <c r="Q196" s="14">
        <f>IFERROR(Q175+Q177+Q178+Q179+Q180+Q181+Q183+Q184+Q186+Q187+Q188+Q189+Q190+Q191+Q192+Q194+Q195, "NA")</f>
        <v>44794.850000000006</v>
      </c>
      <c r="R196" s="15">
        <f>IFERROR(Q196/Q444, "NA")</f>
        <v>0.31757435195863465</v>
      </c>
      <c r="S196" s="2"/>
      <c r="T196" s="14">
        <f>IFERROR(T175+T177+T178+T179+T180+T181+T183+T184+T186+T187+T188+T189+T190+T191+T192+T194+T195, "NA")</f>
        <v>41397.93</v>
      </c>
      <c r="U196" s="15">
        <f>IFERROR(T196/T444, "NA")</f>
        <v>0.36483069511125338</v>
      </c>
      <c r="V196" s="2"/>
      <c r="W196" s="14">
        <f t="shared" si="50"/>
        <v>-3396.9200000000055</v>
      </c>
      <c r="X196" s="15">
        <f>IFERROR(W196/W444, "NA")</f>
        <v>-0.12315940871939865</v>
      </c>
      <c r="Y196" s="2"/>
      <c r="Z196" s="14">
        <f>IFERROR(Z175+Z177+Z178+Z179+Z180+Z181+Z183+Z184+Z186+Z187+Z188+Z189+Z190+Z191+Z192+Z194+Z195, "NA")</f>
        <v>43232.39</v>
      </c>
      <c r="AA196" s="15">
        <f>IFERROR(Z196/Z444, "NA")</f>
        <v>0.39360748677805057</v>
      </c>
      <c r="AB196" s="2"/>
      <c r="AC196" s="14">
        <f t="shared" si="51"/>
        <v>-1562.4600000000064</v>
      </c>
      <c r="AD196" s="15">
        <f>IFERROR(AC196/AC444, "NA")</f>
        <v>-5.0051879099754497E-2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23463.120000000003</v>
      </c>
      <c r="C197" s="15">
        <f>IFERROR(B197/B444, "NA")</f>
        <v>0.30380151994503818</v>
      </c>
      <c r="D197" s="2"/>
      <c r="E197" s="14">
        <f>IFERROR(E175+E177+E178+E179+E180+E181+E183+E184+E186+E187+E188+E189+E190+E191+E192+E194+E195, "NA")</f>
        <v>22553.040000000005</v>
      </c>
      <c r="F197" s="15">
        <f>IFERROR(E197/E444, "NA")</f>
        <v>0.34616588919027447</v>
      </c>
      <c r="G197" s="2"/>
      <c r="H197" s="14">
        <f t="shared" si="48"/>
        <v>-910.07999999999811</v>
      </c>
      <c r="I197" s="15">
        <f>IFERROR(H197/H444, "NA")</f>
        <v>-7.5332884134964598E-2</v>
      </c>
      <c r="J197" s="2"/>
      <c r="K197" s="14">
        <f>IFERROR(K175+K177+K178+K179+K180+K181+K183+K184+K186+K187+K188+K189+K190+K191+K192+K194+K195, "NA")</f>
        <v>22596.239999999998</v>
      </c>
      <c r="L197" s="15">
        <f>IFERROR(K197/K444, "NA")</f>
        <v>0.38671432373203768</v>
      </c>
      <c r="M197" s="2"/>
      <c r="N197" s="14">
        <f t="shared" si="49"/>
        <v>-866.88000000000466</v>
      </c>
      <c r="O197" s="15">
        <f>IFERROR(N197/N444, "NA")</f>
        <v>-4.6109681767240167E-2</v>
      </c>
      <c r="P197" s="2"/>
      <c r="Q197" s="14">
        <f>IFERROR(Q175+Q177+Q178+Q179+Q180+Q181+Q183+Q184+Q186+Q187+Q188+Q189+Q190+Q191+Q192+Q194+Q195, "NA")</f>
        <v>44794.850000000006</v>
      </c>
      <c r="R197" s="15">
        <f>IFERROR(Q197/Q444, "NA")</f>
        <v>0.31757435195863465</v>
      </c>
      <c r="S197" s="2"/>
      <c r="T197" s="14">
        <f>IFERROR(T175+T177+T178+T179+T180+T181+T183+T184+T186+T187+T188+T189+T190+T191+T192+T194+T195, "NA")</f>
        <v>41397.93</v>
      </c>
      <c r="U197" s="15">
        <f>IFERROR(T197/T444, "NA")</f>
        <v>0.36483069511125338</v>
      </c>
      <c r="V197" s="2"/>
      <c r="W197" s="14">
        <f t="shared" si="50"/>
        <v>-3396.9200000000055</v>
      </c>
      <c r="X197" s="15">
        <f>IFERROR(W197/W444, "NA")</f>
        <v>-0.12315940871939865</v>
      </c>
      <c r="Y197" s="2"/>
      <c r="Z197" s="14">
        <f>IFERROR(Z175+Z177+Z178+Z179+Z180+Z181+Z183+Z184+Z186+Z187+Z188+Z189+Z190+Z191+Z192+Z194+Z195, "NA")</f>
        <v>43232.39</v>
      </c>
      <c r="AA197" s="15">
        <f>IFERROR(Z197/Z444, "NA")</f>
        <v>0.39360748677805057</v>
      </c>
      <c r="AB197" s="2"/>
      <c r="AC197" s="14">
        <f t="shared" si="51"/>
        <v>-1562.4600000000064</v>
      </c>
      <c r="AD197" s="15">
        <f>IFERROR(AC197/AC444, "NA")</f>
        <v>-5.0051879099754497E-2</v>
      </c>
    </row>
    <row r="198" spans="1:30" ht="16.5" customHeight="1" x14ac:dyDescent="0.45">
      <c r="A198" s="22" t="s">
        <v>181</v>
      </c>
      <c r="B198" s="23">
        <f>IFERROR(B172-B197, "NA")</f>
        <v>34326.639999999985</v>
      </c>
      <c r="C198" s="24">
        <f>IFERROR(B198/B444, "NA")</f>
        <v>0.44446285944094982</v>
      </c>
      <c r="D198" s="25"/>
      <c r="E198" s="23">
        <f>IFERROR(E172-E197, "NA")</f>
        <v>24225.349999999995</v>
      </c>
      <c r="F198" s="24">
        <f>IFERROR(E198/E444, "NA")</f>
        <v>0.37183412186098247</v>
      </c>
      <c r="G198" s="25"/>
      <c r="H198" s="23">
        <f>IFERROR(B198-E198, "NA")</f>
        <v>10101.28999999999</v>
      </c>
      <c r="I198" s="24">
        <f>IFERROR(H198/H444, "NA")</f>
        <v>0.83614551378304913</v>
      </c>
      <c r="J198" s="25"/>
      <c r="K198" s="23">
        <f>IFERROR(K172-K197, "NA")</f>
        <v>18926.989999999998</v>
      </c>
      <c r="L198" s="24">
        <f>IFERROR(K198/K444, "NA")</f>
        <v>0.32391841023697038</v>
      </c>
      <c r="M198" s="25"/>
      <c r="N198" s="23">
        <f>IFERROR(B198-K198, "NA")</f>
        <v>15399.649999999987</v>
      </c>
      <c r="O198" s="24">
        <f>IFERROR(N198/N444, "NA")</f>
        <v>0.81911332690438765</v>
      </c>
      <c r="P198" s="25"/>
      <c r="Q198" s="23">
        <f>IFERROR(Q172-Q197, "NA")</f>
        <v>60458.22000000003</v>
      </c>
      <c r="R198" s="24">
        <f>IFERROR(Q198/Q444, "NA")</f>
        <v>0.42862025516488106</v>
      </c>
      <c r="S198" s="25"/>
      <c r="T198" s="23">
        <f>IFERROR(T172-T197, "NA")</f>
        <v>39688.130000000012</v>
      </c>
      <c r="U198" s="24">
        <f>IFERROR(T198/T444, "NA")</f>
        <v>0.34976261024562805</v>
      </c>
      <c r="V198" s="25"/>
      <c r="W198" s="23">
        <f>IFERROR(Q198-T198, "NA")</f>
        <v>20770.090000000018</v>
      </c>
      <c r="X198" s="24">
        <f>IFERROR(W198/W444, "NA")</f>
        <v>0.75304452370049713</v>
      </c>
      <c r="Y198" s="25"/>
      <c r="Z198" s="23">
        <f>IFERROR(Z172-Z197, "NA")</f>
        <v>34046.229999999996</v>
      </c>
      <c r="AA198" s="24">
        <f>IFERROR(Z198/Z444, "NA")</f>
        <v>0.30997247722292171</v>
      </c>
      <c r="AB198" s="25"/>
      <c r="AC198" s="23">
        <f>IFERROR(Q198-Z198, "NA")</f>
        <v>26411.990000000034</v>
      </c>
      <c r="AD198" s="24">
        <f>IFERROR(AC198/AC444, "NA")</f>
        <v>0.84608228707545863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1563.62</v>
      </c>
      <c r="F201" s="8">
        <f>IFERROR(E201/E444, "NA")</f>
        <v>2.3999953339137289E-2</v>
      </c>
      <c r="G201" s="9"/>
      <c r="H201" s="10">
        <f t="shared" ref="H201:H209" si="52">IFERROR(-(B201-E201), "NA")</f>
        <v>1563.62</v>
      </c>
      <c r="I201" s="8">
        <f>IFERROR(H201/H444, "NA")</f>
        <v>0.12943038446193036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2723.32</v>
      </c>
      <c r="U201" s="8">
        <f>IFERROR(T201/T444, "NA")</f>
        <v>2.4000009870309424E-2</v>
      </c>
      <c r="V201" s="9"/>
      <c r="W201" s="10">
        <f t="shared" ref="W201:W209" si="54">IFERROR(-(Q201-T201), "NA")</f>
        <v>2723.32</v>
      </c>
      <c r="X201" s="8">
        <f>IFERROR(W201/W444, "NA")</f>
        <v>9.8737232832598998E-2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524.37</v>
      </c>
      <c r="C202" s="8">
        <f>IFERROR(B202/B444, "NA")</f>
        <v>6.7895660514705478E-3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-524.37</v>
      </c>
      <c r="I202" s="8">
        <f>IFERROR(H202/H444, "NA")</f>
        <v>-4.3405309922041439E-2</v>
      </c>
      <c r="J202" s="9"/>
      <c r="K202" s="7">
        <v>616.83000000000004</v>
      </c>
      <c r="L202" s="8">
        <f>IFERROR(K202/K444, "NA")</f>
        <v>1.0556490650994715E-2</v>
      </c>
      <c r="M202" s="9"/>
      <c r="N202" s="10">
        <f t="shared" si="53"/>
        <v>92.460000000000036</v>
      </c>
      <c r="O202" s="8">
        <f>IFERROR(N202/N444, "NA")</f>
        <v>4.9179830843934626E-3</v>
      </c>
      <c r="P202" s="9"/>
      <c r="Q202" s="7">
        <v>1079.73</v>
      </c>
      <c r="R202" s="8">
        <f>IFERROR(Q202/Q444, "NA")</f>
        <v>7.6547762754043507E-3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-1079.73</v>
      </c>
      <c r="X202" s="8">
        <f>IFERROR(W202/W444, "NA")</f>
        <v>-3.9146906131612196E-2</v>
      </c>
      <c r="Y202" s="9"/>
      <c r="Z202" s="7">
        <v>1358.58</v>
      </c>
      <c r="AA202" s="8">
        <f>IFERROR(Z202/Z444, "NA")</f>
        <v>1.2369134794234692E-2</v>
      </c>
      <c r="AB202" s="9"/>
      <c r="AC202" s="10">
        <f t="shared" si="55"/>
        <v>278.84999999999991</v>
      </c>
      <c r="AD202" s="8">
        <f>IFERROR(AC202/AC444, "NA")</f>
        <v>8.9326872284515961E-3</v>
      </c>
    </row>
    <row r="203" spans="1:30" ht="16.5" customHeight="1" x14ac:dyDescent="0.45">
      <c r="A203" s="6" t="s">
        <v>185</v>
      </c>
      <c r="B203" s="7">
        <v>369.02</v>
      </c>
      <c r="C203" s="8">
        <f>IFERROR(B203/B444, "NA")</f>
        <v>4.778087351133096E-3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-369.02</v>
      </c>
      <c r="I203" s="8">
        <f>IFERROR(H203/H444, "NA")</f>
        <v>-3.0546040901332512E-2</v>
      </c>
      <c r="J203" s="9"/>
      <c r="K203" s="7">
        <v>411.83</v>
      </c>
      <c r="L203" s="8">
        <f>IFERROR(K203/K444, "NA")</f>
        <v>7.0481000353406174E-3</v>
      </c>
      <c r="M203" s="9"/>
      <c r="N203" s="10">
        <f t="shared" si="53"/>
        <v>42.81</v>
      </c>
      <c r="O203" s="8">
        <f>IFERROR(N203/N444, "NA")</f>
        <v>2.2770804222678352E-3</v>
      </c>
      <c r="P203" s="9"/>
      <c r="Q203" s="7">
        <v>751.86</v>
      </c>
      <c r="R203" s="8">
        <f>IFERROR(Q203/Q444, "NA")</f>
        <v>5.3303326668940523E-3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-751.86</v>
      </c>
      <c r="X203" s="8">
        <f>IFERROR(W203/W444, "NA")</f>
        <v>-2.7259586048469474E-2</v>
      </c>
      <c r="Y203" s="9"/>
      <c r="Z203" s="7">
        <v>816.74</v>
      </c>
      <c r="AA203" s="8">
        <f>IFERROR(Z203/Z444, "NA")</f>
        <v>7.4359751739634349E-3</v>
      </c>
      <c r="AB203" s="9"/>
      <c r="AC203" s="10">
        <f t="shared" si="55"/>
        <v>64.88</v>
      </c>
      <c r="AD203" s="8">
        <f>IFERROR(AC203/AC444, "NA")</f>
        <v>2.0783673924401639E-3</v>
      </c>
    </row>
    <row r="204" spans="1:30" ht="16.5" customHeight="1" x14ac:dyDescent="0.45">
      <c r="A204" s="6" t="s">
        <v>186</v>
      </c>
      <c r="B204" s="7">
        <v>243.51</v>
      </c>
      <c r="C204" s="8">
        <f>IFERROR(B204/B444, "NA")</f>
        <v>3.1529782962289852E-3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-243.51</v>
      </c>
      <c r="I204" s="8">
        <f>IFERROR(H204/H444, "NA")</f>
        <v>-2.0156811066835076E-2</v>
      </c>
      <c r="J204" s="9"/>
      <c r="K204" s="7">
        <v>27.58</v>
      </c>
      <c r="L204" s="8">
        <f>IFERROR(K204/K444, "NA")</f>
        <v>4.720068935597072E-4</v>
      </c>
      <c r="M204" s="9"/>
      <c r="N204" s="10">
        <f t="shared" si="53"/>
        <v>-215.93</v>
      </c>
      <c r="O204" s="8">
        <f>IFERROR(N204/N444, "NA")</f>
        <v>-1.1485400036914124E-2</v>
      </c>
      <c r="P204" s="9"/>
      <c r="Q204" s="7">
        <v>270.13</v>
      </c>
      <c r="R204" s="8">
        <f>IFERROR(Q204/Q444, "NA")</f>
        <v>1.9150942506691276E-3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-270.13</v>
      </c>
      <c r="X204" s="8">
        <f>IFERROR(W204/W444, "NA")</f>
        <v>-9.7938871322760333E-3</v>
      </c>
      <c r="Y204" s="9"/>
      <c r="Z204" s="7">
        <v>64.05</v>
      </c>
      <c r="AA204" s="8">
        <f>IFERROR(Z204/Z444, "NA")</f>
        <v>5.8314054643137097E-4</v>
      </c>
      <c r="AB204" s="9"/>
      <c r="AC204" s="10">
        <f t="shared" si="55"/>
        <v>-206.07999999999998</v>
      </c>
      <c r="AD204" s="8">
        <f>IFERROR(AC204/AC444, "NA")</f>
        <v>-6.6015713969492752E-3</v>
      </c>
    </row>
    <row r="205" spans="1:30" ht="16.5" customHeight="1" x14ac:dyDescent="0.45">
      <c r="A205" s="6" t="s">
        <v>187</v>
      </c>
      <c r="B205" s="7">
        <v>299.39</v>
      </c>
      <c r="C205" s="8">
        <f>IFERROR(B205/B444, "NA")</f>
        <v>3.8765150183072395E-3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-299.39</v>
      </c>
      <c r="I205" s="8">
        <f>IFERROR(H205/H444, "NA")</f>
        <v>-2.4782340213131918E-2</v>
      </c>
      <c r="J205" s="9"/>
      <c r="K205" s="7">
        <v>484.65</v>
      </c>
      <c r="L205" s="8">
        <f>IFERROR(K205/K444, "NA")</f>
        <v>8.2943488384232093E-3</v>
      </c>
      <c r="M205" s="9"/>
      <c r="N205" s="10">
        <f t="shared" si="53"/>
        <v>185.26</v>
      </c>
      <c r="O205" s="8">
        <f>IFERROR(N205/N444, "NA")</f>
        <v>9.854050900007922E-3</v>
      </c>
      <c r="P205" s="9"/>
      <c r="Q205" s="7">
        <v>588.03</v>
      </c>
      <c r="R205" s="8">
        <f>IFERROR(Q205/Q444, "NA")</f>
        <v>4.1688552630991266E-3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-588.03</v>
      </c>
      <c r="X205" s="8">
        <f>IFERROR(W205/W444, "NA")</f>
        <v>-2.1319732907830583E-2</v>
      </c>
      <c r="Y205" s="9"/>
      <c r="Z205" s="7">
        <v>1042.25</v>
      </c>
      <c r="AA205" s="8">
        <f>IFERROR(Z205/Z444, "NA")</f>
        <v>9.4891215381435832E-3</v>
      </c>
      <c r="AB205" s="9"/>
      <c r="AC205" s="10">
        <f t="shared" si="55"/>
        <v>454.22</v>
      </c>
      <c r="AD205" s="8">
        <f>IFERROR(AC205/AC444, "NA")</f>
        <v>1.4550493788442838E-2</v>
      </c>
    </row>
    <row r="206" spans="1:30" ht="16.5" customHeight="1" x14ac:dyDescent="0.45">
      <c r="A206" s="6" t="s">
        <v>188</v>
      </c>
      <c r="B206" s="7">
        <v>10.8</v>
      </c>
      <c r="C206" s="8">
        <f>IFERROR(B206/B444, "NA")</f>
        <v>1.3983887971448009E-4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-10.8</v>
      </c>
      <c r="I206" s="8">
        <f>IFERROR(H206/H444, "NA")</f>
        <v>-8.9398201109530966E-4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-10.8</v>
      </c>
      <c r="O206" s="8">
        <f>IFERROR(N206/N444, "NA")</f>
        <v>-5.7445616819651064E-4</v>
      </c>
      <c r="P206" s="9"/>
      <c r="Q206" s="7">
        <v>10.8</v>
      </c>
      <c r="R206" s="8">
        <f>IFERROR(Q206/Q444, "NA")</f>
        <v>7.6566904480163548E-5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-3.9156695305438556E-4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-10.8</v>
      </c>
      <c r="AD206" s="8">
        <f>IFERROR(AC206/AC444, "NA")</f>
        <v>-3.4596744510409635E-4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2.6381386019662394E-3</v>
      </c>
      <c r="M207" s="9"/>
      <c r="N207" s="10">
        <f t="shared" si="53"/>
        <v>154.15</v>
      </c>
      <c r="O207" s="8">
        <f>IFERROR(N207/N444, "NA")</f>
        <v>8.1992979932863069E-3</v>
      </c>
      <c r="P207" s="9"/>
      <c r="Q207" s="7">
        <v>99.59</v>
      </c>
      <c r="R207" s="8">
        <f>IFERROR(Q207/Q444, "NA")</f>
        <v>7.0604611270180437E-4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-99.59</v>
      </c>
      <c r="X207" s="8">
        <f>IFERROR(W207/W444, "NA")</f>
        <v>-3.6107548939524311E-3</v>
      </c>
      <c r="Y207" s="9"/>
      <c r="Z207" s="7">
        <v>154.15</v>
      </c>
      <c r="AA207" s="8">
        <f>IFERROR(Z207/Z444, "NA")</f>
        <v>1.4034522284527065E-3</v>
      </c>
      <c r="AB207" s="9"/>
      <c r="AC207" s="10">
        <f t="shared" si="55"/>
        <v>54.56</v>
      </c>
      <c r="AD207" s="8">
        <f>IFERROR(AC207/AC444, "NA")</f>
        <v>1.7477762782295832E-3</v>
      </c>
    </row>
    <row r="208" spans="1:30" ht="16.5" customHeight="1" x14ac:dyDescent="0.45">
      <c r="A208" s="6" t="s">
        <v>190</v>
      </c>
      <c r="B208" s="7">
        <v>431.05</v>
      </c>
      <c r="C208" s="8">
        <f>IFERROR(B208/B444, "NA")</f>
        <v>5.5812545463820957E-3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-431.05</v>
      </c>
      <c r="I208" s="8">
        <f>IFERROR(H208/H444, "NA")</f>
        <v>-3.5680643137280851E-2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-431.05</v>
      </c>
      <c r="O208" s="8">
        <f>IFERROR(N208/N444, "NA")</f>
        <v>-2.2927715861213512E-2</v>
      </c>
      <c r="P208" s="9"/>
      <c r="Q208" s="7">
        <v>597.91</v>
      </c>
      <c r="R208" s="8">
        <f>IFERROR(Q208/Q444, "NA")</f>
        <v>4.2388998016420912E-3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-597.91</v>
      </c>
      <c r="X208" s="8">
        <f>IFERROR(W208/W444, "NA")</f>
        <v>-2.1677944157476634E-2</v>
      </c>
      <c r="Y208" s="9"/>
      <c r="Z208" s="7">
        <v>0</v>
      </c>
      <c r="AA208" s="8">
        <f>IFERROR(Z208/Z444, "NA")</f>
        <v>0</v>
      </c>
      <c r="AB208" s="9"/>
      <c r="AC208" s="10">
        <f t="shared" si="55"/>
        <v>-597.91</v>
      </c>
      <c r="AD208" s="8">
        <f>IFERROR(AC208/AC444, "NA")</f>
        <v>-1.9153462509462059E-2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1878.1399999999999</v>
      </c>
      <c r="C209" s="15">
        <f>IFERROR(B209/B444, "NA")</f>
        <v>2.4318240143236445E-2</v>
      </c>
      <c r="D209" s="2"/>
      <c r="E209" s="14">
        <f>IFERROR(E201+E202+E203+E204+E205+E206+E207+E208, "NA")</f>
        <v>1563.62</v>
      </c>
      <c r="F209" s="15">
        <f>IFERROR(E209/E444, "NA")</f>
        <v>2.3999953339137289E-2</v>
      </c>
      <c r="G209" s="2"/>
      <c r="H209" s="14">
        <f t="shared" si="52"/>
        <v>-314.52</v>
      </c>
      <c r="I209" s="15">
        <f>IFERROR(H209/H444, "NA")</f>
        <v>-2.6034742789786739E-2</v>
      </c>
      <c r="J209" s="2"/>
      <c r="K209" s="14">
        <f>IFERROR(K201+K202+K203+K204+K205+K206+K207+K208, "NA")</f>
        <v>1695.04</v>
      </c>
      <c r="L209" s="15">
        <f>IFERROR(K209/K444, "NA")</f>
        <v>2.9009085020284486E-2</v>
      </c>
      <c r="M209" s="2"/>
      <c r="N209" s="14">
        <f t="shared" si="53"/>
        <v>-183.09999999999991</v>
      </c>
      <c r="O209" s="15">
        <f>IFERROR(N209/N444, "NA")</f>
        <v>-9.7391596663686155E-3</v>
      </c>
      <c r="P209" s="2"/>
      <c r="Q209" s="14">
        <f>IFERROR(Q201+Q202+Q203+Q204+Q205+Q206+Q207+Q208, "NA")</f>
        <v>3398.05</v>
      </c>
      <c r="R209" s="15">
        <f>IFERROR(Q209/Q444, "NA")</f>
        <v>2.4090571274890716E-2</v>
      </c>
      <c r="S209" s="2"/>
      <c r="T209" s="14">
        <f>IFERROR(T201+T202+T203+T204+T205+T206+T207+T208, "NA")</f>
        <v>2723.32</v>
      </c>
      <c r="U209" s="15">
        <f>IFERROR(T209/T444, "NA")</f>
        <v>2.4000009870309424E-2</v>
      </c>
      <c r="V209" s="2"/>
      <c r="W209" s="14">
        <f t="shared" si="54"/>
        <v>-674.73</v>
      </c>
      <c r="X209" s="15">
        <f>IFERROR(W209/W444, "NA")</f>
        <v>-2.4463145392072737E-2</v>
      </c>
      <c r="Y209" s="2"/>
      <c r="Z209" s="14">
        <f>IFERROR(Z201+Z202+Z203+Z204+Z205+Z206+Z207+Z208, "NA")</f>
        <v>3435.77</v>
      </c>
      <c r="AA209" s="15">
        <f>IFERROR(Z209/Z444, "NA")</f>
        <v>3.1280824281225784E-2</v>
      </c>
      <c r="AB209" s="2"/>
      <c r="AC209" s="14">
        <f t="shared" si="55"/>
        <v>37.7199999999998</v>
      </c>
      <c r="AD209" s="15">
        <f>IFERROR(AC209/AC444, "NA")</f>
        <v>1.2083233360487449E-3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2198.0500000000002</v>
      </c>
      <c r="F213" s="8">
        <f>IFERROR(E213/E444, "NA")</f>
        <v>3.3737799105339354E-2</v>
      </c>
      <c r="G213" s="9"/>
      <c r="H213" s="10">
        <f t="shared" ref="H213:H227" si="56">IFERROR(-(B213-E213), "NA")</f>
        <v>2198.0500000000002</v>
      </c>
      <c r="I213" s="8">
        <f>IFERROR(H213/H444, "NA")</f>
        <v>0.18194603328593015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4131.78</v>
      </c>
      <c r="U213" s="8">
        <f>IFERROR(T213/T444, "NA")</f>
        <v>3.6412452734877671E-2</v>
      </c>
      <c r="V213" s="9"/>
      <c r="W213" s="10">
        <f t="shared" ref="W213:W227" si="58">IFERROR(-(Q213-T213), "NA")</f>
        <v>4131.78</v>
      </c>
      <c r="X213" s="8">
        <f>IFERROR(W213/W444, "NA")</f>
        <v>0.14980263937880081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1749.31</v>
      </c>
      <c r="C214" s="8">
        <f>IFERROR(B214/B444, "NA")</f>
        <v>2.2650143580864548E-2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-1749.31</v>
      </c>
      <c r="I214" s="8">
        <f>IFERROR(H214/H444, "NA")</f>
        <v>-0.14480108072492001</v>
      </c>
      <c r="J214" s="9"/>
      <c r="K214" s="7">
        <v>251</v>
      </c>
      <c r="L214" s="8">
        <f>IFERROR(K214/K444, "NA")</f>
        <v>4.295639241605748E-3</v>
      </c>
      <c r="M214" s="9"/>
      <c r="N214" s="10">
        <f t="shared" si="57"/>
        <v>-1498.31</v>
      </c>
      <c r="O214" s="8">
        <f>IFERROR(N214/N444, "NA")</f>
        <v>-7.9695687163936463E-2</v>
      </c>
      <c r="P214" s="9"/>
      <c r="Q214" s="7">
        <v>2846.54</v>
      </c>
      <c r="R214" s="8">
        <f>IFERROR(Q214/Q444, "NA")</f>
        <v>2.0180625581385624E-2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-2846.54</v>
      </c>
      <c r="X214" s="8">
        <f>IFERROR(W214/W444, "NA")</f>
        <v>-0.10320472171735467</v>
      </c>
      <c r="Y214" s="9"/>
      <c r="Z214" s="7">
        <v>506</v>
      </c>
      <c r="AA214" s="8">
        <f>IFERROR(Z214/Z444, "NA")</f>
        <v>4.6068558390987314E-3</v>
      </c>
      <c r="AB214" s="9"/>
      <c r="AC214" s="10">
        <f t="shared" si="59"/>
        <v>-2340.54</v>
      </c>
      <c r="AD214" s="8">
        <f>IFERROR(AC214/AC444, "NA")</f>
        <v>-7.4976911478142741E-2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2105.12</v>
      </c>
      <c r="C217" s="8">
        <f>IFERROR(B217/B444, "NA")</f>
        <v>2.7257187265235766E-2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-2105.12</v>
      </c>
      <c r="I217" s="8">
        <f>IFERROR(H217/H444, "NA")</f>
        <v>-0.17425364918490352</v>
      </c>
      <c r="J217" s="9"/>
      <c r="K217" s="7">
        <v>119.57</v>
      </c>
      <c r="L217" s="8">
        <f>IFERROR(K217/K444, "NA")</f>
        <v>2.0463330044573676E-3</v>
      </c>
      <c r="M217" s="9"/>
      <c r="N217" s="10">
        <f t="shared" si="57"/>
        <v>-1985.55</v>
      </c>
      <c r="O217" s="8">
        <f>IFERROR(N217/N444, "NA")</f>
        <v>-0.10561217081135015</v>
      </c>
      <c r="P217" s="9"/>
      <c r="Q217" s="7">
        <v>4114.29</v>
      </c>
      <c r="R217" s="8">
        <f>IFERROR(Q217/Q444, "NA")</f>
        <v>2.916837494756408E-2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-4114.29</v>
      </c>
      <c r="X217" s="8">
        <f>IFERROR(W217/W444, "NA")</f>
        <v>-0.14916851845204887</v>
      </c>
      <c r="Y217" s="9"/>
      <c r="Z217" s="7">
        <v>655.44</v>
      </c>
      <c r="AA217" s="8">
        <f>IFERROR(Z217/Z444, "NA")</f>
        <v>5.9674260695234639E-3</v>
      </c>
      <c r="AB217" s="9"/>
      <c r="AC217" s="10">
        <f t="shared" si="59"/>
        <v>-3458.85</v>
      </c>
      <c r="AD217" s="8">
        <f>IFERROR(AC217/AC444, "NA")</f>
        <v>-0.11080087939799108</v>
      </c>
    </row>
    <row r="218" spans="1:30" ht="16.5" customHeight="1" x14ac:dyDescent="0.45">
      <c r="A218" s="13" t="s">
        <v>198</v>
      </c>
      <c r="B218" s="14">
        <f>IFERROR(B213+B214+B215+B216+B217, "NA")</f>
        <v>3854.43</v>
      </c>
      <c r="C218" s="15">
        <f>IFERROR(B218/B444, "NA")</f>
        <v>4.9907330846100315E-2</v>
      </c>
      <c r="D218" s="2"/>
      <c r="E218" s="14">
        <f>IFERROR(E213+E214+E215+E216+E217, "NA")</f>
        <v>2198.0500000000002</v>
      </c>
      <c r="F218" s="15">
        <f>IFERROR(E218/E444, "NA")</f>
        <v>3.3737799105339354E-2</v>
      </c>
      <c r="G218" s="2"/>
      <c r="H218" s="14">
        <f t="shared" si="56"/>
        <v>-1656.3799999999997</v>
      </c>
      <c r="I218" s="15">
        <f>IFERROR(H218/H444, "NA")</f>
        <v>-0.13710869662389338</v>
      </c>
      <c r="J218" s="2"/>
      <c r="K218" s="14">
        <f>IFERROR(K213+K214+K215+K216+K217, "NA")</f>
        <v>370.57</v>
      </c>
      <c r="L218" s="15">
        <f>IFERROR(K218/K444, "NA")</f>
        <v>6.3419722460631147E-3</v>
      </c>
      <c r="M218" s="2"/>
      <c r="N218" s="14">
        <f t="shared" si="57"/>
        <v>-3483.8599999999997</v>
      </c>
      <c r="O218" s="15">
        <f>IFERROR(N218/N444, "NA")</f>
        <v>-0.18530785797528659</v>
      </c>
      <c r="P218" s="2"/>
      <c r="Q218" s="14">
        <f>IFERROR(Q213+Q214+Q215+Q216+Q217, "NA")</f>
        <v>6960.83</v>
      </c>
      <c r="R218" s="15">
        <f>IFERROR(Q218/Q444, "NA")</f>
        <v>4.9349000528949701E-2</v>
      </c>
      <c r="S218" s="2"/>
      <c r="T218" s="14">
        <f>IFERROR(T213+T214+T215+T216+T217, "NA")</f>
        <v>4131.78</v>
      </c>
      <c r="U218" s="15">
        <f>IFERROR(T218/T444, "NA")</f>
        <v>3.6412452734877671E-2</v>
      </c>
      <c r="V218" s="2"/>
      <c r="W218" s="14">
        <f t="shared" si="58"/>
        <v>-2829.05</v>
      </c>
      <c r="X218" s="15">
        <f>IFERROR(W218/W444, "NA")</f>
        <v>-0.10257060079060272</v>
      </c>
      <c r="Y218" s="2"/>
      <c r="Z218" s="14">
        <f>IFERROR(Z213+Z214+Z215+Z216+Z217, "NA")</f>
        <v>1161.44</v>
      </c>
      <c r="AA218" s="15">
        <f>IFERROR(Z218/Z444, "NA")</f>
        <v>1.0574281908622194E-2</v>
      </c>
      <c r="AB218" s="2"/>
      <c r="AC218" s="14">
        <f t="shared" si="59"/>
        <v>-5799.3899999999994</v>
      </c>
      <c r="AD218" s="15">
        <f>IFERROR(AC218/AC444, "NA")</f>
        <v>-0.1857777908761338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150.44</v>
      </c>
      <c r="C222" s="8">
        <f>IFERROR(B222/B444, "NA")</f>
        <v>1.9479038022450353E-3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-150.44</v>
      </c>
      <c r="I222" s="8">
        <f>IFERROR(H222/H444, "NA")</f>
        <v>-1.2452838310109109E-2</v>
      </c>
      <c r="J222" s="9"/>
      <c r="K222" s="7">
        <v>62.5</v>
      </c>
      <c r="L222" s="8">
        <f>IFERROR(K222/K444, "NA")</f>
        <v>1.0696312852603953E-3</v>
      </c>
      <c r="M222" s="9"/>
      <c r="N222" s="10">
        <f t="shared" si="57"/>
        <v>-87.94</v>
      </c>
      <c r="O222" s="8">
        <f>IFERROR(N222/N444, "NA")</f>
        <v>-4.6775625399260315E-3</v>
      </c>
      <c r="P222" s="9"/>
      <c r="Q222" s="7">
        <v>247.91</v>
      </c>
      <c r="R222" s="8">
        <f>IFERROR(Q222/Q444, "NA")</f>
        <v>1.7575649342293836E-3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-247.91</v>
      </c>
      <c r="X222" s="8">
        <f>IFERROR(W222/W444, "NA")</f>
        <v>-8.988274382565992E-3</v>
      </c>
      <c r="Y222" s="9"/>
      <c r="Z222" s="7">
        <v>125</v>
      </c>
      <c r="AA222" s="8">
        <f>IFERROR(Z222/Z444, "NA")</f>
        <v>1.1380572725046274E-3</v>
      </c>
      <c r="AB222" s="9"/>
      <c r="AC222" s="10">
        <f t="shared" si="59"/>
        <v>-122.91</v>
      </c>
      <c r="AD222" s="8">
        <f>IFERROR(AC222/AC444, "NA")</f>
        <v>-3.9373017294207849E-3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65.150000000000006</v>
      </c>
      <c r="F226" s="8">
        <f>IFERROR(E226/E444, "NA")</f>
        <v>9.9998526499072327E-4</v>
      </c>
      <c r="G226" s="9"/>
      <c r="H226" s="10">
        <f t="shared" si="56"/>
        <v>65.150000000000006</v>
      </c>
      <c r="I226" s="8">
        <f>IFERROR(H226/H444, "NA")</f>
        <v>5.3928637058203175E-3</v>
      </c>
      <c r="J226" s="9"/>
      <c r="K226" s="7">
        <v>457.91</v>
      </c>
      <c r="L226" s="8">
        <f>IFERROR(K226/K444, "NA")</f>
        <v>7.8367177893374027E-3</v>
      </c>
      <c r="M226" s="9"/>
      <c r="N226" s="10">
        <f t="shared" si="57"/>
        <v>457.91</v>
      </c>
      <c r="O226" s="8">
        <f>IFERROR(N226/N444, "NA")</f>
        <v>2.4356409627672611E-2</v>
      </c>
      <c r="P226" s="9"/>
      <c r="Q226" s="7">
        <v>0</v>
      </c>
      <c r="R226" s="8">
        <f>IFERROR(Q226/Q444, "NA")</f>
        <v>0</v>
      </c>
      <c r="S226" s="9"/>
      <c r="T226" s="7">
        <v>113.47</v>
      </c>
      <c r="U226" s="8">
        <f>IFERROR(T226/T444, "NA")</f>
        <v>9.9998572330244344E-4</v>
      </c>
      <c r="V226" s="9"/>
      <c r="W226" s="10">
        <f t="shared" si="58"/>
        <v>113.47</v>
      </c>
      <c r="X226" s="8">
        <f>IFERROR(W226/W444, "NA")</f>
        <v>4.1139909410260302E-3</v>
      </c>
      <c r="Y226" s="9"/>
      <c r="Z226" s="7">
        <v>837.43</v>
      </c>
      <c r="AA226" s="8">
        <f>IFERROR(Z226/Z444, "NA")</f>
        <v>7.6243464137083997E-3</v>
      </c>
      <c r="AB226" s="9"/>
      <c r="AC226" s="10">
        <f t="shared" si="59"/>
        <v>837.43</v>
      </c>
      <c r="AD226" s="8">
        <f>IFERROR(AC226/AC444, "NA")</f>
        <v>2.6826251625326241E-2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4004.87</v>
      </c>
      <c r="C227" s="15">
        <f>IFERROR(B227/B444, "NA")</f>
        <v>5.185523464834535E-2</v>
      </c>
      <c r="D227" s="2"/>
      <c r="E227" s="14">
        <f>IFERROR(E211+E213+E214+E215+E216+E217+E219+E220+E221+E222+E223+E224+E225+E226, "NA")</f>
        <v>2263.2000000000003</v>
      </c>
      <c r="F227" s="15">
        <f>IFERROR(E227/E444, "NA")</f>
        <v>3.473778437033008E-2</v>
      </c>
      <c r="G227" s="2"/>
      <c r="H227" s="14">
        <f t="shared" si="56"/>
        <v>-1741.6699999999996</v>
      </c>
      <c r="I227" s="15">
        <f>IFERROR(H227/H444, "NA")</f>
        <v>-0.14416867122818219</v>
      </c>
      <c r="J227" s="2"/>
      <c r="K227" s="14">
        <f>IFERROR(K211+K213+K214+K215+K216+K217+K219+K220+K221+K222+K223+K224+K225+K226, "NA")</f>
        <v>890.98</v>
      </c>
      <c r="L227" s="15">
        <f>IFERROR(K227/K444, "NA")</f>
        <v>1.5248321320660913E-2</v>
      </c>
      <c r="M227" s="2"/>
      <c r="N227" s="14">
        <f t="shared" si="57"/>
        <v>-3113.89</v>
      </c>
      <c r="O227" s="15">
        <f>IFERROR(N227/N444, "NA")</f>
        <v>-0.16562901088754003</v>
      </c>
      <c r="P227" s="2"/>
      <c r="Q227" s="14">
        <f>IFERROR(Q211+Q213+Q214+Q215+Q216+Q217+Q219+Q220+Q221+Q222+Q223+Q224+Q225+Q226, "NA")</f>
        <v>7208.74</v>
      </c>
      <c r="R227" s="15">
        <f>IFERROR(Q227/Q444, "NA")</f>
        <v>5.1106565463179085E-2</v>
      </c>
      <c r="S227" s="2"/>
      <c r="T227" s="14">
        <f>IFERROR(T211+T213+T214+T215+T216+T217+T219+T220+T221+T222+T223+T224+T225+T226, "NA")</f>
        <v>4245.25</v>
      </c>
      <c r="U227" s="15">
        <f>IFERROR(T227/T444, "NA")</f>
        <v>3.7412438458180118E-2</v>
      </c>
      <c r="V227" s="2"/>
      <c r="W227" s="14">
        <f t="shared" si="58"/>
        <v>-2963.49</v>
      </c>
      <c r="X227" s="15">
        <f>IFERROR(W227/W444, "NA")</f>
        <v>-0.10744488423214267</v>
      </c>
      <c r="Y227" s="2"/>
      <c r="Z227" s="14">
        <f>IFERROR(Z211+Z213+Z214+Z215+Z216+Z217+Z219+Z220+Z221+Z222+Z223+Z224+Z225+Z226, "NA")</f>
        <v>2123.87</v>
      </c>
      <c r="AA227" s="15">
        <f>IFERROR(Z227/Z444, "NA")</f>
        <v>1.9336685594835222E-2</v>
      </c>
      <c r="AB227" s="2"/>
      <c r="AC227" s="14">
        <f t="shared" si="59"/>
        <v>-5084.87</v>
      </c>
      <c r="AD227" s="15">
        <f>IFERROR(AC227/AC444, "NA")</f>
        <v>-0.16288884098022838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533.59</v>
      </c>
      <c r="F229" s="8">
        <f>IFERROR(E229/E444, "NA")</f>
        <v>8.1900558334059865E-3</v>
      </c>
      <c r="G229" s="9"/>
      <c r="H229" s="10">
        <f t="shared" ref="H229:H236" si="60">IFERROR(-(B229-E229), "NA")</f>
        <v>533.59</v>
      </c>
      <c r="I229" s="8">
        <f>IFERROR(H229/H444, "NA")</f>
        <v>4.4168505675957988E-2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929.34</v>
      </c>
      <c r="U229" s="8">
        <f>IFERROR(T229/T444, "NA")</f>
        <v>8.1900654983157913E-3</v>
      </c>
      <c r="V229" s="9"/>
      <c r="W229" s="10">
        <f t="shared" ref="W229:W236" si="62">IFERROR(-(Q229-T229), "NA")</f>
        <v>929.34</v>
      </c>
      <c r="X229" s="8">
        <f>IFERROR(W229/W444, "NA")</f>
        <v>3.3694336310329878E-2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230</v>
      </c>
      <c r="L230" s="8">
        <f>IFERROR(K230/K444, "NA")</f>
        <v>3.9362431297582552E-3</v>
      </c>
      <c r="M230" s="9"/>
      <c r="N230" s="10">
        <f t="shared" si="61"/>
        <v>230</v>
      </c>
      <c r="O230" s="8">
        <f>IFERROR(N230/N444, "NA")</f>
        <v>1.2233788767147912E-2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480</v>
      </c>
      <c r="AA230" s="8">
        <f>IFERROR(Z230/Z444, "NA")</f>
        <v>4.3701399264177692E-3</v>
      </c>
      <c r="AB230" s="9"/>
      <c r="AC230" s="10">
        <f t="shared" si="63"/>
        <v>480</v>
      </c>
      <c r="AD230" s="8">
        <f>IFERROR(AC230/AC444, "NA")</f>
        <v>1.5376330893515392E-2</v>
      </c>
    </row>
    <row r="231" spans="1:30" ht="16.5" customHeight="1" x14ac:dyDescent="0.45">
      <c r="A231" s="6" t="s">
        <v>210</v>
      </c>
      <c r="B231" s="7">
        <v>133.6</v>
      </c>
      <c r="C231" s="8">
        <f>IFERROR(B231/B444, "NA")</f>
        <v>1.7298587342457904E-3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-133.6</v>
      </c>
      <c r="I231" s="8">
        <f>IFERROR(H231/H444, "NA")</f>
        <v>-1.1058888581697533E-2</v>
      </c>
      <c r="J231" s="9"/>
      <c r="K231" s="7">
        <v>127.37</v>
      </c>
      <c r="L231" s="8">
        <f>IFERROR(K231/K444, "NA")</f>
        <v>2.179822988857865E-3</v>
      </c>
      <c r="M231" s="9"/>
      <c r="N231" s="10">
        <f t="shared" si="61"/>
        <v>-6.2299999999999898</v>
      </c>
      <c r="O231" s="8">
        <f>IFERROR(N231/N444, "NA")</f>
        <v>-3.3137610443187551E-4</v>
      </c>
      <c r="P231" s="9"/>
      <c r="Q231" s="7">
        <v>276.49</v>
      </c>
      <c r="R231" s="8">
        <f>IFERROR(Q231/Q444, "NA")</f>
        <v>1.9601836499741131E-3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-276.49</v>
      </c>
      <c r="X231" s="8">
        <f>IFERROR(W231/W444, "NA")</f>
        <v>-1.0024476560185838E-2</v>
      </c>
      <c r="Y231" s="9"/>
      <c r="Z231" s="7">
        <v>155.31</v>
      </c>
      <c r="AA231" s="8">
        <f>IFERROR(Z231/Z444, "NA")</f>
        <v>1.4140133999415493E-3</v>
      </c>
      <c r="AB231" s="9"/>
      <c r="AC231" s="10">
        <f t="shared" si="63"/>
        <v>-121.18</v>
      </c>
      <c r="AD231" s="8">
        <f>IFERROR(AC231/AC444, "NA")</f>
        <v>-3.8818828701587403E-3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4.25</v>
      </c>
      <c r="AA233" s="8">
        <f>IFERROR(Z233/Z444, "NA")</f>
        <v>3.8693947265157329E-5</v>
      </c>
      <c r="AB233" s="9"/>
      <c r="AC233" s="10">
        <f t="shared" si="63"/>
        <v>4.25</v>
      </c>
      <c r="AD233" s="8">
        <f>IFERROR(AC233/AC444, "NA")</f>
        <v>1.3614459645300088E-4</v>
      </c>
    </row>
    <row r="234" spans="1:30" ht="16.5" customHeight="1" x14ac:dyDescent="0.45">
      <c r="A234" s="6" t="s">
        <v>213</v>
      </c>
      <c r="B234" s="7">
        <v>939.78</v>
      </c>
      <c r="C234" s="8">
        <f>IFERROR(B234/B444, "NA")</f>
        <v>1.2168313183155007E-2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-939.78</v>
      </c>
      <c r="I234" s="8">
        <f>IFERROR(H234/H444, "NA")</f>
        <v>-7.7791334665476858E-2</v>
      </c>
      <c r="J234" s="9"/>
      <c r="K234" s="7">
        <v>376.12</v>
      </c>
      <c r="L234" s="8">
        <f>IFERROR(K234/K444, "NA")</f>
        <v>6.4369555041942387E-3</v>
      </c>
      <c r="M234" s="9"/>
      <c r="N234" s="10">
        <f t="shared" si="61"/>
        <v>-563.66</v>
      </c>
      <c r="O234" s="8">
        <f>IFERROR(N234/N444, "NA")</f>
        <v>-2.9981292941263442E-2</v>
      </c>
      <c r="P234" s="9"/>
      <c r="Q234" s="7">
        <v>2187.9</v>
      </c>
      <c r="R234" s="8">
        <f>IFERROR(Q234/Q444, "NA")</f>
        <v>1.5511178732606466E-2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-2187.9</v>
      </c>
      <c r="X234" s="8">
        <f>IFERROR(W234/W444, "NA")</f>
        <v>-7.9324938572934267E-2</v>
      </c>
      <c r="Y234" s="9"/>
      <c r="Z234" s="7">
        <v>615.75</v>
      </c>
      <c r="AA234" s="8">
        <f>IFERROR(Z234/Z444, "NA")</f>
        <v>5.6060701243577944E-3</v>
      </c>
      <c r="AB234" s="9"/>
      <c r="AC234" s="10">
        <f t="shared" si="63"/>
        <v>-1572.15</v>
      </c>
      <c r="AD234" s="8">
        <f>IFERROR(AC234/AC444, "NA")</f>
        <v>-5.0362288779667141E-2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1073.3799999999999</v>
      </c>
      <c r="C236" s="15">
        <f>IFERROR(B236/B444, "NA")</f>
        <v>1.3898171917400797E-2</v>
      </c>
      <c r="D236" s="2"/>
      <c r="E236" s="14">
        <f>IFERROR(E229+E230+E231+E232+E233+E234+E235, "NA")</f>
        <v>533.59</v>
      </c>
      <c r="F236" s="15">
        <f>IFERROR(E236/E444, "NA")</f>
        <v>8.1900558334059865E-3</v>
      </c>
      <c r="G236" s="2"/>
      <c r="H236" s="14">
        <f t="shared" si="60"/>
        <v>-539.78999999999985</v>
      </c>
      <c r="I236" s="15">
        <f>IFERROR(H236/H444, "NA")</f>
        <v>-4.4681717571216396E-2</v>
      </c>
      <c r="J236" s="2"/>
      <c r="K236" s="14">
        <f>IFERROR(K229+K230+K231+K232+K233+K234+K235, "NA")</f>
        <v>733.49</v>
      </c>
      <c r="L236" s="15">
        <f>IFERROR(K236/K444, "NA")</f>
        <v>1.2553021622810358E-2</v>
      </c>
      <c r="M236" s="2"/>
      <c r="N236" s="14">
        <f t="shared" si="61"/>
        <v>-339.88999999999987</v>
      </c>
      <c r="O236" s="15">
        <f>IFERROR(N236/N444, "NA")</f>
        <v>-1.8078880278547399E-2</v>
      </c>
      <c r="P236" s="2"/>
      <c r="Q236" s="14">
        <f>IFERROR(Q229+Q230+Q231+Q232+Q233+Q234+Q235, "NA")</f>
        <v>2464.3900000000003</v>
      </c>
      <c r="R236" s="15">
        <f>IFERROR(Q236/Q444, "NA")</f>
        <v>1.7471362382580579E-2</v>
      </c>
      <c r="S236" s="2"/>
      <c r="T236" s="14">
        <f>IFERROR(T229+T230+T231+T232+T233+T234+T235, "NA")</f>
        <v>929.34</v>
      </c>
      <c r="U236" s="15">
        <f>IFERROR(T236/T444, "NA")</f>
        <v>8.1900654983157913E-3</v>
      </c>
      <c r="V236" s="2"/>
      <c r="W236" s="14">
        <f t="shared" si="62"/>
        <v>-1535.0500000000002</v>
      </c>
      <c r="X236" s="15">
        <f>IFERROR(W236/W444, "NA")</f>
        <v>-5.5655078822790235E-2</v>
      </c>
      <c r="Y236" s="2"/>
      <c r="Z236" s="14">
        <f>IFERROR(Z229+Z230+Z231+Z232+Z233+Z234+Z235, "NA")</f>
        <v>1255.31</v>
      </c>
      <c r="AA236" s="15">
        <f>IFERROR(Z236/Z444, "NA")</f>
        <v>1.1428917397982269E-2</v>
      </c>
      <c r="AB236" s="2"/>
      <c r="AC236" s="14">
        <f t="shared" si="63"/>
        <v>-1209.0800000000004</v>
      </c>
      <c r="AD236" s="15">
        <f>IFERROR(AC236/AC444, "NA")</f>
        <v>-3.8731696159857491E-2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3304</v>
      </c>
      <c r="F240" s="8">
        <f>IFERROR(E240/E444, "NA")</f>
        <v>5.0712990261386787E-2</v>
      </c>
      <c r="G240" s="9"/>
      <c r="H240" s="10">
        <f t="shared" ref="H240:H263" si="64">IFERROR(-(B240-E240), "NA")</f>
        <v>3304</v>
      </c>
      <c r="I240" s="8">
        <f>IFERROR(H240/H444, "NA")</f>
        <v>0.27349227450545399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5754.49</v>
      </c>
      <c r="U240" s="8">
        <f>IFERROR(T240/T444, "NA")</f>
        <v>5.0713032915190602E-2</v>
      </c>
      <c r="V240" s="9"/>
      <c r="W240" s="10">
        <f t="shared" ref="W240:W263" si="66">IFERROR(-(Q240-T240), "NA")</f>
        <v>5754.49</v>
      </c>
      <c r="X240" s="8">
        <f>IFERROR(W240/W444, "NA")</f>
        <v>0.20863593663721583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380.82</v>
      </c>
      <c r="C241" s="8">
        <f>IFERROR(B241/B444, "NA")</f>
        <v>4.9308742752655838E-3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-380.82</v>
      </c>
      <c r="I241" s="8">
        <f>IFERROR(H241/H444, "NA")</f>
        <v>-3.1522799024566277E-2</v>
      </c>
      <c r="J241" s="9"/>
      <c r="K241" s="7">
        <v>147.41</v>
      </c>
      <c r="L241" s="8">
        <f>IFERROR(K241/K444, "NA")</f>
        <v>2.5227895641637579E-3</v>
      </c>
      <c r="M241" s="9"/>
      <c r="N241" s="10">
        <f t="shared" si="65"/>
        <v>-233.41</v>
      </c>
      <c r="O241" s="8">
        <f>IFERROR(N241/N444, "NA")</f>
        <v>-1.2415167983217365E-2</v>
      </c>
      <c r="P241" s="9"/>
      <c r="Q241" s="7">
        <v>459.53</v>
      </c>
      <c r="R241" s="8">
        <f>IFERROR(Q241/Q444, "NA")</f>
        <v>3.2578508903490324E-3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-459.53</v>
      </c>
      <c r="X241" s="8">
        <f>IFERROR(W241/W444, "NA")</f>
        <v>-1.6660811290470534E-2</v>
      </c>
      <c r="Y241" s="9"/>
      <c r="Z241" s="7">
        <v>194.82</v>
      </c>
      <c r="AA241" s="8">
        <f>IFERROR(Z241/Z444, "NA")</f>
        <v>1.7737305426348119E-3</v>
      </c>
      <c r="AB241" s="9"/>
      <c r="AC241" s="10">
        <f t="shared" si="67"/>
        <v>-264.70999999999998</v>
      </c>
      <c r="AD241" s="8">
        <f>IFERROR(AC241/AC444, "NA")</f>
        <v>-8.4797261475467907E-3</v>
      </c>
    </row>
    <row r="242" spans="1:30" ht="16.5" customHeight="1" x14ac:dyDescent="0.45">
      <c r="A242" s="12" t="s">
        <v>219</v>
      </c>
      <c r="B242" s="7">
        <v>624.16999999999996</v>
      </c>
      <c r="C242" s="8">
        <f>IFERROR(B242/B444, "NA")</f>
        <v>8.0817808843876866E-3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-624.16999999999996</v>
      </c>
      <c r="I242" s="8">
        <f>IFERROR(H242/H444, "NA")</f>
        <v>-5.1666365913459203E-2</v>
      </c>
      <c r="J242" s="9"/>
      <c r="K242" s="7">
        <v>472.6</v>
      </c>
      <c r="L242" s="8">
        <f>IFERROR(K242/K444, "NA")</f>
        <v>8.088123926625005E-3</v>
      </c>
      <c r="M242" s="9"/>
      <c r="N242" s="10">
        <f t="shared" si="65"/>
        <v>-151.56999999999994</v>
      </c>
      <c r="O242" s="8">
        <f>IFERROR(N242/N444, "NA")</f>
        <v>-8.0620667975504698E-3</v>
      </c>
      <c r="P242" s="9"/>
      <c r="Q242" s="7">
        <v>1113.08</v>
      </c>
      <c r="R242" s="8">
        <f>IFERROR(Q242/Q444, "NA")</f>
        <v>7.891212040627817E-3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-1113.08</v>
      </c>
      <c r="X242" s="8">
        <f>IFERROR(W242/W444, "NA")</f>
        <v>-4.0356050380164391E-2</v>
      </c>
      <c r="Y242" s="9"/>
      <c r="Z242" s="7">
        <v>871.28</v>
      </c>
      <c r="AA242" s="8">
        <f>IFERROR(Z242/Z444, "NA")</f>
        <v>7.9325323231026531E-3</v>
      </c>
      <c r="AB242" s="9"/>
      <c r="AC242" s="10">
        <f t="shared" si="67"/>
        <v>-241.79999999999995</v>
      </c>
      <c r="AD242" s="8">
        <f>IFERROR(AC242/AC444, "NA")</f>
        <v>-7.7458266876083781E-3</v>
      </c>
    </row>
    <row r="243" spans="1:30" ht="16.5" customHeight="1" x14ac:dyDescent="0.45">
      <c r="A243" s="12" t="s">
        <v>220</v>
      </c>
      <c r="B243" s="7">
        <v>1165.06</v>
      </c>
      <c r="C243" s="8">
        <f>IFERROR(B243/B444, "NA")</f>
        <v>1.5085248629643718E-2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-1165.06</v>
      </c>
      <c r="I243" s="8">
        <f>IFERROR(H243/H444, "NA")</f>
        <v>-9.6439137208027909E-2</v>
      </c>
      <c r="J243" s="9"/>
      <c r="K243" s="7">
        <v>416.99</v>
      </c>
      <c r="L243" s="8">
        <f>IFERROR(K243/K444, "NA")</f>
        <v>7.1364087942517159E-3</v>
      </c>
      <c r="M243" s="9"/>
      <c r="N243" s="10">
        <f t="shared" si="65"/>
        <v>-748.06999999999994</v>
      </c>
      <c r="O243" s="8">
        <f>IFERROR(N243/N444, "NA")</f>
        <v>-3.9790132013218855E-2</v>
      </c>
      <c r="P243" s="9"/>
      <c r="Q243" s="7">
        <v>3302.94</v>
      </c>
      <c r="R243" s="8">
        <f>IFERROR(Q243/Q444, "NA")</f>
        <v>2.3416286248491795E-2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-3302.94</v>
      </c>
      <c r="X243" s="8">
        <f>IFERROR(W243/W444, "NA")</f>
        <v>-0.11975205110383816</v>
      </c>
      <c r="Y243" s="9"/>
      <c r="Z243" s="7">
        <v>738.92</v>
      </c>
      <c r="AA243" s="8">
        <f>IFERROR(Z243/Z444, "NA")</f>
        <v>6.7274662383929535E-3</v>
      </c>
      <c r="AB243" s="9"/>
      <c r="AC243" s="10">
        <f t="shared" si="67"/>
        <v>-2564.02</v>
      </c>
      <c r="AD243" s="8">
        <f>IFERROR(AC243/AC444, "NA")</f>
        <v>-8.2135874869981959E-2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135.63</v>
      </c>
      <c r="C246" s="8">
        <f>IFERROR(B246/B444, "NA")</f>
        <v>1.7561432644143456E-3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-135.63</v>
      </c>
      <c r="I246" s="8">
        <f>IFERROR(H246/H444, "NA")</f>
        <v>-1.1226924089338597E-2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-135.63</v>
      </c>
      <c r="O246" s="8">
        <f>IFERROR(N246/N444, "NA")</f>
        <v>-7.2142120456011784E-3</v>
      </c>
      <c r="P246" s="9"/>
      <c r="Q246" s="7">
        <v>246.83</v>
      </c>
      <c r="R246" s="8">
        <f>IFERROR(Q246/Q444, "NA")</f>
        <v>1.7499082437813674E-3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-246.83</v>
      </c>
      <c r="X246" s="8">
        <f>IFERROR(W246/W444, "NA")</f>
        <v>-8.9491176872605535E-3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-246.83</v>
      </c>
      <c r="AD246" s="8">
        <f>IFERROR(AC246/AC444, "NA")</f>
        <v>-7.9069578217633423E-3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51.42</v>
      </c>
      <c r="L247" s="8">
        <f>IFERROR(K247/K444, "NA")</f>
        <v>8.800070510094325E-4</v>
      </c>
      <c r="M247" s="9"/>
      <c r="N247" s="10">
        <f t="shared" si="65"/>
        <v>51.42</v>
      </c>
      <c r="O247" s="8">
        <f>IFERROR(N247/N444, "NA")</f>
        <v>2.73504964524672E-3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85.76</v>
      </c>
      <c r="AA247" s="8">
        <f>IFERROR(Z247/Z444, "NA")</f>
        <v>7.8079833351997474E-4</v>
      </c>
      <c r="AB247" s="9"/>
      <c r="AC247" s="10">
        <f t="shared" si="67"/>
        <v>85.76</v>
      </c>
      <c r="AD247" s="8">
        <f>IFERROR(AC247/AC444, "NA")</f>
        <v>2.7472377863080838E-3</v>
      </c>
    </row>
    <row r="248" spans="1:30" ht="16.5" customHeight="1" x14ac:dyDescent="0.45">
      <c r="A248" s="12" t="s">
        <v>225</v>
      </c>
      <c r="B248" s="7">
        <v>165.41</v>
      </c>
      <c r="C248" s="8">
        <f>IFERROR(B248/B444, "NA")</f>
        <v>2.1417360271826064E-3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-165.41</v>
      </c>
      <c r="I248" s="8">
        <f>IFERROR(H248/H444, "NA")</f>
        <v>-1.3691996708821774E-2</v>
      </c>
      <c r="J248" s="9"/>
      <c r="K248" s="7">
        <v>173.75</v>
      </c>
      <c r="L248" s="8">
        <f>IFERROR(K248/K444, "NA")</f>
        <v>2.973574973023899E-3</v>
      </c>
      <c r="M248" s="9"/>
      <c r="N248" s="10">
        <f t="shared" si="65"/>
        <v>8.3400000000000034</v>
      </c>
      <c r="O248" s="8">
        <f>IFERROR(N248/N444, "NA")</f>
        <v>4.4360781877397228E-4</v>
      </c>
      <c r="P248" s="9"/>
      <c r="Q248" s="7">
        <v>351.67</v>
      </c>
      <c r="R248" s="8">
        <f>IFERROR(Q248/Q444, "NA")</f>
        <v>2.4931743794943625E-3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-351.67</v>
      </c>
      <c r="X248" s="8">
        <f>IFERROR(W248/W444, "NA")</f>
        <v>-1.2750217627836645E-2</v>
      </c>
      <c r="Y248" s="9"/>
      <c r="Z248" s="7">
        <v>173.75</v>
      </c>
      <c r="AA248" s="8">
        <f>IFERROR(Z248/Z444, "NA")</f>
        <v>1.5818996087814321E-3</v>
      </c>
      <c r="AB248" s="9"/>
      <c r="AC248" s="10">
        <f t="shared" si="67"/>
        <v>-177.92000000000002</v>
      </c>
      <c r="AD248" s="8">
        <f>IFERROR(AC248/AC444, "NA")</f>
        <v>-5.6994933178630396E-3</v>
      </c>
    </row>
    <row r="249" spans="1:30" ht="16.5" customHeight="1" x14ac:dyDescent="0.45">
      <c r="A249" s="12" t="s">
        <v>226</v>
      </c>
      <c r="B249" s="7">
        <v>1456.67</v>
      </c>
      <c r="C249" s="8">
        <f>IFERROR(B249/B444, "NA")</f>
        <v>1.8861027862378862E-2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-1456.67</v>
      </c>
      <c r="I249" s="8">
        <f>IFERROR(H249/H444, "NA")</f>
        <v>-0.12057747926872266</v>
      </c>
      <c r="J249" s="9"/>
      <c r="K249" s="7">
        <v>1004.2</v>
      </c>
      <c r="L249" s="8">
        <f>IFERROR(K249/K444, "NA")</f>
        <v>1.7185979786535827E-2</v>
      </c>
      <c r="M249" s="9"/>
      <c r="N249" s="10">
        <f t="shared" si="65"/>
        <v>-452.47</v>
      </c>
      <c r="O249" s="8">
        <f>IFERROR(N249/N444, "NA")</f>
        <v>-2.406705392813659E-2</v>
      </c>
      <c r="P249" s="9"/>
      <c r="Q249" s="7">
        <v>2753.76</v>
      </c>
      <c r="R249" s="8">
        <f>IFERROR(Q249/Q444, "NA")</f>
        <v>1.9522859155675479E-2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-2753.76</v>
      </c>
      <c r="X249" s="8">
        <f>IFERROR(W249/W444, "NA")</f>
        <v>-9.9840871541022669E-2</v>
      </c>
      <c r="Y249" s="9"/>
      <c r="Z249" s="7">
        <v>2345.9699999999998</v>
      </c>
      <c r="AA249" s="8">
        <f>IFERROR(Z249/Z444, "NA")</f>
        <v>2.1358785756621441E-2</v>
      </c>
      <c r="AB249" s="9"/>
      <c r="AC249" s="10">
        <f t="shared" si="67"/>
        <v>-407.79000000000042</v>
      </c>
      <c r="AD249" s="8">
        <f>IFERROR(AC249/AC444, "NA")</f>
        <v>-1.3063154114722185E-2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29.09</v>
      </c>
      <c r="C251" s="8">
        <f>IFERROR(B251/B444, "NA")</f>
        <v>3.7665861211983565E-4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-29.09</v>
      </c>
      <c r="I251" s="8">
        <f>IFERROR(H251/H444, "NA")</f>
        <v>-2.407957102107644E-3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-29.09</v>
      </c>
      <c r="O251" s="8">
        <f>IFERROR(N251/N444, "NA")</f>
        <v>-1.5473083271144901E-3</v>
      </c>
      <c r="P251" s="9"/>
      <c r="Q251" s="7">
        <v>29.09</v>
      </c>
      <c r="R251" s="8">
        <f>IFERROR(Q251/Q444, "NA")</f>
        <v>2.0623437512295903E-4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-1.0546928392918588E-3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-29.09</v>
      </c>
      <c r="AD251" s="8">
        <f>IFERROR(AC251/AC444, "NA")</f>
        <v>-9.3186972019242251E-4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28.04</v>
      </c>
      <c r="L252" s="8">
        <f>IFERROR(K252/K444, "NA")</f>
        <v>4.7987937981922377E-4</v>
      </c>
      <c r="M252" s="9"/>
      <c r="N252" s="10">
        <f t="shared" si="65"/>
        <v>28.04</v>
      </c>
      <c r="O252" s="8">
        <f>IFERROR(N252/N444, "NA")</f>
        <v>1.4914584218731627E-3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28.04</v>
      </c>
      <c r="AA252" s="8">
        <f>IFERROR(Z252/Z444, "NA")</f>
        <v>2.5528900736823798E-4</v>
      </c>
      <c r="AB252" s="9"/>
      <c r="AC252" s="10">
        <f t="shared" si="67"/>
        <v>28.04</v>
      </c>
      <c r="AD252" s="8">
        <f>IFERROR(AC252/AC444, "NA")</f>
        <v>8.9823399636285747E-4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705.57</v>
      </c>
      <c r="L253" s="8">
        <f>IFERROR(K253/K444, "NA")</f>
        <v>1.2075195935058835E-2</v>
      </c>
      <c r="M253" s="9"/>
      <c r="N253" s="10">
        <f t="shared" si="65"/>
        <v>705.57</v>
      </c>
      <c r="O253" s="8">
        <f>IFERROR(N253/N444, "NA")</f>
        <v>3.7529540610593708E-2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944.58</v>
      </c>
      <c r="AA253" s="8">
        <f>IFERROR(Z253/Z444, "NA")</f>
        <v>8.599889107699368E-3</v>
      </c>
      <c r="AB253" s="9"/>
      <c r="AC253" s="10">
        <f t="shared" si="67"/>
        <v>944.58</v>
      </c>
      <c r="AD253" s="8">
        <f>IFERROR(AC253/AC444, "NA")</f>
        <v>3.0258697157076606E-2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80.05</v>
      </c>
      <c r="R254" s="8">
        <f>IFERROR(Q254/Q444, "NA")</f>
        <v>5.6751673181824923E-4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-80.05</v>
      </c>
      <c r="X254" s="8">
        <f>IFERROR(W254/W444, "NA")</f>
        <v>-2.9023087585188481E-3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-80.05</v>
      </c>
      <c r="AD254" s="8">
        <f>IFERROR(AC254/AC444, "NA")</f>
        <v>-2.5643235167206401E-3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3956.8500000000004</v>
      </c>
      <c r="C262" s="15">
        <f>IFERROR(B262/B444, "NA")</f>
        <v>5.1233469555392638E-2</v>
      </c>
      <c r="D262" s="2"/>
      <c r="E262" s="14">
        <f>IFERROR(E240+E241+E242+E243+E244+E245+E246+E247+E248+E249+E250+E251+E252+E253+E254+E255+E256+E257+E258+E259+E260+E261, "NA")</f>
        <v>3304</v>
      </c>
      <c r="F262" s="15">
        <f>IFERROR(E262/E444, "NA")</f>
        <v>5.0712990261386787E-2</v>
      </c>
      <c r="G262" s="2"/>
      <c r="H262" s="14">
        <f t="shared" si="64"/>
        <v>-652.85000000000036</v>
      </c>
      <c r="I262" s="15">
        <f>IFERROR(H262/H444, "NA")</f>
        <v>-5.4040384809590114E-2</v>
      </c>
      <c r="J262" s="2"/>
      <c r="K262" s="14">
        <f>IFERROR(K240+K241+K242+K243+K244+K245+K246+K247+K248+K249+K250+K251+K252+K253+K254+K255+K256+K257+K258+K259+K260+K261, "NA")</f>
        <v>2999.98</v>
      </c>
      <c r="L262" s="15">
        <f>IFERROR(K262/K444, "NA")</f>
        <v>5.1341959410487692E-2</v>
      </c>
      <c r="M262" s="2"/>
      <c r="N262" s="14">
        <f t="shared" si="65"/>
        <v>-956.87000000000035</v>
      </c>
      <c r="O262" s="15">
        <f>IFERROR(N262/N444, "NA")</f>
        <v>-5.0896284598351417E-2</v>
      </c>
      <c r="P262" s="2"/>
      <c r="Q262" s="14">
        <f>IFERROR(Q240+Q241+Q242+Q243+Q244+Q245+Q246+Q247+Q248+Q249+Q250+Q251+Q252+Q253+Q254+Q255+Q256+Q257+Q258+Q259+Q260+Q261, "NA")</f>
        <v>8336.9500000000007</v>
      </c>
      <c r="R262" s="15">
        <f>IFERROR(Q262/Q444, "NA")</f>
        <v>5.9105042065361067E-2</v>
      </c>
      <c r="S262" s="2"/>
      <c r="T262" s="14">
        <f>IFERROR(T240+T241+T242+T243+T244+T245+T246+T247+T248+T249+T250+T251+T252+T253+T254+T255+T256+T257+T258+T259+T260+T261, "NA")</f>
        <v>5754.49</v>
      </c>
      <c r="U262" s="15">
        <f>IFERROR(T262/T444, "NA")</f>
        <v>5.0713032915190602E-2</v>
      </c>
      <c r="V262" s="2"/>
      <c r="W262" s="14">
        <f t="shared" si="66"/>
        <v>-2582.4600000000009</v>
      </c>
      <c r="X262" s="15">
        <f>IFERROR(W262/W444, "NA")</f>
        <v>-9.3630184591187854E-2</v>
      </c>
      <c r="Y262" s="2"/>
      <c r="Z262" s="14">
        <f>IFERROR(Z240+Z241+Z242+Z243+Z244+Z245+Z246+Z247+Z248+Z249+Z250+Z251+Z252+Z253+Z254+Z255+Z256+Z257+Z258+Z259+Z260+Z261, "NA")</f>
        <v>5383.12</v>
      </c>
      <c r="AA262" s="15">
        <f>IFERROR(Z262/Z444, "NA")</f>
        <v>4.9010390918120872E-2</v>
      </c>
      <c r="AB262" s="2"/>
      <c r="AC262" s="14">
        <f t="shared" si="67"/>
        <v>-2953.8300000000008</v>
      </c>
      <c r="AD262" s="15">
        <f>IFERROR(AC262/AC444, "NA")</f>
        <v>-9.4623057256651225E-2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3956.8500000000004</v>
      </c>
      <c r="C263" s="15">
        <f>IFERROR(B263/B444, "NA")</f>
        <v>5.1233469555392638E-2</v>
      </c>
      <c r="D263" s="2"/>
      <c r="E263" s="14">
        <f>IFERROR(E238+E240+E241+E242+E243+E244+E245+E246+E247+E248+E249+E250+E251+E252+E253+E254+E255+E256+E257+E258+E259+E260+E261, "NA")</f>
        <v>3304</v>
      </c>
      <c r="F263" s="15">
        <f>IFERROR(E263/E444, "NA")</f>
        <v>5.0712990261386787E-2</v>
      </c>
      <c r="G263" s="2"/>
      <c r="H263" s="14">
        <f t="shared" si="64"/>
        <v>-652.85000000000036</v>
      </c>
      <c r="I263" s="15">
        <f>IFERROR(H263/H444, "NA")</f>
        <v>-5.4040384809590114E-2</v>
      </c>
      <c r="J263" s="2"/>
      <c r="K263" s="14">
        <f>IFERROR(K238+K240+K241+K242+K243+K244+K245+K246+K247+K248+K249+K250+K251+K252+K253+K254+K255+K256+K257+K258+K259+K260+K261, "NA")</f>
        <v>2999.98</v>
      </c>
      <c r="L263" s="15">
        <f>IFERROR(K263/K444, "NA")</f>
        <v>5.1341959410487692E-2</v>
      </c>
      <c r="M263" s="2"/>
      <c r="N263" s="14">
        <f t="shared" si="65"/>
        <v>-956.87000000000035</v>
      </c>
      <c r="O263" s="15">
        <f>IFERROR(N263/N444, "NA")</f>
        <v>-5.0896284598351417E-2</v>
      </c>
      <c r="P263" s="2"/>
      <c r="Q263" s="14">
        <f>IFERROR(Q238+Q240+Q241+Q242+Q243+Q244+Q245+Q246+Q247+Q248+Q249+Q250+Q251+Q252+Q253+Q254+Q255+Q256+Q257+Q258+Q259+Q260+Q261, "NA")</f>
        <v>8336.9500000000007</v>
      </c>
      <c r="R263" s="15">
        <f>IFERROR(Q263/Q444, "NA")</f>
        <v>5.9105042065361067E-2</v>
      </c>
      <c r="S263" s="2"/>
      <c r="T263" s="14">
        <f>IFERROR(T238+T240+T241+T242+T243+T244+T245+T246+T247+T248+T249+T250+T251+T252+T253+T254+T255+T256+T257+T258+T259+T260+T261, "NA")</f>
        <v>5754.49</v>
      </c>
      <c r="U263" s="15">
        <f>IFERROR(T263/T444, "NA")</f>
        <v>5.0713032915190602E-2</v>
      </c>
      <c r="V263" s="2"/>
      <c r="W263" s="14">
        <f t="shared" si="66"/>
        <v>-2582.4600000000009</v>
      </c>
      <c r="X263" s="15">
        <f>IFERROR(W263/W444, "NA")</f>
        <v>-9.3630184591187854E-2</v>
      </c>
      <c r="Y263" s="2"/>
      <c r="Z263" s="14">
        <f>IFERROR(Z238+Z240+Z241+Z242+Z243+Z244+Z245+Z246+Z247+Z248+Z249+Z250+Z251+Z252+Z253+Z254+Z255+Z256+Z257+Z258+Z259+Z260+Z261, "NA")</f>
        <v>5383.12</v>
      </c>
      <c r="AA263" s="15">
        <f>IFERROR(Z263/Z444, "NA")</f>
        <v>4.9010390918120872E-2</v>
      </c>
      <c r="AB263" s="2"/>
      <c r="AC263" s="14">
        <f t="shared" si="67"/>
        <v>-2953.8300000000008</v>
      </c>
      <c r="AD263" s="15">
        <f>IFERROR(AC263/AC444, "NA")</f>
        <v>-9.4623057256651225E-2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1743.84</v>
      </c>
      <c r="C265" s="8">
        <f>IFERROR(B265/B444, "NA")</f>
        <v>2.257931777789805E-2</v>
      </c>
      <c r="D265" s="9"/>
      <c r="E265" s="7">
        <v>1889.38</v>
      </c>
      <c r="F265" s="8">
        <f>IFERROR(E265/E444, "NA")</f>
        <v>2.9000033153770876E-2</v>
      </c>
      <c r="G265" s="9"/>
      <c r="H265" s="10">
        <f>IFERROR(-(B265-E265), "NA")</f>
        <v>145.54000000000019</v>
      </c>
      <c r="I265" s="8">
        <f>IFERROR(H265/H444, "NA")</f>
        <v>1.2047235360630697E-2</v>
      </c>
      <c r="J265" s="9"/>
      <c r="K265" s="7">
        <v>1620.42</v>
      </c>
      <c r="L265" s="8">
        <f>IFERROR(K265/K444, "NA")</f>
        <v>2.7732030836186399E-2</v>
      </c>
      <c r="M265" s="9"/>
      <c r="N265" s="10">
        <f>IFERROR(-(B265-K265), "NA")</f>
        <v>-123.41999999999985</v>
      </c>
      <c r="O265" s="8">
        <f>IFERROR(N265/N444, "NA")</f>
        <v>-6.5647574332234494E-3</v>
      </c>
      <c r="P265" s="9"/>
      <c r="Q265" s="7">
        <v>3417.98</v>
      </c>
      <c r="R265" s="8">
        <f>IFERROR(Q265/Q444, "NA")</f>
        <v>2.4231865571769387E-2</v>
      </c>
      <c r="S265" s="9"/>
      <c r="T265" s="7">
        <v>3290.68</v>
      </c>
      <c r="U265" s="8">
        <f>IFERROR(T265/T444, "NA")</f>
        <v>2.9000026614584333E-2</v>
      </c>
      <c r="V265" s="9"/>
      <c r="W265" s="10">
        <f>IFERROR(-(Q265-T265), "NA")</f>
        <v>-127.30000000000018</v>
      </c>
      <c r="X265" s="8">
        <f>IFERROR(W265/W444, "NA")</f>
        <v>-4.6154141781317914E-3</v>
      </c>
      <c r="Y265" s="9"/>
      <c r="Z265" s="7">
        <v>2814.39</v>
      </c>
      <c r="AA265" s="8">
        <f>IFERROR(Z265/Z444, "NA")</f>
        <v>2.5623496057314385E-2</v>
      </c>
      <c r="AB265" s="9"/>
      <c r="AC265" s="10">
        <f>IFERROR(-(Q265-Z265), "NA")</f>
        <v>-603.59000000000015</v>
      </c>
      <c r="AD265" s="8">
        <f>IFERROR(AC265/AC444, "NA")</f>
        <v>-1.9335415758368665E-2</v>
      </c>
    </row>
    <row r="266" spans="1:30" ht="16.5" customHeight="1" x14ac:dyDescent="0.45">
      <c r="A266" s="6" t="s">
        <v>242</v>
      </c>
      <c r="B266" s="7">
        <v>44.62</v>
      </c>
      <c r="C266" s="8">
        <f>IFERROR(B266/B444, "NA")</f>
        <v>5.7774174193149074E-4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-44.62</v>
      </c>
      <c r="I266" s="8">
        <f>IFERROR(H266/H444, "NA")</f>
        <v>-3.6934701236178437E-3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-44.62</v>
      </c>
      <c r="O266" s="8">
        <f>IFERROR(N266/N444, "NA")</f>
        <v>-2.3733550208266947E-3</v>
      </c>
      <c r="P266" s="9"/>
      <c r="Q266" s="7">
        <v>44.62</v>
      </c>
      <c r="R266" s="8">
        <f>IFERROR(Q266/Q444, "NA")</f>
        <v>3.1633474795415714E-4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-44.62</v>
      </c>
      <c r="X266" s="8">
        <f>IFERROR(W266/W444, "NA")</f>
        <v>-1.6177516153043222E-3</v>
      </c>
      <c r="Y266" s="9"/>
      <c r="Z266" s="7">
        <v>42.57</v>
      </c>
      <c r="AA266" s="8">
        <f>IFERROR(Z266/Z444, "NA")</f>
        <v>3.8757678472417588E-4</v>
      </c>
      <c r="AB266" s="9"/>
      <c r="AC266" s="10">
        <f>IFERROR(-(Q266-Z266), "NA")</f>
        <v>-2.0499999999999972</v>
      </c>
      <c r="AD266" s="8">
        <f>IFERROR(AC266/AC444, "NA")</f>
        <v>-6.5669746524388568E-5</v>
      </c>
    </row>
    <row r="267" spans="1:30" ht="16.5" customHeight="1" x14ac:dyDescent="0.45">
      <c r="A267" s="19" t="s">
        <v>243</v>
      </c>
      <c r="B267" s="14">
        <f>IFERROR(B265+B266, "NA")</f>
        <v>1788.4599999999998</v>
      </c>
      <c r="C267" s="15">
        <f>IFERROR(B267/B444, "NA")</f>
        <v>2.3157059519829538E-2</v>
      </c>
      <c r="D267" s="2"/>
      <c r="E267" s="14">
        <f>IFERROR(E265+E266, "NA")</f>
        <v>1889.38</v>
      </c>
      <c r="F267" s="15">
        <f>IFERROR(E267/E444, "NA")</f>
        <v>2.9000033153770876E-2</v>
      </c>
      <c r="G267" s="2"/>
      <c r="H267" s="14">
        <f>IFERROR(-(B267-E267), "NA")</f>
        <v>100.9200000000003</v>
      </c>
      <c r="I267" s="15">
        <f>IFERROR(H267/H444, "NA")</f>
        <v>8.3537652370128633E-3</v>
      </c>
      <c r="J267" s="2"/>
      <c r="K267" s="14">
        <f>IFERROR(K265+K266, "NA")</f>
        <v>1620.42</v>
      </c>
      <c r="L267" s="15">
        <f>IFERROR(K267/K444, "NA")</f>
        <v>2.7732030836186399E-2</v>
      </c>
      <c r="M267" s="2"/>
      <c r="N267" s="14">
        <f>IFERROR(-(B267-K267), "NA")</f>
        <v>-168.03999999999974</v>
      </c>
      <c r="O267" s="15">
        <f>IFERROR(N267/N444, "NA")</f>
        <v>-8.9381124540501376E-3</v>
      </c>
      <c r="P267" s="2"/>
      <c r="Q267" s="14">
        <f>IFERROR(Q265+Q266, "NA")</f>
        <v>3462.6</v>
      </c>
      <c r="R267" s="15">
        <f>IFERROR(Q267/Q444, "NA")</f>
        <v>2.4548200319723545E-2</v>
      </c>
      <c r="S267" s="2"/>
      <c r="T267" s="14">
        <f>IFERROR(T265+T266, "NA")</f>
        <v>3290.68</v>
      </c>
      <c r="U267" s="15">
        <f>IFERROR(T267/T444, "NA")</f>
        <v>2.9000026614584333E-2</v>
      </c>
      <c r="V267" s="2"/>
      <c r="W267" s="14">
        <f>IFERROR(-(Q267-T267), "NA")</f>
        <v>-171.92000000000007</v>
      </c>
      <c r="X267" s="15">
        <f>IFERROR(W267/W444, "NA")</f>
        <v>-6.2331657934361099E-3</v>
      </c>
      <c r="Y267" s="2"/>
      <c r="Z267" s="14">
        <f>IFERROR(Z265+Z266, "NA")</f>
        <v>2856.96</v>
      </c>
      <c r="AA267" s="15">
        <f>IFERROR(Z267/Z444, "NA")</f>
        <v>2.601107284203856E-2</v>
      </c>
      <c r="AB267" s="2"/>
      <c r="AC267" s="14">
        <f>IFERROR(-(Q267-Z267), "NA")</f>
        <v>-605.63999999999987</v>
      </c>
      <c r="AD267" s="15">
        <f>IFERROR(AC267/AC444, "NA")</f>
        <v>-1.9401085504893043E-2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2.8287592640020799E-3</v>
      </c>
      <c r="D270" s="9"/>
      <c r="E270" s="7">
        <v>158.11000000000001</v>
      </c>
      <c r="F270" s="8">
        <f>IFERROR(E270/E444, "NA")</f>
        <v>2.4268253299721144E-3</v>
      </c>
      <c r="G270" s="9"/>
      <c r="H270" s="10">
        <f>IFERROR(-(B270-E270), "NA")</f>
        <v>-60.359999999999985</v>
      </c>
      <c r="I270" s="8">
        <f>IFERROR(H270/H444, "NA")</f>
        <v>-4.9963661286771179E-3</v>
      </c>
      <c r="J270" s="9"/>
      <c r="K270" s="7">
        <v>182.93</v>
      </c>
      <c r="L270" s="8">
        <f>IFERROR(K270/K444, "NA")</f>
        <v>3.1306824162029459E-3</v>
      </c>
      <c r="M270" s="9"/>
      <c r="N270" s="10">
        <f>IFERROR(-(B270-K270), "NA")</f>
        <v>-35.539999999999992</v>
      </c>
      <c r="O270" s="8">
        <f>IFERROR(N270/N444, "NA")</f>
        <v>-1.8903863164540726E-3</v>
      </c>
      <c r="P270" s="9"/>
      <c r="Q270" s="7">
        <v>436.94</v>
      </c>
      <c r="R270" s="8">
        <f>IFERROR(Q270/Q444, "NA")</f>
        <v>3.0976984484780241E-3</v>
      </c>
      <c r="S270" s="9"/>
      <c r="T270" s="7">
        <v>289.81</v>
      </c>
      <c r="U270" s="8">
        <f>IFERROR(T270/T444, "NA")</f>
        <v>2.5540306906696141E-3</v>
      </c>
      <c r="V270" s="9"/>
      <c r="W270" s="10">
        <f>IFERROR(-(Q270-T270), "NA")</f>
        <v>-147.13</v>
      </c>
      <c r="X270" s="8">
        <f>IFERROR(W270/W444, "NA")</f>
        <v>-5.3343746113788644E-3</v>
      </c>
      <c r="Y270" s="9"/>
      <c r="Z270" s="7">
        <v>365.86</v>
      </c>
      <c r="AA270" s="8">
        <f>IFERROR(Z270/Z444, "NA")</f>
        <v>3.3309570697483437E-3</v>
      </c>
      <c r="AB270" s="9"/>
      <c r="AC270" s="10">
        <f>IFERROR(-(Q270-Z270), "NA")</f>
        <v>-71.079999999999984</v>
      </c>
      <c r="AD270" s="8">
        <f>IFERROR(AC270/AC444, "NA")</f>
        <v>-2.2769783331480706E-3</v>
      </c>
    </row>
    <row r="271" spans="1:30" ht="16.5" customHeight="1" x14ac:dyDescent="0.45">
      <c r="A271" s="6" t="s">
        <v>246</v>
      </c>
      <c r="B271" s="7">
        <v>1218.2</v>
      </c>
      <c r="C271" s="8">
        <f>IFERROR(B271/B444, "NA")</f>
        <v>1.5773307710016633E-2</v>
      </c>
      <c r="D271" s="9"/>
      <c r="E271" s="7">
        <v>781.81</v>
      </c>
      <c r="F271" s="8">
        <f>IFERROR(E271/E444, "NA")</f>
        <v>1.1999976669568644E-2</v>
      </c>
      <c r="G271" s="9"/>
      <c r="H271" s="10">
        <f>IFERROR(-(B271-E271), "NA")</f>
        <v>-436.3900000000001</v>
      </c>
      <c r="I271" s="8">
        <f>IFERROR(H271/H444, "NA")</f>
        <v>-3.6122667576100206E-2</v>
      </c>
      <c r="J271" s="9"/>
      <c r="K271" s="7">
        <v>1086.1400000000001</v>
      </c>
      <c r="L271" s="8">
        <f>IFERROR(K271/K444, "NA")</f>
        <v>1.8588309186763616E-2</v>
      </c>
      <c r="M271" s="9"/>
      <c r="N271" s="10">
        <f>IFERROR(-(B271-K271), "NA")</f>
        <v>-132.05999999999995</v>
      </c>
      <c r="O271" s="8">
        <f>IFERROR(N271/N444, "NA")</f>
        <v>-7.0243223677806631E-3</v>
      </c>
      <c r="P271" s="9"/>
      <c r="Q271" s="7">
        <v>2436.4</v>
      </c>
      <c r="R271" s="8">
        <f>IFERROR(Q271/Q444, "NA")</f>
        <v>1.7272926488469488E-2</v>
      </c>
      <c r="S271" s="9"/>
      <c r="T271" s="7">
        <v>1361.66</v>
      </c>
      <c r="U271" s="8">
        <f>IFERROR(T271/T444, "NA")</f>
        <v>1.2000004935154712E-2</v>
      </c>
      <c r="V271" s="9"/>
      <c r="W271" s="10">
        <f>IFERROR(-(Q271-T271), "NA")</f>
        <v>-1074.74</v>
      </c>
      <c r="X271" s="8">
        <f>IFERROR(W271/W444, "NA")</f>
        <v>-3.8965987696821323E-2</v>
      </c>
      <c r="Y271" s="9"/>
      <c r="Z271" s="7">
        <v>2172.2800000000002</v>
      </c>
      <c r="AA271" s="8">
        <f>IFERROR(Z271/Z444, "NA")</f>
        <v>1.9777432415330816E-2</v>
      </c>
      <c r="AB271" s="9"/>
      <c r="AC271" s="10">
        <f>IFERROR(-(Q271-Z271), "NA")</f>
        <v>-264.11999999999989</v>
      </c>
      <c r="AD271" s="8">
        <f>IFERROR(AC271/AC444, "NA")</f>
        <v>-8.4608260741568415E-3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1436.67</v>
      </c>
      <c r="C273" s="15">
        <f>IFERROR(B273/B444, "NA")</f>
        <v>1.8602066974018713E-2</v>
      </c>
      <c r="D273" s="2"/>
      <c r="E273" s="14">
        <f>IFERROR(E269+E270+E271+E272, "NA")</f>
        <v>939.92</v>
      </c>
      <c r="F273" s="15">
        <f>IFERROR(E273/E444, "NA")</f>
        <v>1.4426801999540759E-2</v>
      </c>
      <c r="G273" s="2"/>
      <c r="H273" s="14">
        <f>IFERROR(-(B273-E273), "NA")</f>
        <v>-496.75000000000011</v>
      </c>
      <c r="I273" s="15">
        <f>IFERROR(H273/H444, "NA")</f>
        <v>-4.1119033704777326E-2</v>
      </c>
      <c r="J273" s="2"/>
      <c r="K273" s="14">
        <f>IFERROR(K269+K270+K271+K272, "NA")</f>
        <v>1269.0700000000002</v>
      </c>
      <c r="L273" s="15">
        <f>IFERROR(K273/K444, "NA")</f>
        <v>2.1718991602966562E-2</v>
      </c>
      <c r="M273" s="2"/>
      <c r="N273" s="14">
        <f>IFERROR(-(B273-K273), "NA")</f>
        <v>-167.59999999999991</v>
      </c>
      <c r="O273" s="15">
        <f>IFERROR(N273/N444, "NA")</f>
        <v>-8.9147086842347335E-3</v>
      </c>
      <c r="P273" s="2"/>
      <c r="Q273" s="14">
        <f>IFERROR(Q269+Q270+Q271+Q272, "NA")</f>
        <v>2873.34</v>
      </c>
      <c r="R273" s="15">
        <f>IFERROR(Q273/Q444, "NA")</f>
        <v>2.0370624936947513E-2</v>
      </c>
      <c r="S273" s="2"/>
      <c r="T273" s="14">
        <f>IFERROR(T269+T270+T271+T272, "NA")</f>
        <v>1651.47</v>
      </c>
      <c r="U273" s="15">
        <f>IFERROR(T273/T444, "NA")</f>
        <v>1.4554035625824326E-2</v>
      </c>
      <c r="V273" s="2"/>
      <c r="W273" s="14">
        <f>IFERROR(-(Q273-T273), "NA")</f>
        <v>-1221.8700000000001</v>
      </c>
      <c r="X273" s="15">
        <f>IFERROR(W273/W444, "NA")</f>
        <v>-4.430036230820019E-2</v>
      </c>
      <c r="Y273" s="2"/>
      <c r="Z273" s="14">
        <f>IFERROR(Z269+Z270+Z271+Z272, "NA")</f>
        <v>2538.1400000000003</v>
      </c>
      <c r="AA273" s="15">
        <f>IFERROR(Z273/Z444, "NA")</f>
        <v>2.3108389485079161E-2</v>
      </c>
      <c r="AB273" s="2"/>
      <c r="AC273" s="14">
        <f>IFERROR(-(Q273-Z273), "NA")</f>
        <v>-335.19999999999982</v>
      </c>
      <c r="AD273" s="15">
        <f>IFERROR(AC273/AC444, "NA")</f>
        <v>-1.073780440730491E-2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1.2566465549008735E-2</v>
      </c>
      <c r="D287" s="9"/>
      <c r="E287" s="7">
        <v>1350</v>
      </c>
      <c r="F287" s="8">
        <f>IFERROR(E287/E444, "NA")</f>
        <v>2.0721106795663486E-2</v>
      </c>
      <c r="G287" s="9"/>
      <c r="H287" s="10">
        <f t="shared" si="72"/>
        <v>379.47</v>
      </c>
      <c r="I287" s="8">
        <f>IFERROR(H287/H444, "NA")</f>
        <v>3.141105127317937E-2</v>
      </c>
      <c r="J287" s="9"/>
      <c r="K287" s="7">
        <v>970.53</v>
      </c>
      <c r="L287" s="8">
        <f>IFERROR(K287/K444, "NA")</f>
        <v>1.6609748020540344E-2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1941.06</v>
      </c>
      <c r="R287" s="8">
        <f>IFERROR(Q287/Q444, "NA")</f>
        <v>1.3761199593543171E-2</v>
      </c>
      <c r="S287" s="9"/>
      <c r="T287" s="7">
        <v>2700</v>
      </c>
      <c r="U287" s="8">
        <f>IFERROR(T287/T444, "NA")</f>
        <v>2.3794495927704214E-2</v>
      </c>
      <c r="V287" s="9"/>
      <c r="W287" s="10">
        <f t="shared" si="74"/>
        <v>758.94</v>
      </c>
      <c r="X287" s="8">
        <f>IFERROR(W287/W444, "NA")</f>
        <v>2.7516279939916236E-2</v>
      </c>
      <c r="Y287" s="9"/>
      <c r="Z287" s="7">
        <v>1941.06</v>
      </c>
      <c r="AA287" s="8">
        <f>IFERROR(Z287/Z444, "NA")</f>
        <v>1.7672299594942653E-2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371.95</v>
      </c>
      <c r="C288" s="8">
        <f>IFERROR(B288/B444, "NA")</f>
        <v>4.8160251212778574E-3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-371.95</v>
      </c>
      <c r="I288" s="8">
        <f>IFERROR(H288/H444, "NA")</f>
        <v>-3.0788574909898184E-2</v>
      </c>
      <c r="J288" s="9"/>
      <c r="K288" s="7">
        <v>100.13</v>
      </c>
      <c r="L288" s="8">
        <f>IFERROR(K288/K444, "NA")</f>
        <v>1.7136348894899742E-3</v>
      </c>
      <c r="M288" s="9"/>
      <c r="N288" s="10">
        <f t="shared" si="73"/>
        <v>-271.82</v>
      </c>
      <c r="O288" s="8">
        <f>IFERROR(N288/N444, "NA")</f>
        <v>-1.4458210707331066E-2</v>
      </c>
      <c r="P288" s="9"/>
      <c r="Q288" s="7">
        <v>743.9</v>
      </c>
      <c r="R288" s="8">
        <f>IFERROR(Q288/Q444, "NA")</f>
        <v>5.2739000224808945E-3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-743.9</v>
      </c>
      <c r="X288" s="8">
        <f>IFERROR(W288/W444, "NA")</f>
        <v>-2.6970986701588647E-2</v>
      </c>
      <c r="Y288" s="9"/>
      <c r="Z288" s="7">
        <v>200.26</v>
      </c>
      <c r="AA288" s="8">
        <f>IFERROR(Z288/Z444, "NA")</f>
        <v>1.8232587951342132E-3</v>
      </c>
      <c r="AB288" s="9"/>
      <c r="AC288" s="10">
        <f t="shared" si="75"/>
        <v>-543.64</v>
      </c>
      <c r="AD288" s="8">
        <f>IFERROR(AC288/AC444, "NA")</f>
        <v>-1.7414976097813974E-2</v>
      </c>
    </row>
    <row r="289" spans="1:30" ht="16.5" customHeight="1" x14ac:dyDescent="0.45">
      <c r="A289" s="6" t="s">
        <v>262</v>
      </c>
      <c r="B289" s="7">
        <v>211.16</v>
      </c>
      <c r="C289" s="8">
        <f>IFERROR(B289/B444, "NA")</f>
        <v>2.7341090593064454E-3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-211.16</v>
      </c>
      <c r="I289" s="8">
        <f>IFERROR(H289/H444, "NA")</f>
        <v>-1.7479003839156071E-2</v>
      </c>
      <c r="J289" s="9"/>
      <c r="K289" s="7">
        <v>201.24</v>
      </c>
      <c r="L289" s="8">
        <f>IFERROR(K289/K444, "NA")</f>
        <v>3.4440415975328315E-3</v>
      </c>
      <c r="M289" s="9"/>
      <c r="N289" s="10">
        <f t="shared" si="73"/>
        <v>-9.9199999999999875</v>
      </c>
      <c r="O289" s="8">
        <f>IFERROR(N289/N444, "NA")</f>
        <v>-5.2764862856568315E-4</v>
      </c>
      <c r="P289" s="9"/>
      <c r="Q289" s="7">
        <v>419.41</v>
      </c>
      <c r="R289" s="8">
        <f>IFERROR(Q289/Q444, "NA")</f>
        <v>2.9734190192616107E-3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-419.41</v>
      </c>
      <c r="X289" s="8">
        <f>IFERROR(W289/W444, "NA")</f>
        <v>-1.5206212572272207E-2</v>
      </c>
      <c r="Y289" s="9"/>
      <c r="Z289" s="7">
        <v>402.48</v>
      </c>
      <c r="AA289" s="8">
        <f>IFERROR(Z289/Z444, "NA")</f>
        <v>3.6643623283012993E-3</v>
      </c>
      <c r="AB289" s="9"/>
      <c r="AC289" s="10">
        <f t="shared" si="75"/>
        <v>-16.930000000000007</v>
      </c>
      <c r="AD289" s="8">
        <f>IFERROR(AC289/AC444, "NA")</f>
        <v>-5.4233600422336605E-4</v>
      </c>
    </row>
    <row r="290" spans="1:30" ht="16.5" customHeight="1" x14ac:dyDescent="0.45">
      <c r="A290" s="6" t="s">
        <v>263</v>
      </c>
      <c r="B290" s="7">
        <v>278.97000000000003</v>
      </c>
      <c r="C290" s="8">
        <f>IFERROR(B290/B444, "NA")</f>
        <v>3.6121159512915286E-3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-278.97000000000003</v>
      </c>
      <c r="I290" s="8">
        <f>IFERROR(H290/H444, "NA")</f>
        <v>-2.3092052003264682E-2</v>
      </c>
      <c r="J290" s="9"/>
      <c r="K290" s="7">
        <v>250.96</v>
      </c>
      <c r="L290" s="8">
        <f>IFERROR(K290/K444, "NA")</f>
        <v>4.2949546775831815E-3</v>
      </c>
      <c r="M290" s="9"/>
      <c r="N290" s="10">
        <f t="shared" si="73"/>
        <v>-28.010000000000019</v>
      </c>
      <c r="O290" s="8">
        <f>IFERROR(N290/N444, "NA")</f>
        <v>-1.4898627102948401E-3</v>
      </c>
      <c r="P290" s="9"/>
      <c r="Q290" s="7">
        <v>512.13</v>
      </c>
      <c r="R290" s="8">
        <f>IFERROR(Q290/Q444, "NA")</f>
        <v>3.6307600732801994E-3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-512.13</v>
      </c>
      <c r="X290" s="8">
        <f>IFERROR(W290/W444, "NA")</f>
        <v>-1.8567887376642819E-2</v>
      </c>
      <c r="Y290" s="9"/>
      <c r="Z290" s="7">
        <v>501.92</v>
      </c>
      <c r="AA290" s="8">
        <f>IFERROR(Z290/Z444, "NA")</f>
        <v>4.5697096497241806E-3</v>
      </c>
      <c r="AB290" s="9"/>
      <c r="AC290" s="10">
        <f t="shared" si="75"/>
        <v>-10.20999999999998</v>
      </c>
      <c r="AD290" s="8">
        <f>IFERROR(AC290/AC444, "NA")</f>
        <v>-3.270673717141497E-4</v>
      </c>
    </row>
    <row r="291" spans="1:30" ht="16.5" customHeight="1" x14ac:dyDescent="0.45">
      <c r="A291" s="6" t="s">
        <v>264</v>
      </c>
      <c r="B291" s="7">
        <v>115.89</v>
      </c>
      <c r="C291" s="8">
        <f>IFERROR(B291/B444, "NA")</f>
        <v>1.5005488676028793E-3</v>
      </c>
      <c r="D291" s="9"/>
      <c r="E291" s="7">
        <v>977.26</v>
      </c>
      <c r="F291" s="8">
        <f>IFERROR(E291/E444, "NA")</f>
        <v>1.4999932464540814E-2</v>
      </c>
      <c r="G291" s="9"/>
      <c r="H291" s="10">
        <f t="shared" si="72"/>
        <v>861.37</v>
      </c>
      <c r="I291" s="8">
        <f>IFERROR(H291/H444, "NA")</f>
        <v>7.1300859712700629E-2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-115.89</v>
      </c>
      <c r="O291" s="8">
        <f>IFERROR(N291/N444, "NA")</f>
        <v>-6.1642338270642234E-3</v>
      </c>
      <c r="P291" s="9"/>
      <c r="Q291" s="7">
        <v>1121.22</v>
      </c>
      <c r="R291" s="8">
        <f>IFERROR(Q291/Q444, "NA")</f>
        <v>7.9489208001156456E-3</v>
      </c>
      <c r="S291" s="9"/>
      <c r="T291" s="7">
        <v>1702.07</v>
      </c>
      <c r="U291" s="8">
        <f>IFERROR(T291/T444, "NA")</f>
        <v>1.4999962105062041E-2</v>
      </c>
      <c r="V291" s="9"/>
      <c r="W291" s="10">
        <f t="shared" si="74"/>
        <v>580.84999999999991</v>
      </c>
      <c r="X291" s="8">
        <f>IFERROR(W291/W444, "NA")</f>
        <v>2.105941339644813E-2</v>
      </c>
      <c r="Y291" s="9"/>
      <c r="Z291" s="7">
        <v>-483.99</v>
      </c>
      <c r="AA291" s="8">
        <f>IFERROR(Z291/Z444, "NA")</f>
        <v>-4.4064667145561169E-3</v>
      </c>
      <c r="AB291" s="9"/>
      <c r="AC291" s="10">
        <f t="shared" si="75"/>
        <v>-1605.21</v>
      </c>
      <c r="AD291" s="8">
        <f>IFERROR(AC291/AC444, "NA")</f>
        <v>-5.1421333569958011E-2</v>
      </c>
    </row>
    <row r="292" spans="1:30" ht="16.5" customHeight="1" x14ac:dyDescent="0.45">
      <c r="A292" s="6" t="s">
        <v>265</v>
      </c>
      <c r="B292" s="7">
        <v>1703.69</v>
      </c>
      <c r="C292" s="8">
        <f>IFERROR(B292/B444, "NA")</f>
        <v>2.2059453794515051E-2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-1703.69</v>
      </c>
      <c r="I292" s="8">
        <f>IFERROR(H292/H444, "NA")</f>
        <v>-0.14102483448916373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-1703.69</v>
      </c>
      <c r="O292" s="8">
        <f>IFERROR(N292/N444, "NA")</f>
        <v>-9.0619928629140117E-2</v>
      </c>
      <c r="P292" s="9"/>
      <c r="Q292" s="7">
        <v>1703.69</v>
      </c>
      <c r="R292" s="8">
        <f>IFERROR(Q292/Q444, "NA")</f>
        <v>1.2078358286463873E-2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-1703.69</v>
      </c>
      <c r="X292" s="8">
        <f>IFERROR(W292/W444, "NA")</f>
        <v>-6.1769324282335746E-2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-1703.69</v>
      </c>
      <c r="AD292" s="8">
        <f>IFERROR(AC292/AC444, "NA")</f>
        <v>-5.4576044124944253E-2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33.33</v>
      </c>
      <c r="C294" s="8">
        <f>IFERROR(B294/B444, "NA")</f>
        <v>4.315583204521871E-4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-33.33</v>
      </c>
      <c r="I294" s="8">
        <f>IFERROR(H294/H444, "NA")</f>
        <v>-2.7589278175746915E-3</v>
      </c>
      <c r="J294" s="9"/>
      <c r="K294" s="7">
        <v>385.83</v>
      </c>
      <c r="L294" s="8">
        <f>IFERROR(K294/K444, "NA")</f>
        <v>6.6031334206722928E-3</v>
      </c>
      <c r="M294" s="9"/>
      <c r="N294" s="10">
        <f t="shared" si="73"/>
        <v>352.5</v>
      </c>
      <c r="O294" s="8">
        <f>IFERROR(N294/N444, "NA")</f>
        <v>1.8749611045302778E-2</v>
      </c>
      <c r="P294" s="9"/>
      <c r="Q294" s="7">
        <v>441.65</v>
      </c>
      <c r="R294" s="8">
        <f>IFERROR(Q294/Q444, "NA")</f>
        <v>3.1310901262652062E-3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-441.65</v>
      </c>
      <c r="X294" s="8">
        <f>IFERROR(W294/W444, "NA")</f>
        <v>-1.6012550445969383E-2</v>
      </c>
      <c r="Y294" s="9"/>
      <c r="Z294" s="7">
        <v>771.66</v>
      </c>
      <c r="AA294" s="8">
        <f>IFERROR(Z294/Z444, "NA")</f>
        <v>7.0255461992073656E-3</v>
      </c>
      <c r="AB294" s="9"/>
      <c r="AC294" s="10">
        <f t="shared" si="75"/>
        <v>330.01</v>
      </c>
      <c r="AD294" s="8">
        <f>IFERROR(AC294/AC444, "NA")</f>
        <v>1.0571547829518781E-2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3685.5200000000004</v>
      </c>
      <c r="C295" s="15">
        <f>IFERROR(B295/B444, "NA")</f>
        <v>4.7720276663454693E-2</v>
      </c>
      <c r="D295" s="2"/>
      <c r="E295" s="14">
        <f>IFERROR(E286+E287+E288+E289+E290+E291+E292+E293+E294, "NA")</f>
        <v>2327.2600000000002</v>
      </c>
      <c r="F295" s="15">
        <f>IFERROR(E295/E444, "NA")</f>
        <v>3.5721039260204306E-2</v>
      </c>
      <c r="G295" s="2"/>
      <c r="H295" s="14">
        <f t="shared" si="72"/>
        <v>-1358.2600000000002</v>
      </c>
      <c r="I295" s="15">
        <f>IFERROR(H295/H444, "NA")</f>
        <v>-0.11243148207317735</v>
      </c>
      <c r="J295" s="2"/>
      <c r="K295" s="14">
        <f>IFERROR(K286+K287+K288+K289+K290+K291+K292+K293+K294, "NA")</f>
        <v>1908.6899999999998</v>
      </c>
      <c r="L295" s="15">
        <f>IFERROR(K295/K444, "NA")</f>
        <v>3.2665512605818618E-2</v>
      </c>
      <c r="M295" s="2"/>
      <c r="N295" s="14">
        <f t="shared" si="73"/>
        <v>-1776.8300000000006</v>
      </c>
      <c r="O295" s="15">
        <f>IFERROR(N295/N444, "NA")</f>
        <v>-9.4510273457093175E-2</v>
      </c>
      <c r="P295" s="2"/>
      <c r="Q295" s="14">
        <f>IFERROR(Q286+Q287+Q288+Q289+Q290+Q291+Q292+Q293+Q294, "NA")</f>
        <v>6883.0599999999995</v>
      </c>
      <c r="R295" s="15">
        <f>IFERROR(Q295/Q444, "NA")</f>
        <v>4.8797647921410593E-2</v>
      </c>
      <c r="S295" s="2"/>
      <c r="T295" s="14">
        <f>IFERROR(T286+T287+T288+T289+T290+T291+T292+T293+T294, "NA")</f>
        <v>4402.07</v>
      </c>
      <c r="U295" s="15">
        <f>IFERROR(T295/T444, "NA")</f>
        <v>3.8794458032766252E-2</v>
      </c>
      <c r="V295" s="2"/>
      <c r="W295" s="14">
        <f t="shared" si="74"/>
        <v>-2480.9899999999998</v>
      </c>
      <c r="X295" s="15">
        <f>IFERROR(W295/W444, "NA")</f>
        <v>-8.9951268042444424E-2</v>
      </c>
      <c r="Y295" s="2"/>
      <c r="Z295" s="14">
        <f>IFERROR(Z286+Z287+Z288+Z289+Z290+Z291+Z292+Z293+Z294, "NA")</f>
        <v>3333.3899999999994</v>
      </c>
      <c r="AA295" s="15">
        <f>IFERROR(Z295/Z444, "NA")</f>
        <v>3.0348709852753591E-2</v>
      </c>
      <c r="AB295" s="2"/>
      <c r="AC295" s="14">
        <f t="shared" si="75"/>
        <v>-3549.67</v>
      </c>
      <c r="AD295" s="15">
        <f>IFERROR(AC295/AC444, "NA")</f>
        <v>-0.11371020933913498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846.96</v>
      </c>
      <c r="F297" s="8">
        <f>IFERROR(E297/E444, "NA")</f>
        <v>1.2999961934559368E-2</v>
      </c>
      <c r="G297" s="9"/>
      <c r="H297" s="10">
        <f t="shared" ref="H297:H325" si="76">IFERROR(-(B297-E297), "NA")</f>
        <v>846.96</v>
      </c>
      <c r="I297" s="8">
        <f>IFERROR(H297/H444, "NA")</f>
        <v>7.0108055936785513E-2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1475.13</v>
      </c>
      <c r="U297" s="8">
        <f>IFERROR(T297/T444, "NA")</f>
        <v>1.2999990658457156E-2</v>
      </c>
      <c r="V297" s="9"/>
      <c r="W297" s="10">
        <f t="shared" ref="W297:W325" si="78">IFERROR(-(Q297-T297), "NA")</f>
        <v>1475.13</v>
      </c>
      <c r="X297" s="8">
        <f>IFERROR(W297/W444, "NA")</f>
        <v>5.3482607357325532E-2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516.35</v>
      </c>
      <c r="C299" s="8">
        <f>IFERROR(B299/B444, "NA")</f>
        <v>6.6857227352381289E-3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-516.35</v>
      </c>
      <c r="I299" s="8">
        <f>IFERROR(H299/H444, "NA")</f>
        <v>-4.2741445502691031E-2</v>
      </c>
      <c r="J299" s="9"/>
      <c r="K299" s="7">
        <v>500.77</v>
      </c>
      <c r="L299" s="8">
        <f>IFERROR(K299/K444, "NA")</f>
        <v>8.5702281395175703E-3</v>
      </c>
      <c r="M299" s="9"/>
      <c r="N299" s="10">
        <f t="shared" si="77"/>
        <v>-15.580000000000041</v>
      </c>
      <c r="O299" s="8">
        <f>IFERROR(N299/N444, "NA")</f>
        <v>-8.2870621300941286E-4</v>
      </c>
      <c r="P299" s="9"/>
      <c r="Q299" s="7">
        <v>1032.7</v>
      </c>
      <c r="R299" s="8">
        <f>IFERROR(Q299/Q444, "NA")</f>
        <v>7.3213557645060087E-3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-1032.7</v>
      </c>
      <c r="X299" s="8">
        <f>IFERROR(W299/W444, "NA")</f>
        <v>-3.7441777075857774E-2</v>
      </c>
      <c r="Y299" s="9"/>
      <c r="Z299" s="7">
        <v>1001.54</v>
      </c>
      <c r="AA299" s="8">
        <f>IFERROR(Z299/Z444, "NA")</f>
        <v>9.1184790456342747E-3</v>
      </c>
      <c r="AB299" s="9"/>
      <c r="AC299" s="10">
        <f t="shared" si="79"/>
        <v>-31.160000000000082</v>
      </c>
      <c r="AD299" s="8">
        <f>IFERROR(AC299/AC444, "NA")</f>
        <v>-9.9818014717071028E-4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15</v>
      </c>
      <c r="C305" s="8">
        <f>IFERROR(B305/B444, "NA")</f>
        <v>1.9422066627011121E-4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-15</v>
      </c>
      <c r="I305" s="8">
        <f>IFERROR(H305/H444, "NA")</f>
        <v>-1.241641682076819E-3</v>
      </c>
      <c r="J305" s="9"/>
      <c r="K305" s="7">
        <v>58.33</v>
      </c>
      <c r="L305" s="8">
        <f>IFERROR(K305/K444, "NA")</f>
        <v>9.9826548590782171E-4</v>
      </c>
      <c r="M305" s="9"/>
      <c r="N305" s="10">
        <f t="shared" si="77"/>
        <v>43.33</v>
      </c>
      <c r="O305" s="8">
        <f>IFERROR(N305/N444, "NA")</f>
        <v>2.3047394229587783E-3</v>
      </c>
      <c r="P305" s="9"/>
      <c r="Q305" s="7">
        <v>30</v>
      </c>
      <c r="R305" s="8">
        <f>IFERROR(Q305/Q444, "NA")</f>
        <v>2.1268584577823206E-4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-30</v>
      </c>
      <c r="X305" s="8">
        <f>IFERROR(W305/W444, "NA")</f>
        <v>-1.0876859807066265E-3</v>
      </c>
      <c r="Y305" s="9"/>
      <c r="Z305" s="7">
        <v>101.66</v>
      </c>
      <c r="AA305" s="8">
        <f>IFERROR(Z305/Z444, "NA")</f>
        <v>9.2555921858256324E-4</v>
      </c>
      <c r="AB305" s="9"/>
      <c r="AC305" s="10">
        <f t="shared" si="79"/>
        <v>71.66</v>
      </c>
      <c r="AD305" s="8">
        <f>IFERROR(AC305/AC444, "NA")</f>
        <v>2.2955580663110687E-3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65.86</v>
      </c>
      <c r="C310" s="8">
        <f>IFERROR(B310/B444, "NA")</f>
        <v>8.5275820536996833E-4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-65.86</v>
      </c>
      <c r="I310" s="8">
        <f>IFERROR(H310/H444, "NA")</f>
        <v>-5.4516347454386192E-3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-65.86</v>
      </c>
      <c r="O310" s="8">
        <f>IFERROR(N310/N444, "NA")</f>
        <v>-3.5031188182798323E-3</v>
      </c>
      <c r="P310" s="9"/>
      <c r="Q310" s="7">
        <v>65.86</v>
      </c>
      <c r="R310" s="8">
        <f>IFERROR(Q310/Q444, "NA")</f>
        <v>4.6691632676514543E-4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-65.86</v>
      </c>
      <c r="X310" s="8">
        <f>IFERROR(W310/W444, "NA")</f>
        <v>-2.3878332896446141E-3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-65.86</v>
      </c>
      <c r="AD310" s="8">
        <f>IFERROR(AC310/AC444, "NA")</f>
        <v>-2.1097607346810912E-3</v>
      </c>
    </row>
    <row r="311" spans="1:30" ht="16.5" customHeight="1" x14ac:dyDescent="0.45">
      <c r="A311" s="6" t="s">
        <v>283</v>
      </c>
      <c r="B311" s="7">
        <v>26.73</v>
      </c>
      <c r="C311" s="8">
        <f>IFERROR(B311/B444, "NA")</f>
        <v>3.461012272933382E-4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-26.73</v>
      </c>
      <c r="I311" s="8">
        <f>IFERROR(H311/H444, "NA")</f>
        <v>-2.2126054774608914E-3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-26.73</v>
      </c>
      <c r="O311" s="8">
        <f>IFERROR(N311/N444, "NA")</f>
        <v>-1.4217790162863637E-3</v>
      </c>
      <c r="P311" s="9"/>
      <c r="Q311" s="7">
        <v>26.73</v>
      </c>
      <c r="R311" s="8">
        <f>IFERROR(Q311/Q444, "NA")</f>
        <v>1.8950308858840478E-4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-9.6912820880960414E-4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-8.562694266326385E-4</v>
      </c>
    </row>
    <row r="312" spans="1:30" ht="16.5" customHeight="1" x14ac:dyDescent="0.45">
      <c r="A312" s="6" t="s">
        <v>284</v>
      </c>
      <c r="B312" s="7">
        <v>51</v>
      </c>
      <c r="C312" s="8">
        <f>IFERROR(B312/B444, "NA")</f>
        <v>6.6035026531837814E-4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-51</v>
      </c>
      <c r="I312" s="8">
        <f>IFERROR(H312/H444, "NA")</f>
        <v>-4.2215817190611842E-3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-51</v>
      </c>
      <c r="O312" s="8">
        <f>IFERROR(N312/N444, "NA")</f>
        <v>-2.712709683150189E-3</v>
      </c>
      <c r="P312" s="9"/>
      <c r="Q312" s="7">
        <v>51</v>
      </c>
      <c r="R312" s="8">
        <f>IFERROR(Q312/Q444, "NA")</f>
        <v>3.615659378229945E-4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-51</v>
      </c>
      <c r="X312" s="8">
        <f>IFERROR(W312/W444, "NA")</f>
        <v>-1.8490661672012649E-3</v>
      </c>
      <c r="Y312" s="9"/>
      <c r="Z312" s="7">
        <v>23</v>
      </c>
      <c r="AA312" s="8">
        <f>IFERROR(Z312/Z444, "NA")</f>
        <v>2.0940253814085143E-4</v>
      </c>
      <c r="AB312" s="9"/>
      <c r="AC312" s="10">
        <f t="shared" si="79"/>
        <v>-28</v>
      </c>
      <c r="AD312" s="8">
        <f>IFERROR(AC312/AC444, "NA")</f>
        <v>-8.9695263545506456E-4</v>
      </c>
    </row>
    <row r="313" spans="1:30" ht="16.5" customHeight="1" x14ac:dyDescent="0.45">
      <c r="A313" s="6" t="s">
        <v>285</v>
      </c>
      <c r="B313" s="7">
        <v>5.05</v>
      </c>
      <c r="C313" s="8">
        <f>IFERROR(B313/B444, "NA")</f>
        <v>6.5387624310937436E-5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-5.05</v>
      </c>
      <c r="I313" s="8">
        <f>IFERROR(H313/H444, "NA")</f>
        <v>-4.1801936629919567E-4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-5.05</v>
      </c>
      <c r="O313" s="8">
        <f>IFERROR(N313/N444, "NA")</f>
        <v>-2.6861144901781282E-4</v>
      </c>
      <c r="P313" s="9"/>
      <c r="Q313" s="7">
        <v>20.05</v>
      </c>
      <c r="R313" s="8">
        <f>IFERROR(Q313/Q444, "NA")</f>
        <v>1.4214504026178511E-4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-20.05</v>
      </c>
      <c r="X313" s="8">
        <f>IFERROR(W313/W444, "NA")</f>
        <v>-7.2693679710559536E-4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-20.05</v>
      </c>
      <c r="AD313" s="8">
        <f>IFERROR(AC313/AC444, "NA")</f>
        <v>-6.4228215503121593E-4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5.367870774373334E-3</v>
      </c>
      <c r="D318" s="9"/>
      <c r="E318" s="7">
        <v>915</v>
      </c>
      <c r="F318" s="8">
        <f>IFERROR(E318/E444, "NA")</f>
        <v>1.4044305717060808E-2</v>
      </c>
      <c r="G318" s="9"/>
      <c r="H318" s="10">
        <f t="shared" si="76"/>
        <v>500.43</v>
      </c>
      <c r="I318" s="8">
        <f>IFERROR(H318/H444, "NA")</f>
        <v>4.1423649797446831E-2</v>
      </c>
      <c r="J318" s="9"/>
      <c r="K318" s="7">
        <v>414.57</v>
      </c>
      <c r="L318" s="8">
        <f>IFERROR(K318/K444, "NA")</f>
        <v>7.0949926708864337E-3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829.14</v>
      </c>
      <c r="R318" s="8">
        <f>IFERROR(Q318/Q444, "NA")</f>
        <v>5.8782114056187777E-3</v>
      </c>
      <c r="S318" s="9"/>
      <c r="T318" s="7">
        <v>1830</v>
      </c>
      <c r="U318" s="8">
        <f>IFERROR(T318/T444, "NA")</f>
        <v>1.6127380573221745E-2</v>
      </c>
      <c r="V318" s="9"/>
      <c r="W318" s="10">
        <f t="shared" si="78"/>
        <v>1000.86</v>
      </c>
      <c r="X318" s="8">
        <f>IFERROR(W318/W444, "NA")</f>
        <v>3.6287379688334474E-2</v>
      </c>
      <c r="Y318" s="9"/>
      <c r="Z318" s="7">
        <v>829.14</v>
      </c>
      <c r="AA318" s="8">
        <f>IFERROR(Z318/Z444, "NA")</f>
        <v>7.5488704553958938E-3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149.58000000000001</v>
      </c>
      <c r="C319" s="8">
        <f>IFERROR(B319/B444, "NA")</f>
        <v>1.9367684840455493E-3</v>
      </c>
      <c r="D319" s="9"/>
      <c r="E319" s="7">
        <v>149</v>
      </c>
      <c r="F319" s="8">
        <f>IFERROR(E319/E444, "NA")</f>
        <v>2.2869962315213775E-3</v>
      </c>
      <c r="G319" s="9"/>
      <c r="H319" s="10">
        <f t="shared" si="76"/>
        <v>-0.58000000000001251</v>
      </c>
      <c r="I319" s="8">
        <f>IFERROR(H319/H444, "NA")</f>
        <v>-4.80101450403047E-5</v>
      </c>
      <c r="J319" s="9"/>
      <c r="K319" s="7">
        <v>149.54</v>
      </c>
      <c r="L319" s="8">
        <f>IFERROR(K319/K444, "NA")</f>
        <v>2.5592425983654321E-3</v>
      </c>
      <c r="M319" s="9"/>
      <c r="N319" s="10">
        <f t="shared" si="77"/>
        <v>-4.0000000000020464E-2</v>
      </c>
      <c r="O319" s="8">
        <f>IFERROR(N319/N444, "NA")</f>
        <v>-2.1276154377659424E-6</v>
      </c>
      <c r="P319" s="9"/>
      <c r="Q319" s="7">
        <v>299.12</v>
      </c>
      <c r="R319" s="8">
        <f>IFERROR(Q319/Q444, "NA")</f>
        <v>2.1206196729728257E-3</v>
      </c>
      <c r="S319" s="9"/>
      <c r="T319" s="7">
        <v>298</v>
      </c>
      <c r="U319" s="8">
        <f>IFERROR(T319/T444, "NA")</f>
        <v>2.6262073283169836E-3</v>
      </c>
      <c r="V319" s="9"/>
      <c r="W319" s="10">
        <f t="shared" si="78"/>
        <v>-1.1200000000000045</v>
      </c>
      <c r="X319" s="8">
        <f>IFERROR(W319/W444, "NA")</f>
        <v>-4.0606943279714216E-5</v>
      </c>
      <c r="Y319" s="9"/>
      <c r="Z319" s="7">
        <v>299.07</v>
      </c>
      <c r="AA319" s="8">
        <f>IFERROR(Z319/Z444, "NA")</f>
        <v>2.7228703079036709E-3</v>
      </c>
      <c r="AB319" s="9"/>
      <c r="AC319" s="10">
        <f t="shared" si="79"/>
        <v>-5.0000000000011369E-2</v>
      </c>
      <c r="AD319" s="8">
        <f>IFERROR(AC319/AC444, "NA")</f>
        <v>-1.601701134741551E-6</v>
      </c>
    </row>
    <row r="320" spans="1:30" ht="16.5" customHeight="1" x14ac:dyDescent="0.45">
      <c r="A320" s="6" t="s">
        <v>292</v>
      </c>
      <c r="B320" s="7">
        <v>993.15</v>
      </c>
      <c r="C320" s="8">
        <f>IFERROR(B320/B444, "NA")</f>
        <v>1.2859350313744062E-2</v>
      </c>
      <c r="D320" s="9"/>
      <c r="E320" s="7">
        <v>800</v>
      </c>
      <c r="F320" s="8">
        <f>IFERROR(E320/E444, "NA")</f>
        <v>1.2279174397430214E-2</v>
      </c>
      <c r="G320" s="9"/>
      <c r="H320" s="10">
        <f t="shared" si="76"/>
        <v>-193.14999999999998</v>
      </c>
      <c r="I320" s="8">
        <f>IFERROR(H320/H444, "NA")</f>
        <v>-1.5988206059542504E-2</v>
      </c>
      <c r="J320" s="9"/>
      <c r="K320" s="7">
        <v>806.29</v>
      </c>
      <c r="L320" s="8">
        <f>IFERROR(K320/K444, "NA")</f>
        <v>1.3798928143881665E-2</v>
      </c>
      <c r="M320" s="9"/>
      <c r="N320" s="10">
        <f t="shared" si="77"/>
        <v>-186.86</v>
      </c>
      <c r="O320" s="8">
        <f>IFERROR(N320/N444, "NA")</f>
        <v>-9.9391555175185175E-3</v>
      </c>
      <c r="P320" s="9"/>
      <c r="Q320" s="7">
        <v>1999.01</v>
      </c>
      <c r="R320" s="8">
        <f>IFERROR(Q320/Q444, "NA")</f>
        <v>1.417203775230479E-2</v>
      </c>
      <c r="S320" s="9"/>
      <c r="T320" s="7">
        <v>1600</v>
      </c>
      <c r="U320" s="8">
        <f>IFERROR(T320/T444, "NA")</f>
        <v>1.4100442031232127E-2</v>
      </c>
      <c r="V320" s="9"/>
      <c r="W320" s="10">
        <f t="shared" si="78"/>
        <v>-399.01</v>
      </c>
      <c r="X320" s="8">
        <f>IFERROR(W320/W444, "NA")</f>
        <v>-1.4466586105391701E-2</v>
      </c>
      <c r="Y320" s="9"/>
      <c r="Z320" s="7">
        <v>1612.58</v>
      </c>
      <c r="AA320" s="8">
        <f>IFERROR(Z320/Z444, "NA")</f>
        <v>1.4681667171964095E-2</v>
      </c>
      <c r="AB320" s="9"/>
      <c r="AC320" s="10">
        <f t="shared" si="79"/>
        <v>-386.43000000000006</v>
      </c>
      <c r="AD320" s="8">
        <f>IFERROR(AC320/AC444, "NA")</f>
        <v>-1.2378907389960739E-2</v>
      </c>
    </row>
    <row r="321" spans="1:30" ht="16.5" customHeight="1" x14ac:dyDescent="0.45">
      <c r="A321" s="6" t="s">
        <v>293</v>
      </c>
      <c r="B321" s="7">
        <v>2290.67</v>
      </c>
      <c r="C321" s="8">
        <f>IFERROR(B321/B444, "NA")</f>
        <v>2.9659696906997043E-2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-2290.67</v>
      </c>
      <c r="I321" s="8">
        <f>IFERROR(H321/H444, "NA")</f>
        <v>-0.1896127567921938</v>
      </c>
      <c r="J321" s="9"/>
      <c r="K321" s="7">
        <v>1483.07</v>
      </c>
      <c r="L321" s="8">
        <f>IFERROR(K321/K444, "NA")</f>
        <v>2.5381409123698153E-2</v>
      </c>
      <c r="M321" s="9"/>
      <c r="N321" s="10">
        <f t="shared" si="77"/>
        <v>-807.60000000000014</v>
      </c>
      <c r="O321" s="8">
        <f>IFERROR(N321/N444, "NA")</f>
        <v>-4.2956555688472411E-2</v>
      </c>
      <c r="P321" s="9"/>
      <c r="Q321" s="7">
        <v>4339.95</v>
      </c>
      <c r="R321" s="8">
        <f>IFERROR(Q321/Q444, "NA")</f>
        <v>3.0768197879507939E-2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-4339.95</v>
      </c>
      <c r="X321" s="8">
        <f>IFERROR(W321/W444, "NA")</f>
        <v>-0.15735009239892411</v>
      </c>
      <c r="Y321" s="9"/>
      <c r="Z321" s="7">
        <v>2861.24</v>
      </c>
      <c r="AA321" s="8">
        <f>IFERROR(Z321/Z444, "NA")</f>
        <v>2.6050039923049117E-2</v>
      </c>
      <c r="AB321" s="9"/>
      <c r="AC321" s="10">
        <f t="shared" si="79"/>
        <v>-1478.71</v>
      </c>
      <c r="AD321" s="8">
        <f>IFERROR(AC321/AC444, "NA")</f>
        <v>-4.7369029699062808E-2</v>
      </c>
    </row>
    <row r="322" spans="1:30" ht="16.5" customHeight="1" x14ac:dyDescent="0.45">
      <c r="A322" s="6" t="s">
        <v>294</v>
      </c>
      <c r="B322" s="7">
        <v>552.27</v>
      </c>
      <c r="C322" s="8">
        <f>IFERROR(B322/B444, "NA")</f>
        <v>7.1508164907329542E-3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-552.27</v>
      </c>
      <c r="I322" s="8">
        <f>IFERROR(H322/H444, "NA")</f>
        <v>-4.571476345070432E-2</v>
      </c>
      <c r="J322" s="9"/>
      <c r="K322" s="7">
        <v>176.61</v>
      </c>
      <c r="L322" s="8">
        <f>IFERROR(K322/K444, "NA")</f>
        <v>3.0225213006374149E-3</v>
      </c>
      <c r="M322" s="9"/>
      <c r="N322" s="10">
        <f t="shared" si="77"/>
        <v>-375.65999999999997</v>
      </c>
      <c r="O322" s="8">
        <f>IFERROR(N322/N444, "NA")</f>
        <v>-1.9981500383768627E-2</v>
      </c>
      <c r="P322" s="9"/>
      <c r="Q322" s="7">
        <v>714.54</v>
      </c>
      <c r="R322" s="8">
        <f>IFERROR(Q322/Q444, "NA")</f>
        <v>5.0657514747459312E-3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-714.54</v>
      </c>
      <c r="X322" s="8">
        <f>IFERROR(W322/W444, "NA")</f>
        <v>-2.5906504688470427E-2</v>
      </c>
      <c r="Y322" s="9"/>
      <c r="Z322" s="7">
        <v>353.22</v>
      </c>
      <c r="AA322" s="8">
        <f>IFERROR(Z322/Z444, "NA")</f>
        <v>3.2158767183526758E-3</v>
      </c>
      <c r="AB322" s="9"/>
      <c r="AC322" s="10">
        <f t="shared" si="79"/>
        <v>-361.31999999999994</v>
      </c>
      <c r="AD322" s="8">
        <f>IFERROR(AC322/AC444, "NA")</f>
        <v>-1.1574533080093711E-2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5080.2299999999996</v>
      </c>
      <c r="C324" s="15">
        <f>IFERROR(B324/B444, "NA")</f>
        <v>6.5779043693693806E-2</v>
      </c>
      <c r="D324" s="2"/>
      <c r="E324" s="14">
        <f>IFERROR(E297+E298+E299+E300+E301+E302+E303+E304+E305+E306+E307+E308+E309+E310+E311+E312+E313+E314+E315+E316+E317+E318+E319+E320+E321+E322+E323, "NA")</f>
        <v>2710.96</v>
      </c>
      <c r="F324" s="15">
        <f>IFERROR(E324/E444, "NA")</f>
        <v>4.1610438280571767E-2</v>
      </c>
      <c r="G324" s="2"/>
      <c r="H324" s="14">
        <f t="shared" si="76"/>
        <v>-2369.2699999999995</v>
      </c>
      <c r="I324" s="15">
        <f>IFERROR(H324/H444, "NA")</f>
        <v>-0.19611895920627628</v>
      </c>
      <c r="J324" s="2"/>
      <c r="K324" s="14">
        <f>IFERROR(K297+K298+K299+K300+K301+K302+K303+K304+K305+K306+K307+K308+K309+K310+K311+K312+K313+K314+K315+K316+K317+K318+K319+K320+K321+K322+K323, "NA")</f>
        <v>3589.18</v>
      </c>
      <c r="L324" s="15">
        <f>IFERROR(K324/K444, "NA")</f>
        <v>6.142558746289449E-2</v>
      </c>
      <c r="M324" s="2"/>
      <c r="N324" s="14">
        <f t="shared" si="77"/>
        <v>-1491.0499999999997</v>
      </c>
      <c r="O324" s="15">
        <f>IFERROR(N324/N444, "NA")</f>
        <v>-7.9309524961982125E-2</v>
      </c>
      <c r="P324" s="2"/>
      <c r="Q324" s="14">
        <f>IFERROR(Q297+Q298+Q299+Q300+Q301+Q302+Q303+Q304+Q305+Q306+Q307+Q308+Q309+Q310+Q311+Q312+Q313+Q314+Q315+Q316+Q317+Q318+Q319+Q320+Q321+Q322+Q323, "NA")</f>
        <v>9408.0999999999985</v>
      </c>
      <c r="R324" s="15">
        <f>IFERROR(Q324/Q444, "NA")</f>
        <v>6.669899018887282E-2</v>
      </c>
      <c r="S324" s="2"/>
      <c r="T324" s="14">
        <f>IFERROR(T297+T298+T299+T300+T301+T302+T303+T304+T305+T306+T307+T308+T309+T310+T311+T312+T313+T314+T315+T316+T317+T318+T319+T320+T321+T322+T323, "NA")</f>
        <v>5203.13</v>
      </c>
      <c r="U324" s="15">
        <f>IFERROR(T324/T444, "NA")</f>
        <v>4.5854020591228013E-2</v>
      </c>
      <c r="V324" s="2"/>
      <c r="W324" s="14">
        <f t="shared" si="78"/>
        <v>-4204.9699999999984</v>
      </c>
      <c r="X324" s="15">
        <f>IFERROR(W324/W444, "NA")</f>
        <v>-0.15245623060973137</v>
      </c>
      <c r="Y324" s="2"/>
      <c r="Z324" s="14">
        <f>IFERROR(Z297+Z298+Z299+Z300+Z301+Z302+Z303+Z304+Z305+Z306+Z307+Z308+Z309+Z310+Z311+Z312+Z313+Z314+Z315+Z316+Z317+Z318+Z319+Z320+Z321+Z322+Z323, "NA")</f>
        <v>7081.45</v>
      </c>
      <c r="AA324" s="15">
        <f>IFERROR(Z324/Z444, "NA")</f>
        <v>6.4472765379023148E-2</v>
      </c>
      <c r="AB324" s="2"/>
      <c r="AC324" s="14">
        <f t="shared" si="79"/>
        <v>-2326.6499999999987</v>
      </c>
      <c r="AD324" s="15">
        <f>IFERROR(AC324/AC444, "NA")</f>
        <v>-7.4531958902911602E-2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22904.12</v>
      </c>
      <c r="C325" s="15">
        <f>IFERROR(B325/B444, "NA")</f>
        <v>0.29656356311537196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15531.93</v>
      </c>
      <c r="F325" s="15">
        <f>IFERROR(E325/E444, "NA")</f>
        <v>0.23839909649834784</v>
      </c>
      <c r="G325" s="2"/>
      <c r="H325" s="14">
        <f t="shared" si="76"/>
        <v>-7372.1899999999987</v>
      </c>
      <c r="I325" s="15">
        <f>IFERROR(H325/H444, "NA")</f>
        <v>-0.61024122614599352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14706.849999999999</v>
      </c>
      <c r="L325" s="15">
        <f>IFERROR(K325/K444, "NA")</f>
        <v>0.25169450988210951</v>
      </c>
      <c r="M325" s="2"/>
      <c r="N325" s="14">
        <f t="shared" si="77"/>
        <v>-8197.27</v>
      </c>
      <c r="O325" s="15">
        <f>IFERROR(N325/N444, "NA")</f>
        <v>-0.43601595498816764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44035.23000000001</v>
      </c>
      <c r="R325" s="15">
        <f>IFERROR(Q325/Q444, "NA")</f>
        <v>0.312189004552966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28199.750000000004</v>
      </c>
      <c r="U325" s="15">
        <f>IFERROR(T325/T444, "NA")</f>
        <v>0.2485180876063989</v>
      </c>
      <c r="V325" s="2"/>
      <c r="W325" s="14">
        <f t="shared" si="78"/>
        <v>-15835.480000000007</v>
      </c>
      <c r="X325" s="15">
        <f>IFERROR(W325/W444, "NA")</f>
        <v>-0.57413431979200591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28008.009999999995</v>
      </c>
      <c r="AA325" s="15">
        <f>IFERROR(Z325/Z444, "NA")</f>
        <v>0.25499775575105854</v>
      </c>
      <c r="AB325" s="2"/>
      <c r="AC325" s="14">
        <f t="shared" si="79"/>
        <v>-16027.220000000016</v>
      </c>
      <c r="AD325" s="15">
        <f>IFERROR(AC325/AC444, "NA")</f>
        <v>-0.51341632921493341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5.9532000703337772E-2</v>
      </c>
      <c r="D329" s="9"/>
      <c r="E329" s="7">
        <v>4245.91</v>
      </c>
      <c r="F329" s="8">
        <f>IFERROR(E329/E444, "NA")</f>
        <v>6.517033670724115E-2</v>
      </c>
      <c r="G329" s="9"/>
      <c r="H329" s="10">
        <f t="shared" si="80"/>
        <v>-351.85000000000036</v>
      </c>
      <c r="I329" s="8">
        <f>IFERROR(H329/H444, "NA")</f>
        <v>-2.9124775055915278E-2</v>
      </c>
      <c r="J329" s="9"/>
      <c r="K329" s="7">
        <v>6377.92</v>
      </c>
      <c r="L329" s="8">
        <f>IFERROR(K329/K444, "NA")</f>
        <v>0.10915236427020769</v>
      </c>
      <c r="M329" s="9"/>
      <c r="N329" s="10">
        <f t="shared" si="81"/>
        <v>1780.1599999999999</v>
      </c>
      <c r="O329" s="8">
        <f>IFERROR(N329/N444, "NA")</f>
        <v>9.4687397442287061E-2</v>
      </c>
      <c r="P329" s="9"/>
      <c r="Q329" s="7">
        <v>9195.52</v>
      </c>
      <c r="R329" s="8">
        <f>IFERROR(Q329/Q444, "NA")</f>
        <v>6.5191898285688291E-2</v>
      </c>
      <c r="S329" s="9"/>
      <c r="T329" s="7">
        <v>8491.82</v>
      </c>
      <c r="U329" s="8">
        <f>IFERROR(T329/T444, "NA")</f>
        <v>7.4836509781035995E-2</v>
      </c>
      <c r="V329" s="9"/>
      <c r="W329" s="10">
        <f t="shared" si="82"/>
        <v>-703.70000000000073</v>
      </c>
      <c r="X329" s="8">
        <f>IFERROR(W329/W444, "NA")</f>
        <v>-2.5513487487441793E-2</v>
      </c>
      <c r="Y329" s="9"/>
      <c r="Z329" s="7">
        <v>12755.84</v>
      </c>
      <c r="AA329" s="8">
        <f>IFERROR(Z329/Z444, "NA")</f>
        <v>0.1161350118312434</v>
      </c>
      <c r="AB329" s="9"/>
      <c r="AC329" s="10">
        <f t="shared" si="83"/>
        <v>3560.3199999999997</v>
      </c>
      <c r="AD329" s="8">
        <f>IFERROR(AC329/AC444, "NA")</f>
        <v>0.11405137168083483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2.1830661849648859E-2</v>
      </c>
      <c r="D330" s="9"/>
      <c r="E330" s="7">
        <v>1686</v>
      </c>
      <c r="F330" s="8">
        <f>IFERROR(E330/E444, "NA")</f>
        <v>2.5878360042584179E-2</v>
      </c>
      <c r="G330" s="9"/>
      <c r="H330" s="10">
        <f t="shared" si="80"/>
        <v>-1.999999999998181E-2</v>
      </c>
      <c r="I330" s="8">
        <f>IFERROR(H330/H444, "NA")</f>
        <v>-1.6555222427675862E-6</v>
      </c>
      <c r="J330" s="9"/>
      <c r="K330" s="7">
        <v>1636.91</v>
      </c>
      <c r="L330" s="8">
        <f>IFERROR(K330/K444, "NA")</f>
        <v>2.8014242354489502E-2</v>
      </c>
      <c r="M330" s="9"/>
      <c r="N330" s="10">
        <f t="shared" si="81"/>
        <v>-49.1099999999999</v>
      </c>
      <c r="O330" s="8">
        <f>IFERROR(N330/N444, "NA")</f>
        <v>-2.6121798537157943E-3</v>
      </c>
      <c r="P330" s="9"/>
      <c r="Q330" s="7">
        <v>3372.04</v>
      </c>
      <c r="R330" s="8">
        <f>IFERROR(Q330/Q444, "NA")</f>
        <v>2.3906172646600988E-2</v>
      </c>
      <c r="S330" s="9"/>
      <c r="T330" s="7">
        <v>3372</v>
      </c>
      <c r="U330" s="8">
        <f>IFERROR(T330/T444, "NA")</f>
        <v>2.9716681580821708E-2</v>
      </c>
      <c r="V330" s="9"/>
      <c r="W330" s="10">
        <f t="shared" si="82"/>
        <v>-3.999999999996362E-2</v>
      </c>
      <c r="X330" s="8">
        <f>IFERROR(W330/W444, "NA")</f>
        <v>-1.4502479742741829E-6</v>
      </c>
      <c r="Y330" s="9"/>
      <c r="Z330" s="7">
        <v>3273.82</v>
      </c>
      <c r="AA330" s="8">
        <f>IFERROR(Z330/Z444, "NA")</f>
        <v>2.9806357278968795E-2</v>
      </c>
      <c r="AB330" s="9"/>
      <c r="AC330" s="10">
        <f t="shared" si="83"/>
        <v>-98.2199999999998</v>
      </c>
      <c r="AD330" s="8">
        <f>IFERROR(AC330/AC444, "NA")</f>
        <v>-3.1463817090855808E-3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2.478216857473365E-2</v>
      </c>
      <c r="D333" s="9"/>
      <c r="E333" s="7">
        <v>1686</v>
      </c>
      <c r="F333" s="8">
        <f>IFERROR(E333/E444, "NA")</f>
        <v>2.5878360042584179E-2</v>
      </c>
      <c r="G333" s="9"/>
      <c r="H333" s="10">
        <f t="shared" si="80"/>
        <v>-227.97000000000003</v>
      </c>
      <c r="I333" s="8">
        <f>IFERROR(H333/H444, "NA")</f>
        <v>-1.8870470284203498E-2</v>
      </c>
      <c r="J333" s="9"/>
      <c r="K333" s="7">
        <v>1853.78</v>
      </c>
      <c r="L333" s="8">
        <f>IFERROR(K333/K444, "NA")</f>
        <v>3.1725777343840252E-2</v>
      </c>
      <c r="M333" s="9"/>
      <c r="N333" s="10">
        <f t="shared" si="81"/>
        <v>-60.190000000000055</v>
      </c>
      <c r="O333" s="8">
        <f>IFERROR(N333/N444, "NA")</f>
        <v>-3.2015293299766674E-3</v>
      </c>
      <c r="P333" s="9"/>
      <c r="Q333" s="7">
        <v>3827.94</v>
      </c>
      <c r="R333" s="8">
        <f>IFERROR(Q333/Q444, "NA")</f>
        <v>2.7138288549610857E-2</v>
      </c>
      <c r="S333" s="9"/>
      <c r="T333" s="7">
        <v>3372</v>
      </c>
      <c r="U333" s="8">
        <f>IFERROR(T333/T444, "NA")</f>
        <v>2.9716681580821708E-2</v>
      </c>
      <c r="V333" s="9"/>
      <c r="W333" s="10">
        <f t="shared" si="82"/>
        <v>-455.94000000000005</v>
      </c>
      <c r="X333" s="8">
        <f>IFERROR(W333/W444, "NA")</f>
        <v>-1.6530651534779311E-2</v>
      </c>
      <c r="Y333" s="9"/>
      <c r="Z333" s="7">
        <v>3707.56</v>
      </c>
      <c r="AA333" s="8">
        <f>IFERROR(Z333/Z444, "NA")</f>
        <v>3.3755324969978046E-2</v>
      </c>
      <c r="AB333" s="9"/>
      <c r="AC333" s="10">
        <f t="shared" si="83"/>
        <v>-120.38000000000011</v>
      </c>
      <c r="AD333" s="8">
        <f>IFERROR(AC333/AC444, "NA")</f>
        <v>-3.8562556520028847E-3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-4.5839961653071646E-3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2.9305226980377078E-2</v>
      </c>
      <c r="J334" s="9"/>
      <c r="K334" s="7">
        <v>-491.1</v>
      </c>
      <c r="L334" s="8">
        <f>IFERROR(K334/K444, "NA")</f>
        <v>-8.4047347870620827E-3</v>
      </c>
      <c r="M334" s="9"/>
      <c r="N334" s="10">
        <f t="shared" si="81"/>
        <v>-137.07000000000005</v>
      </c>
      <c r="O334" s="8">
        <f>IFERROR(N334/N444, "NA")</f>
        <v>-7.2908062013607167E-3</v>
      </c>
      <c r="P334" s="9"/>
      <c r="Q334" s="7">
        <v>-708.06</v>
      </c>
      <c r="R334" s="8">
        <f>IFERROR(Q334/Q444, "NA")</f>
        <v>-5.0198113320578325E-3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708.06</v>
      </c>
      <c r="X334" s="8">
        <f>IFERROR(W334/W444, "NA")</f>
        <v>2.5671564516637796E-2</v>
      </c>
      <c r="Y334" s="9"/>
      <c r="Z334" s="7">
        <v>-982.2</v>
      </c>
      <c r="AA334" s="8">
        <f>IFERROR(Z334/Z444, "NA")</f>
        <v>-8.9423988244323599E-3</v>
      </c>
      <c r="AB334" s="9"/>
      <c r="AC334" s="10">
        <f t="shared" si="83"/>
        <v>-274.1400000000001</v>
      </c>
      <c r="AD334" s="8">
        <f>IFERROR(AC334/AC444, "NA")</f>
        <v>-8.7818069815589813E-3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2823.53</v>
      </c>
      <c r="F337" s="8">
        <f>IFERROR(E337/E444, "NA")</f>
        <v>4.3338271607970172E-2</v>
      </c>
      <c r="G337" s="9"/>
      <c r="H337" s="10">
        <f t="shared" ref="H337:H344" si="84">IFERROR(-(B337-E337), "NA")</f>
        <v>2823.53</v>
      </c>
      <c r="I337" s="8">
        <f>IFERROR(H337/H444, "NA")</f>
        <v>0.23372083590629072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5457.7</v>
      </c>
      <c r="U337" s="8">
        <f>IFERROR(T337/T444, "NA")</f>
        <v>4.8097489046159736E-2</v>
      </c>
      <c r="V337" s="9"/>
      <c r="W337" s="10">
        <f t="shared" ref="W337:W344" si="86">IFERROR(-(Q337-T337), "NA")</f>
        <v>5457.7</v>
      </c>
      <c r="X337" s="8">
        <f>IFERROR(W337/W444, "NA")</f>
        <v>0.19787545923008518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2367.77</v>
      </c>
      <c r="C338" s="8">
        <f>IFERROR(B338/B444, "NA")</f>
        <v>3.0657991131625414E-2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-2367.77</v>
      </c>
      <c r="I338" s="8">
        <f>IFERROR(H338/H444, "NA")</f>
        <v>-0.19599479503806863</v>
      </c>
      <c r="J338" s="9"/>
      <c r="K338" s="7">
        <v>1965.18</v>
      </c>
      <c r="L338" s="8">
        <f>IFERROR(K338/K444, "NA")</f>
        <v>3.363228814668838E-2</v>
      </c>
      <c r="M338" s="9"/>
      <c r="N338" s="10">
        <f t="shared" si="85"/>
        <v>-402.58999999999992</v>
      </c>
      <c r="O338" s="8">
        <f>IFERROR(N338/N444, "NA")</f>
        <v>-2.1413917477243812E-2</v>
      </c>
      <c r="P338" s="9"/>
      <c r="Q338" s="7">
        <v>4995</v>
      </c>
      <c r="R338" s="8">
        <f>IFERROR(Q338/Q444, "NA")</f>
        <v>3.5412193322075639E-2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-4995</v>
      </c>
      <c r="X338" s="8">
        <f>IFERROR(W338/W444, "NA")</f>
        <v>-0.1810997157876533</v>
      </c>
      <c r="Y338" s="9"/>
      <c r="Z338" s="7">
        <v>4179.9799999999996</v>
      </c>
      <c r="AA338" s="8">
        <f>IFERROR(Z338/Z444, "NA")</f>
        <v>3.8056453103391133E-2</v>
      </c>
      <c r="AB338" s="9"/>
      <c r="AC338" s="10">
        <f t="shared" si="87"/>
        <v>-815.02000000000044</v>
      </c>
      <c r="AD338" s="8">
        <f>IFERROR(AC338/AC444, "NA")</f>
        <v>-2.6108369176735254E-2</v>
      </c>
    </row>
    <row r="339" spans="1:30" ht="16.5" customHeight="1" x14ac:dyDescent="0.45">
      <c r="A339" s="12" t="s">
        <v>309</v>
      </c>
      <c r="B339" s="7">
        <v>348.42</v>
      </c>
      <c r="C339" s="8">
        <f>IFERROR(B339/B444, "NA")</f>
        <v>4.5113576361221434E-3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-348.42</v>
      </c>
      <c r="I339" s="8">
        <f>IFERROR(H339/H444, "NA")</f>
        <v>-2.884085299128035E-2</v>
      </c>
      <c r="J339" s="9"/>
      <c r="K339" s="7">
        <v>411.31</v>
      </c>
      <c r="L339" s="8">
        <f>IFERROR(K339/K444, "NA")</f>
        <v>7.0392007030472513E-3</v>
      </c>
      <c r="M339" s="9"/>
      <c r="N339" s="10">
        <f t="shared" si="85"/>
        <v>62.889999999999986</v>
      </c>
      <c r="O339" s="8">
        <f>IFERROR(N339/N444, "NA")</f>
        <v>3.3451433720257913E-3</v>
      </c>
      <c r="P339" s="9"/>
      <c r="Q339" s="7">
        <v>624.11</v>
      </c>
      <c r="R339" s="8">
        <f>IFERROR(Q339/Q444, "NA")</f>
        <v>4.4246454402884139E-3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-624.11</v>
      </c>
      <c r="X339" s="8">
        <f>IFERROR(W339/W444, "NA")</f>
        <v>-2.262785658062709E-2</v>
      </c>
      <c r="Y339" s="9"/>
      <c r="Z339" s="7">
        <v>671.97</v>
      </c>
      <c r="AA339" s="8">
        <f>IFERROR(Z339/Z444, "NA")</f>
        <v>6.1179227632394756E-3</v>
      </c>
      <c r="AB339" s="9"/>
      <c r="AC339" s="10">
        <f t="shared" si="87"/>
        <v>47.860000000000014</v>
      </c>
      <c r="AD339" s="8">
        <f>IFERROR(AC339/AC444, "NA")</f>
        <v>1.5331483261742645E-3</v>
      </c>
    </row>
    <row r="340" spans="1:30" ht="16.5" customHeight="1" x14ac:dyDescent="0.45">
      <c r="A340" s="12" t="s">
        <v>310</v>
      </c>
      <c r="B340" s="7">
        <v>434.7</v>
      </c>
      <c r="C340" s="8">
        <f>IFERROR(B340/B444, "NA")</f>
        <v>5.6285149085078231E-3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-434.7</v>
      </c>
      <c r="I340" s="8">
        <f>IFERROR(H340/H444, "NA")</f>
        <v>-3.5982775946586214E-2</v>
      </c>
      <c r="J340" s="9"/>
      <c r="K340" s="7">
        <v>455.07</v>
      </c>
      <c r="L340" s="8">
        <f>IFERROR(K340/K444, "NA")</f>
        <v>7.78811374373517E-3</v>
      </c>
      <c r="M340" s="9"/>
      <c r="N340" s="10">
        <f t="shared" si="85"/>
        <v>20.370000000000005</v>
      </c>
      <c r="O340" s="8">
        <f>IFERROR(N340/N444, "NA")</f>
        <v>1.0834881616817523E-3</v>
      </c>
      <c r="P340" s="9"/>
      <c r="Q340" s="7">
        <v>843.12</v>
      </c>
      <c r="R340" s="8">
        <f>IFERROR(Q340/Q444, "NA")</f>
        <v>5.9773230097514337E-3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-843.12</v>
      </c>
      <c r="X340" s="8">
        <f>IFERROR(W340/W444, "NA")</f>
        <v>-3.0568326801779028E-2</v>
      </c>
      <c r="Y340" s="9"/>
      <c r="Z340" s="7">
        <v>770.17</v>
      </c>
      <c r="AA340" s="8">
        <f>IFERROR(Z340/Z444, "NA")</f>
        <v>7.0119805565191104E-3</v>
      </c>
      <c r="AB340" s="9"/>
      <c r="AC340" s="10">
        <f t="shared" si="87"/>
        <v>-72.950000000000045</v>
      </c>
      <c r="AD340" s="8">
        <f>IFERROR(AC340/AC444, "NA")</f>
        <v>-2.3368819555873929E-3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3150.89</v>
      </c>
      <c r="C342" s="15">
        <f>IFERROR(B342/B444, "NA")</f>
        <v>4.0797863676255382E-2</v>
      </c>
      <c r="D342" s="2"/>
      <c r="E342" s="14">
        <f>IFERROR(E337+E338+E339+E340+E341, "NA")</f>
        <v>2823.53</v>
      </c>
      <c r="F342" s="15">
        <f>IFERROR(E342/E444, "NA")</f>
        <v>4.3338271607970172E-2</v>
      </c>
      <c r="G342" s="2"/>
      <c r="H342" s="14">
        <f t="shared" si="84"/>
        <v>-327.35999999999967</v>
      </c>
      <c r="I342" s="15">
        <f>IFERROR(H342/H444, "NA")</f>
        <v>-2.709758806964447E-2</v>
      </c>
      <c r="J342" s="2"/>
      <c r="K342" s="14">
        <f>IFERROR(K337+K338+K339+K340+K341, "NA")</f>
        <v>2831.5600000000004</v>
      </c>
      <c r="L342" s="15">
        <f>IFERROR(K342/K444, "NA")</f>
        <v>4.8459602593470805E-2</v>
      </c>
      <c r="M342" s="2"/>
      <c r="N342" s="14">
        <f t="shared" si="85"/>
        <v>-319.32999999999947</v>
      </c>
      <c r="O342" s="15">
        <f>IFERROR(N342/N444, "NA")</f>
        <v>-1.6985285943536245E-2</v>
      </c>
      <c r="P342" s="2"/>
      <c r="Q342" s="14">
        <f>IFERROR(Q337+Q338+Q339+Q340+Q341, "NA")</f>
        <v>6462.23</v>
      </c>
      <c r="R342" s="15">
        <f>IFERROR(Q342/Q444, "NA")</f>
        <v>4.5814161772115482E-2</v>
      </c>
      <c r="S342" s="2"/>
      <c r="T342" s="14">
        <f>IFERROR(T337+T338+T339+T340+T341, "NA")</f>
        <v>5457.7</v>
      </c>
      <c r="U342" s="15">
        <f>IFERROR(T342/T444, "NA")</f>
        <v>4.8097489046159736E-2</v>
      </c>
      <c r="V342" s="2"/>
      <c r="W342" s="14">
        <f t="shared" si="86"/>
        <v>-1004.5299999999997</v>
      </c>
      <c r="X342" s="15">
        <f>IFERROR(W342/W444, "NA")</f>
        <v>-3.6420439939974236E-2</v>
      </c>
      <c r="Y342" s="2"/>
      <c r="Z342" s="14">
        <f>IFERROR(Z337+Z338+Z339+Z340+Z341, "NA")</f>
        <v>5622.12</v>
      </c>
      <c r="AA342" s="15">
        <f>IFERROR(Z342/Z444, "NA")</f>
        <v>5.1186356423149719E-2</v>
      </c>
      <c r="AB342" s="2"/>
      <c r="AC342" s="14">
        <f t="shared" si="87"/>
        <v>-840.10999999999967</v>
      </c>
      <c r="AD342" s="15">
        <f>IFERROR(AC342/AC444, "NA")</f>
        <v>-2.6912102806148357E-2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10994.61</v>
      </c>
      <c r="C343" s="15">
        <f>IFERROR(B343/B444, "NA")</f>
        <v>0.14235869863866851</v>
      </c>
      <c r="D343" s="2"/>
      <c r="E343" s="14">
        <f>IFERROR(E328+E329+E330+E331+E332+E333+E334+E335+E337+E338+E339+E340+E341, "NA")</f>
        <v>10441.44</v>
      </c>
      <c r="F343" s="15">
        <f>IFERROR(E343/E444, "NA")</f>
        <v>0.16026532840037969</v>
      </c>
      <c r="G343" s="2"/>
      <c r="H343" s="14">
        <f t="shared" si="84"/>
        <v>-553.17000000000007</v>
      </c>
      <c r="I343" s="15">
        <f>IFERROR(H343/H444, "NA")</f>
        <v>-4.5789261951628933E-2</v>
      </c>
      <c r="J343" s="2"/>
      <c r="K343" s="14">
        <f>IFERROR(K328+K329+K330+K331+K332+K333+K334+K335+K337+K338+K339+K340+K341, "NA")</f>
        <v>12209.07</v>
      </c>
      <c r="L343" s="15">
        <f>IFERROR(K343/K444, "NA")</f>
        <v>0.20894725177494616</v>
      </c>
      <c r="M343" s="2"/>
      <c r="N343" s="14">
        <f t="shared" si="85"/>
        <v>1214.4599999999991</v>
      </c>
      <c r="O343" s="15">
        <f>IFERROR(N343/N444, "NA")</f>
        <v>6.4597596113697572E-2</v>
      </c>
      <c r="P343" s="2"/>
      <c r="Q343" s="14">
        <f>IFERROR(Q328+Q329+Q330+Q331+Q332+Q333+Q334+Q335+Q337+Q338+Q339+Q340+Q341, "NA")</f>
        <v>22149.670000000002</v>
      </c>
      <c r="R343" s="15">
        <f>IFERROR(Q343/Q444, "NA")</f>
        <v>0.15703070992195781</v>
      </c>
      <c r="S343" s="2"/>
      <c r="T343" s="14">
        <f>IFERROR(T328+T329+T330+T331+T332+T333+T334+T335+T337+T338+T339+T340+T341, "NA")</f>
        <v>20693.52</v>
      </c>
      <c r="U343" s="15">
        <f>IFERROR(T343/T444, "NA")</f>
        <v>0.18236736198883916</v>
      </c>
      <c r="V343" s="2"/>
      <c r="W343" s="14">
        <f t="shared" si="86"/>
        <v>-1456.1500000000015</v>
      </c>
      <c r="X343" s="15">
        <f>IFERROR(W343/W444, "NA")</f>
        <v>-5.2794464693531856E-2</v>
      </c>
      <c r="Y343" s="2"/>
      <c r="Z343" s="14">
        <f>IFERROR(Z328+Z329+Z330+Z331+Z332+Z333+Z334+Z335+Z337+Z338+Z339+Z340+Z341, "NA")</f>
        <v>24377.14</v>
      </c>
      <c r="AA343" s="15">
        <f>IFERROR(Z343/Z444, "NA")</f>
        <v>0.22194065167890761</v>
      </c>
      <c r="AB343" s="2"/>
      <c r="AC343" s="14">
        <f t="shared" si="87"/>
        <v>2227.4699999999975</v>
      </c>
      <c r="AD343" s="15">
        <f>IFERROR(AC343/AC444, "NA")</f>
        <v>7.1354824532038952E-2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10994.61</v>
      </c>
      <c r="C344" s="15">
        <f>IFERROR(B344/B444, "NA")</f>
        <v>0.14235869863866851</v>
      </c>
      <c r="D344" s="2"/>
      <c r="E344" s="14">
        <f>IFERROR(E328+E329+E330+E331+E332+E333+E334+E335+E337+E338+E339+E340+E341, "NA")</f>
        <v>10441.44</v>
      </c>
      <c r="F344" s="15">
        <f>IFERROR(E344/E444, "NA")</f>
        <v>0.16026532840037969</v>
      </c>
      <c r="G344" s="2"/>
      <c r="H344" s="14">
        <f t="shared" si="84"/>
        <v>-553.17000000000007</v>
      </c>
      <c r="I344" s="15">
        <f>IFERROR(H344/H444, "NA")</f>
        <v>-4.5789261951628933E-2</v>
      </c>
      <c r="J344" s="2"/>
      <c r="K344" s="14">
        <f>IFERROR(K328+K329+K330+K331+K332+K333+K334+K335+K337+K338+K339+K340+K341, "NA")</f>
        <v>12209.07</v>
      </c>
      <c r="L344" s="15">
        <f>IFERROR(K344/K444, "NA")</f>
        <v>0.20894725177494616</v>
      </c>
      <c r="M344" s="2"/>
      <c r="N344" s="14">
        <f t="shared" si="85"/>
        <v>1214.4599999999991</v>
      </c>
      <c r="O344" s="15">
        <f>IFERROR(N344/N444, "NA")</f>
        <v>6.4597596113697572E-2</v>
      </c>
      <c r="P344" s="2"/>
      <c r="Q344" s="14">
        <f>IFERROR(Q328+Q329+Q330+Q331+Q332+Q333+Q334+Q335+Q337+Q338+Q339+Q340+Q341, "NA")</f>
        <v>22149.670000000002</v>
      </c>
      <c r="R344" s="15">
        <f>IFERROR(Q344/Q444, "NA")</f>
        <v>0.15703070992195781</v>
      </c>
      <c r="S344" s="2"/>
      <c r="T344" s="14">
        <f>IFERROR(T328+T329+T330+T331+T332+T333+T334+T335+T337+T338+T339+T340+T341, "NA")</f>
        <v>20693.52</v>
      </c>
      <c r="U344" s="15">
        <f>IFERROR(T344/T444, "NA")</f>
        <v>0.18236736198883916</v>
      </c>
      <c r="V344" s="2"/>
      <c r="W344" s="14">
        <f t="shared" si="86"/>
        <v>-1456.1500000000015</v>
      </c>
      <c r="X344" s="15">
        <f>IFERROR(W344/W444, "NA")</f>
        <v>-5.2794464693531856E-2</v>
      </c>
      <c r="Y344" s="2"/>
      <c r="Z344" s="14">
        <f>IFERROR(Z328+Z329+Z330+Z331+Z332+Z333+Z334+Z335+Z337+Z338+Z339+Z340+Z341, "NA")</f>
        <v>24377.14</v>
      </c>
      <c r="AA344" s="15">
        <f>IFERROR(Z344/Z444, "NA")</f>
        <v>0.22194065167890761</v>
      </c>
      <c r="AB344" s="2"/>
      <c r="AC344" s="14">
        <f t="shared" si="87"/>
        <v>2227.4699999999975</v>
      </c>
      <c r="AD344" s="15">
        <f>IFERROR(AC344/AC444, "NA")</f>
        <v>7.1354824532038952E-2</v>
      </c>
    </row>
    <row r="345" spans="1:30" ht="16.5" customHeight="1" x14ac:dyDescent="0.45">
      <c r="A345" s="22" t="s">
        <v>315</v>
      </c>
      <c r="B345" s="23">
        <f>IFERROR(B198-B325-B344, "NA")</f>
        <v>427.9099999999853</v>
      </c>
      <c r="C345" s="24">
        <f>IFERROR(B345/B444, "NA")</f>
        <v>5.5405976869093623E-3</v>
      </c>
      <c r="D345" s="25"/>
      <c r="E345" s="23">
        <f>IFERROR(E198-E325-E344, "NA")</f>
        <v>-1748.0200000000059</v>
      </c>
      <c r="F345" s="24">
        <f>IFERROR(E345/E444, "NA")</f>
        <v>-2.6830303037745046E-2</v>
      </c>
      <c r="G345" s="25"/>
      <c r="H345" s="23">
        <f>IFERROR(B345-E345, "NA")</f>
        <v>2175.9299999999912</v>
      </c>
      <c r="I345" s="24">
        <f>IFERROR(H345/H444, "NA")</f>
        <v>0.18011502568542678</v>
      </c>
      <c r="J345" s="25"/>
      <c r="K345" s="23">
        <f>IFERROR(K198-K325-K344, "NA")</f>
        <v>-7988.93</v>
      </c>
      <c r="L345" s="24">
        <f>IFERROR(K345/K444, "NA")</f>
        <v>-0.13672335142008529</v>
      </c>
      <c r="M345" s="25"/>
      <c r="N345" s="23">
        <f>IFERROR(B345-K345, "NA")</f>
        <v>8416.8399999999856</v>
      </c>
      <c r="O345" s="24">
        <f>IFERROR(N345/N444, "NA")</f>
        <v>0.44769496802991759</v>
      </c>
      <c r="P345" s="25"/>
      <c r="Q345" s="23">
        <f>IFERROR(Q198-Q325-Q344, "NA")</f>
        <v>-5726.6799999999821</v>
      </c>
      <c r="R345" s="24">
        <f>IFERROR(Q345/Q444, "NA")</f>
        <v>-4.0599459310042739E-2</v>
      </c>
      <c r="S345" s="25"/>
      <c r="T345" s="23">
        <f>IFERROR(T198-T325-T344, "NA")</f>
        <v>-9205.1399999999921</v>
      </c>
      <c r="U345" s="24">
        <f>IFERROR(T345/T444, "NA")</f>
        <v>-8.1122839349609996E-2</v>
      </c>
      <c r="V345" s="25"/>
      <c r="W345" s="23">
        <f>IFERROR(Q345-T345, "NA")</f>
        <v>3478.46000000001</v>
      </c>
      <c r="X345" s="24">
        <f>IFERROR(W345/W444, "NA")</f>
        <v>0.12611573921495942</v>
      </c>
      <c r="Y345" s="25"/>
      <c r="Z345" s="23">
        <f>IFERROR(Z198-Z325-Z344, "NA")</f>
        <v>-18338.919999999998</v>
      </c>
      <c r="AA345" s="24">
        <f>IFERROR(Z345/Z444, "NA")</f>
        <v>-0.16696593020704445</v>
      </c>
      <c r="AB345" s="25"/>
      <c r="AC345" s="23">
        <f>IFERROR(Q345-Z345, "NA")</f>
        <v>12612.240000000016</v>
      </c>
      <c r="AD345" s="24">
        <f>IFERROR(AC345/AC444, "NA")</f>
        <v>0.40402078239256423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427.9099999999853</v>
      </c>
      <c r="C404" s="24">
        <f>IFERROR(B404/B444, "NA")</f>
        <v>5.5405976869093623E-3</v>
      </c>
      <c r="D404" s="25"/>
      <c r="E404" s="23">
        <f>IFERROR(E345-E403, "NA")</f>
        <v>-1748.0200000000059</v>
      </c>
      <c r="F404" s="24">
        <f>IFERROR(E404/E444, "NA")</f>
        <v>-2.6830303037745046E-2</v>
      </c>
      <c r="G404" s="25"/>
      <c r="H404" s="23">
        <f>IFERROR(B404-E404, "NA")</f>
        <v>2175.9299999999912</v>
      </c>
      <c r="I404" s="24">
        <f>IFERROR(H404/H444, "NA")</f>
        <v>0.18011502568542678</v>
      </c>
      <c r="J404" s="25"/>
      <c r="K404" s="23">
        <f>IFERROR(K345-K403, "NA")</f>
        <v>-7988.93</v>
      </c>
      <c r="L404" s="24">
        <f>IFERROR(K404/K444, "NA")</f>
        <v>-0.13672335142008529</v>
      </c>
      <c r="M404" s="25"/>
      <c r="N404" s="23">
        <f>IFERROR(B404-K404, "NA")</f>
        <v>8416.8399999999856</v>
      </c>
      <c r="O404" s="24">
        <f>IFERROR(N404/N444, "NA")</f>
        <v>0.44769496802991759</v>
      </c>
      <c r="P404" s="25"/>
      <c r="Q404" s="23">
        <f>IFERROR(Q345-Q403, "NA")</f>
        <v>-5726.6799999999821</v>
      </c>
      <c r="R404" s="24">
        <f>IFERROR(Q404/Q444, "NA")</f>
        <v>-4.0599459310042739E-2</v>
      </c>
      <c r="S404" s="25"/>
      <c r="T404" s="23">
        <f>IFERROR(T345-T403, "NA")</f>
        <v>-9205.1399999999921</v>
      </c>
      <c r="U404" s="24">
        <f>IFERROR(T404/T444, "NA")</f>
        <v>-8.1122839349609996E-2</v>
      </c>
      <c r="V404" s="25"/>
      <c r="W404" s="23">
        <f>IFERROR(Q404-T404, "NA")</f>
        <v>3478.46000000001</v>
      </c>
      <c r="X404" s="24">
        <f>IFERROR(W404/W444, "NA")</f>
        <v>0.12611573921495942</v>
      </c>
      <c r="Y404" s="25"/>
      <c r="Z404" s="23">
        <f>IFERROR(Z345-Z403, "NA")</f>
        <v>-18338.919999999998</v>
      </c>
      <c r="AA404" s="24">
        <f>IFERROR(Z404/Z444, "NA")</f>
        <v>-0.16696593020704445</v>
      </c>
      <c r="AB404" s="25"/>
      <c r="AC404" s="23">
        <f>IFERROR(Q404-Z404, "NA")</f>
        <v>12612.240000000016</v>
      </c>
      <c r="AD404" s="24">
        <f>IFERROR(AC404/AC444, "NA")</f>
        <v>0.40402078239256423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3879.24</v>
      </c>
      <c r="C410" s="8">
        <f>IFERROR(B410/B444, "NA")</f>
        <v>5.0228571828111079E-2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-3879.24</v>
      </c>
      <c r="I410" s="8">
        <f>IFERROR(H410/H444, "NA")</f>
        <v>-0.32110840525197859</v>
      </c>
      <c r="J410" s="9"/>
      <c r="K410" s="7">
        <v>3408.24</v>
      </c>
      <c r="L410" s="8">
        <f>IFERROR(K410/K444, "NA")</f>
        <v>5.8328962106814236E-2</v>
      </c>
      <c r="M410" s="9"/>
      <c r="N410" s="10">
        <f t="shared" si="101"/>
        <v>-471</v>
      </c>
      <c r="O410" s="8">
        <f>IFERROR(N410/N444, "NA")</f>
        <v>-2.5052671779681158E-2</v>
      </c>
      <c r="P410" s="9"/>
      <c r="Q410" s="7">
        <v>7665.88</v>
      </c>
      <c r="R410" s="8">
        <f>IFERROR(Q410/Q444, "NA")</f>
        <v>5.4347472381147788E-2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-7665.88</v>
      </c>
      <c r="X410" s="8">
        <f>IFERROR(W410/W444, "NA")</f>
        <v>-0.27793567352597714</v>
      </c>
      <c r="Y410" s="9"/>
      <c r="Z410" s="7">
        <v>6816.48</v>
      </c>
      <c r="AA410" s="8">
        <f>IFERROR(Z410/Z444, "NA")</f>
        <v>6.2060357095058735E-2</v>
      </c>
      <c r="AB410" s="9"/>
      <c r="AC410" s="10">
        <f t="shared" si="103"/>
        <v>-849.40000000000055</v>
      </c>
      <c r="AD410" s="8">
        <f>IFERROR(AC410/AC444, "NA")</f>
        <v>-2.7209698876983299E-2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-25.04</v>
      </c>
      <c r="C417" s="8">
        <f>IFERROR(B417/B444, "NA")</f>
        <v>-3.2421903222690565E-4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25.04</v>
      </c>
      <c r="I417" s="8">
        <f>IFERROR(H417/H444, "NA")</f>
        <v>2.0727138479469031E-3</v>
      </c>
      <c r="J417" s="9"/>
      <c r="K417" s="7">
        <v>0.14000000000000001</v>
      </c>
      <c r="L417" s="8">
        <f>IFERROR(K417/K444, "NA")</f>
        <v>2.3959740789832856E-6</v>
      </c>
      <c r="M417" s="9"/>
      <c r="N417" s="10">
        <f t="shared" si="101"/>
        <v>25.18</v>
      </c>
      <c r="O417" s="8">
        <f>IFERROR(N417/N444, "NA")</f>
        <v>1.3393339180729756E-3</v>
      </c>
      <c r="P417" s="9"/>
      <c r="Q417" s="7">
        <v>47.6</v>
      </c>
      <c r="R417" s="8">
        <f>IFERROR(Q417/Q444, "NA")</f>
        <v>3.374615419681282E-4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-47.6</v>
      </c>
      <c r="X417" s="8">
        <f>IFERROR(W417/W444, "NA")</f>
        <v>-1.7257950893878474E-3</v>
      </c>
      <c r="Y417" s="9"/>
      <c r="Z417" s="7">
        <v>0.14000000000000001</v>
      </c>
      <c r="AA417" s="8">
        <f>IFERROR(Z417/Z444, "NA")</f>
        <v>1.2746241452051828E-6</v>
      </c>
      <c r="AB417" s="9"/>
      <c r="AC417" s="10">
        <f t="shared" si="103"/>
        <v>-47.46</v>
      </c>
      <c r="AD417" s="8">
        <f>IFERROR(AC417/AC444, "NA")</f>
        <v>-1.5203347170963345E-3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6.2047028851091527E-4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-3.9666312936747442E-3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-2.5488832944422952E-3</v>
      </c>
      <c r="P424" s="9"/>
      <c r="Q424" s="7">
        <v>95.84</v>
      </c>
      <c r="R424" s="8">
        <f>IFERROR(Q424/Q444, "NA")</f>
        <v>6.7946038197952538E-4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-95.84</v>
      </c>
      <c r="X424" s="8">
        <f>IFERROR(W424/W444, "NA")</f>
        <v>-3.4747941463641029E-3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-95.84</v>
      </c>
      <c r="AD424" s="8">
        <f>IFERROR(AC424/AC444, "NA")</f>
        <v>-3.0701407350719068E-3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-134.94</v>
      </c>
      <c r="C426" s="8">
        <f>IFERROR(B426/B444, "NA")</f>
        <v>-1.7472091137659205E-3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134.94</v>
      </c>
      <c r="I426" s="8">
        <f>IFERROR(H426/H444, "NA")</f>
        <v>1.1169808571963064E-2</v>
      </c>
      <c r="J426" s="9"/>
      <c r="K426" s="7">
        <v>-192.02</v>
      </c>
      <c r="L426" s="8">
        <f>IFERROR(K426/K444, "NA")</f>
        <v>-3.2862495903312181E-3</v>
      </c>
      <c r="M426" s="9"/>
      <c r="N426" s="10">
        <f t="shared" si="101"/>
        <v>-57.080000000000013</v>
      </c>
      <c r="O426" s="8">
        <f>IFERROR(N426/N444, "NA")</f>
        <v>-3.0361072296904473E-3</v>
      </c>
      <c r="P426" s="9"/>
      <c r="Q426" s="7">
        <v>-277.99</v>
      </c>
      <c r="R426" s="8">
        <f>IFERROR(Q426/Q444, "NA")</f>
        <v>-1.9708179422630243E-3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277.99</v>
      </c>
      <c r="X426" s="8">
        <f>IFERROR(W426/W444, "NA")</f>
        <v>1.007886085922117E-2</v>
      </c>
      <c r="Y426" s="9"/>
      <c r="Z426" s="7">
        <v>-192.02</v>
      </c>
      <c r="AA426" s="8">
        <f>IFERROR(Z426/Z444, "NA")</f>
        <v>-1.7482380597307083E-3</v>
      </c>
      <c r="AB426" s="9"/>
      <c r="AC426" s="10">
        <f t="shared" si="103"/>
        <v>85.97</v>
      </c>
      <c r="AD426" s="8">
        <f>IFERROR(AC426/AC444, "NA")</f>
        <v>2.7539649310739964E-3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3767.18</v>
      </c>
      <c r="C428" s="15">
        <f>IFERROR(B428/B444, "NA")</f>
        <v>4.8777613970629172E-2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-3767.18</v>
      </c>
      <c r="I428" s="15">
        <f>IFERROR(H428/H444, "NA")</f>
        <v>-0.31183251412574337</v>
      </c>
      <c r="J428" s="2"/>
      <c r="K428" s="14">
        <f>IFERROR(K407+K408+K409+K410+K411+K412+K413+K414+K415+K416+K417+K418+K419+K420+K421+K422+K423+K424+K425+K426+K427, "NA")</f>
        <v>3216.3599999999997</v>
      </c>
      <c r="L428" s="15">
        <f>IFERROR(K428/K444, "NA")</f>
        <v>5.5045108490561996E-2</v>
      </c>
      <c r="M428" s="2"/>
      <c r="N428" s="14">
        <f t="shared" si="101"/>
        <v>-550.82000000000016</v>
      </c>
      <c r="O428" s="15">
        <f>IFERROR(N428/N444, "NA")</f>
        <v>-2.9298328385740931E-2</v>
      </c>
      <c r="P428" s="2"/>
      <c r="Q428" s="14">
        <f>IFERROR(Q407+Q408+Q409+Q410+Q411+Q412+Q413+Q414+Q415+Q416+Q417+Q418+Q419+Q420+Q421+Q422+Q423+Q424+Q425+Q426+Q427, "NA")</f>
        <v>7531.3300000000008</v>
      </c>
      <c r="R428" s="15">
        <f>IFERROR(Q428/Q444, "NA")</f>
        <v>5.3393576362832422E-2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-7531.3300000000008</v>
      </c>
      <c r="X428" s="15">
        <f>IFERROR(W428/W444, "NA")</f>
        <v>-0.27305740190250793</v>
      </c>
      <c r="Y428" s="2"/>
      <c r="Z428" s="14">
        <f>IFERROR(Z407+Z408+Z409+Z410+Z411+Z412+Z413+Z414+Z415+Z416+Z417+Z418+Z419+Z420+Z421+Z422+Z423+Z424+Z425+Z426+Z427, "NA")</f>
        <v>6624.5999999999995</v>
      </c>
      <c r="AA428" s="15">
        <f>IFERROR(Z428/Z444, "NA")</f>
        <v>6.0313393659473226E-2</v>
      </c>
      <c r="AB428" s="2"/>
      <c r="AC428" s="14">
        <f t="shared" si="103"/>
        <v>-906.73000000000138</v>
      </c>
      <c r="AD428" s="15">
        <f>IFERROR(AC428/AC444, "NA")</f>
        <v>-2.9046209398077571E-2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3767.18</v>
      </c>
      <c r="C429" s="15">
        <f>IFERROR(B429/B444, "NA")</f>
        <v>4.8777613970629172E-2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-3767.18</v>
      </c>
      <c r="I429" s="15">
        <f>IFERROR(H429/H444, "NA")</f>
        <v>-0.31183251412574337</v>
      </c>
      <c r="J429" s="2"/>
      <c r="K429" s="14">
        <f>IFERROR(K407+K408+K409+K410+K411+K412+K413+K414+K415+K416+K417+K418+K419+K420+K421+K422+K423+K424+K425+K426+K427, "NA")</f>
        <v>3216.3599999999997</v>
      </c>
      <c r="L429" s="15">
        <f>IFERROR(K429/K444, "NA")</f>
        <v>5.5045108490561996E-2</v>
      </c>
      <c r="M429" s="2"/>
      <c r="N429" s="14">
        <f t="shared" si="101"/>
        <v>-550.82000000000016</v>
      </c>
      <c r="O429" s="15">
        <f>IFERROR(N429/N444, "NA")</f>
        <v>-2.9298328385740931E-2</v>
      </c>
      <c r="P429" s="2"/>
      <c r="Q429" s="14">
        <f>IFERROR(Q407+Q408+Q409+Q410+Q411+Q412+Q413+Q414+Q415+Q416+Q417+Q418+Q419+Q420+Q421+Q422+Q423+Q424+Q425+Q426+Q427, "NA")</f>
        <v>7531.3300000000008</v>
      </c>
      <c r="R429" s="15">
        <f>IFERROR(Q429/Q444, "NA")</f>
        <v>5.3393576362832422E-2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-7531.3300000000008</v>
      </c>
      <c r="X429" s="15">
        <f>IFERROR(W429/W444, "NA")</f>
        <v>-0.27305740190250793</v>
      </c>
      <c r="Y429" s="2"/>
      <c r="Z429" s="14">
        <f>IFERROR(Z407+Z408+Z409+Z410+Z411+Z412+Z413+Z414+Z415+Z416+Z417+Z418+Z419+Z420+Z421+Z422+Z423+Z424+Z425+Z426+Z427, "NA")</f>
        <v>6624.5999999999995</v>
      </c>
      <c r="AA429" s="15">
        <f>IFERROR(Z429/Z444, "NA")</f>
        <v>6.0313393659473226E-2</v>
      </c>
      <c r="AB429" s="2"/>
      <c r="AC429" s="14">
        <f t="shared" si="103"/>
        <v>-906.73000000000138</v>
      </c>
      <c r="AD429" s="15">
        <f>IFERROR(AC429/AC444, "NA")</f>
        <v>-2.9046209398077571E-2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-3339.2700000000145</v>
      </c>
      <c r="C443" s="24">
        <f>IFERROR(B443/B444, "NA")</f>
        <v>-4.3237016283719808E-2</v>
      </c>
      <c r="D443" s="25"/>
      <c r="E443" s="23">
        <f>IFERROR(E404-E429-E442, "NA")</f>
        <v>-1748.0200000000059</v>
      </c>
      <c r="F443" s="24">
        <f>IFERROR(E443/E444, "NA")</f>
        <v>-2.6830303037745046E-2</v>
      </c>
      <c r="G443" s="25"/>
      <c r="H443" s="23">
        <f>IFERROR(B443-E443, "NA")</f>
        <v>-1591.2500000000086</v>
      </c>
      <c r="I443" s="24">
        <f>IFERROR(H443/H444, "NA")</f>
        <v>-0.13171748844031658</v>
      </c>
      <c r="J443" s="25"/>
      <c r="K443" s="23">
        <f>IFERROR(K404-K429-K442, "NA")</f>
        <v>-11205.29</v>
      </c>
      <c r="L443" s="24">
        <f>IFERROR(K443/K444, "NA")</f>
        <v>-0.19176845991064731</v>
      </c>
      <c r="M443" s="25"/>
      <c r="N443" s="23">
        <f>IFERROR(B443-K443, "NA")</f>
        <v>7866.0199999999859</v>
      </c>
      <c r="O443" s="24">
        <f>IFERROR(N443/N444, "NA")</f>
        <v>0.41839663964417667</v>
      </c>
      <c r="P443" s="25"/>
      <c r="Q443" s="23">
        <f>IFERROR(Q404-Q429-Q442, "NA")</f>
        <v>-13258.009999999984</v>
      </c>
      <c r="R443" s="24">
        <f>IFERROR(Q443/Q444, "NA")</f>
        <v>-9.3993035672875175E-2</v>
      </c>
      <c r="S443" s="25"/>
      <c r="T443" s="23">
        <f>IFERROR(T404-T429-T442, "NA")</f>
        <v>-9205.1399999999921</v>
      </c>
      <c r="U443" s="24">
        <f>IFERROR(T443/T444, "NA")</f>
        <v>-8.1122839349609996E-2</v>
      </c>
      <c r="V443" s="25"/>
      <c r="W443" s="23">
        <f>IFERROR(Q443-T443, "NA")</f>
        <v>-4052.8699999999917</v>
      </c>
      <c r="X443" s="24">
        <f>IFERROR(W443/W444, "NA")</f>
        <v>-0.14694166268754855</v>
      </c>
      <c r="Y443" s="25"/>
      <c r="Z443" s="23">
        <f>IFERROR(Z404-Z429-Z442, "NA")</f>
        <v>-24963.519999999997</v>
      </c>
      <c r="AA443" s="24">
        <f>IFERROR(Z443/Z444, "NA")</f>
        <v>-0.2272793238665177</v>
      </c>
      <c r="AB443" s="25"/>
      <c r="AC443" s="23">
        <f>IFERROR(Q443-Z443, "NA")</f>
        <v>11705.510000000013</v>
      </c>
      <c r="AD443" s="24">
        <f>IFERROR(AC443/AC444, "NA")</f>
        <v>0.37497457299448661</v>
      </c>
    </row>
    <row r="444" spans="1:30" ht="15.75" hidden="1" x14ac:dyDescent="0.45">
      <c r="A444" s="26" t="s">
        <v>117</v>
      </c>
      <c r="B444" s="7">
        <v>77231.740000000005</v>
      </c>
      <c r="C444" s="27"/>
      <c r="D444" s="9"/>
      <c r="E444" s="7">
        <v>65150.96</v>
      </c>
      <c r="F444" s="27"/>
      <c r="G444" s="9"/>
      <c r="H444" s="10">
        <f>IFERROR(B444-E444, "NA")</f>
        <v>12080.780000000006</v>
      </c>
      <c r="I444" s="27"/>
      <c r="J444" s="9"/>
      <c r="K444" s="7">
        <v>58431.35</v>
      </c>
      <c r="L444" s="27"/>
      <c r="M444" s="9"/>
      <c r="N444" s="10">
        <f>IFERROR(B444-K444, "NA")</f>
        <v>18800.390000000007</v>
      </c>
      <c r="O444" s="27"/>
      <c r="P444" s="9"/>
      <c r="Q444" s="7">
        <v>141053.10999999999</v>
      </c>
      <c r="R444" s="27"/>
      <c r="S444" s="9"/>
      <c r="T444" s="7">
        <v>113471.62</v>
      </c>
      <c r="U444" s="27"/>
      <c r="V444" s="9"/>
      <c r="W444" s="10">
        <f>IFERROR(Q444-T444, "NA")</f>
        <v>27581.489999999991</v>
      </c>
      <c r="X444" s="27"/>
      <c r="Y444" s="9"/>
      <c r="Z444" s="7">
        <v>109836.3</v>
      </c>
      <c r="AA444" s="27"/>
      <c r="AB444" s="9"/>
      <c r="AC444" s="10">
        <f>IFERROR(Q444-Z444, "NA")</f>
        <v>31216.809999999983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36393.599999999999</v>
      </c>
      <c r="F10" s="8">
        <f>IFERROR(E10/E444, "NA")</f>
        <v>0.23999998417304244</v>
      </c>
      <c r="G10" s="9"/>
      <c r="H10" s="10">
        <f t="shared" ref="H10:H19" si="0">IFERROR(B10-E10, "NA")</f>
        <v>-36393.599999999999</v>
      </c>
      <c r="I10" s="8">
        <f>IFERROR(H10/H444, "NA")</f>
        <v>15.116948497800587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59591.27</v>
      </c>
      <c r="U10" s="8">
        <f>IFERROR(T10/T444, "NA")</f>
        <v>0.23999996939149362</v>
      </c>
      <c r="V10" s="9"/>
      <c r="W10" s="10">
        <f t="shared" ref="W10:W19" si="2">IFERROR(Q10-T10, "NA")</f>
        <v>-59591.27</v>
      </c>
      <c r="X10" s="8">
        <f>IFERROR(W10/W444, "NA")</f>
        <v>-1.5466758338803299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33284.15</v>
      </c>
      <c r="C11" s="8">
        <f>IFERROR(B11/B444, "NA")</f>
        <v>0.22303547202238869</v>
      </c>
      <c r="D11" s="9"/>
      <c r="E11" s="7">
        <v>0</v>
      </c>
      <c r="F11" s="8">
        <f>IFERROR(E11/E444, "NA")</f>
        <v>0</v>
      </c>
      <c r="G11" s="9"/>
      <c r="H11" s="10">
        <f t="shared" si="0"/>
        <v>33284.15</v>
      </c>
      <c r="I11" s="8">
        <f>IFERROR(H11/H444, "NA")</f>
        <v>-13.825364386679786</v>
      </c>
      <c r="J11" s="9"/>
      <c r="K11" s="7">
        <v>26281.98</v>
      </c>
      <c r="L11" s="8">
        <f>IFERROR(K11/K444, "NA")</f>
        <v>0.20278233750762401</v>
      </c>
      <c r="M11" s="9"/>
      <c r="N11" s="10">
        <f t="shared" si="1"/>
        <v>7002.1700000000019</v>
      </c>
      <c r="O11" s="8">
        <f>IFERROR(N11/N444, "NA")</f>
        <v>0.35678592701708839</v>
      </c>
      <c r="P11" s="9"/>
      <c r="Q11" s="7">
        <v>62649.599999999999</v>
      </c>
      <c r="R11" s="8">
        <f>IFERROR(Q11/Q444, "NA")</f>
        <v>0.21842401793982127</v>
      </c>
      <c r="S11" s="9"/>
      <c r="T11" s="7">
        <v>0</v>
      </c>
      <c r="U11" s="8">
        <f>IFERROR(T11/T444, "NA")</f>
        <v>0</v>
      </c>
      <c r="V11" s="9"/>
      <c r="W11" s="10">
        <f t="shared" si="2"/>
        <v>62649.599999999999</v>
      </c>
      <c r="X11" s="8">
        <f>IFERROR(W11/W444, "NA")</f>
        <v>1.6260539894898887</v>
      </c>
      <c r="Y11" s="9"/>
      <c r="Z11" s="7">
        <v>56140.49</v>
      </c>
      <c r="AA11" s="8">
        <f>IFERROR(Z11/Z444, "NA")</f>
        <v>0.23923288815836516</v>
      </c>
      <c r="AB11" s="9"/>
      <c r="AC11" s="10">
        <f t="shared" si="3"/>
        <v>6509.1100000000006</v>
      </c>
      <c r="AD11" s="8">
        <f>IFERROR(AC11/AC444, "NA")</f>
        <v>0.12479882784264845</v>
      </c>
    </row>
    <row r="12" spans="1:30" ht="16.5" customHeight="1" x14ac:dyDescent="0.45">
      <c r="A12" s="12" t="s">
        <v>14</v>
      </c>
      <c r="B12" s="7">
        <v>2564.85</v>
      </c>
      <c r="C12" s="8">
        <f>IFERROR(B12/B444, "NA")</f>
        <v>1.7186935235438596E-2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2564.85</v>
      </c>
      <c r="I12" s="8">
        <f>IFERROR(H12/H444, "NA")</f>
        <v>-1.0653715311094214</v>
      </c>
      <c r="J12" s="9"/>
      <c r="K12" s="7">
        <v>1878.2</v>
      </c>
      <c r="L12" s="8">
        <f>IFERROR(K12/K444, "NA")</f>
        <v>1.4491518002327808E-2</v>
      </c>
      <c r="M12" s="9"/>
      <c r="N12" s="10">
        <f t="shared" si="1"/>
        <v>686.64999999999986</v>
      </c>
      <c r="O12" s="8">
        <f>IFERROR(N12/N444, "NA")</f>
        <v>3.498730490494855E-2</v>
      </c>
      <c r="P12" s="9"/>
      <c r="Q12" s="7">
        <v>4946.3999999999996</v>
      </c>
      <c r="R12" s="8">
        <f>IFERROR(Q12/Q444, "NA")</f>
        <v>1.7245322593241328E-2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4946.3999999999996</v>
      </c>
      <c r="X12" s="8">
        <f>IFERROR(W12/W444, "NA")</f>
        <v>0.12838251886065968</v>
      </c>
      <c r="Y12" s="9"/>
      <c r="Z12" s="7">
        <v>4206.75</v>
      </c>
      <c r="AA12" s="8">
        <f>IFERROR(Z12/Z444, "NA")</f>
        <v>1.7926330038448235E-2</v>
      </c>
      <c r="AB12" s="9"/>
      <c r="AC12" s="10">
        <f t="shared" si="3"/>
        <v>739.64999999999964</v>
      </c>
      <c r="AD12" s="8">
        <f>IFERROR(AC12/AC444, "NA")</f>
        <v>1.4181271020740911E-2</v>
      </c>
    </row>
    <row r="13" spans="1:30" ht="16.5" customHeight="1" x14ac:dyDescent="0.45">
      <c r="A13" s="12" t="s">
        <v>15</v>
      </c>
      <c r="B13" s="7">
        <v>154</v>
      </c>
      <c r="C13" s="8">
        <f>IFERROR(B13/B444, "NA")</f>
        <v>1.0319465178304946E-3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154</v>
      </c>
      <c r="I13" s="8">
        <f>IFERROR(H13/H444, "NA")</f>
        <v>-6.3967567612472812E-2</v>
      </c>
      <c r="J13" s="9"/>
      <c r="K13" s="7">
        <v>162.5</v>
      </c>
      <c r="L13" s="8">
        <f>IFERROR(K13/K444, "NA")</f>
        <v>1.25379175560551E-3</v>
      </c>
      <c r="M13" s="9"/>
      <c r="N13" s="10">
        <f t="shared" si="1"/>
        <v>-8.5</v>
      </c>
      <c r="O13" s="8">
        <f>IFERROR(N13/N444, "NA")</f>
        <v>-4.3310579143968948E-4</v>
      </c>
      <c r="P13" s="9"/>
      <c r="Q13" s="7">
        <v>286</v>
      </c>
      <c r="R13" s="8">
        <f>IFERROR(Q13/Q444, "NA")</f>
        <v>9.9712159584081756E-4</v>
      </c>
      <c r="S13" s="9"/>
      <c r="T13" s="7">
        <v>0</v>
      </c>
      <c r="U13" s="8">
        <f>IFERROR(T13/T444, "NA")</f>
        <v>0</v>
      </c>
      <c r="V13" s="9"/>
      <c r="W13" s="10">
        <f t="shared" si="2"/>
        <v>286</v>
      </c>
      <c r="X13" s="8">
        <f>IFERROR(W13/W444, "NA")</f>
        <v>7.4230552309050369E-3</v>
      </c>
      <c r="Y13" s="9"/>
      <c r="Z13" s="7">
        <v>280.5</v>
      </c>
      <c r="AA13" s="8">
        <f>IFERROR(Z13/Z444, "NA")</f>
        <v>1.1953017354928935E-3</v>
      </c>
      <c r="AB13" s="9"/>
      <c r="AC13" s="10">
        <f t="shared" si="3"/>
        <v>5.5</v>
      </c>
      <c r="AD13" s="8">
        <f>IFERROR(AC13/AC444, "NA")</f>
        <v>1.0545121424197262E-4</v>
      </c>
    </row>
    <row r="14" spans="1:30" ht="16.5" customHeight="1" x14ac:dyDescent="0.45">
      <c r="A14" s="12" t="s">
        <v>16</v>
      </c>
      <c r="B14" s="7">
        <v>230</v>
      </c>
      <c r="C14" s="8">
        <f>IFERROR(B14/B444, "NA")</f>
        <v>1.541218825331258E-3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230</v>
      </c>
      <c r="I14" s="8">
        <f>IFERROR(H14/H444, "NA")</f>
        <v>-9.5535977603043817E-2</v>
      </c>
      <c r="J14" s="9"/>
      <c r="K14" s="7">
        <v>276</v>
      </c>
      <c r="L14" s="8">
        <f>IFERROR(K14/K444, "NA")</f>
        <v>2.1295170741361278E-3</v>
      </c>
      <c r="M14" s="9"/>
      <c r="N14" s="10">
        <f t="shared" si="1"/>
        <v>-46</v>
      </c>
      <c r="O14" s="8">
        <f>IFERROR(N14/N444, "NA")</f>
        <v>-2.3438666360265548E-3</v>
      </c>
      <c r="P14" s="9"/>
      <c r="Q14" s="7">
        <v>425</v>
      </c>
      <c r="R14" s="8">
        <f>IFERROR(Q14/Q444, "NA")</f>
        <v>1.4817366371760402E-3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425</v>
      </c>
      <c r="X14" s="8">
        <f>IFERROR(W14/W444, "NA")</f>
        <v>1.1030763892079163E-2</v>
      </c>
      <c r="Y14" s="9"/>
      <c r="Z14" s="7">
        <v>546</v>
      </c>
      <c r="AA14" s="8">
        <f>IFERROR(Z14/Z444, "NA")</f>
        <v>2.3266835920824234E-3</v>
      </c>
      <c r="AB14" s="9"/>
      <c r="AC14" s="10">
        <f t="shared" si="3"/>
        <v>-121</v>
      </c>
      <c r="AD14" s="8">
        <f>IFERROR(AC14/AC444, "NA")</f>
        <v>-2.3199267133233977E-3</v>
      </c>
    </row>
    <row r="15" spans="1:30" ht="16.5" customHeight="1" x14ac:dyDescent="0.45">
      <c r="A15" s="12" t="s">
        <v>17</v>
      </c>
      <c r="B15" s="7">
        <v>136</v>
      </c>
      <c r="C15" s="8">
        <f>IFERROR(B15/B444, "NA")</f>
        <v>9.1132939236978738E-4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136</v>
      </c>
      <c r="I15" s="8">
        <f>IFERROR(H15/H444, "NA")</f>
        <v>-5.6490838930495474E-2</v>
      </c>
      <c r="J15" s="9"/>
      <c r="K15" s="7">
        <v>64</v>
      </c>
      <c r="L15" s="8">
        <f>IFERROR(K15/K444, "NA")</f>
        <v>4.9380106066924706E-4</v>
      </c>
      <c r="M15" s="9"/>
      <c r="N15" s="10">
        <f t="shared" si="1"/>
        <v>72</v>
      </c>
      <c r="O15" s="8">
        <f>IFERROR(N15/N444, "NA")</f>
        <v>3.6686608216067811E-3</v>
      </c>
      <c r="P15" s="9"/>
      <c r="Q15" s="7">
        <v>157</v>
      </c>
      <c r="R15" s="8">
        <f>IFERROR(Q15/Q444, "NA")</f>
        <v>5.4737094596856069E-4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157</v>
      </c>
      <c r="X15" s="8">
        <f>IFERROR(W15/W444, "NA")</f>
        <v>4.0748939554268908E-3</v>
      </c>
      <c r="Y15" s="9"/>
      <c r="Z15" s="7">
        <v>80</v>
      </c>
      <c r="AA15" s="8">
        <f>IFERROR(Z15/Z444, "NA")</f>
        <v>3.4090602081793752E-4</v>
      </c>
      <c r="AB15" s="9"/>
      <c r="AC15" s="10">
        <f t="shared" si="3"/>
        <v>77</v>
      </c>
      <c r="AD15" s="8">
        <f>IFERROR(AC15/AC444, "NA")</f>
        <v>1.4763169993876166E-3</v>
      </c>
    </row>
    <row r="16" spans="1:30" ht="16.5" customHeight="1" x14ac:dyDescent="0.45">
      <c r="A16" s="12" t="s">
        <v>18</v>
      </c>
      <c r="B16" s="7">
        <v>0.6</v>
      </c>
      <c r="C16" s="8">
        <f>IFERROR(B16/B444, "NA")</f>
        <v>4.0205708486902381E-6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0.6</v>
      </c>
      <c r="I16" s="8">
        <f>IFERROR(H16/H444, "NA")</f>
        <v>-2.4922428939924473E-4</v>
      </c>
      <c r="J16" s="9"/>
      <c r="K16" s="7">
        <v>0</v>
      </c>
      <c r="L16" s="8">
        <f>IFERROR(K16/K444, "NA")</f>
        <v>0</v>
      </c>
      <c r="M16" s="9"/>
      <c r="N16" s="10">
        <f t="shared" si="1"/>
        <v>0.6</v>
      </c>
      <c r="O16" s="8">
        <f>IFERROR(N16/N444, "NA")</f>
        <v>3.0572173513389845E-5</v>
      </c>
      <c r="P16" s="9"/>
      <c r="Q16" s="7">
        <v>0.6</v>
      </c>
      <c r="R16" s="8">
        <f>IFERROR(Q16/Q444, "NA")</f>
        <v>2.0918634877779388E-6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1.5572843141758816E-5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1.1503768826397013E-5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36369.599999999999</v>
      </c>
      <c r="C18" s="15">
        <f>IFERROR(B18/B444, "NA")</f>
        <v>0.24371092256420748</v>
      </c>
      <c r="D18" s="2"/>
      <c r="E18" s="14">
        <f>IFERROR(E10+E11+E12+E13+E14+E15+E16+E17, "NA")</f>
        <v>36393.599999999999</v>
      </c>
      <c r="F18" s="15">
        <f>IFERROR(E18/E444, "NA")</f>
        <v>0.23999998417304244</v>
      </c>
      <c r="G18" s="2"/>
      <c r="H18" s="14">
        <f t="shared" si="0"/>
        <v>-24</v>
      </c>
      <c r="I18" s="15">
        <f>IFERROR(H18/H444, "NA")</f>
        <v>9.9689715759697893E-3</v>
      </c>
      <c r="J18" s="2"/>
      <c r="K18" s="14">
        <f>IFERROR(K10+K11+K12+K13+K14+K15+K16+K17, "NA")</f>
        <v>28662.68</v>
      </c>
      <c r="L18" s="15">
        <f>IFERROR(K18/K444, "NA")</f>
        <v>0.22115096540036269</v>
      </c>
      <c r="M18" s="2"/>
      <c r="N18" s="14">
        <f t="shared" si="1"/>
        <v>7706.9199999999983</v>
      </c>
      <c r="O18" s="15">
        <f>IFERROR(N18/N444, "NA")</f>
        <v>0.39269549248969066</v>
      </c>
      <c r="P18" s="2"/>
      <c r="Q18" s="14">
        <f>IFERROR(Q10+Q11+Q12+Q13+Q14+Q15+Q16+Q17, "NA")</f>
        <v>68464.600000000006</v>
      </c>
      <c r="R18" s="15">
        <f>IFERROR(Q18/Q444, "NA")</f>
        <v>0.23869766157553585</v>
      </c>
      <c r="S18" s="2"/>
      <c r="T18" s="14">
        <f>IFERROR(T10+T11+T12+T13+T14+T15+T16+T17, "NA")</f>
        <v>59591.27</v>
      </c>
      <c r="U18" s="15">
        <f>IFERROR(T18/T444, "NA")</f>
        <v>0.23999996939149362</v>
      </c>
      <c r="V18" s="2"/>
      <c r="W18" s="14">
        <f t="shared" si="2"/>
        <v>8873.330000000009</v>
      </c>
      <c r="X18" s="15">
        <f>IFERROR(W18/W444, "NA")</f>
        <v>0.23030496039177153</v>
      </c>
      <c r="Y18" s="2"/>
      <c r="Z18" s="14">
        <f>IFERROR(Z10+Z11+Z12+Z13+Z14+Z15+Z16+Z17, "NA")</f>
        <v>61253.74</v>
      </c>
      <c r="AA18" s="15">
        <f>IFERROR(Z18/Z444, "NA")</f>
        <v>0.26102210954520666</v>
      </c>
      <c r="AB18" s="2"/>
      <c r="AC18" s="14">
        <f t="shared" si="3"/>
        <v>7210.8600000000079</v>
      </c>
      <c r="AD18" s="15">
        <f>IFERROR(AC18/AC444, "NA")</f>
        <v>0.13825344413252208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8491.84</v>
      </c>
      <c r="F21" s="8">
        <f>IFERROR(E21/E444, "NA")</f>
        <v>5.5999996307043234E-2</v>
      </c>
      <c r="G21" s="9"/>
      <c r="H21" s="10">
        <f t="shared" ref="H21:H29" si="4">IFERROR(B21-E21, "NA")</f>
        <v>-8491.84</v>
      </c>
      <c r="I21" s="8">
        <f>IFERROR(H21/H444, "NA")</f>
        <v>3.5272879828201376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13904.63</v>
      </c>
      <c r="U21" s="8">
        <f>IFERROR(T21/T444, "NA")</f>
        <v>5.5999994200493529E-2</v>
      </c>
      <c r="V21" s="9"/>
      <c r="W21" s="10">
        <f t="shared" ref="W21:W29" si="6">IFERROR(Q21-T21, "NA")</f>
        <v>-13904.63</v>
      </c>
      <c r="X21" s="8">
        <f>IFERROR(W21/W444, "NA")</f>
        <v>-0.36089103655698984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6098.45</v>
      </c>
      <c r="C22" s="8">
        <f>IFERROR(B22/B444, "NA")</f>
        <v>4.0865417153658309E-2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6098.45</v>
      </c>
      <c r="I22" s="8">
        <f>IFERROR(H22/H444, "NA")</f>
        <v>-2.5331364461447068</v>
      </c>
      <c r="J22" s="9"/>
      <c r="K22" s="7">
        <v>5946.17</v>
      </c>
      <c r="L22" s="8">
        <f>IFERROR(K22/K444, "NA")</f>
        <v>4.5878516451869633E-2</v>
      </c>
      <c r="M22" s="9"/>
      <c r="N22" s="10">
        <f t="shared" si="5"/>
        <v>152.27999999999975</v>
      </c>
      <c r="O22" s="8">
        <f>IFERROR(N22/N444, "NA")</f>
        <v>7.7592176376983296E-3</v>
      </c>
      <c r="P22" s="9"/>
      <c r="Q22" s="7">
        <v>11599.45</v>
      </c>
      <c r="R22" s="8">
        <f>IFERROR(Q22/Q444, "NA")</f>
        <v>4.0440776555509698E-2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11599.45</v>
      </c>
      <c r="X22" s="8">
        <f>IFERROR(W22/W444, "NA")</f>
        <v>0.30106069230112387</v>
      </c>
      <c r="Y22" s="9"/>
      <c r="Z22" s="7">
        <v>10617.11</v>
      </c>
      <c r="AA22" s="8">
        <f>IFERROR(Z22/Z444, "NA")</f>
        <v>4.524295903357916E-2</v>
      </c>
      <c r="AB22" s="9"/>
      <c r="AC22" s="10">
        <f t="shared" si="7"/>
        <v>982.34000000000015</v>
      </c>
      <c r="AD22" s="8">
        <f>IFERROR(AC22/AC444, "NA")</f>
        <v>1.8834353781538072E-2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1795.55</v>
      </c>
      <c r="C24" s="8">
        <f>IFERROR(B24/B444, "NA")</f>
        <v>1.2031893312276262E-2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1795.55</v>
      </c>
      <c r="I24" s="8">
        <f>IFERROR(H24/H444, "NA")</f>
        <v>-0.74582445471802306</v>
      </c>
      <c r="J24" s="9"/>
      <c r="K24" s="7">
        <v>438.17</v>
      </c>
      <c r="L24" s="8">
        <f>IFERROR(K24/K444, "NA")</f>
        <v>3.380762668022562E-3</v>
      </c>
      <c r="M24" s="9"/>
      <c r="N24" s="10">
        <f t="shared" si="5"/>
        <v>1357.3799999999999</v>
      </c>
      <c r="O24" s="8">
        <f>IFERROR(N24/N444, "NA")</f>
        <v>6.9163428139341843E-2</v>
      </c>
      <c r="P24" s="9"/>
      <c r="Q24" s="7">
        <v>2749.7</v>
      </c>
      <c r="R24" s="8">
        <f>IFERROR(Q24/Q444, "NA")</f>
        <v>9.5866617205716646E-3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2749.7</v>
      </c>
      <c r="X24" s="8">
        <f>IFERROR(W24/W444, "NA")</f>
        <v>7.1367744644823705E-2</v>
      </c>
      <c r="Y24" s="9"/>
      <c r="Z24" s="7">
        <v>685.04</v>
      </c>
      <c r="AA24" s="8">
        <f>IFERROR(Z24/Z444, "NA")</f>
        <v>2.9191782562639989E-3</v>
      </c>
      <c r="AB24" s="9"/>
      <c r="AC24" s="10">
        <f t="shared" si="7"/>
        <v>2064.66</v>
      </c>
      <c r="AD24" s="8">
        <f>IFERROR(AC24/AC444, "NA")</f>
        <v>3.9585618908514759E-2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3001.12</v>
      </c>
      <c r="C26" s="8">
        <f>IFERROR(B26/B444, "NA")</f>
        <v>2.0110359309035413E-2</v>
      </c>
      <c r="D26" s="9"/>
      <c r="E26" s="7">
        <v>0</v>
      </c>
      <c r="F26" s="8">
        <f>IFERROR(E26/E444, "NA")</f>
        <v>0</v>
      </c>
      <c r="G26" s="9"/>
      <c r="H26" s="10">
        <f t="shared" si="4"/>
        <v>3001.12</v>
      </c>
      <c r="I26" s="8">
        <f>IFERROR(H26/H444, "NA")</f>
        <v>-1.2465866656697688</v>
      </c>
      <c r="J26" s="9"/>
      <c r="K26" s="7">
        <v>523.96</v>
      </c>
      <c r="L26" s="8">
        <f>IFERROR(K26/K444, "NA")</f>
        <v>4.0426875585665416E-3</v>
      </c>
      <c r="M26" s="9"/>
      <c r="N26" s="10">
        <f t="shared" si="5"/>
        <v>2477.16</v>
      </c>
      <c r="O26" s="8">
        <f>IFERROR(N26/N444, "NA")</f>
        <v>0.1262202755673813</v>
      </c>
      <c r="P26" s="9"/>
      <c r="Q26" s="7">
        <v>5056.58</v>
      </c>
      <c r="R26" s="8">
        <f>IFERROR(Q26/Q444, "NA")</f>
        <v>1.7629458458380286E-2</v>
      </c>
      <c r="S26" s="9"/>
      <c r="T26" s="7">
        <v>0</v>
      </c>
      <c r="U26" s="8">
        <f>IFERROR(T26/T444, "NA")</f>
        <v>0</v>
      </c>
      <c r="V26" s="9"/>
      <c r="W26" s="10">
        <f t="shared" si="6"/>
        <v>5056.58</v>
      </c>
      <c r="X26" s="8">
        <f>IFERROR(W26/W444, "NA")</f>
        <v>0.13124221195625801</v>
      </c>
      <c r="Y26" s="9"/>
      <c r="Z26" s="7">
        <v>899.59</v>
      </c>
      <c r="AA26" s="8">
        <f>IFERROR(Z26/Z444, "NA")</f>
        <v>3.8334455908451055E-3</v>
      </c>
      <c r="AB26" s="9"/>
      <c r="AC26" s="10">
        <f t="shared" si="7"/>
        <v>4156.99</v>
      </c>
      <c r="AD26" s="8">
        <f>IFERROR(AC26/AC444, "NA")</f>
        <v>7.970175328940686E-2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15.36</v>
      </c>
      <c r="AA27" s="8">
        <f>IFERROR(Z27/Z444, "NA")</f>
        <v>6.5453955997044004E-5</v>
      </c>
      <c r="AB27" s="9"/>
      <c r="AC27" s="10">
        <f t="shared" si="7"/>
        <v>-15.36</v>
      </c>
      <c r="AD27" s="8">
        <f>IFERROR(AC27/AC444, "NA")</f>
        <v>-2.9449648195576354E-4</v>
      </c>
    </row>
    <row r="28" spans="1:30" ht="16.5" customHeight="1" x14ac:dyDescent="0.45">
      <c r="A28" s="12" t="s">
        <v>29</v>
      </c>
      <c r="B28" s="7">
        <v>712.81</v>
      </c>
      <c r="C28" s="8">
        <f>IFERROR(B28/B444, "NA")</f>
        <v>4.7765051777581479E-3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712.81</v>
      </c>
      <c r="I28" s="8">
        <f>IFERROR(H28/H444, "NA")</f>
        <v>-0.29608260954445936</v>
      </c>
      <c r="J28" s="9"/>
      <c r="K28" s="7">
        <v>712.92</v>
      </c>
      <c r="L28" s="8">
        <f>IFERROR(K28/K444, "NA")</f>
        <v>5.5006351901924931E-3</v>
      </c>
      <c r="M28" s="9"/>
      <c r="N28" s="10">
        <f t="shared" si="5"/>
        <v>-0.11000000000001364</v>
      </c>
      <c r="O28" s="8">
        <f>IFERROR(N28/N444, "NA")</f>
        <v>-5.6048984774555002E-6</v>
      </c>
      <c r="P28" s="9"/>
      <c r="Q28" s="7">
        <v>1539.43</v>
      </c>
      <c r="R28" s="8">
        <f>IFERROR(Q28/Q444, "NA")</f>
        <v>5.3671290149833219E-3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1539.43</v>
      </c>
      <c r="X28" s="8">
        <f>IFERROR(W28/W444, "NA")</f>
        <v>3.9955503196196299E-2</v>
      </c>
      <c r="Y28" s="9"/>
      <c r="Z28" s="7">
        <v>712.92</v>
      </c>
      <c r="AA28" s="8">
        <f>IFERROR(Z28/Z444, "NA")</f>
        <v>3.0379840045190501E-3</v>
      </c>
      <c r="AB28" s="9"/>
      <c r="AC28" s="10">
        <f t="shared" si="7"/>
        <v>826.5100000000001</v>
      </c>
      <c r="AD28" s="8">
        <f>IFERROR(AC28/AC444, "NA")</f>
        <v>1.5846633287842329E-2</v>
      </c>
    </row>
    <row r="29" spans="1:30" ht="16.5" customHeight="1" x14ac:dyDescent="0.45">
      <c r="A29" s="13" t="s">
        <v>30</v>
      </c>
      <c r="B29" s="14">
        <f>IFERROR(B21+B22+B23+B24+B25+B26+B27+B28, "NA")</f>
        <v>11607.929999999998</v>
      </c>
      <c r="C29" s="15">
        <f>IFERROR(B29/B444, "NA")</f>
        <v>7.778417495272813E-2</v>
      </c>
      <c r="D29" s="2"/>
      <c r="E29" s="14">
        <f>IFERROR(E21+E22+E23+E24+E25+E26+E27+E28, "NA")</f>
        <v>8491.84</v>
      </c>
      <c r="F29" s="15">
        <f>IFERROR(E29/E444, "NA")</f>
        <v>5.5999996307043234E-2</v>
      </c>
      <c r="G29" s="2"/>
      <c r="H29" s="14">
        <f t="shared" si="4"/>
        <v>3116.0899999999983</v>
      </c>
      <c r="I29" s="15">
        <f>IFERROR(H29/H444, "NA")</f>
        <v>-1.2943421932568202</v>
      </c>
      <c r="J29" s="2"/>
      <c r="K29" s="14">
        <f>IFERROR(K21+K22+K23+K24+K25+K26+K27+K28, "NA")</f>
        <v>7621.22</v>
      </c>
      <c r="L29" s="15">
        <f>IFERROR(K29/K444, "NA")</f>
        <v>5.880260186865123E-2</v>
      </c>
      <c r="M29" s="2"/>
      <c r="N29" s="14">
        <f t="shared" si="5"/>
        <v>3986.7099999999982</v>
      </c>
      <c r="O29" s="15">
        <f>IFERROR(N29/N444, "NA")</f>
        <v>0.20313731644594396</v>
      </c>
      <c r="P29" s="2"/>
      <c r="Q29" s="14">
        <f>IFERROR(Q21+Q22+Q23+Q24+Q25+Q26+Q27+Q28, "NA")</f>
        <v>20945.160000000003</v>
      </c>
      <c r="R29" s="15">
        <f>IFERROR(Q29/Q444, "NA")</f>
        <v>7.3024025749444971E-2</v>
      </c>
      <c r="S29" s="2"/>
      <c r="T29" s="14">
        <f>IFERROR(T21+T22+T23+T24+T25+T26+T27+T28, "NA")</f>
        <v>13904.63</v>
      </c>
      <c r="U29" s="15">
        <f>IFERROR(T29/T444, "NA")</f>
        <v>5.5999994200493529E-2</v>
      </c>
      <c r="V29" s="2"/>
      <c r="W29" s="14">
        <f t="shared" si="6"/>
        <v>7040.5300000000043</v>
      </c>
      <c r="X29" s="15">
        <f>IFERROR(W29/W444, "NA")</f>
        <v>0.18273511554141214</v>
      </c>
      <c r="Y29" s="2"/>
      <c r="Z29" s="14">
        <f>IFERROR(Z21+Z22+Z23+Z24+Z25+Z26+Z27+Z28, "NA")</f>
        <v>12930.020000000002</v>
      </c>
      <c r="AA29" s="15">
        <f>IFERROR(Z29/Z444, "NA")</f>
        <v>5.5099020841204369E-2</v>
      </c>
      <c r="AB29" s="2"/>
      <c r="AC29" s="14">
        <f t="shared" si="7"/>
        <v>8015.1400000000012</v>
      </c>
      <c r="AD29" s="15">
        <f>IFERROR(AC29/AC444, "NA")</f>
        <v>0.15367386278534628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40791.160000000003</v>
      </c>
      <c r="F31" s="8">
        <f>IFERROR(E31/E444, "NA")</f>
        <v>0.26899998226061844</v>
      </c>
      <c r="G31" s="9"/>
      <c r="H31" s="10">
        <f t="shared" ref="H31:H40" si="8">IFERROR(B31-E31, "NA")</f>
        <v>-40791.160000000003</v>
      </c>
      <c r="I31" s="8">
        <f>IFERROR(H31/H444, "NA")</f>
        <v>16.943579774618161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66791.89</v>
      </c>
      <c r="U31" s="8">
        <f>IFERROR(T31/T444, "NA")</f>
        <v>0.26899999875149516</v>
      </c>
      <c r="V31" s="9"/>
      <c r="W31" s="10">
        <f t="shared" ref="W31:W40" si="10">IFERROR(Q31-T31, "NA")</f>
        <v>-66791.89</v>
      </c>
      <c r="X31" s="8">
        <f>IFERROR(W31/W444, "NA")</f>
        <v>-1.733566043519349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18261.25</v>
      </c>
      <c r="C33" s="8">
        <f>IFERROR(B33/B444, "NA")</f>
        <v>0.12236774901774103</v>
      </c>
      <c r="D33" s="9"/>
      <c r="E33" s="7">
        <v>0</v>
      </c>
      <c r="F33" s="8">
        <f>IFERROR(E33/E444, "NA")</f>
        <v>0</v>
      </c>
      <c r="G33" s="9"/>
      <c r="H33" s="10">
        <f t="shared" si="8"/>
        <v>18261.25</v>
      </c>
      <c r="I33" s="8">
        <f>IFERROR(H33/H444, "NA")</f>
        <v>-7.5852450913199299</v>
      </c>
      <c r="J33" s="9"/>
      <c r="K33" s="7">
        <v>9455.94</v>
      </c>
      <c r="L33" s="8">
        <f>IFERROR(K33/K444, "NA")</f>
        <v>7.2958643775386869E-2</v>
      </c>
      <c r="M33" s="9"/>
      <c r="N33" s="10">
        <f t="shared" si="9"/>
        <v>8805.31</v>
      </c>
      <c r="O33" s="8">
        <f>IFERROR(N33/N444, "NA")</f>
        <v>0.44866244193197785</v>
      </c>
      <c r="P33" s="9"/>
      <c r="Q33" s="7">
        <v>36489.68</v>
      </c>
      <c r="R33" s="8">
        <f>IFERROR(Q33/Q444, "NA")</f>
        <v>0.12721904878783485</v>
      </c>
      <c r="S33" s="9"/>
      <c r="T33" s="7">
        <v>0</v>
      </c>
      <c r="U33" s="8">
        <f>IFERROR(T33/T444, "NA")</f>
        <v>0</v>
      </c>
      <c r="V33" s="9"/>
      <c r="W33" s="10">
        <f t="shared" si="10"/>
        <v>36489.68</v>
      </c>
      <c r="X33" s="8">
        <f>IFERROR(W33/W444, "NA")</f>
        <v>0.94708010488828986</v>
      </c>
      <c r="Y33" s="9"/>
      <c r="Z33" s="7">
        <v>18890.02</v>
      </c>
      <c r="AA33" s="8">
        <f>IFERROR(Z33/Z444, "NA")</f>
        <v>8.0496519392140697E-2</v>
      </c>
      <c r="AB33" s="9"/>
      <c r="AC33" s="10">
        <f t="shared" si="11"/>
        <v>17599.66</v>
      </c>
      <c r="AD33" s="8">
        <f>IFERROR(AC33/AC444, "NA")</f>
        <v>0.33743736677197744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2402.4499999999998</v>
      </c>
      <c r="C35" s="8">
        <f>IFERROR(B35/B444, "NA")</f>
        <v>1.6098700725726438E-2</v>
      </c>
      <c r="D35" s="9"/>
      <c r="E35" s="7">
        <v>0</v>
      </c>
      <c r="F35" s="8">
        <f>IFERROR(E35/E444, "NA")</f>
        <v>0</v>
      </c>
      <c r="G35" s="9"/>
      <c r="H35" s="10">
        <f t="shared" si="8"/>
        <v>2402.4499999999998</v>
      </c>
      <c r="I35" s="8">
        <f>IFERROR(H35/H444, "NA")</f>
        <v>-0.99791482344535909</v>
      </c>
      <c r="J35" s="9"/>
      <c r="K35" s="7">
        <v>0</v>
      </c>
      <c r="L35" s="8">
        <f>IFERROR(K35/K444, "NA")</f>
        <v>0</v>
      </c>
      <c r="M35" s="9"/>
      <c r="N35" s="10">
        <f t="shared" si="9"/>
        <v>2402.4499999999998</v>
      </c>
      <c r="O35" s="8">
        <f>IFERROR(N35/N444, "NA")</f>
        <v>0.12241353042873904</v>
      </c>
      <c r="P35" s="9"/>
      <c r="Q35" s="7">
        <v>3322.82</v>
      </c>
      <c r="R35" s="8">
        <f>IFERROR(Q35/Q444, "NA")</f>
        <v>1.1584809724097153E-2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3322.82</v>
      </c>
      <c r="X35" s="8">
        <f>IFERROR(W35/W444, "NA")</f>
        <v>8.6242924413831731E-2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3322.82</v>
      </c>
      <c r="AD35" s="8">
        <f>IFERROR(AC35/AC444, "NA")</f>
        <v>6.3708255219547538E-2</v>
      </c>
    </row>
    <row r="36" spans="1:30" ht="16.5" customHeight="1" x14ac:dyDescent="0.45">
      <c r="A36" s="12" t="s">
        <v>36</v>
      </c>
      <c r="B36" s="7">
        <v>23966.59</v>
      </c>
      <c r="C36" s="8">
        <f>IFERROR(B36/B444, "NA")</f>
        <v>0.16059895516085165</v>
      </c>
      <c r="D36" s="9"/>
      <c r="E36" s="7">
        <v>0</v>
      </c>
      <c r="F36" s="8">
        <f>IFERROR(E36/E444, "NA")</f>
        <v>0</v>
      </c>
      <c r="G36" s="9"/>
      <c r="H36" s="10">
        <f t="shared" si="8"/>
        <v>23966.59</v>
      </c>
      <c r="I36" s="8">
        <f>IFERROR(H36/H444, "NA")</f>
        <v>-9.9550939367884084</v>
      </c>
      <c r="J36" s="9"/>
      <c r="K36" s="7">
        <v>10996.28</v>
      </c>
      <c r="L36" s="8">
        <f>IFERROR(K36/K444, "NA")</f>
        <v>8.484335511587543E-2</v>
      </c>
      <c r="M36" s="9"/>
      <c r="N36" s="10">
        <f t="shared" si="9"/>
        <v>12970.31</v>
      </c>
      <c r="O36" s="8">
        <f>IFERROR(N36/N444, "NA")</f>
        <v>0.66088427973742569</v>
      </c>
      <c r="P36" s="9"/>
      <c r="Q36" s="7">
        <v>39872.21</v>
      </c>
      <c r="R36" s="8">
        <f>IFERROR(Q36/Q444, "NA")</f>
        <v>0.13901203379335736</v>
      </c>
      <c r="S36" s="9"/>
      <c r="T36" s="7">
        <v>0</v>
      </c>
      <c r="U36" s="8">
        <f>IFERROR(T36/T444, "NA")</f>
        <v>0</v>
      </c>
      <c r="V36" s="9"/>
      <c r="W36" s="10">
        <f t="shared" si="10"/>
        <v>39872.21</v>
      </c>
      <c r="X36" s="8">
        <f>IFERROR(W36/W444, "NA")</f>
        <v>1.0348727867421124</v>
      </c>
      <c r="Y36" s="9"/>
      <c r="Z36" s="7">
        <v>19952.38</v>
      </c>
      <c r="AA36" s="8">
        <f>IFERROR(Z36/Z444, "NA")</f>
        <v>8.5023580895592504E-2</v>
      </c>
      <c r="AB36" s="9"/>
      <c r="AC36" s="10">
        <f t="shared" si="11"/>
        <v>19919.829999999998</v>
      </c>
      <c r="AD36" s="8">
        <f>IFERROR(AC36/AC444, "NA")</f>
        <v>0.3819218656352133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1875.3</v>
      </c>
      <c r="C39" s="8">
        <f>IFERROR(B39/B444, "NA")</f>
        <v>1.256629418758134E-2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1875.3</v>
      </c>
      <c r="I39" s="8">
        <f>IFERROR(H39/H444, "NA")</f>
        <v>-0.77895051651733938</v>
      </c>
      <c r="J39" s="9"/>
      <c r="K39" s="7">
        <v>1407.75</v>
      </c>
      <c r="L39" s="8">
        <f>IFERROR(K39/K444, "NA")</f>
        <v>1.0861694424330196E-2</v>
      </c>
      <c r="M39" s="9"/>
      <c r="N39" s="10">
        <f t="shared" si="9"/>
        <v>467.54999999999995</v>
      </c>
      <c r="O39" s="8">
        <f>IFERROR(N39/N444, "NA")</f>
        <v>2.3823366210309033E-2</v>
      </c>
      <c r="P39" s="9"/>
      <c r="Q39" s="7">
        <v>3207.9</v>
      </c>
      <c r="R39" s="8">
        <f>IFERROR(Q39/Q444, "NA")</f>
        <v>1.1184148137404752E-2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3207.9</v>
      </c>
      <c r="X39" s="8">
        <f>IFERROR(W39/W444, "NA")</f>
        <v>8.3260205857413519E-2</v>
      </c>
      <c r="Y39" s="9"/>
      <c r="Z39" s="7">
        <v>2257.4699999999998</v>
      </c>
      <c r="AA39" s="8">
        <f>IFERROR(Z39/Z444, "NA")</f>
        <v>9.6198139351983663E-3</v>
      </c>
      <c r="AB39" s="9"/>
      <c r="AC39" s="10">
        <f t="shared" si="11"/>
        <v>950.43000000000029</v>
      </c>
      <c r="AD39" s="8">
        <f>IFERROR(AC39/AC444, "NA")</f>
        <v>1.8222545009454194E-2</v>
      </c>
    </row>
    <row r="40" spans="1:30" ht="16.5" customHeight="1" x14ac:dyDescent="0.45">
      <c r="A40" s="13" t="s">
        <v>40</v>
      </c>
      <c r="B40" s="14">
        <f>IFERROR(B31+B32+B33+B34+B35+B36+B37+B38+B39, "NA")</f>
        <v>46505.590000000004</v>
      </c>
      <c r="C40" s="15">
        <f>IFERROR(B40/B444, "NA")</f>
        <v>0.31163169909190047</v>
      </c>
      <c r="D40" s="2"/>
      <c r="E40" s="14">
        <f>IFERROR(E31+E32+E33+E34+E35+E36+E37+E38+E39, "NA")</f>
        <v>40791.160000000003</v>
      </c>
      <c r="F40" s="15">
        <f>IFERROR(E40/E444, "NA")</f>
        <v>0.26899998226061844</v>
      </c>
      <c r="G40" s="2"/>
      <c r="H40" s="14">
        <f t="shared" si="8"/>
        <v>5714.43</v>
      </c>
      <c r="I40" s="15">
        <f>IFERROR(H40/H444, "NA")</f>
        <v>-2.373624593452877</v>
      </c>
      <c r="J40" s="2"/>
      <c r="K40" s="14">
        <f>IFERROR(K31+K32+K33+K34+K35+K36+K37+K38+K39, "NA")</f>
        <v>21859.97</v>
      </c>
      <c r="L40" s="15">
        <f>IFERROR(K40/K444, "NA")</f>
        <v>0.1686636933155925</v>
      </c>
      <c r="M40" s="2"/>
      <c r="N40" s="14">
        <f t="shared" si="9"/>
        <v>24645.620000000003</v>
      </c>
      <c r="O40" s="15">
        <f>IFERROR(N40/N444, "NA")</f>
        <v>1.2557836183084519</v>
      </c>
      <c r="P40" s="2"/>
      <c r="Q40" s="14">
        <f>IFERROR(Q31+Q32+Q33+Q34+Q35+Q36+Q37+Q38+Q39, "NA")</f>
        <v>82892.609999999986</v>
      </c>
      <c r="R40" s="15">
        <f>IFERROR(Q40/Q444, "NA")</f>
        <v>0.28900004044269406</v>
      </c>
      <c r="S40" s="2"/>
      <c r="T40" s="14">
        <f>IFERROR(T31+T32+T33+T34+T35+T36+T37+T38+T39, "NA")</f>
        <v>66791.89</v>
      </c>
      <c r="U40" s="15">
        <f>IFERROR(T40/T444, "NA")</f>
        <v>0.26899999875149516</v>
      </c>
      <c r="V40" s="2"/>
      <c r="W40" s="14">
        <f t="shared" si="10"/>
        <v>16100.719999999987</v>
      </c>
      <c r="X40" s="15">
        <f>IFERROR(W40/W444, "NA")</f>
        <v>0.41788997838229802</v>
      </c>
      <c r="Y40" s="2"/>
      <c r="Z40" s="14">
        <f>IFERROR(Z31+Z32+Z33+Z34+Z35+Z36+Z37+Z38+Z39, "NA")</f>
        <v>41099.870000000003</v>
      </c>
      <c r="AA40" s="15">
        <f>IFERROR(Z40/Z444, "NA")</f>
        <v>0.1751399142229316</v>
      </c>
      <c r="AB40" s="2"/>
      <c r="AC40" s="14">
        <f t="shared" si="11"/>
        <v>41792.739999999983</v>
      </c>
      <c r="AD40" s="15">
        <f>IFERROR(AC40/AC444, "NA")</f>
        <v>0.80129003263619214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8570.86</v>
      </c>
      <c r="C43" s="8">
        <f>IFERROR(B43/B444, "NA")</f>
        <v>5.7432916440342034E-2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8570.86</v>
      </c>
      <c r="I43" s="8">
        <f>IFERROR(H43/H444, "NA")</f>
        <v>-3.560110821734018</v>
      </c>
      <c r="J43" s="9"/>
      <c r="K43" s="7">
        <v>825.98</v>
      </c>
      <c r="L43" s="8">
        <f>IFERROR(K43/K444, "NA")</f>
        <v>6.3729656264310099E-3</v>
      </c>
      <c r="M43" s="9"/>
      <c r="N43" s="10">
        <f>IFERROR(B43-K43, "NA")</f>
        <v>7744.880000000001</v>
      </c>
      <c r="O43" s="8">
        <f>IFERROR(N43/N444, "NA")</f>
        <v>0.39462969200063797</v>
      </c>
      <c r="P43" s="9"/>
      <c r="Q43" s="7">
        <v>14489.76</v>
      </c>
      <c r="R43" s="8">
        <f>IFERROR(Q43/Q444, "NA")</f>
        <v>5.0517666484442121E-2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14489.76</v>
      </c>
      <c r="X43" s="8">
        <f>IFERROR(W43/W444, "NA")</f>
        <v>0.37607793273621876</v>
      </c>
      <c r="Y43" s="9"/>
      <c r="Z43" s="7">
        <v>825.98</v>
      </c>
      <c r="AA43" s="8">
        <f>IFERROR(Z43/Z444, "NA")</f>
        <v>3.5197694384400003E-3</v>
      </c>
      <c r="AB43" s="9"/>
      <c r="AC43" s="10">
        <f>IFERROR(Q43-Z43, "NA")</f>
        <v>13663.78</v>
      </c>
      <c r="AD43" s="8">
        <f>IFERROR(AC43/AC444, "NA")</f>
        <v>0.26197494402457833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66873.25</v>
      </c>
      <c r="F46" s="8">
        <f>IFERROR(E46/E444, "NA")</f>
        <v>0.44100003686362194</v>
      </c>
      <c r="G46" s="9"/>
      <c r="H46" s="10">
        <f t="shared" ref="H46:H62" si="12">IFERROR(B46-E46, "NA")</f>
        <v>-66873.25</v>
      </c>
      <c r="I46" s="8">
        <f>IFERROR(H46/H444, "NA")</f>
        <v>27.777397018446738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109498.98</v>
      </c>
      <c r="U46" s="8">
        <f>IFERROR(T46/T444, "NA")</f>
        <v>0.44100002984329373</v>
      </c>
      <c r="V46" s="9"/>
      <c r="W46" s="10">
        <f t="shared" ref="W46:W62" si="14">IFERROR(Q46-T46, "NA")</f>
        <v>-109498.98</v>
      </c>
      <c r="X46" s="8">
        <f>IFERROR(W46/W444, "NA")</f>
        <v>-2.8420173995376432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34503.910000000003</v>
      </c>
      <c r="C48" s="8">
        <f>IFERROR(B48/B444, "NA")</f>
        <v>0.23120902451971936</v>
      </c>
      <c r="D48" s="9"/>
      <c r="E48" s="7">
        <v>0</v>
      </c>
      <c r="F48" s="8">
        <f>IFERROR(E48/E444, "NA")</f>
        <v>0</v>
      </c>
      <c r="G48" s="9"/>
      <c r="H48" s="10">
        <f t="shared" si="12"/>
        <v>34503.910000000003</v>
      </c>
      <c r="I48" s="8">
        <f>IFERROR(H48/H444, "NA")</f>
        <v>-14.332020752075826</v>
      </c>
      <c r="J48" s="9"/>
      <c r="K48" s="7">
        <v>48509.43</v>
      </c>
      <c r="L48" s="8">
        <f>IFERROR(K48/K444, "NA")</f>
        <v>0.37428137478844675</v>
      </c>
      <c r="M48" s="9"/>
      <c r="N48" s="10">
        <f t="shared" si="13"/>
        <v>-14005.519999999997</v>
      </c>
      <c r="O48" s="8">
        <f>IFERROR(N48/N444, "NA")</f>
        <v>-0.71363197930875277</v>
      </c>
      <c r="P48" s="9"/>
      <c r="Q48" s="7">
        <v>68314.58</v>
      </c>
      <c r="R48" s="8">
        <f>IFERROR(Q48/Q444, "NA")</f>
        <v>0.2381746259748084</v>
      </c>
      <c r="S48" s="9"/>
      <c r="T48" s="7">
        <v>0</v>
      </c>
      <c r="U48" s="8">
        <f>IFERROR(T48/T444, "NA")</f>
        <v>0</v>
      </c>
      <c r="V48" s="9"/>
      <c r="W48" s="10">
        <f t="shared" si="14"/>
        <v>68314.58</v>
      </c>
      <c r="X48" s="8">
        <f>IFERROR(W48/W444, "NA")</f>
        <v>1.7730870643918903</v>
      </c>
      <c r="Y48" s="9"/>
      <c r="Z48" s="7">
        <v>88430.87</v>
      </c>
      <c r="AA48" s="8">
        <f>IFERROR(Z48/Z444, "NA")</f>
        <v>0.37683270011460407</v>
      </c>
      <c r="AB48" s="9"/>
      <c r="AC48" s="10">
        <f t="shared" si="15"/>
        <v>-20116.289999999994</v>
      </c>
      <c r="AD48" s="8">
        <f>IFERROR(AC48/AC444, "NA")</f>
        <v>-0.38568858300793651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3236.45</v>
      </c>
      <c r="C51" s="8">
        <f>IFERROR(B51/B444, "NA")</f>
        <v>2.1687294205405869E-2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3236.45</v>
      </c>
      <c r="I51" s="8">
        <f>IFERROR(H51/H444, "NA")</f>
        <v>-1.3443365857103093</v>
      </c>
      <c r="J51" s="9"/>
      <c r="K51" s="7">
        <v>7352.5</v>
      </c>
      <c r="L51" s="8">
        <f>IFERROR(K51/K444, "NA")</f>
        <v>5.6729254665166227E-2</v>
      </c>
      <c r="M51" s="9"/>
      <c r="N51" s="10">
        <f t="shared" si="13"/>
        <v>-4116.05</v>
      </c>
      <c r="O51" s="8">
        <f>IFERROR(N51/N444, "NA")</f>
        <v>-0.20972765798298046</v>
      </c>
      <c r="P51" s="9"/>
      <c r="Q51" s="7">
        <v>6779.44</v>
      </c>
      <c r="R51" s="8">
        <f>IFERROR(Q51/Q444, "NA")</f>
        <v>2.3636105005968785E-2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6779.44</v>
      </c>
      <c r="X51" s="8">
        <f>IFERROR(W51/W444, "NA")</f>
        <v>0.17595859284827567</v>
      </c>
      <c r="Y51" s="9"/>
      <c r="Z51" s="7">
        <v>16255.86</v>
      </c>
      <c r="AA51" s="8">
        <f>IFERROR(Z51/Z444, "NA")</f>
        <v>6.9271506844668471E-2</v>
      </c>
      <c r="AB51" s="9"/>
      <c r="AC51" s="10">
        <f t="shared" si="15"/>
        <v>-9476.4200000000019</v>
      </c>
      <c r="AD51" s="8">
        <f>IFERROR(AC51/AC444, "NA")</f>
        <v>-0.18169090830307533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304.54000000000002</v>
      </c>
      <c r="L56" s="8">
        <f>IFERROR(K56/K444, "NA")</f>
        <v>2.34972148462832E-3</v>
      </c>
      <c r="M56" s="9"/>
      <c r="N56" s="10">
        <f t="shared" si="13"/>
        <v>-304.54000000000002</v>
      </c>
      <c r="O56" s="8">
        <f>IFERROR(N56/N444, "NA")</f>
        <v>-1.5517416202946239E-2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304.54000000000002</v>
      </c>
      <c r="AA56" s="8">
        <f>IFERROR(Z56/Z444, "NA")</f>
        <v>1.2977439947486837E-3</v>
      </c>
      <c r="AB56" s="9"/>
      <c r="AC56" s="10">
        <f t="shared" si="15"/>
        <v>-304.54000000000002</v>
      </c>
      <c r="AD56" s="8">
        <f>IFERROR(AC56/AC444, "NA")</f>
        <v>-5.838929597318244E-3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1736.9</v>
      </c>
      <c r="L58" s="8">
        <f>IFERROR(K58/K444, "NA")</f>
        <v>1.3401297848068988E-2</v>
      </c>
      <c r="M58" s="9"/>
      <c r="N58" s="10">
        <f t="shared" si="13"/>
        <v>-1736.9</v>
      </c>
      <c r="O58" s="8">
        <f>IFERROR(N58/N444, "NA")</f>
        <v>-8.8501346959011365E-2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2101.9499999999998</v>
      </c>
      <c r="AA58" s="8">
        <f>IFERROR(Z58/Z444, "NA")</f>
        <v>8.9570926307282958E-3</v>
      </c>
      <c r="AB58" s="9"/>
      <c r="AC58" s="10">
        <f t="shared" si="15"/>
        <v>-2101.9499999999998</v>
      </c>
      <c r="AD58" s="8">
        <f>IFERROR(AC58/AC444, "NA")</f>
        <v>-4.0300578141075336E-2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37740.36</v>
      </c>
      <c r="C61" s="15">
        <f>IFERROR(B61/B444, "NA")</f>
        <v>0.25289631872512525</v>
      </c>
      <c r="D61" s="2"/>
      <c r="E61" s="14">
        <f>IFERROR(E46+E47+E48+E49+E50+E51+E52+E53+E54+E55+E56+E57+E58+E59+E60, "NA")</f>
        <v>66873.25</v>
      </c>
      <c r="F61" s="15">
        <f>IFERROR(E61/E444, "NA")</f>
        <v>0.44100003686362194</v>
      </c>
      <c r="G61" s="2"/>
      <c r="H61" s="14">
        <f t="shared" si="12"/>
        <v>-29132.89</v>
      </c>
      <c r="I61" s="15">
        <f>IFERROR(H61/H444, "NA")</f>
        <v>12.101039680660604</v>
      </c>
      <c r="J61" s="2"/>
      <c r="K61" s="14">
        <f>IFERROR(K46+K47+K48+K49+K50+K51+K52+K53+K54+K55+K56+K57+K58+K59+K60, "NA")</f>
        <v>57903.37</v>
      </c>
      <c r="L61" s="15">
        <f>IFERROR(K61/K444, "NA")</f>
        <v>0.44676164878631031</v>
      </c>
      <c r="M61" s="2"/>
      <c r="N61" s="14">
        <f t="shared" si="13"/>
        <v>-20163.010000000002</v>
      </c>
      <c r="O61" s="15">
        <f>IFERROR(N61/N444, "NA")</f>
        <v>-1.027378400453691</v>
      </c>
      <c r="P61" s="2"/>
      <c r="Q61" s="14">
        <f>IFERROR(Q46+Q47+Q48+Q49+Q50+Q51+Q52+Q53+Q54+Q55+Q56+Q57+Q58+Q59+Q60, "NA")</f>
        <v>75094.02</v>
      </c>
      <c r="R61" s="15">
        <f>IFERROR(Q61/Q444, "NA")</f>
        <v>0.26181073098077723</v>
      </c>
      <c r="S61" s="2"/>
      <c r="T61" s="14">
        <f>IFERROR(T46+T47+T48+T49+T50+T51+T52+T53+T54+T55+T56+T57+T58+T59+T60, "NA")</f>
        <v>109498.98</v>
      </c>
      <c r="U61" s="15">
        <f>IFERROR(T61/T444, "NA")</f>
        <v>0.44100002984329373</v>
      </c>
      <c r="V61" s="2"/>
      <c r="W61" s="14">
        <f t="shared" si="14"/>
        <v>-34404.959999999992</v>
      </c>
      <c r="X61" s="15">
        <f>IFERROR(W61/W444, "NA")</f>
        <v>-0.89297174229747722</v>
      </c>
      <c r="Y61" s="2"/>
      <c r="Z61" s="14">
        <f>IFERROR(Z46+Z47+Z48+Z49+Z50+Z51+Z52+Z53+Z54+Z55+Z56+Z57+Z58+Z59+Z60, "NA")</f>
        <v>107093.21999999999</v>
      </c>
      <c r="AA61" s="15">
        <f>IFERROR(Z61/Z444, "NA")</f>
        <v>0.45635904358474949</v>
      </c>
      <c r="AB61" s="2"/>
      <c r="AC61" s="14">
        <f t="shared" si="15"/>
        <v>-31999.199999999983</v>
      </c>
      <c r="AD61" s="15">
        <f>IFERROR(AC61/AC444, "NA")</f>
        <v>-0.61351899904940521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46311.22</v>
      </c>
      <c r="C62" s="15">
        <f>IFERROR(B62/B444, "NA")</f>
        <v>0.31032923516546723</v>
      </c>
      <c r="D62" s="2"/>
      <c r="E62" s="14">
        <f>IFERROR(E42+E43+E44+E46+E47+E48+E49+E50+E51+E52+E53+E54+E55+E56+E57+E58+E59+E60, "NA")</f>
        <v>66873.25</v>
      </c>
      <c r="F62" s="15">
        <f>IFERROR(E62/E444, "NA")</f>
        <v>0.44100003686362194</v>
      </c>
      <c r="G62" s="2"/>
      <c r="H62" s="14">
        <f t="shared" si="12"/>
        <v>-20562.03</v>
      </c>
      <c r="I62" s="15">
        <f>IFERROR(H62/H444, "NA")</f>
        <v>8.5409288589265859</v>
      </c>
      <c r="J62" s="2"/>
      <c r="K62" s="14">
        <f>IFERROR(K42+K43+K44+K46+K47+K48+K49+K50+K51+K52+K53+K54+K55+K56+K57+K58+K59+K60, "NA")</f>
        <v>58729.350000000006</v>
      </c>
      <c r="L62" s="15">
        <f>IFERROR(K62/K444, "NA")</f>
        <v>0.45313461441274133</v>
      </c>
      <c r="M62" s="2"/>
      <c r="N62" s="14">
        <f t="shared" si="13"/>
        <v>-12418.130000000005</v>
      </c>
      <c r="O62" s="15">
        <f>IFERROR(N62/N444, "NA")</f>
        <v>-0.63274870845305331</v>
      </c>
      <c r="P62" s="2"/>
      <c r="Q62" s="14">
        <f>IFERROR(Q42+Q43+Q44+Q46+Q47+Q48+Q49+Q50+Q51+Q52+Q53+Q54+Q55+Q56+Q57+Q58+Q59+Q60, "NA")</f>
        <v>89583.78</v>
      </c>
      <c r="R62" s="15">
        <f>IFERROR(Q62/Q444, "NA")</f>
        <v>0.31232839746521929</v>
      </c>
      <c r="S62" s="2"/>
      <c r="T62" s="14">
        <f>IFERROR(T42+T43+T44+T46+T47+T48+T49+T50+T51+T52+T53+T54+T55+T56+T57+T58+T59+T60, "NA")</f>
        <v>109498.98</v>
      </c>
      <c r="U62" s="15">
        <f>IFERROR(T62/T444, "NA")</f>
        <v>0.44100002984329373</v>
      </c>
      <c r="V62" s="2"/>
      <c r="W62" s="14">
        <f t="shared" si="14"/>
        <v>-19915.199999999997</v>
      </c>
      <c r="X62" s="15">
        <f>IFERROR(W62/W444, "NA")</f>
        <v>-0.51689380956125863</v>
      </c>
      <c r="Y62" s="2"/>
      <c r="Z62" s="14">
        <f>IFERROR(Z42+Z43+Z44+Z46+Z47+Z48+Z49+Z50+Z51+Z52+Z53+Z54+Z55+Z56+Z57+Z58+Z59+Z60, "NA")</f>
        <v>107919.19999999998</v>
      </c>
      <c r="AA62" s="15">
        <f>IFERROR(Z62/Z444, "NA")</f>
        <v>0.45987881302318945</v>
      </c>
      <c r="AB62" s="2"/>
      <c r="AC62" s="14">
        <f t="shared" si="15"/>
        <v>-18335.419999999984</v>
      </c>
      <c r="AD62" s="15">
        <f>IFERROR(AC62/AC444, "NA")</f>
        <v>-0.35154405502482688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9663.7800000000007</v>
      </c>
      <c r="C66" s="8">
        <f>IFERROR(B66/B444, "NA")</f>
        <v>6.475652026025959E-2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9663.7800000000007</v>
      </c>
      <c r="I66" s="8">
        <f>IFERROR(H66/H444, "NA")</f>
        <v>-4.0140811723510561</v>
      </c>
      <c r="J66" s="9"/>
      <c r="K66" s="7">
        <v>12596.78</v>
      </c>
      <c r="L66" s="8">
        <f>IFERROR(K66/K444, "NA")</f>
        <v>9.7192239453393087E-2</v>
      </c>
      <c r="M66" s="9"/>
      <c r="N66" s="10">
        <f t="shared" si="17"/>
        <v>-2933</v>
      </c>
      <c r="O66" s="8">
        <f>IFERROR(N66/N444, "NA")</f>
        <v>-0.14944697485795402</v>
      </c>
      <c r="P66" s="9"/>
      <c r="Q66" s="7">
        <v>16868</v>
      </c>
      <c r="R66" s="8">
        <f>IFERROR(Q66/Q444, "NA")</f>
        <v>5.8809255519730458E-2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16868</v>
      </c>
      <c r="X66" s="8">
        <f>IFERROR(W66/W444, "NA")</f>
        <v>0.43780453019197957</v>
      </c>
      <c r="Y66" s="9"/>
      <c r="Z66" s="7">
        <v>12596.78</v>
      </c>
      <c r="AA66" s="8">
        <f>IFERROR(Z66/Z444, "NA")</f>
        <v>5.3678976811487242E-2</v>
      </c>
      <c r="AB66" s="9"/>
      <c r="AC66" s="10">
        <f t="shared" si="19"/>
        <v>4271.2199999999993</v>
      </c>
      <c r="AD66" s="8">
        <f>IFERROR(AC66/AC444, "NA")</f>
        <v>8.1891879144472407E-2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3.4455606473062381E-2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0.25650419259869495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0.18948145228179181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9663.7800000000007</v>
      </c>
      <c r="C73" s="15">
        <f>IFERROR(B73/B444, "NA")</f>
        <v>6.475652026025959E-2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9663.7800000000007</v>
      </c>
      <c r="I73" s="15">
        <f>IFERROR(H73/H444, "NA")</f>
        <v>-4.0140811723510561</v>
      </c>
      <c r="J73" s="2"/>
      <c r="K73" s="14">
        <f>IFERROR(K64+K65+K66+K67+K68+K69+K70+K71+K72, "NA")</f>
        <v>12596.78</v>
      </c>
      <c r="L73" s="15">
        <f>IFERROR(K73/K444, "NA")</f>
        <v>9.7192239453393087E-2</v>
      </c>
      <c r="M73" s="2"/>
      <c r="N73" s="14">
        <f t="shared" si="17"/>
        <v>-2933</v>
      </c>
      <c r="O73" s="15">
        <f>IFERROR(N73/N444, "NA")</f>
        <v>-0.14944697485795402</v>
      </c>
      <c r="P73" s="2"/>
      <c r="Q73" s="14">
        <f>IFERROR(Q64+Q65+Q66+Q67+Q68+Q69+Q70+Q71+Q72, "NA")</f>
        <v>26750.75</v>
      </c>
      <c r="R73" s="15">
        <f>IFERROR(Q73/Q444, "NA")</f>
        <v>9.3264861992792839E-2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26750.75</v>
      </c>
      <c r="X73" s="15">
        <f>IFERROR(W73/W444, "NA")</f>
        <v>0.69430872279067446</v>
      </c>
      <c r="Y73" s="2"/>
      <c r="Z73" s="14">
        <f>IFERROR(Z64+Z65+Z66+Z67+Z68+Z69+Z70+Z71+Z72, "NA")</f>
        <v>12596.78</v>
      </c>
      <c r="AA73" s="15">
        <f>IFERROR(Z73/Z444, "NA")</f>
        <v>5.3678976811487242E-2</v>
      </c>
      <c r="AB73" s="2"/>
      <c r="AC73" s="14">
        <f t="shared" si="19"/>
        <v>14153.97</v>
      </c>
      <c r="AD73" s="15">
        <f>IFERROR(AC73/AC444, "NA")</f>
        <v>0.27137333142626419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4397.5600000000004</v>
      </c>
      <c r="F75" s="8">
        <f>IFERROR(E75/E444, "NA")</f>
        <v>2.8999998087575963E-2</v>
      </c>
      <c r="G75" s="9"/>
      <c r="H75" s="10">
        <f t="shared" ref="H75:H92" si="20">IFERROR(B75-E75, "NA")</f>
        <v>-4397.5600000000004</v>
      </c>
      <c r="I75" s="8">
        <f>IFERROR(H75/H444, "NA")</f>
        <v>1.8266312768175712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7200.61</v>
      </c>
      <c r="U75" s="8">
        <f>IFERROR(T75/T444, "NA")</f>
        <v>2.8999989085651018E-2</v>
      </c>
      <c r="V75" s="9"/>
      <c r="W75" s="10">
        <f t="shared" ref="W75:W92" si="22">IFERROR(Q75-T75, "NA")</f>
        <v>-7200.61</v>
      </c>
      <c r="X75" s="8">
        <f>IFERROR(W75/W444, "NA")</f>
        <v>-0.18688995009163326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725.52</v>
      </c>
      <c r="C77" s="8">
        <f>IFERROR(B77/B444, "NA")</f>
        <v>4.861674270236236E-3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725.52</v>
      </c>
      <c r="I77" s="8">
        <f>IFERROR(H77/H444, "NA")</f>
        <v>-0.30136201074156671</v>
      </c>
      <c r="J77" s="9"/>
      <c r="K77" s="7">
        <v>107.64</v>
      </c>
      <c r="L77" s="8">
        <f>IFERROR(K77/K444, "NA")</f>
        <v>8.3051165891308981E-4</v>
      </c>
      <c r="M77" s="9"/>
      <c r="N77" s="10">
        <f t="shared" si="21"/>
        <v>617.88</v>
      </c>
      <c r="O77" s="8">
        <f>IFERROR(N77/N444, "NA")</f>
        <v>3.1483224284088861E-2</v>
      </c>
      <c r="P77" s="9"/>
      <c r="Q77" s="7">
        <v>1415.27</v>
      </c>
      <c r="R77" s="8">
        <f>IFERROR(Q77/Q444, "NA")</f>
        <v>4.9342527305791398E-3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1415.27</v>
      </c>
      <c r="X77" s="8">
        <f>IFERROR(W77/W444, "NA")</f>
        <v>3.6732962855395006E-2</v>
      </c>
      <c r="Y77" s="9"/>
      <c r="Z77" s="7">
        <v>185.38</v>
      </c>
      <c r="AA77" s="8">
        <f>IFERROR(Z77/Z444, "NA")</f>
        <v>7.8996447674036571E-4</v>
      </c>
      <c r="AB77" s="9"/>
      <c r="AC77" s="10">
        <f t="shared" si="23"/>
        <v>1229.8899999999999</v>
      </c>
      <c r="AD77" s="8">
        <f>IFERROR(AC77/AC444, "NA")</f>
        <v>2.3580617069829033E-2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6.920930490942416E-5</v>
      </c>
      <c r="M79" s="9"/>
      <c r="N79" s="10">
        <f t="shared" si="21"/>
        <v>-8.9700000000000006</v>
      </c>
      <c r="O79" s="8">
        <f>IFERROR(N79/N444, "NA")</f>
        <v>-4.5705399402517821E-4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17.940000000000001</v>
      </c>
      <c r="AA79" s="8">
        <f>IFERROR(Z79/Z444, "NA")</f>
        <v>7.6448175168422489E-5</v>
      </c>
      <c r="AB79" s="9"/>
      <c r="AC79" s="10">
        <f t="shared" si="23"/>
        <v>-17.940000000000001</v>
      </c>
      <c r="AD79" s="8">
        <f>IFERROR(AC79/AC444, "NA")</f>
        <v>-3.4396268790927074E-4</v>
      </c>
    </row>
    <row r="80" spans="1:30" ht="16.5" customHeight="1" x14ac:dyDescent="0.45">
      <c r="A80" s="12" t="s">
        <v>76</v>
      </c>
      <c r="B80" s="7">
        <v>3566.49</v>
      </c>
      <c r="C80" s="8">
        <f>IFERROR(B80/B444, "NA")</f>
        <v>2.389887621024208E-2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3566.49</v>
      </c>
      <c r="I80" s="8">
        <f>IFERROR(H80/H444, "NA")</f>
        <v>-1.4814265598325205</v>
      </c>
      <c r="J80" s="9"/>
      <c r="K80" s="7">
        <v>3585</v>
      </c>
      <c r="L80" s="8">
        <f>IFERROR(K80/K444, "NA")</f>
        <v>2.766057503905079E-2</v>
      </c>
      <c r="M80" s="9"/>
      <c r="N80" s="10">
        <f t="shared" si="21"/>
        <v>-18.510000000000218</v>
      </c>
      <c r="O80" s="8">
        <f>IFERROR(N80/N444, "NA")</f>
        <v>-9.4315155288808778E-4</v>
      </c>
      <c r="P80" s="9"/>
      <c r="Q80" s="7">
        <v>6732.66</v>
      </c>
      <c r="R80" s="8">
        <f>IFERROR(Q80/Q444, "NA")</f>
        <v>2.347300938270503E-2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6732.66</v>
      </c>
      <c r="X80" s="8">
        <f>IFERROR(W80/W444, "NA")</f>
        <v>0.17474443017798988</v>
      </c>
      <c r="Y80" s="9"/>
      <c r="Z80" s="7">
        <v>6555</v>
      </c>
      <c r="AA80" s="8">
        <f>IFERROR(Z80/Z444, "NA")</f>
        <v>2.7932987080769755E-2</v>
      </c>
      <c r="AB80" s="9"/>
      <c r="AC80" s="10">
        <f t="shared" si="23"/>
        <v>177.65999999999985</v>
      </c>
      <c r="AD80" s="8">
        <f>IFERROR(AC80/AC444, "NA")</f>
        <v>3.4062659494961526E-3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3.4455780795019692E-3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2.5650549033562342E-2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1.8948241092919399E-2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4292.01</v>
      </c>
      <c r="C88" s="15">
        <f>IFERROR(B88/B444, "NA")</f>
        <v>2.876055048047832E-2</v>
      </c>
      <c r="D88" s="2"/>
      <c r="E88" s="14">
        <f>IFERROR(E75+E76+E77+E78+E79+E80+E81+E82+E83+E84+E85+E86+E87, "NA")</f>
        <v>4397.5600000000004</v>
      </c>
      <c r="F88" s="15">
        <f>IFERROR(E88/E444, "NA")</f>
        <v>2.8999998087575963E-2</v>
      </c>
      <c r="G88" s="2"/>
      <c r="H88" s="14">
        <f t="shared" si="20"/>
        <v>-105.55000000000018</v>
      </c>
      <c r="I88" s="15">
        <f>IFERROR(H88/H444, "NA")</f>
        <v>4.3842706243483881E-2</v>
      </c>
      <c r="J88" s="2"/>
      <c r="K88" s="14">
        <f>IFERROR(K75+K76+K77+K78+K79+K80+K81+K82+K83+K84+K85+K86+K87, "NA")</f>
        <v>3701.61</v>
      </c>
      <c r="L88" s="15">
        <f>IFERROR(K88/K444, "NA")</f>
        <v>2.8560296002873305E-2</v>
      </c>
      <c r="M88" s="2"/>
      <c r="N88" s="14">
        <f t="shared" si="21"/>
        <v>590.40000000000009</v>
      </c>
      <c r="O88" s="15">
        <f>IFERROR(N88/N444, "NA")</f>
        <v>3.0083018737175612E-2</v>
      </c>
      <c r="P88" s="2"/>
      <c r="Q88" s="14">
        <f>IFERROR(Q75+Q76+Q77+Q78+Q79+Q80+Q81+Q82+Q83+Q84+Q85+Q86+Q87, "NA")</f>
        <v>9136.2100000000009</v>
      </c>
      <c r="R88" s="15">
        <f>IFERROR(Q88/Q444, "NA")</f>
        <v>3.1852840192786142E-2</v>
      </c>
      <c r="S88" s="2"/>
      <c r="T88" s="14">
        <f>IFERROR(T75+T76+T77+T78+T79+T80+T81+T82+T83+T84+T85+T86+T87, "NA")</f>
        <v>7200.61</v>
      </c>
      <c r="U88" s="15">
        <f>IFERROR(T88/T444, "NA")</f>
        <v>2.8999989085651018E-2</v>
      </c>
      <c r="V88" s="2"/>
      <c r="W88" s="14">
        <f t="shared" si="22"/>
        <v>1935.6000000000013</v>
      </c>
      <c r="X88" s="15">
        <f>IFERROR(W88/W444, "NA")</f>
        <v>5.0237991975313978E-2</v>
      </c>
      <c r="Y88" s="2"/>
      <c r="Z88" s="14">
        <f>IFERROR(Z75+Z76+Z77+Z78+Z79+Z80+Z81+Z82+Z83+Z84+Z85+Z86+Z87, "NA")</f>
        <v>6758.32</v>
      </c>
      <c r="AA88" s="15">
        <f>IFERROR(Z88/Z444, "NA")</f>
        <v>2.8799399732678543E-2</v>
      </c>
      <c r="AB88" s="2"/>
      <c r="AC88" s="14">
        <f t="shared" si="23"/>
        <v>2377.8900000000012</v>
      </c>
      <c r="AD88" s="15">
        <f>IFERROR(AC88/AC444, "NA")</f>
        <v>4.5591161424335343E-2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-982.32</v>
      </c>
      <c r="L89" s="8">
        <f>IFERROR(K89/K444, "NA")</f>
        <v>-7.5792290299471054E-3</v>
      </c>
      <c r="M89" s="9"/>
      <c r="N89" s="10">
        <f t="shared" si="21"/>
        <v>982.32</v>
      </c>
      <c r="O89" s="8">
        <f>IFERROR(N89/N444, "NA")</f>
        <v>5.0052762476121858E-2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-744.28</v>
      </c>
      <c r="AA89" s="8">
        <f>IFERROR(Z89/Z444, "NA")</f>
        <v>-3.1716191646796814E-3</v>
      </c>
      <c r="AB89" s="9"/>
      <c r="AC89" s="10">
        <f t="shared" si="23"/>
        <v>744.28</v>
      </c>
      <c r="AD89" s="8">
        <f>IFERROR(AC89/AC444, "NA")</f>
        <v>1.4270041770184615E-2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-5307.4</v>
      </c>
      <c r="F94" s="8">
        <f>IFERROR(E94/E444, "NA")</f>
        <v>-3.499999769190202E-2</v>
      </c>
      <c r="G94" s="9"/>
      <c r="H94" s="10">
        <f t="shared" ref="H94:H124" si="24">IFERROR(B94-E94, "NA")</f>
        <v>5307.4</v>
      </c>
      <c r="I94" s="8">
        <f>IFERROR(H94/H444, "NA")</f>
        <v>-2.2045549892625855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-8690.39</v>
      </c>
      <c r="U94" s="8">
        <f>IFERROR(T94/T444, "NA")</f>
        <v>-3.4999981272427025E-2</v>
      </c>
      <c r="V94" s="9"/>
      <c r="W94" s="10">
        <f t="shared" ref="W94:W124" si="26">IFERROR(Q94-T94, "NA")</f>
        <v>8690.39</v>
      </c>
      <c r="X94" s="8">
        <f>IFERROR(W94/W444, "NA")</f>
        <v>0.22555680051784902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-1945</v>
      </c>
      <c r="C96" s="8">
        <f>IFERROR(B96/B444, "NA")</f>
        <v>-1.3033350501170857E-2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-1945</v>
      </c>
      <c r="I96" s="8">
        <f>IFERROR(H96/H444, "NA")</f>
        <v>0.80790207146921833</v>
      </c>
      <c r="J96" s="9"/>
      <c r="K96" s="7">
        <v>-176.45</v>
      </c>
      <c r="L96" s="8">
        <f>IFERROR(K96/K444, "NA")</f>
        <v>-1.3614249555482598E-3</v>
      </c>
      <c r="M96" s="9"/>
      <c r="N96" s="10">
        <f t="shared" si="25"/>
        <v>-1768.55</v>
      </c>
      <c r="O96" s="8">
        <f>IFERROR(N96/N444, "NA")</f>
        <v>-9.0114029111842672E-2</v>
      </c>
      <c r="P96" s="9"/>
      <c r="Q96" s="7">
        <v>-3458.95</v>
      </c>
      <c r="R96" s="8">
        <f>IFERROR(Q96/Q444, "NA")</f>
        <v>-1.2059418685082503E-2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-3458.95</v>
      </c>
      <c r="X96" s="8">
        <f>IFERROR(W96/W444, "NA")</f>
        <v>-8.9776142975311099E-2</v>
      </c>
      <c r="Y96" s="9"/>
      <c r="Z96" s="7">
        <v>-282.26</v>
      </c>
      <c r="AA96" s="8">
        <f>IFERROR(Z96/Z444, "NA")</f>
        <v>-1.202801667950888E-3</v>
      </c>
      <c r="AB96" s="9"/>
      <c r="AC96" s="10">
        <f t="shared" si="27"/>
        <v>-3176.6899999999996</v>
      </c>
      <c r="AD96" s="8">
        <f>IFERROR(AC96/AC444, "NA")</f>
        <v>-6.0906512321878541E-2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-1214.82</v>
      </c>
      <c r="C98" s="8">
        <f>IFERROR(B98/B444, "NA")</f>
        <v>-8.1404497973431248E-3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-1214.82</v>
      </c>
      <c r="I98" s="8">
        <f>IFERROR(H98/H444, "NA")</f>
        <v>0.50460441874665074</v>
      </c>
      <c r="J98" s="9"/>
      <c r="K98" s="7">
        <v>-1693.65</v>
      </c>
      <c r="L98" s="8">
        <f>IFERROR(K98/K444, "NA")</f>
        <v>-1.3067596350038598E-2</v>
      </c>
      <c r="M98" s="9"/>
      <c r="N98" s="10">
        <f t="shared" si="25"/>
        <v>478.83000000000015</v>
      </c>
      <c r="O98" s="8">
        <f>IFERROR(N98/N444, "NA")</f>
        <v>2.4398123072360774E-2</v>
      </c>
      <c r="P98" s="9"/>
      <c r="Q98" s="7">
        <v>-2826.56</v>
      </c>
      <c r="R98" s="8">
        <f>IFERROR(Q98/Q444, "NA")</f>
        <v>-9.8546294333560196E-3</v>
      </c>
      <c r="S98" s="9"/>
      <c r="T98" s="7">
        <v>0</v>
      </c>
      <c r="U98" s="8">
        <f>IFERROR(T98/T444, "NA")</f>
        <v>0</v>
      </c>
      <c r="V98" s="9"/>
      <c r="W98" s="10">
        <f t="shared" si="26"/>
        <v>-2826.56</v>
      </c>
      <c r="X98" s="8">
        <f>IFERROR(W98/W444, "NA")</f>
        <v>-7.3362625851283003E-2</v>
      </c>
      <c r="Y98" s="9"/>
      <c r="Z98" s="7">
        <v>-2978.99</v>
      </c>
      <c r="AA98" s="8">
        <f>IFERROR(Z98/Z444, "NA")</f>
        <v>-1.2694445336955346E-2</v>
      </c>
      <c r="AB98" s="9"/>
      <c r="AC98" s="10">
        <f t="shared" si="27"/>
        <v>152.42999999999984</v>
      </c>
      <c r="AD98" s="8">
        <f>IFERROR(AC98/AC444, "NA")</f>
        <v>2.9225324703461581E-3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-27</v>
      </c>
      <c r="C100" s="8">
        <f>IFERROR(B100/B444, "NA")</f>
        <v>-1.8092568819106074E-4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-27</v>
      </c>
      <c r="I100" s="8">
        <f>IFERROR(H100/H444, "NA")</f>
        <v>1.1215093022966013E-2</v>
      </c>
      <c r="J100" s="9"/>
      <c r="K100" s="7">
        <v>-181.9</v>
      </c>
      <c r="L100" s="8">
        <f>IFERROR(K100/K444, "NA")</f>
        <v>-1.4034752021208755E-3</v>
      </c>
      <c r="M100" s="9"/>
      <c r="N100" s="10">
        <f t="shared" si="25"/>
        <v>154.9</v>
      </c>
      <c r="O100" s="8">
        <f>IFERROR(N100/N444, "NA")</f>
        <v>7.8927161287068118E-3</v>
      </c>
      <c r="P100" s="9"/>
      <c r="Q100" s="7">
        <v>-405.66</v>
      </c>
      <c r="R100" s="8">
        <f>IFERROR(Q100/Q444, "NA")</f>
        <v>-1.4143089040866647E-3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-405.66</v>
      </c>
      <c r="X100" s="8">
        <f>IFERROR(W100/W444, "NA")</f>
        <v>-1.0528799248143138E-2</v>
      </c>
      <c r="Y100" s="9"/>
      <c r="Z100" s="7">
        <v>-427.61</v>
      </c>
      <c r="AA100" s="8">
        <f>IFERROR(Z100/Z444, "NA")</f>
        <v>-1.8221852945244784E-3</v>
      </c>
      <c r="AB100" s="9"/>
      <c r="AC100" s="10">
        <f t="shared" si="27"/>
        <v>21.949999999999989</v>
      </c>
      <c r="AD100" s="8">
        <f>IFERROR(AC100/AC444, "NA")</f>
        <v>4.2084620956569049E-4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-1879.2</v>
      </c>
      <c r="C102" s="8">
        <f>IFERROR(B102/B444, "NA")</f>
        <v>-1.2592427898097827E-2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-1879.2</v>
      </c>
      <c r="I102" s="8">
        <f>IFERROR(H102/H444, "NA")</f>
        <v>0.78057047439843452</v>
      </c>
      <c r="J102" s="9"/>
      <c r="K102" s="7">
        <v>-181.48</v>
      </c>
      <c r="L102" s="8">
        <f>IFERROR(K102/K444, "NA")</f>
        <v>-1.4002346326602334E-3</v>
      </c>
      <c r="M102" s="9"/>
      <c r="N102" s="10">
        <f t="shared" si="25"/>
        <v>-1697.72</v>
      </c>
      <c r="O102" s="8">
        <f>IFERROR(N102/N444, "NA")</f>
        <v>-8.6504984028587015E-2</v>
      </c>
      <c r="P102" s="9"/>
      <c r="Q102" s="7">
        <v>-3255</v>
      </c>
      <c r="R102" s="8">
        <f>IFERROR(Q102/Q444, "NA")</f>
        <v>-1.1348359421195319E-2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-3255</v>
      </c>
      <c r="X102" s="8">
        <f>IFERROR(W102/W444, "NA")</f>
        <v>-8.4482674044041584E-2</v>
      </c>
      <c r="Y102" s="9"/>
      <c r="Z102" s="7">
        <v>-469</v>
      </c>
      <c r="AA102" s="8">
        <f>IFERROR(Z102/Z444, "NA")</f>
        <v>-1.9985615470451586E-3</v>
      </c>
      <c r="AB102" s="9"/>
      <c r="AC102" s="10">
        <f t="shared" si="27"/>
        <v>-2786</v>
      </c>
      <c r="AD102" s="8">
        <f>IFERROR(AC102/AC444, "NA")</f>
        <v>-5.341583325057013E-2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-363.41</v>
      </c>
      <c r="C104" s="8">
        <f>IFERROR(B104/B444, "NA")</f>
        <v>-2.4351927535375328E-3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-363.41</v>
      </c>
      <c r="I104" s="8">
        <f>IFERROR(H104/H444, "NA")</f>
        <v>0.1509509983509659</v>
      </c>
      <c r="J104" s="9"/>
      <c r="K104" s="7">
        <v>-246.89</v>
      </c>
      <c r="L104" s="8">
        <f>IFERROR(K104/K444, "NA")</f>
        <v>-1.9049147479473498E-3</v>
      </c>
      <c r="M104" s="9"/>
      <c r="N104" s="10">
        <f t="shared" si="25"/>
        <v>-116.52000000000004</v>
      </c>
      <c r="O104" s="8">
        <f>IFERROR(N104/N444, "NA")</f>
        <v>-5.9371160963003098E-3</v>
      </c>
      <c r="P104" s="9"/>
      <c r="Q104" s="7">
        <v>-913.18</v>
      </c>
      <c r="R104" s="8">
        <f>IFERROR(Q104/Q444, "NA")</f>
        <v>-3.183746499615097E-3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-913.18</v>
      </c>
      <c r="X104" s="8">
        <f>IFERROR(W104/W444, "NA")</f>
        <v>-2.3701348166985527E-2</v>
      </c>
      <c r="Y104" s="9"/>
      <c r="Z104" s="7">
        <v>-490.01</v>
      </c>
      <c r="AA104" s="8">
        <f>IFERROR(Z104/Z444, "NA")</f>
        <v>-2.0880919907624697E-3</v>
      </c>
      <c r="AB104" s="9"/>
      <c r="AC104" s="10">
        <f t="shared" si="27"/>
        <v>-423.16999999999996</v>
      </c>
      <c r="AD104" s="8">
        <f>IFERROR(AC104/AC444, "NA")</f>
        <v>-8.1134164237773726E-3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-88.16</v>
      </c>
      <c r="C106" s="8">
        <f>IFERROR(B106/B444, "NA")</f>
        <v>-5.9075587670088571E-4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-88.16</v>
      </c>
      <c r="I106" s="8">
        <f>IFERROR(H106/H444, "NA")</f>
        <v>3.6619355589062361E-2</v>
      </c>
      <c r="J106" s="9"/>
      <c r="K106" s="7">
        <v>-102.07</v>
      </c>
      <c r="L106" s="8">
        <f>IFERROR(K106/K444, "NA")</f>
        <v>-7.8753553535171935E-4</v>
      </c>
      <c r="M106" s="9"/>
      <c r="N106" s="10">
        <f t="shared" si="25"/>
        <v>13.909999999999997</v>
      </c>
      <c r="O106" s="8">
        <f>IFERROR(N106/N444, "NA")</f>
        <v>7.0876488928542109E-4</v>
      </c>
      <c r="P106" s="9"/>
      <c r="Q106" s="7">
        <v>-88.16</v>
      </c>
      <c r="R106" s="8">
        <f>IFERROR(Q106/Q444, "NA")</f>
        <v>-3.0736447513750515E-4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-88.16</v>
      </c>
      <c r="X106" s="8">
        <f>IFERROR(W106/W444, "NA")</f>
        <v>-2.2881697522957622E-3</v>
      </c>
      <c r="Y106" s="9"/>
      <c r="Z106" s="7">
        <v>-2485.4499999999998</v>
      </c>
      <c r="AA106" s="8">
        <f>IFERROR(Z106/Z444, "NA")</f>
        <v>-1.0591310868024284E-2</v>
      </c>
      <c r="AB106" s="9"/>
      <c r="AC106" s="10">
        <f t="shared" si="27"/>
        <v>2397.29</v>
      </c>
      <c r="AD106" s="8">
        <f>IFERROR(AC106/AC444, "NA")</f>
        <v>4.5963116616388827E-2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-4.9218306755589736E-5</v>
      </c>
      <c r="AB111" s="9"/>
      <c r="AC111" s="10">
        <f t="shared" si="27"/>
        <v>11.55</v>
      </c>
      <c r="AD111" s="8">
        <f>IFERROR(AC111/AC444, "NA")</f>
        <v>2.2144754990814251E-4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-5517.5899999999992</v>
      </c>
      <c r="C118" s="15">
        <f>IFERROR(B118/B444, "NA")</f>
        <v>-3.6973102515041281E-2</v>
      </c>
      <c r="D118" s="2"/>
      <c r="E118" s="14">
        <f>IFERROR(E94+E95+E96+E97+E98+E99+E100+E101+E102+E103+E104+E105+E106+E107+E108+E109+E110+E111+E112+E113+E114+E115+E116+E117, "NA")</f>
        <v>-5307.4</v>
      </c>
      <c r="F118" s="15">
        <f>IFERROR(E118/E444, "NA")</f>
        <v>-3.499999769190202E-2</v>
      </c>
      <c r="G118" s="2"/>
      <c r="H118" s="14">
        <f t="shared" si="24"/>
        <v>-210.1899999999996</v>
      </c>
      <c r="I118" s="15">
        <f>IFERROR(H118/H444, "NA")</f>
        <v>8.7307422314711919E-2</v>
      </c>
      <c r="J118" s="2"/>
      <c r="K118" s="14">
        <f>IFERROR(K94+K95+K96+K97+K98+K99+K100+K101+K102+K103+K104+K105+K106+K107+K108+K109+K110+K111+K112+K113+K114+K115+K116+K117, "NA")</f>
        <v>-2582.44</v>
      </c>
      <c r="L118" s="15">
        <f>IFERROR(K118/K444, "NA")</f>
        <v>-1.9925181423667036E-2</v>
      </c>
      <c r="M118" s="2"/>
      <c r="N118" s="14">
        <f t="shared" si="25"/>
        <v>-2935.1499999999992</v>
      </c>
      <c r="O118" s="15">
        <f>IFERROR(N118/N444, "NA")</f>
        <v>-0.14955652514637696</v>
      </c>
      <c r="P118" s="2"/>
      <c r="Q118" s="14">
        <f>IFERROR(Q94+Q95+Q96+Q97+Q98+Q99+Q100+Q101+Q102+Q103+Q104+Q105+Q106+Q107+Q108+Q109+Q110+Q111+Q112+Q113+Q114+Q115+Q116+Q117, "NA")</f>
        <v>-10947.51</v>
      </c>
      <c r="R118" s="15">
        <f>IFERROR(Q118/Q444, "NA")</f>
        <v>-3.8167827418473112E-2</v>
      </c>
      <c r="S118" s="2"/>
      <c r="T118" s="14">
        <f>IFERROR(T94+T95+T96+T97+T98+T99+T100+T101+T102+T103+T104+T105+T106+T107+T108+T109+T110+T111+T112+T113+T114+T115+T116+T117, "NA")</f>
        <v>-8690.39</v>
      </c>
      <c r="U118" s="15">
        <f>IFERROR(T118/T444, "NA")</f>
        <v>-3.4999981272427025E-2</v>
      </c>
      <c r="V118" s="2"/>
      <c r="W118" s="14">
        <f t="shared" si="26"/>
        <v>-2257.1200000000008</v>
      </c>
      <c r="X118" s="15">
        <f>IFERROR(W118/W444, "NA")</f>
        <v>-5.8582959520211128E-2</v>
      </c>
      <c r="Y118" s="2"/>
      <c r="Z118" s="14">
        <f>IFERROR(Z94+Z95+Z96+Z97+Z98+Z99+Z100+Z101+Z102+Z103+Z104+Z105+Z106+Z107+Z108+Z109+Z110+Z111+Z112+Z113+Z114+Z115+Z116+Z117, "NA")</f>
        <v>-7144.8700000000008</v>
      </c>
      <c r="AA118" s="15">
        <f>IFERROR(Z118/Z444, "NA")</f>
        <v>-3.044661501201822E-2</v>
      </c>
      <c r="AB118" s="2"/>
      <c r="AC118" s="14">
        <f t="shared" si="27"/>
        <v>-3802.6399999999994</v>
      </c>
      <c r="AD118" s="15">
        <f>IFERROR(AC118/AC444, "NA")</f>
        <v>-7.290781915001722E-2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149232.53999999998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151640.01</v>
      </c>
      <c r="F122" s="15">
        <f>IFERROR(E122/E444, "NA")</f>
        <v>1</v>
      </c>
      <c r="G122" s="2"/>
      <c r="H122" s="14">
        <f t="shared" si="24"/>
        <v>-2407.4700000000303</v>
      </c>
      <c r="I122" s="15">
        <f>IFERROR(H122/H444, "NA")</f>
        <v>1.000000000000012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129606.84999999998</v>
      </c>
      <c r="L122" s="15">
        <f>IFERROR(K122/K444, "NA")</f>
        <v>0.99999999999999978</v>
      </c>
      <c r="M122" s="2"/>
      <c r="N122" s="14">
        <f t="shared" si="25"/>
        <v>19625.690000000002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286825.60000000009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248296.98999999993</v>
      </c>
      <c r="U122" s="15">
        <f>IFERROR(T122/T444, "NA")</f>
        <v>0.99999999999999978</v>
      </c>
      <c r="V122" s="2"/>
      <c r="W122" s="14">
        <f t="shared" si="26"/>
        <v>38528.610000000161</v>
      </c>
      <c r="X122" s="15">
        <f>IFERROR(W122/W444, "NA")</f>
        <v>1.0000000000000044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234668.78</v>
      </c>
      <c r="AA122" s="15">
        <f>IFERROR(Z122/Z444, "NA")</f>
        <v>1</v>
      </c>
      <c r="AB122" s="2"/>
      <c r="AC122" s="14">
        <f t="shared" si="27"/>
        <v>52156.820000000094</v>
      </c>
      <c r="AD122" s="15">
        <f>IFERROR(AC122/AC444, "NA")</f>
        <v>1.0000000000000022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149232.53999999998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151640.01</v>
      </c>
      <c r="F124" s="15">
        <f>IFERROR(E124/E444, "NA")</f>
        <v>1</v>
      </c>
      <c r="G124" s="2"/>
      <c r="H124" s="14">
        <f t="shared" si="24"/>
        <v>-2407.4700000000303</v>
      </c>
      <c r="I124" s="15">
        <f>IFERROR(H124/H444, "NA")</f>
        <v>1.000000000000012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129606.84999999998</v>
      </c>
      <c r="L124" s="15">
        <f>IFERROR(K124/K444, "NA")</f>
        <v>0.99999999999999978</v>
      </c>
      <c r="M124" s="2"/>
      <c r="N124" s="14">
        <f t="shared" si="25"/>
        <v>19625.690000000002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286825.60000000009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248296.98999999993</v>
      </c>
      <c r="U124" s="15">
        <f>IFERROR(T124/T444, "NA")</f>
        <v>0.99999999999999978</v>
      </c>
      <c r="V124" s="2"/>
      <c r="W124" s="14">
        <f t="shared" si="26"/>
        <v>38528.610000000161</v>
      </c>
      <c r="X124" s="15">
        <f>IFERROR(W124/W444, "NA")</f>
        <v>1.0000000000000044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234668.78</v>
      </c>
      <c r="AA124" s="15">
        <f>IFERROR(Z124/Z444, "NA")</f>
        <v>1</v>
      </c>
      <c r="AB124" s="2"/>
      <c r="AC124" s="14">
        <f t="shared" si="27"/>
        <v>52156.820000000094</v>
      </c>
      <c r="AD124" s="15">
        <f>IFERROR(AC124/AC444, "NA")</f>
        <v>1.0000000000000022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33967.360000000001</v>
      </c>
      <c r="F129" s="8">
        <f>IFERROR(E129/E444, "NA")</f>
        <v>0.22399998522817294</v>
      </c>
      <c r="G129" s="9"/>
      <c r="H129" s="10">
        <f t="shared" ref="H129:H141" si="28">IFERROR(-(B129-E129), "NA")</f>
        <v>33967.360000000001</v>
      </c>
      <c r="I129" s="8">
        <f>IFERROR(H129/H444, "NA")</f>
        <v>-14.10915193128055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58808.2</v>
      </c>
      <c r="U129" s="8">
        <f>IFERROR(T129/T444, "NA")</f>
        <v>0.23684620582794821</v>
      </c>
      <c r="V129" s="9"/>
      <c r="W129" s="10">
        <f t="shared" ref="W129:W141" si="30">IFERROR(-(Q129-T129), "NA")</f>
        <v>58808.2</v>
      </c>
      <c r="X129" s="8">
        <f>IFERROR(W129/W444, "NA")</f>
        <v>1.5263514567486347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8807.82</v>
      </c>
      <c r="C130" s="8">
        <f>IFERROR(B130/B444, "NA")</f>
        <v>5.9020773887518092E-2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-8807.82</v>
      </c>
      <c r="I130" s="8">
        <f>IFERROR(H130/H444, "NA")</f>
        <v>3.6585378010940928</v>
      </c>
      <c r="J130" s="9"/>
      <c r="K130" s="7">
        <v>8580.48</v>
      </c>
      <c r="L130" s="8">
        <f>IFERROR(K130/K444, "NA")</f>
        <v>6.6203908203925937E-2</v>
      </c>
      <c r="M130" s="9"/>
      <c r="N130" s="10">
        <f t="shared" si="29"/>
        <v>-227.34000000000015</v>
      </c>
      <c r="O130" s="8">
        <f>IFERROR(N130/N444, "NA")</f>
        <v>-1.158379654422342E-2</v>
      </c>
      <c r="P130" s="9"/>
      <c r="Q130" s="7">
        <v>15824.55</v>
      </c>
      <c r="R130" s="8">
        <f>IFERROR(Q130/Q444, "NA")</f>
        <v>5.517133059252731E-2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-15824.55</v>
      </c>
      <c r="X130" s="8">
        <f>IFERROR(W130/W444, "NA")</f>
        <v>-0.41072205823153252</v>
      </c>
      <c r="Y130" s="9"/>
      <c r="Z130" s="7">
        <v>15431.16</v>
      </c>
      <c r="AA130" s="8">
        <f>IFERROR(Z130/Z444, "NA")</f>
        <v>6.575719190256156E-2</v>
      </c>
      <c r="AB130" s="9"/>
      <c r="AC130" s="10">
        <f t="shared" si="31"/>
        <v>-393.38999999999942</v>
      </c>
      <c r="AD130" s="8">
        <f>IFERROR(AC130/AC444, "NA")</f>
        <v>-7.5424460310271908E-3</v>
      </c>
    </row>
    <row r="131" spans="1:30" ht="16.5" customHeight="1" x14ac:dyDescent="0.45">
      <c r="A131" s="12" t="s">
        <v>123</v>
      </c>
      <c r="B131" s="7">
        <v>4203.4399999999996</v>
      </c>
      <c r="C131" s="8">
        <f>IFERROR(B131/B444, "NA")</f>
        <v>2.8167047213697491E-2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-4203.4399999999996</v>
      </c>
      <c r="I131" s="8">
        <f>IFERROR(H131/H444, "NA")</f>
        <v>1.7459989117206018</v>
      </c>
      <c r="J131" s="9"/>
      <c r="K131" s="7">
        <v>3972.93</v>
      </c>
      <c r="L131" s="8">
        <f>IFERROR(K131/K444, "NA")</f>
        <v>3.0653703874447991E-2</v>
      </c>
      <c r="M131" s="9"/>
      <c r="N131" s="10">
        <f t="shared" si="29"/>
        <v>-230.50999999999976</v>
      </c>
      <c r="O131" s="8">
        <f>IFERROR(N131/N444, "NA")</f>
        <v>-1.1745319527619143E-2</v>
      </c>
      <c r="P131" s="9"/>
      <c r="Q131" s="7">
        <v>8002.75</v>
      </c>
      <c r="R131" s="8">
        <f>IFERROR(Q131/Q444, "NA")</f>
        <v>2.7901100878024838E-2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-8002.75</v>
      </c>
      <c r="X131" s="8">
        <f>IFERROR(W131/W444, "NA")</f>
        <v>-0.20770928408785064</v>
      </c>
      <c r="Y131" s="9"/>
      <c r="Z131" s="7">
        <v>7224.03</v>
      </c>
      <c r="AA131" s="8">
        <f>IFERROR(Z131/Z444, "NA")</f>
        <v>3.0783941519617563E-2</v>
      </c>
      <c r="AB131" s="9"/>
      <c r="AC131" s="10">
        <f t="shared" si="31"/>
        <v>-778.72000000000025</v>
      </c>
      <c r="AD131" s="8">
        <f>IFERROR(AC131/AC444, "NA")</f>
        <v>-1.4930358100819809E-2</v>
      </c>
    </row>
    <row r="132" spans="1:30" ht="16.5" customHeight="1" x14ac:dyDescent="0.45">
      <c r="A132" s="12" t="s">
        <v>124</v>
      </c>
      <c r="B132" s="7">
        <v>5610.26</v>
      </c>
      <c r="C132" s="8">
        <f>IFERROR(B132/B444, "NA")</f>
        <v>3.7594079682621497E-2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-5610.26</v>
      </c>
      <c r="I132" s="8">
        <f>IFERROR(H132/H444, "NA")</f>
        <v>2.3303551030750111</v>
      </c>
      <c r="J132" s="9"/>
      <c r="K132" s="7">
        <v>4706.1499999999996</v>
      </c>
      <c r="L132" s="8">
        <f>IFERROR(K132/K444, "NA")</f>
        <v>3.6310966588571511E-2</v>
      </c>
      <c r="M132" s="9"/>
      <c r="N132" s="10">
        <f t="shared" si="29"/>
        <v>-904.11000000000058</v>
      </c>
      <c r="O132" s="8">
        <f>IFERROR(N132/N444, "NA")</f>
        <v>-4.6067679658651516E-2</v>
      </c>
      <c r="P132" s="9"/>
      <c r="Q132" s="7">
        <v>10674.63</v>
      </c>
      <c r="R132" s="8">
        <f>IFERROR(Q132/Q444, "NA")</f>
        <v>3.7216447904231703E-2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-10674.63</v>
      </c>
      <c r="X132" s="8">
        <f>IFERROR(W132/W444, "NA")</f>
        <v>-0.27705723097718821</v>
      </c>
      <c r="Y132" s="9"/>
      <c r="Z132" s="7">
        <v>8049.26</v>
      </c>
      <c r="AA132" s="8">
        <f>IFERROR(Z132/Z444, "NA")</f>
        <v>3.4300514964112398E-2</v>
      </c>
      <c r="AB132" s="9"/>
      <c r="AC132" s="10">
        <f t="shared" si="31"/>
        <v>-2625.369999999999</v>
      </c>
      <c r="AD132" s="8">
        <f>IFERROR(AC132/AC444, "NA")</f>
        <v>-5.033608260626319E-2</v>
      </c>
    </row>
    <row r="133" spans="1:30" ht="16.5" customHeight="1" x14ac:dyDescent="0.45">
      <c r="A133" s="12" t="s">
        <v>125</v>
      </c>
      <c r="B133" s="7">
        <v>2923.39</v>
      </c>
      <c r="C133" s="8">
        <f>IFERROR(B133/B444, "NA")</f>
        <v>1.9589494355587593E-2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-2923.39</v>
      </c>
      <c r="I133" s="8">
        <f>IFERROR(H133/H444, "NA")</f>
        <v>1.2142996589780968</v>
      </c>
      <c r="J133" s="9"/>
      <c r="K133" s="7">
        <v>2366.84</v>
      </c>
      <c r="L133" s="8">
        <f>IFERROR(K133/K444, "NA")</f>
        <v>1.826168910053751E-2</v>
      </c>
      <c r="M133" s="9"/>
      <c r="N133" s="10">
        <f t="shared" si="29"/>
        <v>-556.54999999999973</v>
      </c>
      <c r="O133" s="8">
        <f>IFERROR(N133/N444, "NA")</f>
        <v>-2.8358238614795181E-2</v>
      </c>
      <c r="P133" s="9"/>
      <c r="Q133" s="7">
        <v>5804.41</v>
      </c>
      <c r="R133" s="8">
        <f>IFERROR(Q133/Q444, "NA")</f>
        <v>2.0236722245155245E-2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-5804.41</v>
      </c>
      <c r="X133" s="8">
        <f>IFERROR(W133/W444, "NA")</f>
        <v>-0.15065194410076049</v>
      </c>
      <c r="Y133" s="9"/>
      <c r="Z133" s="7">
        <v>3650.87</v>
      </c>
      <c r="AA133" s="8">
        <f>IFERROR(Z133/Z444, "NA")</f>
        <v>1.5557544552794794E-2</v>
      </c>
      <c r="AB133" s="9"/>
      <c r="AC133" s="10">
        <f t="shared" si="31"/>
        <v>-2153.54</v>
      </c>
      <c r="AD133" s="8">
        <f>IFERROR(AC133/AC444, "NA")</f>
        <v>-4.128971053066504E-2</v>
      </c>
    </row>
    <row r="134" spans="1:30" ht="16.5" customHeight="1" x14ac:dyDescent="0.45">
      <c r="A134" s="12" t="s">
        <v>126</v>
      </c>
      <c r="B134" s="7">
        <v>1058.2</v>
      </c>
      <c r="C134" s="8">
        <f>IFERROR(B134/B444, "NA")</f>
        <v>7.0909467868066839E-3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-1058.2</v>
      </c>
      <c r="I134" s="8">
        <f>IFERROR(H134/H444, "NA")</f>
        <v>0.43954857173713463</v>
      </c>
      <c r="J134" s="9"/>
      <c r="K134" s="7">
        <v>1319.91</v>
      </c>
      <c r="L134" s="8">
        <f>IFERROR(K134/K444, "NA")</f>
        <v>1.0183952468561654E-2</v>
      </c>
      <c r="M134" s="9"/>
      <c r="N134" s="10">
        <f t="shared" si="29"/>
        <v>261.71000000000004</v>
      </c>
      <c r="O134" s="8">
        <f>IFERROR(N134/N444, "NA")</f>
        <v>1.3335072550315429E-2</v>
      </c>
      <c r="P134" s="9"/>
      <c r="Q134" s="7">
        <v>2010.63</v>
      </c>
      <c r="R134" s="8">
        <f>IFERROR(Q134/Q444, "NA")</f>
        <v>7.0099391407182632E-3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-2010.63</v>
      </c>
      <c r="X134" s="8">
        <f>IFERROR(W134/W444, "NA")</f>
        <v>-5.2185376010190888E-2</v>
      </c>
      <c r="Y134" s="9"/>
      <c r="Z134" s="7">
        <v>2217.2800000000002</v>
      </c>
      <c r="AA134" s="8">
        <f>IFERROR(Z134/Z444, "NA")</f>
        <v>9.4485512729899565E-3</v>
      </c>
      <c r="AB134" s="9"/>
      <c r="AC134" s="10">
        <f t="shared" si="31"/>
        <v>206.65000000000009</v>
      </c>
      <c r="AD134" s="8">
        <f>IFERROR(AC134/AC444, "NA")</f>
        <v>3.9620897132915727E-3</v>
      </c>
    </row>
    <row r="135" spans="1:30" ht="16.5" customHeight="1" x14ac:dyDescent="0.45">
      <c r="A135" s="12" t="s">
        <v>127</v>
      </c>
      <c r="B135" s="7">
        <v>1466.62</v>
      </c>
      <c r="C135" s="8">
        <f>IFERROR(B135/B444, "NA")</f>
        <v>9.8277493635101285E-3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-1466.62</v>
      </c>
      <c r="I135" s="8">
        <f>IFERROR(H135/H444, "NA")</f>
        <v>0.60919554553120048</v>
      </c>
      <c r="J135" s="9"/>
      <c r="K135" s="7">
        <v>1479.38</v>
      </c>
      <c r="L135" s="8">
        <f>IFERROR(K135/K444, "NA")</f>
        <v>1.1414365830201105E-2</v>
      </c>
      <c r="M135" s="9"/>
      <c r="N135" s="10">
        <f t="shared" si="29"/>
        <v>12.760000000000218</v>
      </c>
      <c r="O135" s="8">
        <f>IFERROR(N135/N444, "NA")</f>
        <v>6.5016822338476849E-4</v>
      </c>
      <c r="P135" s="9"/>
      <c r="Q135" s="7">
        <v>3121.73</v>
      </c>
      <c r="R135" s="8">
        <f>IFERROR(Q135/Q444, "NA")</f>
        <v>1.0883721676168377E-2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-3121.73</v>
      </c>
      <c r="X135" s="8">
        <f>IFERROR(W135/W444, "NA")</f>
        <v>-8.1023686034871256E-2</v>
      </c>
      <c r="Y135" s="9"/>
      <c r="Z135" s="7">
        <v>2844.78</v>
      </c>
      <c r="AA135" s="8">
        <f>IFERROR(Z135/Z444, "NA")</f>
        <v>1.2122532873780654E-2</v>
      </c>
      <c r="AB135" s="9"/>
      <c r="AC135" s="10">
        <f t="shared" si="31"/>
        <v>-276.94999999999982</v>
      </c>
      <c r="AD135" s="8">
        <f>IFERROR(AC135/AC444, "NA")</f>
        <v>-5.3099479607844179E-3</v>
      </c>
    </row>
    <row r="136" spans="1:30" ht="16.5" customHeight="1" x14ac:dyDescent="0.45">
      <c r="A136" s="12" t="s">
        <v>128</v>
      </c>
      <c r="B136" s="7">
        <v>784.27</v>
      </c>
      <c r="C136" s="8">
        <f>IFERROR(B136/B444, "NA")</f>
        <v>5.2553551658371554E-3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-784.27</v>
      </c>
      <c r="I136" s="8">
        <f>IFERROR(H136/H444, "NA")</f>
        <v>0.32576522241190942</v>
      </c>
      <c r="J136" s="9"/>
      <c r="K136" s="7">
        <v>902.04</v>
      </c>
      <c r="L136" s="8">
        <f>IFERROR(K136/K444, "NA")</f>
        <v>6.9598173244701184E-3</v>
      </c>
      <c r="M136" s="9"/>
      <c r="N136" s="10">
        <f t="shared" si="29"/>
        <v>117.76999999999998</v>
      </c>
      <c r="O136" s="8">
        <f>IFERROR(N136/N444, "NA")</f>
        <v>6.0008081244532019E-3</v>
      </c>
      <c r="P136" s="9"/>
      <c r="Q136" s="7">
        <v>1702.69</v>
      </c>
      <c r="R136" s="8">
        <f>IFERROR(Q136/Q444, "NA")</f>
        <v>5.9363250700076985E-3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-1702.69</v>
      </c>
      <c r="X136" s="8">
        <f>IFERROR(W136/W444, "NA")</f>
        <v>-4.4192873815068874E-2</v>
      </c>
      <c r="Y136" s="9"/>
      <c r="Z136" s="7">
        <v>2067.1999999999998</v>
      </c>
      <c r="AA136" s="8">
        <f>IFERROR(Z136/Z444, "NA")</f>
        <v>8.8090115779355053E-3</v>
      </c>
      <c r="AB136" s="9"/>
      <c r="AC136" s="10">
        <f t="shared" si="31"/>
        <v>364.50999999999976</v>
      </c>
      <c r="AD136" s="8">
        <f>IFERROR(AC136/AC444, "NA")</f>
        <v>6.9887312915166205E-3</v>
      </c>
    </row>
    <row r="137" spans="1:30" ht="16.5" customHeight="1" x14ac:dyDescent="0.45">
      <c r="A137" s="12" t="s">
        <v>129</v>
      </c>
      <c r="B137" s="7">
        <v>695.34</v>
      </c>
      <c r="C137" s="8">
        <f>IFERROR(B137/B444, "NA")</f>
        <v>4.6594395565471179E-3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-695.34</v>
      </c>
      <c r="I137" s="8">
        <f>IFERROR(H137/H444, "NA")</f>
        <v>0.28882602898478471</v>
      </c>
      <c r="J137" s="9"/>
      <c r="K137" s="7">
        <v>517.09</v>
      </c>
      <c r="L137" s="8">
        <f>IFERROR(K137/K444, "NA")</f>
        <v>3.989681100960327E-3</v>
      </c>
      <c r="M137" s="9"/>
      <c r="N137" s="10">
        <f t="shared" si="29"/>
        <v>-178.25</v>
      </c>
      <c r="O137" s="8">
        <f>IFERROR(N137/N444, "NA")</f>
        <v>-9.0824832146029003E-3</v>
      </c>
      <c r="P137" s="9"/>
      <c r="Q137" s="7">
        <v>1287.72</v>
      </c>
      <c r="R137" s="8">
        <f>IFERROR(Q137/Q444, "NA")</f>
        <v>4.4895574174690133E-3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-1287.72</v>
      </c>
      <c r="X137" s="8">
        <f>IFERROR(W137/W444, "NA")</f>
        <v>-3.3422435950842773E-2</v>
      </c>
      <c r="Y137" s="9"/>
      <c r="Z137" s="7">
        <v>1026.8699999999999</v>
      </c>
      <c r="AA137" s="8">
        <f>IFERROR(Z137/Z444, "NA")</f>
        <v>4.3758270699664429E-3</v>
      </c>
      <c r="AB137" s="9"/>
      <c r="AC137" s="10">
        <f t="shared" si="31"/>
        <v>-260.85000000000014</v>
      </c>
      <c r="AD137" s="8">
        <f>IFERROR(AC137/AC444, "NA")</f>
        <v>-5.0012634972761037E-3</v>
      </c>
    </row>
    <row r="138" spans="1:30" ht="16.5" customHeight="1" x14ac:dyDescent="0.45">
      <c r="A138" s="12" t="s">
        <v>130</v>
      </c>
      <c r="B138" s="7">
        <v>7224.29</v>
      </c>
      <c r="C138" s="8">
        <f>IFERROR(B138/B444, "NA")</f>
        <v>4.8409616294140673E-2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-7224.29</v>
      </c>
      <c r="I138" s="8">
        <f>IFERROR(H138/H444, "NA")</f>
        <v>3.0007809027734496</v>
      </c>
      <c r="J138" s="9"/>
      <c r="K138" s="7">
        <v>6875.65</v>
      </c>
      <c r="L138" s="8">
        <f>IFERROR(K138/K444, "NA")</f>
        <v>5.3050050981101687E-2</v>
      </c>
      <c r="M138" s="9"/>
      <c r="N138" s="10">
        <f t="shared" si="29"/>
        <v>-348.64000000000033</v>
      </c>
      <c r="O138" s="8">
        <f>IFERROR(N138/N444, "NA")</f>
        <v>-1.776447095618041E-2</v>
      </c>
      <c r="P138" s="9"/>
      <c r="Q138" s="7">
        <v>14198.49</v>
      </c>
      <c r="R138" s="8">
        <f>IFERROR(Q138/Q444, "NA")</f>
        <v>4.9502171354300316E-2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-14198.49</v>
      </c>
      <c r="X138" s="8">
        <f>IFERROR(W138/W444, "NA")</f>
        <v>-0.36851809603305191</v>
      </c>
      <c r="Y138" s="9"/>
      <c r="Z138" s="7">
        <v>13006.83</v>
      </c>
      <c r="AA138" s="8">
        <f>IFERROR(Z138/Z444, "NA")</f>
        <v>5.5426333234442175E-2</v>
      </c>
      <c r="AB138" s="9"/>
      <c r="AC138" s="10">
        <f t="shared" si="31"/>
        <v>-1191.6599999999999</v>
      </c>
      <c r="AD138" s="8">
        <f>IFERROR(AC138/AC444, "NA")</f>
        <v>-2.2847635266107103E-2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32773.629999999997</v>
      </c>
      <c r="C141" s="15">
        <f>IFERROR(B141/B444, "NA")</f>
        <v>0.21961450230626642</v>
      </c>
      <c r="D141" s="2"/>
      <c r="E141" s="14">
        <f>IFERROR(E129+E130+E131+E132+E133+E134+E135+E136+E137+E138+E139+E140, "NA")</f>
        <v>33967.360000000001</v>
      </c>
      <c r="F141" s="15">
        <f>IFERROR(E141/E444, "NA")</f>
        <v>0.22399998522817294</v>
      </c>
      <c r="G141" s="2"/>
      <c r="H141" s="14">
        <f t="shared" si="28"/>
        <v>1193.7300000000032</v>
      </c>
      <c r="I141" s="15">
        <f>IFERROR(H141/H444, "NA")</f>
        <v>-0.49584418497426869</v>
      </c>
      <c r="J141" s="2"/>
      <c r="K141" s="14">
        <f>IFERROR(K129+K130+K131+K132+K133+K134+K135+K136+K137+K138+K139+K140, "NA")</f>
        <v>30720.47</v>
      </c>
      <c r="L141" s="15">
        <f>IFERROR(K141/K444, "NA")</f>
        <v>0.23702813547277787</v>
      </c>
      <c r="M141" s="2"/>
      <c r="N141" s="14">
        <f t="shared" si="29"/>
        <v>-2053.1599999999962</v>
      </c>
      <c r="O141" s="15">
        <f>IFERROR(N141/N444, "NA")</f>
        <v>-0.10461593961791896</v>
      </c>
      <c r="P141" s="2"/>
      <c r="Q141" s="14">
        <f>IFERROR(Q129+Q130+Q131+Q132+Q133+Q134+Q135+Q136+Q137+Q138+Q139+Q140, "NA")</f>
        <v>62627.6</v>
      </c>
      <c r="R141" s="15">
        <f>IFERROR(Q141/Q444, "NA")</f>
        <v>0.21834731627860277</v>
      </c>
      <c r="S141" s="2"/>
      <c r="T141" s="14">
        <f>IFERROR(T129+T130+T131+T132+T133+T134+T135+T136+T137+T138+T139+T140, "NA")</f>
        <v>58808.2</v>
      </c>
      <c r="U141" s="15">
        <f>IFERROR(T141/T444, "NA")</f>
        <v>0.23684620582794821</v>
      </c>
      <c r="V141" s="2"/>
      <c r="W141" s="14">
        <f t="shared" si="30"/>
        <v>-3819.4000000000015</v>
      </c>
      <c r="X141" s="15">
        <f>IFERROR(W141/W444, "NA")</f>
        <v>-9.9131528492722748E-2</v>
      </c>
      <c r="Y141" s="2"/>
      <c r="Z141" s="14">
        <f>IFERROR(Z129+Z130+Z131+Z132+Z133+Z134+Z135+Z136+Z137+Z138+Z139+Z140, "NA")</f>
        <v>55518.28</v>
      </c>
      <c r="AA141" s="15">
        <f>IFERROR(Z141/Z444, "NA")</f>
        <v>0.23658144896820105</v>
      </c>
      <c r="AB141" s="2"/>
      <c r="AC141" s="14">
        <f t="shared" si="31"/>
        <v>-7109.32</v>
      </c>
      <c r="AD141" s="15">
        <f>IFERROR(AC141/AC444, "NA")</f>
        <v>-0.13630662298813467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1505.59</v>
      </c>
      <c r="C144" s="8">
        <f>IFERROR(B144/B444, "NA")</f>
        <v>1.0088885440132559E-2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-1505.59</v>
      </c>
      <c r="I144" s="8">
        <f>IFERROR(H144/H444, "NA")</f>
        <v>0.62538266312768143</v>
      </c>
      <c r="J144" s="9"/>
      <c r="K144" s="7">
        <v>954.39</v>
      </c>
      <c r="L144" s="8">
        <f>IFERROR(K144/K444, "NA")</f>
        <v>7.3637311608144166E-3</v>
      </c>
      <c r="M144" s="9"/>
      <c r="N144" s="10">
        <f t="shared" si="33"/>
        <v>-551.19999999999993</v>
      </c>
      <c r="O144" s="8">
        <f>IFERROR(N144/N444, "NA")</f>
        <v>-2.8085636734300801E-2</v>
      </c>
      <c r="P144" s="9"/>
      <c r="Q144" s="7">
        <v>3533.47</v>
      </c>
      <c r="R144" s="8">
        <f>IFERROR(Q144/Q444, "NA")</f>
        <v>1.2319228130264523E-2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-3533.47</v>
      </c>
      <c r="X144" s="8">
        <f>IFERROR(W144/W444, "NA")</f>
        <v>-9.1710290093517541E-2</v>
      </c>
      <c r="Y144" s="9"/>
      <c r="Z144" s="7">
        <v>1667.31</v>
      </c>
      <c r="AA144" s="8">
        <f>IFERROR(Z144/Z444, "NA")</f>
        <v>7.1049502196244424E-3</v>
      </c>
      <c r="AB144" s="9"/>
      <c r="AC144" s="10">
        <f t="shared" si="35"/>
        <v>-1866.1599999999999</v>
      </c>
      <c r="AD144" s="8">
        <f>IFERROR(AC144/AC444, "NA")</f>
        <v>-3.5779788721781745E-2</v>
      </c>
    </row>
    <row r="145" spans="1:30" ht="16.5" customHeight="1" x14ac:dyDescent="0.45">
      <c r="A145" s="12" t="s">
        <v>136</v>
      </c>
      <c r="B145" s="7">
        <v>-1013.03</v>
      </c>
      <c r="C145" s="8">
        <f>IFERROR(B145/B444, "NA")</f>
        <v>-6.7882648114144534E-3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1013.03</v>
      </c>
      <c r="I145" s="8">
        <f>IFERROR(H145/H444, "NA")</f>
        <v>-0.42078613648352814</v>
      </c>
      <c r="J145" s="9"/>
      <c r="K145" s="7">
        <v>91.22</v>
      </c>
      <c r="L145" s="8">
        <f>IFERROR(K145/K444, "NA")</f>
        <v>7.038208242851361E-4</v>
      </c>
      <c r="M145" s="9"/>
      <c r="N145" s="10">
        <f t="shared" si="33"/>
        <v>1104.25</v>
      </c>
      <c r="O145" s="8">
        <f>IFERROR(N145/N444, "NA")</f>
        <v>5.6265537670267894E-2</v>
      </c>
      <c r="P145" s="9"/>
      <c r="Q145" s="7">
        <v>-982.9</v>
      </c>
      <c r="R145" s="8">
        <f>IFERROR(Q145/Q444, "NA")</f>
        <v>-3.4268210368948939E-3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982.9</v>
      </c>
      <c r="X145" s="8">
        <f>IFERROR(W145/W444, "NA")</f>
        <v>2.5510912540057905E-2</v>
      </c>
      <c r="Y145" s="9"/>
      <c r="Z145" s="7">
        <v>140.47999999999999</v>
      </c>
      <c r="AA145" s="8">
        <f>IFERROR(Z145/Z444, "NA")</f>
        <v>5.9863097255629825E-4</v>
      </c>
      <c r="AB145" s="9"/>
      <c r="AC145" s="10">
        <f t="shared" si="35"/>
        <v>1123.3799999999999</v>
      </c>
      <c r="AD145" s="8">
        <f>IFERROR(AC145/AC444, "NA")</f>
        <v>2.1538506373663124E-2</v>
      </c>
    </row>
    <row r="146" spans="1:30" ht="16.5" customHeight="1" x14ac:dyDescent="0.45">
      <c r="A146" s="12" t="s">
        <v>137</v>
      </c>
      <c r="B146" s="7">
        <v>-231.41</v>
      </c>
      <c r="C146" s="8">
        <f>IFERROR(B146/B444, "NA")</f>
        <v>-1.5506671668256802E-3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231.41</v>
      </c>
      <c r="I146" s="8">
        <f>IFERROR(H146/H444, "NA")</f>
        <v>-9.6121654683132038E-2</v>
      </c>
      <c r="J146" s="9"/>
      <c r="K146" s="7">
        <v>110.25</v>
      </c>
      <c r="L146" s="8">
        <f>IFERROR(K146/K444, "NA")</f>
        <v>8.5064948341850757E-4</v>
      </c>
      <c r="M146" s="9"/>
      <c r="N146" s="10">
        <f t="shared" si="33"/>
        <v>341.65999999999997</v>
      </c>
      <c r="O146" s="8">
        <f>IFERROR(N146/N444, "NA")</f>
        <v>1.7408814670974621E-2</v>
      </c>
      <c r="P146" s="9"/>
      <c r="Q146" s="7">
        <v>481.35</v>
      </c>
      <c r="R146" s="8">
        <f>IFERROR(Q146/Q444, "NA")</f>
        <v>1.6781974830698517E-3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-481.35</v>
      </c>
      <c r="X146" s="8">
        <f>IFERROR(W146/W444, "NA")</f>
        <v>-1.2493313410476013E-2</v>
      </c>
      <c r="Y146" s="9"/>
      <c r="Z146" s="7">
        <v>329.37</v>
      </c>
      <c r="AA146" s="8">
        <f>IFERROR(Z146/Z444, "NA")</f>
        <v>1.403552700960051E-3</v>
      </c>
      <c r="AB146" s="9"/>
      <c r="AC146" s="10">
        <f t="shared" si="35"/>
        <v>-151.98000000000002</v>
      </c>
      <c r="AD146" s="8">
        <f>IFERROR(AC146/AC444, "NA")</f>
        <v>-2.9139046437263636E-3</v>
      </c>
    </row>
    <row r="147" spans="1:30" ht="16.5" customHeight="1" x14ac:dyDescent="0.45">
      <c r="A147" s="12" t="s">
        <v>138</v>
      </c>
      <c r="B147" s="7">
        <v>27.78</v>
      </c>
      <c r="C147" s="8">
        <f>IFERROR(B147/B444, "NA")</f>
        <v>1.8615243029435806E-4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-27.78</v>
      </c>
      <c r="I147" s="8">
        <f>IFERROR(H147/H444, "NA")</f>
        <v>1.1539084599185031E-2</v>
      </c>
      <c r="J147" s="9"/>
      <c r="K147" s="7">
        <v>22.73</v>
      </c>
      <c r="L147" s="8">
        <f>IFERROR(K147/K444, "NA")</f>
        <v>1.7537653295331227E-4</v>
      </c>
      <c r="M147" s="9"/>
      <c r="N147" s="10">
        <f t="shared" si="33"/>
        <v>-5.0500000000000007</v>
      </c>
      <c r="O147" s="8">
        <f>IFERROR(N147/N444, "NA")</f>
        <v>-2.573157937376979E-4</v>
      </c>
      <c r="P147" s="9"/>
      <c r="Q147" s="7">
        <v>44.8</v>
      </c>
      <c r="R147" s="8">
        <f>IFERROR(Q147/Q444, "NA")</f>
        <v>1.561924737540861E-4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-44.8</v>
      </c>
      <c r="X147" s="8">
        <f>IFERROR(W147/W444, "NA")</f>
        <v>-1.1627722879179916E-3</v>
      </c>
      <c r="Y147" s="9"/>
      <c r="Z147" s="7">
        <v>78.13</v>
      </c>
      <c r="AA147" s="8">
        <f>IFERROR(Z147/Z444, "NA")</f>
        <v>3.3293734258131819E-4</v>
      </c>
      <c r="AB147" s="9"/>
      <c r="AC147" s="10">
        <f t="shared" si="35"/>
        <v>33.33</v>
      </c>
      <c r="AD147" s="8">
        <f>IFERROR(AC147/AC444, "NA")</f>
        <v>6.3903435830635401E-4</v>
      </c>
    </row>
    <row r="148" spans="1:30" ht="16.5" customHeight="1" x14ac:dyDescent="0.45">
      <c r="A148" s="13" t="s">
        <v>139</v>
      </c>
      <c r="B148" s="14">
        <f>IFERROR(B143+B144+B145+B146+B147, "NA")</f>
        <v>288.92999999999995</v>
      </c>
      <c r="C148" s="15">
        <f>IFERROR(B148/B444, "NA")</f>
        <v>1.9361058921867841E-3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-288.92999999999995</v>
      </c>
      <c r="I148" s="15">
        <f>IFERROR(H148/H444, "NA")</f>
        <v>0.12001395656020628</v>
      </c>
      <c r="J148" s="2"/>
      <c r="K148" s="14">
        <f>IFERROR(K143+K144+K145+K146+K147, "NA")</f>
        <v>1178.5899999999999</v>
      </c>
      <c r="L148" s="15">
        <f>IFERROR(K148/K444, "NA")</f>
        <v>9.0935780014713714E-3</v>
      </c>
      <c r="M148" s="2"/>
      <c r="N148" s="14">
        <f t="shared" si="33"/>
        <v>889.66</v>
      </c>
      <c r="O148" s="15">
        <f>IFERROR(N148/N444, "NA")</f>
        <v>4.5331399813204012E-2</v>
      </c>
      <c r="P148" s="2"/>
      <c r="Q148" s="14">
        <f>IFERROR(Q143+Q144+Q145+Q146+Q147, "NA")</f>
        <v>3076.72</v>
      </c>
      <c r="R148" s="15">
        <f>IFERROR(Q148/Q444, "NA")</f>
        <v>1.0726797050193568E-2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-3076.72</v>
      </c>
      <c r="X148" s="15">
        <f>IFERROR(W148/W444, "NA")</f>
        <v>-7.9855463251853651E-2</v>
      </c>
      <c r="Y148" s="2"/>
      <c r="Z148" s="14">
        <f>IFERROR(Z143+Z144+Z145+Z146+Z147, "NA")</f>
        <v>2215.29</v>
      </c>
      <c r="AA148" s="15">
        <f>IFERROR(Z148/Z444, "NA")</f>
        <v>9.4400712357221098E-3</v>
      </c>
      <c r="AB148" s="2"/>
      <c r="AC148" s="14">
        <f t="shared" si="35"/>
        <v>-861.42999999999984</v>
      </c>
      <c r="AD148" s="15">
        <f>IFERROR(AC148/AC444, "NA")</f>
        <v>-1.6516152633538627E-2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33062.55999999999</v>
      </c>
      <c r="C149" s="15">
        <f>IFERROR(B149/B444, "NA")</f>
        <v>0.22155060819845315</v>
      </c>
      <c r="D149" s="2"/>
      <c r="E149" s="14">
        <f>IFERROR(E127+E129+E130+E131+E132+E133+E134+E135+E136+E137+E138+E139+E140+E143+E144+E145+E146+E147, "NA")</f>
        <v>33967.360000000001</v>
      </c>
      <c r="F149" s="15">
        <f>IFERROR(E149/E444, "NA")</f>
        <v>0.22399998522817294</v>
      </c>
      <c r="G149" s="2"/>
      <c r="H149" s="14">
        <f t="shared" si="32"/>
        <v>904.80000000001019</v>
      </c>
      <c r="I149" s="15">
        <f>IFERROR(H149/H444, "NA")</f>
        <v>-0.37583022841406527</v>
      </c>
      <c r="J149" s="2"/>
      <c r="K149" s="14">
        <f>IFERROR(K127+K129+K130+K131+K132+K133+K134+K135+K136+K137+K138+K139+K140+K143+K144+K145+K146+K147, "NA")</f>
        <v>31899.06</v>
      </c>
      <c r="L149" s="15">
        <f>IFERROR(K149/K444, "NA")</f>
        <v>0.24612171347424924</v>
      </c>
      <c r="M149" s="2"/>
      <c r="N149" s="14">
        <f t="shared" si="33"/>
        <v>-1163.4999999999891</v>
      </c>
      <c r="O149" s="15">
        <f>IFERROR(N149/N444, "NA")</f>
        <v>-5.9284539804714584E-2</v>
      </c>
      <c r="P149" s="2"/>
      <c r="Q149" s="14">
        <f>IFERROR(Q127+Q129+Q130+Q131+Q132+Q133+Q134+Q135+Q136+Q137+Q138+Q139+Q140+Q143+Q144+Q145+Q146+Q147, "NA")</f>
        <v>65704.319999999992</v>
      </c>
      <c r="R149" s="15">
        <f>IFERROR(Q149/Q444, "NA")</f>
        <v>0.22907411332879632</v>
      </c>
      <c r="S149" s="2"/>
      <c r="T149" s="14">
        <f>IFERROR(T127+T129+T130+T131+T132+T133+T134+T135+T136+T137+T138+T139+T140+T143+T144+T145+T146+T147, "NA")</f>
        <v>58808.2</v>
      </c>
      <c r="U149" s="15">
        <f>IFERROR(T149/T444, "NA")</f>
        <v>0.23684620582794821</v>
      </c>
      <c r="V149" s="2"/>
      <c r="W149" s="14">
        <f t="shared" si="34"/>
        <v>-6896.1199999999953</v>
      </c>
      <c r="X149" s="15">
        <f>IFERROR(W149/W444, "NA")</f>
        <v>-0.17898699174457625</v>
      </c>
      <c r="Y149" s="2"/>
      <c r="Z149" s="14">
        <f>IFERROR(Z127+Z129+Z130+Z131+Z132+Z133+Z134+Z135+Z136+Z137+Z138+Z139+Z140+Z143+Z144+Z145+Z146+Z147, "NA")</f>
        <v>57733.57</v>
      </c>
      <c r="AA149" s="15">
        <f>IFERROR(Z149/Z444, "NA")</f>
        <v>0.24602152020392315</v>
      </c>
      <c r="AB149" s="2"/>
      <c r="AC149" s="14">
        <f t="shared" si="35"/>
        <v>-7970.7499999999927</v>
      </c>
      <c r="AD149" s="15">
        <f>IFERROR(AC149/AC444, "NA")</f>
        <v>-0.15282277562167318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3639.36</v>
      </c>
      <c r="F153" s="8">
        <f>IFERROR(E153/E444, "NA")</f>
        <v>2.3999998417304245E-2</v>
      </c>
      <c r="G153" s="9"/>
      <c r="H153" s="10">
        <f t="shared" ref="H153:H158" si="36">IFERROR(-(B153-E153), "NA")</f>
        <v>3639.36</v>
      </c>
      <c r="I153" s="8">
        <f>IFERROR(H153/H444, "NA")</f>
        <v>-1.5116948497800589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5959.13</v>
      </c>
      <c r="U153" s="8">
        <f>IFERROR(T153/T444, "NA")</f>
        <v>2.4000009021454511E-2</v>
      </c>
      <c r="V153" s="9"/>
      <c r="W153" s="10">
        <f t="shared" ref="W153:W158" si="38">IFERROR(-(Q153-T153), "NA")</f>
        <v>5959.13</v>
      </c>
      <c r="X153" s="8">
        <f>IFERROR(W153/W444, "NA")</f>
        <v>0.15466766125224871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3806.29</v>
      </c>
      <c r="C154" s="8">
        <f>IFERROR(B154/B444, "NA")</f>
        <v>2.550576435943528E-2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-3806.29</v>
      </c>
      <c r="I154" s="8">
        <f>IFERROR(H154/H444, "NA")</f>
        <v>1.5810332008290853</v>
      </c>
      <c r="J154" s="9"/>
      <c r="K154" s="7">
        <v>3894.52</v>
      </c>
      <c r="L154" s="8">
        <f>IFERROR(K154/K444, "NA")</f>
        <v>3.0048720418712434E-2</v>
      </c>
      <c r="M154" s="9"/>
      <c r="N154" s="10">
        <f t="shared" si="37"/>
        <v>88.230000000000018</v>
      </c>
      <c r="O154" s="8">
        <f>IFERROR(N154/N444, "NA")</f>
        <v>4.4956381151439774E-3</v>
      </c>
      <c r="P154" s="9"/>
      <c r="Q154" s="7">
        <v>7168.91</v>
      </c>
      <c r="R154" s="8">
        <f>IFERROR(Q154/Q444, "NA")</f>
        <v>2.4993968460276909E-2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-7168.91</v>
      </c>
      <c r="X154" s="8">
        <f>IFERROR(W154/W444, "NA")</f>
        <v>-0.186067184878977</v>
      </c>
      <c r="Y154" s="9"/>
      <c r="Z154" s="7">
        <v>7461.91</v>
      </c>
      <c r="AA154" s="8">
        <f>IFERROR(Z154/Z444, "NA")</f>
        <v>3.1797625572519701E-2</v>
      </c>
      <c r="AB154" s="9"/>
      <c r="AC154" s="10">
        <f t="shared" si="39"/>
        <v>293</v>
      </c>
      <c r="AD154" s="8">
        <f>IFERROR(AC154/AC444, "NA")</f>
        <v>5.6176737768905416E-3</v>
      </c>
    </row>
    <row r="155" spans="1:30" ht="16.5" customHeight="1" x14ac:dyDescent="0.45">
      <c r="A155" s="12" t="s">
        <v>144</v>
      </c>
      <c r="B155" s="7">
        <v>2143.84</v>
      </c>
      <c r="C155" s="8">
        <f>IFERROR(B155/B444, "NA")</f>
        <v>1.4365767680426803E-2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-2143.84</v>
      </c>
      <c r="I155" s="8">
        <f>IFERROR(H155/H444, "NA")</f>
        <v>0.8904950009761281</v>
      </c>
      <c r="J155" s="9"/>
      <c r="K155" s="7">
        <v>2682.66</v>
      </c>
      <c r="L155" s="8">
        <f>IFERROR(K155/K444, "NA")</f>
        <v>2.0698443022108784E-2</v>
      </c>
      <c r="M155" s="9"/>
      <c r="N155" s="10">
        <f t="shared" si="37"/>
        <v>538.81999999999971</v>
      </c>
      <c r="O155" s="8">
        <f>IFERROR(N155/N444, "NA")</f>
        <v>2.745483088747451E-2</v>
      </c>
      <c r="P155" s="9"/>
      <c r="Q155" s="7">
        <v>4417.28</v>
      </c>
      <c r="R155" s="8">
        <f>IFERROR(Q155/Q444, "NA")</f>
        <v>1.540057791215289E-2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-4417.28</v>
      </c>
      <c r="X155" s="8">
        <f>IFERROR(W155/W444, "NA")</f>
        <v>-0.11464934758871398</v>
      </c>
      <c r="Y155" s="9"/>
      <c r="Z155" s="7">
        <v>4577.6099999999997</v>
      </c>
      <c r="AA155" s="8">
        <f>IFERROR(Z155/Z444, "NA")</f>
        <v>1.9506685124454987E-2</v>
      </c>
      <c r="AB155" s="9"/>
      <c r="AC155" s="10">
        <f t="shared" si="39"/>
        <v>160.32999999999993</v>
      </c>
      <c r="AD155" s="8">
        <f>IFERROR(AC155/AC444, "NA")</f>
        <v>3.0739987598937205E-3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190.79</v>
      </c>
      <c r="AA156" s="8">
        <f>IFERROR(Z156/Z444, "NA")</f>
        <v>8.1301824639817876E-4</v>
      </c>
      <c r="AB156" s="9"/>
      <c r="AC156" s="10">
        <f t="shared" si="39"/>
        <v>190.79</v>
      </c>
      <c r="AD156" s="8">
        <f>IFERROR(AC156/AC444, "NA")</f>
        <v>3.6580067573138099E-3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5950.13</v>
      </c>
      <c r="C158" s="15">
        <f>IFERROR(B158/B444, "NA")</f>
        <v>3.987153203986208E-2</v>
      </c>
      <c r="D158" s="2"/>
      <c r="E158" s="14">
        <f>IFERROR(E153+E154+E155+E156+E157, "NA")</f>
        <v>3639.36</v>
      </c>
      <c r="F158" s="15">
        <f>IFERROR(E158/E444, "NA")</f>
        <v>2.3999998417304245E-2</v>
      </c>
      <c r="G158" s="2"/>
      <c r="H158" s="14">
        <f t="shared" si="36"/>
        <v>-2310.77</v>
      </c>
      <c r="I158" s="15">
        <f>IFERROR(H158/H444, "NA")</f>
        <v>0.95983335202515452</v>
      </c>
      <c r="J158" s="2"/>
      <c r="K158" s="14">
        <f>IFERROR(K153+K154+K155+K156+K157, "NA")</f>
        <v>6577.18</v>
      </c>
      <c r="L158" s="15">
        <f>IFERROR(K158/K444, "NA")</f>
        <v>5.0747163440821225E-2</v>
      </c>
      <c r="M158" s="2"/>
      <c r="N158" s="14">
        <f t="shared" si="37"/>
        <v>627.05000000000018</v>
      </c>
      <c r="O158" s="15">
        <f>IFERROR(N158/N444, "NA")</f>
        <v>3.1950469002618512E-2</v>
      </c>
      <c r="P158" s="2"/>
      <c r="Q158" s="14">
        <f>IFERROR(Q153+Q154+Q155+Q156+Q157, "NA")</f>
        <v>11586.189999999999</v>
      </c>
      <c r="R158" s="15">
        <f>IFERROR(Q158/Q444, "NA")</f>
        <v>4.0394546372429799E-2</v>
      </c>
      <c r="S158" s="2"/>
      <c r="T158" s="14">
        <f>IFERROR(T153+T154+T155+T156+T157, "NA")</f>
        <v>5959.13</v>
      </c>
      <c r="U158" s="15">
        <f>IFERROR(T158/T444, "NA")</f>
        <v>2.4000009021454511E-2</v>
      </c>
      <c r="V158" s="2"/>
      <c r="W158" s="14">
        <f t="shared" si="38"/>
        <v>-5627.0599999999986</v>
      </c>
      <c r="X158" s="15">
        <f>IFERROR(W158/W444, "NA")</f>
        <v>-0.14604887121544224</v>
      </c>
      <c r="Y158" s="2"/>
      <c r="Z158" s="14">
        <f>IFERROR(Z153+Z154+Z155+Z156+Z157, "NA")</f>
        <v>12230.310000000001</v>
      </c>
      <c r="AA158" s="15">
        <f>IFERROR(Z158/Z444, "NA")</f>
        <v>5.211732894337287E-2</v>
      </c>
      <c r="AB158" s="2"/>
      <c r="AC158" s="14">
        <f t="shared" si="39"/>
        <v>644.12000000000262</v>
      </c>
      <c r="AD158" s="15">
        <f>IFERROR(AC158/AC444, "NA")</f>
        <v>1.2349679294098123E-2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114.31</v>
      </c>
      <c r="C161" s="8">
        <f>IFERROR(B161/B444, "NA")</f>
        <v>7.6598575618963527E-4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-114.31</v>
      </c>
      <c r="I161" s="8">
        <f>IFERROR(H161/H444, "NA")</f>
        <v>4.7481380868712779E-2</v>
      </c>
      <c r="J161" s="9"/>
      <c r="K161" s="7">
        <v>357.14</v>
      </c>
      <c r="L161" s="8">
        <f>IFERROR(K161/K444, "NA")</f>
        <v>2.7555642313658573E-3</v>
      </c>
      <c r="M161" s="9"/>
      <c r="N161" s="10">
        <f t="shared" si="41"/>
        <v>242.82999999999998</v>
      </c>
      <c r="O161" s="8">
        <f>IFERROR(N161/N444, "NA")</f>
        <v>1.2373068157094092E-2</v>
      </c>
      <c r="P161" s="9"/>
      <c r="Q161" s="7">
        <v>171.49</v>
      </c>
      <c r="R161" s="8">
        <f>IFERROR(Q161/Q444, "NA")</f>
        <v>5.9788944919839798E-4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-171.49</v>
      </c>
      <c r="X161" s="8">
        <f>IFERROR(W161/W444, "NA")</f>
        <v>-4.4509781173003669E-3</v>
      </c>
      <c r="Y161" s="9"/>
      <c r="Z161" s="7">
        <v>642.72</v>
      </c>
      <c r="AA161" s="8">
        <f>IFERROR(Z161/Z444, "NA")</f>
        <v>2.7388389712513102E-3</v>
      </c>
      <c r="AB161" s="9"/>
      <c r="AC161" s="10">
        <f t="shared" si="43"/>
        <v>471.23</v>
      </c>
      <c r="AD161" s="8">
        <f>IFERROR(AC161/AC444, "NA")</f>
        <v>9.0348683067717744E-3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114.31</v>
      </c>
      <c r="C166" s="15">
        <f>IFERROR(B166/B444, "NA")</f>
        <v>7.6598575618963527E-4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-114.31</v>
      </c>
      <c r="I166" s="15">
        <f>IFERROR(H166/H444, "NA")</f>
        <v>4.7481380868712779E-2</v>
      </c>
      <c r="J166" s="2"/>
      <c r="K166" s="14">
        <f>IFERROR(K160+K161+K162+K163+K164+K165, "NA")</f>
        <v>357.14</v>
      </c>
      <c r="L166" s="15">
        <f>IFERROR(K166/K444, "NA")</f>
        <v>2.7555642313658573E-3</v>
      </c>
      <c r="M166" s="2"/>
      <c r="N166" s="14">
        <f t="shared" si="41"/>
        <v>242.82999999999998</v>
      </c>
      <c r="O166" s="15">
        <f>IFERROR(N166/N444, "NA")</f>
        <v>1.2373068157094092E-2</v>
      </c>
      <c r="P166" s="2"/>
      <c r="Q166" s="14">
        <f>IFERROR(Q160+Q161+Q162+Q163+Q164+Q165, "NA")</f>
        <v>171.49</v>
      </c>
      <c r="R166" s="15">
        <f>IFERROR(Q166/Q444, "NA")</f>
        <v>5.9788944919839798E-4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-171.49</v>
      </c>
      <c r="X166" s="15">
        <f>IFERROR(W166/W444, "NA")</f>
        <v>-4.4509781173003669E-3</v>
      </c>
      <c r="Y166" s="2"/>
      <c r="Z166" s="14">
        <f>IFERROR(Z160+Z161+Z162+Z163+Z164+Z165, "NA")</f>
        <v>642.72</v>
      </c>
      <c r="AA166" s="15">
        <f>IFERROR(Z166/Z444, "NA")</f>
        <v>2.7388389712513102E-3</v>
      </c>
      <c r="AB166" s="2"/>
      <c r="AC166" s="14">
        <f t="shared" si="43"/>
        <v>471.23</v>
      </c>
      <c r="AD166" s="15">
        <f>IFERROR(AC166/AC444, "NA")</f>
        <v>9.0348683067717744E-3</v>
      </c>
    </row>
    <row r="167" spans="1:30" ht="16.5" customHeight="1" x14ac:dyDescent="0.45">
      <c r="A167" s="6" t="s">
        <v>155</v>
      </c>
      <c r="B167" s="7">
        <v>94.8</v>
      </c>
      <c r="C167" s="8">
        <f>IFERROR(B167/B444, "NA")</f>
        <v>6.3525019409305767E-4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-94.8</v>
      </c>
      <c r="I167" s="8">
        <f>IFERROR(H167/H444, "NA")</f>
        <v>3.9377437725080663E-2</v>
      </c>
      <c r="J167" s="9"/>
      <c r="K167" s="7">
        <v>227.01</v>
      </c>
      <c r="L167" s="8">
        <f>IFERROR(K167/K444, "NA")</f>
        <v>1.751527793476965E-3</v>
      </c>
      <c r="M167" s="9"/>
      <c r="N167" s="10">
        <f t="shared" si="41"/>
        <v>132.20999999999998</v>
      </c>
      <c r="O167" s="8">
        <f>IFERROR(N167/N444, "NA")</f>
        <v>6.7365784336754515E-3</v>
      </c>
      <c r="P167" s="9"/>
      <c r="Q167" s="7">
        <v>211.47</v>
      </c>
      <c r="R167" s="8">
        <f>IFERROR(Q167/Q444, "NA")</f>
        <v>7.3727728626733465E-4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-211.47</v>
      </c>
      <c r="X167" s="8">
        <f>IFERROR(W167/W444, "NA")</f>
        <v>-5.4886485653128951E-3</v>
      </c>
      <c r="Y167" s="9"/>
      <c r="Z167" s="7">
        <v>438.11</v>
      </c>
      <c r="AA167" s="8">
        <f>IFERROR(Z167/Z444, "NA")</f>
        <v>1.8669292097568326E-3</v>
      </c>
      <c r="AB167" s="9"/>
      <c r="AC167" s="10">
        <f t="shared" si="43"/>
        <v>226.64000000000001</v>
      </c>
      <c r="AD167" s="8">
        <f>IFERROR(AC167/AC444, "NA")</f>
        <v>4.3453569446910319E-3</v>
      </c>
    </row>
    <row r="168" spans="1:30" ht="16.5" customHeight="1" x14ac:dyDescent="0.45">
      <c r="A168" s="6" t="s">
        <v>156</v>
      </c>
      <c r="B168" s="7">
        <v>47.8</v>
      </c>
      <c r="C168" s="8">
        <f>IFERROR(B168/B444, "NA")</f>
        <v>3.2030547761232231E-4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-47.8</v>
      </c>
      <c r="I168" s="8">
        <f>IFERROR(H168/H444, "NA")</f>
        <v>1.9854868388806495E-2</v>
      </c>
      <c r="J168" s="9"/>
      <c r="K168" s="7">
        <v>50</v>
      </c>
      <c r="L168" s="8">
        <f>IFERROR(K168/K444, "NA")</f>
        <v>3.8578207864784923E-4</v>
      </c>
      <c r="M168" s="9"/>
      <c r="N168" s="10">
        <f t="shared" si="41"/>
        <v>2.2000000000000028</v>
      </c>
      <c r="O168" s="8">
        <f>IFERROR(N168/N444, "NA")</f>
        <v>1.1209796954909623E-4</v>
      </c>
      <c r="P168" s="9"/>
      <c r="Q168" s="7">
        <v>95.4</v>
      </c>
      <c r="R168" s="8">
        <f>IFERROR(Q168/Q444, "NA")</f>
        <v>3.3260629455669234E-4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-95.4</v>
      </c>
      <c r="X168" s="8">
        <f>IFERROR(W168/W444, "NA")</f>
        <v>-2.4760820595396524E-3</v>
      </c>
      <c r="Y168" s="9"/>
      <c r="Z168" s="7">
        <v>95.9</v>
      </c>
      <c r="AA168" s="8">
        <f>IFERROR(Z168/Z444, "NA")</f>
        <v>4.0866109245550261E-4</v>
      </c>
      <c r="AB168" s="9"/>
      <c r="AC168" s="10">
        <f t="shared" si="43"/>
        <v>0.5</v>
      </c>
      <c r="AD168" s="8">
        <f>IFERROR(AC168/AC444, "NA")</f>
        <v>9.586474021997511E-6</v>
      </c>
    </row>
    <row r="169" spans="1:30" ht="16.5" customHeight="1" x14ac:dyDescent="0.45">
      <c r="A169" s="6" t="s">
        <v>157</v>
      </c>
      <c r="B169" s="7">
        <v>-2229.5100000000002</v>
      </c>
      <c r="C169" s="8">
        <f>IFERROR(B169/B444, "NA")</f>
        <v>-1.4939838188105624E-2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2229.5100000000002</v>
      </c>
      <c r="I169" s="8">
        <f>IFERROR(H169/H444, "NA")</f>
        <v>-0.92608007576418361</v>
      </c>
      <c r="J169" s="9"/>
      <c r="K169" s="7">
        <v>-1335.54</v>
      </c>
      <c r="L169" s="8">
        <f>IFERROR(K169/K444, "NA")</f>
        <v>-1.030454794634697E-2</v>
      </c>
      <c r="M169" s="9"/>
      <c r="N169" s="10">
        <f t="shared" si="41"/>
        <v>893.97000000000025</v>
      </c>
      <c r="O169" s="8">
        <f>IFERROR(N169/N444, "NA")</f>
        <v>4.5551009926275213E-2</v>
      </c>
      <c r="P169" s="9"/>
      <c r="Q169" s="7">
        <v>-4221.9799999999996</v>
      </c>
      <c r="R169" s="8">
        <f>IFERROR(Q169/Q444, "NA")</f>
        <v>-1.4719676346881171E-2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4221.9799999999996</v>
      </c>
      <c r="X169" s="8">
        <f>IFERROR(W169/W444, "NA")</f>
        <v>0.10958038714607148</v>
      </c>
      <c r="Y169" s="9"/>
      <c r="Z169" s="7">
        <v>-3780.63</v>
      </c>
      <c r="AA169" s="8">
        <f>IFERROR(Z169/Z444, "NA")</f>
        <v>-1.611049411856149E-2</v>
      </c>
      <c r="AB169" s="9"/>
      <c r="AC169" s="10">
        <f t="shared" si="43"/>
        <v>441.34999999999945</v>
      </c>
      <c r="AD169" s="8">
        <f>IFERROR(AC169/AC444, "NA")</f>
        <v>8.4619806192171923E-3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3977.5300000000007</v>
      </c>
      <c r="C170" s="15">
        <f>IFERROR(B170/B444, "NA")</f>
        <v>2.665323527965148E-2</v>
      </c>
      <c r="D170" s="2"/>
      <c r="E170" s="14">
        <f>IFERROR(E151+E153+E154+E155+E156+E157+E160+E161+E162+E163+E164+E165+E167+E168+E169, "NA")</f>
        <v>3639.36</v>
      </c>
      <c r="F170" s="15">
        <f>IFERROR(E170/E444, "NA")</f>
        <v>2.3999998417304245E-2</v>
      </c>
      <c r="G170" s="2"/>
      <c r="H170" s="14">
        <f t="shared" si="40"/>
        <v>-338.17000000000053</v>
      </c>
      <c r="I170" s="15">
        <f>IFERROR(H170/H444, "NA")</f>
        <v>0.14046696324357119</v>
      </c>
      <c r="J170" s="2"/>
      <c r="K170" s="14">
        <f>IFERROR(K151+K153+K154+K155+K156+K157+K160+K161+K162+K163+K164+K165+K167+K168+K169, "NA")</f>
        <v>5875.7900000000009</v>
      </c>
      <c r="L170" s="15">
        <f>IFERROR(K170/K444, "NA")</f>
        <v>4.5335489597964927E-2</v>
      </c>
      <c r="M170" s="2"/>
      <c r="N170" s="14">
        <f t="shared" si="41"/>
        <v>1898.2600000000002</v>
      </c>
      <c r="O170" s="15">
        <f>IFERROR(N170/N444, "NA")</f>
        <v>9.6723223489212348E-2</v>
      </c>
      <c r="P170" s="2"/>
      <c r="Q170" s="14">
        <f>IFERROR(Q151+Q153+Q154+Q155+Q156+Q157+Q160+Q161+Q162+Q163+Q164+Q165+Q167+Q168+Q169, "NA")</f>
        <v>7842.5699999999979</v>
      </c>
      <c r="R170" s="15">
        <f>IFERROR(Q170/Q444, "NA")</f>
        <v>2.7342643055571044E-2</v>
      </c>
      <c r="S170" s="2"/>
      <c r="T170" s="14">
        <f>IFERROR(T151+T153+T154+T155+T156+T157+T160+T161+T162+T163+T164+T165+T167+T168+T169, "NA")</f>
        <v>5959.13</v>
      </c>
      <c r="U170" s="15">
        <f>IFERROR(T170/T444, "NA")</f>
        <v>2.4000009021454511E-2</v>
      </c>
      <c r="V170" s="2"/>
      <c r="W170" s="14">
        <f t="shared" si="42"/>
        <v>-1883.4399999999978</v>
      </c>
      <c r="X170" s="15">
        <f>IFERROR(W170/W444, "NA")</f>
        <v>-4.8884192811523654E-2</v>
      </c>
      <c r="Y170" s="2"/>
      <c r="Z170" s="14">
        <f>IFERROR(Z151+Z153+Z154+Z155+Z156+Z157+Z160+Z161+Z162+Z163+Z164+Z165+Z167+Z168+Z169, "NA")</f>
        <v>9626.41</v>
      </c>
      <c r="AA170" s="15">
        <f>IFERROR(Z170/Z444, "NA")</f>
        <v>4.1021264098275022E-2</v>
      </c>
      <c r="AB170" s="2"/>
      <c r="AC170" s="14">
        <f t="shared" si="43"/>
        <v>1783.840000000002</v>
      </c>
      <c r="AD170" s="15">
        <f>IFERROR(AC170/AC444, "NA")</f>
        <v>3.4201471638800114E-2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37040.089999999989</v>
      </c>
      <c r="C171" s="15">
        <f>IFERROR(B171/B444, "NA")</f>
        <v>0.24820384347810462</v>
      </c>
      <c r="D171" s="2"/>
      <c r="E171" s="14">
        <f>IFERROR(E127+E129+E130+E131+E132+E133+E134+E135+E136+E137+E138+E139+E140+E143+E144+E145+E146+E147+E151+E153+E154+E155+E156+E157+E160+E161+E162+E163+E164+E165+E167+E168+E169, "NA")</f>
        <v>37606.720000000001</v>
      </c>
      <c r="F171" s="15">
        <f>IFERROR(E171/E444, "NA")</f>
        <v>0.24799998364547721</v>
      </c>
      <c r="G171" s="2"/>
      <c r="H171" s="14">
        <f t="shared" si="40"/>
        <v>566.63000000001193</v>
      </c>
      <c r="I171" s="15">
        <f>IFERROR(H171/H444, "NA")</f>
        <v>-0.23536326517049502</v>
      </c>
      <c r="J171" s="2"/>
      <c r="K171" s="14">
        <f>IFERROR(K127+K129+K130+K131+K132+K133+K134+K135+K136+K137+K138+K139+K140+K143+K144+K145+K146+K147+K151+K153+K154+K155+K156+K157+K160+K161+K162+K163+K164+K165+K167+K168+K169, "NA")</f>
        <v>37774.850000000006</v>
      </c>
      <c r="L171" s="15">
        <f>IFERROR(K171/K444, "NA")</f>
        <v>0.29145720307221418</v>
      </c>
      <c r="M171" s="2"/>
      <c r="N171" s="14">
        <f t="shared" si="41"/>
        <v>734.76000000001659</v>
      </c>
      <c r="O171" s="15">
        <f>IFERROR(N171/N444, "NA")</f>
        <v>3.7438683684498049E-2</v>
      </c>
      <c r="P171" s="2"/>
      <c r="Q171" s="14">
        <f>IFERROR(Q127+Q129+Q130+Q131+Q132+Q133+Q134+Q135+Q136+Q137+Q138+Q139+Q140+Q143+Q144+Q145+Q146+Q147+Q151+Q153+Q154+Q155+Q156+Q157+Q160+Q161+Q162+Q163+Q164+Q165+Q167+Q168+Q169, "NA")</f>
        <v>73546.89</v>
      </c>
      <c r="R171" s="15">
        <f>IFERROR(Q171/Q444, "NA")</f>
        <v>0.25641675638436739</v>
      </c>
      <c r="S171" s="2"/>
      <c r="T171" s="14">
        <f>IFERROR(T127+T129+T130+T131+T132+T133+T134+T135+T136+T137+T138+T139+T140+T143+T144+T145+T146+T147+T151+T153+T154+T155+T156+T157+T160+T161+T162+T163+T164+T165+T167+T168+T169, "NA")</f>
        <v>64767.329999999994</v>
      </c>
      <c r="U171" s="15">
        <f>IFERROR(T171/T444, "NA")</f>
        <v>0.26084621484940274</v>
      </c>
      <c r="V171" s="2"/>
      <c r="W171" s="14">
        <f t="shared" si="42"/>
        <v>-8779.5600000000049</v>
      </c>
      <c r="X171" s="15">
        <f>IFERROR(W171/W444, "NA")</f>
        <v>-0.2278711845561002</v>
      </c>
      <c r="Y171" s="2"/>
      <c r="Z171" s="14">
        <f>IFERROR(Z127+Z129+Z130+Z131+Z132+Z133+Z134+Z135+Z136+Z137+Z138+Z139+Z140+Z143+Z144+Z145+Z146+Z147+Z151+Z153+Z154+Z155+Z156+Z157+Z160+Z161+Z162+Z163+Z164+Z165+Z167+Z168+Z169, "NA")</f>
        <v>67359.979999999981</v>
      </c>
      <c r="AA171" s="15">
        <f>IFERROR(Z171/Z444, "NA")</f>
        <v>0.2870427843021981</v>
      </c>
      <c r="AB171" s="2"/>
      <c r="AC171" s="14">
        <f t="shared" si="43"/>
        <v>-6186.910000000018</v>
      </c>
      <c r="AD171" s="15">
        <f>IFERROR(AC171/AC444, "NA")</f>
        <v>-0.11862130398287359</v>
      </c>
    </row>
    <row r="172" spans="1:30" ht="16.5" customHeight="1" x14ac:dyDescent="0.45">
      <c r="A172" s="22" t="s">
        <v>160</v>
      </c>
      <c r="B172" s="23">
        <f>IFERROR(B124-B171, "NA")</f>
        <v>112192.44999999998</v>
      </c>
      <c r="C172" s="24">
        <f>IFERROR(B172/B444, "NA")</f>
        <v>0.75179615652189513</v>
      </c>
      <c r="D172" s="25"/>
      <c r="E172" s="23">
        <f>IFERROR(E124-E171, "NA")</f>
        <v>114033.29000000001</v>
      </c>
      <c r="F172" s="24">
        <f>IFERROR(E172/E444, "NA")</f>
        <v>0.75200001635452285</v>
      </c>
      <c r="G172" s="25"/>
      <c r="H172" s="23">
        <f>IFERROR(B172-E172, "NA")</f>
        <v>-1840.8400000000256</v>
      </c>
      <c r="I172" s="24">
        <f>IFERROR(H172/H444, "NA")</f>
        <v>0.7646367348295201</v>
      </c>
      <c r="J172" s="25"/>
      <c r="K172" s="23">
        <f>IFERROR(K124-K171, "NA")</f>
        <v>91831.999999999971</v>
      </c>
      <c r="L172" s="24">
        <f>IFERROR(K172/K444, "NA")</f>
        <v>0.70854279692778555</v>
      </c>
      <c r="M172" s="25"/>
      <c r="N172" s="23">
        <f>IFERROR(B172-K172, "NA")</f>
        <v>20360.450000000012</v>
      </c>
      <c r="O172" s="24">
        <f>IFERROR(N172/N444, "NA")</f>
        <v>1.0374386836844978</v>
      </c>
      <c r="P172" s="25"/>
      <c r="Q172" s="23">
        <f>IFERROR(Q124-Q171, "NA")</f>
        <v>213278.71000000008</v>
      </c>
      <c r="R172" s="24">
        <f>IFERROR(Q172/Q444, "NA")</f>
        <v>0.74358324361563299</v>
      </c>
      <c r="S172" s="25"/>
      <c r="T172" s="23">
        <f>IFERROR(T124-T171, "NA")</f>
        <v>183529.65999999995</v>
      </c>
      <c r="U172" s="24">
        <f>IFERROR(T172/T444, "NA")</f>
        <v>0.73915378515059704</v>
      </c>
      <c r="V172" s="25"/>
      <c r="W172" s="23">
        <f>IFERROR(Q172-T172, "NA")</f>
        <v>29749.050000000134</v>
      </c>
      <c r="X172" s="24">
        <f>IFERROR(W172/W444, "NA")</f>
        <v>0.77212881544390377</v>
      </c>
      <c r="Y172" s="25"/>
      <c r="Z172" s="23">
        <f>IFERROR(Z124-Z171, "NA")</f>
        <v>167308.80000000002</v>
      </c>
      <c r="AA172" s="24">
        <f>IFERROR(Z172/Z444, "NA")</f>
        <v>0.7129572156978019</v>
      </c>
      <c r="AB172" s="25"/>
      <c r="AC172" s="23">
        <f>IFERROR(Q172-Z172, "NA")</f>
        <v>45969.910000000062</v>
      </c>
      <c r="AD172" s="24">
        <f>IFERROR(AC172/AC444, "NA")</f>
        <v>0.88137869601712837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6.7524951327639401E-2</v>
      </c>
      <c r="D178" s="9"/>
      <c r="E178" s="7">
        <v>10307.69</v>
      </c>
      <c r="F178" s="8">
        <f>IFERROR(E178/E444, "NA")</f>
        <v>6.797473832928394E-2</v>
      </c>
      <c r="G178" s="9"/>
      <c r="H178" s="10">
        <f t="shared" si="44"/>
        <v>230.77000000000044</v>
      </c>
      <c r="I178" s="8">
        <f>IFERROR(H178/H444, "NA")</f>
        <v>-9.5855815441106357E-2</v>
      </c>
      <c r="J178" s="9"/>
      <c r="K178" s="7">
        <v>4423.08</v>
      </c>
      <c r="L178" s="8">
        <f>IFERROR(K178/K444, "NA")</f>
        <v>3.412689992851458E-2</v>
      </c>
      <c r="M178" s="9"/>
      <c r="N178" s="10">
        <f t="shared" si="45"/>
        <v>-5653.84</v>
      </c>
      <c r="O178" s="8">
        <f>IFERROR(N178/N444, "NA")</f>
        <v>-0.28808362916157337</v>
      </c>
      <c r="P178" s="9"/>
      <c r="Q178" s="7">
        <v>20153.84</v>
      </c>
      <c r="R178" s="8">
        <f>IFERROR(Q178/Q444, "NA")</f>
        <v>7.0265136724197569E-2</v>
      </c>
      <c r="S178" s="9"/>
      <c r="T178" s="7">
        <v>20615.38</v>
      </c>
      <c r="U178" s="8">
        <f>IFERROR(T178/T444, "NA")</f>
        <v>8.3027103953213457E-2</v>
      </c>
      <c r="V178" s="9"/>
      <c r="W178" s="10">
        <f t="shared" si="46"/>
        <v>461.54000000000087</v>
      </c>
      <c r="X178" s="8">
        <f>IFERROR(W178/W444, "NA")</f>
        <v>1.1979150039412297E-2</v>
      </c>
      <c r="Y178" s="9"/>
      <c r="Z178" s="7">
        <v>8846.16</v>
      </c>
      <c r="AA178" s="8">
        <f>IFERROR(Z178/Z444, "NA")</f>
        <v>3.7696365063985077E-2</v>
      </c>
      <c r="AB178" s="9"/>
      <c r="AC178" s="10">
        <f t="shared" si="47"/>
        <v>-11307.68</v>
      </c>
      <c r="AD178" s="8">
        <f>IFERROR(AC178/AC444, "NA")</f>
        <v>-0.21680156113812163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24554.09</v>
      </c>
      <c r="C180" s="8">
        <f>IFERROR(B180/B444, "NA")</f>
        <v>0.16453576411686083</v>
      </c>
      <c r="D180" s="9"/>
      <c r="E180" s="7">
        <v>26537</v>
      </c>
      <c r="F180" s="8">
        <f>IFERROR(E180/E444, "NA")</f>
        <v>0.17499998845951012</v>
      </c>
      <c r="G180" s="9"/>
      <c r="H180" s="10">
        <f t="shared" si="44"/>
        <v>1982.9099999999999</v>
      </c>
      <c r="I180" s="8">
        <f>IFERROR(H180/H444, "NA")</f>
        <v>-0.82364889282109388</v>
      </c>
      <c r="J180" s="9"/>
      <c r="K180" s="7">
        <v>25575.61</v>
      </c>
      <c r="L180" s="8">
        <f>IFERROR(K180/K444, "NA")</f>
        <v>0.19733223976973438</v>
      </c>
      <c r="M180" s="9"/>
      <c r="N180" s="10">
        <f t="shared" si="45"/>
        <v>1021.5200000000004</v>
      </c>
      <c r="O180" s="8">
        <f>IFERROR(N180/N444, "NA")</f>
        <v>5.2050144478996675E-2</v>
      </c>
      <c r="P180" s="9"/>
      <c r="Q180" s="7">
        <v>46422.09</v>
      </c>
      <c r="R180" s="8">
        <f>IFERROR(Q180/Q444, "NA")</f>
        <v>0.1618477918289023</v>
      </c>
      <c r="S180" s="9"/>
      <c r="T180" s="7">
        <v>44998.48</v>
      </c>
      <c r="U180" s="8">
        <f>IFERROR(T180/T444, "NA")</f>
        <v>0.18122845548792196</v>
      </c>
      <c r="V180" s="9"/>
      <c r="W180" s="10">
        <f t="shared" si="46"/>
        <v>-1423.6099999999933</v>
      </c>
      <c r="X180" s="8">
        <f>IFERROR(W180/W444, "NA")</f>
        <v>-3.6949425375065278E-2</v>
      </c>
      <c r="Y180" s="9"/>
      <c r="Z180" s="7">
        <v>46343.65</v>
      </c>
      <c r="AA180" s="8">
        <f>IFERROR(Z180/Z444, "NA")</f>
        <v>0.19748536639599013</v>
      </c>
      <c r="AB180" s="9"/>
      <c r="AC180" s="10">
        <f t="shared" si="47"/>
        <v>-78.439999999995052</v>
      </c>
      <c r="AD180" s="8">
        <f>IFERROR(AC180/AC444, "NA")</f>
        <v>-1.5039260445708746E-3</v>
      </c>
    </row>
    <row r="181" spans="1:30" ht="16.5" customHeight="1" x14ac:dyDescent="0.45">
      <c r="A181" s="12" t="s">
        <v>166</v>
      </c>
      <c r="B181" s="7">
        <v>201.63</v>
      </c>
      <c r="C181" s="8">
        <f>IFERROR(B181/B444, "NA")</f>
        <v>1.3511128337023546E-3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-201.63</v>
      </c>
      <c r="I181" s="8">
        <f>IFERROR(H181/H444, "NA")</f>
        <v>8.3751822452616184E-2</v>
      </c>
      <c r="J181" s="9"/>
      <c r="K181" s="7">
        <v>221.02</v>
      </c>
      <c r="L181" s="8">
        <f>IFERROR(K181/K444, "NA")</f>
        <v>1.7053111004549529E-3</v>
      </c>
      <c r="M181" s="9"/>
      <c r="N181" s="10">
        <f t="shared" si="45"/>
        <v>19.390000000000015</v>
      </c>
      <c r="O181" s="8">
        <f>IFERROR(N181/N444, "NA")</f>
        <v>9.8799074070771587E-4</v>
      </c>
      <c r="P181" s="9"/>
      <c r="Q181" s="7">
        <v>215.62</v>
      </c>
      <c r="R181" s="8">
        <f>IFERROR(Q181/Q444, "NA")</f>
        <v>7.5174600872446535E-4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-215.62</v>
      </c>
      <c r="X181" s="8">
        <f>IFERROR(W181/W444, "NA")</f>
        <v>-5.5963607303767277E-3</v>
      </c>
      <c r="Y181" s="9"/>
      <c r="Z181" s="7">
        <v>446.06</v>
      </c>
      <c r="AA181" s="8">
        <f>IFERROR(Z181/Z444, "NA")</f>
        <v>1.9008067455756152E-3</v>
      </c>
      <c r="AB181" s="9"/>
      <c r="AC181" s="10">
        <f t="shared" si="47"/>
        <v>230.44</v>
      </c>
      <c r="AD181" s="8">
        <f>IFERROR(AC181/AC444, "NA")</f>
        <v>4.4182141472582127E-3</v>
      </c>
    </row>
    <row r="182" spans="1:30" ht="16.5" customHeight="1" x14ac:dyDescent="0.45">
      <c r="A182" s="13" t="s">
        <v>167</v>
      </c>
      <c r="B182" s="14">
        <f>IFERROR(B177+B178+B179+B180+B181, "NA")</f>
        <v>34832.639999999999</v>
      </c>
      <c r="C182" s="15">
        <f>IFERROR(B182/B444, "NA")</f>
        <v>0.23341182827820259</v>
      </c>
      <c r="D182" s="2"/>
      <c r="E182" s="14">
        <f>IFERROR(E177+E178+E179+E180+E181, "NA")</f>
        <v>36844.69</v>
      </c>
      <c r="F182" s="15">
        <f>IFERROR(E182/E444, "NA")</f>
        <v>0.24297472678879406</v>
      </c>
      <c r="G182" s="2"/>
      <c r="H182" s="14">
        <f t="shared" si="44"/>
        <v>2012.0500000000029</v>
      </c>
      <c r="I182" s="15">
        <f>IFERROR(H182/H444, "NA")</f>
        <v>-0.83575288580958518</v>
      </c>
      <c r="J182" s="2"/>
      <c r="K182" s="14">
        <f>IFERROR(K177+K178+K179+K180+K181, "NA")</f>
        <v>30219.710000000003</v>
      </c>
      <c r="L182" s="15">
        <f>IFERROR(K182/K444, "NA")</f>
        <v>0.23316445079870393</v>
      </c>
      <c r="M182" s="2"/>
      <c r="N182" s="14">
        <f t="shared" si="45"/>
        <v>-4612.9299999999967</v>
      </c>
      <c r="O182" s="15">
        <f>IFERROR(N182/N444, "NA")</f>
        <v>-0.23504549394186885</v>
      </c>
      <c r="P182" s="2"/>
      <c r="Q182" s="14">
        <f>IFERROR(Q177+Q178+Q179+Q180+Q181, "NA")</f>
        <v>66791.549999999988</v>
      </c>
      <c r="R182" s="15">
        <f>IFERROR(Q182/Q444, "NA")</f>
        <v>0.2328646745618243</v>
      </c>
      <c r="S182" s="2"/>
      <c r="T182" s="14">
        <f>IFERROR(T177+T178+T179+T180+T181, "NA")</f>
        <v>65613.86</v>
      </c>
      <c r="U182" s="15">
        <f>IFERROR(T182/T444, "NA")</f>
        <v>0.26425555944113538</v>
      </c>
      <c r="V182" s="2"/>
      <c r="W182" s="14">
        <f t="shared" si="46"/>
        <v>-1177.6899999999878</v>
      </c>
      <c r="X182" s="15">
        <f>IFERROR(W182/W444, "NA")</f>
        <v>-3.0566636066029586E-2</v>
      </c>
      <c r="Y182" s="2"/>
      <c r="Z182" s="14">
        <f>IFERROR(Z177+Z178+Z179+Z180+Z181, "NA")</f>
        <v>55635.869999999995</v>
      </c>
      <c r="AA182" s="15">
        <f>IFERROR(Z182/Z444, "NA")</f>
        <v>0.23708253820555081</v>
      </c>
      <c r="AB182" s="2"/>
      <c r="AC182" s="14">
        <f t="shared" si="47"/>
        <v>-11155.679999999993</v>
      </c>
      <c r="AD182" s="15">
        <f>IFERROR(AC182/AC444, "NA")</f>
        <v>-0.21388727303543426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7.7060941266562906E-3</v>
      </c>
      <c r="D184" s="9"/>
      <c r="E184" s="7">
        <v>1150</v>
      </c>
      <c r="F184" s="8">
        <f>IFERROR(E184/E444, "NA")</f>
        <v>7.5837504890694744E-3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2.3146924718870955E-3</v>
      </c>
      <c r="M184" s="9"/>
      <c r="N184" s="10">
        <f t="shared" si="45"/>
        <v>-850</v>
      </c>
      <c r="O184" s="8">
        <f>IFERROR(N184/N444, "NA")</f>
        <v>-4.3310579143968943E-2</v>
      </c>
      <c r="P184" s="9"/>
      <c r="Q184" s="7">
        <v>2300</v>
      </c>
      <c r="R184" s="8">
        <f>IFERROR(Q184/Q444, "NA")</f>
        <v>8.0188100364820998E-3</v>
      </c>
      <c r="S184" s="9"/>
      <c r="T184" s="7">
        <v>2300</v>
      </c>
      <c r="U184" s="8">
        <f>IFERROR(T184/T444, "NA")</f>
        <v>9.2631006118922346E-3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2.5567951561345312E-3</v>
      </c>
      <c r="AB184" s="9"/>
      <c r="AC184" s="10">
        <f t="shared" si="47"/>
        <v>-1700</v>
      </c>
      <c r="AD184" s="8">
        <f>IFERROR(AC184/AC444, "NA")</f>
        <v>-3.2594011674791534E-2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3627.23</v>
      </c>
      <c r="C186" s="8">
        <f>IFERROR(B186/B444, "NA")</f>
        <v>2.4305891999157822E-2</v>
      </c>
      <c r="D186" s="9"/>
      <c r="E186" s="7">
        <v>4792.87</v>
      </c>
      <c r="F186" s="8">
        <f>IFERROR(E186/E444, "NA")</f>
        <v>3.1606895831779488E-2</v>
      </c>
      <c r="G186" s="9"/>
      <c r="H186" s="10">
        <f t="shared" ref="H186:H197" si="48">IFERROR(-(B186-E186), "NA")</f>
        <v>1165.6399999999999</v>
      </c>
      <c r="I186" s="8">
        <f>IFERROR(H186/H444, "NA")</f>
        <v>-0.48417633449222597</v>
      </c>
      <c r="J186" s="9"/>
      <c r="K186" s="7">
        <v>3708.49</v>
      </c>
      <c r="L186" s="8">
        <f>IFERROR(K186/K444, "NA")</f>
        <v>2.8613379616895245E-2</v>
      </c>
      <c r="M186" s="9"/>
      <c r="N186" s="10">
        <f t="shared" ref="N186:N197" si="49">IFERROR(-(B186-K186), "NA")</f>
        <v>81.259999999999764</v>
      </c>
      <c r="O186" s="8">
        <f>IFERROR(N186/N444, "NA")</f>
        <v>4.1404913661634195E-3</v>
      </c>
      <c r="P186" s="9"/>
      <c r="Q186" s="7">
        <v>7003.12</v>
      </c>
      <c r="R186" s="8">
        <f>IFERROR(Q186/Q444, "NA")</f>
        <v>2.4415951714212403E-2</v>
      </c>
      <c r="S186" s="9"/>
      <c r="T186" s="7">
        <v>8674.76</v>
      </c>
      <c r="U186" s="8">
        <f>IFERROR(T186/T444, "NA")</f>
        <v>3.4937032462616646E-2</v>
      </c>
      <c r="V186" s="9"/>
      <c r="W186" s="10">
        <f t="shared" ref="W186:W197" si="50">IFERROR(-(Q186-T186), "NA")</f>
        <v>1671.6400000000003</v>
      </c>
      <c r="X186" s="8">
        <f>IFERROR(W186/W444, "NA")</f>
        <v>4.3386979182482861E-2</v>
      </c>
      <c r="Y186" s="9"/>
      <c r="Z186" s="7">
        <v>6902.88</v>
      </c>
      <c r="AA186" s="8">
        <f>IFERROR(Z186/Z444, "NA")</f>
        <v>2.9415416912296558E-2</v>
      </c>
      <c r="AB186" s="9"/>
      <c r="AC186" s="10">
        <f t="shared" ref="AC186:AC197" si="51">IFERROR(-(Q186-Z186), "NA")</f>
        <v>-100.23999999999978</v>
      </c>
      <c r="AD186" s="8">
        <f>IFERROR(AC186/AC444, "NA")</f>
        <v>-1.9218963119300568E-3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0.02</v>
      </c>
      <c r="L187" s="8">
        <f>IFERROR(K187/K444, "NA")</f>
        <v>1.543128314591397E-7</v>
      </c>
      <c r="M187" s="9"/>
      <c r="N187" s="10">
        <f t="shared" si="49"/>
        <v>0.02</v>
      </c>
      <c r="O187" s="8">
        <f>IFERROR(N187/N444, "NA")</f>
        <v>1.0190724504463283E-6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0.06</v>
      </c>
      <c r="AA187" s="8">
        <f>IFERROR(Z187/Z444, "NA")</f>
        <v>2.5567951561345314E-7</v>
      </c>
      <c r="AB187" s="9"/>
      <c r="AC187" s="10">
        <f t="shared" si="51"/>
        <v>0.06</v>
      </c>
      <c r="AD187" s="8">
        <f>IFERROR(AC187/AC444, "NA")</f>
        <v>1.1503768826397013E-6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3627.23</v>
      </c>
      <c r="C193" s="15">
        <f>IFERROR(B193/B444, "NA")</f>
        <v>2.4305891999157822E-2</v>
      </c>
      <c r="D193" s="2"/>
      <c r="E193" s="14">
        <f>IFERROR(E186+E187+E188+E189+E190+E191+E192, "NA")</f>
        <v>4792.87</v>
      </c>
      <c r="F193" s="15">
        <f>IFERROR(E193/E444, "NA")</f>
        <v>3.1606895831779488E-2</v>
      </c>
      <c r="G193" s="2"/>
      <c r="H193" s="14">
        <f t="shared" si="48"/>
        <v>1165.6399999999999</v>
      </c>
      <c r="I193" s="15">
        <f>IFERROR(H193/H444, "NA")</f>
        <v>-0.48417633449222597</v>
      </c>
      <c r="J193" s="2"/>
      <c r="K193" s="14">
        <f>IFERROR(K186+K187+K188+K189+K190+K191+K192, "NA")</f>
        <v>3708.5099999999998</v>
      </c>
      <c r="L193" s="15">
        <f>IFERROR(K193/K444, "NA")</f>
        <v>2.8613533929726705E-2</v>
      </c>
      <c r="M193" s="2"/>
      <c r="N193" s="14">
        <f t="shared" si="49"/>
        <v>81.279999999999745</v>
      </c>
      <c r="O193" s="15">
        <f>IFERROR(N193/N444, "NA")</f>
        <v>4.1415104386138641E-3</v>
      </c>
      <c r="P193" s="2"/>
      <c r="Q193" s="14">
        <f>IFERROR(Q186+Q187+Q188+Q189+Q190+Q191+Q192, "NA")</f>
        <v>7003.12</v>
      </c>
      <c r="R193" s="15">
        <f>IFERROR(Q193/Q444, "NA")</f>
        <v>2.4415951714212403E-2</v>
      </c>
      <c r="S193" s="2"/>
      <c r="T193" s="14">
        <f>IFERROR(T186+T187+T188+T189+T190+T191+T192, "NA")</f>
        <v>8674.76</v>
      </c>
      <c r="U193" s="15">
        <f>IFERROR(T193/T444, "NA")</f>
        <v>3.4937032462616646E-2</v>
      </c>
      <c r="V193" s="2"/>
      <c r="W193" s="14">
        <f t="shared" si="50"/>
        <v>1671.6400000000003</v>
      </c>
      <c r="X193" s="15">
        <f>IFERROR(W193/W444, "NA")</f>
        <v>4.3386979182482861E-2</v>
      </c>
      <c r="Y193" s="2"/>
      <c r="Z193" s="14">
        <f>IFERROR(Z186+Z187+Z188+Z189+Z190+Z191+Z192, "NA")</f>
        <v>6902.9400000000005</v>
      </c>
      <c r="AA193" s="15">
        <f>IFERROR(Z193/Z444, "NA")</f>
        <v>2.9415672591812173E-2</v>
      </c>
      <c r="AB193" s="2"/>
      <c r="AC193" s="14">
        <f t="shared" si="51"/>
        <v>-100.17999999999938</v>
      </c>
      <c r="AD193" s="15">
        <f>IFERROR(AC193/AC444, "NA")</f>
        <v>-1.9207459350474095E-3</v>
      </c>
    </row>
    <row r="194" spans="1:30" ht="16.5" customHeight="1" x14ac:dyDescent="0.45">
      <c r="A194" s="6" t="s">
        <v>178</v>
      </c>
      <c r="B194" s="7">
        <v>361.46</v>
      </c>
      <c r="C194" s="8">
        <f>IFERROR(B194/B444, "NA")</f>
        <v>2.4221258982792893E-3</v>
      </c>
      <c r="D194" s="9"/>
      <c r="E194" s="7">
        <v>303.95999999999998</v>
      </c>
      <c r="F194" s="8">
        <f>IFERROR(E194/E444, "NA")</f>
        <v>2.0044841727457018E-3</v>
      </c>
      <c r="G194" s="9"/>
      <c r="H194" s="10">
        <f t="shared" si="48"/>
        <v>-57.5</v>
      </c>
      <c r="I194" s="8">
        <f>IFERROR(H194/H444, "NA")</f>
        <v>2.3883994400760954E-2</v>
      </c>
      <c r="J194" s="9"/>
      <c r="K194" s="7">
        <v>371</v>
      </c>
      <c r="L194" s="8">
        <f>IFERROR(K194/K444, "NA")</f>
        <v>2.8625030235670413E-3</v>
      </c>
      <c r="M194" s="9"/>
      <c r="N194" s="10">
        <f t="shared" si="49"/>
        <v>9.5400000000000205</v>
      </c>
      <c r="O194" s="8">
        <f>IFERROR(N194/N444, "NA")</f>
        <v>4.8609755886289954E-4</v>
      </c>
      <c r="P194" s="9"/>
      <c r="Q194" s="7">
        <v>611.62</v>
      </c>
      <c r="R194" s="8">
        <f>IFERROR(Q194/Q444, "NA")</f>
        <v>2.1323759106579051E-3</v>
      </c>
      <c r="S194" s="9"/>
      <c r="T194" s="7">
        <v>543.30999999999995</v>
      </c>
      <c r="U194" s="8">
        <f>IFERROR(T194/T444, "NA")</f>
        <v>2.1881457362813782E-3</v>
      </c>
      <c r="V194" s="9"/>
      <c r="W194" s="10">
        <f t="shared" si="50"/>
        <v>-68.310000000000059</v>
      </c>
      <c r="X194" s="8">
        <f>IFERROR(W194/W444, "NA")</f>
        <v>-1.772968191689243E-3</v>
      </c>
      <c r="Y194" s="9"/>
      <c r="Z194" s="7">
        <v>371</v>
      </c>
      <c r="AA194" s="8">
        <f>IFERROR(Z194/Z444, "NA")</f>
        <v>1.5809516715431854E-3</v>
      </c>
      <c r="AB194" s="9"/>
      <c r="AC194" s="10">
        <f t="shared" si="51"/>
        <v>-240.62</v>
      </c>
      <c r="AD194" s="8">
        <f>IFERROR(AC194/AC444, "NA")</f>
        <v>-4.6133947583460819E-3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2.5587582976206126E-3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0.15861049151183601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-1.9456640760146519E-2</v>
      </c>
      <c r="P195" s="9"/>
      <c r="Q195" s="7">
        <v>763.7</v>
      </c>
      <c r="R195" s="8">
        <f>IFERROR(Q195/Q444, "NA")</f>
        <v>2.6625935760266868E-3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-763.7</v>
      </c>
      <c r="X195" s="8">
        <f>IFERROR(W195/W444, "NA")</f>
        <v>-1.9821633845602017E-2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-763.7</v>
      </c>
      <c r="AD195" s="8">
        <f>IFERROR(AC195/AC444, "NA")</f>
        <v>-1.4642380421198999E-2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40353.18</v>
      </c>
      <c r="C196" s="15">
        <f>IFERROR(B196/B444, "NA")</f>
        <v>0.27040469859991662</v>
      </c>
      <c r="D196" s="2"/>
      <c r="E196" s="14">
        <f>IFERROR(E175+E177+E178+E179+E180+E181+E183+E184+E186+E187+E188+E189+E190+E191+E192+E194+E195, "NA")</f>
        <v>43091.520000000004</v>
      </c>
      <c r="F196" s="15">
        <f>IFERROR(E196/E444, "NA")</f>
        <v>0.28416985728238875</v>
      </c>
      <c r="G196" s="2"/>
      <c r="H196" s="14">
        <f t="shared" si="48"/>
        <v>2738.3400000000038</v>
      </c>
      <c r="I196" s="15">
        <f>IFERROR(H196/H444, "NA")</f>
        <v>-1.1374347343892146</v>
      </c>
      <c r="J196" s="2"/>
      <c r="K196" s="14">
        <f>IFERROR(K175+K177+K178+K179+K180+K181+K183+K184+K186+K187+K188+K189+K190+K191+K192+K194+K195, "NA")</f>
        <v>34599.22</v>
      </c>
      <c r="L196" s="15">
        <f>IFERROR(K196/K444, "NA")</f>
        <v>0.26695518022388476</v>
      </c>
      <c r="M196" s="2"/>
      <c r="N196" s="14">
        <f t="shared" si="49"/>
        <v>-5753.9599999999991</v>
      </c>
      <c r="O196" s="15">
        <f>IFERROR(N196/N444, "NA")</f>
        <v>-0.29318510584850765</v>
      </c>
      <c r="P196" s="2"/>
      <c r="Q196" s="14">
        <f>IFERROR(Q175+Q177+Q178+Q179+Q180+Q181+Q183+Q184+Q186+Q187+Q188+Q189+Q190+Q191+Q192+Q194+Q195, "NA")</f>
        <v>77469.989999999976</v>
      </c>
      <c r="R196" s="15">
        <f>IFERROR(Q196/Q444, "NA")</f>
        <v>0.27009440579920335</v>
      </c>
      <c r="S196" s="2"/>
      <c r="T196" s="14">
        <f>IFERROR(T175+T177+T178+T179+T180+T181+T183+T184+T186+T187+T188+T189+T190+T191+T192+T194+T195, "NA")</f>
        <v>77131.929999999993</v>
      </c>
      <c r="U196" s="15">
        <f>IFERROR(T196/T444, "NA")</f>
        <v>0.31064383825192565</v>
      </c>
      <c r="V196" s="2"/>
      <c r="W196" s="14">
        <f t="shared" si="50"/>
        <v>-338.05999999998312</v>
      </c>
      <c r="X196" s="15">
        <f>IFERROR(W196/W444, "NA")</f>
        <v>-8.7742589208378713E-3</v>
      </c>
      <c r="Y196" s="2"/>
      <c r="Z196" s="14">
        <f>IFERROR(Z175+Z177+Z178+Z179+Z180+Z181+Z183+Z184+Z186+Z187+Z188+Z189+Z190+Z191+Z192+Z194+Z195, "NA")</f>
        <v>63509.80999999999</v>
      </c>
      <c r="AA196" s="15">
        <f>IFERROR(Z196/Z444, "NA")</f>
        <v>0.27063595762504067</v>
      </c>
      <c r="AB196" s="2"/>
      <c r="AC196" s="14">
        <f t="shared" si="51"/>
        <v>-13960.179999999986</v>
      </c>
      <c r="AD196" s="15">
        <f>IFERROR(AC196/AC444, "NA")</f>
        <v>-0.26765780582481813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40353.18</v>
      </c>
      <c r="C197" s="15">
        <f>IFERROR(B197/B444, "NA")</f>
        <v>0.27040469859991662</v>
      </c>
      <c r="D197" s="2"/>
      <c r="E197" s="14">
        <f>IFERROR(E175+E177+E178+E179+E180+E181+E183+E184+E186+E187+E188+E189+E190+E191+E192+E194+E195, "NA")</f>
        <v>43091.520000000004</v>
      </c>
      <c r="F197" s="15">
        <f>IFERROR(E197/E444, "NA")</f>
        <v>0.28416985728238875</v>
      </c>
      <c r="G197" s="2"/>
      <c r="H197" s="14">
        <f t="shared" si="48"/>
        <v>2738.3400000000038</v>
      </c>
      <c r="I197" s="15">
        <f>IFERROR(H197/H444, "NA")</f>
        <v>-1.1374347343892146</v>
      </c>
      <c r="J197" s="2"/>
      <c r="K197" s="14">
        <f>IFERROR(K175+K177+K178+K179+K180+K181+K183+K184+K186+K187+K188+K189+K190+K191+K192+K194+K195, "NA")</f>
        <v>34599.22</v>
      </c>
      <c r="L197" s="15">
        <f>IFERROR(K197/K444, "NA")</f>
        <v>0.26695518022388476</v>
      </c>
      <c r="M197" s="2"/>
      <c r="N197" s="14">
        <f t="shared" si="49"/>
        <v>-5753.9599999999991</v>
      </c>
      <c r="O197" s="15">
        <f>IFERROR(N197/N444, "NA")</f>
        <v>-0.29318510584850765</v>
      </c>
      <c r="P197" s="2"/>
      <c r="Q197" s="14">
        <f>IFERROR(Q175+Q177+Q178+Q179+Q180+Q181+Q183+Q184+Q186+Q187+Q188+Q189+Q190+Q191+Q192+Q194+Q195, "NA")</f>
        <v>77469.989999999976</v>
      </c>
      <c r="R197" s="15">
        <f>IFERROR(Q197/Q444, "NA")</f>
        <v>0.27009440579920335</v>
      </c>
      <c r="S197" s="2"/>
      <c r="T197" s="14">
        <f>IFERROR(T175+T177+T178+T179+T180+T181+T183+T184+T186+T187+T188+T189+T190+T191+T192+T194+T195, "NA")</f>
        <v>77131.929999999993</v>
      </c>
      <c r="U197" s="15">
        <f>IFERROR(T197/T444, "NA")</f>
        <v>0.31064383825192565</v>
      </c>
      <c r="V197" s="2"/>
      <c r="W197" s="14">
        <f t="shared" si="50"/>
        <v>-338.05999999998312</v>
      </c>
      <c r="X197" s="15">
        <f>IFERROR(W197/W444, "NA")</f>
        <v>-8.7742589208378713E-3</v>
      </c>
      <c r="Y197" s="2"/>
      <c r="Z197" s="14">
        <f>IFERROR(Z175+Z177+Z178+Z179+Z180+Z181+Z183+Z184+Z186+Z187+Z188+Z189+Z190+Z191+Z192+Z194+Z195, "NA")</f>
        <v>63509.80999999999</v>
      </c>
      <c r="AA197" s="15">
        <f>IFERROR(Z197/Z444, "NA")</f>
        <v>0.27063595762504067</v>
      </c>
      <c r="AB197" s="2"/>
      <c r="AC197" s="14">
        <f t="shared" si="51"/>
        <v>-13960.179999999986</v>
      </c>
      <c r="AD197" s="15">
        <f>IFERROR(AC197/AC444, "NA")</f>
        <v>-0.26765780582481813</v>
      </c>
    </row>
    <row r="198" spans="1:30" ht="16.5" customHeight="1" x14ac:dyDescent="0.45">
      <c r="A198" s="22" t="s">
        <v>181</v>
      </c>
      <c r="B198" s="23">
        <f>IFERROR(B172-B197, "NA")</f>
        <v>71839.26999999999</v>
      </c>
      <c r="C198" s="24">
        <f>IFERROR(B198/B444, "NA")</f>
        <v>0.48139145792197857</v>
      </c>
      <c r="D198" s="25"/>
      <c r="E198" s="23">
        <f>IFERROR(E172-E197, "NA")</f>
        <v>70941.77</v>
      </c>
      <c r="F198" s="24">
        <f>IFERROR(E198/E444, "NA")</f>
        <v>0.46783015907213404</v>
      </c>
      <c r="G198" s="25"/>
      <c r="H198" s="23">
        <f>IFERROR(B198-E198, "NA")</f>
        <v>897.49999999998545</v>
      </c>
      <c r="I198" s="24">
        <f>IFERROR(H198/H444, "NA")</f>
        <v>-0.37279799955969756</v>
      </c>
      <c r="J198" s="25"/>
      <c r="K198" s="23">
        <f>IFERROR(K172-K197, "NA")</f>
        <v>57232.77999999997</v>
      </c>
      <c r="L198" s="24">
        <f>IFERROR(K198/K444, "NA")</f>
        <v>0.44158761670390079</v>
      </c>
      <c r="M198" s="25"/>
      <c r="N198" s="23">
        <f>IFERROR(B198-K198, "NA")</f>
        <v>14606.49000000002</v>
      </c>
      <c r="O198" s="24">
        <f>IFERROR(N198/N444, "NA")</f>
        <v>0.74425357783599033</v>
      </c>
      <c r="P198" s="25"/>
      <c r="Q198" s="23">
        <f>IFERROR(Q172-Q197, "NA")</f>
        <v>135808.72000000009</v>
      </c>
      <c r="R198" s="24">
        <f>IFERROR(Q198/Q444, "NA")</f>
        <v>0.47348883781642959</v>
      </c>
      <c r="S198" s="25"/>
      <c r="T198" s="23">
        <f>IFERROR(T172-T197, "NA")</f>
        <v>106397.72999999995</v>
      </c>
      <c r="U198" s="24">
        <f>IFERROR(T198/T444, "NA")</f>
        <v>0.42850994689867145</v>
      </c>
      <c r="V198" s="25"/>
      <c r="W198" s="23">
        <f>IFERROR(Q198-T198, "NA")</f>
        <v>29410.990000000136</v>
      </c>
      <c r="X198" s="24">
        <f>IFERROR(W198/W444, "NA")</f>
        <v>0.7633545565230655</v>
      </c>
      <c r="Y198" s="25"/>
      <c r="Z198" s="23">
        <f>IFERROR(Z172-Z197, "NA")</f>
        <v>103798.99000000002</v>
      </c>
      <c r="AA198" s="24">
        <f>IFERROR(Z198/Z444, "NA")</f>
        <v>0.44232125807276118</v>
      </c>
      <c r="AB198" s="25"/>
      <c r="AC198" s="23">
        <f>IFERROR(Q198-Z198, "NA")</f>
        <v>32009.730000000069</v>
      </c>
      <c r="AD198" s="24">
        <f>IFERROR(AC198/AC444, "NA")</f>
        <v>0.61372089019231013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2729.52</v>
      </c>
      <c r="F201" s="8">
        <f>IFERROR(E201/E444, "NA")</f>
        <v>1.7999998812978184E-2</v>
      </c>
      <c r="G201" s="9"/>
      <c r="H201" s="10">
        <f t="shared" ref="H201:H209" si="52">IFERROR(-(B201-E201), "NA")</f>
        <v>2729.52</v>
      </c>
      <c r="I201" s="8">
        <f>IFERROR(H201/H444, "NA")</f>
        <v>-1.1337711373350441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4469.3500000000004</v>
      </c>
      <c r="U201" s="8">
        <f>IFERROR(T201/T444, "NA")</f>
        <v>1.8000016834678504E-2</v>
      </c>
      <c r="V201" s="9"/>
      <c r="W201" s="10">
        <f t="shared" ref="W201:W209" si="54">IFERROR(-(Q201-T201), "NA")</f>
        <v>4469.3500000000004</v>
      </c>
      <c r="X201" s="8">
        <f>IFERROR(W201/W444, "NA")</f>
        <v>0.11600081082603296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1132.82</v>
      </c>
      <c r="C202" s="8">
        <f>IFERROR(B202/B444, "NA")</f>
        <v>7.5909717813554597E-3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-1132.82</v>
      </c>
      <c r="I202" s="8">
        <f>IFERROR(H202/H444, "NA")</f>
        <v>0.47054376586208735</v>
      </c>
      <c r="J202" s="9"/>
      <c r="K202" s="7">
        <v>1243.6099999999999</v>
      </c>
      <c r="L202" s="8">
        <f>IFERROR(K202/K444, "NA")</f>
        <v>9.5952490165450346E-3</v>
      </c>
      <c r="M202" s="9"/>
      <c r="N202" s="10">
        <f t="shared" si="53"/>
        <v>110.78999999999996</v>
      </c>
      <c r="O202" s="8">
        <f>IFERROR(N202/N444, "NA")</f>
        <v>5.645151839247433E-3</v>
      </c>
      <c r="P202" s="9"/>
      <c r="Q202" s="7">
        <v>2222.75</v>
      </c>
      <c r="R202" s="8">
        <f>IFERROR(Q202/Q444, "NA")</f>
        <v>7.7494826124306906E-3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-2222.75</v>
      </c>
      <c r="X202" s="8">
        <f>IFERROR(W202/W444, "NA")</f>
        <v>-5.7690895155574025E-2</v>
      </c>
      <c r="Y202" s="9"/>
      <c r="Z202" s="7">
        <v>2454.69</v>
      </c>
      <c r="AA202" s="8">
        <f>IFERROR(Z202/Z444, "NA")</f>
        <v>1.0460232503019789E-2</v>
      </c>
      <c r="AB202" s="9"/>
      <c r="AC202" s="10">
        <f t="shared" si="55"/>
        <v>231.94000000000005</v>
      </c>
      <c r="AD202" s="8">
        <f>IFERROR(AC202/AC444, "NA")</f>
        <v>4.4469735693242066E-3</v>
      </c>
    </row>
    <row r="203" spans="1:30" ht="16.5" customHeight="1" x14ac:dyDescent="0.45">
      <c r="A203" s="6" t="s">
        <v>185</v>
      </c>
      <c r="B203" s="7">
        <v>719.25</v>
      </c>
      <c r="C203" s="8">
        <f>IFERROR(B203/B444, "NA")</f>
        <v>4.8196593048674234E-3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-719.25</v>
      </c>
      <c r="I203" s="8">
        <f>IFERROR(H203/H444, "NA")</f>
        <v>0.29875761691734459</v>
      </c>
      <c r="J203" s="9"/>
      <c r="K203" s="7">
        <v>1167.53</v>
      </c>
      <c r="L203" s="8">
        <f>IFERROR(K203/K444, "NA")</f>
        <v>9.0082430056744687E-3</v>
      </c>
      <c r="M203" s="9"/>
      <c r="N203" s="10">
        <f t="shared" si="53"/>
        <v>448.28</v>
      </c>
      <c r="O203" s="8">
        <f>IFERROR(N203/N444, "NA")</f>
        <v>2.2841489904303996E-2</v>
      </c>
      <c r="P203" s="9"/>
      <c r="Q203" s="7">
        <v>1856.04</v>
      </c>
      <c r="R203" s="8">
        <f>IFERROR(Q203/Q444, "NA")</f>
        <v>6.4709705130922765E-3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-1856.04</v>
      </c>
      <c r="X203" s="8">
        <f>IFERROR(W203/W444, "NA")</f>
        <v>-4.8173032974716729E-2</v>
      </c>
      <c r="Y203" s="9"/>
      <c r="Z203" s="7">
        <v>2250.5</v>
      </c>
      <c r="AA203" s="8">
        <f>IFERROR(Z203/Z444, "NA")</f>
        <v>9.5901124981346043E-3</v>
      </c>
      <c r="AB203" s="9"/>
      <c r="AC203" s="10">
        <f t="shared" si="55"/>
        <v>394.46000000000004</v>
      </c>
      <c r="AD203" s="8">
        <f>IFERROR(AC203/AC444, "NA")</f>
        <v>7.5629610854342768E-3</v>
      </c>
    </row>
    <row r="204" spans="1:30" ht="16.5" customHeight="1" x14ac:dyDescent="0.45">
      <c r="A204" s="6" t="s">
        <v>186</v>
      </c>
      <c r="B204" s="7">
        <v>249.17</v>
      </c>
      <c r="C204" s="8">
        <f>IFERROR(B204/B444, "NA")</f>
        <v>1.6696760639469111E-3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-249.17</v>
      </c>
      <c r="I204" s="8">
        <f>IFERROR(H204/H444, "NA")</f>
        <v>0.10349869364934967</v>
      </c>
      <c r="J204" s="9"/>
      <c r="K204" s="7">
        <v>28.53</v>
      </c>
      <c r="L204" s="8">
        <f>IFERROR(K204/K444, "NA")</f>
        <v>2.2012725407646278E-4</v>
      </c>
      <c r="M204" s="9"/>
      <c r="N204" s="10">
        <f t="shared" si="53"/>
        <v>-220.64</v>
      </c>
      <c r="O204" s="8">
        <f>IFERROR(N204/N444, "NA")</f>
        <v>-1.1242407273323891E-2</v>
      </c>
      <c r="P204" s="9"/>
      <c r="Q204" s="7">
        <v>311.2</v>
      </c>
      <c r="R204" s="8">
        <f>IFERROR(Q204/Q444, "NA")</f>
        <v>1.0849798623274911E-3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-311.2</v>
      </c>
      <c r="X204" s="8">
        <f>IFERROR(W204/W444, "NA")</f>
        <v>-8.0771146428589066E-3</v>
      </c>
      <c r="Y204" s="9"/>
      <c r="Z204" s="7">
        <v>77.31</v>
      </c>
      <c r="AA204" s="8">
        <f>IFERROR(Z204/Z444, "NA")</f>
        <v>3.2944305586793437E-4</v>
      </c>
      <c r="AB204" s="9"/>
      <c r="AC204" s="10">
        <f t="shared" si="55"/>
        <v>-233.89</v>
      </c>
      <c r="AD204" s="8">
        <f>IFERROR(AC204/AC444, "NA")</f>
        <v>-4.4843608180099954E-3</v>
      </c>
    </row>
    <row r="205" spans="1:30" ht="16.5" customHeight="1" x14ac:dyDescent="0.45">
      <c r="A205" s="6" t="s">
        <v>187</v>
      </c>
      <c r="B205" s="7">
        <v>697.41</v>
      </c>
      <c r="C205" s="8">
        <f>IFERROR(B205/B444, "NA")</f>
        <v>4.6733105259750985E-3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-697.41</v>
      </c>
      <c r="I205" s="8">
        <f>IFERROR(H205/H444, "NA")</f>
        <v>0.28968585278321207</v>
      </c>
      <c r="J205" s="9"/>
      <c r="K205" s="7">
        <v>507.83</v>
      </c>
      <c r="L205" s="8">
        <f>IFERROR(K205/K444, "NA")</f>
        <v>3.918234259994745E-3</v>
      </c>
      <c r="M205" s="9"/>
      <c r="N205" s="10">
        <f t="shared" si="53"/>
        <v>-189.57999999999998</v>
      </c>
      <c r="O205" s="8">
        <f>IFERROR(N205/N444, "NA")</f>
        <v>-9.6597877577807439E-3</v>
      </c>
      <c r="P205" s="9"/>
      <c r="Q205" s="7">
        <v>1395.61</v>
      </c>
      <c r="R205" s="8">
        <f>IFERROR(Q205/Q444, "NA")</f>
        <v>4.865709336962949E-3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-1395.61</v>
      </c>
      <c r="X205" s="8">
        <f>IFERROR(W205/W444, "NA")</f>
        <v>-3.6222692695116701E-2</v>
      </c>
      <c r="Y205" s="9"/>
      <c r="Z205" s="7">
        <v>1028.1300000000001</v>
      </c>
      <c r="AA205" s="8">
        <f>IFERROR(Z205/Z444, "NA")</f>
        <v>4.3811963397943268E-3</v>
      </c>
      <c r="AB205" s="9"/>
      <c r="AC205" s="10">
        <f t="shared" si="55"/>
        <v>-367.47999999999979</v>
      </c>
      <c r="AD205" s="8">
        <f>IFERROR(AC205/AC444, "NA")</f>
        <v>-7.0456749472072866E-3</v>
      </c>
    </row>
    <row r="206" spans="1:30" ht="16.5" customHeight="1" x14ac:dyDescent="0.45">
      <c r="A206" s="6" t="s">
        <v>188</v>
      </c>
      <c r="B206" s="7">
        <v>135.76</v>
      </c>
      <c r="C206" s="8">
        <f>IFERROR(B206/B444, "NA")</f>
        <v>9.097211640303112E-4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-135.76</v>
      </c>
      <c r="I206" s="8">
        <f>IFERROR(H206/H444, "NA")</f>
        <v>5.6391149214735772E-2</v>
      </c>
      <c r="J206" s="9"/>
      <c r="K206" s="7">
        <v>20.12</v>
      </c>
      <c r="L206" s="8">
        <f>IFERROR(K206/K444, "NA")</f>
        <v>1.5523870844789454E-4</v>
      </c>
      <c r="M206" s="9"/>
      <c r="N206" s="10">
        <f t="shared" si="53"/>
        <v>-115.63999999999999</v>
      </c>
      <c r="O206" s="8">
        <f>IFERROR(N206/N444, "NA")</f>
        <v>-5.8922769084806684E-3</v>
      </c>
      <c r="P206" s="9"/>
      <c r="Q206" s="7">
        <v>135.76</v>
      </c>
      <c r="R206" s="8">
        <f>IFERROR(Q206/Q444, "NA")</f>
        <v>4.7331897850122164E-4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-135.76</v>
      </c>
      <c r="X206" s="8">
        <f>IFERROR(W206/W444, "NA")</f>
        <v>-3.5236153082086282E-3</v>
      </c>
      <c r="Y206" s="9"/>
      <c r="Z206" s="7">
        <v>20.12</v>
      </c>
      <c r="AA206" s="8">
        <f>IFERROR(Z206/Z444, "NA")</f>
        <v>8.5737864235711284E-5</v>
      </c>
      <c r="AB206" s="9"/>
      <c r="AC206" s="10">
        <f t="shared" si="55"/>
        <v>-115.63999999999999</v>
      </c>
      <c r="AD206" s="8">
        <f>IFERROR(AC206/AC444, "NA")</f>
        <v>-2.217159711807584E-3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1.1893661484713193E-3</v>
      </c>
      <c r="M207" s="9"/>
      <c r="N207" s="10">
        <f t="shared" si="53"/>
        <v>154.15</v>
      </c>
      <c r="O207" s="8">
        <f>IFERROR(N207/N444, "NA")</f>
        <v>7.8545009118150752E-3</v>
      </c>
      <c r="P207" s="9"/>
      <c r="Q207" s="7">
        <v>99.6</v>
      </c>
      <c r="R207" s="8">
        <f>IFERROR(Q207/Q444, "NA")</f>
        <v>3.4724933897113788E-4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-2.5850919615319637E-3</v>
      </c>
      <c r="Y207" s="9"/>
      <c r="Z207" s="7">
        <v>154.15</v>
      </c>
      <c r="AA207" s="8">
        <f>IFERROR(Z207/Z444, "NA")</f>
        <v>6.5688328886356342E-4</v>
      </c>
      <c r="AB207" s="9"/>
      <c r="AC207" s="10">
        <f t="shared" si="55"/>
        <v>54.550000000000011</v>
      </c>
      <c r="AD207" s="8">
        <f>IFERROR(AC207/AC444, "NA")</f>
        <v>1.0458843157999287E-3</v>
      </c>
    </row>
    <row r="208" spans="1:30" ht="16.5" customHeight="1" x14ac:dyDescent="0.45">
      <c r="A208" s="6" t="s">
        <v>190</v>
      </c>
      <c r="B208" s="7">
        <v>24.37</v>
      </c>
      <c r="C208" s="8">
        <f>IFERROR(B208/B444, "NA")</f>
        <v>1.6330218597096854E-4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-24.37</v>
      </c>
      <c r="I208" s="8">
        <f>IFERROR(H208/H444, "NA")</f>
        <v>1.012265988776599E-2</v>
      </c>
      <c r="J208" s="9"/>
      <c r="K208" s="7">
        <v>67.28</v>
      </c>
      <c r="L208" s="8">
        <f>IFERROR(K208/K444, "NA")</f>
        <v>5.1910836502854591E-4</v>
      </c>
      <c r="M208" s="9"/>
      <c r="N208" s="10">
        <f t="shared" si="53"/>
        <v>42.91</v>
      </c>
      <c r="O208" s="8">
        <f>IFERROR(N208/N444, "NA")</f>
        <v>2.186419942432597E-3</v>
      </c>
      <c r="P208" s="9"/>
      <c r="Q208" s="7">
        <v>229.3</v>
      </c>
      <c r="R208" s="8">
        <f>IFERROR(Q208/Q444, "NA")</f>
        <v>7.9944049624580248E-4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-229.3</v>
      </c>
      <c r="X208" s="8">
        <f>IFERROR(W208/W444, "NA")</f>
        <v>-5.9514215540088285E-3</v>
      </c>
      <c r="Y208" s="9"/>
      <c r="Z208" s="7">
        <v>111.79</v>
      </c>
      <c r="AA208" s="8">
        <f>IFERROR(Z208/Z444, "NA")</f>
        <v>4.7637355084046546E-4</v>
      </c>
      <c r="AB208" s="9"/>
      <c r="AC208" s="10">
        <f t="shared" si="55"/>
        <v>-117.51</v>
      </c>
      <c r="AD208" s="8">
        <f>IFERROR(AC208/AC444, "NA")</f>
        <v>-2.253013124649855E-3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2958.7799999999997</v>
      </c>
      <c r="C209" s="15">
        <f>IFERROR(B209/B444, "NA")</f>
        <v>1.9826641026146171E-2</v>
      </c>
      <c r="D209" s="2"/>
      <c r="E209" s="14">
        <f>IFERROR(E201+E202+E203+E204+E205+E206+E207+E208, "NA")</f>
        <v>2729.52</v>
      </c>
      <c r="F209" s="15">
        <f>IFERROR(E209/E444, "NA")</f>
        <v>1.7999998812978184E-2</v>
      </c>
      <c r="G209" s="2"/>
      <c r="H209" s="14">
        <f t="shared" si="52"/>
        <v>-229.25999999999976</v>
      </c>
      <c r="I209" s="15">
        <f>IFERROR(H209/H444, "NA")</f>
        <v>9.5228600979451308E-2</v>
      </c>
      <c r="J209" s="2"/>
      <c r="K209" s="14">
        <f>IFERROR(K201+K202+K203+K204+K205+K206+K207+K208, "NA")</f>
        <v>3189.05</v>
      </c>
      <c r="L209" s="15">
        <f>IFERROR(K209/K444, "NA")</f>
        <v>2.4605566758238474E-2</v>
      </c>
      <c r="M209" s="2"/>
      <c r="N209" s="14">
        <f t="shared" si="53"/>
        <v>230.27000000000044</v>
      </c>
      <c r="O209" s="15">
        <f>IFERROR(N209/N444, "NA")</f>
        <v>1.1733090658213822E-2</v>
      </c>
      <c r="P209" s="2"/>
      <c r="Q209" s="14">
        <f>IFERROR(Q201+Q202+Q203+Q204+Q205+Q206+Q207+Q208, "NA")</f>
        <v>6250.26</v>
      </c>
      <c r="R209" s="15">
        <f>IFERROR(Q209/Q444, "NA")</f>
        <v>2.179115113853157E-2</v>
      </c>
      <c r="S209" s="2"/>
      <c r="T209" s="14">
        <f>IFERROR(T201+T202+T203+T204+T205+T206+T207+T208, "NA")</f>
        <v>4469.3500000000004</v>
      </c>
      <c r="U209" s="15">
        <f>IFERROR(T209/T444, "NA")</f>
        <v>1.8000016834678504E-2</v>
      </c>
      <c r="V209" s="2"/>
      <c r="W209" s="14">
        <f t="shared" si="54"/>
        <v>-1780.9099999999999</v>
      </c>
      <c r="X209" s="15">
        <f>IFERROR(W209/W444, "NA")</f>
        <v>-4.6223053465982822E-2</v>
      </c>
      <c r="Y209" s="2"/>
      <c r="Z209" s="14">
        <f>IFERROR(Z201+Z202+Z203+Z204+Z205+Z206+Z207+Z208, "NA")</f>
        <v>6096.6900000000005</v>
      </c>
      <c r="AA209" s="15">
        <f>IFERROR(Z209/Z444, "NA")</f>
        <v>2.5979979100756397E-2</v>
      </c>
      <c r="AB209" s="2"/>
      <c r="AC209" s="14">
        <f t="shared" si="55"/>
        <v>-153.56999999999971</v>
      </c>
      <c r="AD209" s="15">
        <f>IFERROR(AC209/AC444, "NA")</f>
        <v>-2.9443896311163098E-3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6646.14</v>
      </c>
      <c r="F213" s="8">
        <f>IFERROR(E213/E444, "NA")</f>
        <v>4.3828406500368865E-2</v>
      </c>
      <c r="G213" s="9"/>
      <c r="H213" s="10">
        <f t="shared" ref="H213:H227" si="56">IFERROR(-(B213-E213), "NA")</f>
        <v>6646.14</v>
      </c>
      <c r="I213" s="8">
        <f>IFERROR(H213/H444, "NA")</f>
        <v>-2.7606325312464941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12033.64</v>
      </c>
      <c r="U213" s="8">
        <f>IFERROR(T213/T444, "NA")</f>
        <v>4.8464703498822113E-2</v>
      </c>
      <c r="V213" s="9"/>
      <c r="W213" s="10">
        <f t="shared" ref="W213:W227" si="58">IFERROR(-(Q213-T213), "NA")</f>
        <v>12033.64</v>
      </c>
      <c r="X213" s="8">
        <f>IFERROR(W213/W444, "NA")</f>
        <v>0.31232998024065761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4978.33</v>
      </c>
      <c r="C214" s="8">
        <f>IFERROR(B214/B444, "NA")</f>
        <v>3.3359547455266793E-2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-4978.33</v>
      </c>
      <c r="I214" s="8">
        <f>IFERROR(H214/H444, "NA")</f>
        <v>2.0678679277415699</v>
      </c>
      <c r="J214" s="9"/>
      <c r="K214" s="7">
        <v>450</v>
      </c>
      <c r="L214" s="8">
        <f>IFERROR(K214/K444, "NA")</f>
        <v>3.4720387078306433E-3</v>
      </c>
      <c r="M214" s="9"/>
      <c r="N214" s="10">
        <f t="shared" si="57"/>
        <v>-4528.33</v>
      </c>
      <c r="O214" s="8">
        <f>IFERROR(N214/N444, "NA")</f>
        <v>-0.23073481747648106</v>
      </c>
      <c r="P214" s="9"/>
      <c r="Q214" s="7">
        <v>9725.07</v>
      </c>
      <c r="R214" s="8">
        <f>IFERROR(Q214/Q444, "NA")</f>
        <v>3.3905864748474339E-2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-9725.07</v>
      </c>
      <c r="X214" s="8">
        <f>IFERROR(W214/W444, "NA")</f>
        <v>-0.25241164942104072</v>
      </c>
      <c r="Y214" s="9"/>
      <c r="Z214" s="7">
        <v>950</v>
      </c>
      <c r="AA214" s="8">
        <f>IFERROR(Z214/Z444, "NA")</f>
        <v>4.0482589972130082E-3</v>
      </c>
      <c r="AB214" s="9"/>
      <c r="AC214" s="10">
        <f t="shared" si="59"/>
        <v>-8775.07</v>
      </c>
      <c r="AD214" s="8">
        <f>IFERROR(AC214/AC444, "NA")</f>
        <v>-0.16824396119241938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5383.35</v>
      </c>
      <c r="C217" s="8">
        <f>IFERROR(B217/B444, "NA")</f>
        <v>3.6073566797160998E-2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-5383.35</v>
      </c>
      <c r="I217" s="8">
        <f>IFERROR(H217/H444, "NA")</f>
        <v>2.2361026305623737</v>
      </c>
      <c r="J217" s="9"/>
      <c r="K217" s="7">
        <v>224.23</v>
      </c>
      <c r="L217" s="8">
        <f>IFERROR(K217/K444, "NA")</f>
        <v>1.7300783099041446E-3</v>
      </c>
      <c r="M217" s="9"/>
      <c r="N217" s="10">
        <f t="shared" si="57"/>
        <v>-5159.1200000000008</v>
      </c>
      <c r="O217" s="8">
        <f>IFERROR(N217/N444, "NA")</f>
        <v>-0.26287585302733307</v>
      </c>
      <c r="P217" s="9"/>
      <c r="Q217" s="7">
        <v>8508.18</v>
      </c>
      <c r="R217" s="8">
        <f>IFERROR(Q217/Q444, "NA")</f>
        <v>2.966325181573751E-2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-8508.18</v>
      </c>
      <c r="X217" s="8">
        <f>IFERROR(W217/W444, "NA")</f>
        <v>-0.22082758760308258</v>
      </c>
      <c r="Y217" s="9"/>
      <c r="Z217" s="7">
        <v>612.05999999999995</v>
      </c>
      <c r="AA217" s="8">
        <f>IFERROR(Z217/Z444, "NA")</f>
        <v>2.6081867387728352E-3</v>
      </c>
      <c r="AB217" s="9"/>
      <c r="AC217" s="10">
        <f t="shared" si="59"/>
        <v>-7896.1200000000008</v>
      </c>
      <c r="AD217" s="8">
        <f>IFERROR(AC217/AC444, "NA")</f>
        <v>-0.15139189850915</v>
      </c>
    </row>
    <row r="218" spans="1:30" ht="16.5" customHeight="1" x14ac:dyDescent="0.45">
      <c r="A218" s="13" t="s">
        <v>198</v>
      </c>
      <c r="B218" s="14">
        <f>IFERROR(B213+B214+B215+B216+B217, "NA")</f>
        <v>10361.68</v>
      </c>
      <c r="C218" s="15">
        <f>IFERROR(B218/B444, "NA")</f>
        <v>6.9433114252427791E-2</v>
      </c>
      <c r="D218" s="2"/>
      <c r="E218" s="14">
        <f>IFERROR(E213+E214+E215+E216+E217, "NA")</f>
        <v>6646.14</v>
      </c>
      <c r="F218" s="15">
        <f>IFERROR(E218/E444, "NA")</f>
        <v>4.3828406500368865E-2</v>
      </c>
      <c r="G218" s="2"/>
      <c r="H218" s="14">
        <f t="shared" si="56"/>
        <v>-3715.54</v>
      </c>
      <c r="I218" s="15">
        <f>IFERROR(H218/H444, "NA")</f>
        <v>1.5433380270574495</v>
      </c>
      <c r="J218" s="2"/>
      <c r="K218" s="14">
        <f>IFERROR(K213+K214+K215+K216+K217, "NA")</f>
        <v>674.23</v>
      </c>
      <c r="L218" s="15">
        <f>IFERROR(K218/K444, "NA")</f>
        <v>5.2021170177347876E-3</v>
      </c>
      <c r="M218" s="2"/>
      <c r="N218" s="14">
        <f t="shared" si="57"/>
        <v>-9687.4500000000007</v>
      </c>
      <c r="O218" s="15">
        <f>IFERROR(N218/N444, "NA")</f>
        <v>-0.49361067050381413</v>
      </c>
      <c r="P218" s="2"/>
      <c r="Q218" s="14">
        <f>IFERROR(Q213+Q214+Q215+Q216+Q217, "NA")</f>
        <v>18233.25</v>
      </c>
      <c r="R218" s="15">
        <f>IFERROR(Q218/Q444, "NA")</f>
        <v>6.3569116564211853E-2</v>
      </c>
      <c r="S218" s="2"/>
      <c r="T218" s="14">
        <f>IFERROR(T213+T214+T215+T216+T217, "NA")</f>
        <v>12033.64</v>
      </c>
      <c r="U218" s="15">
        <f>IFERROR(T218/T444, "NA")</f>
        <v>4.8464703498822113E-2</v>
      </c>
      <c r="V218" s="2"/>
      <c r="W218" s="14">
        <f t="shared" si="58"/>
        <v>-6199.6100000000006</v>
      </c>
      <c r="X218" s="15">
        <f>IFERROR(W218/W444, "NA")</f>
        <v>-0.16090925678346565</v>
      </c>
      <c r="Y218" s="2"/>
      <c r="Z218" s="14">
        <f>IFERROR(Z213+Z214+Z215+Z216+Z217, "NA")</f>
        <v>1562.06</v>
      </c>
      <c r="AA218" s="15">
        <f>IFERROR(Z218/Z444, "NA")</f>
        <v>6.656445735985843E-3</v>
      </c>
      <c r="AB218" s="2"/>
      <c r="AC218" s="14">
        <f t="shared" si="59"/>
        <v>-16671.189999999999</v>
      </c>
      <c r="AD218" s="15">
        <f>IFERROR(AC218/AC444, "NA")</f>
        <v>-0.31963585970156932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328.97</v>
      </c>
      <c r="C222" s="8">
        <f>IFERROR(B222/B444, "NA")</f>
        <v>2.2044119868227133E-3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-328.97</v>
      </c>
      <c r="I222" s="8">
        <f>IFERROR(H222/H444, "NA")</f>
        <v>0.13664552413944925</v>
      </c>
      <c r="J222" s="9"/>
      <c r="K222" s="7">
        <v>287.5</v>
      </c>
      <c r="L222" s="8">
        <f>IFERROR(K222/K444, "NA")</f>
        <v>2.2182469522251331E-3</v>
      </c>
      <c r="M222" s="9"/>
      <c r="N222" s="10">
        <f t="shared" si="57"/>
        <v>-41.470000000000027</v>
      </c>
      <c r="O222" s="8">
        <f>IFERROR(N222/N444, "NA")</f>
        <v>-2.1130467260004628E-3</v>
      </c>
      <c r="P222" s="9"/>
      <c r="Q222" s="7">
        <v>436.13</v>
      </c>
      <c r="R222" s="8">
        <f>IFERROR(Q222/Q444, "NA")</f>
        <v>1.5205407048743209E-3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-436.13</v>
      </c>
      <c r="X222" s="8">
        <f>IFERROR(W222/W444, "NA")</f>
        <v>-1.1319640132358789E-2</v>
      </c>
      <c r="Y222" s="9"/>
      <c r="Z222" s="7">
        <v>375</v>
      </c>
      <c r="AA222" s="8">
        <f>IFERROR(Z222/Z444, "NA")</f>
        <v>1.597996972584082E-3</v>
      </c>
      <c r="AB222" s="9"/>
      <c r="AC222" s="10">
        <f t="shared" si="59"/>
        <v>-61.129999999999995</v>
      </c>
      <c r="AD222" s="8">
        <f>IFERROR(AC222/AC444, "NA")</f>
        <v>-1.1720423139294155E-3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151.63999999999999</v>
      </c>
      <c r="F226" s="8">
        <f>IFERROR(E226/E444, "NA")</f>
        <v>9.9999993405434332E-4</v>
      </c>
      <c r="G226" s="9"/>
      <c r="H226" s="10">
        <f t="shared" si="56"/>
        <v>151.63999999999999</v>
      </c>
      <c r="I226" s="8">
        <f>IFERROR(H226/H444, "NA")</f>
        <v>-6.2987285407502452E-2</v>
      </c>
      <c r="J226" s="9"/>
      <c r="K226" s="7">
        <v>355.15</v>
      </c>
      <c r="L226" s="8">
        <f>IFERROR(K226/K444, "NA")</f>
        <v>2.7402101046356728E-3</v>
      </c>
      <c r="M226" s="9"/>
      <c r="N226" s="10">
        <f t="shared" si="57"/>
        <v>355.15</v>
      </c>
      <c r="O226" s="8">
        <f>IFERROR(N226/N444, "NA")</f>
        <v>1.8096179038800671E-2</v>
      </c>
      <c r="P226" s="9"/>
      <c r="Q226" s="7">
        <v>0</v>
      </c>
      <c r="R226" s="8">
        <f>IFERROR(Q226/Q444, "NA")</f>
        <v>0</v>
      </c>
      <c r="S226" s="9"/>
      <c r="T226" s="7">
        <v>248.3</v>
      </c>
      <c r="U226" s="8">
        <f>IFERROR(T226/T444, "NA")</f>
        <v>1.0000121225794965E-3</v>
      </c>
      <c r="V226" s="9"/>
      <c r="W226" s="10">
        <f t="shared" si="58"/>
        <v>248.3</v>
      </c>
      <c r="X226" s="8">
        <f>IFERROR(W226/W444, "NA")</f>
        <v>6.444561586831191E-3</v>
      </c>
      <c r="Y226" s="9"/>
      <c r="Z226" s="7">
        <v>568.74</v>
      </c>
      <c r="AA226" s="8">
        <f>IFERROR(Z226/Z444, "NA")</f>
        <v>2.4235861284999222E-3</v>
      </c>
      <c r="AB226" s="9"/>
      <c r="AC226" s="10">
        <f t="shared" si="59"/>
        <v>568.74</v>
      </c>
      <c r="AD226" s="8">
        <f>IFERROR(AC226/AC444, "NA")</f>
        <v>1.0904422470541729E-2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10690.65</v>
      </c>
      <c r="C227" s="15">
        <f>IFERROR(B227/B444, "NA")</f>
        <v>7.1637526239250501E-2</v>
      </c>
      <c r="D227" s="2"/>
      <c r="E227" s="14">
        <f>IFERROR(E211+E213+E214+E215+E216+E217+E219+E220+E221+E222+E223+E224+E225+E226, "NA")</f>
        <v>6797.7800000000007</v>
      </c>
      <c r="F227" s="15">
        <f>IFERROR(E227/E444, "NA")</f>
        <v>4.4828406434423214E-2</v>
      </c>
      <c r="G227" s="2"/>
      <c r="H227" s="14">
        <f t="shared" si="56"/>
        <v>-3892.869999999999</v>
      </c>
      <c r="I227" s="15">
        <f>IFERROR(H227/H444, "NA")</f>
        <v>1.6169962657893959</v>
      </c>
      <c r="J227" s="2"/>
      <c r="K227" s="14">
        <f>IFERROR(K211+K213+K214+K215+K216+K217+K219+K220+K221+K222+K223+K224+K225+K226, "NA")</f>
        <v>1316.88</v>
      </c>
      <c r="L227" s="15">
        <f>IFERROR(K227/K444, "NA")</f>
        <v>1.0160574074595594E-2</v>
      </c>
      <c r="M227" s="2"/>
      <c r="N227" s="14">
        <f t="shared" si="57"/>
        <v>-9373.77</v>
      </c>
      <c r="O227" s="15">
        <f>IFERROR(N227/N444, "NA")</f>
        <v>-0.47762753819101389</v>
      </c>
      <c r="P227" s="2"/>
      <c r="Q227" s="14">
        <f>IFERROR(Q211+Q213+Q214+Q215+Q216+Q217+Q219+Q220+Q221+Q222+Q223+Q224+Q225+Q226, "NA")</f>
        <v>18669.38</v>
      </c>
      <c r="R227" s="15">
        <f>IFERROR(Q227/Q444, "NA")</f>
        <v>6.5089657269086165E-2</v>
      </c>
      <c r="S227" s="2"/>
      <c r="T227" s="14">
        <f>IFERROR(T211+T213+T214+T215+T216+T217+T219+T220+T221+T222+T223+T224+T225+T226, "NA")</f>
        <v>12281.939999999999</v>
      </c>
      <c r="U227" s="15">
        <f>IFERROR(T227/T444, "NA")</f>
        <v>4.946471562140161E-2</v>
      </c>
      <c r="V227" s="2"/>
      <c r="W227" s="14">
        <f t="shared" si="58"/>
        <v>-6387.4400000000023</v>
      </c>
      <c r="X227" s="15">
        <f>IFERROR(W227/W444, "NA")</f>
        <v>-0.16578433532899331</v>
      </c>
      <c r="Y227" s="2"/>
      <c r="Z227" s="14">
        <f>IFERROR(Z211+Z213+Z214+Z215+Z216+Z217+Z219+Z220+Z221+Z222+Z223+Z224+Z225+Z226, "NA")</f>
        <v>2505.8000000000002</v>
      </c>
      <c r="AA227" s="15">
        <f>IFERROR(Z227/Z444, "NA")</f>
        <v>1.0678028837069848E-2</v>
      </c>
      <c r="AB227" s="2"/>
      <c r="AC227" s="14">
        <f t="shared" si="59"/>
        <v>-16163.580000000002</v>
      </c>
      <c r="AD227" s="15">
        <f>IFERROR(AC227/AC444, "NA")</f>
        <v>-0.30990347954495706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4511.29</v>
      </c>
      <c r="F229" s="8">
        <f>IFERROR(E229/E444, "NA")</f>
        <v>2.9749998038116718E-2</v>
      </c>
      <c r="G229" s="9"/>
      <c r="H229" s="10">
        <f t="shared" ref="H229:H236" si="60">IFERROR(-(B229-E229), "NA")</f>
        <v>4511.29</v>
      </c>
      <c r="I229" s="8">
        <f>IFERROR(H229/H444, "NA")</f>
        <v>-1.873871740873198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7386.84</v>
      </c>
      <c r="U229" s="8">
        <f>IFERROR(T229/T444, "NA")</f>
        <v>2.9750018314760887E-2</v>
      </c>
      <c r="V229" s="9"/>
      <c r="W229" s="10">
        <f t="shared" ref="W229:W236" si="62">IFERROR(-(Q229-T229), "NA")</f>
        <v>7386.84</v>
      </c>
      <c r="X229" s="8">
        <f>IFERROR(W229/W444, "NA")</f>
        <v>0.19172350105544952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30</v>
      </c>
      <c r="L230" s="8">
        <f>IFERROR(K230/K444, "NA")</f>
        <v>2.3146924718870954E-4</v>
      </c>
      <c r="M230" s="9"/>
      <c r="N230" s="10">
        <f t="shared" si="61"/>
        <v>30</v>
      </c>
      <c r="O230" s="8">
        <f>IFERROR(N230/N444, "NA")</f>
        <v>1.5286086756694922E-3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1.2783975780672658E-4</v>
      </c>
      <c r="AB230" s="9"/>
      <c r="AC230" s="10">
        <f t="shared" si="63"/>
        <v>30</v>
      </c>
      <c r="AD230" s="8">
        <f>IFERROR(AC230/AC444, "NA")</f>
        <v>5.751884413198507E-4</v>
      </c>
    </row>
    <row r="231" spans="1:30" ht="16.5" customHeight="1" x14ac:dyDescent="0.45">
      <c r="A231" s="6" t="s">
        <v>210</v>
      </c>
      <c r="B231" s="7">
        <v>303.23</v>
      </c>
      <c r="C231" s="8">
        <f>IFERROR(B231/B444, "NA")</f>
        <v>2.0319294974139018E-3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-303.23</v>
      </c>
      <c r="I231" s="8">
        <f>IFERROR(H231/H444, "NA")</f>
        <v>0.12595380212422164</v>
      </c>
      <c r="J231" s="9"/>
      <c r="K231" s="7">
        <v>255.23</v>
      </c>
      <c r="L231" s="8">
        <f>IFERROR(K231/K444, "NA")</f>
        <v>1.969263198665811E-3</v>
      </c>
      <c r="M231" s="9"/>
      <c r="N231" s="10">
        <f t="shared" si="61"/>
        <v>-48.000000000000028</v>
      </c>
      <c r="O231" s="8">
        <f>IFERROR(N231/N444, "NA")</f>
        <v>-2.4457738810711891E-3</v>
      </c>
      <c r="P231" s="9"/>
      <c r="Q231" s="7">
        <v>636.94000000000005</v>
      </c>
      <c r="R231" s="8">
        <f>IFERROR(Q231/Q444, "NA")</f>
        <v>2.2206525498421345E-3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-636.94000000000005</v>
      </c>
      <c r="X231" s="8">
        <f>IFERROR(W231/W444, "NA")</f>
        <v>-1.6531611184519769E-2</v>
      </c>
      <c r="Y231" s="9"/>
      <c r="Z231" s="7">
        <v>269.88</v>
      </c>
      <c r="AA231" s="8">
        <f>IFERROR(Z231/Z444, "NA")</f>
        <v>1.1500464612293122E-3</v>
      </c>
      <c r="AB231" s="9"/>
      <c r="AC231" s="10">
        <f t="shared" si="63"/>
        <v>-367.06000000000006</v>
      </c>
      <c r="AD231" s="8">
        <f>IFERROR(AC231/AC444, "NA")</f>
        <v>-7.0376223090288141E-3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8.5</v>
      </c>
      <c r="L233" s="8">
        <f>IFERROR(K233/K444, "NA")</f>
        <v>6.5582953370134367E-5</v>
      </c>
      <c r="M233" s="9"/>
      <c r="N233" s="10">
        <f t="shared" si="61"/>
        <v>8.5</v>
      </c>
      <c r="O233" s="8">
        <f>IFERROR(N233/N444, "NA")</f>
        <v>4.3310579143968948E-4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12.75</v>
      </c>
      <c r="AA233" s="8">
        <f>IFERROR(Z233/Z444, "NA")</f>
        <v>5.433189706785879E-5</v>
      </c>
      <c r="AB233" s="9"/>
      <c r="AC233" s="10">
        <f t="shared" si="63"/>
        <v>12.75</v>
      </c>
      <c r="AD233" s="8">
        <f>IFERROR(AC233/AC444, "NA")</f>
        <v>2.444550875609365E-4</v>
      </c>
    </row>
    <row r="234" spans="1:30" ht="16.5" customHeight="1" x14ac:dyDescent="0.45">
      <c r="A234" s="6" t="s">
        <v>213</v>
      </c>
      <c r="B234" s="7">
        <v>3360</v>
      </c>
      <c r="C234" s="8">
        <f>IFERROR(B234/B444, "NA")</f>
        <v>2.2515196752665334E-2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-3360</v>
      </c>
      <c r="I234" s="8">
        <f>IFERROR(H234/H444, "NA")</f>
        <v>1.3956560206357704</v>
      </c>
      <c r="J234" s="9"/>
      <c r="K234" s="7">
        <v>3755.77</v>
      </c>
      <c r="L234" s="8">
        <f>IFERROR(K234/K444, "NA")</f>
        <v>2.8978175150464653E-2</v>
      </c>
      <c r="M234" s="9"/>
      <c r="N234" s="10">
        <f t="shared" si="61"/>
        <v>395.77</v>
      </c>
      <c r="O234" s="8">
        <f>IFERROR(N234/N444, "NA")</f>
        <v>2.0165915185657163E-2</v>
      </c>
      <c r="P234" s="9"/>
      <c r="Q234" s="7">
        <v>5866.92</v>
      </c>
      <c r="R234" s="8">
        <f>IFERROR(Q234/Q444, "NA")</f>
        <v>2.0454659556190243E-2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-5866.92</v>
      </c>
      <c r="X234" s="8">
        <f>IFERROR(W234/W444, "NA")</f>
        <v>-0.15227437480874609</v>
      </c>
      <c r="Y234" s="9"/>
      <c r="Z234" s="7">
        <v>7173.14</v>
      </c>
      <c r="AA234" s="8">
        <f>IFERROR(Z234/Z444, "NA")</f>
        <v>3.0567082677124754E-2</v>
      </c>
      <c r="AB234" s="9"/>
      <c r="AC234" s="10">
        <f t="shared" si="63"/>
        <v>1306.2200000000003</v>
      </c>
      <c r="AD234" s="8">
        <f>IFERROR(AC234/AC444, "NA")</f>
        <v>2.5044088194027182E-2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3663.23</v>
      </c>
      <c r="C236" s="15">
        <f>IFERROR(B236/B444, "NA")</f>
        <v>2.4547126250079238E-2</v>
      </c>
      <c r="D236" s="2"/>
      <c r="E236" s="14">
        <f>IFERROR(E229+E230+E231+E232+E233+E234+E235, "NA")</f>
        <v>4511.29</v>
      </c>
      <c r="F236" s="15">
        <f>IFERROR(E236/E444, "NA")</f>
        <v>2.9749998038116718E-2</v>
      </c>
      <c r="G236" s="2"/>
      <c r="H236" s="14">
        <f t="shared" si="60"/>
        <v>848.06</v>
      </c>
      <c r="I236" s="15">
        <f>IFERROR(H236/H444, "NA")</f>
        <v>-0.35226191811320579</v>
      </c>
      <c r="J236" s="2"/>
      <c r="K236" s="14">
        <f>IFERROR(K229+K230+K231+K232+K233+K234+K235, "NA")</f>
        <v>4049.5</v>
      </c>
      <c r="L236" s="15">
        <f>IFERROR(K236/K444, "NA")</f>
        <v>3.1244490549689308E-2</v>
      </c>
      <c r="M236" s="2"/>
      <c r="N236" s="14">
        <f t="shared" si="61"/>
        <v>386.27</v>
      </c>
      <c r="O236" s="15">
        <f>IFERROR(N236/N444, "NA")</f>
        <v>1.9681855771695157E-2</v>
      </c>
      <c r="P236" s="2"/>
      <c r="Q236" s="14">
        <f>IFERROR(Q229+Q230+Q231+Q232+Q233+Q234+Q235, "NA")</f>
        <v>6503.8600000000006</v>
      </c>
      <c r="R236" s="15">
        <f>IFERROR(Q236/Q444, "NA")</f>
        <v>2.267531210603238E-2</v>
      </c>
      <c r="S236" s="2"/>
      <c r="T236" s="14">
        <f>IFERROR(T229+T230+T231+T232+T233+T234+T235, "NA")</f>
        <v>7386.84</v>
      </c>
      <c r="U236" s="15">
        <f>IFERROR(T236/T444, "NA")</f>
        <v>2.9750018314760887E-2</v>
      </c>
      <c r="V236" s="2"/>
      <c r="W236" s="14">
        <f t="shared" si="62"/>
        <v>882.97999999999956</v>
      </c>
      <c r="X236" s="15">
        <f>IFERROR(W236/W444, "NA")</f>
        <v>2.2917515062183657E-2</v>
      </c>
      <c r="Y236" s="2"/>
      <c r="Z236" s="14">
        <f>IFERROR(Z229+Z230+Z231+Z232+Z233+Z234+Z235, "NA")</f>
        <v>7485.77</v>
      </c>
      <c r="AA236" s="15">
        <f>IFERROR(Z236/Z444, "NA")</f>
        <v>3.1899300793228655E-2</v>
      </c>
      <c r="AB236" s="2"/>
      <c r="AC236" s="14">
        <f t="shared" si="63"/>
        <v>981.90999999999985</v>
      </c>
      <c r="AD236" s="15">
        <f>IFERROR(AC236/AC444, "NA")</f>
        <v>1.882610941387915E-2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14193.66</v>
      </c>
      <c r="F240" s="8">
        <f>IFERROR(E240/E444, "NA")</f>
        <v>9.3601022579726814E-2</v>
      </c>
      <c r="G240" s="9"/>
      <c r="H240" s="10">
        <f t="shared" ref="H240:H263" si="64">IFERROR(-(B240-E240), "NA")</f>
        <v>14193.66</v>
      </c>
      <c r="I240" s="8">
        <f>IFERROR(H240/H444, "NA")</f>
        <v>-5.8956747124574731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23240.85</v>
      </c>
      <c r="U240" s="8">
        <f>IFERROR(T240/T444, "NA")</f>
        <v>9.3601013850389408E-2</v>
      </c>
      <c r="V240" s="9"/>
      <c r="W240" s="10">
        <f t="shared" ref="W240:W263" si="66">IFERROR(-(Q240-T240), "NA")</f>
        <v>23240.85</v>
      </c>
      <c r="X240" s="8">
        <f>IFERROR(W240/W444, "NA")</f>
        <v>0.60321018588524233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2352.4899999999998</v>
      </c>
      <c r="C242" s="8">
        <f>IFERROR(B242/B444, "NA")</f>
        <v>1.576392119305883E-2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-2352.4899999999998</v>
      </c>
      <c r="I242" s="8">
        <f>IFERROR(H242/H444, "NA")</f>
        <v>0.97716274761471533</v>
      </c>
      <c r="J242" s="9"/>
      <c r="K242" s="7">
        <v>1475.82</v>
      </c>
      <c r="L242" s="8">
        <f>IFERROR(K242/K444, "NA")</f>
        <v>1.1386898146201377E-2</v>
      </c>
      <c r="M242" s="9"/>
      <c r="N242" s="10">
        <f t="shared" si="65"/>
        <v>-876.66999999999985</v>
      </c>
      <c r="O242" s="8">
        <f>IFERROR(N242/N444, "NA")</f>
        <v>-4.4669512256639114E-2</v>
      </c>
      <c r="P242" s="9"/>
      <c r="Q242" s="7">
        <v>4648.8500000000004</v>
      </c>
      <c r="R242" s="8">
        <f>IFERROR(Q242/Q444, "NA")</f>
        <v>1.6207932625260789E-2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-4648.8500000000004</v>
      </c>
      <c r="X242" s="8">
        <f>IFERROR(W242/W444, "NA")</f>
        <v>-0.12065968639927581</v>
      </c>
      <c r="Y242" s="9"/>
      <c r="Z242" s="7">
        <v>2954.51</v>
      </c>
      <c r="AA242" s="8">
        <f>IFERROR(Z242/Z444, "NA")</f>
        <v>1.2590128094585058E-2</v>
      </c>
      <c r="AB242" s="9"/>
      <c r="AC242" s="10">
        <f t="shared" si="67"/>
        <v>-1694.3400000000001</v>
      </c>
      <c r="AD242" s="8">
        <f>IFERROR(AC242/AC444, "NA")</f>
        <v>-3.2485492788862529E-2</v>
      </c>
    </row>
    <row r="243" spans="1:30" ht="16.5" customHeight="1" x14ac:dyDescent="0.45">
      <c r="A243" s="12" t="s">
        <v>220</v>
      </c>
      <c r="B243" s="7">
        <v>5970.25</v>
      </c>
      <c r="C243" s="8">
        <f>IFERROR(B243/B444, "NA")</f>
        <v>4.0006355182321492E-2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-5970.25</v>
      </c>
      <c r="I243" s="8">
        <f>IFERROR(H243/H444, "NA")</f>
        <v>2.4798855229764016</v>
      </c>
      <c r="J243" s="9"/>
      <c r="K243" s="7">
        <v>6898.98</v>
      </c>
      <c r="L243" s="8">
        <f>IFERROR(K243/K444, "NA")</f>
        <v>5.3230056898998776E-2</v>
      </c>
      <c r="M243" s="9"/>
      <c r="N243" s="10">
        <f t="shared" si="65"/>
        <v>928.72999999999956</v>
      </c>
      <c r="O243" s="8">
        <f>IFERROR(N243/N444, "NA")</f>
        <v>4.7322157845150897E-2</v>
      </c>
      <c r="P243" s="9"/>
      <c r="Q243" s="7">
        <v>11719.83</v>
      </c>
      <c r="R243" s="8">
        <f>IFERROR(Q243/Q444, "NA")</f>
        <v>4.0860474099940876E-2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-11719.83</v>
      </c>
      <c r="X243" s="8">
        <f>IFERROR(W243/W444, "NA")</f>
        <v>-0.30418512373013207</v>
      </c>
      <c r="Y243" s="9"/>
      <c r="Z243" s="7">
        <v>13210.33</v>
      </c>
      <c r="AA243" s="8">
        <f>IFERROR(Z243/Z444, "NA")</f>
        <v>5.6293512924897808E-2</v>
      </c>
      <c r="AB243" s="9"/>
      <c r="AC243" s="10">
        <f t="shared" si="67"/>
        <v>1490.5</v>
      </c>
      <c r="AD243" s="8">
        <f>IFERROR(AC243/AC444, "NA")</f>
        <v>2.8577279059574578E-2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698.29</v>
      </c>
      <c r="C246" s="8">
        <f>IFERROR(B246/B444, "NA")</f>
        <v>4.6792073632198443E-3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-698.29</v>
      </c>
      <c r="I246" s="8">
        <f>IFERROR(H246/H444, "NA")</f>
        <v>0.29005138174099765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-698.29</v>
      </c>
      <c r="O246" s="8">
        <f>IFERROR(N246/N444, "NA")</f>
        <v>-3.5580405071108323E-2</v>
      </c>
      <c r="P246" s="9"/>
      <c r="Q246" s="7">
        <v>960.76</v>
      </c>
      <c r="R246" s="8">
        <f>IFERROR(Q246/Q444, "NA")</f>
        <v>3.3496312741958878E-3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-960.76</v>
      </c>
      <c r="X246" s="8">
        <f>IFERROR(W246/W444, "NA")</f>
        <v>-2.4936274628127003E-2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-960.76</v>
      </c>
      <c r="AD246" s="8">
        <f>IFERROR(AC246/AC444, "NA")</f>
        <v>-1.8420601562748658E-2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1.52</v>
      </c>
      <c r="AA247" s="8">
        <f>IFERROR(Z247/Z444, "NA")</f>
        <v>6.477214395540813E-6</v>
      </c>
      <c r="AB247" s="9"/>
      <c r="AC247" s="10">
        <f t="shared" si="67"/>
        <v>1.52</v>
      </c>
      <c r="AD247" s="8">
        <f>IFERROR(AC247/AC444, "NA")</f>
        <v>2.9142881026872432E-5</v>
      </c>
    </row>
    <row r="248" spans="1:30" ht="16.5" customHeight="1" x14ac:dyDescent="0.45">
      <c r="A248" s="12" t="s">
        <v>225</v>
      </c>
      <c r="B248" s="7">
        <v>165.41</v>
      </c>
      <c r="C248" s="8">
        <f>IFERROR(B248/B444, "NA")</f>
        <v>1.1084043734697539E-3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-165.41</v>
      </c>
      <c r="I248" s="8">
        <f>IFERROR(H248/H444, "NA")</f>
        <v>6.8706982849215115E-2</v>
      </c>
      <c r="J248" s="9"/>
      <c r="K248" s="7">
        <v>165.41</v>
      </c>
      <c r="L248" s="8">
        <f>IFERROR(K248/K444, "NA")</f>
        <v>1.2762442725828148E-3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357.23</v>
      </c>
      <c r="R248" s="8">
        <f>IFERROR(Q248/Q444, "NA")</f>
        <v>1.2454606562315221E-3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-357.23</v>
      </c>
      <c r="X248" s="8">
        <f>IFERROR(W248/W444, "NA")</f>
        <v>-9.2718112592175047E-3</v>
      </c>
      <c r="Y248" s="9"/>
      <c r="Z248" s="7">
        <v>165.41</v>
      </c>
      <c r="AA248" s="8">
        <f>IFERROR(Z248/Z444, "NA")</f>
        <v>7.0486581129368809E-4</v>
      </c>
      <c r="AB248" s="9"/>
      <c r="AC248" s="10">
        <f t="shared" si="67"/>
        <v>-191.82000000000002</v>
      </c>
      <c r="AD248" s="8">
        <f>IFERROR(AC248/AC444, "NA")</f>
        <v>-3.6777548937991255E-3</v>
      </c>
    </row>
    <row r="249" spans="1:30" ht="16.5" customHeight="1" x14ac:dyDescent="0.45">
      <c r="A249" s="12" t="s">
        <v>226</v>
      </c>
      <c r="B249" s="7">
        <v>3837.71</v>
      </c>
      <c r="C249" s="8">
        <f>IFERROR(B249/B444, "NA")</f>
        <v>2.5716308252878357E-2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-3837.71</v>
      </c>
      <c r="I249" s="8">
        <f>IFERROR(H249/H444, "NA")</f>
        <v>1.5940842461172926</v>
      </c>
      <c r="J249" s="9"/>
      <c r="K249" s="7">
        <v>2057.0100000000002</v>
      </c>
      <c r="L249" s="8">
        <f>IFERROR(K249/K444, "NA")</f>
        <v>1.5871151871988249E-2</v>
      </c>
      <c r="M249" s="9"/>
      <c r="N249" s="10">
        <f t="shared" si="65"/>
        <v>-1780.6999999999998</v>
      </c>
      <c r="O249" s="8">
        <f>IFERROR(N249/N444, "NA")</f>
        <v>-9.0733115625488817E-2</v>
      </c>
      <c r="P249" s="9"/>
      <c r="Q249" s="7">
        <v>6518.94</v>
      </c>
      <c r="R249" s="8">
        <f>IFERROR(Q249/Q444, "NA")</f>
        <v>2.2727887608358529E-2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-6518.94</v>
      </c>
      <c r="X249" s="8">
        <f>IFERROR(W249/W444, "NA")</f>
        <v>-0.16919738345089538</v>
      </c>
      <c r="Y249" s="9"/>
      <c r="Z249" s="7">
        <v>3680.98</v>
      </c>
      <c r="AA249" s="8">
        <f>IFERROR(Z249/Z444, "NA")</f>
        <v>1.5685853056380147E-2</v>
      </c>
      <c r="AB249" s="9"/>
      <c r="AC249" s="10">
        <f t="shared" si="67"/>
        <v>-2837.9599999999996</v>
      </c>
      <c r="AD249" s="8">
        <f>IFERROR(AC249/AC444, "NA")</f>
        <v>-5.4412059630936101E-2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1932.76</v>
      </c>
      <c r="C254" s="8">
        <f>IFERROR(B254/B444, "NA")</f>
        <v>1.2951330855857576E-2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-1932.76</v>
      </c>
      <c r="I254" s="8">
        <f>IFERROR(H254/H444, "NA")</f>
        <v>0.8028178959654737</v>
      </c>
      <c r="J254" s="9"/>
      <c r="K254" s="7">
        <v>2519.35</v>
      </c>
      <c r="L254" s="8">
        <f>IFERROR(K254/K444, "NA")</f>
        <v>1.9438401596829177E-2</v>
      </c>
      <c r="M254" s="9"/>
      <c r="N254" s="10">
        <f t="shared" si="65"/>
        <v>586.58999999999992</v>
      </c>
      <c r="O254" s="8">
        <f>IFERROR(N254/N444, "NA")</f>
        <v>2.9888885435365577E-2</v>
      </c>
      <c r="P254" s="9"/>
      <c r="Q254" s="7">
        <v>3375</v>
      </c>
      <c r="R254" s="8">
        <f>IFERROR(Q254/Q444, "NA")</f>
        <v>1.1766732118750907E-2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-3375</v>
      </c>
      <c r="X254" s="8">
        <f>IFERROR(W254/W444, "NA")</f>
        <v>-8.7597242672393355E-2</v>
      </c>
      <c r="Y254" s="9"/>
      <c r="Z254" s="7">
        <v>2519.35</v>
      </c>
      <c r="AA254" s="8">
        <f>IFERROR(Z254/Z444, "NA")</f>
        <v>1.0735769794345885E-2</v>
      </c>
      <c r="AB254" s="9"/>
      <c r="AC254" s="10">
        <f t="shared" si="67"/>
        <v>-855.65000000000009</v>
      </c>
      <c r="AD254" s="8">
        <f>IFERROR(AC254/AC444, "NA")</f>
        <v>-1.6405332993844342E-2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14956.909999999998</v>
      </c>
      <c r="C262" s="15">
        <f>IFERROR(B262/B444, "NA")</f>
        <v>0.10022552722080584</v>
      </c>
      <c r="D262" s="2"/>
      <c r="E262" s="14">
        <f>IFERROR(E240+E241+E242+E243+E244+E245+E246+E247+E248+E249+E250+E251+E252+E253+E254+E255+E256+E257+E258+E259+E260+E261, "NA")</f>
        <v>14193.66</v>
      </c>
      <c r="F262" s="15">
        <f>IFERROR(E262/E444, "NA")</f>
        <v>9.3601022579726814E-2</v>
      </c>
      <c r="G262" s="2"/>
      <c r="H262" s="14">
        <f t="shared" si="64"/>
        <v>-763.24999999999818</v>
      </c>
      <c r="I262" s="15">
        <f>IFERROR(H262/H444, "NA")</f>
        <v>0.31703406480662183</v>
      </c>
      <c r="J262" s="2"/>
      <c r="K262" s="14">
        <f>IFERROR(K240+K241+K242+K243+K244+K245+K246+K247+K248+K249+K250+K251+K252+K253+K254+K255+K256+K257+K258+K259+K260+K261, "NA")</f>
        <v>13116.57</v>
      </c>
      <c r="L262" s="15">
        <f>IFERROR(K262/K444, "NA")</f>
        <v>0.10120275278660039</v>
      </c>
      <c r="M262" s="2"/>
      <c r="N262" s="14">
        <f t="shared" si="65"/>
        <v>-1840.3399999999983</v>
      </c>
      <c r="O262" s="15">
        <f>IFERROR(N262/N444, "NA")</f>
        <v>-9.3771989672719686E-2</v>
      </c>
      <c r="P262" s="2"/>
      <c r="Q262" s="14">
        <f>IFERROR(Q240+Q241+Q242+Q243+Q244+Q245+Q246+Q247+Q248+Q249+Q250+Q251+Q252+Q253+Q254+Q255+Q256+Q257+Q258+Q259+Q260+Q261, "NA")</f>
        <v>27580.609999999997</v>
      </c>
      <c r="R262" s="15">
        <f>IFERROR(Q262/Q444, "NA")</f>
        <v>9.6158118382738494E-2</v>
      </c>
      <c r="S262" s="2"/>
      <c r="T262" s="14">
        <f>IFERROR(T240+T241+T242+T243+T244+T245+T246+T247+T248+T249+T250+T251+T252+T253+T254+T255+T256+T257+T258+T259+T260+T261, "NA")</f>
        <v>23240.85</v>
      </c>
      <c r="U262" s="15">
        <f>IFERROR(T262/T444, "NA")</f>
        <v>9.3601013850389408E-2</v>
      </c>
      <c r="V262" s="2"/>
      <c r="W262" s="14">
        <f t="shared" si="66"/>
        <v>-4339.7599999999984</v>
      </c>
      <c r="X262" s="15">
        <f>IFERROR(W262/W444, "NA")</f>
        <v>-0.1126373362547987</v>
      </c>
      <c r="Y262" s="2"/>
      <c r="Z262" s="14">
        <f>IFERROR(Z240+Z241+Z242+Z243+Z244+Z245+Z246+Z247+Z248+Z249+Z250+Z251+Z252+Z253+Z254+Z255+Z256+Z257+Z258+Z259+Z260+Z261, "NA")</f>
        <v>22532.1</v>
      </c>
      <c r="AA262" s="15">
        <f>IFERROR(Z262/Z444, "NA")</f>
        <v>9.6016606895898124E-2</v>
      </c>
      <c r="AB262" s="2"/>
      <c r="AC262" s="14">
        <f t="shared" si="67"/>
        <v>-5048.5099999999984</v>
      </c>
      <c r="AD262" s="15">
        <f>IFERROR(AC262/AC444, "NA")</f>
        <v>-9.6794819929589271E-2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14956.909999999998</v>
      </c>
      <c r="C263" s="15">
        <f>IFERROR(B263/B444, "NA")</f>
        <v>0.10022552722080584</v>
      </c>
      <c r="D263" s="2"/>
      <c r="E263" s="14">
        <f>IFERROR(E238+E240+E241+E242+E243+E244+E245+E246+E247+E248+E249+E250+E251+E252+E253+E254+E255+E256+E257+E258+E259+E260+E261, "NA")</f>
        <v>14193.66</v>
      </c>
      <c r="F263" s="15">
        <f>IFERROR(E263/E444, "NA")</f>
        <v>9.3601022579726814E-2</v>
      </c>
      <c r="G263" s="2"/>
      <c r="H263" s="14">
        <f t="shared" si="64"/>
        <v>-763.24999999999818</v>
      </c>
      <c r="I263" s="15">
        <f>IFERROR(H263/H444, "NA")</f>
        <v>0.31703406480662183</v>
      </c>
      <c r="J263" s="2"/>
      <c r="K263" s="14">
        <f>IFERROR(K238+K240+K241+K242+K243+K244+K245+K246+K247+K248+K249+K250+K251+K252+K253+K254+K255+K256+K257+K258+K259+K260+K261, "NA")</f>
        <v>13116.57</v>
      </c>
      <c r="L263" s="15">
        <f>IFERROR(K263/K444, "NA")</f>
        <v>0.10120275278660039</v>
      </c>
      <c r="M263" s="2"/>
      <c r="N263" s="14">
        <f t="shared" si="65"/>
        <v>-1840.3399999999983</v>
      </c>
      <c r="O263" s="15">
        <f>IFERROR(N263/N444, "NA")</f>
        <v>-9.3771989672719686E-2</v>
      </c>
      <c r="P263" s="2"/>
      <c r="Q263" s="14">
        <f>IFERROR(Q238+Q240+Q241+Q242+Q243+Q244+Q245+Q246+Q247+Q248+Q249+Q250+Q251+Q252+Q253+Q254+Q255+Q256+Q257+Q258+Q259+Q260+Q261, "NA")</f>
        <v>27580.609999999997</v>
      </c>
      <c r="R263" s="15">
        <f>IFERROR(Q263/Q444, "NA")</f>
        <v>9.6158118382738494E-2</v>
      </c>
      <c r="S263" s="2"/>
      <c r="T263" s="14">
        <f>IFERROR(T238+T240+T241+T242+T243+T244+T245+T246+T247+T248+T249+T250+T251+T252+T253+T254+T255+T256+T257+T258+T259+T260+T261, "NA")</f>
        <v>23240.85</v>
      </c>
      <c r="U263" s="15">
        <f>IFERROR(T263/T444, "NA")</f>
        <v>9.3601013850389408E-2</v>
      </c>
      <c r="V263" s="2"/>
      <c r="W263" s="14">
        <f t="shared" si="66"/>
        <v>-4339.7599999999984</v>
      </c>
      <c r="X263" s="15">
        <f>IFERROR(W263/W444, "NA")</f>
        <v>-0.1126373362547987</v>
      </c>
      <c r="Y263" s="2"/>
      <c r="Z263" s="14">
        <f>IFERROR(Z238+Z240+Z241+Z242+Z243+Z244+Z245+Z246+Z247+Z248+Z249+Z250+Z251+Z252+Z253+Z254+Z255+Z256+Z257+Z258+Z259+Z260+Z261, "NA")</f>
        <v>22532.1</v>
      </c>
      <c r="AA263" s="15">
        <f>IFERROR(Z263/Z444, "NA")</f>
        <v>9.6016606895898124E-2</v>
      </c>
      <c r="AB263" s="2"/>
      <c r="AC263" s="14">
        <f t="shared" si="67"/>
        <v>-5048.5099999999984</v>
      </c>
      <c r="AD263" s="15">
        <f>IFERROR(AC263/AC444, "NA")</f>
        <v>-9.6794819929589271E-2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3239.36</v>
      </c>
      <c r="C265" s="8">
        <f>IFERROR(B265/B444, "NA")</f>
        <v>2.1706793974022018E-2</v>
      </c>
      <c r="D265" s="9"/>
      <c r="E265" s="7">
        <v>3942.64</v>
      </c>
      <c r="F265" s="8">
        <f>IFERROR(E265/E444, "NA")</f>
        <v>2.5999998285412929E-2</v>
      </c>
      <c r="G265" s="9"/>
      <c r="H265" s="10">
        <f>IFERROR(-(B265-E265), "NA")</f>
        <v>703.27999999999975</v>
      </c>
      <c r="I265" s="8">
        <f>IFERROR(H265/H444, "NA")</f>
        <v>-0.29212409708116793</v>
      </c>
      <c r="J265" s="9"/>
      <c r="K265" s="7">
        <v>2947.83</v>
      </c>
      <c r="L265" s="8">
        <f>IFERROR(K265/K444, "NA")</f>
        <v>2.2744399698009787E-2</v>
      </c>
      <c r="M265" s="9"/>
      <c r="N265" s="10">
        <f>IFERROR(-(B265-K265), "NA")</f>
        <v>-291.5300000000002</v>
      </c>
      <c r="O265" s="8">
        <f>IFERROR(N265/N444, "NA")</f>
        <v>-1.4854509573930912E-2</v>
      </c>
      <c r="P265" s="9"/>
      <c r="Q265" s="7">
        <v>6144.05</v>
      </c>
      <c r="R265" s="8">
        <f>IFERROR(Q265/Q444, "NA")</f>
        <v>2.1420856436803411E-2</v>
      </c>
      <c r="S265" s="9"/>
      <c r="T265" s="7">
        <v>6455.72</v>
      </c>
      <c r="U265" s="8">
        <f>IFERROR(T265/T444, "NA")</f>
        <v>2.5999992992263018E-2</v>
      </c>
      <c r="V265" s="9"/>
      <c r="W265" s="10">
        <f>IFERROR(-(Q265-T265), "NA")</f>
        <v>311.67000000000007</v>
      </c>
      <c r="X265" s="8">
        <f>IFERROR(W265/W444, "NA")</f>
        <v>8.0893133699866202E-3</v>
      </c>
      <c r="Y265" s="9"/>
      <c r="Z265" s="7">
        <v>5640.34</v>
      </c>
      <c r="AA265" s="8">
        <f>IFERROR(Z265/Z444, "NA")</f>
        <v>2.4035323318253071E-2</v>
      </c>
      <c r="AB265" s="9"/>
      <c r="AC265" s="10">
        <f>IFERROR(-(Q265-Z265), "NA")</f>
        <v>-503.71000000000004</v>
      </c>
      <c r="AD265" s="8">
        <f>IFERROR(AC265/AC444, "NA")</f>
        <v>-9.6576056592407328E-3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3239.36</v>
      </c>
      <c r="C267" s="15">
        <f>IFERROR(B267/B444, "NA")</f>
        <v>2.1706793974022018E-2</v>
      </c>
      <c r="D267" s="2"/>
      <c r="E267" s="14">
        <f>IFERROR(E265+E266, "NA")</f>
        <v>3942.64</v>
      </c>
      <c r="F267" s="15">
        <f>IFERROR(E267/E444, "NA")</f>
        <v>2.5999998285412929E-2</v>
      </c>
      <c r="G267" s="2"/>
      <c r="H267" s="14">
        <f>IFERROR(-(B267-E267), "NA")</f>
        <v>703.27999999999975</v>
      </c>
      <c r="I267" s="15">
        <f>IFERROR(H267/H444, "NA")</f>
        <v>-0.29212409708116793</v>
      </c>
      <c r="J267" s="2"/>
      <c r="K267" s="14">
        <f>IFERROR(K265+K266, "NA")</f>
        <v>2947.83</v>
      </c>
      <c r="L267" s="15">
        <f>IFERROR(K267/K444, "NA")</f>
        <v>2.2744399698009787E-2</v>
      </c>
      <c r="M267" s="2"/>
      <c r="N267" s="14">
        <f>IFERROR(-(B267-K267), "NA")</f>
        <v>-291.5300000000002</v>
      </c>
      <c r="O267" s="15">
        <f>IFERROR(N267/N444, "NA")</f>
        <v>-1.4854509573930912E-2</v>
      </c>
      <c r="P267" s="2"/>
      <c r="Q267" s="14">
        <f>IFERROR(Q265+Q266, "NA")</f>
        <v>6144.05</v>
      </c>
      <c r="R267" s="15">
        <f>IFERROR(Q267/Q444, "NA")</f>
        <v>2.1420856436803411E-2</v>
      </c>
      <c r="S267" s="2"/>
      <c r="T267" s="14">
        <f>IFERROR(T265+T266, "NA")</f>
        <v>6455.72</v>
      </c>
      <c r="U267" s="15">
        <f>IFERROR(T267/T444, "NA")</f>
        <v>2.5999992992263018E-2</v>
      </c>
      <c r="V267" s="2"/>
      <c r="W267" s="14">
        <f>IFERROR(-(Q267-T267), "NA")</f>
        <v>311.67000000000007</v>
      </c>
      <c r="X267" s="15">
        <f>IFERROR(W267/W444, "NA")</f>
        <v>8.0893133699866202E-3</v>
      </c>
      <c r="Y267" s="2"/>
      <c r="Z267" s="14">
        <f>IFERROR(Z265+Z266, "NA")</f>
        <v>5640.34</v>
      </c>
      <c r="AA267" s="15">
        <f>IFERROR(Z267/Z444, "NA")</f>
        <v>2.4035323318253071E-2</v>
      </c>
      <c r="AB267" s="2"/>
      <c r="AC267" s="14">
        <f>IFERROR(-(Q267-Z267), "NA")</f>
        <v>-503.71000000000004</v>
      </c>
      <c r="AD267" s="15">
        <f>IFERROR(AC267/AC444, "NA")</f>
        <v>-9.6576056592407328E-3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229.7</v>
      </c>
      <c r="C270" s="8">
        <f>IFERROR(B270/B444, "NA")</f>
        <v>1.5392085399069128E-3</v>
      </c>
      <c r="D270" s="9"/>
      <c r="E270" s="7">
        <v>303.95999999999998</v>
      </c>
      <c r="F270" s="8">
        <f>IFERROR(E270/E444, "NA")</f>
        <v>2.0044841727457018E-3</v>
      </c>
      <c r="G270" s="9"/>
      <c r="H270" s="10">
        <f>IFERROR(-(B270-E270), "NA")</f>
        <v>74.259999999999991</v>
      </c>
      <c r="I270" s="8">
        <f>IFERROR(H270/H444, "NA")</f>
        <v>-3.0845659551313187E-2</v>
      </c>
      <c r="J270" s="9"/>
      <c r="K270" s="7">
        <v>163.32</v>
      </c>
      <c r="L270" s="8">
        <f>IFERROR(K270/K444, "NA")</f>
        <v>1.2601185816953347E-3</v>
      </c>
      <c r="M270" s="9"/>
      <c r="N270" s="10">
        <f>IFERROR(-(B270-K270), "NA")</f>
        <v>-66.38</v>
      </c>
      <c r="O270" s="8">
        <f>IFERROR(N270/N444, "NA")</f>
        <v>-3.3823014630313627E-3</v>
      </c>
      <c r="P270" s="9"/>
      <c r="Q270" s="7">
        <v>459.4</v>
      </c>
      <c r="R270" s="8">
        <f>IFERROR(Q270/Q444, "NA")</f>
        <v>1.601670143808642E-3</v>
      </c>
      <c r="S270" s="9"/>
      <c r="T270" s="7">
        <v>543.30999999999995</v>
      </c>
      <c r="U270" s="8">
        <f>IFERROR(T270/T444, "NA")</f>
        <v>2.1881457362813782E-3</v>
      </c>
      <c r="V270" s="9"/>
      <c r="W270" s="10">
        <f>IFERROR(-(Q270-T270), "NA")</f>
        <v>83.909999999999968</v>
      </c>
      <c r="X270" s="8">
        <f>IFERROR(W270/W444, "NA")</f>
        <v>2.17786211337497E-3</v>
      </c>
      <c r="Y270" s="9"/>
      <c r="Z270" s="7">
        <v>326.64</v>
      </c>
      <c r="AA270" s="8">
        <f>IFERROR(Z270/Z444, "NA")</f>
        <v>1.3919192829996388E-3</v>
      </c>
      <c r="AB270" s="9"/>
      <c r="AC270" s="10">
        <f>IFERROR(-(Q270-Z270), "NA")</f>
        <v>-132.76</v>
      </c>
      <c r="AD270" s="8">
        <f>IFERROR(AC270/AC444, "NA")</f>
        <v>-2.545400582320779E-3</v>
      </c>
    </row>
    <row r="271" spans="1:30" ht="16.5" customHeight="1" x14ac:dyDescent="0.45">
      <c r="A271" s="6" t="s">
        <v>246</v>
      </c>
      <c r="B271" s="7">
        <v>852.8</v>
      </c>
      <c r="C271" s="8">
        <f>IFERROR(B271/B444, "NA")</f>
        <v>5.7145713662717255E-3</v>
      </c>
      <c r="D271" s="9"/>
      <c r="E271" s="7">
        <v>606.55999999999995</v>
      </c>
      <c r="F271" s="8">
        <f>IFERROR(E271/E444, "NA")</f>
        <v>3.9999997362173733E-3</v>
      </c>
      <c r="G271" s="9"/>
      <c r="H271" s="10">
        <f>IFERROR(-(B271-E271), "NA")</f>
        <v>-246.24</v>
      </c>
      <c r="I271" s="8">
        <f>IFERROR(H271/H444, "NA")</f>
        <v>0.10228164836945004</v>
      </c>
      <c r="J271" s="9"/>
      <c r="K271" s="7">
        <v>561.82000000000005</v>
      </c>
      <c r="L271" s="8">
        <f>IFERROR(K271/K444, "NA")</f>
        <v>4.3348017485186933E-3</v>
      </c>
      <c r="M271" s="9"/>
      <c r="N271" s="10">
        <f>IFERROR(-(B271-K271), "NA")</f>
        <v>-290.9799999999999</v>
      </c>
      <c r="O271" s="8">
        <f>IFERROR(N271/N444, "NA")</f>
        <v>-1.4826485081543623E-2</v>
      </c>
      <c r="P271" s="9"/>
      <c r="Q271" s="7">
        <v>1705.6</v>
      </c>
      <c r="R271" s="8">
        <f>IFERROR(Q271/Q444, "NA")</f>
        <v>5.9464706079234214E-3</v>
      </c>
      <c r="S271" s="9"/>
      <c r="T271" s="7">
        <v>993.19</v>
      </c>
      <c r="U271" s="8">
        <f>IFERROR(T271/T444, "NA")</f>
        <v>4.0000082159674993E-3</v>
      </c>
      <c r="V271" s="9"/>
      <c r="W271" s="10">
        <f>IFERROR(-(Q271-T271), "NA")</f>
        <v>-712.40999999999985</v>
      </c>
      <c r="X271" s="8">
        <f>IFERROR(W271/W444, "NA")</f>
        <v>-1.849041530436733E-2</v>
      </c>
      <c r="Y271" s="9"/>
      <c r="Z271" s="7">
        <v>1123.6400000000001</v>
      </c>
      <c r="AA271" s="8">
        <f>IFERROR(Z271/Z444, "NA")</f>
        <v>4.7881955153983415E-3</v>
      </c>
      <c r="AB271" s="9"/>
      <c r="AC271" s="10">
        <f>IFERROR(-(Q271-Z271), "NA")</f>
        <v>-581.95999999999981</v>
      </c>
      <c r="AD271" s="8">
        <f>IFERROR(AC271/AC444, "NA")</f>
        <v>-1.115788884368334E-2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1082.5</v>
      </c>
      <c r="C273" s="15">
        <f>IFERROR(B273/B444, "NA")</f>
        <v>7.2537799061786383E-3</v>
      </c>
      <c r="D273" s="2"/>
      <c r="E273" s="14">
        <f>IFERROR(E269+E270+E271+E272, "NA")</f>
        <v>910.52</v>
      </c>
      <c r="F273" s="15">
        <f>IFERROR(E273/E444, "NA")</f>
        <v>6.0044839089630764E-3</v>
      </c>
      <c r="G273" s="2"/>
      <c r="H273" s="14">
        <f>IFERROR(-(B273-E273), "NA")</f>
        <v>-171.98000000000002</v>
      </c>
      <c r="I273" s="15">
        <f>IFERROR(H273/H444, "NA")</f>
        <v>7.1435988818136856E-2</v>
      </c>
      <c r="J273" s="2"/>
      <c r="K273" s="14">
        <f>IFERROR(K269+K270+K271+K272, "NA")</f>
        <v>725.1400000000001</v>
      </c>
      <c r="L273" s="15">
        <f>IFERROR(K273/K444, "NA")</f>
        <v>5.5949203302140286E-3</v>
      </c>
      <c r="M273" s="2"/>
      <c r="N273" s="14">
        <f>IFERROR(-(B273-K273), "NA")</f>
        <v>-357.3599999999999</v>
      </c>
      <c r="O273" s="15">
        <f>IFERROR(N273/N444, "NA")</f>
        <v>-1.8208786544574987E-2</v>
      </c>
      <c r="P273" s="2"/>
      <c r="Q273" s="14">
        <f>IFERROR(Q269+Q270+Q271+Q272, "NA")</f>
        <v>2165</v>
      </c>
      <c r="R273" s="15">
        <f>IFERROR(Q273/Q444, "NA")</f>
        <v>7.5481407517320638E-3</v>
      </c>
      <c r="S273" s="2"/>
      <c r="T273" s="14">
        <f>IFERROR(T269+T270+T271+T272, "NA")</f>
        <v>1536.5</v>
      </c>
      <c r="U273" s="15">
        <f>IFERROR(T273/T444, "NA")</f>
        <v>6.1881539522488779E-3</v>
      </c>
      <c r="V273" s="2"/>
      <c r="W273" s="14">
        <f>IFERROR(-(Q273-T273), "NA")</f>
        <v>-628.5</v>
      </c>
      <c r="X273" s="15">
        <f>IFERROR(W273/W444, "NA")</f>
        <v>-1.6312553190992361E-2</v>
      </c>
      <c r="Y273" s="2"/>
      <c r="Z273" s="14">
        <f>IFERROR(Z269+Z270+Z271+Z272, "NA")</f>
        <v>1450.2800000000002</v>
      </c>
      <c r="AA273" s="15">
        <f>IFERROR(Z273/Z444, "NA")</f>
        <v>6.180114798397981E-3</v>
      </c>
      <c r="AB273" s="2"/>
      <c r="AC273" s="14">
        <f>IFERROR(-(Q273-Z273), "NA")</f>
        <v>-714.7199999999998</v>
      </c>
      <c r="AD273" s="15">
        <f>IFERROR(AC273/AC444, "NA")</f>
        <v>-1.3703289426004118E-2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2.4070164595742243E-3</v>
      </c>
      <c r="G287" s="9"/>
      <c r="H287" s="10">
        <f t="shared" si="72"/>
        <v>365</v>
      </c>
      <c r="I287" s="8">
        <f>IFERROR(H287/H444, "NA")</f>
        <v>-0.15161144271787388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730</v>
      </c>
      <c r="U287" s="8">
        <f>IFERROR(T287/T444, "NA")</f>
        <v>2.9400275855136224E-3</v>
      </c>
      <c r="V287" s="9"/>
      <c r="W287" s="10">
        <f t="shared" si="74"/>
        <v>730</v>
      </c>
      <c r="X287" s="8">
        <f>IFERROR(W287/W444, "NA")</f>
        <v>1.8946959155806561E-2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9.6929262210507174E-4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6.0083822436001251E-2</v>
      </c>
      <c r="J288" s="9"/>
      <c r="K288" s="7">
        <v>147.96</v>
      </c>
      <c r="L288" s="8">
        <f>IFERROR(K288/K444, "NA")</f>
        <v>1.1416063271347155E-3</v>
      </c>
      <c r="M288" s="9"/>
      <c r="N288" s="10">
        <f t="shared" si="73"/>
        <v>3.3100000000000023</v>
      </c>
      <c r="O288" s="8">
        <f>IFERROR(N288/N444, "NA")</f>
        <v>1.6865649054886742E-4</v>
      </c>
      <c r="P288" s="9"/>
      <c r="Q288" s="7">
        <v>289.3</v>
      </c>
      <c r="R288" s="8">
        <f>IFERROR(Q288/Q444, "NA")</f>
        <v>1.0086268450235963E-3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-289.3</v>
      </c>
      <c r="X288" s="8">
        <f>IFERROR(W288/W444, "NA")</f>
        <v>-7.5087058681847108E-3</v>
      </c>
      <c r="Y288" s="9"/>
      <c r="Z288" s="7">
        <v>295.92</v>
      </c>
      <c r="AA288" s="8">
        <f>IFERROR(Z288/Z444, "NA")</f>
        <v>1.261011371005551E-3</v>
      </c>
      <c r="AB288" s="9"/>
      <c r="AC288" s="10">
        <f t="shared" si="75"/>
        <v>6.6200000000000045</v>
      </c>
      <c r="AD288" s="8">
        <f>IFERROR(AC288/AC444, "NA")</f>
        <v>1.2692491605124714E-4</v>
      </c>
    </row>
    <row r="289" spans="1:30" ht="16.5" customHeight="1" x14ac:dyDescent="0.45">
      <c r="A289" s="6" t="s">
        <v>262</v>
      </c>
      <c r="B289" s="7">
        <v>220.99</v>
      </c>
      <c r="C289" s="8">
        <f>IFERROR(B289/B444, "NA")</f>
        <v>1.4808432530867598E-3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-220.99</v>
      </c>
      <c r="I289" s="8">
        <f>IFERROR(H289/H444, "NA")</f>
        <v>9.1793459523898488E-2</v>
      </c>
      <c r="J289" s="9"/>
      <c r="K289" s="7">
        <v>210.6</v>
      </c>
      <c r="L289" s="8">
        <f>IFERROR(K289/K444, "NA")</f>
        <v>1.624914115264741E-3</v>
      </c>
      <c r="M289" s="9"/>
      <c r="N289" s="10">
        <f t="shared" si="73"/>
        <v>-10.390000000000015</v>
      </c>
      <c r="O289" s="8">
        <f>IFERROR(N289/N444, "NA")</f>
        <v>-5.2940813800686818E-4</v>
      </c>
      <c r="P289" s="9"/>
      <c r="Q289" s="7">
        <v>439.06</v>
      </c>
      <c r="R289" s="8">
        <f>IFERROR(Q289/Q444, "NA")</f>
        <v>1.5307559715729698E-3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-439.06</v>
      </c>
      <c r="X289" s="8">
        <f>IFERROR(W289/W444, "NA")</f>
        <v>-1.1395687516367711E-2</v>
      </c>
      <c r="Y289" s="9"/>
      <c r="Z289" s="7">
        <v>454.42</v>
      </c>
      <c r="AA289" s="8">
        <f>IFERROR(Z289/Z444, "NA")</f>
        <v>1.9364314247510897E-3</v>
      </c>
      <c r="AB289" s="9"/>
      <c r="AC289" s="10">
        <f t="shared" si="75"/>
        <v>15.360000000000014</v>
      </c>
      <c r="AD289" s="8">
        <f>IFERROR(AC289/AC444, "NA")</f>
        <v>2.9449648195576381E-4</v>
      </c>
    </row>
    <row r="290" spans="1:30" ht="16.5" customHeight="1" x14ac:dyDescent="0.45">
      <c r="A290" s="6" t="s">
        <v>263</v>
      </c>
      <c r="B290" s="7">
        <v>3569.05</v>
      </c>
      <c r="C290" s="8">
        <f>IFERROR(B290/B444, "NA")</f>
        <v>2.3916030645863159E-2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-3569.05</v>
      </c>
      <c r="I290" s="8">
        <f>IFERROR(H290/H444, "NA")</f>
        <v>1.482489916800624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-3569.05</v>
      </c>
      <c r="O290" s="8">
        <f>IFERROR(N290/N444, "NA")</f>
        <v>-0.18185602646327337</v>
      </c>
      <c r="P290" s="9"/>
      <c r="Q290" s="7">
        <v>4834.43</v>
      </c>
      <c r="R290" s="8">
        <f>IFERROR(Q290/Q444, "NA")</f>
        <v>1.6854946002030503E-2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-4834.43</v>
      </c>
      <c r="X290" s="8">
        <f>IFERROR(W290/W444, "NA")</f>
        <v>-0.12547636678302182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-4834.43</v>
      </c>
      <c r="AD290" s="8">
        <f>IFERROR(AC290/AC444, "NA")</f>
        <v>-9.2690275212330864E-2</v>
      </c>
    </row>
    <row r="291" spans="1:30" ht="16.5" customHeight="1" x14ac:dyDescent="0.45">
      <c r="A291" s="6" t="s">
        <v>264</v>
      </c>
      <c r="B291" s="7">
        <v>1926.16</v>
      </c>
      <c r="C291" s="8">
        <f>IFERROR(B291/B444, "NA")</f>
        <v>1.2907104576521984E-2</v>
      </c>
      <c r="D291" s="9"/>
      <c r="E291" s="7">
        <v>1971.32</v>
      </c>
      <c r="F291" s="8">
        <f>IFERROR(E291/E444, "NA")</f>
        <v>1.2999999142706465E-2</v>
      </c>
      <c r="G291" s="9"/>
      <c r="H291" s="10">
        <f t="shared" si="72"/>
        <v>45.159999999999854</v>
      </c>
      <c r="I291" s="8">
        <f>IFERROR(H291/H444, "NA")</f>
        <v>-1.8758281515449761E-2</v>
      </c>
      <c r="J291" s="9"/>
      <c r="K291" s="7">
        <v>1524.75</v>
      </c>
      <c r="L291" s="8">
        <f>IFERROR(K291/K444, "NA")</f>
        <v>1.1764424488366163E-2</v>
      </c>
      <c r="M291" s="9"/>
      <c r="N291" s="10">
        <f t="shared" si="73"/>
        <v>-401.41000000000008</v>
      </c>
      <c r="O291" s="8">
        <f>IFERROR(N291/N444, "NA")</f>
        <v>-2.0453293616683032E-2</v>
      </c>
      <c r="P291" s="9"/>
      <c r="Q291" s="7">
        <v>4845.1000000000004</v>
      </c>
      <c r="R291" s="8">
        <f>IFERROR(Q291/Q444, "NA")</f>
        <v>1.6892146307721487E-2</v>
      </c>
      <c r="S291" s="9"/>
      <c r="T291" s="7">
        <v>3227.86</v>
      </c>
      <c r="U291" s="8">
        <f>IFERROR(T291/T444, "NA")</f>
        <v>1.2999996496131509E-2</v>
      </c>
      <c r="V291" s="9"/>
      <c r="W291" s="10">
        <f t="shared" si="74"/>
        <v>-1617.2400000000002</v>
      </c>
      <c r="X291" s="8">
        <f>IFERROR(W291/W444, "NA")</f>
        <v>-4.1975041404296726E-2</v>
      </c>
      <c r="Y291" s="9"/>
      <c r="Z291" s="7">
        <v>2008.95</v>
      </c>
      <c r="AA291" s="8">
        <f>IFERROR(Z291/Z444, "NA")</f>
        <v>8.5607893815274443E-3</v>
      </c>
      <c r="AB291" s="9"/>
      <c r="AC291" s="10">
        <f t="shared" si="75"/>
        <v>-2836.1500000000005</v>
      </c>
      <c r="AD291" s="8">
        <f>IFERROR(AC291/AC444, "NA")</f>
        <v>-5.4377356594976493E-2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325.02</v>
      </c>
      <c r="C294" s="8">
        <f>IFERROR(B294/B444, "NA")</f>
        <v>2.1779432287355022E-3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-325.02</v>
      </c>
      <c r="I294" s="8">
        <f>IFERROR(H294/H444, "NA")</f>
        <v>0.13500479756757086</v>
      </c>
      <c r="J294" s="9"/>
      <c r="K294" s="7">
        <v>244</v>
      </c>
      <c r="L294" s="8">
        <f>IFERROR(K294/K444, "NA")</f>
        <v>1.8826165438015042E-3</v>
      </c>
      <c r="M294" s="9"/>
      <c r="N294" s="10">
        <f t="shared" si="73"/>
        <v>-81.019999999999982</v>
      </c>
      <c r="O294" s="8">
        <f>IFERROR(N294/N444, "NA")</f>
        <v>-4.1282624967580745E-3</v>
      </c>
      <c r="P294" s="9"/>
      <c r="Q294" s="7">
        <v>650.01</v>
      </c>
      <c r="R294" s="8">
        <f>IFERROR(Q294/Q444, "NA")</f>
        <v>2.2662203094842301E-3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-650.01</v>
      </c>
      <c r="X294" s="8">
        <f>IFERROR(W294/W444, "NA")</f>
        <v>-1.6870839617624415E-2</v>
      </c>
      <c r="Y294" s="9"/>
      <c r="Z294" s="7">
        <v>488</v>
      </c>
      <c r="AA294" s="8">
        <f>IFERROR(Z294/Z444, "NA")</f>
        <v>2.0795267269894187E-3</v>
      </c>
      <c r="AB294" s="9"/>
      <c r="AC294" s="10">
        <f t="shared" si="75"/>
        <v>-162.01</v>
      </c>
      <c r="AD294" s="8">
        <f>IFERROR(AC294/AC444, "NA")</f>
        <v>-3.1062093126076333E-3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6185.8700000000008</v>
      </c>
      <c r="C295" s="15">
        <f>IFERROR(B295/B444, "NA")</f>
        <v>4.1451214326312484E-2</v>
      </c>
      <c r="D295" s="2"/>
      <c r="E295" s="14">
        <f>IFERROR(E286+E287+E288+E289+E290+E291+E292+E293+E294, "NA")</f>
        <v>2336.3199999999997</v>
      </c>
      <c r="F295" s="15">
        <f>IFERROR(E295/E444, "NA")</f>
        <v>1.5407015602280688E-2</v>
      </c>
      <c r="G295" s="2"/>
      <c r="H295" s="14">
        <f t="shared" si="72"/>
        <v>-3849.5500000000011</v>
      </c>
      <c r="I295" s="15">
        <f>IFERROR(H295/H444, "NA")</f>
        <v>1.5990022720947714</v>
      </c>
      <c r="J295" s="2"/>
      <c r="K295" s="14">
        <f>IFERROR(K286+K287+K288+K289+K290+K291+K292+K293+K294, "NA")</f>
        <v>2127.31</v>
      </c>
      <c r="L295" s="15">
        <f>IFERROR(K295/K444, "NA")</f>
        <v>1.6413561474567122E-2</v>
      </c>
      <c r="M295" s="2"/>
      <c r="N295" s="14">
        <f t="shared" si="73"/>
        <v>-4058.5600000000009</v>
      </c>
      <c r="O295" s="15">
        <f>IFERROR(N295/N444, "NA")</f>
        <v>-0.20679833422417251</v>
      </c>
      <c r="P295" s="2"/>
      <c r="Q295" s="14">
        <f>IFERROR(Q286+Q287+Q288+Q289+Q290+Q291+Q292+Q293+Q294, "NA")</f>
        <v>11057.9</v>
      </c>
      <c r="R295" s="15">
        <f>IFERROR(Q295/Q444, "NA")</f>
        <v>3.8552695435832784E-2</v>
      </c>
      <c r="S295" s="2"/>
      <c r="T295" s="14">
        <f>IFERROR(T286+T287+T288+T289+T290+T291+T292+T293+T294, "NA")</f>
        <v>3957.86</v>
      </c>
      <c r="U295" s="15">
        <f>IFERROR(T295/T444, "NA")</f>
        <v>1.5940024081645132E-2</v>
      </c>
      <c r="V295" s="2"/>
      <c r="W295" s="14">
        <f t="shared" si="74"/>
        <v>-7100.0399999999991</v>
      </c>
      <c r="X295" s="15">
        <f>IFERROR(W295/W444, "NA")</f>
        <v>-0.18427968203368877</v>
      </c>
      <c r="Y295" s="2"/>
      <c r="Z295" s="14">
        <f>IFERROR(Z286+Z287+Z288+Z289+Z290+Z291+Z292+Z293+Z294, "NA")</f>
        <v>3247.29</v>
      </c>
      <c r="AA295" s="15">
        <f>IFERROR(Z295/Z444, "NA")</f>
        <v>1.3837758904273504E-2</v>
      </c>
      <c r="AB295" s="2"/>
      <c r="AC295" s="14">
        <f t="shared" si="75"/>
        <v>-7810.61</v>
      </c>
      <c r="AD295" s="15">
        <f>IFERROR(AC295/AC444, "NA")</f>
        <v>-0.14975241972190795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1971.32</v>
      </c>
      <c r="F297" s="8">
        <f>IFERROR(E297/E444, "NA")</f>
        <v>1.2999999142706465E-2</v>
      </c>
      <c r="G297" s="9"/>
      <c r="H297" s="10">
        <f t="shared" ref="H297:H325" si="76">IFERROR(-(B297-E297), "NA")</f>
        <v>1971.32</v>
      </c>
      <c r="I297" s="8">
        <f>IFERROR(H297/H444, "NA")</f>
        <v>-0.81883471029753185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3227.86</v>
      </c>
      <c r="U297" s="8">
        <f>IFERROR(T297/T444, "NA")</f>
        <v>1.2999996496131509E-2</v>
      </c>
      <c r="V297" s="9"/>
      <c r="W297" s="10">
        <f t="shared" ref="W297:W325" si="78">IFERROR(-(Q297-T297), "NA")</f>
        <v>3227.86</v>
      </c>
      <c r="X297" s="8">
        <f>IFERROR(W297/W444, "NA")</f>
        <v>8.3778262439262702E-2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507.4</v>
      </c>
      <c r="C299" s="8">
        <f>IFERROR(B299/B444, "NA")</f>
        <v>3.400062747709045E-3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-507.4</v>
      </c>
      <c r="I299" s="8">
        <f>IFERROR(H299/H444, "NA")</f>
        <v>0.21076067406862795</v>
      </c>
      <c r="J299" s="9"/>
      <c r="K299" s="7">
        <v>205.67</v>
      </c>
      <c r="L299" s="8">
        <f>IFERROR(K299/K444, "NA")</f>
        <v>1.5868760023100628E-3</v>
      </c>
      <c r="M299" s="9"/>
      <c r="N299" s="10">
        <f t="shared" si="77"/>
        <v>-301.73</v>
      </c>
      <c r="O299" s="8">
        <f>IFERROR(N299/N444, "NA")</f>
        <v>-1.5374236523658531E-2</v>
      </c>
      <c r="P299" s="9"/>
      <c r="Q299" s="7">
        <v>1414.51</v>
      </c>
      <c r="R299" s="8">
        <f>IFERROR(Q299/Q444, "NA")</f>
        <v>4.9316030368279544E-3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-1414.51</v>
      </c>
      <c r="X299" s="8">
        <f>IFERROR(W299/W444, "NA")</f>
        <v>-3.6713237254082112E-2</v>
      </c>
      <c r="Y299" s="9"/>
      <c r="Z299" s="7">
        <v>411.34</v>
      </c>
      <c r="AA299" s="8">
        <f>IFERROR(Z299/Z444, "NA")</f>
        <v>1.75285353254063E-3</v>
      </c>
      <c r="AB299" s="9"/>
      <c r="AC299" s="10">
        <f t="shared" si="79"/>
        <v>-1003.1700000000001</v>
      </c>
      <c r="AD299" s="8">
        <f>IFERROR(AC299/AC444, "NA")</f>
        <v>-1.9233726289294487E-2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33.590000000000003</v>
      </c>
      <c r="L310" s="8">
        <f>IFERROR(K310/K444, "NA")</f>
        <v>2.5916840043562514E-4</v>
      </c>
      <c r="M310" s="9"/>
      <c r="N310" s="10">
        <f t="shared" si="77"/>
        <v>33.590000000000003</v>
      </c>
      <c r="O310" s="8">
        <f>IFERROR(N310/N444, "NA")</f>
        <v>1.7115321805246083E-3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51.77</v>
      </c>
      <c r="AA310" s="8">
        <f>IFERROR(Z310/Z444, "NA")</f>
        <v>2.2060880872180782E-4</v>
      </c>
      <c r="AB310" s="9"/>
      <c r="AC310" s="10">
        <f t="shared" si="79"/>
        <v>51.77</v>
      </c>
      <c r="AD310" s="8">
        <f>IFERROR(AC310/AC444, "NA")</f>
        <v>9.925835202376223E-4</v>
      </c>
    </row>
    <row r="311" spans="1:30" ht="16.5" customHeight="1" x14ac:dyDescent="0.45">
      <c r="A311" s="6" t="s">
        <v>283</v>
      </c>
      <c r="B311" s="7">
        <v>26.73</v>
      </c>
      <c r="C311" s="8">
        <f>IFERROR(B311/B444, "NA")</f>
        <v>1.7911643130915012E-4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-26.73</v>
      </c>
      <c r="I311" s="8">
        <f>IFERROR(H311/H444, "NA")</f>
        <v>1.1102942092736353E-2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-26.73</v>
      </c>
      <c r="O311" s="8">
        <f>IFERROR(N311/N444, "NA")</f>
        <v>-1.3619903300215175E-3</v>
      </c>
      <c r="P311" s="9"/>
      <c r="Q311" s="7">
        <v>26.73</v>
      </c>
      <c r="R311" s="8">
        <f>IFERROR(Q311/Q444, "NA")</f>
        <v>9.3192518380507192E-5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-6.9377016196535532E-4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-5.1249290121598695E-4</v>
      </c>
    </row>
    <row r="312" spans="1:30" ht="16.5" customHeight="1" x14ac:dyDescent="0.45">
      <c r="A312" s="6" t="s">
        <v>284</v>
      </c>
      <c r="B312" s="7">
        <v>236.28</v>
      </c>
      <c r="C312" s="8">
        <f>IFERROR(B312/B444, "NA")</f>
        <v>1.583300800214216E-3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-236.28</v>
      </c>
      <c r="I312" s="8">
        <f>IFERROR(H312/H444, "NA")</f>
        <v>9.8144525165422575E-2</v>
      </c>
      <c r="J312" s="9"/>
      <c r="K312" s="7">
        <v>200</v>
      </c>
      <c r="L312" s="8">
        <f>IFERROR(K312/K444, "NA")</f>
        <v>1.5431283145913969E-3</v>
      </c>
      <c r="M312" s="9"/>
      <c r="N312" s="10">
        <f t="shared" si="77"/>
        <v>-36.28</v>
      </c>
      <c r="O312" s="8">
        <f>IFERROR(N312/N444, "NA")</f>
        <v>-1.8485974251096393E-3</v>
      </c>
      <c r="P312" s="9"/>
      <c r="Q312" s="7">
        <v>407.59</v>
      </c>
      <c r="R312" s="8">
        <f>IFERROR(Q312/Q444, "NA")</f>
        <v>1.4210377316390169E-3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-407.59</v>
      </c>
      <c r="X312" s="8">
        <f>IFERROR(W312/W444, "NA")</f>
        <v>-1.057889189358246E-2</v>
      </c>
      <c r="Y312" s="9"/>
      <c r="Z312" s="7">
        <v>428.17</v>
      </c>
      <c r="AA312" s="8">
        <f>IFERROR(Z312/Z444, "NA")</f>
        <v>1.8245716366702038E-3</v>
      </c>
      <c r="AB312" s="9"/>
      <c r="AC312" s="10">
        <f t="shared" si="79"/>
        <v>20.580000000000041</v>
      </c>
      <c r="AD312" s="8">
        <f>IFERROR(AC312/AC444, "NA")</f>
        <v>3.9457927074541832E-4</v>
      </c>
    </row>
    <row r="313" spans="1:30" ht="16.5" customHeight="1" x14ac:dyDescent="0.45">
      <c r="A313" s="6" t="s">
        <v>285</v>
      </c>
      <c r="B313" s="7">
        <v>248</v>
      </c>
      <c r="C313" s="8">
        <f>IFERROR(B313/B444, "NA")</f>
        <v>1.6618359507919653E-3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-248</v>
      </c>
      <c r="I313" s="8">
        <f>IFERROR(H313/H444, "NA")</f>
        <v>0.10301270628502116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-248</v>
      </c>
      <c r="O313" s="8">
        <f>IFERROR(N313/N444, "NA")</f>
        <v>-1.2636498385534468E-2</v>
      </c>
      <c r="P313" s="9"/>
      <c r="Q313" s="7">
        <v>496</v>
      </c>
      <c r="R313" s="8">
        <f>IFERROR(Q313/Q444, "NA")</f>
        <v>1.7292738165630964E-3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-496</v>
      </c>
      <c r="X313" s="8">
        <f>IFERROR(W313/W444, "NA")</f>
        <v>-1.2873550330520622E-2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-496</v>
      </c>
      <c r="AD313" s="8">
        <f>IFERROR(AC313/AC444, "NA")</f>
        <v>-9.5097822298215312E-3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4.5700339903696919E-3</v>
      </c>
      <c r="G318" s="9"/>
      <c r="H318" s="10">
        <f t="shared" si="76"/>
        <v>693</v>
      </c>
      <c r="I318" s="8">
        <f>IFERROR(H318/H444, "NA")</f>
        <v>-0.28785405425612764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1386</v>
      </c>
      <c r="U318" s="8">
        <f>IFERROR(T318/T444, "NA")</f>
        <v>5.5820249774272334E-3</v>
      </c>
      <c r="V318" s="9"/>
      <c r="W318" s="10">
        <f t="shared" si="78"/>
        <v>1386</v>
      </c>
      <c r="X318" s="8">
        <f>IFERROR(W318/W444, "NA")</f>
        <v>3.5973267657462872E-2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315.81</v>
      </c>
      <c r="C319" s="8">
        <f>IFERROR(B319/B444, "NA")</f>
        <v>2.1162274662081069E-3</v>
      </c>
      <c r="D319" s="9"/>
      <c r="E319" s="7">
        <v>294</v>
      </c>
      <c r="F319" s="8">
        <f>IFERROR(E319/E444, "NA")</f>
        <v>1.9388022989447176E-3</v>
      </c>
      <c r="G319" s="9"/>
      <c r="H319" s="10">
        <f t="shared" si="76"/>
        <v>-21.810000000000002</v>
      </c>
      <c r="I319" s="8">
        <f>IFERROR(H319/H444, "NA")</f>
        <v>9.0593029196625475E-3</v>
      </c>
      <c r="J319" s="9"/>
      <c r="K319" s="7">
        <v>293.47000000000003</v>
      </c>
      <c r="L319" s="8">
        <f>IFERROR(K319/K444, "NA")</f>
        <v>2.2643093324156865E-3</v>
      </c>
      <c r="M319" s="9"/>
      <c r="N319" s="10">
        <f t="shared" si="77"/>
        <v>-22.339999999999975</v>
      </c>
      <c r="O319" s="8">
        <f>IFERROR(N319/N444, "NA")</f>
        <v>-1.1383039271485472E-3</v>
      </c>
      <c r="P319" s="9"/>
      <c r="Q319" s="7">
        <v>631.62</v>
      </c>
      <c r="R319" s="8">
        <f>IFERROR(Q319/Q444, "NA")</f>
        <v>2.2021046935838365E-3</v>
      </c>
      <c r="S319" s="9"/>
      <c r="T319" s="7">
        <v>588</v>
      </c>
      <c r="U319" s="8">
        <f>IFERROR(T319/T444, "NA")</f>
        <v>2.3681318086054932E-3</v>
      </c>
      <c r="V319" s="9"/>
      <c r="W319" s="10">
        <f t="shared" si="78"/>
        <v>-43.620000000000005</v>
      </c>
      <c r="X319" s="8">
        <f>IFERROR(W319/W444, "NA")</f>
        <v>-1.1321456964058661E-3</v>
      </c>
      <c r="Y319" s="9"/>
      <c r="Z319" s="7">
        <v>545.92999999999995</v>
      </c>
      <c r="AA319" s="8">
        <f>IFERROR(Z319/Z444, "NA")</f>
        <v>2.3263852993142078E-3</v>
      </c>
      <c r="AB319" s="9"/>
      <c r="AC319" s="10">
        <f t="shared" si="79"/>
        <v>-85.690000000000055</v>
      </c>
      <c r="AD319" s="8">
        <f>IFERROR(AC319/AC444, "NA")</f>
        <v>-1.6429299178899344E-3</v>
      </c>
    </row>
    <row r="320" spans="1:30" ht="16.5" customHeight="1" x14ac:dyDescent="0.45">
      <c r="A320" s="6" t="s">
        <v>292</v>
      </c>
      <c r="B320" s="7">
        <v>981.05</v>
      </c>
      <c r="C320" s="8">
        <f>IFERROR(B320/B444, "NA")</f>
        <v>6.5739683851792638E-3</v>
      </c>
      <c r="D320" s="9"/>
      <c r="E320" s="7">
        <v>833</v>
      </c>
      <c r="F320" s="8">
        <f>IFERROR(E320/E444, "NA")</f>
        <v>5.4932731803433669E-3</v>
      </c>
      <c r="G320" s="9"/>
      <c r="H320" s="10">
        <f t="shared" si="76"/>
        <v>-148.04999999999995</v>
      </c>
      <c r="I320" s="8">
        <f>IFERROR(H320/H444, "NA")</f>
        <v>6.1496093409263618E-2</v>
      </c>
      <c r="J320" s="9"/>
      <c r="K320" s="7">
        <v>810.73</v>
      </c>
      <c r="L320" s="8">
        <f>IFERROR(K320/K444, "NA")</f>
        <v>6.2553020924434165E-3</v>
      </c>
      <c r="M320" s="9"/>
      <c r="N320" s="10">
        <f t="shared" si="77"/>
        <v>-170.31999999999994</v>
      </c>
      <c r="O320" s="8">
        <f>IFERROR(N320/N444, "NA")</f>
        <v>-8.6784209880009268E-3</v>
      </c>
      <c r="P320" s="9"/>
      <c r="Q320" s="7">
        <v>1949.39</v>
      </c>
      <c r="R320" s="8">
        <f>IFERROR(Q320/Q444, "NA")</f>
        <v>6.7964296073990613E-3</v>
      </c>
      <c r="S320" s="9"/>
      <c r="T320" s="7">
        <v>1666</v>
      </c>
      <c r="U320" s="8">
        <f>IFERROR(T320/T444, "NA")</f>
        <v>6.7097067910488967E-3</v>
      </c>
      <c r="V320" s="9"/>
      <c r="W320" s="10">
        <f t="shared" si="78"/>
        <v>-283.3900000000001</v>
      </c>
      <c r="X320" s="8">
        <f>IFERROR(W320/W444, "NA")</f>
        <v>-7.3553133632383886E-3</v>
      </c>
      <c r="Y320" s="9"/>
      <c r="Z320" s="7">
        <v>1633.11</v>
      </c>
      <c r="AA320" s="8">
        <f>IFERROR(Z320/Z444, "NA")</f>
        <v>6.9592128957247741E-3</v>
      </c>
      <c r="AB320" s="9"/>
      <c r="AC320" s="10">
        <f t="shared" si="79"/>
        <v>-316.2800000000002</v>
      </c>
      <c r="AD320" s="8">
        <f>IFERROR(AC320/AC444, "NA")</f>
        <v>-6.0640200073547494E-3</v>
      </c>
    </row>
    <row r="321" spans="1:30" ht="16.5" customHeight="1" x14ac:dyDescent="0.45">
      <c r="A321" s="6" t="s">
        <v>293</v>
      </c>
      <c r="B321" s="7">
        <v>2229.5100000000002</v>
      </c>
      <c r="C321" s="8">
        <f>IFERROR(B321/B444, "NA")</f>
        <v>1.4939838188105624E-2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-2229.5100000000002</v>
      </c>
      <c r="I321" s="8">
        <f>IFERROR(H321/H444, "NA")</f>
        <v>0.92608007576418361</v>
      </c>
      <c r="J321" s="9"/>
      <c r="K321" s="7">
        <v>1335.54</v>
      </c>
      <c r="L321" s="8">
        <f>IFERROR(K321/K444, "NA")</f>
        <v>1.030454794634697E-2</v>
      </c>
      <c r="M321" s="9"/>
      <c r="N321" s="10">
        <f t="shared" si="77"/>
        <v>-893.97000000000025</v>
      </c>
      <c r="O321" s="8">
        <f>IFERROR(N321/N444, "NA")</f>
        <v>-4.5551009926275213E-2</v>
      </c>
      <c r="P321" s="9"/>
      <c r="Q321" s="7">
        <v>4221.9799999999996</v>
      </c>
      <c r="R321" s="8">
        <f>IFERROR(Q321/Q444, "NA")</f>
        <v>1.4719676346881171E-2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-4221.9799999999996</v>
      </c>
      <c r="X321" s="8">
        <f>IFERROR(W321/W444, "NA")</f>
        <v>-0.10958038714607148</v>
      </c>
      <c r="Y321" s="9"/>
      <c r="Z321" s="7">
        <v>3184.78</v>
      </c>
      <c r="AA321" s="8">
        <f>IFERROR(Z321/Z444, "NA")</f>
        <v>1.3571383462256888E-2</v>
      </c>
      <c r="AB321" s="9"/>
      <c r="AC321" s="10">
        <f t="shared" si="79"/>
        <v>-1037.1999999999994</v>
      </c>
      <c r="AD321" s="8">
        <f>IFERROR(AC321/AC444, "NA")</f>
        <v>-1.9886181711231625E-2</v>
      </c>
    </row>
    <row r="322" spans="1:30" ht="16.5" customHeight="1" x14ac:dyDescent="0.45">
      <c r="A322" s="6" t="s">
        <v>294</v>
      </c>
      <c r="B322" s="7">
        <v>174.48</v>
      </c>
      <c r="C322" s="8">
        <f>IFERROR(B322/B444, "NA")</f>
        <v>1.1691820027991213E-3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-174.48</v>
      </c>
      <c r="I322" s="8">
        <f>IFERROR(H322/H444, "NA")</f>
        <v>7.2474423357300366E-2</v>
      </c>
      <c r="J322" s="9"/>
      <c r="K322" s="7">
        <v>156.87</v>
      </c>
      <c r="L322" s="8">
        <f>IFERROR(K322/K444, "NA")</f>
        <v>1.2103526935497622E-3</v>
      </c>
      <c r="M322" s="9"/>
      <c r="N322" s="10">
        <f t="shared" si="77"/>
        <v>-17.609999999999985</v>
      </c>
      <c r="O322" s="8">
        <f>IFERROR(N322/N444, "NA")</f>
        <v>-8.9729329261799121E-4</v>
      </c>
      <c r="P322" s="9"/>
      <c r="Q322" s="7">
        <v>334.43</v>
      </c>
      <c r="R322" s="8">
        <f>IFERROR(Q322/Q444, "NA")</f>
        <v>1.1659698436959603E-3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-334.43</v>
      </c>
      <c r="X322" s="8">
        <f>IFERROR(W322/W444, "NA")</f>
        <v>-8.6800432198306694E-3</v>
      </c>
      <c r="Y322" s="9"/>
      <c r="Z322" s="7">
        <v>313.74</v>
      </c>
      <c r="AA322" s="8">
        <f>IFERROR(Z322/Z444, "NA")</f>
        <v>1.3369481871427465E-3</v>
      </c>
      <c r="AB322" s="9"/>
      <c r="AC322" s="10">
        <f t="shared" si="79"/>
        <v>-20.689999999999998</v>
      </c>
      <c r="AD322" s="8">
        <f>IFERROR(AC322/AC444, "NA")</f>
        <v>-3.9668829503025697E-4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-31.29</v>
      </c>
      <c r="L323" s="8">
        <f>IFERROR(K323/K444, "NA")</f>
        <v>-2.4142242481782405E-4</v>
      </c>
      <c r="M323" s="9"/>
      <c r="N323" s="10">
        <f t="shared" si="77"/>
        <v>-31.29</v>
      </c>
      <c r="O323" s="8">
        <f>IFERROR(N323/N444, "NA")</f>
        <v>-1.5943388487232803E-3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-1.333368673924158E-4</v>
      </c>
      <c r="AB323" s="9"/>
      <c r="AC323" s="10">
        <f t="shared" si="79"/>
        <v>-31.29</v>
      </c>
      <c r="AD323" s="8">
        <f>IFERROR(AC323/AC444, "NA")</f>
        <v>-5.9992154429660421E-4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4719.26</v>
      </c>
      <c r="C324" s="15">
        <f>IFERROR(B324/B444, "NA")</f>
        <v>3.1623531972316495E-2</v>
      </c>
      <c r="D324" s="2"/>
      <c r="E324" s="14">
        <f>IFERROR(E297+E298+E299+E300+E301+E302+E303+E304+E305+E306+E307+E308+E309+E310+E311+E312+E313+E314+E315+E316+E317+E318+E319+E320+E321+E322+E323, "NA")</f>
        <v>3791.3199999999997</v>
      </c>
      <c r="F324" s="15">
        <f>IFERROR(E324/E444, "NA")</f>
        <v>2.5002108612364241E-2</v>
      </c>
      <c r="G324" s="2"/>
      <c r="H324" s="14">
        <f t="shared" si="76"/>
        <v>-927.94000000000051</v>
      </c>
      <c r="I324" s="15">
        <f>IFERROR(H324/H444, "NA")</f>
        <v>0.38544197850855882</v>
      </c>
      <c r="J324" s="2"/>
      <c r="K324" s="14">
        <f>IFERROR(K297+K298+K299+K300+K301+K302+K303+K304+K305+K306+K307+K308+K309+K310+K311+K312+K313+K314+K315+K316+K317+K318+K319+K320+K321+K322+K323, "NA")</f>
        <v>3004.58</v>
      </c>
      <c r="L324" s="15">
        <f>IFERROR(K324/K444, "NA")</f>
        <v>2.3182262357275097E-2</v>
      </c>
      <c r="M324" s="2"/>
      <c r="N324" s="14">
        <f t="shared" si="77"/>
        <v>-1714.6800000000003</v>
      </c>
      <c r="O324" s="15">
        <f>IFERROR(N324/N444, "NA")</f>
        <v>-8.7369157466565511E-2</v>
      </c>
      <c r="P324" s="2"/>
      <c r="Q324" s="14">
        <f>IFERROR(Q297+Q298+Q299+Q300+Q301+Q302+Q303+Q304+Q305+Q306+Q307+Q308+Q309+Q310+Q311+Q312+Q313+Q314+Q315+Q316+Q317+Q318+Q319+Q320+Q321+Q322+Q323, "NA")</f>
        <v>9482.25</v>
      </c>
      <c r="R324" s="15">
        <f>IFERROR(Q324/Q444, "NA")</f>
        <v>3.3059287594970607E-2</v>
      </c>
      <c r="S324" s="2"/>
      <c r="T324" s="14">
        <f>IFERROR(T297+T298+T299+T300+T301+T302+T303+T304+T305+T306+T307+T308+T309+T310+T311+T312+T313+T314+T315+T316+T317+T318+T319+T320+T321+T322+T323, "NA")</f>
        <v>6867.8600000000006</v>
      </c>
      <c r="U324" s="15">
        <f>IFERROR(T324/T444, "NA")</f>
        <v>2.7659860073213135E-2</v>
      </c>
      <c r="V324" s="2"/>
      <c r="W324" s="14">
        <f t="shared" si="78"/>
        <v>-2614.3899999999994</v>
      </c>
      <c r="X324" s="15">
        <f>IFERROR(W324/W444, "NA")</f>
        <v>-6.7855808968971379E-2</v>
      </c>
      <c r="Y324" s="2"/>
      <c r="Z324" s="14">
        <f>IFERROR(Z297+Z298+Z299+Z300+Z301+Z302+Z303+Z304+Z305+Z306+Z307+Z308+Z309+Z310+Z311+Z312+Z313+Z314+Z315+Z316+Z317+Z318+Z319+Z320+Z321+Z322+Z323, "NA")</f>
        <v>6537.55</v>
      </c>
      <c r="AA324" s="15">
        <f>IFERROR(Z324/Z444, "NA")</f>
        <v>2.7858626954978843E-2</v>
      </c>
      <c r="AB324" s="2"/>
      <c r="AC324" s="14">
        <f t="shared" si="79"/>
        <v>-2944.7</v>
      </c>
      <c r="AD324" s="15">
        <f>IFERROR(AC324/AC444, "NA")</f>
        <v>-5.6458580105152138E-2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47496.560000000005</v>
      </c>
      <c r="C325" s="15">
        <f>IFERROR(B325/B444, "NA")</f>
        <v>0.31827214091511141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39213.049999999996</v>
      </c>
      <c r="F325" s="15">
        <f>IFERROR(E325/E444, "NA")</f>
        <v>0.25859303227426583</v>
      </c>
      <c r="G325" s="2"/>
      <c r="H325" s="14">
        <f t="shared" si="76"/>
        <v>-8283.5100000000093</v>
      </c>
      <c r="I325" s="15">
        <f>IFERROR(H325/H444, "NA")</f>
        <v>3.4407531558025668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30476.859999999997</v>
      </c>
      <c r="L325" s="15">
        <f>IFERROR(K325/K444, "NA")</f>
        <v>0.23514852802918979</v>
      </c>
      <c r="M325" s="2"/>
      <c r="N325" s="14">
        <f t="shared" si="77"/>
        <v>-17019.700000000008</v>
      </c>
      <c r="O325" s="15">
        <f>IFERROR(N325/N444, "NA")</f>
        <v>-0.86721536924306897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87853.309999999983</v>
      </c>
      <c r="R325" s="15">
        <f>IFERROR(Q325/Q444, "NA")</f>
        <v>0.30629521911572744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66196.92</v>
      </c>
      <c r="U325" s="15">
        <f>IFERROR(T325/T444, "NA")</f>
        <v>0.26660379572060056</v>
      </c>
      <c r="V325" s="2"/>
      <c r="W325" s="14">
        <f t="shared" si="78"/>
        <v>-21656.389999999985</v>
      </c>
      <c r="X325" s="15">
        <f>IFERROR(W325/W444, "NA")</f>
        <v>-0.56208594081125673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55495.819999999978</v>
      </c>
      <c r="AA325" s="15">
        <f>IFERROR(Z325/Z444, "NA")</f>
        <v>0.23648573960285632</v>
      </c>
      <c r="AB325" s="2"/>
      <c r="AC325" s="14">
        <f t="shared" si="79"/>
        <v>-32357.490000000005</v>
      </c>
      <c r="AD325" s="15">
        <f>IFERROR(AC325/AC444, "NA")</f>
        <v>-0.62038847460408852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6.7923523917772885E-2</v>
      </c>
      <c r="D329" s="9"/>
      <c r="E329" s="7">
        <v>9355</v>
      </c>
      <c r="F329" s="8">
        <f>IFERROR(E329/E444, "NA")</f>
        <v>6.1692161587169503E-2</v>
      </c>
      <c r="G329" s="9"/>
      <c r="H329" s="10">
        <f t="shared" si="80"/>
        <v>-781.39999999999964</v>
      </c>
      <c r="I329" s="8">
        <f>IFERROR(H329/H444, "NA")</f>
        <v>0.3245730995609496</v>
      </c>
      <c r="J329" s="9"/>
      <c r="K329" s="7">
        <v>9841.17</v>
      </c>
      <c r="L329" s="8">
        <f>IFERROR(K329/K444, "NA")</f>
        <v>7.5930940378537093E-2</v>
      </c>
      <c r="M329" s="9"/>
      <c r="N329" s="10">
        <f t="shared" si="81"/>
        <v>-295.22999999999956</v>
      </c>
      <c r="O329" s="8">
        <f>IFERROR(N329/N444, "NA")</f>
        <v>-1.5043037977263451E-2</v>
      </c>
      <c r="P329" s="9"/>
      <c r="Q329" s="7">
        <v>20272.8</v>
      </c>
      <c r="R329" s="8">
        <f>IFERROR(Q329/Q444, "NA")</f>
        <v>7.067988352504101E-2</v>
      </c>
      <c r="S329" s="9"/>
      <c r="T329" s="7">
        <v>18710</v>
      </c>
      <c r="U329" s="8">
        <f>IFERROR(T329/T444, "NA")</f>
        <v>7.5353309760219006E-2</v>
      </c>
      <c r="V329" s="9"/>
      <c r="W329" s="10">
        <f t="shared" si="82"/>
        <v>-1562.7999999999993</v>
      </c>
      <c r="X329" s="8">
        <f>IFERROR(W329/W444, "NA")</f>
        <v>-4.0562065436567783E-2</v>
      </c>
      <c r="Y329" s="9"/>
      <c r="Z329" s="7">
        <v>19682.34</v>
      </c>
      <c r="AA329" s="8">
        <f>IFERROR(Z329/Z444, "NA")</f>
        <v>8.3872852622321553E-2</v>
      </c>
      <c r="AB329" s="9"/>
      <c r="AC329" s="10">
        <f t="shared" si="83"/>
        <v>-590.45999999999913</v>
      </c>
      <c r="AD329" s="8">
        <f>IFERROR(AC329/AC444, "NA")</f>
        <v>-1.1320858902057284E-2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4.8826482481635703E-3</v>
      </c>
      <c r="D330" s="9"/>
      <c r="E330" s="7">
        <v>728</v>
      </c>
      <c r="F330" s="8">
        <f>IFERROR(E330/E444, "NA")</f>
        <v>4.8008437878631106E-3</v>
      </c>
      <c r="G330" s="9"/>
      <c r="H330" s="10">
        <f t="shared" si="80"/>
        <v>-0.64999999999997726</v>
      </c>
      <c r="I330" s="8">
        <f>IFERROR(H330/H444, "NA")</f>
        <v>2.6999298018250568E-4</v>
      </c>
      <c r="J330" s="9"/>
      <c r="K330" s="7">
        <v>728.65</v>
      </c>
      <c r="L330" s="8">
        <f>IFERROR(K330/K444, "NA")</f>
        <v>5.6220022321351064E-3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1457.3</v>
      </c>
      <c r="R330" s="8">
        <f>IFERROR(Q330/Q444, "NA")</f>
        <v>5.0807877678979846E-3</v>
      </c>
      <c r="S330" s="9"/>
      <c r="T330" s="7">
        <v>1456</v>
      </c>
      <c r="U330" s="8">
        <f>IFERROR(T330/T444, "NA")</f>
        <v>5.8639454308326497E-3</v>
      </c>
      <c r="V330" s="9"/>
      <c r="W330" s="10">
        <f t="shared" si="82"/>
        <v>-1.2999999999999545</v>
      </c>
      <c r="X330" s="8">
        <f>IFERROR(W330/W444, "NA")</f>
        <v>-3.3741160140476259E-5</v>
      </c>
      <c r="Y330" s="9"/>
      <c r="Z330" s="7">
        <v>1457.3</v>
      </c>
      <c r="AA330" s="8">
        <f>IFERROR(Z330/Z444, "NA")</f>
        <v>6.2100293017247543E-3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1.0158642344357336E-4</v>
      </c>
      <c r="D332" s="9"/>
      <c r="E332" s="7">
        <v>15</v>
      </c>
      <c r="F332" s="8">
        <f>IFERROR(E332/E444, "NA")</f>
        <v>9.8918484640036616E-5</v>
      </c>
      <c r="G332" s="9"/>
      <c r="H332" s="10">
        <f t="shared" si="80"/>
        <v>-0.16000000000000014</v>
      </c>
      <c r="I332" s="8">
        <f>IFERROR(H332/H444, "NA")</f>
        <v>6.6459810506465323E-5</v>
      </c>
      <c r="J332" s="9"/>
      <c r="K332" s="7">
        <v>15.16</v>
      </c>
      <c r="L332" s="8">
        <f>IFERROR(K332/K444, "NA")</f>
        <v>1.1696912624602788E-4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30.32</v>
      </c>
      <c r="R332" s="8">
        <f>IFERROR(Q332/Q444, "NA")</f>
        <v>1.0570883491571186E-4</v>
      </c>
      <c r="S332" s="9"/>
      <c r="T332" s="7">
        <v>30</v>
      </c>
      <c r="U332" s="8">
        <f>IFERROR(T332/T444, "NA")</f>
        <v>1.2082305145946393E-4</v>
      </c>
      <c r="V332" s="9"/>
      <c r="W332" s="10">
        <f t="shared" si="82"/>
        <v>-0.32000000000000028</v>
      </c>
      <c r="X332" s="8">
        <f>IFERROR(W332/W444, "NA")</f>
        <v>-8.3055163422713764E-6</v>
      </c>
      <c r="Y332" s="9"/>
      <c r="Z332" s="7">
        <v>30.32</v>
      </c>
      <c r="AA332" s="8">
        <f>IFERROR(Z332/Z444, "NA")</f>
        <v>1.2920338188999832E-4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6.4606552967603438E-3</v>
      </c>
      <c r="D333" s="9"/>
      <c r="E333" s="7">
        <v>728</v>
      </c>
      <c r="F333" s="8">
        <f>IFERROR(E333/E444, "NA")</f>
        <v>4.8008437878631106E-3</v>
      </c>
      <c r="G333" s="9"/>
      <c r="H333" s="10">
        <f t="shared" si="80"/>
        <v>-236.14</v>
      </c>
      <c r="I333" s="8">
        <f>IFERROR(H333/H444, "NA")</f>
        <v>9.808637283122941E-2</v>
      </c>
      <c r="J333" s="9"/>
      <c r="K333" s="7">
        <v>964.14</v>
      </c>
      <c r="L333" s="8">
        <f>IFERROR(K333/K444, "NA")</f>
        <v>7.4389586661507473E-3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1928.28</v>
      </c>
      <c r="R333" s="8">
        <f>IFERROR(Q333/Q444, "NA")</f>
        <v>6.7228308770207407E-3</v>
      </c>
      <c r="S333" s="9"/>
      <c r="T333" s="7">
        <v>1456</v>
      </c>
      <c r="U333" s="8">
        <f>IFERROR(T333/T444, "NA")</f>
        <v>5.8639454308326497E-3</v>
      </c>
      <c r="V333" s="9"/>
      <c r="W333" s="10">
        <f t="shared" si="82"/>
        <v>-472.28</v>
      </c>
      <c r="X333" s="8">
        <f>IFERROR(W333/W444, "NA")</f>
        <v>-1.2257903931649756E-2</v>
      </c>
      <c r="Y333" s="9"/>
      <c r="Z333" s="7">
        <v>1928.28</v>
      </c>
      <c r="AA333" s="8">
        <f>IFERROR(Z333/Z444, "NA")</f>
        <v>8.2170282727851568E-3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-5.2300925790045522E-3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-0.32419926312685088</v>
      </c>
      <c r="J334" s="9"/>
      <c r="K334" s="7">
        <v>-757.77</v>
      </c>
      <c r="L334" s="8">
        <f>IFERROR(K334/K444, "NA")</f>
        <v>-5.8466817147396141E-3</v>
      </c>
      <c r="M334" s="9"/>
      <c r="N334" s="10">
        <f t="shared" si="81"/>
        <v>22.730000000000018</v>
      </c>
      <c r="O334" s="8">
        <f>IFERROR(N334/N444, "NA")</f>
        <v>1.1581758399322529E-3</v>
      </c>
      <c r="P334" s="9"/>
      <c r="Q334" s="7">
        <v>-1561</v>
      </c>
      <c r="R334" s="8">
        <f>IFERROR(Q334/Q444, "NA")</f>
        <v>-5.4423315073689384E-3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1561</v>
      </c>
      <c r="X334" s="8">
        <f>IFERROR(W334/W444, "NA")</f>
        <v>4.0515346907142528E-2</v>
      </c>
      <c r="Y334" s="9"/>
      <c r="Z334" s="7">
        <v>-1515.54</v>
      </c>
      <c r="AA334" s="8">
        <f>IFERROR(Z334/Z444, "NA")</f>
        <v>-6.4582088848802125E-3</v>
      </c>
      <c r="AB334" s="9"/>
      <c r="AC334" s="10">
        <f t="shared" si="83"/>
        <v>45.460000000000036</v>
      </c>
      <c r="AD334" s="8">
        <f>IFERROR(AC334/AC444, "NA")</f>
        <v>8.7160221808001441E-4</v>
      </c>
    </row>
    <row r="335" spans="1:30" ht="16.5" customHeight="1" x14ac:dyDescent="0.45">
      <c r="A335" s="6" t="s">
        <v>306</v>
      </c>
      <c r="B335" s="7">
        <v>1654.81</v>
      </c>
      <c r="C335" s="8">
        <f>IFERROR(B335/B444, "NA")</f>
        <v>1.1088801410201823E-2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-1654.81</v>
      </c>
      <c r="I335" s="8">
        <f>IFERROR(H335/H444, "NA")</f>
        <v>0.68736474390127356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-1654.81</v>
      </c>
      <c r="O335" s="8">
        <f>IFERROR(N335/N444, "NA")</f>
        <v>-8.4318564086154416E-2</v>
      </c>
      <c r="P335" s="9"/>
      <c r="Q335" s="7">
        <v>3309.62</v>
      </c>
      <c r="R335" s="8">
        <f>IFERROR(Q335/Q444, "NA")</f>
        <v>1.1538788727366038E-2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-8.5900321864713025E-2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-6.3455172305366805E-2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4452.6000000000004</v>
      </c>
      <c r="F337" s="8">
        <f>IFERROR(E337/E444, "NA")</f>
        <v>2.9362962980548472E-2</v>
      </c>
      <c r="G337" s="9"/>
      <c r="H337" s="10">
        <f t="shared" ref="H337:H344" si="84">IFERROR(-(B337-E337), "NA")</f>
        <v>4452.6000000000004</v>
      </c>
      <c r="I337" s="8">
        <f>IFERROR(H337/H444, "NA")</f>
        <v>-1.8494934516317953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8540.51</v>
      </c>
      <c r="U337" s="8">
        <f>IFERROR(T337/T444, "NA")</f>
        <v>3.4396349307335546E-2</v>
      </c>
      <c r="V337" s="9"/>
      <c r="W337" s="10">
        <f t="shared" ref="W337:W344" si="86">IFERROR(-(Q337-T337), "NA")</f>
        <v>8540.51</v>
      </c>
      <c r="X337" s="8">
        <f>IFERROR(W337/W444, "NA")</f>
        <v>0.22166670430103769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4933.7299999999996</v>
      </c>
      <c r="C338" s="8">
        <f>IFERROR(B338/B444, "NA")</f>
        <v>3.3060685022180812E-2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-4933.7299999999996</v>
      </c>
      <c r="I338" s="8">
        <f>IFERROR(H338/H444, "NA")</f>
        <v>2.0493422555628928</v>
      </c>
      <c r="J338" s="9"/>
      <c r="K338" s="7">
        <v>3053.12</v>
      </c>
      <c r="L338" s="8">
        <f>IFERROR(K338/K444, "NA")</f>
        <v>2.3556779599226429E-2</v>
      </c>
      <c r="M338" s="9"/>
      <c r="N338" s="10">
        <f t="shared" si="85"/>
        <v>-1880.6099999999997</v>
      </c>
      <c r="O338" s="8">
        <f>IFERROR(N338/N444, "NA")</f>
        <v>-9.5823892051693435E-2</v>
      </c>
      <c r="P338" s="9"/>
      <c r="Q338" s="7">
        <v>9707.1</v>
      </c>
      <c r="R338" s="8">
        <f>IFERROR(Q338/Q444, "NA")</f>
        <v>3.3843213437015386E-2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-9707.1</v>
      </c>
      <c r="X338" s="8">
        <f>IFERROR(W338/W444, "NA")</f>
        <v>-0.25194524276894503</v>
      </c>
      <c r="Y338" s="9"/>
      <c r="Z338" s="7">
        <v>5671.73</v>
      </c>
      <c r="AA338" s="8">
        <f>IFERROR(Z338/Z444, "NA")</f>
        <v>2.4169086318171509E-2</v>
      </c>
      <c r="AB338" s="9"/>
      <c r="AC338" s="10">
        <f t="shared" si="87"/>
        <v>-4035.3700000000008</v>
      </c>
      <c r="AD338" s="8">
        <f>IFERROR(AC338/AC444, "NA")</f>
        <v>-7.736993934829621E-2</v>
      </c>
    </row>
    <row r="339" spans="1:30" ht="16.5" customHeight="1" x14ac:dyDescent="0.45">
      <c r="A339" s="12" t="s">
        <v>309</v>
      </c>
      <c r="B339" s="7">
        <v>341.75</v>
      </c>
      <c r="C339" s="8">
        <f>IFERROR(B339/B444, "NA")</f>
        <v>2.2900501458998149E-3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-341.75</v>
      </c>
      <c r="I339" s="8">
        <f>IFERROR(H339/H444, "NA")</f>
        <v>0.14195400150365314</v>
      </c>
      <c r="J339" s="9"/>
      <c r="K339" s="7">
        <v>588.59</v>
      </c>
      <c r="L339" s="8">
        <f>IFERROR(K339/K444, "NA")</f>
        <v>4.5413494734267519E-3</v>
      </c>
      <c r="M339" s="9"/>
      <c r="N339" s="10">
        <f t="shared" si="85"/>
        <v>246.84000000000003</v>
      </c>
      <c r="O339" s="8">
        <f>IFERROR(N339/N444, "NA")</f>
        <v>1.2577392183408583E-2</v>
      </c>
      <c r="P339" s="9"/>
      <c r="Q339" s="7">
        <v>642.79</v>
      </c>
      <c r="R339" s="8">
        <f>IFERROR(Q339/Q444, "NA")</f>
        <v>2.2410482188479691E-3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-642.79</v>
      </c>
      <c r="X339" s="8">
        <f>IFERROR(W339/W444, "NA")</f>
        <v>-1.6683446405151917E-2</v>
      </c>
      <c r="Y339" s="9"/>
      <c r="Z339" s="7">
        <v>1059.69</v>
      </c>
      <c r="AA339" s="8">
        <f>IFERROR(Z339/Z444, "NA")</f>
        <v>4.5156837650070026E-3</v>
      </c>
      <c r="AB339" s="9"/>
      <c r="AC339" s="10">
        <f t="shared" si="87"/>
        <v>416.90000000000009</v>
      </c>
      <c r="AD339" s="8">
        <f>IFERROR(AC339/AC444, "NA")</f>
        <v>7.9932020395415259E-3</v>
      </c>
    </row>
    <row r="340" spans="1:30" ht="16.5" customHeight="1" x14ac:dyDescent="0.45">
      <c r="A340" s="12" t="s">
        <v>310</v>
      </c>
      <c r="B340" s="7">
        <v>498.8</v>
      </c>
      <c r="C340" s="8">
        <f>IFERROR(B340/B444, "NA")</f>
        <v>3.342434565544485E-3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-498.8</v>
      </c>
      <c r="I340" s="8">
        <f>IFERROR(H340/H444, "NA")</f>
        <v>0.20718845925390544</v>
      </c>
      <c r="J340" s="9"/>
      <c r="K340" s="7">
        <v>450.43</v>
      </c>
      <c r="L340" s="8">
        <f>IFERROR(K340/K444, "NA")</f>
        <v>3.4753564337070145E-3</v>
      </c>
      <c r="M340" s="9"/>
      <c r="N340" s="10">
        <f t="shared" si="85"/>
        <v>-48.370000000000005</v>
      </c>
      <c r="O340" s="8">
        <f>IFERROR(N340/N444, "NA")</f>
        <v>-2.464626721404445E-3</v>
      </c>
      <c r="P340" s="9"/>
      <c r="Q340" s="7">
        <v>1060.19</v>
      </c>
      <c r="R340" s="8">
        <f>IFERROR(Q340/Q444, "NA")</f>
        <v>3.6962879185121556E-3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-1060.19</v>
      </c>
      <c r="X340" s="8">
        <f>IFERROR(W340/W444, "NA")</f>
        <v>-2.7516954284102137E-2</v>
      </c>
      <c r="Y340" s="9"/>
      <c r="Z340" s="7">
        <v>810.9</v>
      </c>
      <c r="AA340" s="8">
        <f>IFERROR(Z340/Z444, "NA")</f>
        <v>3.4555086535158191E-3</v>
      </c>
      <c r="AB340" s="9"/>
      <c r="AC340" s="10">
        <f t="shared" si="87"/>
        <v>-249.29000000000008</v>
      </c>
      <c r="AD340" s="8">
        <f>IFERROR(AC340/AC444, "NA")</f>
        <v>-4.7796242178875202E-3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2.54750069924428E-3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0.15791266350151811</v>
      </c>
      <c r="J341" s="9"/>
      <c r="K341" s="7">
        <v>351.45</v>
      </c>
      <c r="L341" s="8">
        <f>IFERROR(K341/K444, "NA")</f>
        <v>2.7116622308157321E-3</v>
      </c>
      <c r="M341" s="9"/>
      <c r="N341" s="10">
        <f t="shared" si="85"/>
        <v>-28.720000000000027</v>
      </c>
      <c r="O341" s="8">
        <f>IFERROR(N341/N444, "NA")</f>
        <v>-1.4633880388409287E-3</v>
      </c>
      <c r="P341" s="9"/>
      <c r="Q341" s="7">
        <v>760.34</v>
      </c>
      <c r="R341" s="8">
        <f>IFERROR(Q341/Q444, "NA")</f>
        <v>2.6508791404951304E-3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-760.34</v>
      </c>
      <c r="X341" s="8">
        <f>IFERROR(W341/W444, "NA")</f>
        <v>-1.9734425924008168E-2</v>
      </c>
      <c r="Y341" s="9"/>
      <c r="Z341" s="7">
        <v>702.9</v>
      </c>
      <c r="AA341" s="8">
        <f>IFERROR(Z341/Z444, "NA")</f>
        <v>2.9952855254116034E-3</v>
      </c>
      <c r="AB341" s="9"/>
      <c r="AC341" s="10">
        <f t="shared" si="87"/>
        <v>-57.440000000000055</v>
      </c>
      <c r="AD341" s="8">
        <f>IFERROR(AC341/AC444, "NA")</f>
        <v>-1.101294135647075E-3</v>
      </c>
    </row>
    <row r="342" spans="1:30" ht="16.5" customHeight="1" x14ac:dyDescent="0.45">
      <c r="A342" s="13" t="s">
        <v>312</v>
      </c>
      <c r="B342" s="14">
        <f>IFERROR(B337+B338+B339+B340+B341, "NA")</f>
        <v>6154.45</v>
      </c>
      <c r="C342" s="15">
        <f>IFERROR(B342/B444, "NA")</f>
        <v>4.1240670432869393E-2</v>
      </c>
      <c r="D342" s="2"/>
      <c r="E342" s="14">
        <f>IFERROR(E337+E338+E339+E340+E341, "NA")</f>
        <v>4452.6000000000004</v>
      </c>
      <c r="F342" s="15">
        <f>IFERROR(E342/E444, "NA")</f>
        <v>2.9362962980548472E-2</v>
      </c>
      <c r="G342" s="2"/>
      <c r="H342" s="14">
        <f t="shared" si="84"/>
        <v>-1701.8499999999995</v>
      </c>
      <c r="I342" s="15">
        <f>IFERROR(H342/H444, "NA")</f>
        <v>0.70690392819017422</v>
      </c>
      <c r="J342" s="2"/>
      <c r="K342" s="14">
        <f>IFERROR(K337+K338+K339+K340+K341, "NA")</f>
        <v>4443.59</v>
      </c>
      <c r="L342" s="15">
        <f>IFERROR(K342/K444, "NA")</f>
        <v>3.4285147737175926E-2</v>
      </c>
      <c r="M342" s="2"/>
      <c r="N342" s="14">
        <f t="shared" si="85"/>
        <v>-1710.8599999999997</v>
      </c>
      <c r="O342" s="15">
        <f>IFERROR(N342/N444, "NA")</f>
        <v>-8.7174514628530236E-2</v>
      </c>
      <c r="P342" s="2"/>
      <c r="Q342" s="14">
        <f>IFERROR(Q337+Q338+Q339+Q340+Q341, "NA")</f>
        <v>12170.42</v>
      </c>
      <c r="R342" s="15">
        <f>IFERROR(Q342/Q444, "NA")</f>
        <v>4.2431428714870642E-2</v>
      </c>
      <c r="S342" s="2"/>
      <c r="T342" s="14">
        <f>IFERROR(T337+T338+T339+T340+T341, "NA")</f>
        <v>8540.51</v>
      </c>
      <c r="U342" s="15">
        <f>IFERROR(T342/T444, "NA")</f>
        <v>3.4396349307335546E-2</v>
      </c>
      <c r="V342" s="2"/>
      <c r="W342" s="14">
        <f t="shared" si="86"/>
        <v>-3629.91</v>
      </c>
      <c r="X342" s="15">
        <f>IFERROR(W342/W444, "NA")</f>
        <v>-9.4213365081169578E-2</v>
      </c>
      <c r="Y342" s="2"/>
      <c r="Z342" s="14">
        <f>IFERROR(Z337+Z338+Z339+Z340+Z341, "NA")</f>
        <v>8245.2199999999993</v>
      </c>
      <c r="AA342" s="15">
        <f>IFERROR(Z342/Z444, "NA")</f>
        <v>3.5135564262105935E-2</v>
      </c>
      <c r="AB342" s="2"/>
      <c r="AC342" s="14">
        <f t="shared" si="87"/>
        <v>-3925.2000000000007</v>
      </c>
      <c r="AD342" s="15">
        <f>IFERROR(AC342/AC444, "NA")</f>
        <v>-7.5257655662289272E-2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18873.109999999997</v>
      </c>
      <c r="C343" s="15">
        <f>IFERROR(B343/B444, "NA")</f>
        <v>0.12646779315020704</v>
      </c>
      <c r="D343" s="2"/>
      <c r="E343" s="14">
        <f>IFERROR(E328+E329+E330+E331+E332+E333+E334+E335+E337+E338+E339+E340+E341, "NA")</f>
        <v>15278.6</v>
      </c>
      <c r="F343" s="15">
        <f>IFERROR(E343/E444, "NA")</f>
        <v>0.10075573062808424</v>
      </c>
      <c r="G343" s="2"/>
      <c r="H343" s="14">
        <f t="shared" si="84"/>
        <v>-3594.5099999999966</v>
      </c>
      <c r="I343" s="15">
        <f>IFERROR(H343/H444, "NA")</f>
        <v>1.4930653341474638</v>
      </c>
      <c r="J343" s="2"/>
      <c r="K343" s="14">
        <f>IFERROR(K328+K329+K330+K331+K332+K333+K334+K335+K337+K338+K339+K340+K341, "NA")</f>
        <v>15234.939999999999</v>
      </c>
      <c r="L343" s="15">
        <f>IFERROR(K343/K444, "NA")</f>
        <v>0.11754733642550527</v>
      </c>
      <c r="M343" s="2"/>
      <c r="N343" s="14">
        <f t="shared" si="85"/>
        <v>-3638.1699999999983</v>
      </c>
      <c r="O343" s="15">
        <f>IFERROR(N343/N444, "NA")</f>
        <v>-0.18537794085201578</v>
      </c>
      <c r="P343" s="2"/>
      <c r="Q343" s="14">
        <f>IFERROR(Q328+Q329+Q330+Q331+Q332+Q333+Q334+Q335+Q337+Q338+Q339+Q340+Q341, "NA")</f>
        <v>37607.74</v>
      </c>
      <c r="R343" s="15">
        <f>IFERROR(Q343/Q444, "NA")</f>
        <v>0.13111709693974319</v>
      </c>
      <c r="S343" s="2"/>
      <c r="T343" s="14">
        <f>IFERROR(T328+T329+T330+T331+T332+T333+T334+T335+T337+T338+T339+T340+T341, "NA")</f>
        <v>30192.510000000002</v>
      </c>
      <c r="U343" s="15">
        <f>IFERROR(T343/T444, "NA")</f>
        <v>0.12159837298067933</v>
      </c>
      <c r="V343" s="2"/>
      <c r="W343" s="14">
        <f t="shared" si="86"/>
        <v>-7415.2299999999959</v>
      </c>
      <c r="X343" s="15">
        <f>IFERROR(W343/W444, "NA")</f>
        <v>-0.19246035608344031</v>
      </c>
      <c r="Y343" s="2"/>
      <c r="Z343" s="14">
        <f>IFERROR(Z328+Z329+Z330+Z331+Z332+Z333+Z334+Z335+Z337+Z338+Z339+Z340+Z341, "NA")</f>
        <v>29827.919999999998</v>
      </c>
      <c r="AA343" s="15">
        <f>IFERROR(Z343/Z444, "NA")</f>
        <v>0.12710646895594718</v>
      </c>
      <c r="AB343" s="2"/>
      <c r="AC343" s="14">
        <f t="shared" si="87"/>
        <v>-7779.82</v>
      </c>
      <c r="AD343" s="15">
        <f>IFERROR(AC343/AC444, "NA")</f>
        <v>-0.14916208465163333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18873.109999999997</v>
      </c>
      <c r="C344" s="15">
        <f>IFERROR(B344/B444, "NA")</f>
        <v>0.12646779315020704</v>
      </c>
      <c r="D344" s="2"/>
      <c r="E344" s="14">
        <f>IFERROR(E328+E329+E330+E331+E332+E333+E334+E335+E337+E338+E339+E340+E341, "NA")</f>
        <v>15278.6</v>
      </c>
      <c r="F344" s="15">
        <f>IFERROR(E344/E444, "NA")</f>
        <v>0.10075573062808424</v>
      </c>
      <c r="G344" s="2"/>
      <c r="H344" s="14">
        <f t="shared" si="84"/>
        <v>-3594.5099999999966</v>
      </c>
      <c r="I344" s="15">
        <f>IFERROR(H344/H444, "NA")</f>
        <v>1.4930653341474638</v>
      </c>
      <c r="J344" s="2"/>
      <c r="K344" s="14">
        <f>IFERROR(K328+K329+K330+K331+K332+K333+K334+K335+K337+K338+K339+K340+K341, "NA")</f>
        <v>15234.939999999999</v>
      </c>
      <c r="L344" s="15">
        <f>IFERROR(K344/K444, "NA")</f>
        <v>0.11754733642550527</v>
      </c>
      <c r="M344" s="2"/>
      <c r="N344" s="14">
        <f t="shared" si="85"/>
        <v>-3638.1699999999983</v>
      </c>
      <c r="O344" s="15">
        <f>IFERROR(N344/N444, "NA")</f>
        <v>-0.18537794085201578</v>
      </c>
      <c r="P344" s="2"/>
      <c r="Q344" s="14">
        <f>IFERROR(Q328+Q329+Q330+Q331+Q332+Q333+Q334+Q335+Q337+Q338+Q339+Q340+Q341, "NA")</f>
        <v>37607.74</v>
      </c>
      <c r="R344" s="15">
        <f>IFERROR(Q344/Q444, "NA")</f>
        <v>0.13111709693974319</v>
      </c>
      <c r="S344" s="2"/>
      <c r="T344" s="14">
        <f>IFERROR(T328+T329+T330+T331+T332+T333+T334+T335+T337+T338+T339+T340+T341, "NA")</f>
        <v>30192.510000000002</v>
      </c>
      <c r="U344" s="15">
        <f>IFERROR(T344/T444, "NA")</f>
        <v>0.12159837298067933</v>
      </c>
      <c r="V344" s="2"/>
      <c r="W344" s="14">
        <f t="shared" si="86"/>
        <v>-7415.2299999999959</v>
      </c>
      <c r="X344" s="15">
        <f>IFERROR(W344/W444, "NA")</f>
        <v>-0.19246035608344031</v>
      </c>
      <c r="Y344" s="2"/>
      <c r="Z344" s="14">
        <f>IFERROR(Z328+Z329+Z330+Z331+Z332+Z333+Z334+Z335+Z337+Z338+Z339+Z340+Z341, "NA")</f>
        <v>29827.919999999998</v>
      </c>
      <c r="AA344" s="15">
        <f>IFERROR(Z344/Z444, "NA")</f>
        <v>0.12710646895594718</v>
      </c>
      <c r="AB344" s="2"/>
      <c r="AC344" s="14">
        <f t="shared" si="87"/>
        <v>-7779.82</v>
      </c>
      <c r="AD344" s="15">
        <f>IFERROR(AC344/AC444, "NA")</f>
        <v>-0.14916208465163333</v>
      </c>
    </row>
    <row r="345" spans="1:30" ht="16.5" customHeight="1" x14ac:dyDescent="0.45">
      <c r="A345" s="22" t="s">
        <v>315</v>
      </c>
      <c r="B345" s="23">
        <f>IFERROR(B198-B325-B344, "NA")</f>
        <v>5469.5999999999876</v>
      </c>
      <c r="C345" s="24">
        <f>IFERROR(B345/B444, "NA")</f>
        <v>3.665152385666013E-2</v>
      </c>
      <c r="D345" s="25"/>
      <c r="E345" s="23">
        <f>IFERROR(E198-E325-E344, "NA")</f>
        <v>16450.12000000001</v>
      </c>
      <c r="F345" s="24">
        <f>IFERROR(E345/E444, "NA")</f>
        <v>0.10848139616978401</v>
      </c>
      <c r="G345" s="25"/>
      <c r="H345" s="23">
        <f>IFERROR(B345-E345, "NA")</f>
        <v>-10980.520000000022</v>
      </c>
      <c r="I345" s="24">
        <f>IFERROR(H345/H444, "NA")</f>
        <v>4.5610204903903337</v>
      </c>
      <c r="J345" s="25"/>
      <c r="K345" s="23">
        <f>IFERROR(K198-K325-K344, "NA")</f>
        <v>11520.979999999974</v>
      </c>
      <c r="L345" s="24">
        <f>IFERROR(K345/K444, "NA")</f>
        <v>8.8891752249205758E-2</v>
      </c>
      <c r="M345" s="25"/>
      <c r="N345" s="23">
        <f>IFERROR(B345-K345, "NA")</f>
        <v>-6051.3799999999865</v>
      </c>
      <c r="O345" s="24">
        <f>IFERROR(N345/N444, "NA")</f>
        <v>-0.30833973225909439</v>
      </c>
      <c r="P345" s="25"/>
      <c r="Q345" s="23">
        <f>IFERROR(Q198-Q325-Q344, "NA")</f>
        <v>10347.670000000107</v>
      </c>
      <c r="R345" s="24">
        <f>IFERROR(Q345/Q444, "NA")</f>
        <v>3.6076521760958956E-2</v>
      </c>
      <c r="S345" s="25"/>
      <c r="T345" s="23">
        <f>IFERROR(T198-T325-T344, "NA")</f>
        <v>10008.299999999952</v>
      </c>
      <c r="U345" s="24">
        <f>IFERROR(T345/T444, "NA")</f>
        <v>4.0307778197391571E-2</v>
      </c>
      <c r="V345" s="25"/>
      <c r="W345" s="23">
        <f>IFERROR(Q345-T345, "NA")</f>
        <v>339.37000000015541</v>
      </c>
      <c r="X345" s="24">
        <f>IFERROR(W345/W444, "NA")</f>
        <v>8.8082596283685175E-3</v>
      </c>
      <c r="Y345" s="25"/>
      <c r="Z345" s="23">
        <f>IFERROR(Z198-Z325-Z344, "NA")</f>
        <v>18475.250000000044</v>
      </c>
      <c r="AA345" s="24">
        <f>IFERROR(Z345/Z444, "NA")</f>
        <v>7.8729049513957691E-2</v>
      </c>
      <c r="AB345" s="25"/>
      <c r="AC345" s="23">
        <f>IFERROR(Q345-Z345, "NA")</f>
        <v>-8127.5799999999363</v>
      </c>
      <c r="AD345" s="24">
        <f>IFERROR(AC345/AC444, "NA")</f>
        <v>-0.15582966906341184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5469.5999999999876</v>
      </c>
      <c r="C404" s="24">
        <f>IFERROR(B404/B444, "NA")</f>
        <v>3.665152385666013E-2</v>
      </c>
      <c r="D404" s="25"/>
      <c r="E404" s="23">
        <f>IFERROR(E345-E403, "NA")</f>
        <v>16450.12000000001</v>
      </c>
      <c r="F404" s="24">
        <f>IFERROR(E404/E444, "NA")</f>
        <v>0.10848139616978401</v>
      </c>
      <c r="G404" s="25"/>
      <c r="H404" s="23">
        <f>IFERROR(B404-E404, "NA")</f>
        <v>-10980.520000000022</v>
      </c>
      <c r="I404" s="24">
        <f>IFERROR(H404/H444, "NA")</f>
        <v>4.5610204903903337</v>
      </c>
      <c r="J404" s="25"/>
      <c r="K404" s="23">
        <f>IFERROR(K345-K403, "NA")</f>
        <v>11520.979999999974</v>
      </c>
      <c r="L404" s="24">
        <f>IFERROR(K404/K444, "NA")</f>
        <v>8.8891752249205758E-2</v>
      </c>
      <c r="M404" s="25"/>
      <c r="N404" s="23">
        <f>IFERROR(B404-K404, "NA")</f>
        <v>-6051.3799999999865</v>
      </c>
      <c r="O404" s="24">
        <f>IFERROR(N404/N444, "NA")</f>
        <v>-0.30833973225909439</v>
      </c>
      <c r="P404" s="25"/>
      <c r="Q404" s="23">
        <f>IFERROR(Q345-Q403, "NA")</f>
        <v>10347.670000000107</v>
      </c>
      <c r="R404" s="24">
        <f>IFERROR(Q404/Q444, "NA")</f>
        <v>3.6076521760958956E-2</v>
      </c>
      <c r="S404" s="25"/>
      <c r="T404" s="23">
        <f>IFERROR(T345-T403, "NA")</f>
        <v>10008.299999999952</v>
      </c>
      <c r="U404" s="24">
        <f>IFERROR(T404/T444, "NA")</f>
        <v>4.0307778197391571E-2</v>
      </c>
      <c r="V404" s="25"/>
      <c r="W404" s="23">
        <f>IFERROR(Q404-T404, "NA")</f>
        <v>339.37000000015541</v>
      </c>
      <c r="X404" s="24">
        <f>IFERROR(W404/W444, "NA")</f>
        <v>8.8082596283685175E-3</v>
      </c>
      <c r="Y404" s="25"/>
      <c r="Z404" s="23">
        <f>IFERROR(Z345-Z403, "NA")</f>
        <v>18475.250000000044</v>
      </c>
      <c r="AA404" s="24">
        <f>IFERROR(Z404/Z444, "NA")</f>
        <v>7.8729049513957691E-2</v>
      </c>
      <c r="AB404" s="25"/>
      <c r="AC404" s="23">
        <f>IFERROR(Q404-Z404, "NA")</f>
        <v>-8127.5799999999363</v>
      </c>
      <c r="AD404" s="24">
        <f>IFERROR(AC404/AC444, "NA")</f>
        <v>-0.15582966906341184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-40</v>
      </c>
      <c r="L407" s="8">
        <f>IFERROR(K407/K444, "NA")</f>
        <v>-3.0862566291827939E-4</v>
      </c>
      <c r="M407" s="9"/>
      <c r="N407" s="10">
        <f t="shared" ref="N407:N429" si="101">IFERROR(-(B407-K407), "NA")</f>
        <v>-40</v>
      </c>
      <c r="O407" s="8">
        <f>IFERROR(N407/N444, "NA")</f>
        <v>-2.0381449008926565E-3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-1.7045301040896876E-4</v>
      </c>
      <c r="AB407" s="9"/>
      <c r="AC407" s="10">
        <f t="shared" ref="AC407:AC429" si="103">IFERROR(-(Q407-Z407), "NA")</f>
        <v>-40</v>
      </c>
      <c r="AD407" s="8">
        <f>IFERROR(AC407/AC444, "NA")</f>
        <v>-7.6691792175980085E-4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3134.5</v>
      </c>
      <c r="C410" s="8">
        <f>IFERROR(B410/B444, "NA")</f>
        <v>2.1004132208699254E-2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-3134.5</v>
      </c>
      <c r="I410" s="8">
        <f>IFERROR(H410/H444, "NA")</f>
        <v>1.301989225203221</v>
      </c>
      <c r="J410" s="9"/>
      <c r="K410" s="7">
        <v>4503.9399999999996</v>
      </c>
      <c r="L410" s="8">
        <f>IFERROR(K410/K444, "NA")</f>
        <v>3.4750786706103876E-2</v>
      </c>
      <c r="M410" s="9"/>
      <c r="N410" s="10">
        <f t="shared" si="101"/>
        <v>1369.4399999999996</v>
      </c>
      <c r="O410" s="8">
        <f>IFERROR(N410/N444, "NA")</f>
        <v>6.9777928826960961E-2</v>
      </c>
      <c r="P410" s="9"/>
      <c r="Q410" s="7">
        <v>6133.93</v>
      </c>
      <c r="R410" s="8">
        <f>IFERROR(Q410/Q444, "NA")</f>
        <v>2.1385573672642891E-2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-6133.93</v>
      </c>
      <c r="X410" s="8">
        <f>IFERROR(W410/W444, "NA")</f>
        <v>-0.15920454955421445</v>
      </c>
      <c r="Y410" s="9"/>
      <c r="Z410" s="7">
        <v>9007.8799999999992</v>
      </c>
      <c r="AA410" s="8">
        <f>IFERROR(Z410/Z444, "NA")</f>
        <v>3.8385506585068535E-2</v>
      </c>
      <c r="AB410" s="9"/>
      <c r="AC410" s="10">
        <f t="shared" si="103"/>
        <v>2873.9499999999989</v>
      </c>
      <c r="AD410" s="8">
        <f>IFERROR(AC410/AC444, "NA")</f>
        <v>5.5102094031039474E-2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-88.66</v>
      </c>
      <c r="C417" s="8">
        <f>IFERROR(B417/B444, "NA")</f>
        <v>-5.9410635240812759E-4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88.66</v>
      </c>
      <c r="I417" s="8">
        <f>IFERROR(H417/H444, "NA")</f>
        <v>-3.6827042496895064E-2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88.66</v>
      </c>
      <c r="O417" s="8">
        <f>IFERROR(N417/N444, "NA")</f>
        <v>4.5175481728285723E-3</v>
      </c>
      <c r="P417" s="9"/>
      <c r="Q417" s="7">
        <v>-84.84</v>
      </c>
      <c r="R417" s="8">
        <f>IFERROR(Q417/Q444, "NA")</f>
        <v>-2.9578949717180061E-4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84.84</v>
      </c>
      <c r="X417" s="8">
        <f>IFERROR(W417/W444, "NA")</f>
        <v>2.2020000202446969E-3</v>
      </c>
      <c r="Y417" s="9"/>
      <c r="Z417" s="7">
        <v>-28.35</v>
      </c>
      <c r="AA417" s="8">
        <f>IFERROR(Z417/Z444, "NA")</f>
        <v>-1.2080857112735662E-4</v>
      </c>
      <c r="AB417" s="9"/>
      <c r="AC417" s="10">
        <f t="shared" si="103"/>
        <v>56.49</v>
      </c>
      <c r="AD417" s="8">
        <f>IFERROR(AC417/AC444, "NA")</f>
        <v>1.0830798350052787E-3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-20</v>
      </c>
      <c r="R421" s="8">
        <f>IFERROR(Q421/Q444, "NA")</f>
        <v>-6.9728782925931301E-5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5.1909477139196062E-4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3.8345896087990043E-4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3045.84</v>
      </c>
      <c r="C428" s="15">
        <f>IFERROR(B428/B444, "NA")</f>
        <v>2.0410025856291127E-2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-3045.84</v>
      </c>
      <c r="I428" s="15">
        <f>IFERROR(H428/H444, "NA")</f>
        <v>1.265162182706326</v>
      </c>
      <c r="J428" s="2"/>
      <c r="K428" s="14">
        <f>IFERROR(K407+K408+K409+K410+K411+K412+K413+K414+K415+K416+K417+K418+K419+K420+K421+K422+K423+K424+K425+K426+K427, "NA")</f>
        <v>4463.9399999999996</v>
      </c>
      <c r="L428" s="15">
        <f>IFERROR(K428/K444, "NA")</f>
        <v>3.44421610431856E-2</v>
      </c>
      <c r="M428" s="2"/>
      <c r="N428" s="14">
        <f t="shared" si="101"/>
        <v>1418.0999999999995</v>
      </c>
      <c r="O428" s="15">
        <f>IFERROR(N428/N444, "NA")</f>
        <v>7.225733209889687E-2</v>
      </c>
      <c r="P428" s="2"/>
      <c r="Q428" s="14">
        <f>IFERROR(Q407+Q408+Q409+Q410+Q411+Q412+Q413+Q414+Q415+Q416+Q417+Q418+Q419+Q420+Q421+Q422+Q423+Q424+Q425+Q426+Q427, "NA")</f>
        <v>6029.09</v>
      </c>
      <c r="R428" s="15">
        <f>IFERROR(Q428/Q444, "NA")</f>
        <v>2.1020055392545159E-2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-6029.09</v>
      </c>
      <c r="X428" s="15">
        <f>IFERROR(W428/W444, "NA")</f>
        <v>-0.1564834547625778</v>
      </c>
      <c r="Y428" s="2"/>
      <c r="Z428" s="14">
        <f>IFERROR(Z407+Z408+Z409+Z410+Z411+Z412+Z413+Z414+Z415+Z416+Z417+Z418+Z419+Z420+Z421+Z422+Z423+Z424+Z425+Z426+Z427, "NA")</f>
        <v>8939.5299999999988</v>
      </c>
      <c r="AA428" s="15">
        <f>IFERROR(Z428/Z444, "NA")</f>
        <v>3.8094245003532208E-2</v>
      </c>
      <c r="AB428" s="2"/>
      <c r="AC428" s="14">
        <f t="shared" si="103"/>
        <v>2910.4399999999987</v>
      </c>
      <c r="AD428" s="15">
        <f>IFERROR(AC428/AC444, "NA")</f>
        <v>5.5801714905164848E-2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3045.84</v>
      </c>
      <c r="C429" s="15">
        <f>IFERROR(B429/B444, "NA")</f>
        <v>2.0410025856291127E-2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-3045.84</v>
      </c>
      <c r="I429" s="15">
        <f>IFERROR(H429/H444, "NA")</f>
        <v>1.265162182706326</v>
      </c>
      <c r="J429" s="2"/>
      <c r="K429" s="14">
        <f>IFERROR(K407+K408+K409+K410+K411+K412+K413+K414+K415+K416+K417+K418+K419+K420+K421+K422+K423+K424+K425+K426+K427, "NA")</f>
        <v>4463.9399999999996</v>
      </c>
      <c r="L429" s="15">
        <f>IFERROR(K429/K444, "NA")</f>
        <v>3.44421610431856E-2</v>
      </c>
      <c r="M429" s="2"/>
      <c r="N429" s="14">
        <f t="shared" si="101"/>
        <v>1418.0999999999995</v>
      </c>
      <c r="O429" s="15">
        <f>IFERROR(N429/N444, "NA")</f>
        <v>7.225733209889687E-2</v>
      </c>
      <c r="P429" s="2"/>
      <c r="Q429" s="14">
        <f>IFERROR(Q407+Q408+Q409+Q410+Q411+Q412+Q413+Q414+Q415+Q416+Q417+Q418+Q419+Q420+Q421+Q422+Q423+Q424+Q425+Q426+Q427, "NA")</f>
        <v>6029.09</v>
      </c>
      <c r="R429" s="15">
        <f>IFERROR(Q429/Q444, "NA")</f>
        <v>2.1020055392545159E-2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-6029.09</v>
      </c>
      <c r="X429" s="15">
        <f>IFERROR(W429/W444, "NA")</f>
        <v>-0.1564834547625778</v>
      </c>
      <c r="Y429" s="2"/>
      <c r="Z429" s="14">
        <f>IFERROR(Z407+Z408+Z409+Z410+Z411+Z412+Z413+Z414+Z415+Z416+Z417+Z418+Z419+Z420+Z421+Z422+Z423+Z424+Z425+Z426+Z427, "NA")</f>
        <v>8939.5299999999988</v>
      </c>
      <c r="AA429" s="15">
        <f>IFERROR(Z429/Z444, "NA")</f>
        <v>3.8094245003532208E-2</v>
      </c>
      <c r="AB429" s="2"/>
      <c r="AC429" s="14">
        <f t="shared" si="103"/>
        <v>2910.4399999999987</v>
      </c>
      <c r="AD429" s="15">
        <f>IFERROR(AC429/AC444, "NA")</f>
        <v>5.5801714905164848E-2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2423.7599999999875</v>
      </c>
      <c r="C443" s="24">
        <f>IFERROR(B443/B444, "NA")</f>
        <v>1.6241498000369003E-2</v>
      </c>
      <c r="D443" s="25"/>
      <c r="E443" s="23">
        <f>IFERROR(E404-E429-E442, "NA")</f>
        <v>16450.12000000001</v>
      </c>
      <c r="F443" s="24">
        <f>IFERROR(E443/E444, "NA")</f>
        <v>0.10848139616978401</v>
      </c>
      <c r="G443" s="25"/>
      <c r="H443" s="23">
        <f>IFERROR(B443-E443, "NA")</f>
        <v>-14026.360000000022</v>
      </c>
      <c r="I443" s="24">
        <f>IFERROR(H443/H444, "NA")</f>
        <v>5.8261826730966595</v>
      </c>
      <c r="J443" s="25"/>
      <c r="K443" s="23">
        <f>IFERROR(K404-K429-K442, "NA")</f>
        <v>7057.0399999999745</v>
      </c>
      <c r="L443" s="24">
        <f>IFERROR(K443/K444, "NA")</f>
        <v>5.4449591206020165E-2</v>
      </c>
      <c r="M443" s="25"/>
      <c r="N443" s="23">
        <f>IFERROR(B443-K443, "NA")</f>
        <v>-4633.279999999987</v>
      </c>
      <c r="O443" s="24">
        <f>IFERROR(N443/N444, "NA")</f>
        <v>-0.23608240016019749</v>
      </c>
      <c r="P443" s="25"/>
      <c r="Q443" s="23">
        <f>IFERROR(Q404-Q429-Q442, "NA")</f>
        <v>4318.5800000001072</v>
      </c>
      <c r="R443" s="24">
        <f>IFERROR(Q443/Q444, "NA")</f>
        <v>1.5056466368413794E-2</v>
      </c>
      <c r="S443" s="25"/>
      <c r="T443" s="23">
        <f>IFERROR(T404-T429-T442, "NA")</f>
        <v>10008.299999999952</v>
      </c>
      <c r="U443" s="24">
        <f>IFERROR(T443/T444, "NA")</f>
        <v>4.0307778197391571E-2</v>
      </c>
      <c r="V443" s="25"/>
      <c r="W443" s="23">
        <f>IFERROR(Q443-T443, "NA")</f>
        <v>-5689.7199999998447</v>
      </c>
      <c r="X443" s="24">
        <f>IFERROR(W443/W444, "NA")</f>
        <v>-0.14767519513420926</v>
      </c>
      <c r="Y443" s="25"/>
      <c r="Z443" s="23">
        <f>IFERROR(Z404-Z429-Z442, "NA")</f>
        <v>9535.7200000000448</v>
      </c>
      <c r="AA443" s="24">
        <f>IFERROR(Z443/Z444, "NA")</f>
        <v>4.0634804510425483E-2</v>
      </c>
      <c r="AB443" s="25"/>
      <c r="AC443" s="23">
        <f>IFERROR(Q443-Z443, "NA")</f>
        <v>-5217.1399999999376</v>
      </c>
      <c r="AD443" s="24">
        <f>IFERROR(AC443/AC444, "NA")</f>
        <v>-0.10002795415824699</v>
      </c>
    </row>
    <row r="444" spans="1:30" ht="15.75" hidden="1" x14ac:dyDescent="0.45">
      <c r="A444" s="26" t="s">
        <v>117</v>
      </c>
      <c r="B444" s="7">
        <v>149232.54</v>
      </c>
      <c r="C444" s="27"/>
      <c r="D444" s="9"/>
      <c r="E444" s="7">
        <v>151640.01</v>
      </c>
      <c r="F444" s="27"/>
      <c r="G444" s="9"/>
      <c r="H444" s="10">
        <f>IFERROR(B444-E444, "NA")</f>
        <v>-2407.4700000000012</v>
      </c>
      <c r="I444" s="27"/>
      <c r="J444" s="9"/>
      <c r="K444" s="7">
        <v>129606.85</v>
      </c>
      <c r="L444" s="27"/>
      <c r="M444" s="9"/>
      <c r="N444" s="10">
        <f>IFERROR(B444-K444, "NA")</f>
        <v>19625.690000000002</v>
      </c>
      <c r="O444" s="27"/>
      <c r="P444" s="9"/>
      <c r="Q444" s="7">
        <v>286825.59999999998</v>
      </c>
      <c r="R444" s="27"/>
      <c r="S444" s="9"/>
      <c r="T444" s="7">
        <v>248296.99</v>
      </c>
      <c r="U444" s="27"/>
      <c r="V444" s="9"/>
      <c r="W444" s="10">
        <f>IFERROR(Q444-T444, "NA")</f>
        <v>38528.609999999986</v>
      </c>
      <c r="X444" s="27"/>
      <c r="Y444" s="9"/>
      <c r="Z444" s="7">
        <v>234668.78</v>
      </c>
      <c r="AA444" s="27"/>
      <c r="AB444" s="9"/>
      <c r="AC444" s="10">
        <f>IFERROR(Q444-Z444, "NA")</f>
        <v>52156.819999999978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35343.49</v>
      </c>
      <c r="F10" s="8">
        <f>IFERROR(E10/E444, "NA")</f>
        <v>0.49400004360860045</v>
      </c>
      <c r="G10" s="9"/>
      <c r="H10" s="10">
        <f t="shared" ref="H10:H19" si="0">IFERROR(B10-E10, "NA")</f>
        <v>-35343.49</v>
      </c>
      <c r="I10" s="8">
        <f>IFERROR(H10/H444, "NA")</f>
        <v>-3.9662364536773853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63053.440000000002</v>
      </c>
      <c r="U10" s="8">
        <f>IFERROR(T10/T444, "NA")</f>
        <v>0.49400004841798162</v>
      </c>
      <c r="V10" s="9"/>
      <c r="W10" s="10">
        <f t="shared" ref="W10:W19" si="2">IFERROR(Q10-T10, "NA")</f>
        <v>-63053.440000000002</v>
      </c>
      <c r="X10" s="8">
        <f>IFERROR(W10/W444, "NA")</f>
        <v>-3.3993894910952194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31552.9</v>
      </c>
      <c r="C11" s="8">
        <f>IFERROR(B11/B444, "NA")</f>
        <v>0.39217287429833297</v>
      </c>
      <c r="D11" s="9"/>
      <c r="E11" s="7">
        <v>0</v>
      </c>
      <c r="F11" s="8">
        <f>IFERROR(E11/E444, "NA")</f>
        <v>0</v>
      </c>
      <c r="G11" s="9"/>
      <c r="H11" s="10">
        <f t="shared" si="0"/>
        <v>31552.9</v>
      </c>
      <c r="I11" s="8">
        <f>IFERROR(H11/H444, "NA")</f>
        <v>3.5408575157472333</v>
      </c>
      <c r="J11" s="9"/>
      <c r="K11" s="7">
        <v>33046.550000000003</v>
      </c>
      <c r="L11" s="8">
        <f>IFERROR(K11/K444, "NA")</f>
        <v>0.54549849902097147</v>
      </c>
      <c r="M11" s="9"/>
      <c r="N11" s="10">
        <f t="shared" si="1"/>
        <v>-1493.6500000000015</v>
      </c>
      <c r="O11" s="8">
        <f>IFERROR(N11/N444, "NA")</f>
        <v>-7.5147853080199195E-2</v>
      </c>
      <c r="P11" s="9"/>
      <c r="Q11" s="7">
        <v>59772.39</v>
      </c>
      <c r="R11" s="8">
        <f>IFERROR(Q11/Q444, "NA")</f>
        <v>0.40887626183424397</v>
      </c>
      <c r="S11" s="9"/>
      <c r="T11" s="7">
        <v>0</v>
      </c>
      <c r="U11" s="8">
        <f>IFERROR(T11/T444, "NA")</f>
        <v>0</v>
      </c>
      <c r="V11" s="9"/>
      <c r="W11" s="10">
        <f t="shared" si="2"/>
        <v>59772.39</v>
      </c>
      <c r="X11" s="8">
        <f>IFERROR(W11/W444, "NA")</f>
        <v>3.2224987950482156</v>
      </c>
      <c r="Y11" s="9"/>
      <c r="Z11" s="7">
        <v>65216.63</v>
      </c>
      <c r="AA11" s="8">
        <f>IFERROR(Z11/Z444, "NA")</f>
        <v>0.57206375866889791</v>
      </c>
      <c r="AB11" s="9"/>
      <c r="AC11" s="10">
        <f t="shared" si="3"/>
        <v>-5444.239999999998</v>
      </c>
      <c r="AD11" s="8">
        <f>IFERROR(AC11/AC444, "NA")</f>
        <v>-0.16915662485889996</v>
      </c>
    </row>
    <row r="12" spans="1:30" ht="16.5" customHeight="1" x14ac:dyDescent="0.45">
      <c r="A12" s="12" t="s">
        <v>14</v>
      </c>
      <c r="B12" s="7">
        <v>2581.1</v>
      </c>
      <c r="C12" s="8">
        <f>IFERROR(B12/B444, "NA")</f>
        <v>3.2080645704560505E-2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2581.1</v>
      </c>
      <c r="I12" s="8">
        <f>IFERROR(H12/H444, "NA")</f>
        <v>0.28965031213914355</v>
      </c>
      <c r="J12" s="9"/>
      <c r="K12" s="7">
        <v>2779.55</v>
      </c>
      <c r="L12" s="8">
        <f>IFERROR(K12/K444, "NA")</f>
        <v>4.5881955997032708E-2</v>
      </c>
      <c r="M12" s="9"/>
      <c r="N12" s="10">
        <f t="shared" si="1"/>
        <v>-198.45000000000027</v>
      </c>
      <c r="O12" s="8">
        <f>IFERROR(N12/N444, "NA")</f>
        <v>-9.9843279508355625E-3</v>
      </c>
      <c r="P12" s="9"/>
      <c r="Q12" s="7">
        <v>4949.75</v>
      </c>
      <c r="R12" s="8">
        <f>IFERROR(Q12/Q444, "NA")</f>
        <v>3.3859032188842522E-2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4949.75</v>
      </c>
      <c r="X12" s="8">
        <f>IFERROR(W12/W444, "NA")</f>
        <v>0.26685503810019817</v>
      </c>
      <c r="Y12" s="9"/>
      <c r="Z12" s="7">
        <v>5546.3</v>
      </c>
      <c r="AA12" s="8">
        <f>IFERROR(Z12/Z444, "NA")</f>
        <v>4.8650738695104438E-2</v>
      </c>
      <c r="AB12" s="9"/>
      <c r="AC12" s="10">
        <f t="shared" si="3"/>
        <v>-596.55000000000018</v>
      </c>
      <c r="AD12" s="8">
        <f>IFERROR(AC12/AC444, "NA")</f>
        <v>-1.8535256447103146E-2</v>
      </c>
    </row>
    <row r="13" spans="1:30" ht="16.5" customHeight="1" x14ac:dyDescent="0.45">
      <c r="A13" s="12" t="s">
        <v>15</v>
      </c>
      <c r="B13" s="7">
        <v>34</v>
      </c>
      <c r="C13" s="8">
        <f>IFERROR(B13/B444, "NA")</f>
        <v>4.2258802601799901E-4</v>
      </c>
      <c r="D13" s="9"/>
      <c r="E13" s="7">
        <v>0</v>
      </c>
      <c r="F13" s="8">
        <f>IFERROR(E13/E444, "NA")</f>
        <v>0</v>
      </c>
      <c r="G13" s="9"/>
      <c r="H13" s="10">
        <f t="shared" si="0"/>
        <v>34</v>
      </c>
      <c r="I13" s="8">
        <f>IFERROR(H13/H444, "NA")</f>
        <v>3.8154703857777236E-3</v>
      </c>
      <c r="J13" s="9"/>
      <c r="K13" s="7">
        <v>52</v>
      </c>
      <c r="L13" s="8">
        <f>IFERROR(K13/K444, "NA")</f>
        <v>8.5836258093781391E-4</v>
      </c>
      <c r="M13" s="9"/>
      <c r="N13" s="10">
        <f t="shared" si="1"/>
        <v>-18</v>
      </c>
      <c r="O13" s="8">
        <f>IFERROR(N13/N444, "NA")</f>
        <v>-9.0560797740004979E-4</v>
      </c>
      <c r="P13" s="9"/>
      <c r="Q13" s="7">
        <v>66.5</v>
      </c>
      <c r="R13" s="8">
        <f>IFERROR(Q13/Q444, "NA")</f>
        <v>4.5489684136734742E-4</v>
      </c>
      <c r="S13" s="9"/>
      <c r="T13" s="7">
        <v>0</v>
      </c>
      <c r="U13" s="8">
        <f>IFERROR(T13/T444, "NA")</f>
        <v>0</v>
      </c>
      <c r="V13" s="9"/>
      <c r="W13" s="10">
        <f t="shared" si="2"/>
        <v>66.5</v>
      </c>
      <c r="X13" s="8">
        <f>IFERROR(W13/W444, "NA")</f>
        <v>3.5852032998965966E-3</v>
      </c>
      <c r="Y13" s="9"/>
      <c r="Z13" s="7">
        <v>97.5</v>
      </c>
      <c r="AA13" s="8">
        <f>IFERROR(Z13/Z444, "NA")</f>
        <v>8.5524530277350345E-4</v>
      </c>
      <c r="AB13" s="9"/>
      <c r="AC13" s="10">
        <f t="shared" si="3"/>
        <v>-31</v>
      </c>
      <c r="AD13" s="8">
        <f>IFERROR(AC13/AC444, "NA")</f>
        <v>-9.6319327778090255E-4</v>
      </c>
    </row>
    <row r="14" spans="1:30" ht="16.5" customHeight="1" x14ac:dyDescent="0.45">
      <c r="A14" s="12" t="s">
        <v>16</v>
      </c>
      <c r="B14" s="7">
        <v>180</v>
      </c>
      <c r="C14" s="8">
        <f>IFERROR(B14/B444, "NA")</f>
        <v>2.2372307259776419E-3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180</v>
      </c>
      <c r="I14" s="8">
        <f>IFERROR(H14/H444, "NA")</f>
        <v>2.0199549101176183E-2</v>
      </c>
      <c r="J14" s="9"/>
      <c r="K14" s="7">
        <v>515</v>
      </c>
      <c r="L14" s="8">
        <f>IFERROR(K14/K444, "NA")</f>
        <v>8.5010909458264269E-3</v>
      </c>
      <c r="M14" s="9"/>
      <c r="N14" s="10">
        <f t="shared" si="1"/>
        <v>-335</v>
      </c>
      <c r="O14" s="8">
        <f>IFERROR(N14/N444, "NA")</f>
        <v>-1.6854370690500924E-2</v>
      </c>
      <c r="P14" s="9"/>
      <c r="Q14" s="7">
        <v>335</v>
      </c>
      <c r="R14" s="8">
        <f>IFERROR(Q14/Q444, "NA")</f>
        <v>2.2915855918505474E-3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335</v>
      </c>
      <c r="X14" s="8">
        <f>IFERROR(W14/W444, "NA")</f>
        <v>1.8060798578426466E-2</v>
      </c>
      <c r="Y14" s="9"/>
      <c r="Z14" s="7">
        <v>995</v>
      </c>
      <c r="AA14" s="8">
        <f>IFERROR(Z14/Z444, "NA")</f>
        <v>8.7278879616372925E-3</v>
      </c>
      <c r="AB14" s="9"/>
      <c r="AC14" s="10">
        <f t="shared" si="3"/>
        <v>-660</v>
      </c>
      <c r="AD14" s="8">
        <f>IFERROR(AC14/AC444, "NA")</f>
        <v>-2.0506695591464376E-2</v>
      </c>
    </row>
    <row r="15" spans="1:30" ht="16.5" customHeight="1" x14ac:dyDescent="0.45">
      <c r="A15" s="12" t="s">
        <v>17</v>
      </c>
      <c r="B15" s="7">
        <v>15</v>
      </c>
      <c r="C15" s="8">
        <f>IFERROR(B15/B444, "NA")</f>
        <v>1.8643589383147014E-4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15</v>
      </c>
      <c r="I15" s="8">
        <f>IFERROR(H15/H444, "NA")</f>
        <v>1.6832957584313486E-3</v>
      </c>
      <c r="J15" s="9"/>
      <c r="K15" s="7">
        <v>82</v>
      </c>
      <c r="L15" s="8">
        <f>IFERROR(K15/K444, "NA")</f>
        <v>1.3535717622480913E-3</v>
      </c>
      <c r="M15" s="9"/>
      <c r="N15" s="10">
        <f t="shared" si="1"/>
        <v>-67</v>
      </c>
      <c r="O15" s="8">
        <f>IFERROR(N15/N444, "NA")</f>
        <v>-3.3708741381001852E-3</v>
      </c>
      <c r="P15" s="9"/>
      <c r="Q15" s="7">
        <v>30.5</v>
      </c>
      <c r="R15" s="8">
        <f>IFERROR(Q15/Q444, "NA")</f>
        <v>2.0863689716848265E-4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30.5</v>
      </c>
      <c r="X15" s="8">
        <f>IFERROR(W15/W444, "NA")</f>
        <v>1.6443413631104691E-3</v>
      </c>
      <c r="Y15" s="9"/>
      <c r="Z15" s="7">
        <v>127</v>
      </c>
      <c r="AA15" s="8">
        <f>IFERROR(Z15/Z444, "NA")</f>
        <v>1.1140118302793327E-3</v>
      </c>
      <c r="AB15" s="9"/>
      <c r="AC15" s="10">
        <f t="shared" si="3"/>
        <v>-96.5</v>
      </c>
      <c r="AD15" s="8">
        <f>IFERROR(AC15/AC444, "NA")</f>
        <v>-2.9983274614792609E-3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7.5246094060764239E-6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5.9304114735131681E-5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3.4177825985773961E-5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34363</v>
      </c>
      <c r="C18" s="15">
        <f>IFERROR(B18/B444, "NA")</f>
        <v>0.42709977464872062</v>
      </c>
      <c r="D18" s="2"/>
      <c r="E18" s="14">
        <f>IFERROR(E10+E11+E12+E13+E14+E15+E16+E17, "NA")</f>
        <v>35343.49</v>
      </c>
      <c r="F18" s="15">
        <f>IFERROR(E18/E444, "NA")</f>
        <v>0.49400004360860045</v>
      </c>
      <c r="G18" s="2"/>
      <c r="H18" s="14">
        <f t="shared" si="0"/>
        <v>-980.48999999999796</v>
      </c>
      <c r="I18" s="15">
        <f>IFERROR(H18/H444, "NA")</f>
        <v>-0.1100303105456233</v>
      </c>
      <c r="J18" s="2"/>
      <c r="K18" s="14">
        <f>IFERROR(K10+K11+K12+K13+K14+K15+K16+K17, "NA")</f>
        <v>36475.100000000006</v>
      </c>
      <c r="L18" s="15">
        <f>IFERROR(K18/K444, "NA")</f>
        <v>0.60209348030701659</v>
      </c>
      <c r="M18" s="2"/>
      <c r="N18" s="14">
        <f t="shared" si="1"/>
        <v>-2112.1000000000058</v>
      </c>
      <c r="O18" s="15">
        <f>IFERROR(N18/N444, "NA")</f>
        <v>-0.10626303383703613</v>
      </c>
      <c r="P18" s="2"/>
      <c r="Q18" s="14">
        <f>IFERROR(Q10+Q11+Q12+Q13+Q14+Q15+Q16+Q17, "NA")</f>
        <v>65155.24</v>
      </c>
      <c r="R18" s="15">
        <f>IFERROR(Q18/Q444, "NA")</f>
        <v>0.44569793796287893</v>
      </c>
      <c r="S18" s="2"/>
      <c r="T18" s="14">
        <f>IFERROR(T10+T11+T12+T13+T14+T15+T16+T17, "NA")</f>
        <v>63053.440000000002</v>
      </c>
      <c r="U18" s="15">
        <f>IFERROR(T18/T444, "NA")</f>
        <v>0.49400004841798162</v>
      </c>
      <c r="V18" s="2"/>
      <c r="W18" s="14">
        <f t="shared" si="2"/>
        <v>2101.7999999999956</v>
      </c>
      <c r="X18" s="15">
        <f>IFERROR(W18/W444, "NA")</f>
        <v>0.11331398940936319</v>
      </c>
      <c r="Y18" s="2"/>
      <c r="Z18" s="14">
        <f>IFERROR(Z10+Z11+Z12+Z13+Z14+Z15+Z16+Z17, "NA")</f>
        <v>71982.429999999993</v>
      </c>
      <c r="AA18" s="15">
        <f>IFERROR(Z18/Z444, "NA")</f>
        <v>0.63141164245869241</v>
      </c>
      <c r="AB18" s="2"/>
      <c r="AC18" s="14">
        <f t="shared" si="3"/>
        <v>-6827.1899999999951</v>
      </c>
      <c r="AD18" s="15">
        <f>IFERROR(AC18/AC444, "NA")</f>
        <v>-0.21212591981074178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5580.55</v>
      </c>
      <c r="F21" s="8">
        <f>IFERROR(E21/E444, "NA")</f>
        <v>7.7999992172815294E-2</v>
      </c>
      <c r="G21" s="9"/>
      <c r="H21" s="10">
        <f t="shared" ref="H21:H29" si="4">IFERROR(B21-E21, "NA")</f>
        <v>-5580.55</v>
      </c>
      <c r="I21" s="8">
        <f>IFERROR(H21/H444, "NA")</f>
        <v>-0.62624774298093755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9955.81</v>
      </c>
      <c r="U21" s="8">
        <f>IFERROR(T21/T444, "NA")</f>
        <v>7.8000036509351833E-2</v>
      </c>
      <c r="V21" s="9"/>
      <c r="W21" s="10">
        <f t="shared" ref="W21:W29" si="6">IFERROR(Q21-T21, "NA")</f>
        <v>-9955.81</v>
      </c>
      <c r="X21" s="8">
        <f>IFERROR(W21/W444, "NA")</f>
        <v>-0.53674590774651931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5120.45</v>
      </c>
      <c r="C22" s="8">
        <f>IFERROR(B22/B444, "NA")</f>
        <v>6.3642378171290093E-2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5120.45</v>
      </c>
      <c r="I22" s="8">
        <f>IFERROR(H22/H444, "NA")</f>
        <v>0.57461545108398659</v>
      </c>
      <c r="J22" s="9"/>
      <c r="K22" s="7">
        <v>4934.1400000000003</v>
      </c>
      <c r="L22" s="8">
        <f>IFERROR(K22/K444, "NA")</f>
        <v>8.1447714329009727E-2</v>
      </c>
      <c r="M22" s="9"/>
      <c r="N22" s="10">
        <f t="shared" si="5"/>
        <v>186.30999999999949</v>
      </c>
      <c r="O22" s="8">
        <f>IFERROR(N22/N444, "NA")</f>
        <v>9.3735456816334897E-3</v>
      </c>
      <c r="P22" s="9"/>
      <c r="Q22" s="7">
        <v>9287.4</v>
      </c>
      <c r="R22" s="8">
        <f>IFERROR(Q22/Q444, "NA")</f>
        <v>6.3530961270903796E-2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9287.4</v>
      </c>
      <c r="X22" s="8">
        <f>IFERROR(W22/W444, "NA")</f>
        <v>0.50071003199187447</v>
      </c>
      <c r="Y22" s="9"/>
      <c r="Z22" s="7">
        <v>8421.1</v>
      </c>
      <c r="AA22" s="8">
        <f>IFERROR(Z22/Z444, "NA")</f>
        <v>7.3867756094214879E-2</v>
      </c>
      <c r="AB22" s="9"/>
      <c r="AC22" s="10">
        <f t="shared" si="7"/>
        <v>866.29999999999927</v>
      </c>
      <c r="AD22" s="8">
        <f>IFERROR(AC22/AC444, "NA")</f>
        <v>2.6916591501341781E-2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1093.73</v>
      </c>
      <c r="C24" s="8">
        <f>IFERROR(B24/B444, "NA")</f>
        <v>1.359403534401959E-2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1093.73</v>
      </c>
      <c r="I24" s="8">
        <f>IFERROR(H24/H444, "NA")</f>
        <v>0.12273807132460793</v>
      </c>
      <c r="J24" s="9"/>
      <c r="K24" s="7">
        <v>243.47</v>
      </c>
      <c r="L24" s="8">
        <f>IFERROR(K24/K444, "NA")</f>
        <v>4.0189526457871071E-3</v>
      </c>
      <c r="M24" s="9"/>
      <c r="N24" s="10">
        <f t="shared" si="5"/>
        <v>850.26</v>
      </c>
      <c r="O24" s="8">
        <f>IFERROR(N24/N444, "NA")</f>
        <v>4.2777902159120348E-2</v>
      </c>
      <c r="P24" s="9"/>
      <c r="Q24" s="7">
        <v>1790.01</v>
      </c>
      <c r="R24" s="8">
        <f>IFERROR(Q24/Q444, "NA")</f>
        <v>1.2244660075428054E-2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1790.01</v>
      </c>
      <c r="X24" s="8">
        <f>IFERROR(W24/W444, "NA")</f>
        <v>9.6504507651848231E-2</v>
      </c>
      <c r="Y24" s="9"/>
      <c r="Z24" s="7">
        <v>533.28</v>
      </c>
      <c r="AA24" s="8">
        <f>IFERROR(Z24/Z444, "NA")</f>
        <v>4.677797077569784E-3</v>
      </c>
      <c r="AB24" s="9"/>
      <c r="AC24" s="10">
        <f t="shared" si="7"/>
        <v>1256.73</v>
      </c>
      <c r="AD24" s="8">
        <f>IFERROR(AC24/AC444, "NA")</f>
        <v>3.9047544773728828E-2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209.04</v>
      </c>
      <c r="L27" s="8">
        <f>IFERROR(K27/K444, "NA")</f>
        <v>3.4506175753700121E-3</v>
      </c>
      <c r="M27" s="9"/>
      <c r="N27" s="10">
        <f t="shared" si="5"/>
        <v>-209.04</v>
      </c>
      <c r="O27" s="8">
        <f>IFERROR(N27/N444, "NA")</f>
        <v>-1.0517127310872577E-2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423.94</v>
      </c>
      <c r="AA27" s="8">
        <f>IFERROR(Z27/Z444, "NA")</f>
        <v>3.7186942939261441E-3</v>
      </c>
      <c r="AB27" s="9"/>
      <c r="AC27" s="10">
        <f t="shared" si="7"/>
        <v>-423.94</v>
      </c>
      <c r="AD27" s="8">
        <f>IFERROR(AC27/AC444, "NA")</f>
        <v>-1.3172134134917284E-2</v>
      </c>
    </row>
    <row r="28" spans="1:30" ht="16.5" customHeight="1" x14ac:dyDescent="0.45">
      <c r="A28" s="12" t="s">
        <v>29</v>
      </c>
      <c r="B28" s="7">
        <v>784.69</v>
      </c>
      <c r="C28" s="8">
        <f>IFERROR(B28/B444, "NA")</f>
        <v>9.7529587687077545E-3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784.69</v>
      </c>
      <c r="I28" s="8">
        <f>IFERROR(H28/H444, "NA")</f>
        <v>8.8057689912233006E-2</v>
      </c>
      <c r="J28" s="9"/>
      <c r="K28" s="7">
        <v>569.14</v>
      </c>
      <c r="L28" s="8">
        <f>IFERROR(K28/K444, "NA")</f>
        <v>9.3947784483643729E-3</v>
      </c>
      <c r="M28" s="9"/>
      <c r="N28" s="10">
        <f t="shared" si="5"/>
        <v>215.55000000000007</v>
      </c>
      <c r="O28" s="8">
        <f>IFERROR(N28/N444, "NA")</f>
        <v>1.08446555293656E-2</v>
      </c>
      <c r="P28" s="9"/>
      <c r="Q28" s="7">
        <v>1587.35</v>
      </c>
      <c r="R28" s="8">
        <f>IFERROR(Q28/Q444, "NA")</f>
        <v>1.0858353400668555E-2</v>
      </c>
      <c r="S28" s="9"/>
      <c r="T28" s="7">
        <v>0</v>
      </c>
      <c r="U28" s="8">
        <f>IFERROR(T28/T444, "NA")</f>
        <v>0</v>
      </c>
      <c r="V28" s="9"/>
      <c r="W28" s="10">
        <f t="shared" si="6"/>
        <v>1587.35</v>
      </c>
      <c r="X28" s="8">
        <f>IFERROR(W28/W444, "NA")</f>
        <v>8.5578533204373877E-2</v>
      </c>
      <c r="Y28" s="9"/>
      <c r="Z28" s="7">
        <v>569.14</v>
      </c>
      <c r="AA28" s="8">
        <f>IFERROR(Z28/Z444, "NA")</f>
        <v>4.9923519140565309E-3</v>
      </c>
      <c r="AB28" s="9"/>
      <c r="AC28" s="10">
        <f t="shared" si="7"/>
        <v>1018.2099999999999</v>
      </c>
      <c r="AD28" s="8">
        <f>IFERROR(AC28/AC444, "NA")</f>
        <v>3.1636549269977186E-2</v>
      </c>
    </row>
    <row r="29" spans="1:30" ht="16.5" customHeight="1" x14ac:dyDescent="0.45">
      <c r="A29" s="13" t="s">
        <v>30</v>
      </c>
      <c r="B29" s="14">
        <f>IFERROR(B21+B22+B23+B24+B25+B26+B27+B28, "NA")</f>
        <v>6998.8700000000008</v>
      </c>
      <c r="C29" s="15">
        <f>IFERROR(B29/B444, "NA")</f>
        <v>8.6989372284017444E-2</v>
      </c>
      <c r="D29" s="2"/>
      <c r="E29" s="14">
        <f>IFERROR(E21+E22+E23+E24+E25+E26+E27+E28, "NA")</f>
        <v>5580.55</v>
      </c>
      <c r="F29" s="15">
        <f>IFERROR(E29/E444, "NA")</f>
        <v>7.7999992172815294E-2</v>
      </c>
      <c r="G29" s="2"/>
      <c r="H29" s="14">
        <f t="shared" si="4"/>
        <v>1418.3200000000006</v>
      </c>
      <c r="I29" s="15">
        <f>IFERROR(H29/H444, "NA")</f>
        <v>0.15916346933989009</v>
      </c>
      <c r="J29" s="2"/>
      <c r="K29" s="14">
        <f>IFERROR(K21+K22+K23+K24+K25+K26+K27+K28, "NA")</f>
        <v>5955.7900000000009</v>
      </c>
      <c r="L29" s="15">
        <f>IFERROR(K29/K444, "NA")</f>
        <v>9.8312062998531222E-2</v>
      </c>
      <c r="M29" s="2"/>
      <c r="N29" s="14">
        <f t="shared" si="5"/>
        <v>1043.08</v>
      </c>
      <c r="O29" s="15">
        <f>IFERROR(N29/N444, "NA")</f>
        <v>5.2478976059246882E-2</v>
      </c>
      <c r="P29" s="2"/>
      <c r="Q29" s="14">
        <f>IFERROR(Q21+Q22+Q23+Q24+Q25+Q26+Q27+Q28, "NA")</f>
        <v>12664.76</v>
      </c>
      <c r="R29" s="15">
        <f>IFERROR(Q29/Q444, "NA")</f>
        <v>8.6633974747000408E-2</v>
      </c>
      <c r="S29" s="2"/>
      <c r="T29" s="14">
        <f>IFERROR(T21+T22+T23+T24+T25+T26+T27+T28, "NA")</f>
        <v>9955.81</v>
      </c>
      <c r="U29" s="15">
        <f>IFERROR(T29/T444, "NA")</f>
        <v>7.8000036509351833E-2</v>
      </c>
      <c r="V29" s="2"/>
      <c r="W29" s="14">
        <f t="shared" si="6"/>
        <v>2708.9500000000007</v>
      </c>
      <c r="X29" s="15">
        <f>IFERROR(W29/W444, "NA")</f>
        <v>0.14604716510157728</v>
      </c>
      <c r="Y29" s="2"/>
      <c r="Z29" s="14">
        <f>IFERROR(Z21+Z22+Z23+Z24+Z25+Z26+Z27+Z28, "NA")</f>
        <v>9947.4600000000009</v>
      </c>
      <c r="AA29" s="15">
        <f>IFERROR(Z29/Z444, "NA")</f>
        <v>8.7256599379767333E-2</v>
      </c>
      <c r="AB29" s="2"/>
      <c r="AC29" s="14">
        <f t="shared" si="7"/>
        <v>2717.2999999999993</v>
      </c>
      <c r="AD29" s="15">
        <f>IFERROR(AC29/AC444, "NA")</f>
        <v>8.4428551410130503E-2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17385.560000000001</v>
      </c>
      <c r="F31" s="8">
        <f>IFERROR(E31/E444, "NA")</f>
        <v>0.24299998099112285</v>
      </c>
      <c r="G31" s="9"/>
      <c r="H31" s="10">
        <f t="shared" ref="H31:H40" si="8">IFERROR(B31-E31, "NA")</f>
        <v>-17385.560000000001</v>
      </c>
      <c r="I31" s="8">
        <f>IFERROR(H31/H444, "NA")</f>
        <v>-1.9510026270635812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31016.16</v>
      </c>
      <c r="U31" s="8">
        <f>IFERROR(T31/T444, "NA")</f>
        <v>0.24299997814139665</v>
      </c>
      <c r="V31" s="9"/>
      <c r="W31" s="10">
        <f t="shared" ref="W31:W40" si="10">IFERROR(Q31-T31, "NA")</f>
        <v>-31016.16</v>
      </c>
      <c r="X31" s="8">
        <f>IFERROR(W31/W444, "NA")</f>
        <v>-1.672169010257456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11457.3</v>
      </c>
      <c r="C33" s="8">
        <f>IFERROR(B33/B444, "NA")</f>
        <v>0.14240346442635352</v>
      </c>
      <c r="D33" s="9"/>
      <c r="E33" s="7">
        <v>0</v>
      </c>
      <c r="F33" s="8">
        <f>IFERROR(E33/E444, "NA")</f>
        <v>0</v>
      </c>
      <c r="G33" s="9"/>
      <c r="H33" s="10">
        <f t="shared" si="8"/>
        <v>11457.3</v>
      </c>
      <c r="I33" s="8">
        <f>IFERROR(H33/H444, "NA")</f>
        <v>1.2857349662050326</v>
      </c>
      <c r="J33" s="9"/>
      <c r="K33" s="7">
        <v>5676.87</v>
      </c>
      <c r="L33" s="8">
        <f>IFERROR(K33/K444, "NA")</f>
        <v>9.3707938170162458E-2</v>
      </c>
      <c r="M33" s="9"/>
      <c r="N33" s="10">
        <f t="shared" si="9"/>
        <v>5780.4299999999994</v>
      </c>
      <c r="O33" s="8">
        <f>IFERROR(N33/N444, "NA")</f>
        <v>0.29082241782236495</v>
      </c>
      <c r="P33" s="9"/>
      <c r="Q33" s="7">
        <v>19823.64</v>
      </c>
      <c r="R33" s="8">
        <f>IFERROR(Q33/Q444, "NA")</f>
        <v>0.13560468000606621</v>
      </c>
      <c r="S33" s="9"/>
      <c r="T33" s="7">
        <v>0</v>
      </c>
      <c r="U33" s="8">
        <f>IFERROR(T33/T444, "NA")</f>
        <v>0</v>
      </c>
      <c r="V33" s="9"/>
      <c r="W33" s="10">
        <f t="shared" si="10"/>
        <v>19823.64</v>
      </c>
      <c r="X33" s="8">
        <f>IFERROR(W33/W444, "NA")</f>
        <v>1.0687485645708596</v>
      </c>
      <c r="Y33" s="9"/>
      <c r="Z33" s="7">
        <v>9920.27</v>
      </c>
      <c r="AA33" s="8">
        <f>IFERROR(Z33/Z444, "NA")</f>
        <v>8.7018095587127212E-2</v>
      </c>
      <c r="AB33" s="9"/>
      <c r="AC33" s="10">
        <f t="shared" si="11"/>
        <v>9903.369999999999</v>
      </c>
      <c r="AD33" s="8">
        <f>IFERROR(AC33/AC444, "NA")</f>
        <v>0.30770514230248569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1765.78</v>
      </c>
      <c r="C35" s="8">
        <f>IFERROR(B35/B444, "NA")</f>
        <v>2.194698484064889E-2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1765.78</v>
      </c>
      <c r="I35" s="8">
        <f>IFERROR(H35/H444, "NA")</f>
        <v>0.19815533228819376</v>
      </c>
      <c r="J35" s="9"/>
      <c r="K35" s="7">
        <v>0</v>
      </c>
      <c r="L35" s="8">
        <f>IFERROR(K35/K444, "NA")</f>
        <v>0</v>
      </c>
      <c r="M35" s="9"/>
      <c r="N35" s="10">
        <f t="shared" si="9"/>
        <v>1765.78</v>
      </c>
      <c r="O35" s="8">
        <f>IFERROR(N35/N444, "NA")</f>
        <v>8.8839136351858874E-2</v>
      </c>
      <c r="P35" s="9"/>
      <c r="Q35" s="7">
        <v>2875.69</v>
      </c>
      <c r="R35" s="8">
        <f>IFERROR(Q35/Q444, "NA")</f>
        <v>1.9671312748145372E-2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2875.69</v>
      </c>
      <c r="X35" s="8">
        <f>IFERROR(W35/W444, "NA")</f>
        <v>0.15503659063879166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2875.69</v>
      </c>
      <c r="AD35" s="8">
        <f>IFERROR(AC35/AC444, "NA")</f>
        <v>8.9349847644573016E-2</v>
      </c>
    </row>
    <row r="36" spans="1:30" ht="16.5" customHeight="1" x14ac:dyDescent="0.45">
      <c r="A36" s="12" t="s">
        <v>36</v>
      </c>
      <c r="B36" s="7">
        <v>17427.78</v>
      </c>
      <c r="C36" s="8">
        <f>IFERROR(B36/B444, "NA")</f>
        <v>0.21661091611988126</v>
      </c>
      <c r="D36" s="9"/>
      <c r="E36" s="7">
        <v>0</v>
      </c>
      <c r="F36" s="8">
        <f>IFERROR(E36/E444, "NA")</f>
        <v>0</v>
      </c>
      <c r="G36" s="9"/>
      <c r="H36" s="10">
        <f t="shared" si="8"/>
        <v>17427.78</v>
      </c>
      <c r="I36" s="8">
        <f>IFERROR(H36/H444, "NA")</f>
        <v>1.9557405435249791</v>
      </c>
      <c r="J36" s="9"/>
      <c r="K36" s="7">
        <v>9431.2900000000009</v>
      </c>
      <c r="L36" s="8">
        <f>IFERROR(K36/K444, "NA")</f>
        <v>0.15568204665332686</v>
      </c>
      <c r="M36" s="9"/>
      <c r="N36" s="10">
        <f t="shared" si="9"/>
        <v>7996.489999999998</v>
      </c>
      <c r="O36" s="8">
        <f>IFERROR(N36/N444, "NA")</f>
        <v>0.40231584084442901</v>
      </c>
      <c r="P36" s="9"/>
      <c r="Q36" s="7">
        <v>30499</v>
      </c>
      <c r="R36" s="8">
        <f>IFERROR(Q36/Q444, "NA")</f>
        <v>0.20863005661447712</v>
      </c>
      <c r="S36" s="9"/>
      <c r="T36" s="7">
        <v>0</v>
      </c>
      <c r="U36" s="8">
        <f>IFERROR(T36/T444, "NA")</f>
        <v>0</v>
      </c>
      <c r="V36" s="9"/>
      <c r="W36" s="10">
        <f t="shared" si="10"/>
        <v>30499</v>
      </c>
      <c r="X36" s="8">
        <f>IFERROR(W36/W444, "NA")</f>
        <v>1.6442874502788918</v>
      </c>
      <c r="Y36" s="9"/>
      <c r="Z36" s="7">
        <v>15596.37</v>
      </c>
      <c r="AA36" s="8">
        <f>IFERROR(Z36/Z444, "NA")</f>
        <v>0.1368074070032573</v>
      </c>
      <c r="AB36" s="9"/>
      <c r="AC36" s="10">
        <f t="shared" si="11"/>
        <v>14902.63</v>
      </c>
      <c r="AD36" s="8">
        <f>IFERROR(AC36/AC444, "NA")</f>
        <v>0.46303590442761328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462.48</v>
      </c>
      <c r="C39" s="8">
        <f>IFERROR(B39/B444, "NA")</f>
        <v>5.7481914786118877E-3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462.48</v>
      </c>
      <c r="I39" s="8">
        <f>IFERROR(H39/H444, "NA")</f>
        <v>5.189937482395534E-2</v>
      </c>
      <c r="J39" s="9"/>
      <c r="K39" s="7">
        <v>677.14</v>
      </c>
      <c r="L39" s="8">
        <f>IFERROR(K39/K444, "NA")</f>
        <v>1.1177531501081372E-2</v>
      </c>
      <c r="M39" s="9"/>
      <c r="N39" s="10">
        <f t="shared" si="9"/>
        <v>-214.65999999999997</v>
      </c>
      <c r="O39" s="8">
        <f>IFERROR(N39/N444, "NA")</f>
        <v>-1.0799878246038591E-2</v>
      </c>
      <c r="P39" s="9"/>
      <c r="Q39" s="7">
        <v>1084.1300000000001</v>
      </c>
      <c r="R39" s="8">
        <f>IFERROR(Q39/Q444, "NA")</f>
        <v>7.416049814008758E-3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1084.1300000000001</v>
      </c>
      <c r="X39" s="8">
        <f>IFERROR(W39/W444, "NA")</f>
        <v>5.8448518097998461E-2</v>
      </c>
      <c r="Y39" s="9"/>
      <c r="Z39" s="7">
        <v>1488.69</v>
      </c>
      <c r="AA39" s="8">
        <f>IFERROR(Z39/Z444, "NA")</f>
        <v>1.3058411587547558E-2</v>
      </c>
      <c r="AB39" s="9"/>
      <c r="AC39" s="10">
        <f t="shared" si="11"/>
        <v>-404.55999999999995</v>
      </c>
      <c r="AD39" s="8">
        <f>IFERROR(AC39/AC444, "NA")</f>
        <v>-1.2569982982549738E-2</v>
      </c>
    </row>
    <row r="40" spans="1:30" ht="16.5" customHeight="1" x14ac:dyDescent="0.45">
      <c r="A40" s="13" t="s">
        <v>40</v>
      </c>
      <c r="B40" s="14">
        <f>IFERROR(B31+B32+B33+B34+B35+B36+B37+B38+B39, "NA")</f>
        <v>31113.34</v>
      </c>
      <c r="C40" s="15">
        <f>IFERROR(B40/B444, "NA")</f>
        <v>0.38670955686549557</v>
      </c>
      <c r="D40" s="2"/>
      <c r="E40" s="14">
        <f>IFERROR(E31+E32+E33+E34+E35+E36+E37+E38+E39, "NA")</f>
        <v>17385.560000000001</v>
      </c>
      <c r="F40" s="15">
        <f>IFERROR(E40/E444, "NA")</f>
        <v>0.24299998099112285</v>
      </c>
      <c r="G40" s="2"/>
      <c r="H40" s="14">
        <f t="shared" si="8"/>
        <v>13727.779999999999</v>
      </c>
      <c r="I40" s="15">
        <f>IFERROR(H40/H444, "NA")</f>
        <v>1.5405275897785797</v>
      </c>
      <c r="J40" s="2"/>
      <c r="K40" s="14">
        <f>IFERROR(K31+K32+K33+K34+K35+K36+K37+K38+K39, "NA")</f>
        <v>15785.3</v>
      </c>
      <c r="L40" s="15">
        <f>IFERROR(K40/K444, "NA")</f>
        <v>0.26056751632457065</v>
      </c>
      <c r="M40" s="2"/>
      <c r="N40" s="14">
        <f t="shared" si="9"/>
        <v>15328.04</v>
      </c>
      <c r="O40" s="15">
        <f>IFERROR(N40/N444, "NA")</f>
        <v>0.77117751677261437</v>
      </c>
      <c r="P40" s="2"/>
      <c r="Q40" s="14">
        <f>IFERROR(Q31+Q32+Q33+Q34+Q35+Q36+Q37+Q38+Q39, "NA")</f>
        <v>54282.46</v>
      </c>
      <c r="R40" s="15">
        <f>IFERROR(Q40/Q444, "NA")</f>
        <v>0.37132209918269748</v>
      </c>
      <c r="S40" s="2"/>
      <c r="T40" s="14">
        <f>IFERROR(T31+T32+T33+T34+T35+T36+T37+T38+T39, "NA")</f>
        <v>31016.16</v>
      </c>
      <c r="U40" s="15">
        <f>IFERROR(T40/T444, "NA")</f>
        <v>0.24299997814139665</v>
      </c>
      <c r="V40" s="2"/>
      <c r="W40" s="14">
        <f t="shared" si="10"/>
        <v>23266.3</v>
      </c>
      <c r="X40" s="15">
        <f>IFERROR(W40/W444, "NA")</f>
        <v>1.2543521133290856</v>
      </c>
      <c r="Y40" s="2"/>
      <c r="Z40" s="14">
        <f>IFERROR(Z31+Z32+Z33+Z34+Z35+Z36+Z37+Z38+Z39, "NA")</f>
        <v>27005.329999999998</v>
      </c>
      <c r="AA40" s="15">
        <f>IFERROR(Z40/Z444, "NA")</f>
        <v>0.23688391417793206</v>
      </c>
      <c r="AB40" s="2"/>
      <c r="AC40" s="14">
        <f t="shared" si="11"/>
        <v>27277.13</v>
      </c>
      <c r="AD40" s="15">
        <f>IFERROR(AC40/AC444, "NA")</f>
        <v>0.84752091139212227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2711.42</v>
      </c>
      <c r="C43" s="8">
        <f>IFERROR(B43/B444, "NA")</f>
        <v>3.3700400750168322E-2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2711.42</v>
      </c>
      <c r="I43" s="8">
        <f>IFERROR(H43/H444, "NA")</f>
        <v>0.30427478568839517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2711.42</v>
      </c>
      <c r="O43" s="8">
        <f>IFERROR(N43/N444, "NA")</f>
        <v>0.13641575456011348</v>
      </c>
      <c r="P43" s="9"/>
      <c r="Q43" s="7">
        <v>5983.52</v>
      </c>
      <c r="R43" s="8">
        <f>IFERROR(Q43/Q444, "NA")</f>
        <v>4.0930591703133096E-2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5983.52</v>
      </c>
      <c r="X43" s="8">
        <f>IFERROR(W43/W444, "NA")</f>
        <v>0.3225885059999592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5983.52</v>
      </c>
      <c r="AD43" s="8">
        <f>IFERROR(AC43/AC444, "NA")</f>
        <v>0.18591245940218021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14523.74</v>
      </c>
      <c r="F46" s="8">
        <f>IFERROR(E46/E444, "NA")</f>
        <v>0.20299999217281528</v>
      </c>
      <c r="G46" s="9"/>
      <c r="H46" s="10">
        <f t="shared" ref="H46:H62" si="12">IFERROR(B46-E46, "NA")</f>
        <v>-14523.74</v>
      </c>
      <c r="I46" s="8">
        <f>IFERROR(H46/H444, "NA")</f>
        <v>-1.6298499959039809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25910.62</v>
      </c>
      <c r="U46" s="8">
        <f>IFERROR(T46/T444, "NA")</f>
        <v>0.20299998754294646</v>
      </c>
      <c r="V46" s="9"/>
      <c r="W46" s="10">
        <f t="shared" ref="W46:W62" si="14">IFERROR(Q46-T46, "NA")</f>
        <v>-25910.62</v>
      </c>
      <c r="X46" s="8">
        <f>IFERROR(W46/W444, "NA")</f>
        <v>-1.3969148921258159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5938.85</v>
      </c>
      <c r="C48" s="8">
        <f>IFERROR(B48/B444, "NA")</f>
        <v>7.3814320538735101E-2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5938.85</v>
      </c>
      <c r="I48" s="8">
        <f>IFERROR(H48/H444, "NA")</f>
        <v>0.66645606766400101</v>
      </c>
      <c r="J48" s="9"/>
      <c r="K48" s="7">
        <v>4118.84</v>
      </c>
      <c r="L48" s="8">
        <f>IFERROR(K48/K444, "NA")</f>
        <v>6.798957947826742E-2</v>
      </c>
      <c r="M48" s="9"/>
      <c r="N48" s="10">
        <f t="shared" si="13"/>
        <v>1820.0100000000002</v>
      </c>
      <c r="O48" s="8">
        <f>IFERROR(N48/N444, "NA")</f>
        <v>9.1567531941548042E-2</v>
      </c>
      <c r="P48" s="9"/>
      <c r="Q48" s="7">
        <v>10641.18</v>
      </c>
      <c r="R48" s="8">
        <f>IFERROR(Q48/Q444, "NA")</f>
        <v>7.2791566472502109E-2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10641.18</v>
      </c>
      <c r="X48" s="8">
        <f>IFERROR(W48/W444, "NA")</f>
        <v>0.57369614512471678</v>
      </c>
      <c r="Y48" s="9"/>
      <c r="Z48" s="7">
        <v>11757.94</v>
      </c>
      <c r="AA48" s="8">
        <f>IFERROR(Z48/Z444, "NA")</f>
        <v>0.10313767133633527</v>
      </c>
      <c r="AB48" s="9"/>
      <c r="AC48" s="10">
        <f t="shared" si="15"/>
        <v>-1116.7600000000002</v>
      </c>
      <c r="AD48" s="8">
        <f>IFERROR(AC48/AC444, "NA")</f>
        <v>-3.4698571770793579E-2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3.596591579930173E-3</v>
      </c>
      <c r="AB49" s="9"/>
      <c r="AC49" s="10">
        <f t="shared" si="15"/>
        <v>-410.02</v>
      </c>
      <c r="AD49" s="8">
        <f>IFERROR(AC49/AC444, "NA")</f>
        <v>-1.2739629282442762E-2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191.27</v>
      </c>
      <c r="C55" s="8">
        <f>IFERROR(B55/B444, "NA")</f>
        <v>2.3773062275430201E-3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191.27</v>
      </c>
      <c r="I55" s="8">
        <f>IFERROR(H55/H444, "NA")</f>
        <v>2.1464265314344269E-2</v>
      </c>
      <c r="J55" s="9"/>
      <c r="K55" s="7">
        <v>206</v>
      </c>
      <c r="L55" s="8">
        <f>IFERROR(K55/K444, "NA")</f>
        <v>3.4004363783305706E-3</v>
      </c>
      <c r="M55" s="9"/>
      <c r="N55" s="10">
        <f t="shared" si="13"/>
        <v>-14.72999999999999</v>
      </c>
      <c r="O55" s="8">
        <f>IFERROR(N55/N444, "NA")</f>
        <v>-7.410891948390402E-4</v>
      </c>
      <c r="P55" s="9"/>
      <c r="Q55" s="7">
        <v>191.27</v>
      </c>
      <c r="R55" s="8">
        <f>IFERROR(Q55/Q444, "NA")</f>
        <v>1.3083927646365795E-3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191.27</v>
      </c>
      <c r="X55" s="8">
        <f>IFERROR(W55/W444, "NA")</f>
        <v>1.0311907295807851E-2</v>
      </c>
      <c r="Y55" s="9"/>
      <c r="Z55" s="7">
        <v>442.5</v>
      </c>
      <c r="AA55" s="8">
        <f>IFERROR(Z55/Z444, "NA")</f>
        <v>3.8814979125874386E-3</v>
      </c>
      <c r="AB55" s="9"/>
      <c r="AC55" s="10">
        <f t="shared" si="15"/>
        <v>-251.23</v>
      </c>
      <c r="AD55" s="8">
        <f>IFERROR(AC55/AC444, "NA")</f>
        <v>-7.8059047476418111E-3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6130.1200000000008</v>
      </c>
      <c r="C61" s="15">
        <f>IFERROR(B61/B444, "NA")</f>
        <v>7.6191626766278137E-2</v>
      </c>
      <c r="D61" s="2"/>
      <c r="E61" s="14">
        <f>IFERROR(E46+E47+E48+E49+E50+E51+E52+E53+E54+E55+E56+E57+E58+E59+E60, "NA")</f>
        <v>14523.74</v>
      </c>
      <c r="F61" s="15">
        <f>IFERROR(E61/E444, "NA")</f>
        <v>0.20299999217281528</v>
      </c>
      <c r="G61" s="2"/>
      <c r="H61" s="14">
        <f t="shared" si="12"/>
        <v>-8393.619999999999</v>
      </c>
      <c r="I61" s="15">
        <f>IFERROR(H61/H444, "NA")</f>
        <v>-0.94192966292563562</v>
      </c>
      <c r="J61" s="2"/>
      <c r="K61" s="14">
        <f>IFERROR(K46+K47+K48+K49+K50+K51+K52+K53+K54+K55+K56+K57+K58+K59+K60, "NA")</f>
        <v>4324.84</v>
      </c>
      <c r="L61" s="15">
        <f>IFERROR(K61/K444, "NA")</f>
        <v>7.1390015856597988E-2</v>
      </c>
      <c r="M61" s="2"/>
      <c r="N61" s="14">
        <f t="shared" si="13"/>
        <v>1805.2800000000007</v>
      </c>
      <c r="O61" s="15">
        <f>IFERROR(N61/N444, "NA")</f>
        <v>9.0826442746709021E-2</v>
      </c>
      <c r="P61" s="2"/>
      <c r="Q61" s="14">
        <f>IFERROR(Q46+Q47+Q48+Q49+Q50+Q51+Q52+Q53+Q54+Q55+Q56+Q57+Q58+Q59+Q60, "NA")</f>
        <v>10832.45</v>
      </c>
      <c r="R61" s="15">
        <f>IFERROR(Q61/Q444, "NA")</f>
        <v>7.4099959237138691E-2</v>
      </c>
      <c r="S61" s="2"/>
      <c r="T61" s="14">
        <f>IFERROR(T46+T47+T48+T49+T50+T51+T52+T53+T54+T55+T56+T57+T58+T59+T60, "NA")</f>
        <v>25910.62</v>
      </c>
      <c r="U61" s="15">
        <f>IFERROR(T61/T444, "NA")</f>
        <v>0.20299998754294646</v>
      </c>
      <c r="V61" s="2"/>
      <c r="W61" s="14">
        <f t="shared" si="14"/>
        <v>-15078.169999999998</v>
      </c>
      <c r="X61" s="15">
        <f>IFERROR(W61/W444, "NA")</f>
        <v>-0.81290683970529121</v>
      </c>
      <c r="Y61" s="2"/>
      <c r="Z61" s="14">
        <f>IFERROR(Z46+Z47+Z48+Z49+Z50+Z51+Z52+Z53+Z54+Z55+Z56+Z57+Z58+Z59+Z60, "NA")</f>
        <v>12610.460000000001</v>
      </c>
      <c r="AA61" s="15">
        <f>IFERROR(Z61/Z444, "NA")</f>
        <v>0.11061576082885287</v>
      </c>
      <c r="AB61" s="2"/>
      <c r="AC61" s="14">
        <f t="shared" si="15"/>
        <v>-1778.0100000000002</v>
      </c>
      <c r="AD61" s="15">
        <f>IFERROR(AC61/AC444, "NA")</f>
        <v>-5.524410580087815E-2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8841.5400000000009</v>
      </c>
      <c r="C62" s="15">
        <f>IFERROR(B62/B444, "NA")</f>
        <v>0.10989202751644646</v>
      </c>
      <c r="D62" s="2"/>
      <c r="E62" s="14">
        <f>IFERROR(E42+E43+E44+E46+E47+E48+E49+E50+E51+E52+E53+E54+E55+E56+E57+E58+E59+E60, "NA")</f>
        <v>14523.74</v>
      </c>
      <c r="F62" s="15">
        <f>IFERROR(E62/E444, "NA")</f>
        <v>0.20299999217281528</v>
      </c>
      <c r="G62" s="2"/>
      <c r="H62" s="14">
        <f t="shared" si="12"/>
        <v>-5682.1999999999989</v>
      </c>
      <c r="I62" s="15">
        <f>IFERROR(H62/H444, "NA")</f>
        <v>-0.63765487723724046</v>
      </c>
      <c r="J62" s="2"/>
      <c r="K62" s="14">
        <f>IFERROR(K42+K43+K44+K46+K47+K48+K49+K50+K51+K52+K53+K54+K55+K56+K57+K58+K59+K60, "NA")</f>
        <v>4324.84</v>
      </c>
      <c r="L62" s="15">
        <f>IFERROR(K62/K444, "NA")</f>
        <v>7.1390015856597988E-2</v>
      </c>
      <c r="M62" s="2"/>
      <c r="N62" s="14">
        <f t="shared" si="13"/>
        <v>4516.7000000000007</v>
      </c>
      <c r="O62" s="15">
        <f>IFERROR(N62/N444, "NA")</f>
        <v>0.22724219730682252</v>
      </c>
      <c r="P62" s="2"/>
      <c r="Q62" s="14">
        <f>IFERROR(Q42+Q43+Q44+Q46+Q47+Q48+Q49+Q50+Q51+Q52+Q53+Q54+Q55+Q56+Q57+Q58+Q59+Q60, "NA")</f>
        <v>16815.97</v>
      </c>
      <c r="R62" s="15">
        <f>IFERROR(Q62/Q444, "NA")</f>
        <v>0.11503055094027179</v>
      </c>
      <c r="S62" s="2"/>
      <c r="T62" s="14">
        <f>IFERROR(T42+T43+T44+T46+T47+T48+T49+T50+T51+T52+T53+T54+T55+T56+T57+T58+T59+T60, "NA")</f>
        <v>25910.62</v>
      </c>
      <c r="U62" s="15">
        <f>IFERROR(T62/T444, "NA")</f>
        <v>0.20299998754294646</v>
      </c>
      <c r="V62" s="2"/>
      <c r="W62" s="14">
        <f t="shared" si="14"/>
        <v>-9094.6499999999978</v>
      </c>
      <c r="X62" s="15">
        <f>IFERROR(W62/W444, "NA")</f>
        <v>-0.49031833370533195</v>
      </c>
      <c r="Y62" s="2"/>
      <c r="Z62" s="14">
        <f>IFERROR(Z42+Z43+Z44+Z46+Z47+Z48+Z49+Z50+Z51+Z52+Z53+Z54+Z55+Z56+Z57+Z58+Z59+Z60, "NA")</f>
        <v>12610.460000000001</v>
      </c>
      <c r="AA62" s="15">
        <f>IFERROR(Z62/Z444, "NA")</f>
        <v>0.11061576082885287</v>
      </c>
      <c r="AB62" s="2"/>
      <c r="AC62" s="14">
        <f t="shared" si="15"/>
        <v>4205.51</v>
      </c>
      <c r="AD62" s="15">
        <f>IFERROR(AC62/AC444, "NA")</f>
        <v>0.13066835360130205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1349.51</v>
      </c>
      <c r="C65" s="8">
        <f>IFERROR(B65/B444, "NA")</f>
        <v>1.6773140205633818E-2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1349.51</v>
      </c>
      <c r="I65" s="8">
        <f>IFERROR(H65/H444, "NA")</f>
        <v>0.15144163059737928</v>
      </c>
      <c r="J65" s="9"/>
      <c r="K65" s="7">
        <v>0</v>
      </c>
      <c r="L65" s="8">
        <f>IFERROR(K65/K444, "NA")</f>
        <v>0</v>
      </c>
      <c r="M65" s="9"/>
      <c r="N65" s="10">
        <f t="shared" si="17"/>
        <v>1349.51</v>
      </c>
      <c r="O65" s="8">
        <f>IFERROR(N65/N444, "NA")</f>
        <v>6.7895945643396724E-2</v>
      </c>
      <c r="P65" s="9"/>
      <c r="Q65" s="7">
        <v>3459.71</v>
      </c>
      <c r="R65" s="8">
        <f>IFERROR(Q65/Q444, "NA")</f>
        <v>2.3666333098451512E-2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3459.71</v>
      </c>
      <c r="X65" s="8">
        <f>IFERROR(W65/W444, "NA")</f>
        <v>0.18652276253662037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3459.71</v>
      </c>
      <c r="AD65" s="8">
        <f>IFERROR(AC65/AC444, "NA")</f>
        <v>0.1074957875829473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1349.51</v>
      </c>
      <c r="C73" s="15">
        <f>IFERROR(B73/B444, "NA")</f>
        <v>1.6773140205633818E-2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1349.51</v>
      </c>
      <c r="I73" s="15">
        <f>IFERROR(H73/H444, "NA")</f>
        <v>0.15144163059737928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1349.51</v>
      </c>
      <c r="O73" s="15">
        <f>IFERROR(N73/N444, "NA")</f>
        <v>6.7895945643396724E-2</v>
      </c>
      <c r="P73" s="2"/>
      <c r="Q73" s="14">
        <f>IFERROR(Q64+Q65+Q66+Q67+Q68+Q69+Q70+Q71+Q72, "NA")</f>
        <v>3459.71</v>
      </c>
      <c r="R73" s="15">
        <f>IFERROR(Q73/Q444, "NA")</f>
        <v>2.3666333098451512E-2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3459.71</v>
      </c>
      <c r="X73" s="15">
        <f>IFERROR(W73/W444, "NA")</f>
        <v>0.18652276253662037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3459.71</v>
      </c>
      <c r="AD73" s="15">
        <f>IFERROR(AC73/AC444, "NA")</f>
        <v>0.1074957875829473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1216.27</v>
      </c>
      <c r="F75" s="8">
        <f>IFERROR(E75/E444, "NA")</f>
        <v>1.6999946327876294E-2</v>
      </c>
      <c r="G75" s="9"/>
      <c r="H75" s="10">
        <f t="shared" ref="H75:H92" si="20">IFERROR(B75-E75, "NA")</f>
        <v>-1216.27</v>
      </c>
      <c r="I75" s="8">
        <f>IFERROR(H75/H444, "NA")</f>
        <v>-0.13648947547381976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2169.85</v>
      </c>
      <c r="U75" s="8">
        <f>IFERROR(T75/T444, "NA")</f>
        <v>1.6999960748529459E-2</v>
      </c>
      <c r="V75" s="9"/>
      <c r="W75" s="10">
        <f t="shared" ref="W75:W92" si="22">IFERROR(Q75-T75, "NA")</f>
        <v>-2169.85</v>
      </c>
      <c r="X75" s="8">
        <f>IFERROR(W75/W444, "NA")</f>
        <v>-0.11698275759820496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370.4</v>
      </c>
      <c r="C77" s="8">
        <f>IFERROR(B77/B444, "NA")</f>
        <v>4.6037236716784356E-3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370.4</v>
      </c>
      <c r="I77" s="8">
        <f>IFERROR(H77/H444, "NA")</f>
        <v>4.1566183261531428E-2</v>
      </c>
      <c r="J77" s="9"/>
      <c r="K77" s="7">
        <v>77.739999999999995</v>
      </c>
      <c r="L77" s="8">
        <f>IFERROR(K77/K444, "NA")</f>
        <v>1.2832520585020317E-3</v>
      </c>
      <c r="M77" s="9"/>
      <c r="N77" s="10">
        <f t="shared" si="21"/>
        <v>292.65999999999997</v>
      </c>
      <c r="O77" s="8">
        <f>IFERROR(N77/N444, "NA")</f>
        <v>1.4724179481438808E-2</v>
      </c>
      <c r="P77" s="9"/>
      <c r="Q77" s="7">
        <v>462.01</v>
      </c>
      <c r="R77" s="8">
        <f>IFERROR(Q77/Q444, "NA")</f>
        <v>3.1604043560921531E-3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462.01</v>
      </c>
      <c r="X77" s="8">
        <f>IFERROR(W77/W444, "NA")</f>
        <v>2.4908267317071076E-2</v>
      </c>
      <c r="Y77" s="9"/>
      <c r="Z77" s="7">
        <v>137.54</v>
      </c>
      <c r="AA77" s="8">
        <f>IFERROR(Z77/Z444, "NA")</f>
        <v>1.206466040445822E-3</v>
      </c>
      <c r="AB77" s="9"/>
      <c r="AC77" s="10">
        <f t="shared" si="23"/>
        <v>324.47000000000003</v>
      </c>
      <c r="AD77" s="8">
        <f>IFERROR(AC77/AC444, "NA")</f>
        <v>1.0081526543276435E-2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11.96</v>
      </c>
      <c r="L79" s="8">
        <f>IFERROR(K79/K444, "NA")</f>
        <v>1.9742339361569723E-4</v>
      </c>
      <c r="M79" s="9"/>
      <c r="N79" s="10">
        <f t="shared" si="21"/>
        <v>-11.96</v>
      </c>
      <c r="O79" s="8">
        <f>IFERROR(N79/N444, "NA")</f>
        <v>-6.0172618942803307E-4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29.9</v>
      </c>
      <c r="AA79" s="8">
        <f>IFERROR(Z79/Z444, "NA")</f>
        <v>2.6227522618387438E-4</v>
      </c>
      <c r="AB79" s="9"/>
      <c r="AC79" s="10">
        <f t="shared" si="23"/>
        <v>-29.9</v>
      </c>
      <c r="AD79" s="8">
        <f>IFERROR(AC79/AC444, "NA")</f>
        <v>-9.2901545179512848E-4</v>
      </c>
    </row>
    <row r="80" spans="1:30" ht="16.5" customHeight="1" x14ac:dyDescent="0.45">
      <c r="A80" s="12" t="s">
        <v>76</v>
      </c>
      <c r="B80" s="7">
        <v>1036.23</v>
      </c>
      <c r="C80" s="8">
        <f>IFERROR(B80/B444, "NA")</f>
        <v>1.2879364417665622E-2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1036.23</v>
      </c>
      <c r="I80" s="8">
        <f>IFERROR(H80/H444, "NA")</f>
        <v>0.11628543758395442</v>
      </c>
      <c r="J80" s="9"/>
      <c r="K80" s="7">
        <v>220</v>
      </c>
      <c r="L80" s="8">
        <f>IFERROR(K80/K444, "NA")</f>
        <v>3.6315339962753666E-3</v>
      </c>
      <c r="M80" s="9"/>
      <c r="N80" s="10">
        <f t="shared" si="21"/>
        <v>816.23</v>
      </c>
      <c r="O80" s="8">
        <f>IFERROR(N80/N444, "NA")</f>
        <v>4.1065799966291255E-2</v>
      </c>
      <c r="P80" s="9"/>
      <c r="Q80" s="7">
        <v>1686.41</v>
      </c>
      <c r="R80" s="8">
        <f>IFERROR(Q80/Q444, "NA")</f>
        <v>1.1535978680455765E-2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1686.41</v>
      </c>
      <c r="X80" s="8">
        <f>IFERROR(W80/W444, "NA")</f>
        <v>9.0919138300430372E-2</v>
      </c>
      <c r="Y80" s="9"/>
      <c r="Z80" s="7">
        <v>395</v>
      </c>
      <c r="AA80" s="8">
        <f>IFERROR(Z80/Z444, "NA")</f>
        <v>3.4648399445695783E-3</v>
      </c>
      <c r="AB80" s="9"/>
      <c r="AC80" s="10">
        <f t="shared" si="23"/>
        <v>1291.4100000000001</v>
      </c>
      <c r="AD80" s="8">
        <f>IFERROR(AC80/AC444, "NA")</f>
        <v>4.0125078414807593E-2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4.1267431775856439E-4</v>
      </c>
      <c r="M82" s="9"/>
      <c r="N82" s="10">
        <f t="shared" si="21"/>
        <v>-25</v>
      </c>
      <c r="O82" s="8">
        <f>IFERROR(N82/N444, "NA")</f>
        <v>-1.2577888575000691E-3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2.192936673778214E-4</v>
      </c>
      <c r="AB82" s="9"/>
      <c r="AC82" s="10">
        <f t="shared" si="23"/>
        <v>-25</v>
      </c>
      <c r="AD82" s="8">
        <f>IFERROR(AC82/AC444, "NA")</f>
        <v>-7.7676877240395368E-4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1406.63</v>
      </c>
      <c r="C88" s="15">
        <f>IFERROR(B88/B444, "NA")</f>
        <v>1.7483088089344057E-2</v>
      </c>
      <c r="D88" s="2"/>
      <c r="E88" s="14">
        <f>IFERROR(E75+E76+E77+E78+E79+E80+E81+E82+E83+E84+E85+E86+E87, "NA")</f>
        <v>1216.27</v>
      </c>
      <c r="F88" s="15">
        <f>IFERROR(E88/E444, "NA")</f>
        <v>1.6999946327876294E-2</v>
      </c>
      <c r="G88" s="2"/>
      <c r="H88" s="14">
        <f t="shared" si="20"/>
        <v>190.36000000000013</v>
      </c>
      <c r="I88" s="15">
        <f>IFERROR(H88/H444, "NA")</f>
        <v>2.1362145371666114E-2</v>
      </c>
      <c r="J88" s="2"/>
      <c r="K88" s="14">
        <f>IFERROR(K75+K76+K77+K78+K79+K80+K81+K82+K83+K84+K85+K86+K87, "NA")</f>
        <v>334.7</v>
      </c>
      <c r="L88" s="15">
        <f>IFERROR(K88/K444, "NA")</f>
        <v>5.5248837661516599E-3</v>
      </c>
      <c r="M88" s="2"/>
      <c r="N88" s="14">
        <f t="shared" si="21"/>
        <v>1071.93</v>
      </c>
      <c r="O88" s="15">
        <f>IFERROR(N88/N444, "NA")</f>
        <v>5.3930464400801965E-2</v>
      </c>
      <c r="P88" s="2"/>
      <c r="Q88" s="14">
        <f>IFERROR(Q75+Q76+Q77+Q78+Q79+Q80+Q81+Q82+Q83+Q84+Q85+Q86+Q87, "NA")</f>
        <v>2148.42</v>
      </c>
      <c r="R88" s="15">
        <f>IFERROR(Q88/Q444, "NA")</f>
        <v>1.4696383036547918E-2</v>
      </c>
      <c r="S88" s="2"/>
      <c r="T88" s="14">
        <f>IFERROR(T75+T76+T77+T78+T79+T80+T81+T82+T83+T84+T85+T86+T87, "NA")</f>
        <v>2169.85</v>
      </c>
      <c r="U88" s="15">
        <f>IFERROR(T88/T444, "NA")</f>
        <v>1.6999960748529459E-2</v>
      </c>
      <c r="V88" s="2"/>
      <c r="W88" s="14">
        <f t="shared" si="22"/>
        <v>-21.429999999999836</v>
      </c>
      <c r="X88" s="15">
        <f>IFERROR(W88/W444, "NA")</f>
        <v>-1.155351980703511E-3</v>
      </c>
      <c r="Y88" s="2"/>
      <c r="Z88" s="14">
        <f>IFERROR(Z75+Z76+Z77+Z78+Z79+Z80+Z81+Z82+Z83+Z84+Z85+Z86+Z87, "NA")</f>
        <v>587.44000000000005</v>
      </c>
      <c r="AA88" s="15">
        <f>IFERROR(Z88/Z444, "NA")</f>
        <v>5.1528748785770965E-3</v>
      </c>
      <c r="AB88" s="2"/>
      <c r="AC88" s="14">
        <f t="shared" si="23"/>
        <v>1560.98</v>
      </c>
      <c r="AD88" s="15">
        <f>IFERROR(AC88/AC444, "NA")</f>
        <v>4.8500820733884946E-2</v>
      </c>
    </row>
    <row r="89" spans="1:30" ht="16.5" customHeight="1" x14ac:dyDescent="0.45">
      <c r="A89" s="6" t="s">
        <v>85</v>
      </c>
      <c r="B89" s="7">
        <v>-13.37</v>
      </c>
      <c r="C89" s="8">
        <f>IFERROR(B89/B444, "NA")</f>
        <v>-1.6617652670178373E-4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-13.37</v>
      </c>
      <c r="I89" s="8">
        <f>IFERROR(H89/H444, "NA")</f>
        <v>-1.5003776193484753E-3</v>
      </c>
      <c r="J89" s="9"/>
      <c r="K89" s="7">
        <v>-211.86</v>
      </c>
      <c r="L89" s="8">
        <f>IFERROR(K89/K444, "NA")</f>
        <v>-3.4971672384131783E-3</v>
      </c>
      <c r="M89" s="9"/>
      <c r="N89" s="10">
        <f t="shared" si="21"/>
        <v>198.49</v>
      </c>
      <c r="O89" s="8">
        <f>IFERROR(N89/N444, "NA")</f>
        <v>9.9863404130075498E-3</v>
      </c>
      <c r="P89" s="9"/>
      <c r="Q89" s="7">
        <v>-7.06</v>
      </c>
      <c r="R89" s="8">
        <f>IFERROR(Q89/Q444, "NA")</f>
        <v>-4.8294311278999588E-5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-7.06</v>
      </c>
      <c r="X89" s="8">
        <f>IFERROR(W89/W444, "NA")</f>
        <v>-3.8062459093639057E-4</v>
      </c>
      <c r="Y89" s="9"/>
      <c r="Z89" s="7">
        <v>1411.3</v>
      </c>
      <c r="AA89" s="8">
        <f>IFERROR(Z89/Z444, "NA")</f>
        <v>1.2379566110812774E-2</v>
      </c>
      <c r="AB89" s="9"/>
      <c r="AC89" s="10">
        <f t="shared" si="23"/>
        <v>-1418.36</v>
      </c>
      <c r="AD89" s="8">
        <f>IFERROR(AC89/AC444, "NA")</f>
        <v>-4.4069510241074868E-2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-2504.09</v>
      </c>
      <c r="F94" s="8">
        <f>IFERROR(E94/E444, "NA")</f>
        <v>-3.4999955273230243E-2</v>
      </c>
      <c r="G94" s="9"/>
      <c r="H94" s="10">
        <f t="shared" ref="H94:H124" si="24">IFERROR(B94-E94, "NA")</f>
        <v>2504.09</v>
      </c>
      <c r="I94" s="8">
        <f>IFERROR(H94/H444, "NA")</f>
        <v>0.28100827171535708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-4467.3500000000004</v>
      </c>
      <c r="U94" s="8">
        <f>IFERROR(T94/T444, "NA")</f>
        <v>-3.500001136020605E-2</v>
      </c>
      <c r="V94" s="9"/>
      <c r="W94" s="10">
        <f t="shared" ref="W94:W124" si="26">IFERROR(Q94-T94, "NA")</f>
        <v>4467.3500000000004</v>
      </c>
      <c r="X94" s="8">
        <f>IFERROR(W94/W444, "NA")</f>
        <v>0.24084748814726412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-1627.85</v>
      </c>
      <c r="C96" s="8">
        <f>IFERROR(B96/B444, "NA")</f>
        <v>-2.023264465157058E-2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-1627.85</v>
      </c>
      <c r="I96" s="8">
        <f>IFERROR(H96/H444, "NA")</f>
        <v>-0.18267686669083139</v>
      </c>
      <c r="J96" s="9"/>
      <c r="K96" s="7">
        <v>-23.1</v>
      </c>
      <c r="L96" s="8">
        <f>IFERROR(K96/K444, "NA")</f>
        <v>-3.8131106960891353E-4</v>
      </c>
      <c r="M96" s="9"/>
      <c r="N96" s="10">
        <f t="shared" si="25"/>
        <v>-1604.75</v>
      </c>
      <c r="O96" s="8">
        <f>IFERROR(N96/N444, "NA")</f>
        <v>-8.0737466762929436E-2</v>
      </c>
      <c r="P96" s="9"/>
      <c r="Q96" s="7">
        <v>-3337.05</v>
      </c>
      <c r="R96" s="8">
        <f>IFERROR(Q96/Q444, "NA")</f>
        <v>-2.2827270744133935E-2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-3337.05</v>
      </c>
      <c r="X96" s="8">
        <f>IFERROR(W96/W444, "NA")</f>
        <v>-0.17990981461533742</v>
      </c>
      <c r="Y96" s="9"/>
      <c r="Z96" s="7">
        <v>-87.63</v>
      </c>
      <c r="AA96" s="8">
        <f>IFERROR(Z96/Z444, "NA")</f>
        <v>-7.6866816289273957E-4</v>
      </c>
      <c r="AB96" s="9"/>
      <c r="AC96" s="10">
        <f t="shared" si="27"/>
        <v>-3249.42</v>
      </c>
      <c r="AD96" s="8">
        <f>IFERROR(AC96/AC444, "NA")</f>
        <v>-0.10096191937699421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-1008.43</v>
      </c>
      <c r="C98" s="8">
        <f>IFERROR(B98/B444, "NA")</f>
        <v>-1.2533836561097963E-2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-1008.43</v>
      </c>
      <c r="I98" s="8">
        <f>IFERROR(H98/H444, "NA")</f>
        <v>-0.11316572944499498</v>
      </c>
      <c r="J98" s="9"/>
      <c r="K98" s="7">
        <v>-1087.29</v>
      </c>
      <c r="L98" s="8">
        <f>IFERROR(K98/K444, "NA")</f>
        <v>-1.7947866358228377E-2</v>
      </c>
      <c r="M98" s="9"/>
      <c r="N98" s="10">
        <f t="shared" si="25"/>
        <v>78.860000000000014</v>
      </c>
      <c r="O98" s="8">
        <f>IFERROR(N98/N444, "NA")</f>
        <v>3.9675691720982183E-3</v>
      </c>
      <c r="P98" s="9"/>
      <c r="Q98" s="7">
        <v>-2186.63</v>
      </c>
      <c r="R98" s="8">
        <f>IFERROR(Q98/Q444, "NA")</f>
        <v>-1.4957760605098992E-2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-2186.63</v>
      </c>
      <c r="X98" s="8">
        <f>IFERROR(W98/W444, "NA")</f>
        <v>-0.11788741491207362</v>
      </c>
      <c r="Y98" s="9"/>
      <c r="Z98" s="7">
        <v>-1960.23</v>
      </c>
      <c r="AA98" s="8">
        <f>IFERROR(Z98/Z444, "NA")</f>
        <v>-1.7194641024161073E-2</v>
      </c>
      <c r="AB98" s="9"/>
      <c r="AC98" s="10">
        <f t="shared" si="27"/>
        <v>-226.40000000000009</v>
      </c>
      <c r="AD98" s="8">
        <f>IFERROR(AC98/AC444, "NA")</f>
        <v>-7.0344180028902069E-3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-27.5</v>
      </c>
      <c r="C100" s="8">
        <f>IFERROR(B100/B444, "NA")</f>
        <v>-3.417991386910286E-4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-27.5</v>
      </c>
      <c r="I100" s="8">
        <f>IFERROR(H100/H444, "NA")</f>
        <v>-3.0860422237908055E-3</v>
      </c>
      <c r="J100" s="9"/>
      <c r="K100" s="7">
        <v>-75.540000000000006</v>
      </c>
      <c r="L100" s="8">
        <f>IFERROR(K100/K444, "NA")</f>
        <v>-1.2469367185392783E-3</v>
      </c>
      <c r="M100" s="9"/>
      <c r="N100" s="10">
        <f t="shared" si="25"/>
        <v>48.040000000000006</v>
      </c>
      <c r="O100" s="8">
        <f>IFERROR(N100/N444, "NA")</f>
        <v>2.4169670685721331E-3</v>
      </c>
      <c r="P100" s="9"/>
      <c r="Q100" s="7">
        <v>-719</v>
      </c>
      <c r="R100" s="8">
        <f>IFERROR(Q100/Q444, "NA")</f>
        <v>-4.9183583299717715E-3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-719</v>
      </c>
      <c r="X100" s="8">
        <f>IFERROR(W100/W444, "NA")</f>
        <v>-3.8763325904145156E-2</v>
      </c>
      <c r="Y100" s="9"/>
      <c r="Z100" s="7">
        <v>-4295.05</v>
      </c>
      <c r="AA100" s="8">
        <f>IFERROR(Z100/Z444, "NA")</f>
        <v>-3.7675090642844473E-2</v>
      </c>
      <c r="AB100" s="9"/>
      <c r="AC100" s="10">
        <f t="shared" si="27"/>
        <v>3576.05</v>
      </c>
      <c r="AD100" s="8">
        <f>IFERROR(AC100/AC444, "NA")</f>
        <v>0.11111055874220635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-555.20000000000005</v>
      </c>
      <c r="C102" s="8">
        <f>IFERROR(B102/B444, "NA")</f>
        <v>-6.900613883682149E-3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-555.20000000000005</v>
      </c>
      <c r="I102" s="8">
        <f>IFERROR(H102/H444, "NA")</f>
        <v>-6.2304387005405651E-2</v>
      </c>
      <c r="J102" s="9"/>
      <c r="K102" s="7">
        <v>-19.55</v>
      </c>
      <c r="L102" s="8">
        <f>IFERROR(K102/K444, "NA")</f>
        <v>-3.2271131648719739E-4</v>
      </c>
      <c r="M102" s="9"/>
      <c r="N102" s="10">
        <f t="shared" si="25"/>
        <v>-535.65000000000009</v>
      </c>
      <c r="O102" s="8">
        <f>IFERROR(N102/N444, "NA")</f>
        <v>-2.6949384060796486E-2</v>
      </c>
      <c r="P102" s="9"/>
      <c r="Q102" s="7">
        <v>-1307.5999999999999</v>
      </c>
      <c r="R102" s="8">
        <f>IFERROR(Q102/Q444, "NA")</f>
        <v>-8.9447084176232095E-3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-1307.5999999999999</v>
      </c>
      <c r="X102" s="8">
        <f>IFERROR(W102/W444, "NA")</f>
        <v>-7.0496418570598338E-2</v>
      </c>
      <c r="Y102" s="9"/>
      <c r="Z102" s="7">
        <v>-201.55</v>
      </c>
      <c r="AA102" s="8">
        <f>IFERROR(Z102/Z444, "NA")</f>
        <v>-1.7679455463999961E-3</v>
      </c>
      <c r="AB102" s="9"/>
      <c r="AC102" s="10">
        <f t="shared" si="27"/>
        <v>-1106.05</v>
      </c>
      <c r="AD102" s="8">
        <f>IFERROR(AC102/AC444, "NA")</f>
        <v>-3.4365804028695719E-2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-383.93</v>
      </c>
      <c r="C104" s="8">
        <f>IFERROR(B104/B444, "NA")</f>
        <v>-4.7718888479144229E-3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-383.93</v>
      </c>
      <c r="I104" s="8">
        <f>IFERROR(H104/H444, "NA")</f>
        <v>-4.3084516035636511E-2</v>
      </c>
      <c r="J104" s="9"/>
      <c r="K104" s="7">
        <v>-164.89</v>
      </c>
      <c r="L104" s="8">
        <f>IFERROR(K104/K444, "NA")</f>
        <v>-2.721834730208387E-3</v>
      </c>
      <c r="M104" s="9"/>
      <c r="N104" s="10">
        <f t="shared" si="25"/>
        <v>-219.04000000000002</v>
      </c>
      <c r="O104" s="8">
        <f>IFERROR(N104/N444, "NA")</f>
        <v>-1.1020242853872606E-2</v>
      </c>
      <c r="P104" s="9"/>
      <c r="Q104" s="7">
        <v>-782.23</v>
      </c>
      <c r="R104" s="8">
        <f>IFERROR(Q104/Q444, "NA")</f>
        <v>-5.3508865597410556E-3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-782.23</v>
      </c>
      <c r="X104" s="8">
        <f>IFERROR(W104/W444, "NA")</f>
        <v>-4.2172234244783682E-2</v>
      </c>
      <c r="Y104" s="9"/>
      <c r="Z104" s="7">
        <v>-2284.54</v>
      </c>
      <c r="AA104" s="8">
        <f>IFERROR(Z104/Z444, "NA")</f>
        <v>-2.0039406194853122E-2</v>
      </c>
      <c r="AB104" s="9"/>
      <c r="AC104" s="10">
        <f t="shared" si="27"/>
        <v>1502.31</v>
      </c>
      <c r="AD104" s="8">
        <f>IFERROR(AC104/AC444, "NA")</f>
        <v>4.667789977880734E-2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-713.04</v>
      </c>
      <c r="L106" s="8">
        <f>IFERROR(K106/K444, "NA")</f>
        <v>-1.177013182138267E-2</v>
      </c>
      <c r="M106" s="9"/>
      <c r="N106" s="10">
        <f t="shared" si="25"/>
        <v>713.04</v>
      </c>
      <c r="O106" s="8">
        <f>IFERROR(N106/N444, "NA")</f>
        <v>3.5874150678073966E-2</v>
      </c>
      <c r="P106" s="9"/>
      <c r="Q106" s="7">
        <v>0</v>
      </c>
      <c r="R106" s="8">
        <f>IFERROR(Q106/Q444, "NA")</f>
        <v>0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0</v>
      </c>
      <c r="X106" s="8">
        <f>IFERROR(W106/W444, "NA")</f>
        <v>0</v>
      </c>
      <c r="Y106" s="9"/>
      <c r="Z106" s="7">
        <v>-713.04</v>
      </c>
      <c r="AA106" s="8">
        <f>IFERROR(Z106/Z444, "NA")</f>
        <v>-6.2546062634832702E-3</v>
      </c>
      <c r="AB106" s="9"/>
      <c r="AC106" s="10">
        <f t="shared" si="27"/>
        <v>713.04</v>
      </c>
      <c r="AD106" s="8">
        <f>IFERROR(AC106/AC444, "NA")</f>
        <v>2.2154688218996604E-2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-3602.9099999999994</v>
      </c>
      <c r="C118" s="15">
        <f>IFERROR(B118/B444, "NA")</f>
        <v>-4.4780783082956133E-2</v>
      </c>
      <c r="D118" s="2"/>
      <c r="E118" s="14">
        <f>IFERROR(E94+E95+E96+E97+E98+E99+E100+E101+E102+E103+E104+E105+E106+E107+E108+E109+E110+E111+E112+E113+E114+E115+E116+E117, "NA")</f>
        <v>-2504.09</v>
      </c>
      <c r="F118" s="15">
        <f>IFERROR(E118/E444, "NA")</f>
        <v>-3.4999955273230243E-2</v>
      </c>
      <c r="G118" s="2"/>
      <c r="H118" s="14">
        <f t="shared" si="24"/>
        <v>-1098.8199999999993</v>
      </c>
      <c r="I118" s="15">
        <f>IFERROR(H118/H444, "NA")</f>
        <v>-0.12330926968530222</v>
      </c>
      <c r="J118" s="2"/>
      <c r="K118" s="14">
        <f>IFERROR(K94+K95+K96+K97+K98+K99+K100+K101+K102+K103+K104+K105+K106+K107+K108+K109+K110+K111+K112+K113+K114+K115+K116+K117, "NA")</f>
        <v>-2083.41</v>
      </c>
      <c r="L118" s="15">
        <f>IFERROR(K118/K444, "NA")</f>
        <v>-3.4390792014454823E-2</v>
      </c>
      <c r="M118" s="2"/>
      <c r="N118" s="14">
        <f t="shared" si="25"/>
        <v>-1519.4999999999995</v>
      </c>
      <c r="O118" s="15">
        <f>IFERROR(N118/N444, "NA")</f>
        <v>-7.644840675885417E-2</v>
      </c>
      <c r="P118" s="2"/>
      <c r="Q118" s="14">
        <f>IFERROR(Q94+Q95+Q96+Q97+Q98+Q99+Q100+Q101+Q102+Q103+Q104+Q105+Q106+Q107+Q108+Q109+Q110+Q111+Q112+Q113+Q114+Q115+Q116+Q117, "NA")</f>
        <v>-8332.51</v>
      </c>
      <c r="R118" s="15">
        <f>IFERROR(Q118/Q444, "NA")</f>
        <v>-5.6998984656568968E-2</v>
      </c>
      <c r="S118" s="2"/>
      <c r="T118" s="14">
        <f>IFERROR(T94+T95+T96+T97+T98+T99+T100+T101+T102+T103+T104+T105+T106+T107+T108+T109+T110+T111+T112+T113+T114+T115+T116+T117, "NA")</f>
        <v>-4467.3500000000004</v>
      </c>
      <c r="U118" s="15">
        <f>IFERROR(T118/T444, "NA")</f>
        <v>-3.500001136020605E-2</v>
      </c>
      <c r="V118" s="2"/>
      <c r="W118" s="14">
        <f t="shared" si="26"/>
        <v>-3865.16</v>
      </c>
      <c r="X118" s="15">
        <f>IFERROR(W118/W444, "NA")</f>
        <v>-0.20838172009967412</v>
      </c>
      <c r="Y118" s="2"/>
      <c r="Z118" s="14">
        <f>IFERROR(Z94+Z95+Z96+Z97+Z98+Z99+Z100+Z101+Z102+Z103+Z104+Z105+Z106+Z107+Z108+Z109+Z110+Z111+Z112+Z113+Z114+Z115+Z116+Z117, "NA")</f>
        <v>-9542.0400000000009</v>
      </c>
      <c r="AA118" s="15">
        <f>IFERROR(Z118/Z444, "NA")</f>
        <v>-8.3700357834634684E-2</v>
      </c>
      <c r="AB118" s="2"/>
      <c r="AC118" s="14">
        <f t="shared" si="27"/>
        <v>1209.5300000000007</v>
      </c>
      <c r="AD118" s="15">
        <f>IFERROR(AC118/AC444, "NA")</f>
        <v>3.7581005331430183E-2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80456.61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71545.520000000019</v>
      </c>
      <c r="F122" s="15">
        <f>IFERROR(E122/E444, "NA")</f>
        <v>1.0000000000000002</v>
      </c>
      <c r="G122" s="2"/>
      <c r="H122" s="14">
        <f t="shared" si="24"/>
        <v>8911.089999999982</v>
      </c>
      <c r="I122" s="15">
        <f>IFERROR(H122/H444, "NA")</f>
        <v>0.99999999999999833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60580.460000000006</v>
      </c>
      <c r="L122" s="15">
        <f>IFERROR(K122/K444, "NA")</f>
        <v>1.0000000000000002</v>
      </c>
      <c r="M122" s="2"/>
      <c r="N122" s="14">
        <f t="shared" si="25"/>
        <v>19876.149999999994</v>
      </c>
      <c r="O122" s="15">
        <f>IFERROR(N122/N444, "NA")</f>
        <v>0.99999999999999967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146186.98999999996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127638.53</v>
      </c>
      <c r="U122" s="15">
        <f>IFERROR(T122/T444, "NA")</f>
        <v>1</v>
      </c>
      <c r="V122" s="2"/>
      <c r="W122" s="14">
        <f t="shared" si="26"/>
        <v>18548.459999999963</v>
      </c>
      <c r="X122" s="15">
        <f>IFERROR(W122/W444, "NA")</f>
        <v>0.99999999999999845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114002.38</v>
      </c>
      <c r="AA122" s="15">
        <f>IFERROR(Z122/Z444, "NA")</f>
        <v>1</v>
      </c>
      <c r="AB122" s="2"/>
      <c r="AC122" s="14">
        <f t="shared" si="27"/>
        <v>32184.609999999957</v>
      </c>
      <c r="AD122" s="15">
        <f>IFERROR(AC122/AC444, "NA")</f>
        <v>0.99999999999999911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80456.61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71545.520000000019</v>
      </c>
      <c r="F124" s="15">
        <f>IFERROR(E124/E444, "NA")</f>
        <v>1.0000000000000002</v>
      </c>
      <c r="G124" s="2"/>
      <c r="H124" s="14">
        <f t="shared" si="24"/>
        <v>8911.089999999982</v>
      </c>
      <c r="I124" s="15">
        <f>IFERROR(H124/H444, "NA")</f>
        <v>0.99999999999999833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60580.460000000006</v>
      </c>
      <c r="L124" s="15">
        <f>IFERROR(K124/K444, "NA")</f>
        <v>1.0000000000000002</v>
      </c>
      <c r="M124" s="2"/>
      <c r="N124" s="14">
        <f t="shared" si="25"/>
        <v>19876.149999999994</v>
      </c>
      <c r="O124" s="15">
        <f>IFERROR(N124/N444, "NA")</f>
        <v>0.99999999999999967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146186.98999999996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127638.53</v>
      </c>
      <c r="U124" s="15">
        <f>IFERROR(T124/T444, "NA")</f>
        <v>1</v>
      </c>
      <c r="V124" s="2"/>
      <c r="W124" s="14">
        <f t="shared" si="26"/>
        <v>18548.459999999963</v>
      </c>
      <c r="X124" s="15">
        <f>IFERROR(W124/W444, "NA")</f>
        <v>0.99999999999999845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114002.38</v>
      </c>
      <c r="AA124" s="15">
        <f>IFERROR(Z124/Z444, "NA")</f>
        <v>1</v>
      </c>
      <c r="AB124" s="2"/>
      <c r="AC124" s="14">
        <f t="shared" si="27"/>
        <v>32184.609999999957</v>
      </c>
      <c r="AD124" s="15">
        <f>IFERROR(AC124/AC444, "NA")</f>
        <v>0.99999999999999911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16598.560000000001</v>
      </c>
      <c r="F129" s="8">
        <f>IFERROR(E129/E444, "NA")</f>
        <v>0.23199999105464605</v>
      </c>
      <c r="G129" s="9"/>
      <c r="H129" s="10">
        <f t="shared" ref="H129:H141" si="28">IFERROR(-(B129-E129), "NA")</f>
        <v>16598.560000000001</v>
      </c>
      <c r="I129" s="8">
        <f>IFERROR(H129/H444, "NA")</f>
        <v>1.8626857096045497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30734</v>
      </c>
      <c r="U129" s="8">
        <f>IFERROR(T129/T444, "NA")</f>
        <v>0.24078936039141161</v>
      </c>
      <c r="V129" s="9"/>
      <c r="W129" s="10">
        <f t="shared" ref="W129:W141" si="30">IFERROR(-(Q129-T129), "NA")</f>
        <v>30734</v>
      </c>
      <c r="X129" s="8">
        <f>IFERROR(W129/W444, "NA")</f>
        <v>1.6569569656995791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4410.4799999999996</v>
      </c>
      <c r="C130" s="8">
        <f>IFERROR(B130/B444, "NA")</f>
        <v>5.4818118735054829E-2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-4410.4799999999996</v>
      </c>
      <c r="I130" s="8">
        <f>IFERROR(H130/H444, "NA")</f>
        <v>-0.49494281844308624</v>
      </c>
      <c r="J130" s="9"/>
      <c r="K130" s="7">
        <v>3623</v>
      </c>
      <c r="L130" s="8">
        <f>IFERROR(K130/K444, "NA")</f>
        <v>5.980476212957115E-2</v>
      </c>
      <c r="M130" s="9"/>
      <c r="N130" s="10">
        <f t="shared" si="29"/>
        <v>-787.47999999999956</v>
      </c>
      <c r="O130" s="8">
        <f>IFERROR(N130/N444, "NA")</f>
        <v>-3.9619342780166156E-2</v>
      </c>
      <c r="P130" s="9"/>
      <c r="Q130" s="7">
        <v>8242.1</v>
      </c>
      <c r="R130" s="8">
        <f>IFERROR(Q130/Q444, "NA")</f>
        <v>5.6380530168929542E-2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-8242.1</v>
      </c>
      <c r="X130" s="8">
        <f>IFERROR(W130/W444, "NA")</f>
        <v>-0.44435494914402618</v>
      </c>
      <c r="Y130" s="9"/>
      <c r="Z130" s="7">
        <v>7273.6</v>
      </c>
      <c r="AA130" s="8">
        <f>IFERROR(Z130/Z444, "NA")</f>
        <v>6.3802176761572876E-2</v>
      </c>
      <c r="AB130" s="9"/>
      <c r="AC130" s="10">
        <f t="shared" si="31"/>
        <v>-968.5</v>
      </c>
      <c r="AD130" s="8">
        <f>IFERROR(AC130/AC444, "NA")</f>
        <v>-3.0092022242929166E-2</v>
      </c>
    </row>
    <row r="131" spans="1:30" ht="16.5" customHeight="1" x14ac:dyDescent="0.45">
      <c r="A131" s="12" t="s">
        <v>123</v>
      </c>
      <c r="B131" s="7">
        <v>2313.33</v>
      </c>
      <c r="C131" s="8">
        <f>IFERROR(B131/B444, "NA")</f>
        <v>2.8752516418476988E-2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-2313.33</v>
      </c>
      <c r="I131" s="8">
        <f>IFERROR(H131/H444, "NA")</f>
        <v>-0.25960123845679944</v>
      </c>
      <c r="J131" s="9"/>
      <c r="K131" s="7">
        <v>1677.66</v>
      </c>
      <c r="L131" s="8">
        <f>IFERROR(K131/K444, "NA")</f>
        <v>2.7693087837233326E-2</v>
      </c>
      <c r="M131" s="9"/>
      <c r="N131" s="10">
        <f t="shared" si="29"/>
        <v>-635.66999999999985</v>
      </c>
      <c r="O131" s="8">
        <f>IFERROR(N131/N444, "NA")</f>
        <v>-3.1981545721882748E-2</v>
      </c>
      <c r="P131" s="9"/>
      <c r="Q131" s="7">
        <v>4331.16</v>
      </c>
      <c r="R131" s="8">
        <f>IFERROR(Q131/Q444, "NA")</f>
        <v>2.9627533886565419E-2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-4331.16</v>
      </c>
      <c r="X131" s="8">
        <f>IFERROR(W131/W444, "NA")</f>
        <v>-0.233505099614739</v>
      </c>
      <c r="Y131" s="9"/>
      <c r="Z131" s="7">
        <v>3618.42</v>
      </c>
      <c r="AA131" s="8">
        <f>IFERROR(Z131/Z444, "NA")</f>
        <v>3.1739863676530262E-2</v>
      </c>
      <c r="AB131" s="9"/>
      <c r="AC131" s="10">
        <f t="shared" si="31"/>
        <v>-712.73999999999978</v>
      </c>
      <c r="AD131" s="8">
        <f>IFERROR(AC131/AC444, "NA")</f>
        <v>-2.2145366993727749E-2</v>
      </c>
    </row>
    <row r="132" spans="1:30" ht="16.5" customHeight="1" x14ac:dyDescent="0.45">
      <c r="A132" s="12" t="s">
        <v>124</v>
      </c>
      <c r="B132" s="7">
        <v>3060.46</v>
      </c>
      <c r="C132" s="8">
        <f>IFERROR(B132/B444, "NA")</f>
        <v>3.8038639709030743E-2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-3060.46</v>
      </c>
      <c r="I132" s="8">
        <f>IFERROR(H132/H444, "NA")</f>
        <v>-0.34344395578992032</v>
      </c>
      <c r="J132" s="9"/>
      <c r="K132" s="7">
        <v>2119.11</v>
      </c>
      <c r="L132" s="8">
        <f>IFERROR(K132/K444, "NA")</f>
        <v>3.4980090940214058E-2</v>
      </c>
      <c r="M132" s="9"/>
      <c r="N132" s="10">
        <f t="shared" si="29"/>
        <v>-941.34999999999991</v>
      </c>
      <c r="O132" s="8">
        <f>IFERROR(N132/N444, "NA")</f>
        <v>-4.7360781640307596E-2</v>
      </c>
      <c r="P132" s="9"/>
      <c r="Q132" s="7">
        <v>5483</v>
      </c>
      <c r="R132" s="8">
        <f>IFERROR(Q132/Q444, "NA")</f>
        <v>3.7506757612288208E-2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-5483</v>
      </c>
      <c r="X132" s="8">
        <f>IFERROR(W132/W444, "NA")</f>
        <v>-0.29560405553884272</v>
      </c>
      <c r="Y132" s="9"/>
      <c r="Z132" s="7">
        <v>3940.64</v>
      </c>
      <c r="AA132" s="8">
        <f>IFERROR(Z132/Z444, "NA")</f>
        <v>3.4566295896629524E-2</v>
      </c>
      <c r="AB132" s="9"/>
      <c r="AC132" s="10">
        <f t="shared" si="31"/>
        <v>-1542.3600000000001</v>
      </c>
      <c r="AD132" s="8">
        <f>IFERROR(AC132/AC444, "NA")</f>
        <v>-4.7922283352198482E-2</v>
      </c>
    </row>
    <row r="133" spans="1:30" ht="16.5" customHeight="1" x14ac:dyDescent="0.45">
      <c r="A133" s="12" t="s">
        <v>125</v>
      </c>
      <c r="B133" s="7">
        <v>2012.86</v>
      </c>
      <c r="C133" s="8">
        <f>IFERROR(B133/B444, "NA")</f>
        <v>2.5017956883840866E-2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-2012.86</v>
      </c>
      <c r="I133" s="8">
        <f>IFERROR(H133/H444, "NA")</f>
        <v>-0.22588258002107495</v>
      </c>
      <c r="J133" s="9"/>
      <c r="K133" s="7">
        <v>1028.67</v>
      </c>
      <c r="L133" s="8">
        <f>IFERROR(K133/K444, "NA")</f>
        <v>1.6980227617948099E-2</v>
      </c>
      <c r="M133" s="9"/>
      <c r="N133" s="10">
        <f t="shared" si="29"/>
        <v>-984.18999999999983</v>
      </c>
      <c r="O133" s="8">
        <f>IFERROR(N133/N444, "NA")</f>
        <v>-4.9516128626519711E-2</v>
      </c>
      <c r="P133" s="9"/>
      <c r="Q133" s="7">
        <v>3596.64</v>
      </c>
      <c r="R133" s="8">
        <f>IFERROR(Q133/Q444, "NA")</f>
        <v>2.4603010158427915E-2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-3596.64</v>
      </c>
      <c r="X133" s="8">
        <f>IFERROR(W133/W444, "NA")</f>
        <v>-0.19390504656451271</v>
      </c>
      <c r="Y133" s="9"/>
      <c r="Z133" s="7">
        <v>2129.79</v>
      </c>
      <c r="AA133" s="8">
        <f>IFERROR(Z133/Z444, "NA")</f>
        <v>1.868197839378441E-2</v>
      </c>
      <c r="AB133" s="9"/>
      <c r="AC133" s="10">
        <f t="shared" si="31"/>
        <v>-1466.85</v>
      </c>
      <c r="AD133" s="8">
        <f>IFERROR(AC133/AC444, "NA")</f>
        <v>-4.5576130952029573E-2</v>
      </c>
    </row>
    <row r="134" spans="1:30" ht="16.5" customHeight="1" x14ac:dyDescent="0.45">
      <c r="A134" s="12" t="s">
        <v>126</v>
      </c>
      <c r="B134" s="7">
        <v>747.5</v>
      </c>
      <c r="C134" s="8">
        <f>IFERROR(B134/B444, "NA")</f>
        <v>9.2907220426015954E-3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-747.5</v>
      </c>
      <c r="I134" s="8">
        <f>IFERROR(H134/H444, "NA")</f>
        <v>-8.3884238628495533E-2</v>
      </c>
      <c r="J134" s="9"/>
      <c r="K134" s="7">
        <v>666.37</v>
      </c>
      <c r="L134" s="8">
        <f>IFERROR(K134/K444, "NA")</f>
        <v>1.0999751404990982E-2</v>
      </c>
      <c r="M134" s="9"/>
      <c r="N134" s="10">
        <f t="shared" si="29"/>
        <v>-81.13</v>
      </c>
      <c r="O134" s="8">
        <f>IFERROR(N134/N444, "NA")</f>
        <v>-4.0817764003592237E-3</v>
      </c>
      <c r="P134" s="9"/>
      <c r="Q134" s="7">
        <v>1291.21</v>
      </c>
      <c r="R134" s="8">
        <f>IFERROR(Q134/Q444, "NA")</f>
        <v>8.8325917374726722E-3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-1291.21</v>
      </c>
      <c r="X134" s="8">
        <f>IFERROR(W134/W444, "NA")</f>
        <v>-6.9612787261044889E-2</v>
      </c>
      <c r="Y134" s="9"/>
      <c r="Z134" s="7">
        <v>1416.18</v>
      </c>
      <c r="AA134" s="8">
        <f>IFERROR(Z134/Z444, "NA")</f>
        <v>1.2422372234684925E-2</v>
      </c>
      <c r="AB134" s="9"/>
      <c r="AC134" s="10">
        <f t="shared" si="31"/>
        <v>124.97000000000003</v>
      </c>
      <c r="AD134" s="8">
        <f>IFERROR(AC134/AC444, "NA")</f>
        <v>3.8829117394928842E-3</v>
      </c>
    </row>
    <row r="135" spans="1:30" ht="16.5" customHeight="1" x14ac:dyDescent="0.45">
      <c r="A135" s="12" t="s">
        <v>127</v>
      </c>
      <c r="B135" s="7">
        <v>911.11</v>
      </c>
      <c r="C135" s="8">
        <f>IFERROR(B135/B444, "NA")</f>
        <v>1.1324240481919386E-2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-911.11</v>
      </c>
      <c r="I135" s="8">
        <f>IFERROR(H135/H444, "NA")</f>
        <v>-0.1022445065642924</v>
      </c>
      <c r="J135" s="9"/>
      <c r="K135" s="7">
        <v>530.99</v>
      </c>
      <c r="L135" s="8">
        <f>IFERROR(K135/K444, "NA")</f>
        <v>8.7650374394648047E-3</v>
      </c>
      <c r="M135" s="9"/>
      <c r="N135" s="10">
        <f t="shared" si="29"/>
        <v>-380.12</v>
      </c>
      <c r="O135" s="8">
        <f>IFERROR(N135/N444, "NA")</f>
        <v>-1.9124428020517052E-2</v>
      </c>
      <c r="P135" s="9"/>
      <c r="Q135" s="7">
        <v>1423.05</v>
      </c>
      <c r="R135" s="8">
        <f>IFERROR(Q135/Q444, "NA")</f>
        <v>9.7344503775609586E-3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-1423.05</v>
      </c>
      <c r="X135" s="8">
        <f>IFERROR(W135/W444, "NA")</f>
        <v>-7.6720654976208294E-2</v>
      </c>
      <c r="Y135" s="9"/>
      <c r="Z135" s="7">
        <v>1127.3</v>
      </c>
      <c r="AA135" s="8">
        <f>IFERROR(Z135/Z444, "NA")</f>
        <v>9.8883900494007217E-3</v>
      </c>
      <c r="AB135" s="9"/>
      <c r="AC135" s="10">
        <f t="shared" si="31"/>
        <v>-295.75</v>
      </c>
      <c r="AD135" s="8">
        <f>IFERROR(AC135/AC444, "NA")</f>
        <v>-9.1891745775387716E-3</v>
      </c>
    </row>
    <row r="136" spans="1:30" ht="16.5" customHeight="1" x14ac:dyDescent="0.45">
      <c r="A136" s="12" t="s">
        <v>128</v>
      </c>
      <c r="B136" s="7">
        <v>589.51</v>
      </c>
      <c r="C136" s="8">
        <f>IFERROR(B136/B444, "NA")</f>
        <v>7.3270549181726641E-3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-589.51</v>
      </c>
      <c r="I136" s="8">
        <f>IFERROR(H136/H444, "NA")</f>
        <v>-6.615464550352429E-2</v>
      </c>
      <c r="J136" s="9"/>
      <c r="K136" s="7">
        <v>609.89</v>
      </c>
      <c r="L136" s="8">
        <f>IFERROR(K136/K444, "NA")</f>
        <v>1.0067437586310833E-2</v>
      </c>
      <c r="M136" s="9"/>
      <c r="N136" s="10">
        <f t="shared" si="29"/>
        <v>20.379999999999995</v>
      </c>
      <c r="O136" s="8">
        <f>IFERROR(N136/N444, "NA")</f>
        <v>1.0253494766340561E-3</v>
      </c>
      <c r="P136" s="9"/>
      <c r="Q136" s="7">
        <v>1017.21</v>
      </c>
      <c r="R136" s="8">
        <f>IFERROR(Q136/Q444, "NA")</f>
        <v>6.9582799399590901E-3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-1017.21</v>
      </c>
      <c r="X136" s="8">
        <f>IFERROR(W136/W444, "NA")</f>
        <v>-5.4840671408839359E-2</v>
      </c>
      <c r="Y136" s="9"/>
      <c r="Z136" s="7">
        <v>1137.1400000000001</v>
      </c>
      <c r="AA136" s="8">
        <f>IFERROR(Z136/Z444, "NA")</f>
        <v>9.9747040368806349E-3</v>
      </c>
      <c r="AB136" s="9"/>
      <c r="AC136" s="10">
        <f t="shared" si="31"/>
        <v>119.93000000000006</v>
      </c>
      <c r="AD136" s="8">
        <f>IFERROR(AC136/AC444, "NA")</f>
        <v>3.7263151549762484E-3</v>
      </c>
    </row>
    <row r="137" spans="1:30" ht="16.5" customHeight="1" x14ac:dyDescent="0.45">
      <c r="A137" s="12" t="s">
        <v>129</v>
      </c>
      <c r="B137" s="7">
        <v>226.02</v>
      </c>
      <c r="C137" s="8">
        <f>IFERROR(B137/B444, "NA")</f>
        <v>2.8092160482525923E-3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-226.02</v>
      </c>
      <c r="I137" s="8">
        <f>IFERROR(H137/H444, "NA")</f>
        <v>-2.5363900488043562E-2</v>
      </c>
      <c r="J137" s="9"/>
      <c r="K137" s="7">
        <v>-164.39</v>
      </c>
      <c r="L137" s="8">
        <f>IFERROR(K137/K444, "NA")</f>
        <v>-2.7135812438532159E-3</v>
      </c>
      <c r="M137" s="9"/>
      <c r="N137" s="10">
        <f t="shared" si="29"/>
        <v>-390.40999999999997</v>
      </c>
      <c r="O137" s="8">
        <f>IFERROR(N137/N444, "NA")</f>
        <v>-1.9642133914264077E-2</v>
      </c>
      <c r="P137" s="9"/>
      <c r="Q137" s="7">
        <v>675.85</v>
      </c>
      <c r="R137" s="8">
        <f>IFERROR(Q137/Q444, "NA")</f>
        <v>4.6231884246334103E-3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-675.85</v>
      </c>
      <c r="X137" s="8">
        <f>IFERROR(W137/W444, "NA")</f>
        <v>-3.6436987221580674E-2</v>
      </c>
      <c r="Y137" s="9"/>
      <c r="Z137" s="7">
        <v>191.73</v>
      </c>
      <c r="AA137" s="8">
        <f>IFERROR(Z137/Z444, "NA")</f>
        <v>1.6818069938539877E-3</v>
      </c>
      <c r="AB137" s="9"/>
      <c r="AC137" s="10">
        <f t="shared" si="31"/>
        <v>-484.12</v>
      </c>
      <c r="AD137" s="8">
        <f>IFERROR(AC137/AC444, "NA")</f>
        <v>-1.5041971923848083E-2</v>
      </c>
    </row>
    <row r="138" spans="1:30" ht="16.5" customHeight="1" x14ac:dyDescent="0.45">
      <c r="A138" s="12" t="s">
        <v>130</v>
      </c>
      <c r="B138" s="7">
        <v>4070.46</v>
      </c>
      <c r="C138" s="8">
        <f>IFERROR(B138/B444, "NA")</f>
        <v>5.0591989893683069E-2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-4070.46</v>
      </c>
      <c r="I138" s="8">
        <f>IFERROR(H138/H444, "NA")</f>
        <v>-0.45678587019096445</v>
      </c>
      <c r="J138" s="9"/>
      <c r="K138" s="7">
        <v>3655.3</v>
      </c>
      <c r="L138" s="8">
        <f>IFERROR(K138/K444, "NA")</f>
        <v>6.0337937348115218E-2</v>
      </c>
      <c r="M138" s="9"/>
      <c r="N138" s="10">
        <f t="shared" si="29"/>
        <v>-415.15999999999985</v>
      </c>
      <c r="O138" s="8">
        <f>IFERROR(N138/N444, "NA")</f>
        <v>-2.0887344883189139E-2</v>
      </c>
      <c r="P138" s="9"/>
      <c r="Q138" s="7">
        <v>7843.58</v>
      </c>
      <c r="R138" s="8">
        <f>IFERROR(Q138/Q444, "NA")</f>
        <v>5.36544325866481E-2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-7843.58</v>
      </c>
      <c r="X138" s="8">
        <f>IFERROR(W138/W444, "NA")</f>
        <v>-0.42286960750380376</v>
      </c>
      <c r="Y138" s="9"/>
      <c r="Z138" s="7">
        <v>6074.93</v>
      </c>
      <c r="AA138" s="8">
        <f>IFERROR(Z138/Z444, "NA")</f>
        <v>5.3287747150541943E-2</v>
      </c>
      <c r="AB138" s="9"/>
      <c r="AC138" s="10">
        <f t="shared" si="31"/>
        <v>-1768.6499999999996</v>
      </c>
      <c r="AD138" s="8">
        <f>IFERROR(AC138/AC444, "NA")</f>
        <v>-5.4953283572490096E-2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1.98</v>
      </c>
      <c r="C140" s="8">
        <f>IFERROR(B140/B444, "NA")</f>
        <v>2.4609537985754061E-5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-1.98</v>
      </c>
      <c r="I140" s="8">
        <f>IFERROR(H140/H444, "NA")</f>
        <v>-2.2219504011293802E-4</v>
      </c>
      <c r="J140" s="9"/>
      <c r="K140" s="7">
        <v>21.78</v>
      </c>
      <c r="L140" s="8">
        <f>IFERROR(K140/K444, "NA")</f>
        <v>3.5952186563126135E-4</v>
      </c>
      <c r="M140" s="9"/>
      <c r="N140" s="10">
        <f t="shared" si="29"/>
        <v>19.8</v>
      </c>
      <c r="O140" s="8">
        <f>IFERROR(N140/N444, "NA")</f>
        <v>9.9616877514005476E-4</v>
      </c>
      <c r="P140" s="9"/>
      <c r="Q140" s="7">
        <v>22.06</v>
      </c>
      <c r="R140" s="8">
        <f>IFERROR(Q140/Q444, "NA")</f>
        <v>1.509026213618599E-4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-22.06</v>
      </c>
      <c r="X140" s="8">
        <f>IFERROR(W140/W444, "NA")</f>
        <v>-1.189317064597277E-3</v>
      </c>
      <c r="Y140" s="9"/>
      <c r="Z140" s="7">
        <v>33.659999999999997</v>
      </c>
      <c r="AA140" s="8">
        <f>IFERROR(Z140/Z444, "NA")</f>
        <v>2.9525699375749869E-4</v>
      </c>
      <c r="AB140" s="9"/>
      <c r="AC140" s="10">
        <f t="shared" si="31"/>
        <v>11.599999999999998</v>
      </c>
      <c r="AD140" s="8">
        <f>IFERROR(AC140/AC444, "NA")</f>
        <v>3.6042071039543445E-4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18343.710000000003</v>
      </c>
      <c r="C141" s="15">
        <f>IFERROR(B141/B444, "NA")</f>
        <v>0.22799506466901853</v>
      </c>
      <c r="D141" s="2"/>
      <c r="E141" s="14">
        <f>IFERROR(E129+E130+E131+E132+E133+E134+E135+E136+E137+E138+E139+E140, "NA")</f>
        <v>16598.560000000001</v>
      </c>
      <c r="F141" s="15">
        <f>IFERROR(E141/E444, "NA")</f>
        <v>0.23199999105464605</v>
      </c>
      <c r="G141" s="2"/>
      <c r="H141" s="14">
        <f t="shared" si="28"/>
        <v>-1745.1500000000015</v>
      </c>
      <c r="I141" s="15">
        <f>IFERROR(H141/H444, "NA")</f>
        <v>-0.19584023952176469</v>
      </c>
      <c r="J141" s="2"/>
      <c r="K141" s="14">
        <f>IFERROR(K129+K130+K131+K132+K133+K134+K135+K136+K137+K138+K139+K140, "NA")</f>
        <v>13768.380000000003</v>
      </c>
      <c r="L141" s="15">
        <f>IFERROR(K141/K444, "NA")</f>
        <v>0.22727427292562657</v>
      </c>
      <c r="M141" s="2"/>
      <c r="N141" s="14">
        <f t="shared" si="29"/>
        <v>-4575.33</v>
      </c>
      <c r="O141" s="15">
        <f>IFERROR(N141/N444, "NA")</f>
        <v>-0.23019196373543163</v>
      </c>
      <c r="P141" s="2"/>
      <c r="Q141" s="14">
        <f>IFERROR(Q129+Q130+Q131+Q132+Q133+Q134+Q135+Q136+Q137+Q138+Q139+Q140, "NA")</f>
        <v>33925.859999999993</v>
      </c>
      <c r="R141" s="15">
        <f>IFERROR(Q141/Q444, "NA")</f>
        <v>0.23207167751384714</v>
      </c>
      <c r="S141" s="2"/>
      <c r="T141" s="14">
        <f>IFERROR(T129+T130+T131+T132+T133+T134+T135+T136+T137+T138+T139+T140, "NA")</f>
        <v>30734</v>
      </c>
      <c r="U141" s="15">
        <f>IFERROR(T141/T444, "NA")</f>
        <v>0.24078936039141161</v>
      </c>
      <c r="V141" s="2"/>
      <c r="W141" s="14">
        <f t="shared" si="30"/>
        <v>-3191.8599999999933</v>
      </c>
      <c r="X141" s="15">
        <f>IFERROR(W141/W444, "NA")</f>
        <v>-0.17208221059861545</v>
      </c>
      <c r="Y141" s="2"/>
      <c r="Z141" s="14">
        <f>IFERROR(Z129+Z130+Z131+Z132+Z133+Z134+Z135+Z136+Z137+Z138+Z139+Z140, "NA")</f>
        <v>26943.39</v>
      </c>
      <c r="AA141" s="15">
        <f>IFERROR(Z141/Z444, "NA")</f>
        <v>0.23634059218763678</v>
      </c>
      <c r="AB141" s="2"/>
      <c r="AC141" s="14">
        <f t="shared" si="31"/>
        <v>-6982.4699999999939</v>
      </c>
      <c r="AD141" s="15">
        <f>IFERROR(AC141/AC444, "NA")</f>
        <v>-0.21695058600989719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1141.77</v>
      </c>
      <c r="C144" s="8">
        <f>IFERROR(B144/B444, "NA")</f>
        <v>1.4191127366663845E-2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-1141.77</v>
      </c>
      <c r="I144" s="8">
        <f>IFERROR(H144/H444, "NA")</f>
        <v>-0.1281291065402774</v>
      </c>
      <c r="J144" s="9"/>
      <c r="K144" s="7">
        <v>483.85</v>
      </c>
      <c r="L144" s="8">
        <f>IFERROR(K144/K444, "NA")</f>
        <v>7.9868987458992565E-3</v>
      </c>
      <c r="M144" s="9"/>
      <c r="N144" s="10">
        <f t="shared" si="33"/>
        <v>-657.92</v>
      </c>
      <c r="O144" s="8">
        <f>IFERROR(N144/N444, "NA")</f>
        <v>-3.3100977805057816E-2</v>
      </c>
      <c r="P144" s="9"/>
      <c r="Q144" s="7">
        <v>1835.45</v>
      </c>
      <c r="R144" s="8">
        <f>IFERROR(Q144/Q444, "NA")</f>
        <v>1.2555494849439065E-2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-1835.45</v>
      </c>
      <c r="X144" s="8">
        <f>IFERROR(W144/W444, "NA")</f>
        <v>-9.8954306718724946E-2</v>
      </c>
      <c r="Y144" s="9"/>
      <c r="Z144" s="7">
        <v>1122.23</v>
      </c>
      <c r="AA144" s="8">
        <f>IFERROR(Z144/Z444, "NA")</f>
        <v>9.8439172936565008E-3</v>
      </c>
      <c r="AB144" s="9"/>
      <c r="AC144" s="10">
        <f t="shared" si="35"/>
        <v>-713.22</v>
      </c>
      <c r="AD144" s="8">
        <f>IFERROR(AC144/AC444, "NA")</f>
        <v>-2.2160280954157913E-2</v>
      </c>
    </row>
    <row r="145" spans="1:30" ht="16.5" customHeight="1" x14ac:dyDescent="0.45">
      <c r="A145" s="12" t="s">
        <v>136</v>
      </c>
      <c r="B145" s="7">
        <v>108.6</v>
      </c>
      <c r="C145" s="8">
        <f>IFERROR(B145/B444, "NA")</f>
        <v>1.3497958713398438E-3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-108.6</v>
      </c>
      <c r="I145" s="8">
        <f>IFERROR(H145/H444, "NA")</f>
        <v>-1.2187061291042963E-2</v>
      </c>
      <c r="J145" s="9"/>
      <c r="K145" s="7">
        <v>12.78</v>
      </c>
      <c r="L145" s="8">
        <f>IFERROR(K145/K444, "NA")</f>
        <v>2.109591112381781E-4</v>
      </c>
      <c r="M145" s="9"/>
      <c r="N145" s="10">
        <f t="shared" si="33"/>
        <v>-95.82</v>
      </c>
      <c r="O145" s="8">
        <f>IFERROR(N145/N444, "NA")</f>
        <v>-4.8208531330262644E-3</v>
      </c>
      <c r="P145" s="9"/>
      <c r="Q145" s="7">
        <v>116.59</v>
      </c>
      <c r="R145" s="8">
        <f>IFERROR(Q145/Q444, "NA")</f>
        <v>7.9754019150404571E-4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-116.59</v>
      </c>
      <c r="X145" s="8">
        <f>IFERROR(W145/W444, "NA")</f>
        <v>-6.2856970336081838E-3</v>
      </c>
      <c r="Y145" s="9"/>
      <c r="Z145" s="7">
        <v>23.96</v>
      </c>
      <c r="AA145" s="8">
        <f>IFERROR(Z145/Z444, "NA")</f>
        <v>2.1017105081490403E-4</v>
      </c>
      <c r="AB145" s="9"/>
      <c r="AC145" s="10">
        <f t="shared" si="35"/>
        <v>-92.63</v>
      </c>
      <c r="AD145" s="8">
        <f>IFERROR(AC145/AC444, "NA")</f>
        <v>-2.8780836555111289E-3</v>
      </c>
    </row>
    <row r="146" spans="1:30" ht="16.5" customHeight="1" x14ac:dyDescent="0.45">
      <c r="A146" s="12" t="s">
        <v>137</v>
      </c>
      <c r="B146" s="7">
        <v>270.33</v>
      </c>
      <c r="C146" s="8">
        <f>IFERROR(B146/B444, "NA")</f>
        <v>3.3599476786307547E-3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-270.33</v>
      </c>
      <c r="I146" s="8">
        <f>IFERROR(H146/H444, "NA")</f>
        <v>-3.0336356158449762E-2</v>
      </c>
      <c r="J146" s="9"/>
      <c r="K146" s="7">
        <v>378.51</v>
      </c>
      <c r="L146" s="8">
        <f>IFERROR(K146/K444, "NA")</f>
        <v>6.2480542405917681E-3</v>
      </c>
      <c r="M146" s="9"/>
      <c r="N146" s="10">
        <f t="shared" si="33"/>
        <v>108.18</v>
      </c>
      <c r="O146" s="8">
        <f>IFERROR(N146/N444, "NA")</f>
        <v>5.4427039441742996E-3</v>
      </c>
      <c r="P146" s="9"/>
      <c r="Q146" s="7">
        <v>339.58</v>
      </c>
      <c r="R146" s="8">
        <f>IFERROR(Q146/Q444, "NA")</f>
        <v>2.3229153291958473E-3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-339.58</v>
      </c>
      <c r="X146" s="8">
        <f>IFERROR(W146/W444, "NA")</f>
        <v>-1.8307719347050923E-2</v>
      </c>
      <c r="Y146" s="9"/>
      <c r="Z146" s="7">
        <v>744.23</v>
      </c>
      <c r="AA146" s="8">
        <f>IFERROR(Z146/Z444, "NA")</f>
        <v>6.5281970429038414E-3</v>
      </c>
      <c r="AB146" s="9"/>
      <c r="AC146" s="10">
        <f t="shared" si="35"/>
        <v>404.65000000000003</v>
      </c>
      <c r="AD146" s="8">
        <f>IFERROR(AC146/AC444, "NA")</f>
        <v>1.2572779350130394E-2</v>
      </c>
    </row>
    <row r="147" spans="1:30" ht="16.5" customHeight="1" x14ac:dyDescent="0.45">
      <c r="A147" s="12" t="s">
        <v>138</v>
      </c>
      <c r="B147" s="7">
        <v>5.86</v>
      </c>
      <c r="C147" s="8">
        <f>IFERROR(B147/B444, "NA")</f>
        <v>7.2834289190161009E-5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-5.86</v>
      </c>
      <c r="I147" s="8">
        <f>IFERROR(H147/H444, "NA")</f>
        <v>-6.5760754296051351E-4</v>
      </c>
      <c r="J147" s="9"/>
      <c r="K147" s="7">
        <v>18.7</v>
      </c>
      <c r="L147" s="8">
        <f>IFERROR(K147/K444, "NA")</f>
        <v>3.0868038968340618E-4</v>
      </c>
      <c r="M147" s="9"/>
      <c r="N147" s="10">
        <f t="shared" si="33"/>
        <v>12.84</v>
      </c>
      <c r="O147" s="8">
        <f>IFERROR(N147/N444, "NA")</f>
        <v>6.4600035721203543E-4</v>
      </c>
      <c r="P147" s="9"/>
      <c r="Q147" s="7">
        <v>10.63</v>
      </c>
      <c r="R147" s="8">
        <f>IFERROR(Q147/Q444, "NA")</f>
        <v>7.271508907872035E-5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-10.63</v>
      </c>
      <c r="X147" s="8">
        <f>IFERROR(W147/W444, "NA")</f>
        <v>-5.7309339966768165E-4</v>
      </c>
      <c r="Y147" s="9"/>
      <c r="Z147" s="7">
        <v>-219.92</v>
      </c>
      <c r="AA147" s="8">
        <f>IFERROR(Z147/Z444, "NA")</f>
        <v>-1.9290825331892193E-3</v>
      </c>
      <c r="AB147" s="9"/>
      <c r="AC147" s="10">
        <f t="shared" si="35"/>
        <v>-230.54999999999998</v>
      </c>
      <c r="AD147" s="8">
        <f>IFERROR(AC147/AC444, "NA")</f>
        <v>-7.1633616191092604E-3</v>
      </c>
    </row>
    <row r="148" spans="1:30" ht="16.5" customHeight="1" x14ac:dyDescent="0.45">
      <c r="A148" s="13" t="s">
        <v>139</v>
      </c>
      <c r="B148" s="14">
        <f>IFERROR(B143+B144+B145+B146+B147, "NA")</f>
        <v>1526.5599999999997</v>
      </c>
      <c r="C148" s="15">
        <f>IFERROR(B148/B444, "NA")</f>
        <v>1.8973705205824601E-2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-1526.5599999999997</v>
      </c>
      <c r="I148" s="15">
        <f>IFERROR(H148/H444, "NA")</f>
        <v>-0.17131013153273059</v>
      </c>
      <c r="J148" s="2"/>
      <c r="K148" s="14">
        <f>IFERROR(K143+K144+K145+K146+K147, "NA")</f>
        <v>893.84</v>
      </c>
      <c r="L148" s="15">
        <f>IFERROR(K148/K444, "NA")</f>
        <v>1.4754592487412609E-2</v>
      </c>
      <c r="M148" s="2"/>
      <c r="N148" s="14">
        <f t="shared" si="33"/>
        <v>-632.71999999999969</v>
      </c>
      <c r="O148" s="15">
        <f>IFERROR(N148/N444, "NA")</f>
        <v>-3.1833126636697733E-2</v>
      </c>
      <c r="P148" s="2"/>
      <c r="Q148" s="14">
        <f>IFERROR(Q143+Q144+Q145+Q146+Q147, "NA")</f>
        <v>2302.25</v>
      </c>
      <c r="R148" s="15">
        <f>IFERROR(Q148/Q444, "NA")</f>
        <v>1.574866545921768E-2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-2302.25</v>
      </c>
      <c r="X148" s="15">
        <f>IFERROR(W148/W444, "NA")</f>
        <v>-0.12412081649905173</v>
      </c>
      <c r="Y148" s="2"/>
      <c r="Z148" s="14">
        <f>IFERROR(Z143+Z144+Z145+Z146+Z147, "NA")</f>
        <v>1670.5</v>
      </c>
      <c r="AA148" s="15">
        <f>IFERROR(Z148/Z444, "NA")</f>
        <v>1.4653202854186026E-2</v>
      </c>
      <c r="AB148" s="2"/>
      <c r="AC148" s="14">
        <f t="shared" si="35"/>
        <v>-631.75</v>
      </c>
      <c r="AD148" s="15">
        <f>IFERROR(AC148/AC444, "NA")</f>
        <v>-1.9628946878647909E-2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19870.270000000004</v>
      </c>
      <c r="C149" s="15">
        <f>IFERROR(B149/B444, "NA")</f>
        <v>0.24696876987484315</v>
      </c>
      <c r="D149" s="2"/>
      <c r="E149" s="14">
        <f>IFERROR(E127+E129+E130+E131+E132+E133+E134+E135+E136+E137+E138+E139+E140+E143+E144+E145+E146+E147, "NA")</f>
        <v>16598.560000000001</v>
      </c>
      <c r="F149" s="15">
        <f>IFERROR(E149/E444, "NA")</f>
        <v>0.23199999105464605</v>
      </c>
      <c r="G149" s="2"/>
      <c r="H149" s="14">
        <f t="shared" si="32"/>
        <v>-3271.7100000000028</v>
      </c>
      <c r="I149" s="15">
        <f>IFERROR(H149/H444, "NA")</f>
        <v>-0.36715037105449549</v>
      </c>
      <c r="J149" s="2"/>
      <c r="K149" s="14">
        <f>IFERROR(K127+K129+K130+K131+K132+K133+K134+K135+K136+K137+K138+K139+K140+K143+K144+K145+K146+K147, "NA")</f>
        <v>14662.220000000005</v>
      </c>
      <c r="L149" s="15">
        <f>IFERROR(K149/K444, "NA")</f>
        <v>0.2420288654130392</v>
      </c>
      <c r="M149" s="2"/>
      <c r="N149" s="14">
        <f t="shared" si="33"/>
        <v>-5208.0499999999993</v>
      </c>
      <c r="O149" s="15">
        <f>IFERROR(N149/N444, "NA")</f>
        <v>-0.26202509037212934</v>
      </c>
      <c r="P149" s="2"/>
      <c r="Q149" s="14">
        <f>IFERROR(Q127+Q129+Q130+Q131+Q132+Q133+Q134+Q135+Q136+Q137+Q138+Q139+Q140+Q143+Q144+Q145+Q146+Q147, "NA")</f>
        <v>36228.109999999986</v>
      </c>
      <c r="R149" s="15">
        <f>IFERROR(Q149/Q444, "NA")</f>
        <v>0.24782034297306477</v>
      </c>
      <c r="S149" s="2"/>
      <c r="T149" s="14">
        <f>IFERROR(T127+T129+T130+T131+T132+T133+T134+T135+T136+T137+T138+T139+T140+T143+T144+T145+T146+T147, "NA")</f>
        <v>30734</v>
      </c>
      <c r="U149" s="15">
        <f>IFERROR(T149/T444, "NA")</f>
        <v>0.24078936039141161</v>
      </c>
      <c r="V149" s="2"/>
      <c r="W149" s="14">
        <f t="shared" si="34"/>
        <v>-5494.109999999986</v>
      </c>
      <c r="X149" s="15">
        <f>IFERROR(W149/W444, "NA")</f>
        <v>-0.29620302709766677</v>
      </c>
      <c r="Y149" s="2"/>
      <c r="Z149" s="14">
        <f>IFERROR(Z127+Z129+Z130+Z131+Z132+Z133+Z134+Z135+Z136+Z137+Z138+Z139+Z140+Z143+Z144+Z145+Z146+Z147, "NA")</f>
        <v>28613.89</v>
      </c>
      <c r="AA149" s="15">
        <f>IFERROR(Z149/Z444, "NA")</f>
        <v>0.25099379504182279</v>
      </c>
      <c r="AB149" s="2"/>
      <c r="AC149" s="14">
        <f t="shared" si="35"/>
        <v>-7614.2199999999866</v>
      </c>
      <c r="AD149" s="15">
        <f>IFERROR(AC149/AC444, "NA")</f>
        <v>-0.23657953288854486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1931.73</v>
      </c>
      <c r="F153" s="8">
        <f>IFERROR(E153/E444, "NA")</f>
        <v>2.7000013418030926E-2</v>
      </c>
      <c r="G153" s="9"/>
      <c r="H153" s="10">
        <f t="shared" ref="H153:H158" si="36">IFERROR(-(B153-E153), "NA")</f>
        <v>1931.73</v>
      </c>
      <c r="I153" s="8">
        <f>IFERROR(H153/H444, "NA")</f>
        <v>0.21677819436230594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3446.24</v>
      </c>
      <c r="U153" s="8">
        <f>IFERROR(T153/T444, "NA")</f>
        <v>2.6999997571266292E-2</v>
      </c>
      <c r="V153" s="9"/>
      <c r="W153" s="10">
        <f t="shared" ref="W153:W158" si="38">IFERROR(-(Q153-T153), "NA")</f>
        <v>3446.24</v>
      </c>
      <c r="X153" s="8">
        <f>IFERROR(W153/W444, "NA")</f>
        <v>0.1857965566952729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2813.4</v>
      </c>
      <c r="C154" s="8">
        <f>IFERROR(B154/B444, "NA")</f>
        <v>3.4967916247030544E-2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-2813.4</v>
      </c>
      <c r="I154" s="8">
        <f>IFERROR(H154/H444, "NA")</f>
        <v>-0.31571895245138376</v>
      </c>
      <c r="J154" s="9"/>
      <c r="K154" s="7">
        <v>2502.38</v>
      </c>
      <c r="L154" s="8">
        <f>IFERROR(K154/K444, "NA")</f>
        <v>4.1306718370907054E-2</v>
      </c>
      <c r="M154" s="9"/>
      <c r="N154" s="10">
        <f t="shared" si="37"/>
        <v>-311.02</v>
      </c>
      <c r="O154" s="8">
        <f>IFERROR(N154/N444, "NA")</f>
        <v>-1.5647899618386859E-2</v>
      </c>
      <c r="P154" s="9"/>
      <c r="Q154" s="7">
        <v>5073.37</v>
      </c>
      <c r="R154" s="8">
        <f>IFERROR(Q154/Q444, "NA")</f>
        <v>3.4704661475005401E-2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-5073.37</v>
      </c>
      <c r="X154" s="8">
        <f>IFERROR(W154/W444, "NA")</f>
        <v>-0.27351974233979542</v>
      </c>
      <c r="Y154" s="9"/>
      <c r="Z154" s="7">
        <v>4789.04</v>
      </c>
      <c r="AA154" s="8">
        <f>IFERROR(Z154/Z444, "NA")</f>
        <v>4.2008245792763271E-2</v>
      </c>
      <c r="AB154" s="9"/>
      <c r="AC154" s="10">
        <f t="shared" si="39"/>
        <v>-284.32999999999993</v>
      </c>
      <c r="AD154" s="8">
        <f>IFERROR(AC154/AC444, "NA")</f>
        <v>-8.8343466023046435E-3</v>
      </c>
    </row>
    <row r="155" spans="1:30" ht="16.5" customHeight="1" x14ac:dyDescent="0.45">
      <c r="A155" s="12" t="s">
        <v>144</v>
      </c>
      <c r="B155" s="7">
        <v>571.64</v>
      </c>
      <c r="C155" s="8">
        <f>IFERROR(B155/B444, "NA")</f>
        <v>7.1049476233214399E-3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-571.64</v>
      </c>
      <c r="I155" s="8">
        <f>IFERROR(H155/H444, "NA")</f>
        <v>-6.4149279156646408E-2</v>
      </c>
      <c r="J155" s="9"/>
      <c r="K155" s="7">
        <v>225.23</v>
      </c>
      <c r="L155" s="8">
        <f>IFERROR(K155/K444, "NA")</f>
        <v>3.7178654635504583E-3</v>
      </c>
      <c r="M155" s="9"/>
      <c r="N155" s="10">
        <f t="shared" si="37"/>
        <v>-346.40999999999997</v>
      </c>
      <c r="O155" s="8">
        <f>IFERROR(N155/N444, "NA")</f>
        <v>-1.7428425525063955E-2</v>
      </c>
      <c r="P155" s="9"/>
      <c r="Q155" s="7">
        <v>1044.8499999999999</v>
      </c>
      <c r="R155" s="8">
        <f>IFERROR(Q155/Q444, "NA")</f>
        <v>7.1473528526717735E-3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-1044.8499999999999</v>
      </c>
      <c r="X155" s="8">
        <f>IFERROR(W155/W444, "NA")</f>
        <v>-5.633082207363848E-2</v>
      </c>
      <c r="Y155" s="9"/>
      <c r="Z155" s="7">
        <v>951.9</v>
      </c>
      <c r="AA155" s="8">
        <f>IFERROR(Z155/Z444, "NA")</f>
        <v>8.3498256790779275E-3</v>
      </c>
      <c r="AB155" s="9"/>
      <c r="AC155" s="10">
        <f t="shared" si="39"/>
        <v>-92.949999999999932</v>
      </c>
      <c r="AD155" s="8">
        <f>IFERROR(AC155/AC444, "NA")</f>
        <v>-2.8880262957978976E-3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1.1493619694606376E-3</v>
      </c>
      <c r="AB156" s="9"/>
      <c r="AC156" s="10">
        <f t="shared" si="39"/>
        <v>131.03</v>
      </c>
      <c r="AD156" s="8">
        <f>IFERROR(AC156/AC444, "NA")</f>
        <v>4.0712004899236022E-3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3385.04</v>
      </c>
      <c r="C158" s="15">
        <f>IFERROR(B158/B444, "NA")</f>
        <v>4.207286387035198E-2</v>
      </c>
      <c r="D158" s="2"/>
      <c r="E158" s="14">
        <f>IFERROR(E153+E154+E155+E156+E157, "NA")</f>
        <v>1931.73</v>
      </c>
      <c r="F158" s="15">
        <f>IFERROR(E158/E444, "NA")</f>
        <v>2.7000013418030926E-2</v>
      </c>
      <c r="G158" s="2"/>
      <c r="H158" s="14">
        <f t="shared" si="36"/>
        <v>-1453.31</v>
      </c>
      <c r="I158" s="15">
        <f>IFERROR(H158/H444, "NA")</f>
        <v>-0.16309003724572421</v>
      </c>
      <c r="J158" s="2"/>
      <c r="K158" s="14">
        <f>IFERROR(K153+K154+K155+K156+K157, "NA")</f>
        <v>2727.61</v>
      </c>
      <c r="L158" s="15">
        <f>IFERROR(K158/K444, "NA")</f>
        <v>4.5024583834457517E-2</v>
      </c>
      <c r="M158" s="2"/>
      <c r="N158" s="14">
        <f t="shared" si="37"/>
        <v>-657.42999999999984</v>
      </c>
      <c r="O158" s="15">
        <f>IFERROR(N158/N444, "NA")</f>
        <v>-3.307632514345081E-2</v>
      </c>
      <c r="P158" s="2"/>
      <c r="Q158" s="14">
        <f>IFERROR(Q153+Q154+Q155+Q156+Q157, "NA")</f>
        <v>6118.2199999999993</v>
      </c>
      <c r="R158" s="15">
        <f>IFERROR(Q158/Q444, "NA")</f>
        <v>4.1852014327677177E-2</v>
      </c>
      <c r="S158" s="2"/>
      <c r="T158" s="14">
        <f>IFERROR(T153+T154+T155+T156+T157, "NA")</f>
        <v>3446.24</v>
      </c>
      <c r="U158" s="15">
        <f>IFERROR(T158/T444, "NA")</f>
        <v>2.6999997571266292E-2</v>
      </c>
      <c r="V158" s="2"/>
      <c r="W158" s="14">
        <f t="shared" si="38"/>
        <v>-2671.9799999999996</v>
      </c>
      <c r="X158" s="15">
        <f>IFERROR(W158/W444, "NA")</f>
        <v>-0.14405400771816101</v>
      </c>
      <c r="Y158" s="2"/>
      <c r="Z158" s="14">
        <f>IFERROR(Z153+Z154+Z155+Z156+Z157, "NA")</f>
        <v>5871.9699999999993</v>
      </c>
      <c r="AA158" s="15">
        <f>IFERROR(Z158/Z444, "NA")</f>
        <v>5.1507433441301834E-2</v>
      </c>
      <c r="AB158" s="2"/>
      <c r="AC158" s="14">
        <f t="shared" si="39"/>
        <v>-246.25</v>
      </c>
      <c r="AD158" s="15">
        <f>IFERROR(AC158/AC444, "NA")</f>
        <v>-7.6511724081789433E-3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274.02</v>
      </c>
      <c r="C161" s="8">
        <f>IFERROR(B161/B444, "NA")</f>
        <v>3.4058109085132967E-3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-274.02</v>
      </c>
      <c r="I161" s="8">
        <f>IFERROR(H161/H444, "NA")</f>
        <v>-3.0750446915023873E-2</v>
      </c>
      <c r="J161" s="9"/>
      <c r="K161" s="7">
        <v>344.3</v>
      </c>
      <c r="L161" s="8">
        <f>IFERROR(K161/K444, "NA")</f>
        <v>5.6833507041709492E-3</v>
      </c>
      <c r="M161" s="9"/>
      <c r="N161" s="10">
        <f t="shared" si="41"/>
        <v>70.28000000000003</v>
      </c>
      <c r="O161" s="8">
        <f>IFERROR(N161/N444, "NA")</f>
        <v>3.5358960362041956E-3</v>
      </c>
      <c r="P161" s="9"/>
      <c r="Q161" s="7">
        <v>534.72</v>
      </c>
      <c r="R161" s="8">
        <f>IFERROR(Q161/Q444, "NA")</f>
        <v>3.6577810378338048E-3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-534.72</v>
      </c>
      <c r="X161" s="8">
        <f>IFERROR(W161/W444, "NA")</f>
        <v>-2.8828269301063282E-2</v>
      </c>
      <c r="Y161" s="9"/>
      <c r="Z161" s="7">
        <v>673.26</v>
      </c>
      <c r="AA161" s="8">
        <f>IFERROR(Z161/Z444, "NA")</f>
        <v>5.9056661799516815E-3</v>
      </c>
      <c r="AB161" s="9"/>
      <c r="AC161" s="10">
        <f t="shared" si="43"/>
        <v>138.53999999999996</v>
      </c>
      <c r="AD161" s="8">
        <f>IFERROR(AC161/AC444, "NA")</f>
        <v>4.3045418291537485E-3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274.02</v>
      </c>
      <c r="C166" s="15">
        <f>IFERROR(B166/B444, "NA")</f>
        <v>3.4058109085132967E-3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-274.02</v>
      </c>
      <c r="I166" s="15">
        <f>IFERROR(H166/H444, "NA")</f>
        <v>-3.0750446915023873E-2</v>
      </c>
      <c r="J166" s="2"/>
      <c r="K166" s="14">
        <f>IFERROR(K160+K161+K162+K163+K164+K165, "NA")</f>
        <v>344.3</v>
      </c>
      <c r="L166" s="15">
        <f>IFERROR(K166/K444, "NA")</f>
        <v>5.6833507041709492E-3</v>
      </c>
      <c r="M166" s="2"/>
      <c r="N166" s="14">
        <f t="shared" si="41"/>
        <v>70.28000000000003</v>
      </c>
      <c r="O166" s="15">
        <f>IFERROR(N166/N444, "NA")</f>
        <v>3.5358960362041956E-3</v>
      </c>
      <c r="P166" s="2"/>
      <c r="Q166" s="14">
        <f>IFERROR(Q160+Q161+Q162+Q163+Q164+Q165, "NA")</f>
        <v>534.72</v>
      </c>
      <c r="R166" s="15">
        <f>IFERROR(Q166/Q444, "NA")</f>
        <v>3.6577810378338048E-3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-534.72</v>
      </c>
      <c r="X166" s="15">
        <f>IFERROR(W166/W444, "NA")</f>
        <v>-2.8828269301063282E-2</v>
      </c>
      <c r="Y166" s="2"/>
      <c r="Z166" s="14">
        <f>IFERROR(Z160+Z161+Z162+Z163+Z164+Z165, "NA")</f>
        <v>673.26</v>
      </c>
      <c r="AA166" s="15">
        <f>IFERROR(Z166/Z444, "NA")</f>
        <v>5.9056661799516815E-3</v>
      </c>
      <c r="AB166" s="2"/>
      <c r="AC166" s="14">
        <f t="shared" si="43"/>
        <v>138.53999999999996</v>
      </c>
      <c r="AD166" s="15">
        <f>IFERROR(AC166/AC444, "NA")</f>
        <v>4.3045418291537485E-3</v>
      </c>
    </row>
    <row r="167" spans="1:30" ht="16.5" customHeight="1" x14ac:dyDescent="0.45">
      <c r="A167" s="6" t="s">
        <v>155</v>
      </c>
      <c r="B167" s="7">
        <v>255.19</v>
      </c>
      <c r="C167" s="8">
        <f>IFERROR(B167/B444, "NA")</f>
        <v>3.1717717164568577E-3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-255.19</v>
      </c>
      <c r="I167" s="8">
        <f>IFERROR(H167/H444, "NA")</f>
        <v>-2.8637349639606388E-2</v>
      </c>
      <c r="J167" s="9"/>
      <c r="K167" s="7">
        <v>257.35000000000002</v>
      </c>
      <c r="L167" s="8">
        <f>IFERROR(K167/K444, "NA")</f>
        <v>4.248069427006662E-3</v>
      </c>
      <c r="M167" s="9"/>
      <c r="N167" s="10">
        <f t="shared" si="41"/>
        <v>2.160000000000025</v>
      </c>
      <c r="O167" s="8">
        <f>IFERROR(N167/N444, "NA")</f>
        <v>1.0867295728800722E-4</v>
      </c>
      <c r="P167" s="9"/>
      <c r="Q167" s="7">
        <v>521.75</v>
      </c>
      <c r="R167" s="8">
        <f>IFERROR(Q167/Q444, "NA")</f>
        <v>3.5690590523821584E-3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-521.75</v>
      </c>
      <c r="X167" s="8">
        <f>IFERROR(W167/W444, "NA")</f>
        <v>-2.81290198755045E-2</v>
      </c>
      <c r="Y167" s="9"/>
      <c r="Z167" s="7">
        <v>610.28</v>
      </c>
      <c r="AA167" s="8">
        <f>IFERROR(Z167/Z444, "NA")</f>
        <v>5.3532215730934737E-3</v>
      </c>
      <c r="AB167" s="9"/>
      <c r="AC167" s="10">
        <f t="shared" si="43"/>
        <v>88.529999999999973</v>
      </c>
      <c r="AD167" s="8">
        <f>IFERROR(AC167/AC444, "NA")</f>
        <v>2.7506935768368797E-3</v>
      </c>
    </row>
    <row r="168" spans="1:30" ht="16.5" customHeight="1" x14ac:dyDescent="0.45">
      <c r="A168" s="6" t="s">
        <v>156</v>
      </c>
      <c r="B168" s="7">
        <v>35.6</v>
      </c>
      <c r="C168" s="8">
        <f>IFERROR(B168/B444, "NA")</f>
        <v>4.4247452136002253E-4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-35.6</v>
      </c>
      <c r="I168" s="8">
        <f>IFERROR(H168/H444, "NA")</f>
        <v>-3.9950219333437344E-3</v>
      </c>
      <c r="J168" s="9"/>
      <c r="K168" s="7">
        <v>38.4</v>
      </c>
      <c r="L168" s="8">
        <f>IFERROR(K168/K444, "NA")</f>
        <v>6.3386775207715487E-4</v>
      </c>
      <c r="M168" s="9"/>
      <c r="N168" s="10">
        <f t="shared" si="41"/>
        <v>2.7999999999999972</v>
      </c>
      <c r="O168" s="8">
        <f>IFERROR(N168/N444, "NA")</f>
        <v>1.4087235204000761E-4</v>
      </c>
      <c r="P168" s="9"/>
      <c r="Q168" s="7">
        <v>65.400000000000006</v>
      </c>
      <c r="R168" s="8">
        <f>IFERROR(Q168/Q444, "NA")</f>
        <v>4.4737223196127102E-4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-65.400000000000006</v>
      </c>
      <c r="X168" s="8">
        <f>IFERROR(W168/W444, "NA")</f>
        <v>-3.5258991851614655E-3</v>
      </c>
      <c r="Y168" s="9"/>
      <c r="Z168" s="7">
        <v>59.2</v>
      </c>
      <c r="AA168" s="8">
        <f>IFERROR(Z168/Z444, "NA")</f>
        <v>5.1928740435068109E-4</v>
      </c>
      <c r="AB168" s="9"/>
      <c r="AC168" s="10">
        <f t="shared" si="43"/>
        <v>-6.2000000000000028</v>
      </c>
      <c r="AD168" s="8">
        <f>IFERROR(AC168/AC444, "NA")</f>
        <v>-1.926386555561806E-4</v>
      </c>
    </row>
    <row r="169" spans="1:30" ht="16.5" customHeight="1" x14ac:dyDescent="0.45">
      <c r="A169" s="6" t="s">
        <v>157</v>
      </c>
      <c r="B169" s="7">
        <v>-1257.69</v>
      </c>
      <c r="C169" s="8">
        <f>IFERROR(B169/B444, "NA")</f>
        <v>-1.5631903954193446E-2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1257.69</v>
      </c>
      <c r="I169" s="8">
        <f>IFERROR(H169/H444, "NA")</f>
        <v>0.14113761616143486</v>
      </c>
      <c r="J169" s="9"/>
      <c r="K169" s="7">
        <v>-968.61</v>
      </c>
      <c r="L169" s="8">
        <f>IFERROR(K169/K444, "NA")</f>
        <v>-1.5988818836964923E-2</v>
      </c>
      <c r="M169" s="9"/>
      <c r="N169" s="10">
        <f t="shared" si="41"/>
        <v>289.08000000000004</v>
      </c>
      <c r="O169" s="8">
        <f>IFERROR(N169/N444, "NA")</f>
        <v>1.4544064117044802E-2</v>
      </c>
      <c r="P169" s="9"/>
      <c r="Q169" s="7">
        <v>-3564.87</v>
      </c>
      <c r="R169" s="8">
        <f>IFERROR(Q169/Q444, "NA")</f>
        <v>-2.4385685757672419E-2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3564.87</v>
      </c>
      <c r="X169" s="8">
        <f>IFERROR(W169/W444, "NA")</f>
        <v>0.19219223590529896</v>
      </c>
      <c r="Y169" s="9"/>
      <c r="Z169" s="7">
        <v>-3871.23</v>
      </c>
      <c r="AA169" s="8">
        <f>IFERROR(Z169/Z444, "NA")</f>
        <v>-3.3957448958521742E-2</v>
      </c>
      <c r="AB169" s="9"/>
      <c r="AC169" s="10">
        <f t="shared" si="43"/>
        <v>-306.36000000000013</v>
      </c>
      <c r="AD169" s="8">
        <f>IFERROR(AC169/AC444, "NA")</f>
        <v>-9.5188352445470144E-3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2692.16</v>
      </c>
      <c r="C170" s="15">
        <f>IFERROR(B170/B444, "NA")</f>
        <v>3.3461017062488711E-2</v>
      </c>
      <c r="D170" s="2"/>
      <c r="E170" s="14">
        <f>IFERROR(E151+E153+E154+E155+E156+E157+E160+E161+E162+E163+E164+E165+E167+E168+E169, "NA")</f>
        <v>1931.73</v>
      </c>
      <c r="F170" s="15">
        <f>IFERROR(E170/E444, "NA")</f>
        <v>2.7000013418030926E-2</v>
      </c>
      <c r="G170" s="2"/>
      <c r="H170" s="14">
        <f t="shared" si="40"/>
        <v>-760.42999999999984</v>
      </c>
      <c r="I170" s="15">
        <f>IFERROR(H170/H444, "NA")</f>
        <v>-8.5335239572263341E-2</v>
      </c>
      <c r="J170" s="2"/>
      <c r="K170" s="14">
        <f>IFERROR(K151+K153+K154+K155+K156+K157+K160+K161+K162+K163+K164+K165+K167+K168+K169, "NA")</f>
        <v>2399.0500000000002</v>
      </c>
      <c r="L170" s="15">
        <f>IFERROR(K170/K444, "NA")</f>
        <v>3.9601052880747362E-2</v>
      </c>
      <c r="M170" s="2"/>
      <c r="N170" s="14">
        <f t="shared" si="41"/>
        <v>-293.10999999999967</v>
      </c>
      <c r="O170" s="15">
        <f>IFERROR(N170/N444, "NA")</f>
        <v>-1.4746819680873793E-2</v>
      </c>
      <c r="P170" s="2"/>
      <c r="Q170" s="14">
        <f>IFERROR(Q151+Q153+Q154+Q155+Q156+Q157+Q160+Q161+Q162+Q163+Q164+Q165+Q167+Q168+Q169, "NA")</f>
        <v>3675.2199999999993</v>
      </c>
      <c r="R170" s="15">
        <f>IFERROR(Q170/Q444, "NA")</f>
        <v>2.5140540892181991E-2</v>
      </c>
      <c r="S170" s="2"/>
      <c r="T170" s="14">
        <f>IFERROR(T151+T153+T154+T155+T156+T157+T160+T161+T162+T163+T164+T165+T167+T168+T169, "NA")</f>
        <v>3446.24</v>
      </c>
      <c r="U170" s="15">
        <f>IFERROR(T170/T444, "NA")</f>
        <v>2.6999997571266292E-2</v>
      </c>
      <c r="V170" s="2"/>
      <c r="W170" s="14">
        <f t="shared" si="42"/>
        <v>-228.97999999999956</v>
      </c>
      <c r="X170" s="15">
        <f>IFERROR(W170/W444, "NA")</f>
        <v>-1.2344960174591295E-2</v>
      </c>
      <c r="Y170" s="2"/>
      <c r="Z170" s="14">
        <f>IFERROR(Z151+Z153+Z154+Z155+Z156+Z157+Z160+Z161+Z162+Z163+Z164+Z165+Z167+Z168+Z169, "NA")</f>
        <v>3343.4799999999991</v>
      </c>
      <c r="AA170" s="15">
        <f>IFERROR(Z170/Z444, "NA")</f>
        <v>2.9328159640175926E-2</v>
      </c>
      <c r="AB170" s="2"/>
      <c r="AC170" s="14">
        <f t="shared" si="43"/>
        <v>-331.74000000000024</v>
      </c>
      <c r="AD170" s="15">
        <f>IFERROR(AC170/AC444, "NA")</f>
        <v>-1.030741090229151E-2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22562.430000000004</v>
      </c>
      <c r="C171" s="15">
        <f>IFERROR(B171/B444, "NA")</f>
        <v>0.28042978693733184</v>
      </c>
      <c r="D171" s="2"/>
      <c r="E171" s="14">
        <f>IFERROR(E127+E129+E130+E131+E132+E133+E134+E135+E136+E137+E138+E139+E140+E143+E144+E145+E146+E147+E151+E153+E154+E155+E156+E157+E160+E161+E162+E163+E164+E165+E167+E168+E169, "NA")</f>
        <v>18530.29</v>
      </c>
      <c r="F171" s="15">
        <f>IFERROR(E171/E444, "NA")</f>
        <v>0.25900000447267696</v>
      </c>
      <c r="G171" s="2"/>
      <c r="H171" s="14">
        <f t="shared" si="40"/>
        <v>-4032.1400000000031</v>
      </c>
      <c r="I171" s="15">
        <f>IFERROR(H171/H444, "NA")</f>
        <v>-0.45248561062675885</v>
      </c>
      <c r="J171" s="2"/>
      <c r="K171" s="14">
        <f>IFERROR(K127+K129+K130+K131+K132+K133+K134+K135+K136+K137+K138+K139+K140+K143+K144+K145+K146+K147+K151+K153+K154+K155+K156+K157+K160+K161+K162+K163+K164+K165+K167+K168+K169, "NA")</f>
        <v>17061.270000000004</v>
      </c>
      <c r="L171" s="15">
        <f>IFERROR(K171/K444, "NA")</f>
        <v>0.28162991829378653</v>
      </c>
      <c r="M171" s="2"/>
      <c r="N171" s="14">
        <f t="shared" si="41"/>
        <v>-5501.16</v>
      </c>
      <c r="O171" s="15">
        <f>IFERROR(N171/N444, "NA")</f>
        <v>-0.27677191005300317</v>
      </c>
      <c r="P171" s="2"/>
      <c r="Q171" s="14">
        <f>IFERROR(Q127+Q129+Q130+Q131+Q132+Q133+Q134+Q135+Q136+Q137+Q138+Q139+Q140+Q143+Q144+Q145+Q146+Q147+Q151+Q153+Q154+Q155+Q156+Q157+Q160+Q161+Q162+Q163+Q164+Q165+Q167+Q168+Q169, "NA")</f>
        <v>39903.329999999987</v>
      </c>
      <c r="R171" s="15">
        <f>IFERROR(Q171/Q444, "NA")</f>
        <v>0.27296088386524675</v>
      </c>
      <c r="S171" s="2"/>
      <c r="T171" s="14">
        <f>IFERROR(T127+T129+T130+T131+T132+T133+T134+T135+T136+T137+T138+T139+T140+T143+T144+T145+T146+T147+T151+T153+T154+T155+T156+T157+T160+T161+T162+T163+T164+T165+T167+T168+T169, "NA")</f>
        <v>34180.239999999998</v>
      </c>
      <c r="U171" s="15">
        <f>IFERROR(T171/T444, "NA")</f>
        <v>0.26778935796267789</v>
      </c>
      <c r="V171" s="2"/>
      <c r="W171" s="14">
        <f t="shared" si="42"/>
        <v>-5723.0899999999892</v>
      </c>
      <c r="X171" s="15">
        <f>IFERROR(W171/W444, "NA")</f>
        <v>-0.3085479872722583</v>
      </c>
      <c r="Y171" s="2"/>
      <c r="Z171" s="14">
        <f>IFERROR(Z127+Z129+Z130+Z131+Z132+Z133+Z134+Z135+Z136+Z137+Z138+Z139+Z140+Z143+Z144+Z145+Z146+Z147+Z151+Z153+Z154+Z155+Z156+Z157+Z160+Z161+Z162+Z163+Z164+Z165+Z167+Z168+Z169, "NA")</f>
        <v>31957.37</v>
      </c>
      <c r="AA171" s="15">
        <f>IFERROR(Z171/Z444, "NA")</f>
        <v>0.28032195468199872</v>
      </c>
      <c r="AB171" s="2"/>
      <c r="AC171" s="14">
        <f t="shared" si="43"/>
        <v>-7945.9599999999882</v>
      </c>
      <c r="AD171" s="15">
        <f>IFERROR(AC171/AC444, "NA")</f>
        <v>-0.24688694379083642</v>
      </c>
    </row>
    <row r="172" spans="1:30" ht="16.5" customHeight="1" x14ac:dyDescent="0.45">
      <c r="A172" s="22" t="s">
        <v>160</v>
      </c>
      <c r="B172" s="23">
        <f>IFERROR(B124-B171, "NA")</f>
        <v>57894.179999999993</v>
      </c>
      <c r="C172" s="24">
        <f>IFERROR(B172/B444, "NA")</f>
        <v>0.71957021306266811</v>
      </c>
      <c r="D172" s="25"/>
      <c r="E172" s="23">
        <f>IFERROR(E124-E171, "NA")</f>
        <v>53015.230000000018</v>
      </c>
      <c r="F172" s="24">
        <f>IFERROR(E172/E444, "NA")</f>
        <v>0.74099999552732321</v>
      </c>
      <c r="G172" s="25"/>
      <c r="H172" s="23">
        <f>IFERROR(B172-E172, "NA")</f>
        <v>4878.9499999999753</v>
      </c>
      <c r="I172" s="24">
        <f>IFERROR(H172/H444, "NA")</f>
        <v>0.54751438937323904</v>
      </c>
      <c r="J172" s="25"/>
      <c r="K172" s="23">
        <f>IFERROR(K124-K171, "NA")</f>
        <v>43519.19</v>
      </c>
      <c r="L172" s="24">
        <f>IFERROR(K172/K444, "NA")</f>
        <v>0.71837008170621353</v>
      </c>
      <c r="M172" s="25"/>
      <c r="N172" s="23">
        <f>IFERROR(B172-K172, "NA")</f>
        <v>14374.989999999991</v>
      </c>
      <c r="O172" s="24">
        <f>IFERROR(N172/N444, "NA")</f>
        <v>0.72322808994699628</v>
      </c>
      <c r="P172" s="25"/>
      <c r="Q172" s="23">
        <f>IFERROR(Q124-Q171, "NA")</f>
        <v>106283.65999999997</v>
      </c>
      <c r="R172" s="24">
        <f>IFERROR(Q172/Q444, "NA")</f>
        <v>0.72703911613475303</v>
      </c>
      <c r="S172" s="25"/>
      <c r="T172" s="23">
        <f>IFERROR(T124-T171, "NA")</f>
        <v>93458.290000000008</v>
      </c>
      <c r="U172" s="24">
        <f>IFERROR(T172/T444, "NA")</f>
        <v>0.73221064203732222</v>
      </c>
      <c r="V172" s="25"/>
      <c r="W172" s="23">
        <f>IFERROR(Q172-T172, "NA")</f>
        <v>12825.369999999966</v>
      </c>
      <c r="X172" s="24">
        <f>IFERROR(W172/W444, "NA")</f>
        <v>0.69145201272773982</v>
      </c>
      <c r="Y172" s="25"/>
      <c r="Z172" s="23">
        <f>IFERROR(Z124-Z171, "NA")</f>
        <v>82045.010000000009</v>
      </c>
      <c r="AA172" s="24">
        <f>IFERROR(Z172/Z444, "NA")</f>
        <v>0.71967804531800128</v>
      </c>
      <c r="AB172" s="25"/>
      <c r="AC172" s="23">
        <f>IFERROR(Q172-Z172, "NA")</f>
        <v>24238.649999999965</v>
      </c>
      <c r="AD172" s="24">
        <f>IFERROR(AC172/AC444, "NA")</f>
        <v>0.75311305620916258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7.0099896080632773E-2</v>
      </c>
      <c r="D178" s="9"/>
      <c r="E178" s="7">
        <v>5576.92</v>
      </c>
      <c r="F178" s="8">
        <f>IFERROR(E178/E444, "NA")</f>
        <v>7.7949255243375121E-2</v>
      </c>
      <c r="G178" s="9"/>
      <c r="H178" s="10">
        <f t="shared" si="44"/>
        <v>-63.079999999999927</v>
      </c>
      <c r="I178" s="8">
        <f>IFERROR(H178/H444, "NA")</f>
        <v>-7.0788197627899563E-3</v>
      </c>
      <c r="J178" s="9"/>
      <c r="K178" s="7">
        <v>5423.08</v>
      </c>
      <c r="L178" s="8">
        <f>IFERROR(K178/K444, "NA")</f>
        <v>8.9518633566004618E-2</v>
      </c>
      <c r="M178" s="9"/>
      <c r="N178" s="10">
        <f t="shared" si="45"/>
        <v>-216.92000000000007</v>
      </c>
      <c r="O178" s="8">
        <f>IFERROR(N178/N444, "NA")</f>
        <v>-1.0913582358756602E-2</v>
      </c>
      <c r="P178" s="9"/>
      <c r="Q178" s="7">
        <v>11280</v>
      </c>
      <c r="R178" s="8">
        <f>IFERROR(Q178/Q444, "NA")</f>
        <v>7.7161449182310965E-2</v>
      </c>
      <c r="S178" s="9"/>
      <c r="T178" s="7">
        <v>11153.84</v>
      </c>
      <c r="U178" s="8">
        <f>IFERROR(T178/T444, "NA")</f>
        <v>8.7386152128201416E-2</v>
      </c>
      <c r="V178" s="9"/>
      <c r="W178" s="10">
        <f t="shared" si="46"/>
        <v>-126.15999999999985</v>
      </c>
      <c r="X178" s="8">
        <f>IFERROR(W178/W444, "NA")</f>
        <v>-6.8016428318038212E-3</v>
      </c>
      <c r="Y178" s="9"/>
      <c r="Z178" s="7">
        <v>10846.16</v>
      </c>
      <c r="AA178" s="8">
        <f>IFERROR(Z178/Z444, "NA")</f>
        <v>9.5139768134665251E-2</v>
      </c>
      <c r="AB178" s="9"/>
      <c r="AC178" s="10">
        <f t="shared" si="47"/>
        <v>-433.84000000000015</v>
      </c>
      <c r="AD178" s="8">
        <f>IFERROR(AC178/AC444, "NA")</f>
        <v>-1.3479734568789255E-2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16499.47</v>
      </c>
      <c r="C180" s="8">
        <f>IFERROR(B180/B444, "NA")</f>
        <v>0.20507289581303514</v>
      </c>
      <c r="D180" s="9"/>
      <c r="E180" s="7">
        <v>15740.02</v>
      </c>
      <c r="F180" s="8">
        <f>IFERROR(E180/E444, "NA")</f>
        <v>0.22000007827184706</v>
      </c>
      <c r="G180" s="9"/>
      <c r="H180" s="10">
        <f t="shared" si="44"/>
        <v>-759.45000000000073</v>
      </c>
      <c r="I180" s="8">
        <f>IFERROR(H180/H444, "NA")</f>
        <v>-8.5225264249379262E-2</v>
      </c>
      <c r="J180" s="9"/>
      <c r="K180" s="7">
        <v>15062.39</v>
      </c>
      <c r="L180" s="8">
        <f>IFERROR(K180/K444, "NA")</f>
        <v>0.24863446068253692</v>
      </c>
      <c r="M180" s="9"/>
      <c r="N180" s="10">
        <f t="shared" si="45"/>
        <v>-1437.0800000000017</v>
      </c>
      <c r="O180" s="8">
        <f>IFERROR(N180/N444, "NA")</f>
        <v>-7.2301728453448053E-2</v>
      </c>
      <c r="P180" s="9"/>
      <c r="Q180" s="7">
        <v>30687.03</v>
      </c>
      <c r="R180" s="8">
        <f>IFERROR(Q180/Q444, "NA")</f>
        <v>0.20991628598413581</v>
      </c>
      <c r="S180" s="9"/>
      <c r="T180" s="7">
        <v>28417.040000000001</v>
      </c>
      <c r="U180" s="8">
        <f>IFERROR(T180/T444, "NA")</f>
        <v>0.22263684797999475</v>
      </c>
      <c r="V180" s="9"/>
      <c r="W180" s="10">
        <f t="shared" si="46"/>
        <v>-2269.989999999998</v>
      </c>
      <c r="X180" s="8">
        <f>IFERROR(W180/W444, "NA")</f>
        <v>-0.12238158855236494</v>
      </c>
      <c r="Y180" s="9"/>
      <c r="Z180" s="7">
        <v>28002.5</v>
      </c>
      <c r="AA180" s="8">
        <f>IFERROR(Z180/Z444, "NA")</f>
        <v>0.24563083682989775</v>
      </c>
      <c r="AB180" s="9"/>
      <c r="AC180" s="10">
        <f t="shared" si="47"/>
        <v>-2684.5299999999988</v>
      </c>
      <c r="AD180" s="8">
        <f>IFERROR(AC180/AC444, "NA")</f>
        <v>-8.3410362903263396E-2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0</v>
      </c>
      <c r="O181" s="8">
        <f>IFERROR(N181/N444, "NA")</f>
        <v>0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152.47</v>
      </c>
      <c r="AA181" s="8">
        <f>IFERROR(Z181/Z444, "NA")</f>
        <v>1.3374282186038571E-3</v>
      </c>
      <c r="AB181" s="9"/>
      <c r="AC181" s="10">
        <f t="shared" si="47"/>
        <v>152.47</v>
      </c>
      <c r="AD181" s="8">
        <f>IFERROR(AC181/AC444, "NA")</f>
        <v>4.7373573891372322E-3</v>
      </c>
    </row>
    <row r="182" spans="1:30" ht="16.5" customHeight="1" x14ac:dyDescent="0.45">
      <c r="A182" s="13" t="s">
        <v>167</v>
      </c>
      <c r="B182" s="14">
        <f>IFERROR(B177+B178+B179+B180+B181, "NA")</f>
        <v>22139.47</v>
      </c>
      <c r="C182" s="15">
        <f>IFERROR(B182/B444, "NA")</f>
        <v>0.27517279189366789</v>
      </c>
      <c r="D182" s="2"/>
      <c r="E182" s="14">
        <f>IFERROR(E177+E178+E179+E180+E181, "NA")</f>
        <v>21316.940000000002</v>
      </c>
      <c r="F182" s="15">
        <f>IFERROR(E182/E444, "NA")</f>
        <v>0.29794933351522224</v>
      </c>
      <c r="G182" s="2"/>
      <c r="H182" s="14">
        <f t="shared" si="44"/>
        <v>-822.52999999999884</v>
      </c>
      <c r="I182" s="15">
        <f>IFERROR(H182/H444, "NA")</f>
        <v>-9.230408401216901E-2</v>
      </c>
      <c r="J182" s="2"/>
      <c r="K182" s="14">
        <f>IFERROR(K177+K178+K179+K180+K181, "NA")</f>
        <v>20485.47</v>
      </c>
      <c r="L182" s="15">
        <f>IFERROR(K182/K444, "NA")</f>
        <v>0.33815309424854156</v>
      </c>
      <c r="M182" s="2"/>
      <c r="N182" s="14">
        <f t="shared" si="45"/>
        <v>-1654</v>
      </c>
      <c r="O182" s="15">
        <f>IFERROR(N182/N444, "NA")</f>
        <v>-8.3215310812204568E-2</v>
      </c>
      <c r="P182" s="2"/>
      <c r="Q182" s="14">
        <f>IFERROR(Q177+Q178+Q179+Q180+Q181, "NA")</f>
        <v>41967.03</v>
      </c>
      <c r="R182" s="15">
        <f>IFERROR(Q182/Q444, "NA")</f>
        <v>0.28707773516644675</v>
      </c>
      <c r="S182" s="2"/>
      <c r="T182" s="14">
        <f>IFERROR(T177+T178+T179+T180+T181, "NA")</f>
        <v>39570.880000000005</v>
      </c>
      <c r="U182" s="15">
        <f>IFERROR(T182/T444, "NA")</f>
        <v>0.31002300010819622</v>
      </c>
      <c r="V182" s="2"/>
      <c r="W182" s="14">
        <f t="shared" si="46"/>
        <v>-2396.1499999999942</v>
      </c>
      <c r="X182" s="15">
        <f>IFERROR(W182/W444, "NA")</f>
        <v>-0.12918323138416857</v>
      </c>
      <c r="Y182" s="2"/>
      <c r="Z182" s="14">
        <f>IFERROR(Z177+Z178+Z179+Z180+Z181, "NA")</f>
        <v>39001.130000000005</v>
      </c>
      <c r="AA182" s="15">
        <f>IFERROR(Z182/Z444, "NA")</f>
        <v>0.3421080331831669</v>
      </c>
      <c r="AB182" s="2"/>
      <c r="AC182" s="14">
        <f t="shared" si="47"/>
        <v>-2965.8999999999942</v>
      </c>
      <c r="AD182" s="15">
        <f>IFERROR(AC182/AC444, "NA")</f>
        <v>-9.2152740082915269E-2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6.2145297943823384E-3</v>
      </c>
      <c r="D184" s="9"/>
      <c r="E184" s="7">
        <v>500</v>
      </c>
      <c r="F184" s="8">
        <f>IFERROR(E184/E444, "NA")</f>
        <v>6.9885577741275757E-3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4.9520918131027731E-3</v>
      </c>
      <c r="M184" s="9"/>
      <c r="N184" s="10">
        <f t="shared" si="45"/>
        <v>-200</v>
      </c>
      <c r="O184" s="8">
        <f>IFERROR(N184/N444, "NA")</f>
        <v>-1.0062310860000553E-2</v>
      </c>
      <c r="P184" s="9"/>
      <c r="Q184" s="7">
        <v>1000</v>
      </c>
      <c r="R184" s="8">
        <f>IFERROR(Q184/Q444, "NA")</f>
        <v>6.8405540055240218E-3</v>
      </c>
      <c r="S184" s="9"/>
      <c r="T184" s="7">
        <v>1000</v>
      </c>
      <c r="U184" s="8">
        <f>IFERROR(T184/T444, "NA")</f>
        <v>7.8346248581834966E-3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5.2630480170677138E-3</v>
      </c>
      <c r="AB184" s="9"/>
      <c r="AC184" s="10">
        <f t="shared" si="47"/>
        <v>-400</v>
      </c>
      <c r="AD184" s="8">
        <f>IFERROR(AC184/AC444, "NA")</f>
        <v>-1.2428300358463259E-2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2065.71</v>
      </c>
      <c r="C186" s="8">
        <f>IFERROR(B186/B444, "NA")</f>
        <v>2.5674832683107083E-2</v>
      </c>
      <c r="D186" s="9"/>
      <c r="E186" s="7">
        <v>2752.12</v>
      </c>
      <c r="F186" s="8">
        <f>IFERROR(E186/E444, "NA")</f>
        <v>3.8466699242663965E-2</v>
      </c>
      <c r="G186" s="9"/>
      <c r="H186" s="10">
        <f t="shared" ref="H186:H197" si="48">IFERROR(-(B186-E186), "NA")</f>
        <v>686.40999999999985</v>
      </c>
      <c r="I186" s="8">
        <f>IFERROR(H186/H444, "NA")</f>
        <v>7.7028736102990783E-2</v>
      </c>
      <c r="J186" s="9"/>
      <c r="K186" s="7">
        <v>1940.53</v>
      </c>
      <c r="L186" s="8">
        <f>IFERROR(K186/K444, "NA")</f>
        <v>3.2032275753601076E-2</v>
      </c>
      <c r="M186" s="9"/>
      <c r="N186" s="10">
        <f t="shared" ref="N186:N197" si="49">IFERROR(-(B186-K186), "NA")</f>
        <v>-125.18000000000006</v>
      </c>
      <c r="O186" s="8">
        <f>IFERROR(N186/N444, "NA")</f>
        <v>-6.2980003672743487E-3</v>
      </c>
      <c r="P186" s="9"/>
      <c r="Q186" s="7">
        <v>3888.01</v>
      </c>
      <c r="R186" s="8">
        <f>IFERROR(Q186/Q444, "NA")</f>
        <v>2.6596142379017453E-2</v>
      </c>
      <c r="S186" s="9"/>
      <c r="T186" s="7">
        <v>5185.37</v>
      </c>
      <c r="U186" s="8">
        <f>IFERROR(T186/T444, "NA")</f>
        <v>4.0625428700878957E-2</v>
      </c>
      <c r="V186" s="9"/>
      <c r="W186" s="10">
        <f t="shared" ref="W186:W197" si="50">IFERROR(-(Q186-T186), "NA")</f>
        <v>1297.3599999999997</v>
      </c>
      <c r="X186" s="8">
        <f>IFERROR(W186/W444, "NA")</f>
        <v>6.9944351175245834E-2</v>
      </c>
      <c r="Y186" s="9"/>
      <c r="Z186" s="7">
        <v>3694.37</v>
      </c>
      <c r="AA186" s="8">
        <f>IFERROR(Z186/Z444, "NA")</f>
        <v>3.2406077838024079E-2</v>
      </c>
      <c r="AB186" s="9"/>
      <c r="AC186" s="10">
        <f t="shared" ref="AC186:AC197" si="51">IFERROR(-(Q186-Z186), "NA")</f>
        <v>-193.64000000000033</v>
      </c>
      <c r="AD186" s="8">
        <f>IFERROR(AC186/AC444, "NA")</f>
        <v>-6.0165402035320739E-3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-1.6506972710342576E-7</v>
      </c>
      <c r="M187" s="9"/>
      <c r="N187" s="10">
        <f t="shared" si="49"/>
        <v>-0.01</v>
      </c>
      <c r="O187" s="8">
        <f>IFERROR(N187/N444, "NA")</f>
        <v>-5.0311554300002769E-7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2065.71</v>
      </c>
      <c r="C193" s="15">
        <f>IFERROR(B193/B444, "NA")</f>
        <v>2.5674832683107083E-2</v>
      </c>
      <c r="D193" s="2"/>
      <c r="E193" s="14">
        <f>IFERROR(E186+E187+E188+E189+E190+E191+E192, "NA")</f>
        <v>2752.12</v>
      </c>
      <c r="F193" s="15">
        <f>IFERROR(E193/E444, "NA")</f>
        <v>3.8466699242663965E-2</v>
      </c>
      <c r="G193" s="2"/>
      <c r="H193" s="14">
        <f t="shared" si="48"/>
        <v>686.40999999999985</v>
      </c>
      <c r="I193" s="15">
        <f>IFERROR(H193/H444, "NA")</f>
        <v>7.7028736102990783E-2</v>
      </c>
      <c r="J193" s="2"/>
      <c r="K193" s="14">
        <f>IFERROR(K186+K187+K188+K189+K190+K191+K192, "NA")</f>
        <v>1940.52</v>
      </c>
      <c r="L193" s="15">
        <f>IFERROR(K193/K444, "NA")</f>
        <v>3.2032110683873974E-2</v>
      </c>
      <c r="M193" s="2"/>
      <c r="N193" s="14">
        <f t="shared" si="49"/>
        <v>-125.19000000000005</v>
      </c>
      <c r="O193" s="15">
        <f>IFERROR(N193/N444, "NA")</f>
        <v>-6.298503482817349E-3</v>
      </c>
      <c r="P193" s="2"/>
      <c r="Q193" s="14">
        <f>IFERROR(Q186+Q187+Q188+Q189+Q190+Q191+Q192, "NA")</f>
        <v>3888.01</v>
      </c>
      <c r="R193" s="15">
        <f>IFERROR(Q193/Q444, "NA")</f>
        <v>2.6596142379017453E-2</v>
      </c>
      <c r="S193" s="2"/>
      <c r="T193" s="14">
        <f>IFERROR(T186+T187+T188+T189+T190+T191+T192, "NA")</f>
        <v>5185.37</v>
      </c>
      <c r="U193" s="15">
        <f>IFERROR(T193/T444, "NA")</f>
        <v>4.0625428700878957E-2</v>
      </c>
      <c r="V193" s="2"/>
      <c r="W193" s="14">
        <f t="shared" si="50"/>
        <v>1297.3599999999997</v>
      </c>
      <c r="X193" s="15">
        <f>IFERROR(W193/W444, "NA")</f>
        <v>6.9944351175245834E-2</v>
      </c>
      <c r="Y193" s="2"/>
      <c r="Z193" s="14">
        <f>IFERROR(Z186+Z187+Z188+Z189+Z190+Z191+Z192, "NA")</f>
        <v>3694.37</v>
      </c>
      <c r="AA193" s="15">
        <f>IFERROR(Z193/Z444, "NA")</f>
        <v>3.2406077838024079E-2</v>
      </c>
      <c r="AB193" s="2"/>
      <c r="AC193" s="14">
        <f t="shared" si="51"/>
        <v>-193.64000000000033</v>
      </c>
      <c r="AD193" s="15">
        <f>IFERROR(AC193/AC444, "NA")</f>
        <v>-6.0165402035320739E-3</v>
      </c>
    </row>
    <row r="194" spans="1:30" ht="16.5" customHeight="1" x14ac:dyDescent="0.45">
      <c r="A194" s="6" t="s">
        <v>178</v>
      </c>
      <c r="B194" s="7">
        <v>358</v>
      </c>
      <c r="C194" s="8">
        <f>IFERROR(B194/B444, "NA")</f>
        <v>4.449603332777754E-3</v>
      </c>
      <c r="D194" s="9"/>
      <c r="E194" s="7">
        <v>174.54</v>
      </c>
      <c r="F194" s="8">
        <f>IFERROR(E194/E444, "NA")</f>
        <v>2.4395657477924541E-3</v>
      </c>
      <c r="G194" s="9"/>
      <c r="H194" s="10">
        <f t="shared" si="48"/>
        <v>-183.46</v>
      </c>
      <c r="I194" s="8">
        <f>IFERROR(H194/H444, "NA")</f>
        <v>-2.058782932278768E-2</v>
      </c>
      <c r="J194" s="9"/>
      <c r="K194" s="7">
        <v>257</v>
      </c>
      <c r="L194" s="8">
        <f>IFERROR(K194/K444, "NA")</f>
        <v>4.2422919865580423E-3</v>
      </c>
      <c r="M194" s="9"/>
      <c r="N194" s="10">
        <f t="shared" si="49"/>
        <v>-101</v>
      </c>
      <c r="O194" s="8">
        <f>IFERROR(N194/N444, "NA")</f>
        <v>-5.0814669843002791E-3</v>
      </c>
      <c r="P194" s="9"/>
      <c r="Q194" s="7">
        <v>606</v>
      </c>
      <c r="R194" s="8">
        <f>IFERROR(Q194/Q444, "NA")</f>
        <v>4.1453757273475569E-3</v>
      </c>
      <c r="S194" s="9"/>
      <c r="T194" s="7">
        <v>324.57</v>
      </c>
      <c r="U194" s="8">
        <f>IFERROR(T194/T444, "NA")</f>
        <v>2.5428841902206175E-3</v>
      </c>
      <c r="V194" s="9"/>
      <c r="W194" s="10">
        <f t="shared" si="50"/>
        <v>-281.43</v>
      </c>
      <c r="X194" s="8">
        <f>IFERROR(W194/W444, "NA")</f>
        <v>-1.5172688190825553E-2</v>
      </c>
      <c r="Y194" s="9"/>
      <c r="Z194" s="7">
        <v>257</v>
      </c>
      <c r="AA194" s="8">
        <f>IFERROR(Z194/Z444, "NA")</f>
        <v>2.2543389006440041E-3</v>
      </c>
      <c r="AB194" s="9"/>
      <c r="AC194" s="10">
        <f t="shared" si="51"/>
        <v>-349</v>
      </c>
      <c r="AD194" s="8">
        <f>IFERROR(AC194/AC444, "NA")</f>
        <v>-1.0843692062759192E-2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25063.18</v>
      </c>
      <c r="C196" s="15">
        <f>IFERROR(B196/B444, "NA")</f>
        <v>0.31151175770393508</v>
      </c>
      <c r="D196" s="2"/>
      <c r="E196" s="14">
        <f>IFERROR(E175+E177+E178+E179+E180+E181+E183+E184+E186+E187+E188+E189+E190+E191+E192+E194+E195, "NA")</f>
        <v>24743.600000000002</v>
      </c>
      <c r="F196" s="15">
        <f>IFERROR(E196/E444, "NA")</f>
        <v>0.34584415627980619</v>
      </c>
      <c r="G196" s="2"/>
      <c r="H196" s="14">
        <f t="shared" si="48"/>
        <v>-319.57999999999811</v>
      </c>
      <c r="I196" s="15">
        <f>IFERROR(H196/H444, "NA")</f>
        <v>-3.5863177231965811E-2</v>
      </c>
      <c r="J196" s="2"/>
      <c r="K196" s="14">
        <f>IFERROR(K175+K177+K178+K179+K180+K181+K183+K184+K186+K187+K188+K189+K190+K191+K192+K194+K195, "NA")</f>
        <v>22982.99</v>
      </c>
      <c r="L196" s="15">
        <f>IFERROR(K196/K444, "NA")</f>
        <v>0.37937958873207633</v>
      </c>
      <c r="M196" s="2"/>
      <c r="N196" s="14">
        <f t="shared" si="49"/>
        <v>-2080.1899999999987</v>
      </c>
      <c r="O196" s="15">
        <f>IFERROR(N196/N444, "NA")</f>
        <v>-0.10465759213932269</v>
      </c>
      <c r="P196" s="2"/>
      <c r="Q196" s="14">
        <f>IFERROR(Q175+Q177+Q178+Q179+Q180+Q181+Q183+Q184+Q186+Q187+Q188+Q189+Q190+Q191+Q192+Q194+Q195, "NA")</f>
        <v>47461.04</v>
      </c>
      <c r="R196" s="15">
        <f>IFERROR(Q196/Q444, "NA")</f>
        <v>0.32465980727833582</v>
      </c>
      <c r="S196" s="2"/>
      <c r="T196" s="14">
        <f>IFERROR(T175+T177+T178+T179+T180+T181+T183+T184+T186+T187+T188+T189+T190+T191+T192+T194+T195, "NA")</f>
        <v>46080.820000000007</v>
      </c>
      <c r="U196" s="15">
        <f>IFERROR(T196/T444, "NA")</f>
        <v>0.36102593785747927</v>
      </c>
      <c r="V196" s="2"/>
      <c r="W196" s="14">
        <f t="shared" si="50"/>
        <v>-1380.2199999999939</v>
      </c>
      <c r="X196" s="15">
        <f>IFERROR(W196/W444, "NA")</f>
        <v>-7.441156839974826E-2</v>
      </c>
      <c r="Y196" s="2"/>
      <c r="Z196" s="14">
        <f>IFERROR(Z175+Z177+Z178+Z179+Z180+Z181+Z183+Z184+Z186+Z187+Z188+Z189+Z190+Z191+Z192+Z194+Z195, "NA")</f>
        <v>43552.500000000007</v>
      </c>
      <c r="AA196" s="15">
        <f>IFERROR(Z196/Z444, "NA")</f>
        <v>0.38203149793890273</v>
      </c>
      <c r="AB196" s="2"/>
      <c r="AC196" s="14">
        <f t="shared" si="51"/>
        <v>-3908.5399999999936</v>
      </c>
      <c r="AD196" s="15">
        <f>IFERROR(AC196/AC444, "NA")</f>
        <v>-0.12144127270766976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25063.18</v>
      </c>
      <c r="C197" s="15">
        <f>IFERROR(B197/B444, "NA")</f>
        <v>0.31151175770393508</v>
      </c>
      <c r="D197" s="2"/>
      <c r="E197" s="14">
        <f>IFERROR(E175+E177+E178+E179+E180+E181+E183+E184+E186+E187+E188+E189+E190+E191+E192+E194+E195, "NA")</f>
        <v>24743.600000000002</v>
      </c>
      <c r="F197" s="15">
        <f>IFERROR(E197/E444, "NA")</f>
        <v>0.34584415627980619</v>
      </c>
      <c r="G197" s="2"/>
      <c r="H197" s="14">
        <f t="shared" si="48"/>
        <v>-319.57999999999811</v>
      </c>
      <c r="I197" s="15">
        <f>IFERROR(H197/H444, "NA")</f>
        <v>-3.5863177231965811E-2</v>
      </c>
      <c r="J197" s="2"/>
      <c r="K197" s="14">
        <f>IFERROR(K175+K177+K178+K179+K180+K181+K183+K184+K186+K187+K188+K189+K190+K191+K192+K194+K195, "NA")</f>
        <v>22982.99</v>
      </c>
      <c r="L197" s="15">
        <f>IFERROR(K197/K444, "NA")</f>
        <v>0.37937958873207633</v>
      </c>
      <c r="M197" s="2"/>
      <c r="N197" s="14">
        <f t="shared" si="49"/>
        <v>-2080.1899999999987</v>
      </c>
      <c r="O197" s="15">
        <f>IFERROR(N197/N444, "NA")</f>
        <v>-0.10465759213932269</v>
      </c>
      <c r="P197" s="2"/>
      <c r="Q197" s="14">
        <f>IFERROR(Q175+Q177+Q178+Q179+Q180+Q181+Q183+Q184+Q186+Q187+Q188+Q189+Q190+Q191+Q192+Q194+Q195, "NA")</f>
        <v>47461.04</v>
      </c>
      <c r="R197" s="15">
        <f>IFERROR(Q197/Q444, "NA")</f>
        <v>0.32465980727833582</v>
      </c>
      <c r="S197" s="2"/>
      <c r="T197" s="14">
        <f>IFERROR(T175+T177+T178+T179+T180+T181+T183+T184+T186+T187+T188+T189+T190+T191+T192+T194+T195, "NA")</f>
        <v>46080.820000000007</v>
      </c>
      <c r="U197" s="15">
        <f>IFERROR(T197/T444, "NA")</f>
        <v>0.36102593785747927</v>
      </c>
      <c r="V197" s="2"/>
      <c r="W197" s="14">
        <f t="shared" si="50"/>
        <v>-1380.2199999999939</v>
      </c>
      <c r="X197" s="15">
        <f>IFERROR(W197/W444, "NA")</f>
        <v>-7.441156839974826E-2</v>
      </c>
      <c r="Y197" s="2"/>
      <c r="Z197" s="14">
        <f>IFERROR(Z175+Z177+Z178+Z179+Z180+Z181+Z183+Z184+Z186+Z187+Z188+Z189+Z190+Z191+Z192+Z194+Z195, "NA")</f>
        <v>43552.500000000007</v>
      </c>
      <c r="AA197" s="15">
        <f>IFERROR(Z197/Z444, "NA")</f>
        <v>0.38203149793890273</v>
      </c>
      <c r="AB197" s="2"/>
      <c r="AC197" s="14">
        <f t="shared" si="51"/>
        <v>-3908.5399999999936</v>
      </c>
      <c r="AD197" s="15">
        <f>IFERROR(AC197/AC444, "NA")</f>
        <v>-0.12144127270766976</v>
      </c>
    </row>
    <row r="198" spans="1:30" ht="16.5" customHeight="1" x14ac:dyDescent="0.45">
      <c r="A198" s="22" t="s">
        <v>181</v>
      </c>
      <c r="B198" s="23">
        <f>IFERROR(B172-B197, "NA")</f>
        <v>32830.999999999993</v>
      </c>
      <c r="C198" s="24">
        <f>IFERROR(B198/B444, "NA")</f>
        <v>0.40805845535873303</v>
      </c>
      <c r="D198" s="25"/>
      <c r="E198" s="23">
        <f>IFERROR(E172-E197, "NA")</f>
        <v>28271.630000000016</v>
      </c>
      <c r="F198" s="24">
        <f>IFERROR(E198/E444, "NA")</f>
        <v>0.39515583924751702</v>
      </c>
      <c r="G198" s="25"/>
      <c r="H198" s="23">
        <f>IFERROR(B198-E198, "NA")</f>
        <v>4559.3699999999772</v>
      </c>
      <c r="I198" s="24">
        <f>IFERROR(H198/H444, "NA")</f>
        <v>0.51165121214127329</v>
      </c>
      <c r="J198" s="25"/>
      <c r="K198" s="23">
        <f>IFERROR(K172-K197, "NA")</f>
        <v>20536.2</v>
      </c>
      <c r="L198" s="24">
        <f>IFERROR(K198/K444, "NA")</f>
        <v>0.33899049297413725</v>
      </c>
      <c r="M198" s="25"/>
      <c r="N198" s="23">
        <f>IFERROR(B198-K198, "NA")</f>
        <v>12294.799999999992</v>
      </c>
      <c r="O198" s="24">
        <f>IFERROR(N198/N444, "NA")</f>
        <v>0.61857049780767359</v>
      </c>
      <c r="P198" s="25"/>
      <c r="Q198" s="23">
        <f>IFERROR(Q172-Q197, "NA")</f>
        <v>58822.619999999974</v>
      </c>
      <c r="R198" s="24">
        <f>IFERROR(Q198/Q444, "NA")</f>
        <v>0.40237930885641721</v>
      </c>
      <c r="S198" s="25"/>
      <c r="T198" s="23">
        <f>IFERROR(T172-T197, "NA")</f>
        <v>47377.47</v>
      </c>
      <c r="U198" s="24">
        <f>IFERROR(T198/T444, "NA")</f>
        <v>0.37118470417984289</v>
      </c>
      <c r="V198" s="25"/>
      <c r="W198" s="23">
        <f>IFERROR(Q198-T198, "NA")</f>
        <v>11445.149999999972</v>
      </c>
      <c r="X198" s="24">
        <f>IFERROR(W198/W444, "NA")</f>
        <v>0.61704044432799154</v>
      </c>
      <c r="Y198" s="25"/>
      <c r="Z198" s="23">
        <f>IFERROR(Z172-Z197, "NA")</f>
        <v>38492.51</v>
      </c>
      <c r="AA198" s="24">
        <f>IFERROR(Z198/Z444, "NA")</f>
        <v>0.3376465473790986</v>
      </c>
      <c r="AB198" s="25"/>
      <c r="AC198" s="23">
        <f>IFERROR(Q198-Z198, "NA")</f>
        <v>20330.109999999971</v>
      </c>
      <c r="AD198" s="24">
        <f>IFERROR(AC198/AC444, "NA")</f>
        <v>0.63167178350149278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1430.91</v>
      </c>
      <c r="F201" s="8">
        <f>IFERROR(E201/E444, "NA")</f>
        <v>1.999999440915378E-2</v>
      </c>
      <c r="G201" s="9"/>
      <c r="H201" s="10">
        <f t="shared" ref="H201:H209" si="52">IFERROR(-(B201-E201), "NA")</f>
        <v>1430.91</v>
      </c>
      <c r="I201" s="8">
        <f>IFERROR(H201/H444, "NA")</f>
        <v>0.16057631557980007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2552.77</v>
      </c>
      <c r="U201" s="8">
        <f>IFERROR(T201/T444, "NA")</f>
        <v>1.9999995299225085E-2</v>
      </c>
      <c r="V201" s="9"/>
      <c r="W201" s="10">
        <f t="shared" ref="W201:W209" si="54">IFERROR(-(Q201-T201), "NA")</f>
        <v>2552.77</v>
      </c>
      <c r="X201" s="8">
        <f>IFERROR(W201/W444, "NA")</f>
        <v>0.13762705906582007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978.63</v>
      </c>
      <c r="C202" s="8">
        <f>IFERROR(B202/B444, "NA")</f>
        <v>1.2163450585352776E-2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-978.63</v>
      </c>
      <c r="I202" s="8">
        <f>IFERROR(H202/H444, "NA")</f>
        <v>-0.10982158187157805</v>
      </c>
      <c r="J202" s="9"/>
      <c r="K202" s="7">
        <v>710.43</v>
      </c>
      <c r="L202" s="8">
        <f>IFERROR(K202/K444, "NA")</f>
        <v>1.1727048622608675E-2</v>
      </c>
      <c r="M202" s="9"/>
      <c r="N202" s="10">
        <f t="shared" si="53"/>
        <v>-268.20000000000005</v>
      </c>
      <c r="O202" s="8">
        <f>IFERROR(N202/N444, "NA")</f>
        <v>-1.3493558863260743E-2</v>
      </c>
      <c r="P202" s="9"/>
      <c r="Q202" s="7">
        <v>1798.81</v>
      </c>
      <c r="R202" s="8">
        <f>IFERROR(Q202/Q444, "NA")</f>
        <v>1.2304856950676665E-2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-1798.81</v>
      </c>
      <c r="X202" s="8">
        <f>IFERROR(W202/W444, "NA")</f>
        <v>-9.6978940569729277E-2</v>
      </c>
      <c r="Y202" s="9"/>
      <c r="Z202" s="7">
        <v>1658.94</v>
      </c>
      <c r="AA202" s="8">
        <f>IFERROR(Z202/Z444, "NA")</f>
        <v>1.4551801462390521E-2</v>
      </c>
      <c r="AB202" s="9"/>
      <c r="AC202" s="10">
        <f t="shared" si="55"/>
        <v>-139.86999999999989</v>
      </c>
      <c r="AD202" s="8">
        <f>IFERROR(AC202/AC444, "NA")</f>
        <v>-4.3458659278456362E-3</v>
      </c>
    </row>
    <row r="203" spans="1:30" ht="16.5" customHeight="1" x14ac:dyDescent="0.45">
      <c r="A203" s="6" t="s">
        <v>185</v>
      </c>
      <c r="B203" s="7">
        <v>517.41</v>
      </c>
      <c r="C203" s="8">
        <f>IFERROR(B203/B444, "NA")</f>
        <v>6.4309197218227311E-3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-517.41</v>
      </c>
      <c r="I203" s="8">
        <f>IFERROR(H203/H444, "NA")</f>
        <v>-5.8063603891330931E-2</v>
      </c>
      <c r="J203" s="9"/>
      <c r="K203" s="7">
        <v>423.48</v>
      </c>
      <c r="L203" s="8">
        <f>IFERROR(K203/K444, "NA")</f>
        <v>6.9903728033758744E-3</v>
      </c>
      <c r="M203" s="9"/>
      <c r="N203" s="10">
        <f t="shared" si="53"/>
        <v>-93.92999999999995</v>
      </c>
      <c r="O203" s="8">
        <f>IFERROR(N203/N444, "NA")</f>
        <v>-4.7257642953992566E-3</v>
      </c>
      <c r="P203" s="9"/>
      <c r="Q203" s="7">
        <v>913.87</v>
      </c>
      <c r="R203" s="8">
        <f>IFERROR(Q203/Q444, "NA")</f>
        <v>6.2513770890282377E-3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-913.87</v>
      </c>
      <c r="X203" s="8">
        <f>IFERROR(W203/W444, "NA")</f>
        <v>-4.9269319393631619E-2</v>
      </c>
      <c r="Y203" s="9"/>
      <c r="Z203" s="7">
        <v>720.93</v>
      </c>
      <c r="AA203" s="8">
        <f>IFERROR(Z203/Z444, "NA")</f>
        <v>6.3238153449077109E-3</v>
      </c>
      <c r="AB203" s="9"/>
      <c r="AC203" s="10">
        <f t="shared" si="55"/>
        <v>-192.94000000000005</v>
      </c>
      <c r="AD203" s="8">
        <f>IFERROR(AC203/AC444, "NA")</f>
        <v>-5.9947906779047547E-3</v>
      </c>
    </row>
    <row r="204" spans="1:30" ht="16.5" customHeight="1" x14ac:dyDescent="0.45">
      <c r="A204" s="6" t="s">
        <v>186</v>
      </c>
      <c r="B204" s="7">
        <v>232.01</v>
      </c>
      <c r="C204" s="8">
        <f>IFERROR(B204/B444, "NA")</f>
        <v>2.8836661151892926E-3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-232.01</v>
      </c>
      <c r="I204" s="8">
        <f>IFERROR(H204/H444, "NA")</f>
        <v>-2.6036096594243812E-2</v>
      </c>
      <c r="J204" s="9"/>
      <c r="K204" s="7">
        <v>3.75</v>
      </c>
      <c r="L204" s="8">
        <f>IFERROR(K204/K444, "NA")</f>
        <v>6.1901147663784658E-5</v>
      </c>
      <c r="M204" s="9"/>
      <c r="N204" s="10">
        <f t="shared" si="53"/>
        <v>-228.26</v>
      </c>
      <c r="O204" s="8">
        <f>IFERROR(N204/N444, "NA")</f>
        <v>-1.148411538451863E-2</v>
      </c>
      <c r="P204" s="9"/>
      <c r="Q204" s="7">
        <v>240.44</v>
      </c>
      <c r="R204" s="8">
        <f>IFERROR(Q204/Q444, "NA")</f>
        <v>1.6447428050881958E-3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-240.44</v>
      </c>
      <c r="X204" s="8">
        <f>IFERROR(W204/W444, "NA")</f>
        <v>-1.2962801224468237E-2</v>
      </c>
      <c r="Y204" s="9"/>
      <c r="Z204" s="7">
        <v>26.23</v>
      </c>
      <c r="AA204" s="8">
        <f>IFERROR(Z204/Z444, "NA")</f>
        <v>2.3008291581281021E-4</v>
      </c>
      <c r="AB204" s="9"/>
      <c r="AC204" s="10">
        <f t="shared" si="55"/>
        <v>-214.21</v>
      </c>
      <c r="AD204" s="8">
        <f>IFERROR(AC204/AC444, "NA")</f>
        <v>-6.6556655494660368E-3</v>
      </c>
    </row>
    <row r="205" spans="1:30" ht="16.5" customHeight="1" x14ac:dyDescent="0.45">
      <c r="A205" s="6" t="s">
        <v>187</v>
      </c>
      <c r="B205" s="7">
        <v>261.72000000000003</v>
      </c>
      <c r="C205" s="8">
        <f>IFERROR(B205/B444, "NA")</f>
        <v>3.2529334755714914E-3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-261.72000000000003</v>
      </c>
      <c r="I205" s="8">
        <f>IFERROR(H205/H444, "NA")</f>
        <v>-2.9370144393110174E-2</v>
      </c>
      <c r="J205" s="9"/>
      <c r="K205" s="7">
        <v>243.52</v>
      </c>
      <c r="L205" s="8">
        <f>IFERROR(K205/K444, "NA")</f>
        <v>4.0197779944226245E-3</v>
      </c>
      <c r="M205" s="9"/>
      <c r="N205" s="10">
        <f t="shared" si="53"/>
        <v>-18.200000000000017</v>
      </c>
      <c r="O205" s="8">
        <f>IFERROR(N205/N444, "NA")</f>
        <v>-9.1567028826005118E-4</v>
      </c>
      <c r="P205" s="9"/>
      <c r="Q205" s="7">
        <v>605.74</v>
      </c>
      <c r="R205" s="8">
        <f>IFERROR(Q205/Q444, "NA")</f>
        <v>4.1435971833061209E-3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-605.74</v>
      </c>
      <c r="X205" s="8">
        <f>IFERROR(W205/W444, "NA")</f>
        <v>-3.2657158599689692E-2</v>
      </c>
      <c r="Y205" s="9"/>
      <c r="Z205" s="7">
        <v>591.94000000000005</v>
      </c>
      <c r="AA205" s="8">
        <f>IFERROR(Z205/Z444, "NA")</f>
        <v>5.1923477387051048E-3</v>
      </c>
      <c r="AB205" s="9"/>
      <c r="AC205" s="10">
        <f t="shared" si="55"/>
        <v>-13.799999999999955</v>
      </c>
      <c r="AD205" s="8">
        <f>IFERROR(AC205/AC444, "NA")</f>
        <v>-4.28776362366981E-4</v>
      </c>
    </row>
    <row r="206" spans="1:30" ht="16.5" customHeight="1" x14ac:dyDescent="0.45">
      <c r="A206" s="6" t="s">
        <v>188</v>
      </c>
      <c r="B206" s="7">
        <v>10.8</v>
      </c>
      <c r="C206" s="8">
        <f>IFERROR(B206/B444, "NA")</f>
        <v>1.3423384355865851E-4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-10.8</v>
      </c>
      <c r="I206" s="8">
        <f>IFERROR(H206/H444, "NA")</f>
        <v>-1.211972946070571E-3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-10.8</v>
      </c>
      <c r="O206" s="8">
        <f>IFERROR(N206/N444, "NA")</f>
        <v>-5.4336478644002992E-4</v>
      </c>
      <c r="P206" s="9"/>
      <c r="Q206" s="7">
        <v>10.8</v>
      </c>
      <c r="R206" s="8">
        <f>IFERROR(Q206/Q444, "NA")</f>
        <v>7.3877983259659441E-5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-10.8</v>
      </c>
      <c r="X206" s="8">
        <f>IFERROR(W206/W444, "NA")</f>
        <v>-5.8225858103583836E-4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-10.8</v>
      </c>
      <c r="AD206" s="8">
        <f>IFERROR(AC206/AC444, "NA")</f>
        <v>-3.3556410967850798E-4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2.5445498432993081E-3</v>
      </c>
      <c r="M207" s="9"/>
      <c r="N207" s="10">
        <f t="shared" si="53"/>
        <v>154.15</v>
      </c>
      <c r="O207" s="8">
        <f>IFERROR(N207/N444, "NA")</f>
        <v>7.7555260953454264E-3</v>
      </c>
      <c r="P207" s="9"/>
      <c r="Q207" s="7">
        <v>99.6</v>
      </c>
      <c r="R207" s="8">
        <f>IFERROR(Q207/Q444, "NA")</f>
        <v>6.8131917895019245E-4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-5.369718025108286E-3</v>
      </c>
      <c r="Y207" s="9"/>
      <c r="Z207" s="7">
        <v>154.15</v>
      </c>
      <c r="AA207" s="8">
        <f>IFERROR(Z207/Z444, "NA")</f>
        <v>1.3521647530516467E-3</v>
      </c>
      <c r="AB207" s="9"/>
      <c r="AC207" s="10">
        <f t="shared" si="55"/>
        <v>54.550000000000011</v>
      </c>
      <c r="AD207" s="8">
        <f>IFERROR(AC207/AC444, "NA")</f>
        <v>1.6949094613854271E-3</v>
      </c>
    </row>
    <row r="208" spans="1:30" ht="16.5" customHeight="1" x14ac:dyDescent="0.45">
      <c r="A208" s="6" t="s">
        <v>190</v>
      </c>
      <c r="B208" s="7">
        <v>282.18</v>
      </c>
      <c r="C208" s="8">
        <f>IFERROR(B208/B444, "NA")</f>
        <v>3.5072320347576168E-3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-282.18</v>
      </c>
      <c r="I208" s="8">
        <f>IFERROR(H208/H444, "NA")</f>
        <v>-3.1666159807610533E-2</v>
      </c>
      <c r="J208" s="9"/>
      <c r="K208" s="7">
        <v>132.88999999999999</v>
      </c>
      <c r="L208" s="8">
        <f>IFERROR(K208/K444, "NA")</f>
        <v>2.1936116034774245E-3</v>
      </c>
      <c r="M208" s="9"/>
      <c r="N208" s="10">
        <f t="shared" si="53"/>
        <v>-149.29000000000002</v>
      </c>
      <c r="O208" s="8">
        <f>IFERROR(N208/N444, "NA")</f>
        <v>-7.5110119414474137E-3</v>
      </c>
      <c r="P208" s="9"/>
      <c r="Q208" s="7">
        <v>391.94</v>
      </c>
      <c r="R208" s="8">
        <f>IFERROR(Q208/Q444, "NA")</f>
        <v>2.6810867369250848E-3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-391.94</v>
      </c>
      <c r="X208" s="8">
        <f>IFERROR(W208/W444, "NA")</f>
        <v>-2.1130595208443188E-2</v>
      </c>
      <c r="Y208" s="9"/>
      <c r="Z208" s="7">
        <v>132.88999999999999</v>
      </c>
      <c r="AA208" s="8">
        <f>IFERROR(Z208/Z444, "NA")</f>
        <v>1.1656774183135474E-3</v>
      </c>
      <c r="AB208" s="9"/>
      <c r="AC208" s="10">
        <f t="shared" si="55"/>
        <v>-259.05</v>
      </c>
      <c r="AD208" s="8">
        <f>IFERROR(AC208/AC444, "NA")</f>
        <v>-8.0488780196497686E-3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2282.75</v>
      </c>
      <c r="C209" s="15">
        <f>IFERROR(B209/B444, "NA")</f>
        <v>2.8372435776252567E-2</v>
      </c>
      <c r="D209" s="2"/>
      <c r="E209" s="14">
        <f>IFERROR(E201+E202+E203+E204+E205+E206+E207+E208, "NA")</f>
        <v>1430.91</v>
      </c>
      <c r="F209" s="15">
        <f>IFERROR(E209/E444, "NA")</f>
        <v>1.999999440915378E-2</v>
      </c>
      <c r="G209" s="2"/>
      <c r="H209" s="14">
        <f t="shared" si="52"/>
        <v>-851.83999999999992</v>
      </c>
      <c r="I209" s="15">
        <f>IFERROR(H209/H444, "NA")</f>
        <v>-9.5593243924143992E-2</v>
      </c>
      <c r="J209" s="2"/>
      <c r="K209" s="14">
        <f>IFERROR(K201+K202+K203+K204+K205+K206+K207+K208, "NA")</f>
        <v>1668.2199999999998</v>
      </c>
      <c r="L209" s="15">
        <f>IFERROR(K209/K444, "NA")</f>
        <v>2.7537262014847689E-2</v>
      </c>
      <c r="M209" s="2"/>
      <c r="N209" s="14">
        <f t="shared" si="53"/>
        <v>-614.5300000000002</v>
      </c>
      <c r="O209" s="15">
        <f>IFERROR(N209/N444, "NA")</f>
        <v>-3.091795946398071E-2</v>
      </c>
      <c r="P209" s="2"/>
      <c r="Q209" s="14">
        <f>IFERROR(Q201+Q202+Q203+Q204+Q205+Q206+Q207+Q208, "NA")</f>
        <v>4061.2</v>
      </c>
      <c r="R209" s="15">
        <f>IFERROR(Q209/Q444, "NA")</f>
        <v>2.7780857927234153E-2</v>
      </c>
      <c r="S209" s="2"/>
      <c r="T209" s="14">
        <f>IFERROR(T201+T202+T203+T204+T205+T206+T207+T208, "NA")</f>
        <v>2552.77</v>
      </c>
      <c r="U209" s="15">
        <f>IFERROR(T209/T444, "NA")</f>
        <v>1.9999995299225085E-2</v>
      </c>
      <c r="V209" s="2"/>
      <c r="W209" s="14">
        <f t="shared" si="54"/>
        <v>-1508.4299999999998</v>
      </c>
      <c r="X209" s="15">
        <f>IFERROR(W209/W444, "NA")</f>
        <v>-8.1323732536286053E-2</v>
      </c>
      <c r="Y209" s="2"/>
      <c r="Z209" s="14">
        <f>IFERROR(Z201+Z202+Z203+Z204+Z205+Z206+Z207+Z208, "NA")</f>
        <v>3285.08</v>
      </c>
      <c r="AA209" s="15">
        <f>IFERROR(Z209/Z444, "NA")</f>
        <v>2.8815889633181341E-2</v>
      </c>
      <c r="AB209" s="2"/>
      <c r="AC209" s="14">
        <f t="shared" si="55"/>
        <v>-776.11999999999989</v>
      </c>
      <c r="AD209" s="15">
        <f>IFERROR(AC209/AC444, "NA")</f>
        <v>-2.4114631185526259E-2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2700.76</v>
      </c>
      <c r="F213" s="8">
        <f>IFERROR(E213/E444, "NA")</f>
        <v>3.7748834588105587E-2</v>
      </c>
      <c r="G213" s="9"/>
      <c r="H213" s="10">
        <f t="shared" ref="H213:H227" si="56">IFERROR(-(B213-E213), "NA")</f>
        <v>2700.76</v>
      </c>
      <c r="I213" s="8">
        <f>IFERROR(H213/H444, "NA")</f>
        <v>0.30307852350273662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5082.38</v>
      </c>
      <c r="U213" s="8">
        <f>IFERROR(T213/T444, "NA")</f>
        <v>3.9818540686734641E-2</v>
      </c>
      <c r="V213" s="9"/>
      <c r="W213" s="10">
        <f t="shared" ref="W213:W227" si="58">IFERROR(-(Q213-T213), "NA")</f>
        <v>5082.38</v>
      </c>
      <c r="X213" s="8">
        <f>IFERROR(W213/W444, "NA")</f>
        <v>0.27400549695230775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3477.37</v>
      </c>
      <c r="C214" s="8">
        <f>IFERROR(B214/B444, "NA")</f>
        <v>4.3220438942182623E-2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-3477.37</v>
      </c>
      <c r="I214" s="8">
        <f>IFERROR(H214/H444, "NA")</f>
        <v>-0.39022947809976122</v>
      </c>
      <c r="J214" s="9"/>
      <c r="K214" s="7">
        <v>265</v>
      </c>
      <c r="L214" s="8">
        <f>IFERROR(K214/K444, "NA")</f>
        <v>4.3743477682407824E-3</v>
      </c>
      <c r="M214" s="9"/>
      <c r="N214" s="10">
        <f t="shared" si="57"/>
        <v>-3212.37</v>
      </c>
      <c r="O214" s="8">
        <f>IFERROR(N214/N444, "NA")</f>
        <v>-0.16161932768669987</v>
      </c>
      <c r="P214" s="9"/>
      <c r="Q214" s="7">
        <v>6004.48</v>
      </c>
      <c r="R214" s="8">
        <f>IFERROR(Q214/Q444, "NA")</f>
        <v>4.1073969715088872E-2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-6004.48</v>
      </c>
      <c r="X214" s="8">
        <f>IFERROR(W214/W444, "NA")</f>
        <v>-0.32371851894982129</v>
      </c>
      <c r="Y214" s="9"/>
      <c r="Z214" s="7">
        <v>525</v>
      </c>
      <c r="AA214" s="8">
        <f>IFERROR(Z214/Z444, "NA")</f>
        <v>4.6051670149342494E-3</v>
      </c>
      <c r="AB214" s="9"/>
      <c r="AC214" s="10">
        <f t="shared" si="59"/>
        <v>-5479.48</v>
      </c>
      <c r="AD214" s="8">
        <f>IFERROR(AC214/AC444, "NA")</f>
        <v>-0.17025155812048062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3587.13</v>
      </c>
      <c r="C217" s="8">
        <f>IFERROR(B217/B444, "NA")</f>
        <v>4.4584652522645436E-2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-3587.13</v>
      </c>
      <c r="I217" s="8">
        <f>IFERROR(H217/H444, "NA")</f>
        <v>-0.4025467142627896</v>
      </c>
      <c r="J217" s="9"/>
      <c r="K217" s="7">
        <v>254.4</v>
      </c>
      <c r="L217" s="8">
        <f>IFERROR(K217/K444, "NA")</f>
        <v>4.1993738575111517E-3</v>
      </c>
      <c r="M217" s="9"/>
      <c r="N217" s="10">
        <f t="shared" si="57"/>
        <v>-3332.73</v>
      </c>
      <c r="O217" s="8">
        <f>IFERROR(N217/N444, "NA")</f>
        <v>-0.1676748263622482</v>
      </c>
      <c r="P217" s="9"/>
      <c r="Q217" s="7">
        <v>6275.13</v>
      </c>
      <c r="R217" s="8">
        <f>IFERROR(Q217/Q444, "NA")</f>
        <v>4.292536565668395E-2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-6275.13</v>
      </c>
      <c r="X217" s="8">
        <f>IFERROR(W217/W444, "NA")</f>
        <v>-0.33831002681624256</v>
      </c>
      <c r="Y217" s="9"/>
      <c r="Z217" s="7">
        <v>518.47</v>
      </c>
      <c r="AA217" s="8">
        <f>IFERROR(Z217/Z444, "NA")</f>
        <v>4.5478875090151629E-3</v>
      </c>
      <c r="AB217" s="9"/>
      <c r="AC217" s="10">
        <f t="shared" si="59"/>
        <v>-5756.66</v>
      </c>
      <c r="AD217" s="8">
        <f>IFERROR(AC217/AC444, "NA")</f>
        <v>-0.17886374885387776</v>
      </c>
    </row>
    <row r="218" spans="1:30" ht="16.5" customHeight="1" x14ac:dyDescent="0.45">
      <c r="A218" s="13" t="s">
        <v>198</v>
      </c>
      <c r="B218" s="14">
        <f>IFERROR(B213+B214+B215+B216+B217, "NA")</f>
        <v>7064.5</v>
      </c>
      <c r="C218" s="15">
        <f>IFERROR(B218/B444, "NA")</f>
        <v>8.7805091464828067E-2</v>
      </c>
      <c r="D218" s="2"/>
      <c r="E218" s="14">
        <f>IFERROR(E213+E214+E215+E216+E217, "NA")</f>
        <v>2700.76</v>
      </c>
      <c r="F218" s="15">
        <f>IFERROR(E218/E444, "NA")</f>
        <v>3.7748834588105587E-2</v>
      </c>
      <c r="G218" s="2"/>
      <c r="H218" s="14">
        <f t="shared" si="56"/>
        <v>-4363.74</v>
      </c>
      <c r="I218" s="15">
        <f>IFERROR(H218/H444, "NA")</f>
        <v>-0.48969766885981419</v>
      </c>
      <c r="J218" s="2"/>
      <c r="K218" s="14">
        <f>IFERROR(K213+K214+K215+K216+K217, "NA")</f>
        <v>519.4</v>
      </c>
      <c r="L218" s="15">
        <f>IFERROR(K218/K444, "NA")</f>
        <v>8.5737216257519341E-3</v>
      </c>
      <c r="M218" s="2"/>
      <c r="N218" s="14">
        <f t="shared" si="57"/>
        <v>-6545.1</v>
      </c>
      <c r="O218" s="15">
        <f>IFERROR(N218/N444, "NA")</f>
        <v>-0.32929415404894813</v>
      </c>
      <c r="P218" s="2"/>
      <c r="Q218" s="14">
        <f>IFERROR(Q213+Q214+Q215+Q216+Q217, "NA")</f>
        <v>12279.61</v>
      </c>
      <c r="R218" s="15">
        <f>IFERROR(Q218/Q444, "NA")</f>
        <v>8.3999335371772829E-2</v>
      </c>
      <c r="S218" s="2"/>
      <c r="T218" s="14">
        <f>IFERROR(T213+T214+T215+T216+T217, "NA")</f>
        <v>5082.38</v>
      </c>
      <c r="U218" s="15">
        <f>IFERROR(T218/T444, "NA")</f>
        <v>3.9818540686734641E-2</v>
      </c>
      <c r="V218" s="2"/>
      <c r="W218" s="14">
        <f t="shared" si="58"/>
        <v>-7197.2300000000005</v>
      </c>
      <c r="X218" s="15">
        <f>IFERROR(W218/W444, "NA")</f>
        <v>-0.38802304881375616</v>
      </c>
      <c r="Y218" s="2"/>
      <c r="Z218" s="14">
        <f>IFERROR(Z213+Z214+Z215+Z216+Z217, "NA")</f>
        <v>1043.47</v>
      </c>
      <c r="AA218" s="15">
        <f>IFERROR(Z218/Z444, "NA")</f>
        <v>9.1530545239494124E-3</v>
      </c>
      <c r="AB218" s="2"/>
      <c r="AC218" s="14">
        <f t="shared" si="59"/>
        <v>-11236.140000000001</v>
      </c>
      <c r="AD218" s="15">
        <f>IFERROR(AC218/AC444, "NA")</f>
        <v>-0.34911530697435844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131.18</v>
      </c>
      <c r="C222" s="8">
        <f>IFERROR(B222/B444, "NA")</f>
        <v>1.6304440368541504E-3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-131.18</v>
      </c>
      <c r="I222" s="8">
        <f>IFERROR(H222/H444, "NA")</f>
        <v>-1.4720982506068288E-2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-131.18</v>
      </c>
      <c r="O222" s="8">
        <f>IFERROR(N222/N444, "NA")</f>
        <v>-6.5998696930743631E-3</v>
      </c>
      <c r="P222" s="9"/>
      <c r="Q222" s="7">
        <v>131.18</v>
      </c>
      <c r="R222" s="8">
        <f>IFERROR(Q222/Q444, "NA")</f>
        <v>8.9734387444464114E-4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-131.18</v>
      </c>
      <c r="X222" s="8">
        <f>IFERROR(W222/W444, "NA")</f>
        <v>-7.0722852463223395E-3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-131.18</v>
      </c>
      <c r="AD222" s="8">
        <f>IFERROR(AC222/AC444, "NA")</f>
        <v>-4.0758611025580255E-3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71.55</v>
      </c>
      <c r="F226" s="8">
        <f>IFERROR(E226/E444, "NA")</f>
        <v>1.0000626174776562E-3</v>
      </c>
      <c r="G226" s="9"/>
      <c r="H226" s="10">
        <f t="shared" si="56"/>
        <v>71.55</v>
      </c>
      <c r="I226" s="8">
        <f>IFERROR(H226/H444, "NA")</f>
        <v>8.0293207677175332E-3</v>
      </c>
      <c r="J226" s="9"/>
      <c r="K226" s="7">
        <v>521.22</v>
      </c>
      <c r="L226" s="8">
        <f>IFERROR(K226/K444, "NA")</f>
        <v>8.6037643160847572E-3</v>
      </c>
      <c r="M226" s="9"/>
      <c r="N226" s="10">
        <f t="shared" si="57"/>
        <v>521.22</v>
      </c>
      <c r="O226" s="8">
        <f>IFERROR(N226/N444, "NA")</f>
        <v>2.6223388332247442E-2</v>
      </c>
      <c r="P226" s="9"/>
      <c r="Q226" s="7">
        <v>0</v>
      </c>
      <c r="R226" s="8">
        <f>IFERROR(Q226/Q444, "NA")</f>
        <v>0</v>
      </c>
      <c r="S226" s="9"/>
      <c r="T226" s="7">
        <v>127.64</v>
      </c>
      <c r="U226" s="8">
        <f>IFERROR(T226/T444, "NA")</f>
        <v>1.0000115168985416E-3</v>
      </c>
      <c r="V226" s="9"/>
      <c r="W226" s="10">
        <f t="shared" si="58"/>
        <v>127.64</v>
      </c>
      <c r="X226" s="8">
        <f>IFERROR(W226/W444, "NA")</f>
        <v>6.88143382253837E-3</v>
      </c>
      <c r="Y226" s="9"/>
      <c r="Z226" s="7">
        <v>774.71</v>
      </c>
      <c r="AA226" s="8">
        <f>IFERROR(Z226/Z444, "NA")</f>
        <v>6.7955598821708811E-3</v>
      </c>
      <c r="AB226" s="9"/>
      <c r="AC226" s="10">
        <f t="shared" si="59"/>
        <v>774.71</v>
      </c>
      <c r="AD226" s="8">
        <f>IFERROR(AC226/AC444, "NA")</f>
        <v>2.407082142676268E-2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7195.68</v>
      </c>
      <c r="C227" s="15">
        <f>IFERROR(B227/B444, "NA")</f>
        <v>8.943553550168222E-2</v>
      </c>
      <c r="D227" s="2"/>
      <c r="E227" s="14">
        <f>IFERROR(E211+E213+E214+E215+E216+E217+E219+E220+E221+E222+E223+E224+E225+E226, "NA")</f>
        <v>2772.3100000000004</v>
      </c>
      <c r="F227" s="15">
        <f>IFERROR(E227/E444, "NA")</f>
        <v>3.8748897205583249E-2</v>
      </c>
      <c r="G227" s="2"/>
      <c r="H227" s="14">
        <f t="shared" si="56"/>
        <v>-4423.37</v>
      </c>
      <c r="I227" s="15">
        <f>IFERROR(H227/H444, "NA")</f>
        <v>-0.49638933059816492</v>
      </c>
      <c r="J227" s="2"/>
      <c r="K227" s="14">
        <f>IFERROR(K211+K213+K214+K215+K216+K217+K219+K220+K221+K222+K223+K224+K225+K226, "NA")</f>
        <v>1040.6199999999999</v>
      </c>
      <c r="L227" s="15">
        <f>IFERROR(K227/K444, "NA")</f>
        <v>1.7177485941836691E-2</v>
      </c>
      <c r="M227" s="2"/>
      <c r="N227" s="14">
        <f t="shared" si="57"/>
        <v>-6155.06</v>
      </c>
      <c r="O227" s="15">
        <f>IFERROR(N227/N444, "NA")</f>
        <v>-0.30967063540977502</v>
      </c>
      <c r="P227" s="2"/>
      <c r="Q227" s="14">
        <f>IFERROR(Q211+Q213+Q214+Q215+Q216+Q217+Q219+Q220+Q221+Q222+Q223+Q224+Q225+Q226, "NA")</f>
        <v>12410.79</v>
      </c>
      <c r="R227" s="15">
        <f>IFERROR(Q227/Q444, "NA")</f>
        <v>8.489667924621748E-2</v>
      </c>
      <c r="S227" s="2"/>
      <c r="T227" s="14">
        <f>IFERROR(T211+T213+T214+T215+T216+T217+T219+T220+T221+T222+T223+T224+T225+T226, "NA")</f>
        <v>5210.0200000000004</v>
      </c>
      <c r="U227" s="15">
        <f>IFERROR(T227/T444, "NA")</f>
        <v>4.0818552203633188E-2</v>
      </c>
      <c r="V227" s="2"/>
      <c r="W227" s="14">
        <f t="shared" si="58"/>
        <v>-7200.77</v>
      </c>
      <c r="X227" s="15">
        <f>IFERROR(W227/W444, "NA")</f>
        <v>-0.38821390023754015</v>
      </c>
      <c r="Y227" s="2"/>
      <c r="Z227" s="14">
        <f>IFERROR(Z211+Z213+Z214+Z215+Z216+Z217+Z219+Z220+Z221+Z222+Z223+Z224+Z225+Z226, "NA")</f>
        <v>1818.18</v>
      </c>
      <c r="AA227" s="15">
        <f>IFERROR(Z227/Z444, "NA")</f>
        <v>1.5948614406120293E-2</v>
      </c>
      <c r="AB227" s="2"/>
      <c r="AC227" s="14">
        <f t="shared" si="59"/>
        <v>-10592.61</v>
      </c>
      <c r="AD227" s="15">
        <f>IFERROR(AC227/AC444, "NA")</f>
        <v>-0.32912034665015377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944.4</v>
      </c>
      <c r="F229" s="8">
        <f>IFERROR(E229/E444, "NA")</f>
        <v>1.3199987923772164E-2</v>
      </c>
      <c r="G229" s="9"/>
      <c r="H229" s="10">
        <f t="shared" ref="H229:H236" si="60">IFERROR(-(B229-E229), "NA")</f>
        <v>944.4</v>
      </c>
      <c r="I229" s="8">
        <f>IFERROR(H229/H444, "NA")</f>
        <v>0.1059803009508377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1684.83</v>
      </c>
      <c r="U229" s="8">
        <f>IFERROR(T229/T444, "NA")</f>
        <v>1.32000109998133E-2</v>
      </c>
      <c r="V229" s="9"/>
      <c r="W229" s="10">
        <f t="shared" ref="W229:W236" si="62">IFERROR(-(Q229-T229), "NA")</f>
        <v>1684.83</v>
      </c>
      <c r="X229" s="8">
        <f>IFERROR(W229/W444, "NA")</f>
        <v>9.0833956026538085E-2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-3.9472860128007852E-4</v>
      </c>
      <c r="AB230" s="9"/>
      <c r="AC230" s="10">
        <f t="shared" si="63"/>
        <v>-45</v>
      </c>
      <c r="AD230" s="8">
        <f>IFERROR(AC230/AC444, "NA")</f>
        <v>-1.3981837903271166E-3</v>
      </c>
    </row>
    <row r="231" spans="1:30" ht="16.5" customHeight="1" x14ac:dyDescent="0.45">
      <c r="A231" s="6" t="s">
        <v>210</v>
      </c>
      <c r="B231" s="7">
        <v>219.29</v>
      </c>
      <c r="C231" s="8">
        <f>IFERROR(B231/B444, "NA")</f>
        <v>2.7255684772202059E-3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-219.29</v>
      </c>
      <c r="I231" s="8">
        <f>IFERROR(H231/H444, "NA")</f>
        <v>-2.4608661791094028E-2</v>
      </c>
      <c r="J231" s="9"/>
      <c r="K231" s="7">
        <v>210.24</v>
      </c>
      <c r="L231" s="8">
        <f>IFERROR(K231/K444, "NA")</f>
        <v>3.4704259426224233E-3</v>
      </c>
      <c r="M231" s="9"/>
      <c r="N231" s="10">
        <f t="shared" si="61"/>
        <v>-9.0499999999999829</v>
      </c>
      <c r="O231" s="8">
        <f>IFERROR(N231/N444, "NA")</f>
        <v>-4.5531956641502413E-4</v>
      </c>
      <c r="P231" s="9"/>
      <c r="Q231" s="7">
        <v>403.54</v>
      </c>
      <c r="R231" s="8">
        <f>IFERROR(Q231/Q444, "NA")</f>
        <v>2.7604371633891639E-3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-403.54</v>
      </c>
      <c r="X231" s="8">
        <f>IFERROR(W231/W444, "NA")</f>
        <v>-2.1755984054740943E-2</v>
      </c>
      <c r="Y231" s="9"/>
      <c r="Z231" s="7">
        <v>297.39</v>
      </c>
      <c r="AA231" s="8">
        <f>IFERROR(Z231/Z444, "NA")</f>
        <v>2.6086297496596121E-3</v>
      </c>
      <c r="AB231" s="9"/>
      <c r="AC231" s="10">
        <f t="shared" si="63"/>
        <v>-106.15000000000003</v>
      </c>
      <c r="AD231" s="8">
        <f>IFERROR(AC231/AC444, "NA")</f>
        <v>-3.2981602076271881E-3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1072.52</v>
      </c>
      <c r="C234" s="8">
        <f>IFERROR(B234/B444, "NA")</f>
        <v>1.3330414990141891E-2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-1072.52</v>
      </c>
      <c r="I234" s="8">
        <f>IFERROR(H234/H444, "NA")</f>
        <v>-0.12035789112218599</v>
      </c>
      <c r="J234" s="9"/>
      <c r="K234" s="7">
        <v>291.57</v>
      </c>
      <c r="L234" s="8">
        <f>IFERROR(K234/K444, "NA")</f>
        <v>4.8129380331545851E-3</v>
      </c>
      <c r="M234" s="9"/>
      <c r="N234" s="10">
        <f t="shared" si="61"/>
        <v>-780.95</v>
      </c>
      <c r="O234" s="8">
        <f>IFERROR(N234/N444, "NA")</f>
        <v>-3.9290808330587158E-2</v>
      </c>
      <c r="P234" s="9"/>
      <c r="Q234" s="7">
        <v>1786.26</v>
      </c>
      <c r="R234" s="8">
        <f>IFERROR(Q234/Q444, "NA")</f>
        <v>1.2219007997907339E-2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-1786.26</v>
      </c>
      <c r="X234" s="8">
        <f>IFERROR(W234/W444, "NA")</f>
        <v>-9.6302334533433009E-2</v>
      </c>
      <c r="Y234" s="9"/>
      <c r="Z234" s="7">
        <v>832.61</v>
      </c>
      <c r="AA234" s="8">
        <f>IFERROR(Z234/Z444, "NA")</f>
        <v>7.3034440158179156E-3</v>
      </c>
      <c r="AB234" s="9"/>
      <c r="AC234" s="10">
        <f t="shared" si="63"/>
        <v>-953.65</v>
      </c>
      <c r="AD234" s="8">
        <f>IFERROR(AC234/AC444, "NA")</f>
        <v>-2.9630621592121216E-2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1291.81</v>
      </c>
      <c r="C236" s="15">
        <f>IFERROR(B236/B444, "NA")</f>
        <v>1.6055983467362096E-2</v>
      </c>
      <c r="D236" s="2"/>
      <c r="E236" s="14">
        <f>IFERROR(E229+E230+E231+E232+E233+E234+E235, "NA")</f>
        <v>944.4</v>
      </c>
      <c r="F236" s="15">
        <f>IFERROR(E236/E444, "NA")</f>
        <v>1.3199987923772164E-2</v>
      </c>
      <c r="G236" s="2"/>
      <c r="H236" s="14">
        <f t="shared" si="60"/>
        <v>-347.40999999999997</v>
      </c>
      <c r="I236" s="15">
        <f>IFERROR(H236/H444, "NA")</f>
        <v>-3.898625196244232E-2</v>
      </c>
      <c r="J236" s="2"/>
      <c r="K236" s="14">
        <f>IFERROR(K229+K230+K231+K232+K233+K234+K235, "NA")</f>
        <v>501.81</v>
      </c>
      <c r="L236" s="15">
        <f>IFERROR(K236/K444, "NA")</f>
        <v>8.283363975777008E-3</v>
      </c>
      <c r="M236" s="2"/>
      <c r="N236" s="14">
        <f t="shared" si="61"/>
        <v>-790</v>
      </c>
      <c r="O236" s="15">
        <f>IFERROR(N236/N444, "NA")</f>
        <v>-3.974612789700218E-2</v>
      </c>
      <c r="P236" s="2"/>
      <c r="Q236" s="14">
        <f>IFERROR(Q229+Q230+Q231+Q232+Q233+Q234+Q235, "NA")</f>
        <v>2189.8000000000002</v>
      </c>
      <c r="R236" s="15">
        <f>IFERROR(Q236/Q444, "NA")</f>
        <v>1.4979445161296503E-2</v>
      </c>
      <c r="S236" s="2"/>
      <c r="T236" s="14">
        <f>IFERROR(T229+T230+T231+T232+T233+T234+T235, "NA")</f>
        <v>1684.83</v>
      </c>
      <c r="U236" s="15">
        <f>IFERROR(T236/T444, "NA")</f>
        <v>1.32000109998133E-2</v>
      </c>
      <c r="V236" s="2"/>
      <c r="W236" s="14">
        <f t="shared" si="62"/>
        <v>-504.97000000000025</v>
      </c>
      <c r="X236" s="15">
        <f>IFERROR(W236/W444, "NA")</f>
        <v>-2.7224362561635872E-2</v>
      </c>
      <c r="Y236" s="2"/>
      <c r="Z236" s="14">
        <f>IFERROR(Z229+Z230+Z231+Z232+Z233+Z234+Z235, "NA")</f>
        <v>1085</v>
      </c>
      <c r="AA236" s="15">
        <f>IFERROR(Z236/Z444, "NA")</f>
        <v>9.517345164197449E-3</v>
      </c>
      <c r="AB236" s="2"/>
      <c r="AC236" s="14">
        <f t="shared" si="63"/>
        <v>-1104.8000000000002</v>
      </c>
      <c r="AD236" s="15">
        <f>IFERROR(AC236/AC444, "NA")</f>
        <v>-3.4326965590075524E-2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4481.68</v>
      </c>
      <c r="F240" s="8">
        <f>IFERROR(E240/E444, "NA")</f>
        <v>6.2640959210304159E-2</v>
      </c>
      <c r="G240" s="9"/>
      <c r="H240" s="10">
        <f t="shared" ref="H240:H263" si="64">IFERROR(-(B240-E240), "NA")</f>
        <v>4481.68</v>
      </c>
      <c r="I240" s="8">
        <f>IFERROR(H240/H444, "NA")</f>
        <v>0.50293286230977374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7995.4</v>
      </c>
      <c r="U240" s="8">
        <f>IFERROR(T240/T444, "NA")</f>
        <v>6.2640959591120329E-2</v>
      </c>
      <c r="V240" s="9"/>
      <c r="W240" s="10">
        <f t="shared" ref="W240:W263" si="66">IFERROR(-(Q240-T240), "NA")</f>
        <v>7995.4</v>
      </c>
      <c r="X240" s="8">
        <f>IFERROR(W240/W444, "NA")</f>
        <v>0.43105465359388345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1410.74</v>
      </c>
      <c r="C242" s="8">
        <f>IFERROR(B242/B444, "NA")</f>
        <v>1.7534171524253881E-2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-1410.74</v>
      </c>
      <c r="I242" s="8">
        <f>IFERROR(H242/H444, "NA")</f>
        <v>-0.15831284388329606</v>
      </c>
      <c r="J242" s="9"/>
      <c r="K242" s="7">
        <v>876.25</v>
      </c>
      <c r="L242" s="8">
        <f>IFERROR(K242/K444, "NA")</f>
        <v>1.4464234837437683E-2</v>
      </c>
      <c r="M242" s="9"/>
      <c r="N242" s="10">
        <f t="shared" si="65"/>
        <v>-534.49</v>
      </c>
      <c r="O242" s="8">
        <f>IFERROR(N242/N444, "NA")</f>
        <v>-2.6891022657808478E-2</v>
      </c>
      <c r="P242" s="9"/>
      <c r="Q242" s="7">
        <v>2446.7399999999998</v>
      </c>
      <c r="R242" s="8">
        <f>IFERROR(Q242/Q444, "NA")</f>
        <v>1.6737057107475844E-2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-2446.7399999999998</v>
      </c>
      <c r="X242" s="8">
        <f>IFERROR(W242/W444, "NA")</f>
        <v>-0.13191068153366914</v>
      </c>
      <c r="Y242" s="9"/>
      <c r="Z242" s="7">
        <v>1525.78</v>
      </c>
      <c r="AA242" s="8">
        <f>IFERROR(Z242/Z444, "NA")</f>
        <v>1.3383755672469293E-2</v>
      </c>
      <c r="AB242" s="9"/>
      <c r="AC242" s="10">
        <f t="shared" si="67"/>
        <v>-920.95999999999981</v>
      </c>
      <c r="AD242" s="8">
        <f>IFERROR(AC242/AC444, "NA")</f>
        <v>-2.8614918745325801E-2</v>
      </c>
    </row>
    <row r="243" spans="1:30" ht="16.5" customHeight="1" x14ac:dyDescent="0.45">
      <c r="A243" s="12" t="s">
        <v>220</v>
      </c>
      <c r="B243" s="7">
        <v>1670.93</v>
      </c>
      <c r="C243" s="8">
        <f>IFERROR(B243/B444, "NA")</f>
        <v>2.0768088538654562E-2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-1670.93</v>
      </c>
      <c r="I243" s="8">
        <f>IFERROR(H243/H444, "NA")</f>
        <v>-0.18751129210904621</v>
      </c>
      <c r="J243" s="9"/>
      <c r="K243" s="7">
        <v>268.97000000000003</v>
      </c>
      <c r="L243" s="8">
        <f>IFERROR(K243/K444, "NA")</f>
        <v>4.4398804499008434E-3</v>
      </c>
      <c r="M243" s="9"/>
      <c r="N243" s="10">
        <f t="shared" si="65"/>
        <v>-1401.96</v>
      </c>
      <c r="O243" s="8">
        <f>IFERROR(N243/N444, "NA")</f>
        <v>-7.053478666643187E-2</v>
      </c>
      <c r="P243" s="9"/>
      <c r="Q243" s="7">
        <v>2743.71</v>
      </c>
      <c r="R243" s="8">
        <f>IFERROR(Q243/Q444, "NA")</f>
        <v>1.8768496430496315E-2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-2743.71</v>
      </c>
      <c r="X243" s="8">
        <f>IFERROR(W243/W444, "NA")</f>
        <v>-0.1479211751272074</v>
      </c>
      <c r="Y243" s="9"/>
      <c r="Z243" s="7">
        <v>350.31</v>
      </c>
      <c r="AA243" s="8">
        <f>IFERROR(Z243/Z444, "NA")</f>
        <v>3.0728305847649846E-3</v>
      </c>
      <c r="AB243" s="9"/>
      <c r="AC243" s="10">
        <f t="shared" si="67"/>
        <v>-2393.4</v>
      </c>
      <c r="AD243" s="8">
        <f>IFERROR(AC243/AC444, "NA")</f>
        <v>-7.4364735194864903E-2</v>
      </c>
    </row>
    <row r="244" spans="1:30" ht="16.5" customHeight="1" x14ac:dyDescent="0.45">
      <c r="A244" s="12" t="s">
        <v>221</v>
      </c>
      <c r="B244" s="7">
        <v>340.62</v>
      </c>
      <c r="C244" s="8">
        <f>IFERROR(B244/B444, "NA")</f>
        <v>4.2335862771250244E-3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-340.62</v>
      </c>
      <c r="I244" s="8">
        <f>IFERROR(H244/H444, "NA")</f>
        <v>-3.8224280082459067E-2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-340.62</v>
      </c>
      <c r="O244" s="8">
        <f>IFERROR(N244/N444, "NA")</f>
        <v>-1.713712162566694E-2</v>
      </c>
      <c r="P244" s="9"/>
      <c r="Q244" s="7">
        <v>737.25</v>
      </c>
      <c r="R244" s="8">
        <f>IFERROR(Q244/Q444, "NA")</f>
        <v>5.043198440572585E-3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-737.25</v>
      </c>
      <c r="X244" s="8">
        <f>IFERROR(W244/W444, "NA")</f>
        <v>-3.9747235080432569E-2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-737.25</v>
      </c>
      <c r="AD244" s="8">
        <f>IFERROR(AC244/AC444, "NA")</f>
        <v>-2.2906911098192595E-2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509.12</v>
      </c>
      <c r="C246" s="8">
        <f>IFERROR(B246/B444, "NA")</f>
        <v>6.3278828178318725E-3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-509.12</v>
      </c>
      <c r="I246" s="8">
        <f>IFERROR(H246/H444, "NA")</f>
        <v>-5.7133302435504546E-2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-509.12</v>
      </c>
      <c r="O246" s="8">
        <f>IFERROR(N246/N444, "NA")</f>
        <v>-2.5614618525217406E-2</v>
      </c>
      <c r="P246" s="9"/>
      <c r="Q246" s="7">
        <v>821.42</v>
      </c>
      <c r="R246" s="8">
        <f>IFERROR(Q246/Q444, "NA")</f>
        <v>5.6189678712175416E-3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-821.42</v>
      </c>
      <c r="X246" s="8">
        <f>IFERROR(W246/W444, "NA")</f>
        <v>-4.4285078114301692E-2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-821.42</v>
      </c>
      <c r="AD246" s="8">
        <f>IFERROR(AC246/AC444, "NA")</f>
        <v>-2.5522136201122224E-2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20.69</v>
      </c>
      <c r="L247" s="8">
        <f>IFERROR(K247/K444, "NA")</f>
        <v>3.4152926537698794E-4</v>
      </c>
      <c r="M247" s="9"/>
      <c r="N247" s="10">
        <f t="shared" si="65"/>
        <v>20.69</v>
      </c>
      <c r="O247" s="8">
        <f>IFERROR(N247/N444, "NA")</f>
        <v>1.0409460584670572E-3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41.97</v>
      </c>
      <c r="AA247" s="8">
        <f>IFERROR(Z247/Z444, "NA")</f>
        <v>3.6815020879388656E-4</v>
      </c>
      <c r="AB247" s="9"/>
      <c r="AC247" s="10">
        <f t="shared" si="67"/>
        <v>41.97</v>
      </c>
      <c r="AD247" s="8">
        <f>IFERROR(AC247/AC444, "NA")</f>
        <v>1.3040394151117574E-3</v>
      </c>
    </row>
    <row r="248" spans="1:30" ht="16.5" customHeight="1" x14ac:dyDescent="0.45">
      <c r="A248" s="12" t="s">
        <v>225</v>
      </c>
      <c r="B248" s="7">
        <v>234.49</v>
      </c>
      <c r="C248" s="8">
        <f>IFERROR(B248/B444, "NA")</f>
        <v>2.9144901829694292E-3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-234.49</v>
      </c>
      <c r="I248" s="8">
        <f>IFERROR(H248/H444, "NA")</f>
        <v>-2.631440149297113E-2</v>
      </c>
      <c r="J248" s="9"/>
      <c r="K248" s="7">
        <v>132.05000000000001</v>
      </c>
      <c r="L248" s="8">
        <f>IFERROR(K248/K444, "NA")</f>
        <v>2.1797457464007375E-3</v>
      </c>
      <c r="M248" s="9"/>
      <c r="N248" s="10">
        <f t="shared" si="65"/>
        <v>-102.44</v>
      </c>
      <c r="O248" s="8">
        <f>IFERROR(N248/N444, "NA")</f>
        <v>-5.1539156224922828E-3</v>
      </c>
      <c r="P248" s="9"/>
      <c r="Q248" s="7">
        <v>474.35</v>
      </c>
      <c r="R248" s="8">
        <f>IFERROR(Q248/Q444, "NA")</f>
        <v>3.2448167925203195E-3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-474.35</v>
      </c>
      <c r="X248" s="8">
        <f>IFERROR(W248/W444, "NA")</f>
        <v>-2.55735516587361E-2</v>
      </c>
      <c r="Y248" s="9"/>
      <c r="Z248" s="7">
        <v>132.05000000000001</v>
      </c>
      <c r="AA248" s="8">
        <f>IFERROR(Z248/Z444, "NA")</f>
        <v>1.1583091510896527E-3</v>
      </c>
      <c r="AB248" s="9"/>
      <c r="AC248" s="10">
        <f t="shared" si="67"/>
        <v>-342.3</v>
      </c>
      <c r="AD248" s="8">
        <f>IFERROR(AC248/AC444, "NA")</f>
        <v>-1.0635518031754934E-2</v>
      </c>
    </row>
    <row r="249" spans="1:30" ht="16.5" customHeight="1" x14ac:dyDescent="0.45">
      <c r="A249" s="12" t="s">
        <v>226</v>
      </c>
      <c r="B249" s="7">
        <v>1942.73</v>
      </c>
      <c r="C249" s="8">
        <f>IFERROR(B249/B444, "NA")</f>
        <v>2.4146306934880801E-2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-1942.73</v>
      </c>
      <c r="I249" s="8">
        <f>IFERROR(H249/H444, "NA")</f>
        <v>-0.21801261125182225</v>
      </c>
      <c r="J249" s="9"/>
      <c r="K249" s="7">
        <v>1327.19</v>
      </c>
      <c r="L249" s="8">
        <f>IFERROR(K249/K444, "NA")</f>
        <v>2.1907889111439566E-2</v>
      </c>
      <c r="M249" s="9"/>
      <c r="N249" s="10">
        <f t="shared" si="65"/>
        <v>-615.54</v>
      </c>
      <c r="O249" s="8">
        <f>IFERROR(N249/N444, "NA")</f>
        <v>-3.09687741338237E-2</v>
      </c>
      <c r="P249" s="9"/>
      <c r="Q249" s="7">
        <v>3399.93</v>
      </c>
      <c r="R249" s="8">
        <f>IFERROR(Q249/Q444, "NA")</f>
        <v>2.3257404780001285E-2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-3399.93</v>
      </c>
      <c r="X249" s="8">
        <f>IFERROR(W249/W444, "NA")</f>
        <v>-0.18329985346492383</v>
      </c>
      <c r="Y249" s="9"/>
      <c r="Z249" s="7">
        <v>2184.12</v>
      </c>
      <c r="AA249" s="8">
        <f>IFERROR(Z249/Z444, "NA")</f>
        <v>1.915854739172989E-2</v>
      </c>
      <c r="AB249" s="9"/>
      <c r="AC249" s="10">
        <f t="shared" si="67"/>
        <v>-1215.81</v>
      </c>
      <c r="AD249" s="8">
        <f>IFERROR(AC249/AC444, "NA")</f>
        <v>-3.7776129647058031E-2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0.6</v>
      </c>
      <c r="L250" s="8">
        <f>IFERROR(K250/K444, "NA")</f>
        <v>9.9041836262055449E-6</v>
      </c>
      <c r="M250" s="9"/>
      <c r="N250" s="10">
        <f t="shared" si="65"/>
        <v>0.6</v>
      </c>
      <c r="O250" s="8">
        <f>IFERROR(N250/N444, "NA")</f>
        <v>3.0186932580001658E-5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5.2630480170677138E-6</v>
      </c>
      <c r="AB250" s="9"/>
      <c r="AC250" s="10">
        <f t="shared" si="67"/>
        <v>0.6</v>
      </c>
      <c r="AD250" s="8">
        <f>IFERROR(AC250/AC444, "NA")</f>
        <v>1.8642450537694888E-5</v>
      </c>
    </row>
    <row r="251" spans="1:30" ht="16.5" customHeight="1" x14ac:dyDescent="0.45">
      <c r="A251" s="12" t="s">
        <v>228</v>
      </c>
      <c r="B251" s="7">
        <v>29.22</v>
      </c>
      <c r="C251" s="8">
        <f>IFERROR(B251/B444, "NA")</f>
        <v>3.6317712118370387E-4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-29.22</v>
      </c>
      <c r="I251" s="8">
        <f>IFERROR(H251/H444, "NA")</f>
        <v>-3.2790601374242667E-3</v>
      </c>
      <c r="J251" s="9"/>
      <c r="K251" s="7">
        <v>69.53</v>
      </c>
      <c r="L251" s="8">
        <f>IFERROR(K251/K444, "NA")</f>
        <v>1.1477298125501193E-3</v>
      </c>
      <c r="M251" s="9"/>
      <c r="N251" s="10">
        <f t="shared" si="65"/>
        <v>40.31</v>
      </c>
      <c r="O251" s="8">
        <f>IFERROR(N251/N444, "NA")</f>
        <v>2.0280587538331115E-3</v>
      </c>
      <c r="P251" s="9"/>
      <c r="Q251" s="7">
        <v>66.19</v>
      </c>
      <c r="R251" s="8">
        <f>IFERROR(Q251/Q444, "NA")</f>
        <v>4.5277626962563497E-4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-66.19</v>
      </c>
      <c r="X251" s="8">
        <f>IFERROR(W251/W444, "NA")</f>
        <v>-3.568490322107605E-3</v>
      </c>
      <c r="Y251" s="9"/>
      <c r="Z251" s="7">
        <v>69.53</v>
      </c>
      <c r="AA251" s="8">
        <f>IFERROR(Z251/Z444, "NA")</f>
        <v>6.0989954771119694E-4</v>
      </c>
      <c r="AB251" s="9"/>
      <c r="AC251" s="10">
        <f t="shared" si="67"/>
        <v>3.3400000000000034</v>
      </c>
      <c r="AD251" s="8">
        <f>IFERROR(AC251/AC444, "NA")</f>
        <v>1.0377630799316831E-4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6137.8499999999995</v>
      </c>
      <c r="C262" s="15">
        <f>IFERROR(B262/B444, "NA")</f>
        <v>7.6287703396899262E-2</v>
      </c>
      <c r="D262" s="2"/>
      <c r="E262" s="14">
        <f>IFERROR(E240+E241+E242+E243+E244+E245+E246+E247+E248+E249+E250+E251+E252+E253+E254+E255+E256+E257+E258+E259+E260+E261, "NA")</f>
        <v>4481.68</v>
      </c>
      <c r="F262" s="15">
        <f>IFERROR(E262/E444, "NA")</f>
        <v>6.2640959210304159E-2</v>
      </c>
      <c r="G262" s="2"/>
      <c r="H262" s="14">
        <f t="shared" si="64"/>
        <v>-1656.1699999999992</v>
      </c>
      <c r="I262" s="15">
        <f>IFERROR(H262/H444, "NA")</f>
        <v>-0.18585492908274967</v>
      </c>
      <c r="J262" s="2"/>
      <c r="K262" s="14">
        <f>IFERROR(K240+K241+K242+K243+K244+K245+K246+K247+K248+K249+K250+K251+K252+K253+K254+K255+K256+K257+K258+K259+K260+K261, "NA")</f>
        <v>2695.28</v>
      </c>
      <c r="L262" s="15">
        <f>IFERROR(K262/K444, "NA")</f>
        <v>4.4490913406732141E-2</v>
      </c>
      <c r="M262" s="2"/>
      <c r="N262" s="14">
        <f t="shared" si="65"/>
        <v>-3442.5699999999993</v>
      </c>
      <c r="O262" s="15">
        <f>IFERROR(N262/N444, "NA")</f>
        <v>-0.17320104748656048</v>
      </c>
      <c r="P262" s="2"/>
      <c r="Q262" s="14">
        <f>IFERROR(Q240+Q241+Q242+Q243+Q244+Q245+Q246+Q247+Q248+Q249+Q250+Q251+Q252+Q253+Q254+Q255+Q256+Q257+Q258+Q259+Q260+Q261, "NA")</f>
        <v>10689.59</v>
      </c>
      <c r="R262" s="15">
        <f>IFERROR(Q262/Q444, "NA")</f>
        <v>7.312271769190952E-2</v>
      </c>
      <c r="S262" s="2"/>
      <c r="T262" s="14">
        <f>IFERROR(T240+T241+T242+T243+T244+T245+T246+T247+T248+T249+T250+T251+T252+T253+T254+T255+T256+T257+T258+T259+T260+T261, "NA")</f>
        <v>7995.4</v>
      </c>
      <c r="U262" s="15">
        <f>IFERROR(T262/T444, "NA")</f>
        <v>6.2640959591120329E-2</v>
      </c>
      <c r="V262" s="2"/>
      <c r="W262" s="14">
        <f t="shared" si="66"/>
        <v>-2694.1900000000005</v>
      </c>
      <c r="X262" s="15">
        <f>IFERROR(W262/W444, "NA")</f>
        <v>-0.14525141170749495</v>
      </c>
      <c r="Y262" s="2"/>
      <c r="Z262" s="14">
        <f>IFERROR(Z240+Z241+Z242+Z243+Z244+Z245+Z246+Z247+Z248+Z249+Z250+Z251+Z252+Z253+Z254+Z255+Z256+Z257+Z258+Z259+Z260+Z261, "NA")</f>
        <v>4304.3599999999997</v>
      </c>
      <c r="AA262" s="15">
        <f>IFERROR(Z262/Z444, "NA")</f>
        <v>3.7756755604575969E-2</v>
      </c>
      <c r="AB262" s="2"/>
      <c r="AC262" s="14">
        <f t="shared" si="67"/>
        <v>-6385.2300000000005</v>
      </c>
      <c r="AD262" s="15">
        <f>IFERROR(AC262/AC444, "NA")</f>
        <v>-0.19839389074467589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6137.8499999999995</v>
      </c>
      <c r="C263" s="15">
        <f>IFERROR(B263/B444, "NA")</f>
        <v>7.6287703396899262E-2</v>
      </c>
      <c r="D263" s="2"/>
      <c r="E263" s="14">
        <f>IFERROR(E238+E240+E241+E242+E243+E244+E245+E246+E247+E248+E249+E250+E251+E252+E253+E254+E255+E256+E257+E258+E259+E260+E261, "NA")</f>
        <v>4481.68</v>
      </c>
      <c r="F263" s="15">
        <f>IFERROR(E263/E444, "NA")</f>
        <v>6.2640959210304159E-2</v>
      </c>
      <c r="G263" s="2"/>
      <c r="H263" s="14">
        <f t="shared" si="64"/>
        <v>-1656.1699999999992</v>
      </c>
      <c r="I263" s="15">
        <f>IFERROR(H263/H444, "NA")</f>
        <v>-0.18585492908274967</v>
      </c>
      <c r="J263" s="2"/>
      <c r="K263" s="14">
        <f>IFERROR(K238+K240+K241+K242+K243+K244+K245+K246+K247+K248+K249+K250+K251+K252+K253+K254+K255+K256+K257+K258+K259+K260+K261, "NA")</f>
        <v>2695.28</v>
      </c>
      <c r="L263" s="15">
        <f>IFERROR(K263/K444, "NA")</f>
        <v>4.4490913406732141E-2</v>
      </c>
      <c r="M263" s="2"/>
      <c r="N263" s="14">
        <f t="shared" si="65"/>
        <v>-3442.5699999999993</v>
      </c>
      <c r="O263" s="15">
        <f>IFERROR(N263/N444, "NA")</f>
        <v>-0.17320104748656048</v>
      </c>
      <c r="P263" s="2"/>
      <c r="Q263" s="14">
        <f>IFERROR(Q238+Q240+Q241+Q242+Q243+Q244+Q245+Q246+Q247+Q248+Q249+Q250+Q251+Q252+Q253+Q254+Q255+Q256+Q257+Q258+Q259+Q260+Q261, "NA")</f>
        <v>10689.59</v>
      </c>
      <c r="R263" s="15">
        <f>IFERROR(Q263/Q444, "NA")</f>
        <v>7.312271769190952E-2</v>
      </c>
      <c r="S263" s="2"/>
      <c r="T263" s="14">
        <f>IFERROR(T238+T240+T241+T242+T243+T244+T245+T246+T247+T248+T249+T250+T251+T252+T253+T254+T255+T256+T257+T258+T259+T260+T261, "NA")</f>
        <v>7995.4</v>
      </c>
      <c r="U263" s="15">
        <f>IFERROR(T263/T444, "NA")</f>
        <v>6.2640959591120329E-2</v>
      </c>
      <c r="V263" s="2"/>
      <c r="W263" s="14">
        <f t="shared" si="66"/>
        <v>-2694.1900000000005</v>
      </c>
      <c r="X263" s="15">
        <f>IFERROR(W263/W444, "NA")</f>
        <v>-0.14525141170749495</v>
      </c>
      <c r="Y263" s="2"/>
      <c r="Z263" s="14">
        <f>IFERROR(Z238+Z240+Z241+Z242+Z243+Z244+Z245+Z246+Z247+Z248+Z249+Z250+Z251+Z252+Z253+Z254+Z255+Z256+Z257+Z258+Z259+Z260+Z261, "NA")</f>
        <v>4304.3599999999997</v>
      </c>
      <c r="AA263" s="15">
        <f>IFERROR(Z263/Z444, "NA")</f>
        <v>3.7756755604575969E-2</v>
      </c>
      <c r="AB263" s="2"/>
      <c r="AC263" s="14">
        <f t="shared" si="67"/>
        <v>-6385.2300000000005</v>
      </c>
      <c r="AD263" s="15">
        <f>IFERROR(AC263/AC444, "NA")</f>
        <v>-0.19839389074467589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1724.25</v>
      </c>
      <c r="C265" s="8">
        <f>IFERROR(B265/B444, "NA")</f>
        <v>2.1430805995927494E-2</v>
      </c>
      <c r="D265" s="9"/>
      <c r="E265" s="7">
        <v>1931.73</v>
      </c>
      <c r="F265" s="8">
        <f>IFERROR(E265/E444, "NA")</f>
        <v>2.7000013418030926E-2</v>
      </c>
      <c r="G265" s="9"/>
      <c r="H265" s="10">
        <f>IFERROR(-(B265-E265), "NA")</f>
        <v>207.48000000000002</v>
      </c>
      <c r="I265" s="8">
        <f>IFERROR(H265/H444, "NA")</f>
        <v>2.3283346930622416E-2</v>
      </c>
      <c r="J265" s="9"/>
      <c r="K265" s="7">
        <v>1575.56</v>
      </c>
      <c r="L265" s="8">
        <f>IFERROR(K265/K444, "NA")</f>
        <v>2.6007725923507349E-2</v>
      </c>
      <c r="M265" s="9"/>
      <c r="N265" s="10">
        <f>IFERROR(-(B265-K265), "NA")</f>
        <v>-148.69000000000005</v>
      </c>
      <c r="O265" s="8">
        <f>IFERROR(N265/N444, "NA")</f>
        <v>-7.4808250088674137E-3</v>
      </c>
      <c r="P265" s="9"/>
      <c r="Q265" s="7">
        <v>3204.44</v>
      </c>
      <c r="R265" s="8">
        <f>IFERROR(Q265/Q444, "NA")</f>
        <v>2.1920144877461394E-2</v>
      </c>
      <c r="S265" s="9"/>
      <c r="T265" s="7">
        <v>3446.24</v>
      </c>
      <c r="U265" s="8">
        <f>IFERROR(T265/T444, "NA")</f>
        <v>2.6999997571266292E-2</v>
      </c>
      <c r="V265" s="9"/>
      <c r="W265" s="10">
        <f>IFERROR(-(Q265-T265), "NA")</f>
        <v>241.79999999999973</v>
      </c>
      <c r="X265" s="8">
        <f>IFERROR(W265/W444, "NA")</f>
        <v>1.3036122675413476E-2</v>
      </c>
      <c r="Y265" s="9"/>
      <c r="Z265" s="7">
        <v>2875.59</v>
      </c>
      <c r="AA265" s="8">
        <f>IFERROR(Z265/Z444, "NA")</f>
        <v>2.5223947078999578E-2</v>
      </c>
      <c r="AB265" s="9"/>
      <c r="AC265" s="10">
        <f>IFERROR(-(Q265-Z265), "NA")</f>
        <v>-328.84999999999991</v>
      </c>
      <c r="AD265" s="8">
        <f>IFERROR(AC265/AC444, "NA")</f>
        <v>-1.0217616432201603E-2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1724.25</v>
      </c>
      <c r="C267" s="15">
        <f>IFERROR(B267/B444, "NA")</f>
        <v>2.1430805995927494E-2</v>
      </c>
      <c r="D267" s="2"/>
      <c r="E267" s="14">
        <f>IFERROR(E265+E266, "NA")</f>
        <v>1931.73</v>
      </c>
      <c r="F267" s="15">
        <f>IFERROR(E267/E444, "NA")</f>
        <v>2.7000013418030926E-2</v>
      </c>
      <c r="G267" s="2"/>
      <c r="H267" s="14">
        <f>IFERROR(-(B267-E267), "NA")</f>
        <v>207.48000000000002</v>
      </c>
      <c r="I267" s="15">
        <f>IFERROR(H267/H444, "NA")</f>
        <v>2.3283346930622416E-2</v>
      </c>
      <c r="J267" s="2"/>
      <c r="K267" s="14">
        <f>IFERROR(K265+K266, "NA")</f>
        <v>1575.56</v>
      </c>
      <c r="L267" s="15">
        <f>IFERROR(K267/K444, "NA")</f>
        <v>2.6007725923507349E-2</v>
      </c>
      <c r="M267" s="2"/>
      <c r="N267" s="14">
        <f>IFERROR(-(B267-K267), "NA")</f>
        <v>-148.69000000000005</v>
      </c>
      <c r="O267" s="15">
        <f>IFERROR(N267/N444, "NA")</f>
        <v>-7.4808250088674137E-3</v>
      </c>
      <c r="P267" s="2"/>
      <c r="Q267" s="14">
        <f>IFERROR(Q265+Q266, "NA")</f>
        <v>3204.44</v>
      </c>
      <c r="R267" s="15">
        <f>IFERROR(Q267/Q444, "NA")</f>
        <v>2.1920144877461394E-2</v>
      </c>
      <c r="S267" s="2"/>
      <c r="T267" s="14">
        <f>IFERROR(T265+T266, "NA")</f>
        <v>3446.24</v>
      </c>
      <c r="U267" s="15">
        <f>IFERROR(T267/T444, "NA")</f>
        <v>2.6999997571266292E-2</v>
      </c>
      <c r="V267" s="2"/>
      <c r="W267" s="14">
        <f>IFERROR(-(Q267-T267), "NA")</f>
        <v>241.79999999999973</v>
      </c>
      <c r="X267" s="15">
        <f>IFERROR(W267/W444, "NA")</f>
        <v>1.3036122675413476E-2</v>
      </c>
      <c r="Y267" s="2"/>
      <c r="Z267" s="14">
        <f>IFERROR(Z265+Z266, "NA")</f>
        <v>2875.59</v>
      </c>
      <c r="AA267" s="15">
        <f>IFERROR(Z267/Z444, "NA")</f>
        <v>2.5223947078999578E-2</v>
      </c>
      <c r="AB267" s="2"/>
      <c r="AC267" s="14">
        <f>IFERROR(-(Q267-Z267), "NA")</f>
        <v>-328.84999999999991</v>
      </c>
      <c r="AD267" s="15">
        <f>IFERROR(AC267/AC444, "NA")</f>
        <v>-1.0217616432201603E-2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342.25</v>
      </c>
      <c r="C270" s="8">
        <f>IFERROR(B270/B444, "NA")</f>
        <v>4.2538456442547104E-3</v>
      </c>
      <c r="D270" s="9"/>
      <c r="E270" s="7">
        <v>174.54</v>
      </c>
      <c r="F270" s="8">
        <f>IFERROR(E270/E444, "NA")</f>
        <v>2.4395657477924541E-3</v>
      </c>
      <c r="G270" s="9"/>
      <c r="H270" s="10">
        <f>IFERROR(-(B270-E270), "NA")</f>
        <v>-167.71</v>
      </c>
      <c r="I270" s="8">
        <f>IFERROR(H270/H444, "NA")</f>
        <v>-1.8820368776434764E-2</v>
      </c>
      <c r="J270" s="9"/>
      <c r="K270" s="7">
        <v>296.5</v>
      </c>
      <c r="L270" s="8">
        <f>IFERROR(K270/K444, "NA")</f>
        <v>4.8943174086165742E-3</v>
      </c>
      <c r="M270" s="9"/>
      <c r="N270" s="10">
        <f>IFERROR(-(B270-K270), "NA")</f>
        <v>-45.75</v>
      </c>
      <c r="O270" s="8">
        <f>IFERROR(N270/N444, "NA")</f>
        <v>-2.3017536092251266E-3</v>
      </c>
      <c r="P270" s="9"/>
      <c r="Q270" s="7">
        <v>684.5</v>
      </c>
      <c r="R270" s="8">
        <f>IFERROR(Q270/Q444, "NA")</f>
        <v>4.6823592167811925E-3</v>
      </c>
      <c r="S270" s="9"/>
      <c r="T270" s="7">
        <v>324.57</v>
      </c>
      <c r="U270" s="8">
        <f>IFERROR(T270/T444, "NA")</f>
        <v>2.5428841902206175E-3</v>
      </c>
      <c r="V270" s="9"/>
      <c r="W270" s="10">
        <f>IFERROR(-(Q270-T270), "NA")</f>
        <v>-359.93</v>
      </c>
      <c r="X270" s="8">
        <f>IFERROR(W270/W444, "NA")</f>
        <v>-1.940484546965086E-2</v>
      </c>
      <c r="Y270" s="9"/>
      <c r="Z270" s="7">
        <v>593</v>
      </c>
      <c r="AA270" s="8">
        <f>IFERROR(Z270/Z444, "NA")</f>
        <v>5.2016457902019234E-3</v>
      </c>
      <c r="AB270" s="9"/>
      <c r="AC270" s="10">
        <f>IFERROR(-(Q270-Z270), "NA")</f>
        <v>-91.5</v>
      </c>
      <c r="AD270" s="8">
        <f>IFERROR(AC270/AC444, "NA")</f>
        <v>-2.8429737069984706E-3</v>
      </c>
    </row>
    <row r="271" spans="1:30" ht="16.5" customHeight="1" x14ac:dyDescent="0.45">
      <c r="A271" s="6" t="s">
        <v>246</v>
      </c>
      <c r="B271" s="7">
        <v>952.74</v>
      </c>
      <c r="C271" s="8">
        <f>IFERROR(B271/B444, "NA")</f>
        <v>1.1841662232599658E-2</v>
      </c>
      <c r="D271" s="9"/>
      <c r="E271" s="7">
        <v>429.27</v>
      </c>
      <c r="F271" s="8">
        <f>IFERROR(E271/E444, "NA")</f>
        <v>5.9999563913994891E-3</v>
      </c>
      <c r="G271" s="9"/>
      <c r="H271" s="10">
        <f>IFERROR(-(B271-E271), "NA")</f>
        <v>-523.47</v>
      </c>
      <c r="I271" s="8">
        <f>IFERROR(H271/H444, "NA")</f>
        <v>-5.8743655377737208E-2</v>
      </c>
      <c r="J271" s="9"/>
      <c r="K271" s="7">
        <v>762.02</v>
      </c>
      <c r="L271" s="8">
        <f>IFERROR(K271/K444, "NA")</f>
        <v>1.2578643344735249E-2</v>
      </c>
      <c r="M271" s="9"/>
      <c r="N271" s="10">
        <f>IFERROR(-(B271-K271), "NA")</f>
        <v>-190.72000000000003</v>
      </c>
      <c r="O271" s="8">
        <f>IFERROR(N271/N444, "NA")</f>
        <v>-9.5954196360965287E-3</v>
      </c>
      <c r="P271" s="9"/>
      <c r="Q271" s="7">
        <v>1905.48</v>
      </c>
      <c r="R271" s="8">
        <f>IFERROR(Q271/Q444, "NA")</f>
        <v>1.3034538846445912E-2</v>
      </c>
      <c r="S271" s="9"/>
      <c r="T271" s="7">
        <v>765.83</v>
      </c>
      <c r="U271" s="8">
        <f>IFERROR(T271/T444, "NA")</f>
        <v>5.9999907551426673E-3</v>
      </c>
      <c r="V271" s="9"/>
      <c r="W271" s="10">
        <f>IFERROR(-(Q271-T271), "NA")</f>
        <v>-1139.6500000000001</v>
      </c>
      <c r="X271" s="8">
        <f>IFERROR(W271/W444, "NA")</f>
        <v>-6.1441758507175294E-2</v>
      </c>
      <c r="Y271" s="9"/>
      <c r="Z271" s="7">
        <v>1524.04</v>
      </c>
      <c r="AA271" s="8">
        <f>IFERROR(Z271/Z444, "NA")</f>
        <v>1.3368492833219796E-2</v>
      </c>
      <c r="AB271" s="9"/>
      <c r="AC271" s="10">
        <f>IFERROR(-(Q271-Z271), "NA")</f>
        <v>-381.44000000000005</v>
      </c>
      <c r="AD271" s="8">
        <f>IFERROR(AC271/AC444, "NA")</f>
        <v>-1.1851627221830564E-2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1294.99</v>
      </c>
      <c r="C273" s="15">
        <f>IFERROR(B273/B444, "NA")</f>
        <v>1.6095507876854369E-2</v>
      </c>
      <c r="D273" s="2"/>
      <c r="E273" s="14">
        <f>IFERROR(E269+E270+E271+E272, "NA")</f>
        <v>603.80999999999995</v>
      </c>
      <c r="F273" s="15">
        <f>IFERROR(E273/E444, "NA")</f>
        <v>8.4395221391919423E-3</v>
      </c>
      <c r="G273" s="2"/>
      <c r="H273" s="14">
        <f>IFERROR(-(B273-E273), "NA")</f>
        <v>-691.18000000000006</v>
      </c>
      <c r="I273" s="15">
        <f>IFERROR(H273/H444, "NA")</f>
        <v>-7.7564024154171976E-2</v>
      </c>
      <c r="J273" s="2"/>
      <c r="K273" s="14">
        <f>IFERROR(K269+K270+K271+K272, "NA")</f>
        <v>1058.52</v>
      </c>
      <c r="L273" s="15">
        <f>IFERROR(K273/K444, "NA")</f>
        <v>1.7472960753351825E-2</v>
      </c>
      <c r="M273" s="2"/>
      <c r="N273" s="14">
        <f>IFERROR(-(B273-K273), "NA")</f>
        <v>-236.47000000000003</v>
      </c>
      <c r="O273" s="15">
        <f>IFERROR(N273/N444, "NA")</f>
        <v>-1.1897173245321654E-2</v>
      </c>
      <c r="P273" s="2"/>
      <c r="Q273" s="14">
        <f>IFERROR(Q269+Q270+Q271+Q272, "NA")</f>
        <v>2589.98</v>
      </c>
      <c r="R273" s="15">
        <f>IFERROR(Q273/Q444, "NA")</f>
        <v>1.7716898063227106E-2</v>
      </c>
      <c r="S273" s="2"/>
      <c r="T273" s="14">
        <f>IFERROR(T269+T270+T271+T272, "NA")</f>
        <v>1090.4000000000001</v>
      </c>
      <c r="U273" s="15">
        <f>IFERROR(T273/T444, "NA")</f>
        <v>8.5428749453632848E-3</v>
      </c>
      <c r="V273" s="2"/>
      <c r="W273" s="14">
        <f>IFERROR(-(Q273-T273), "NA")</f>
        <v>-1499.58</v>
      </c>
      <c r="X273" s="15">
        <f>IFERROR(W273/W444, "NA")</f>
        <v>-8.0846603976826137E-2</v>
      </c>
      <c r="Y273" s="2"/>
      <c r="Z273" s="14">
        <f>IFERROR(Z269+Z270+Z271+Z272, "NA")</f>
        <v>2117.04</v>
      </c>
      <c r="AA273" s="15">
        <f>IFERROR(Z273/Z444, "NA")</f>
        <v>1.857013862342172E-2</v>
      </c>
      <c r="AB273" s="2"/>
      <c r="AC273" s="14">
        <f>IFERROR(-(Q273-Z273), "NA")</f>
        <v>-472.94000000000005</v>
      </c>
      <c r="AD273" s="15">
        <f>IFERROR(AC273/AC444, "NA")</f>
        <v>-1.4694600928829035E-2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4.6264252464724553E-3</v>
      </c>
      <c r="G287" s="9"/>
      <c r="H287" s="10">
        <f t="shared" si="72"/>
        <v>331</v>
      </c>
      <c r="I287" s="8">
        <f>IFERROR(H287/H444, "NA")</f>
        <v>3.7144726402718424E-2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662</v>
      </c>
      <c r="U287" s="8">
        <f>IFERROR(T287/T444, "NA")</f>
        <v>5.1865216561174749E-3</v>
      </c>
      <c r="V287" s="9"/>
      <c r="W287" s="10">
        <f t="shared" si="74"/>
        <v>662</v>
      </c>
      <c r="X287" s="8">
        <f>IFERROR(W287/W444, "NA")</f>
        <v>3.5690294504233791E-2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1.7089956934551432E-3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-1.5430211118954028E-2</v>
      </c>
      <c r="J288" s="9"/>
      <c r="K288" s="7">
        <v>137.5</v>
      </c>
      <c r="L288" s="8">
        <f>IFERROR(K288/K444, "NA")</f>
        <v>2.2697087476721044E-3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275</v>
      </c>
      <c r="R288" s="8">
        <f>IFERROR(Q288/Q444, "NA")</f>
        <v>1.8811523515191058E-3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-275</v>
      </c>
      <c r="X288" s="8">
        <f>IFERROR(W288/W444, "NA")</f>
        <v>-1.4826028683782919E-2</v>
      </c>
      <c r="Y288" s="9"/>
      <c r="Z288" s="7">
        <v>275</v>
      </c>
      <c r="AA288" s="8">
        <f>IFERROR(Z288/Z444, "NA")</f>
        <v>2.4122303411560353E-3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220.88</v>
      </c>
      <c r="C289" s="8">
        <f>IFERROR(B289/B444, "NA")</f>
        <v>2.7453306819663417E-3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-220.88</v>
      </c>
      <c r="I289" s="8">
        <f>IFERROR(H289/H444, "NA")</f>
        <v>-2.4787091141487749E-2</v>
      </c>
      <c r="J289" s="9"/>
      <c r="K289" s="7">
        <v>198.58</v>
      </c>
      <c r="L289" s="8">
        <f>IFERROR(K289/K444, "NA")</f>
        <v>3.2779546408198291E-3</v>
      </c>
      <c r="M289" s="9"/>
      <c r="N289" s="10">
        <f t="shared" si="73"/>
        <v>-22.299999999999983</v>
      </c>
      <c r="O289" s="8">
        <f>IFERROR(N289/N444, "NA")</f>
        <v>-1.1219476608900609E-3</v>
      </c>
      <c r="P289" s="9"/>
      <c r="Q289" s="7">
        <v>438.85</v>
      </c>
      <c r="R289" s="8">
        <f>IFERROR(Q289/Q444, "NA")</f>
        <v>3.001977125324217E-3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-438.85</v>
      </c>
      <c r="X289" s="8">
        <f>IFERROR(W289/W444, "NA")</f>
        <v>-2.3659646137738671E-2</v>
      </c>
      <c r="Y289" s="9"/>
      <c r="Z289" s="7">
        <v>397.16</v>
      </c>
      <c r="AA289" s="8">
        <f>IFERROR(Z289/Z444, "NA")</f>
        <v>3.4837869174310222E-3</v>
      </c>
      <c r="AB289" s="9"/>
      <c r="AC289" s="10">
        <f t="shared" si="75"/>
        <v>-41.69</v>
      </c>
      <c r="AD289" s="8">
        <f>IFERROR(AC289/AC444, "NA")</f>
        <v>-1.295339604860833E-3</v>
      </c>
    </row>
    <row r="290" spans="1:30" ht="16.5" customHeight="1" x14ac:dyDescent="0.45">
      <c r="A290" s="6" t="s">
        <v>263</v>
      </c>
      <c r="B290" s="7">
        <v>1147.8900000000001</v>
      </c>
      <c r="C290" s="8">
        <f>IFERROR(B290/B444, "NA")</f>
        <v>1.4267193211347087E-2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-1147.8900000000001</v>
      </c>
      <c r="I290" s="8">
        <f>IFERROR(H290/H444, "NA")</f>
        <v>-0.1288158912097174</v>
      </c>
      <c r="J290" s="9"/>
      <c r="K290" s="7">
        <v>1606.48</v>
      </c>
      <c r="L290" s="8">
        <f>IFERROR(K290/K444, "NA")</f>
        <v>2.6518121519711141E-2</v>
      </c>
      <c r="M290" s="9"/>
      <c r="N290" s="10">
        <f t="shared" si="73"/>
        <v>458.58999999999992</v>
      </c>
      <c r="O290" s="8">
        <f>IFERROR(N290/N444, "NA")</f>
        <v>2.3072375686438263E-2</v>
      </c>
      <c r="P290" s="9"/>
      <c r="Q290" s="7">
        <v>1625.32</v>
      </c>
      <c r="R290" s="8">
        <f>IFERROR(Q290/Q444, "NA")</f>
        <v>1.1118089236258302E-2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-1625.32</v>
      </c>
      <c r="X290" s="8">
        <f>IFERROR(W290/W444, "NA")</f>
        <v>-8.7625603419367468E-2</v>
      </c>
      <c r="Y290" s="9"/>
      <c r="Z290" s="7">
        <v>2331.48</v>
      </c>
      <c r="AA290" s="8">
        <f>IFERROR(Z290/Z444, "NA")</f>
        <v>2.0451151984721722E-2</v>
      </c>
      <c r="AB290" s="9"/>
      <c r="AC290" s="10">
        <f t="shared" si="75"/>
        <v>706.16000000000008</v>
      </c>
      <c r="AD290" s="8">
        <f>IFERROR(AC290/AC444, "NA")</f>
        <v>2.1940921452831039E-2</v>
      </c>
    </row>
    <row r="291" spans="1:30" ht="16.5" customHeight="1" x14ac:dyDescent="0.45">
      <c r="A291" s="6" t="s">
        <v>264</v>
      </c>
      <c r="B291" s="7">
        <v>2823.71</v>
      </c>
      <c r="C291" s="8">
        <f>IFERROR(B291/B444, "NA")</f>
        <v>3.5096059851390707E-2</v>
      </c>
      <c r="D291" s="9"/>
      <c r="E291" s="7">
        <v>858.55</v>
      </c>
      <c r="F291" s="8">
        <f>IFERROR(E291/E444, "NA")</f>
        <v>1.2000052553954459E-2</v>
      </c>
      <c r="G291" s="9"/>
      <c r="H291" s="10">
        <f t="shared" si="72"/>
        <v>-1965.16</v>
      </c>
      <c r="I291" s="8">
        <f>IFERROR(H291/H444, "NA")</f>
        <v>-0.22052969950926327</v>
      </c>
      <c r="J291" s="9"/>
      <c r="K291" s="7">
        <v>1439.45</v>
      </c>
      <c r="L291" s="8">
        <f>IFERROR(K291/K444, "NA")</f>
        <v>2.3760961867902622E-2</v>
      </c>
      <c r="M291" s="9"/>
      <c r="N291" s="10">
        <f t="shared" si="73"/>
        <v>-1384.26</v>
      </c>
      <c r="O291" s="8">
        <f>IFERROR(N291/N444, "NA")</f>
        <v>-6.9644272155321818E-2</v>
      </c>
      <c r="P291" s="9"/>
      <c r="Q291" s="7">
        <v>4568.5</v>
      </c>
      <c r="R291" s="8">
        <f>IFERROR(Q291/Q444, "NA")</f>
        <v>3.1251070974236489E-2</v>
      </c>
      <c r="S291" s="9"/>
      <c r="T291" s="7">
        <v>1531.67</v>
      </c>
      <c r="U291" s="8">
        <f>IFERROR(T291/T444, "NA")</f>
        <v>1.2000059856533917E-2</v>
      </c>
      <c r="V291" s="9"/>
      <c r="W291" s="10">
        <f t="shared" si="74"/>
        <v>-3036.83</v>
      </c>
      <c r="X291" s="8">
        <f>IFERROR(W291/W444, "NA")</f>
        <v>-0.16372410431917267</v>
      </c>
      <c r="Y291" s="9"/>
      <c r="Z291" s="7">
        <v>1439.45</v>
      </c>
      <c r="AA291" s="8">
        <f>IFERROR(Z291/Z444, "NA")</f>
        <v>1.26264907802802E-2</v>
      </c>
      <c r="AB291" s="9"/>
      <c r="AC291" s="10">
        <f t="shared" si="75"/>
        <v>-3129.05</v>
      </c>
      <c r="AD291" s="8">
        <f>IFERROR(AC291/AC444, "NA")</f>
        <v>-9.722193309162365E-2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4.0394443663485198E-3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-3.6471408099345883E-2</v>
      </c>
      <c r="J294" s="9"/>
      <c r="K294" s="7">
        <v>345</v>
      </c>
      <c r="L294" s="8">
        <f>IFERROR(K294/K444, "NA")</f>
        <v>5.6949055850681884E-3</v>
      </c>
      <c r="M294" s="9"/>
      <c r="N294" s="10">
        <f t="shared" si="73"/>
        <v>20</v>
      </c>
      <c r="O294" s="8">
        <f>IFERROR(N294/N444, "NA")</f>
        <v>1.0062310860000552E-3</v>
      </c>
      <c r="P294" s="9"/>
      <c r="Q294" s="7">
        <v>649.99</v>
      </c>
      <c r="R294" s="8">
        <f>IFERROR(Q294/Q444, "NA")</f>
        <v>4.446291698050559E-3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-649.99</v>
      </c>
      <c r="X294" s="8">
        <f>IFERROR(W294/W444, "NA")</f>
        <v>-3.5042801396989308E-2</v>
      </c>
      <c r="Y294" s="9"/>
      <c r="Z294" s="7">
        <v>690</v>
      </c>
      <c r="AA294" s="8">
        <f>IFERROR(Z294/Z444, "NA")</f>
        <v>6.0525052196278703E-3</v>
      </c>
      <c r="AB294" s="9"/>
      <c r="AC294" s="10">
        <f t="shared" si="75"/>
        <v>40.009999999999991</v>
      </c>
      <c r="AD294" s="8">
        <f>IFERROR(AC294/AC444, "NA")</f>
        <v>1.243140743355287E-3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4654.9799999999996</v>
      </c>
      <c r="C295" s="15">
        <f>IFERROR(B295/B444, "NA")</f>
        <v>5.7857023804507787E-2</v>
      </c>
      <c r="D295" s="2"/>
      <c r="E295" s="14">
        <f>IFERROR(E286+E287+E288+E289+E290+E291+E292+E293+E294, "NA")</f>
        <v>1189.55</v>
      </c>
      <c r="F295" s="15">
        <f>IFERROR(E295/E444, "NA")</f>
        <v>1.6626477800426916E-2</v>
      </c>
      <c r="G295" s="2"/>
      <c r="H295" s="14">
        <f t="shared" si="72"/>
        <v>-3465.4299999999994</v>
      </c>
      <c r="I295" s="15">
        <f>IFERROR(H295/H444, "NA")</f>
        <v>-0.38888957467604979</v>
      </c>
      <c r="J295" s="2"/>
      <c r="K295" s="14">
        <f>IFERROR(K286+K287+K288+K289+K290+K291+K292+K293+K294, "NA")</f>
        <v>3727.01</v>
      </c>
      <c r="L295" s="15">
        <f>IFERROR(K295/K444, "NA")</f>
        <v>6.1521652361173886E-2</v>
      </c>
      <c r="M295" s="2"/>
      <c r="N295" s="14">
        <f t="shared" si="73"/>
        <v>-927.96999999999935</v>
      </c>
      <c r="O295" s="15">
        <f>IFERROR(N295/N444, "NA")</f>
        <v>-4.6687613043773529E-2</v>
      </c>
      <c r="P295" s="2"/>
      <c r="Q295" s="14">
        <f>IFERROR(Q286+Q287+Q288+Q289+Q290+Q291+Q292+Q293+Q294, "NA")</f>
        <v>7557.66</v>
      </c>
      <c r="R295" s="15">
        <f>IFERROR(Q295/Q444, "NA")</f>
        <v>5.1698581385388673E-2</v>
      </c>
      <c r="S295" s="2"/>
      <c r="T295" s="14">
        <f>IFERROR(T286+T287+T288+T289+T290+T291+T292+T293+T294, "NA")</f>
        <v>2193.67</v>
      </c>
      <c r="U295" s="15">
        <f>IFERROR(T295/T444, "NA")</f>
        <v>1.7186581512651393E-2</v>
      </c>
      <c r="V295" s="2"/>
      <c r="W295" s="14">
        <f t="shared" si="74"/>
        <v>-5363.99</v>
      </c>
      <c r="X295" s="15">
        <f>IFERROR(W295/W444, "NA")</f>
        <v>-0.2891878894528172</v>
      </c>
      <c r="Y295" s="2"/>
      <c r="Z295" s="14">
        <f>IFERROR(Z286+Z287+Z288+Z289+Z290+Z291+Z292+Z293+Z294, "NA")</f>
        <v>5133.09</v>
      </c>
      <c r="AA295" s="15">
        <f>IFERROR(Z295/Z444, "NA")</f>
        <v>4.5026165243216849E-2</v>
      </c>
      <c r="AB295" s="2"/>
      <c r="AC295" s="14">
        <f t="shared" si="75"/>
        <v>-2424.5699999999997</v>
      </c>
      <c r="AD295" s="15">
        <f>IFERROR(AC295/AC444, "NA")</f>
        <v>-7.5333210500298148E-2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930.09</v>
      </c>
      <c r="F297" s="8">
        <f>IFERROR(E297/E444, "NA")</f>
        <v>1.2999975400276635E-2</v>
      </c>
      <c r="G297" s="9"/>
      <c r="H297" s="10">
        <f t="shared" ref="H297:H325" si="76">IFERROR(-(B297-E297), "NA")</f>
        <v>930.09</v>
      </c>
      <c r="I297" s="8">
        <f>IFERROR(H297/H444, "NA")</f>
        <v>0.1043744367972942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1659.3</v>
      </c>
      <c r="U297" s="8">
        <f>IFERROR(T297/T444, "NA")</f>
        <v>1.2999993027183876E-2</v>
      </c>
      <c r="V297" s="9"/>
      <c r="W297" s="10">
        <f t="shared" ref="W297:W325" si="78">IFERROR(-(Q297-T297), "NA")</f>
        <v>1659.3</v>
      </c>
      <c r="X297" s="8">
        <f>IFERROR(W297/W444, "NA")</f>
        <v>8.9457561436367267E-2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0</v>
      </c>
      <c r="R299" s="8">
        <f>IFERROR(Q299/Q444, "NA")</f>
        <v>0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0</v>
      </c>
      <c r="AD299" s="8">
        <f>IFERROR(AC299/AC444, "NA")</f>
        <v>0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5.59</v>
      </c>
      <c r="C305" s="8">
        <f>IFERROR(B305/B444, "NA")</f>
        <v>6.9478443101194545E-5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-5.59</v>
      </c>
      <c r="I305" s="8">
        <f>IFERROR(H305/H444, "NA")</f>
        <v>-6.2730821930874925E-4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-5.59</v>
      </c>
      <c r="O305" s="8">
        <f>IFERROR(N305/N444, "NA")</f>
        <v>-2.8124158853701545E-4</v>
      </c>
      <c r="P305" s="9"/>
      <c r="Q305" s="7">
        <v>5.59</v>
      </c>
      <c r="R305" s="8">
        <f>IFERROR(Q305/Q444, "NA")</f>
        <v>3.8238696890879282E-5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-5.59</v>
      </c>
      <c r="X305" s="8">
        <f>IFERROR(W305/W444, "NA")</f>
        <v>-3.0137272851762367E-4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-5.59</v>
      </c>
      <c r="AD305" s="8">
        <f>IFERROR(AC305/AC444, "NA")</f>
        <v>-1.7368549750952403E-4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40.119999999999997</v>
      </c>
      <c r="AA310" s="8">
        <f>IFERROR(Z310/Z444, "NA")</f>
        <v>3.5192247740792776E-4</v>
      </c>
      <c r="AB310" s="9"/>
      <c r="AC310" s="10">
        <f t="shared" si="79"/>
        <v>40.119999999999997</v>
      </c>
      <c r="AD310" s="8">
        <f>IFERROR(AC310/AC444, "NA")</f>
        <v>1.2465585259538647E-3</v>
      </c>
    </row>
    <row r="311" spans="1:30" ht="16.5" customHeight="1" x14ac:dyDescent="0.45">
      <c r="A311" s="6" t="s">
        <v>283</v>
      </c>
      <c r="B311" s="7">
        <v>60.62</v>
      </c>
      <c r="C311" s="8">
        <f>IFERROR(B311/B444, "NA")</f>
        <v>7.5344959227091471E-4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-60.62</v>
      </c>
      <c r="I311" s="8">
        <f>IFERROR(H311/H444, "NA")</f>
        <v>-6.8027592584072229E-3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-60.62</v>
      </c>
      <c r="O311" s="8">
        <f>IFERROR(N311/N444, "NA")</f>
        <v>-3.0498864216661672E-3</v>
      </c>
      <c r="P311" s="9"/>
      <c r="Q311" s="7">
        <v>60.62</v>
      </c>
      <c r="R311" s="8">
        <f>IFERROR(Q311/Q444, "NA")</f>
        <v>4.1467438381486614E-4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-3.2681958502215292E-3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-1.8835089193251068E-3</v>
      </c>
    </row>
    <row r="312" spans="1:30" ht="16.5" hidden="1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0</v>
      </c>
      <c r="O312" s="8">
        <f>IFERROR(N312/N444, "NA")</f>
        <v>0</v>
      </c>
      <c r="P312" s="9"/>
      <c r="Q312" s="7">
        <v>0</v>
      </c>
      <c r="R312" s="8">
        <f>IFERROR(Q312/Q444, "NA")</f>
        <v>0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0</v>
      </c>
      <c r="X312" s="8">
        <f>IFERROR(W312/W444, "NA")</f>
        <v>0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0</v>
      </c>
      <c r="AD312" s="8">
        <f>IFERROR(AC312/AC444, "NA")</f>
        <v>0</v>
      </c>
    </row>
    <row r="313" spans="1:30" ht="16.5" customHeight="1" x14ac:dyDescent="0.45">
      <c r="A313" s="6" t="s">
        <v>285</v>
      </c>
      <c r="B313" s="7">
        <v>24</v>
      </c>
      <c r="C313" s="8">
        <f>IFERROR(B313/B444, "NA")</f>
        <v>2.9829743013035223E-4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</v>
      </c>
      <c r="I313" s="8">
        <f>IFERROR(H313/H444, "NA")</f>
        <v>-2.6932732134901578E-3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-24</v>
      </c>
      <c r="O313" s="8">
        <f>IFERROR(N313/N444, "NA")</f>
        <v>-1.2074773032000664E-3</v>
      </c>
      <c r="P313" s="9"/>
      <c r="Q313" s="7">
        <v>24</v>
      </c>
      <c r="R313" s="8">
        <f>IFERROR(Q313/Q444, "NA")</f>
        <v>1.6417329613257651E-4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-24</v>
      </c>
      <c r="X313" s="8">
        <f>IFERROR(W313/W444, "NA")</f>
        <v>-1.2939079578574183E-3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-24</v>
      </c>
      <c r="AD313" s="8">
        <f>IFERROR(AC313/AC444, "NA")</f>
        <v>-7.4569802150779548E-4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5.6616852238740856E-3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-5.1118325592043191E-2</v>
      </c>
      <c r="J315" s="9"/>
      <c r="K315" s="7">
        <v>605.44000000000005</v>
      </c>
      <c r="L315" s="8">
        <f>IFERROR(K315/K444, "NA")</f>
        <v>9.9939815577498106E-3</v>
      </c>
      <c r="M315" s="9"/>
      <c r="N315" s="10">
        <f t="shared" si="77"/>
        <v>149.92000000000007</v>
      </c>
      <c r="O315" s="8">
        <f>IFERROR(N315/N444, "NA")</f>
        <v>7.542708220656418E-3</v>
      </c>
      <c r="P315" s="9"/>
      <c r="Q315" s="7">
        <v>911.04</v>
      </c>
      <c r="R315" s="8">
        <f>IFERROR(Q315/Q444, "NA")</f>
        <v>6.2320183211926044E-3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-911.04</v>
      </c>
      <c r="X315" s="8">
        <f>IFERROR(W315/W444, "NA")</f>
        <v>-4.9116746080267601E-2</v>
      </c>
      <c r="Y315" s="9"/>
      <c r="Z315" s="7">
        <v>1210.8800000000001</v>
      </c>
      <c r="AA315" s="8">
        <f>IFERROR(Z315/Z444, "NA")</f>
        <v>1.0621532638178256E-2</v>
      </c>
      <c r="AB315" s="9"/>
      <c r="AC315" s="10">
        <f t="shared" si="79"/>
        <v>299.84000000000015</v>
      </c>
      <c r="AD315" s="8">
        <f>IFERROR(AC315/AC444, "NA")</f>
        <v>9.3162539487040633E-3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5.15283952431006E-3</v>
      </c>
      <c r="D318" s="9"/>
      <c r="E318" s="7">
        <v>415</v>
      </c>
      <c r="F318" s="8">
        <f>IFERROR(E318/E444, "NA")</f>
        <v>5.8005029525258879E-3</v>
      </c>
      <c r="G318" s="9"/>
      <c r="H318" s="10">
        <f t="shared" si="76"/>
        <v>0.42000000000001592</v>
      </c>
      <c r="I318" s="8">
        <f>IFERROR(H318/H444, "NA")</f>
        <v>4.7132281236079545E-5</v>
      </c>
      <c r="J318" s="9"/>
      <c r="K318" s="7">
        <v>414.58</v>
      </c>
      <c r="L318" s="8">
        <f>IFERROR(K318/K444, "NA")</f>
        <v>6.8434607462538252E-3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829.16</v>
      </c>
      <c r="R318" s="8">
        <f>IFERROR(Q318/Q444, "NA")</f>
        <v>5.6719137592202975E-3</v>
      </c>
      <c r="S318" s="9"/>
      <c r="T318" s="7">
        <v>830</v>
      </c>
      <c r="U318" s="8">
        <f>IFERROR(T318/T444, "NA")</f>
        <v>6.5027386322923028E-3</v>
      </c>
      <c r="V318" s="9"/>
      <c r="W318" s="10">
        <f t="shared" si="78"/>
        <v>0.84000000000003183</v>
      </c>
      <c r="X318" s="8">
        <f>IFERROR(W318/W444, "NA")</f>
        <v>4.5286778525011358E-5</v>
      </c>
      <c r="Y318" s="9"/>
      <c r="Z318" s="7">
        <v>829.16</v>
      </c>
      <c r="AA318" s="8">
        <f>IFERROR(Z318/Z444, "NA")</f>
        <v>7.2731814897197752E-3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268.01</v>
      </c>
      <c r="C319" s="8">
        <f>IFERROR(B319/B444, "NA")</f>
        <v>3.3311122603848211E-3</v>
      </c>
      <c r="D319" s="9"/>
      <c r="E319" s="7">
        <v>249</v>
      </c>
      <c r="F319" s="8">
        <f>IFERROR(E319/E444, "NA")</f>
        <v>3.4803017715155328E-3</v>
      </c>
      <c r="G319" s="9"/>
      <c r="H319" s="10">
        <f t="shared" si="76"/>
        <v>-19.009999999999991</v>
      </c>
      <c r="I319" s="8">
        <f>IFERROR(H319/H444, "NA")</f>
        <v>-2.1332968245186615E-3</v>
      </c>
      <c r="J319" s="9"/>
      <c r="K319" s="7">
        <v>218.5</v>
      </c>
      <c r="L319" s="8">
        <f>IFERROR(K319/K444, "NA")</f>
        <v>3.6067735372098527E-3</v>
      </c>
      <c r="M319" s="9"/>
      <c r="N319" s="10">
        <f t="shared" si="77"/>
        <v>-49.509999999999991</v>
      </c>
      <c r="O319" s="8">
        <f>IFERROR(N319/N444, "NA")</f>
        <v>-2.4909250533931364E-3</v>
      </c>
      <c r="P319" s="9"/>
      <c r="Q319" s="7">
        <v>517.14</v>
      </c>
      <c r="R319" s="8">
        <f>IFERROR(Q319/Q444, "NA")</f>
        <v>3.5375240984166926E-3</v>
      </c>
      <c r="S319" s="9"/>
      <c r="T319" s="7">
        <v>498</v>
      </c>
      <c r="U319" s="8">
        <f>IFERROR(T319/T444, "NA")</f>
        <v>3.9016431793753815E-3</v>
      </c>
      <c r="V319" s="9"/>
      <c r="W319" s="10">
        <f t="shared" si="78"/>
        <v>-19.139999999999986</v>
      </c>
      <c r="X319" s="8">
        <f>IFERROR(W319/W444, "NA")</f>
        <v>-1.0318915963912904E-3</v>
      </c>
      <c r="Y319" s="9"/>
      <c r="Z319" s="7">
        <v>444.59</v>
      </c>
      <c r="AA319" s="8">
        <f>IFERROR(Z319/Z444, "NA")</f>
        <v>3.8998308631802243E-3</v>
      </c>
      <c r="AB319" s="9"/>
      <c r="AC319" s="10">
        <f t="shared" si="79"/>
        <v>-72.550000000000011</v>
      </c>
      <c r="AD319" s="8">
        <f>IFERROR(AC319/AC444, "NA")</f>
        <v>-2.2541829775162741E-3</v>
      </c>
    </row>
    <row r="320" spans="1:30" ht="16.5" customHeight="1" x14ac:dyDescent="0.45">
      <c r="A320" s="6" t="s">
        <v>292</v>
      </c>
      <c r="B320" s="7">
        <v>1056.07</v>
      </c>
      <c r="C320" s="8">
        <f>IFERROR(B320/B444, "NA")</f>
        <v>1.3125956959906711E-2</v>
      </c>
      <c r="D320" s="9"/>
      <c r="E320" s="7">
        <v>878</v>
      </c>
      <c r="F320" s="8">
        <f>IFERROR(E320/E444, "NA")</f>
        <v>1.2271907451368023E-2</v>
      </c>
      <c r="G320" s="9"/>
      <c r="H320" s="10">
        <f t="shared" si="76"/>
        <v>-178.06999999999994</v>
      </c>
      <c r="I320" s="8">
        <f>IFERROR(H320/H444, "NA")</f>
        <v>-1.9982965046924674E-2</v>
      </c>
      <c r="J320" s="9"/>
      <c r="K320" s="7">
        <v>894.4</v>
      </c>
      <c r="L320" s="8">
        <f>IFERROR(K320/K444, "NA")</f>
        <v>1.47638363921304E-2</v>
      </c>
      <c r="M320" s="9"/>
      <c r="N320" s="10">
        <f t="shared" si="77"/>
        <v>-161.66999999999996</v>
      </c>
      <c r="O320" s="8">
        <f>IFERROR(N320/N444, "NA")</f>
        <v>-8.1338689836814443E-3</v>
      </c>
      <c r="P320" s="9"/>
      <c r="Q320" s="7">
        <v>2112.14</v>
      </c>
      <c r="R320" s="8">
        <f>IFERROR(Q320/Q444, "NA")</f>
        <v>1.4448207737227506E-2</v>
      </c>
      <c r="S320" s="9"/>
      <c r="T320" s="7">
        <v>1756</v>
      </c>
      <c r="U320" s="8">
        <f>IFERROR(T320/T444, "NA")</f>
        <v>1.375760125097022E-2</v>
      </c>
      <c r="V320" s="9"/>
      <c r="W320" s="10">
        <f t="shared" si="78"/>
        <v>-356.13999999999987</v>
      </c>
      <c r="X320" s="8">
        <f>IFERROR(W320/W444, "NA")</f>
        <v>-1.9200515837972533E-2</v>
      </c>
      <c r="Y320" s="9"/>
      <c r="Z320" s="7">
        <v>1788.8</v>
      </c>
      <c r="AA320" s="8">
        <f>IFERROR(Z320/Z444, "NA")</f>
        <v>1.5690900488217877E-2</v>
      </c>
      <c r="AB320" s="9"/>
      <c r="AC320" s="10">
        <f t="shared" si="79"/>
        <v>-323.33999999999992</v>
      </c>
      <c r="AD320" s="8">
        <f>IFERROR(AC320/AC444, "NA")</f>
        <v>-1.0046416594763772E-2</v>
      </c>
    </row>
    <row r="321" spans="1:30" ht="16.5" customHeight="1" x14ac:dyDescent="0.45">
      <c r="A321" s="6" t="s">
        <v>293</v>
      </c>
      <c r="B321" s="7">
        <v>1257.69</v>
      </c>
      <c r="C321" s="8">
        <f>IFERROR(B321/B444, "NA")</f>
        <v>1.5631903954193446E-2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-1257.69</v>
      </c>
      <c r="I321" s="8">
        <f>IFERROR(H321/H444, "NA")</f>
        <v>-0.14113761616143486</v>
      </c>
      <c r="J321" s="9"/>
      <c r="K321" s="7">
        <v>968.61</v>
      </c>
      <c r="L321" s="8">
        <f>IFERROR(K321/K444, "NA")</f>
        <v>1.5988818836964923E-2</v>
      </c>
      <c r="M321" s="9"/>
      <c r="N321" s="10">
        <f t="shared" si="77"/>
        <v>-289.08000000000004</v>
      </c>
      <c r="O321" s="8">
        <f>IFERROR(N321/N444, "NA")</f>
        <v>-1.4544064117044802E-2</v>
      </c>
      <c r="P321" s="9"/>
      <c r="Q321" s="7">
        <v>3564.87</v>
      </c>
      <c r="R321" s="8">
        <f>IFERROR(Q321/Q444, "NA")</f>
        <v>2.4385685757672419E-2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-3564.87</v>
      </c>
      <c r="X321" s="8">
        <f>IFERROR(W321/W444, "NA")</f>
        <v>-0.19219223590529896</v>
      </c>
      <c r="Y321" s="9"/>
      <c r="Z321" s="7">
        <v>3871.23</v>
      </c>
      <c r="AA321" s="8">
        <f>IFERROR(Z321/Z444, "NA")</f>
        <v>3.3957448958521742E-2</v>
      </c>
      <c r="AB321" s="9"/>
      <c r="AC321" s="10">
        <f t="shared" si="79"/>
        <v>306.36000000000013</v>
      </c>
      <c r="AD321" s="8">
        <f>IFERROR(AC321/AC444, "NA")</f>
        <v>9.5188352445470144E-3</v>
      </c>
    </row>
    <row r="322" spans="1:30" ht="16.5" customHeight="1" x14ac:dyDescent="0.45">
      <c r="A322" s="6" t="s">
        <v>294</v>
      </c>
      <c r="B322" s="7">
        <v>537.07000000000005</v>
      </c>
      <c r="C322" s="8">
        <f>IFERROR(B322/B444, "NA")</f>
        <v>6.675275033337846E-3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-537.07000000000005</v>
      </c>
      <c r="I322" s="8">
        <f>IFERROR(H322/H444, "NA")</f>
        <v>-6.0269843532048298E-2</v>
      </c>
      <c r="J322" s="9"/>
      <c r="K322" s="7">
        <v>515.27</v>
      </c>
      <c r="L322" s="8">
        <f>IFERROR(K322/K444, "NA")</f>
        <v>8.5055478284582191E-3</v>
      </c>
      <c r="M322" s="9"/>
      <c r="N322" s="10">
        <f t="shared" si="77"/>
        <v>-21.800000000000068</v>
      </c>
      <c r="O322" s="8">
        <f>IFERROR(N322/N444, "NA")</f>
        <v>-1.0967918837400637E-3</v>
      </c>
      <c r="P322" s="9"/>
      <c r="Q322" s="7">
        <v>836.64</v>
      </c>
      <c r="R322" s="8">
        <f>IFERROR(Q322/Q444, "NA")</f>
        <v>5.7230811031816174E-3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-836.64</v>
      </c>
      <c r="X322" s="8">
        <f>IFERROR(W322/W444, "NA")</f>
        <v>-4.5105631410909605E-2</v>
      </c>
      <c r="Y322" s="9"/>
      <c r="Z322" s="7">
        <v>792.17</v>
      </c>
      <c r="AA322" s="8">
        <f>IFERROR(Z322/Z444, "NA")</f>
        <v>6.9487145794675511E-3</v>
      </c>
      <c r="AB322" s="9"/>
      <c r="AC322" s="10">
        <f t="shared" si="79"/>
        <v>-44.470000000000027</v>
      </c>
      <c r="AD322" s="8">
        <f>IFERROR(AC322/AC444, "NA")</f>
        <v>-1.3817162923521536E-3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4079.15</v>
      </c>
      <c r="C324" s="15">
        <f>IFERROR(B324/B444, "NA")</f>
        <v>5.0699998421509435E-2</v>
      </c>
      <c r="D324" s="2"/>
      <c r="E324" s="14">
        <f>IFERROR(E297+E298+E299+E300+E301+E302+E303+E304+E305+E306+E307+E308+E309+E310+E311+E312+E313+E314+E315+E316+E317+E318+E319+E320+E321+E322+E323, "NA")</f>
        <v>2472.09</v>
      </c>
      <c r="F324" s="15">
        <f>IFERROR(E324/E444, "NA")</f>
        <v>3.4552687575686081E-2</v>
      </c>
      <c r="G324" s="2"/>
      <c r="H324" s="14">
        <f t="shared" si="76"/>
        <v>-1607.06</v>
      </c>
      <c r="I324" s="15">
        <f>IFERROR(H324/H444, "NA")</f>
        <v>-0.18034381876964553</v>
      </c>
      <c r="J324" s="2"/>
      <c r="K324" s="14">
        <f>IFERROR(K297+K298+K299+K300+K301+K302+K303+K304+K305+K306+K307+K308+K309+K310+K311+K312+K313+K314+K315+K316+K317+K318+K319+K320+K321+K322+K323, "NA")</f>
        <v>3616.8</v>
      </c>
      <c r="L324" s="15">
        <f>IFERROR(K324/K444, "NA")</f>
        <v>5.9702418898767033E-2</v>
      </c>
      <c r="M324" s="2"/>
      <c r="N324" s="14">
        <f t="shared" si="77"/>
        <v>-462.34999999999991</v>
      </c>
      <c r="O324" s="15">
        <f>IFERROR(N324/N444, "NA")</f>
        <v>-2.3261547130606273E-2</v>
      </c>
      <c r="P324" s="2"/>
      <c r="Q324" s="14">
        <f>IFERROR(Q297+Q298+Q299+Q300+Q301+Q302+Q303+Q304+Q305+Q306+Q307+Q308+Q309+Q310+Q311+Q312+Q313+Q314+Q315+Q316+Q317+Q318+Q319+Q320+Q321+Q322+Q323, "NA")</f>
        <v>8861.1999999999989</v>
      </c>
      <c r="R324" s="15">
        <f>IFERROR(Q324/Q444, "NA")</f>
        <v>6.0615517153749451E-2</v>
      </c>
      <c r="S324" s="2"/>
      <c r="T324" s="14">
        <f>IFERROR(T297+T298+T299+T300+T301+T302+T303+T304+T305+T306+T307+T308+T309+T310+T311+T312+T313+T314+T315+T316+T317+T318+T319+T320+T321+T322+T323, "NA")</f>
        <v>4743.3</v>
      </c>
      <c r="U324" s="15">
        <f>IFERROR(T324/T444, "NA")</f>
        <v>3.7161976089821781E-2</v>
      </c>
      <c r="V324" s="2"/>
      <c r="W324" s="14">
        <f t="shared" si="78"/>
        <v>-4117.8999999999987</v>
      </c>
      <c r="X324" s="15">
        <f>IFERROR(W324/W444, "NA")</f>
        <v>-0.22200764915254423</v>
      </c>
      <c r="Y324" s="2"/>
      <c r="Z324" s="14">
        <f>IFERROR(Z297+Z298+Z299+Z300+Z301+Z302+Z303+Z304+Z305+Z306+Z307+Z308+Z309+Z310+Z311+Z312+Z313+Z314+Z315+Z316+Z317+Z318+Z319+Z320+Z321+Z322+Z323, "NA")</f>
        <v>8976.9500000000007</v>
      </c>
      <c r="AA324" s="15">
        <f>IFERROR(Z324/Z444, "NA")</f>
        <v>7.8743531494693361E-2</v>
      </c>
      <c r="AB324" s="2"/>
      <c r="AC324" s="14">
        <f t="shared" si="79"/>
        <v>115.75000000000182</v>
      </c>
      <c r="AD324" s="15">
        <f>IFERROR(AC324/AC444, "NA")</f>
        <v>3.5964394162303621E-3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28661.460000000003</v>
      </c>
      <c r="C325" s="15">
        <f>IFERROR(B325/B444, "NA")</f>
        <v>0.35623499424099525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15826.48</v>
      </c>
      <c r="F325" s="15">
        <f>IFERROR(E325/E444, "NA")</f>
        <v>0.22120853968214918</v>
      </c>
      <c r="G325" s="2"/>
      <c r="H325" s="14">
        <f t="shared" si="76"/>
        <v>-12834.980000000003</v>
      </c>
      <c r="I325" s="15">
        <f>IFERROR(H325/H444, "NA")</f>
        <v>-1.4403378262367463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15883.820000000002</v>
      </c>
      <c r="L325" s="15">
        <f>IFERROR(K325/K444, "NA")</f>
        <v>0.26219378327599363</v>
      </c>
      <c r="M325" s="2"/>
      <c r="N325" s="14">
        <f t="shared" si="77"/>
        <v>-12777.640000000001</v>
      </c>
      <c r="O325" s="15">
        <f>IFERROR(N325/N444, "NA")</f>
        <v>-0.64286292868588735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51564.659999999996</v>
      </c>
      <c r="R325" s="15">
        <f>IFERROR(Q325/Q444, "NA")</f>
        <v>0.35273084150648426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28916.629999999994</v>
      </c>
      <c r="U325" s="15">
        <f>IFERROR(T325/T444, "NA")</f>
        <v>0.22655094821289459</v>
      </c>
      <c r="V325" s="2"/>
      <c r="W325" s="14">
        <f t="shared" si="78"/>
        <v>-22648.030000000002</v>
      </c>
      <c r="X325" s="15">
        <f>IFERROR(W325/W444, "NA")</f>
        <v>-1.2210194269497312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29595.29</v>
      </c>
      <c r="AA325" s="15">
        <f>IFERROR(Z325/Z444, "NA")</f>
        <v>0.25960238724840656</v>
      </c>
      <c r="AB325" s="2"/>
      <c r="AC325" s="14">
        <f t="shared" si="79"/>
        <v>-21969.369999999995</v>
      </c>
      <c r="AD325" s="15">
        <f>IFERROR(AC325/AC444, "NA")</f>
        <v>-0.68260482261552979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5393.13</v>
      </c>
      <c r="C329" s="8">
        <f>IFERROR(B329/B444, "NA")</f>
        <v>6.7031534139954441E-2</v>
      </c>
      <c r="D329" s="9"/>
      <c r="E329" s="7">
        <v>4977</v>
      </c>
      <c r="F329" s="8">
        <f>IFERROR(E329/E444, "NA")</f>
        <v>6.9564104083665895E-2</v>
      </c>
      <c r="G329" s="9"/>
      <c r="H329" s="10">
        <f t="shared" si="80"/>
        <v>-416.13000000000011</v>
      </c>
      <c r="I329" s="8">
        <f>IFERROR(H329/H444, "NA")</f>
        <v>-4.6697990930402486E-2</v>
      </c>
      <c r="J329" s="9"/>
      <c r="K329" s="7">
        <v>4125.3</v>
      </c>
      <c r="L329" s="8">
        <f>IFERROR(K329/K444, "NA")</f>
        <v>6.8096214521976228E-2</v>
      </c>
      <c r="M329" s="9"/>
      <c r="N329" s="10">
        <f t="shared" si="81"/>
        <v>-1267.83</v>
      </c>
      <c r="O329" s="8">
        <f>IFERROR(N329/N444, "NA")</f>
        <v>-6.3786497888172505E-2</v>
      </c>
      <c r="P329" s="9"/>
      <c r="Q329" s="7">
        <v>10786.26</v>
      </c>
      <c r="R329" s="8">
        <f>IFERROR(Q329/Q444, "NA")</f>
        <v>7.3783994047623536E-2</v>
      </c>
      <c r="S329" s="9"/>
      <c r="T329" s="7">
        <v>9954</v>
      </c>
      <c r="U329" s="8">
        <f>IFERROR(T329/T444, "NA")</f>
        <v>7.7985855838358528E-2</v>
      </c>
      <c r="V329" s="9"/>
      <c r="W329" s="10">
        <f t="shared" si="82"/>
        <v>-832.26000000000022</v>
      </c>
      <c r="X329" s="8">
        <f>IFERROR(W329/W444, "NA")</f>
        <v>-4.486949320860064E-2</v>
      </c>
      <c r="Y329" s="9"/>
      <c r="Z329" s="7">
        <v>8250.6</v>
      </c>
      <c r="AA329" s="8">
        <f>IFERROR(Z329/Z444, "NA")</f>
        <v>7.2372173282698127E-2</v>
      </c>
      <c r="AB329" s="9"/>
      <c r="AC329" s="10">
        <f t="shared" si="83"/>
        <v>-2535.66</v>
      </c>
      <c r="AD329" s="8">
        <f>IFERROR(AC329/AC444, "NA")</f>
        <v>-7.8784860217352357E-2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1.2757559633695728E-2</v>
      </c>
      <c r="D330" s="9"/>
      <c r="E330" s="7">
        <v>1117</v>
      </c>
      <c r="F330" s="8">
        <f>IFERROR(E330/E444, "NA")</f>
        <v>1.5612438067401004E-2</v>
      </c>
      <c r="G330" s="9"/>
      <c r="H330" s="10">
        <f t="shared" si="80"/>
        <v>90.569999999999936</v>
      </c>
      <c r="I330" s="8">
        <f>IFERROR(H330/H444, "NA")</f>
        <v>1.0163739789408476E-2</v>
      </c>
      <c r="J330" s="9"/>
      <c r="K330" s="7">
        <v>1117.48</v>
      </c>
      <c r="L330" s="8">
        <f>IFERROR(K330/K444, "NA")</f>
        <v>1.844621186435362E-2</v>
      </c>
      <c r="M330" s="9"/>
      <c r="N330" s="10">
        <f t="shared" si="81"/>
        <v>91.049999999999955</v>
      </c>
      <c r="O330" s="8">
        <f>IFERROR(N330/N444, "NA")</f>
        <v>4.5808670190152492E-3</v>
      </c>
      <c r="P330" s="9"/>
      <c r="Q330" s="7">
        <v>2052.86</v>
      </c>
      <c r="R330" s="8">
        <f>IFERROR(Q330/Q444, "NA")</f>
        <v>1.4042699695780043E-2</v>
      </c>
      <c r="S330" s="9"/>
      <c r="T330" s="7">
        <v>2234</v>
      </c>
      <c r="U330" s="8">
        <f>IFERROR(T330/T444, "NA")</f>
        <v>1.7502551933181933E-2</v>
      </c>
      <c r="V330" s="9"/>
      <c r="W330" s="10">
        <f t="shared" si="82"/>
        <v>181.13999999999987</v>
      </c>
      <c r="X330" s="8">
        <f>IFERROR(W330/W444, "NA")</f>
        <v>9.7657703119288577E-3</v>
      </c>
      <c r="Y330" s="9"/>
      <c r="Z330" s="7">
        <v>2234.96</v>
      </c>
      <c r="AA330" s="8">
        <f>IFERROR(Z330/Z444, "NA")</f>
        <v>1.960450299370943E-2</v>
      </c>
      <c r="AB330" s="9"/>
      <c r="AC330" s="10">
        <f t="shared" si="83"/>
        <v>182.09999999999991</v>
      </c>
      <c r="AD330" s="8">
        <f>IFERROR(AC330/AC444, "NA")</f>
        <v>5.6579837381903952E-3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1.0690979895871824E-2</v>
      </c>
      <c r="D333" s="9"/>
      <c r="E333" s="7">
        <v>726</v>
      </c>
      <c r="F333" s="8">
        <f>IFERROR(E333/E444, "NA")</f>
        <v>1.0147385888033241E-2</v>
      </c>
      <c r="G333" s="9"/>
      <c r="H333" s="10">
        <f t="shared" si="80"/>
        <v>-134.15999999999997</v>
      </c>
      <c r="I333" s="8">
        <f>IFERROR(H333/H444, "NA")</f>
        <v>-1.5055397263409978E-2</v>
      </c>
      <c r="J333" s="9"/>
      <c r="K333" s="7">
        <v>726.35</v>
      </c>
      <c r="L333" s="8">
        <f>IFERROR(K333/K444, "NA")</f>
        <v>1.198983962815733E-2</v>
      </c>
      <c r="M333" s="9"/>
      <c r="N333" s="10">
        <f t="shared" si="81"/>
        <v>-133.80999999999995</v>
      </c>
      <c r="O333" s="8">
        <f>IFERROR(N333/N444, "NA")</f>
        <v>-6.7321890808833672E-3</v>
      </c>
      <c r="P333" s="9"/>
      <c r="Q333" s="7">
        <v>1720.32</v>
      </c>
      <c r="R333" s="8">
        <f>IFERROR(Q333/Q444, "NA")</f>
        <v>1.1767941866783083E-2</v>
      </c>
      <c r="S333" s="9"/>
      <c r="T333" s="7">
        <v>1452</v>
      </c>
      <c r="U333" s="8">
        <f>IFERROR(T333/T444, "NA")</f>
        <v>1.1375875294082438E-2</v>
      </c>
      <c r="V333" s="9"/>
      <c r="W333" s="10">
        <f t="shared" si="82"/>
        <v>-268.31999999999994</v>
      </c>
      <c r="X333" s="8">
        <f>IFERROR(W333/W444, "NA")</f>
        <v>-1.4465890968845934E-2</v>
      </c>
      <c r="Y333" s="9"/>
      <c r="Z333" s="7">
        <v>1452.7</v>
      </c>
      <c r="AA333" s="8">
        <f>IFERROR(Z333/Z444, "NA")</f>
        <v>1.2742716423990446E-2</v>
      </c>
      <c r="AB333" s="9"/>
      <c r="AC333" s="10">
        <f t="shared" si="83"/>
        <v>-267.61999999999989</v>
      </c>
      <c r="AD333" s="8">
        <f>IFERROR(AC333/AC444, "NA")</f>
        <v>-8.3151543548298391E-3</v>
      </c>
    </row>
    <row r="334" spans="1:30" ht="16.5" customHeight="1" x14ac:dyDescent="0.45">
      <c r="A334" s="6" t="s">
        <v>305</v>
      </c>
      <c r="B334" s="7">
        <v>-415.27</v>
      </c>
      <c r="C334" s="8">
        <f>IFERROR(B334/B444, "NA")</f>
        <v>-5.1614155754263072E-3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415.27</v>
      </c>
      <c r="I334" s="8">
        <f>IFERROR(H334/H444, "NA")</f>
        <v>4.660148197358574E-2</v>
      </c>
      <c r="J334" s="9"/>
      <c r="K334" s="7">
        <v>-317.64999999999998</v>
      </c>
      <c r="L334" s="8">
        <f>IFERROR(K334/K444, "NA")</f>
        <v>-5.2434398814403191E-3</v>
      </c>
      <c r="M334" s="9"/>
      <c r="N334" s="10">
        <f t="shared" si="81"/>
        <v>97.62</v>
      </c>
      <c r="O334" s="8">
        <f>IFERROR(N334/N444, "NA")</f>
        <v>4.9114139307662704E-3</v>
      </c>
      <c r="P334" s="9"/>
      <c r="Q334" s="7">
        <v>-830.54</v>
      </c>
      <c r="R334" s="8">
        <f>IFERROR(Q334/Q444, "NA")</f>
        <v>-5.6813537237479202E-3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830.54</v>
      </c>
      <c r="X334" s="8">
        <f>IFERROR(W334/W444, "NA")</f>
        <v>4.4776763138287511E-2</v>
      </c>
      <c r="Y334" s="9"/>
      <c r="Z334" s="7">
        <v>-635.29999999999995</v>
      </c>
      <c r="AA334" s="8">
        <f>IFERROR(Z334/Z444, "NA")</f>
        <v>-5.572690675405197E-3</v>
      </c>
      <c r="AB334" s="9"/>
      <c r="AC334" s="10">
        <f t="shared" si="83"/>
        <v>195.24</v>
      </c>
      <c r="AD334" s="8">
        <f>IFERROR(AC334/AC444, "NA")</f>
        <v>6.0662534049659165E-3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1868.99</v>
      </c>
      <c r="F337" s="8">
        <f>IFERROR(E337/E444, "NA")</f>
        <v>2.6123089188533396E-2</v>
      </c>
      <c r="G337" s="9"/>
      <c r="H337" s="10">
        <f t="shared" ref="H337:H344" si="84">IFERROR(-(B337-E337), "NA")</f>
        <v>1868.99</v>
      </c>
      <c r="I337" s="8">
        <f>IFERROR(H337/H444, "NA")</f>
        <v>0.20973752930337375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3600.04</v>
      </c>
      <c r="U337" s="8">
        <f>IFERROR(T337/T444, "NA")</f>
        <v>2.8204962874454915E-2</v>
      </c>
      <c r="V337" s="9"/>
      <c r="W337" s="10">
        <f t="shared" ref="W337:W344" si="86">IFERROR(-(Q337-T337), "NA")</f>
        <v>3600.04</v>
      </c>
      <c r="X337" s="8">
        <f>IFERROR(W337/W444, "NA")</f>
        <v>0.19408835019187584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962.9</v>
      </c>
      <c r="C338" s="8">
        <f>IFERROR(B338/B444, "NA")</f>
        <v>1.1967941478021507E-2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-962.9</v>
      </c>
      <c r="I338" s="8">
        <f>IFERROR(H338/H444, "NA")</f>
        <v>-0.1080563657195697</v>
      </c>
      <c r="J338" s="9"/>
      <c r="K338" s="7">
        <v>806.99</v>
      </c>
      <c r="L338" s="8">
        <f>IFERROR(K338/K444, "NA")</f>
        <v>1.3320961907519356E-2</v>
      </c>
      <c r="M338" s="9"/>
      <c r="N338" s="10">
        <f t="shared" si="85"/>
        <v>-155.90999999999997</v>
      </c>
      <c r="O338" s="8">
        <f>IFERROR(N338/N444, "NA")</f>
        <v>-7.8440744309134294E-3</v>
      </c>
      <c r="P338" s="9"/>
      <c r="Q338" s="7">
        <v>1831.12</v>
      </c>
      <c r="R338" s="8">
        <f>IFERROR(Q338/Q444, "NA")</f>
        <v>1.2525875250595146E-2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-1831.12</v>
      </c>
      <c r="X338" s="8">
        <f>IFERROR(W338/W444, "NA")</f>
        <v>-9.8720864157994831E-2</v>
      </c>
      <c r="Y338" s="9"/>
      <c r="Z338" s="7">
        <v>1490.03</v>
      </c>
      <c r="AA338" s="8">
        <f>IFERROR(Z338/Z444, "NA")</f>
        <v>1.3070165728119009E-2</v>
      </c>
      <c r="AB338" s="9"/>
      <c r="AC338" s="10">
        <f t="shared" si="87"/>
        <v>-341.08999999999992</v>
      </c>
      <c r="AD338" s="8">
        <f>IFERROR(AC338/AC444, "NA")</f>
        <v>-1.0597922423170579E-2</v>
      </c>
    </row>
    <row r="339" spans="1:30" ht="16.5" customHeight="1" x14ac:dyDescent="0.45">
      <c r="A339" s="12" t="s">
        <v>309</v>
      </c>
      <c r="B339" s="7">
        <v>733.71</v>
      </c>
      <c r="C339" s="8">
        <f>IFERROR(B339/B444, "NA")</f>
        <v>9.1193253108725319E-3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-733.71</v>
      </c>
      <c r="I339" s="8">
        <f>IFERROR(H339/H444, "NA")</f>
        <v>-8.2336728727910993E-2</v>
      </c>
      <c r="J339" s="9"/>
      <c r="K339" s="7">
        <v>447.51</v>
      </c>
      <c r="L339" s="8">
        <f>IFERROR(K339/K444, "NA")</f>
        <v>7.3870353576054064E-3</v>
      </c>
      <c r="M339" s="9"/>
      <c r="N339" s="10">
        <f t="shared" si="85"/>
        <v>-286.20000000000005</v>
      </c>
      <c r="O339" s="8">
        <f>IFERROR(N339/N444, "NA")</f>
        <v>-1.4399166840660792E-2</v>
      </c>
      <c r="P339" s="9"/>
      <c r="Q339" s="7">
        <v>1644.98</v>
      </c>
      <c r="R339" s="8">
        <f>IFERROR(Q339/Q444, "NA")</f>
        <v>1.1252574528006905E-2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-1644.98</v>
      </c>
      <c r="X339" s="8">
        <f>IFERROR(W339/W444, "NA")</f>
        <v>-8.8685529688178999E-2</v>
      </c>
      <c r="Y339" s="9"/>
      <c r="Z339" s="7">
        <v>936.98</v>
      </c>
      <c r="AA339" s="8">
        <f>IFERROR(Z339/Z444, "NA")</f>
        <v>8.2189512183868437E-3</v>
      </c>
      <c r="AB339" s="9"/>
      <c r="AC339" s="10">
        <f t="shared" si="87"/>
        <v>-708</v>
      </c>
      <c r="AD339" s="8">
        <f>IFERROR(AC339/AC444, "NA")</f>
        <v>-2.1998091634479966E-2</v>
      </c>
    </row>
    <row r="340" spans="1:30" ht="16.5" customHeight="1" x14ac:dyDescent="0.45">
      <c r="A340" s="12" t="s">
        <v>310</v>
      </c>
      <c r="B340" s="7">
        <v>325</v>
      </c>
      <c r="C340" s="8">
        <f>IFERROR(B340/B444, "NA")</f>
        <v>4.0394443663485198E-3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-325</v>
      </c>
      <c r="I340" s="8">
        <f>IFERROR(H340/H444, "NA")</f>
        <v>-3.6471408099345883E-2</v>
      </c>
      <c r="J340" s="9"/>
      <c r="K340" s="7">
        <v>316.64999999999998</v>
      </c>
      <c r="L340" s="8">
        <f>IFERROR(K340/K444, "NA")</f>
        <v>5.2269329087299759E-3</v>
      </c>
      <c r="M340" s="9"/>
      <c r="N340" s="10">
        <f t="shared" si="85"/>
        <v>-8.3500000000000227</v>
      </c>
      <c r="O340" s="8">
        <f>IFERROR(N340/N444, "NA")</f>
        <v>-4.2010147840502424E-4</v>
      </c>
      <c r="P340" s="9"/>
      <c r="Q340" s="7">
        <v>775</v>
      </c>
      <c r="R340" s="8">
        <f>IFERROR(Q340/Q444, "NA")</f>
        <v>5.3014293542811165E-3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-775</v>
      </c>
      <c r="X340" s="8">
        <f>IFERROR(W340/W444, "NA")</f>
        <v>-4.1782444472479134E-2</v>
      </c>
      <c r="Y340" s="9"/>
      <c r="Z340" s="7">
        <v>632.5</v>
      </c>
      <c r="AA340" s="8">
        <f>IFERROR(Z340/Z444, "NA")</f>
        <v>5.5481297846588819E-3</v>
      </c>
      <c r="AB340" s="9"/>
      <c r="AC340" s="10">
        <f t="shared" si="87"/>
        <v>-142.5</v>
      </c>
      <c r="AD340" s="8">
        <f>IFERROR(AC340/AC444, "NA")</f>
        <v>-4.4275820027025355E-3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2021.6100000000001</v>
      </c>
      <c r="C342" s="15">
        <f>IFERROR(B342/B444, "NA")</f>
        <v>2.5126711155242561E-2</v>
      </c>
      <c r="D342" s="2"/>
      <c r="E342" s="14">
        <f>IFERROR(E337+E338+E339+E340+E341, "NA")</f>
        <v>1868.99</v>
      </c>
      <c r="F342" s="15">
        <f>IFERROR(E342/E444, "NA")</f>
        <v>2.6123089188533396E-2</v>
      </c>
      <c r="G342" s="2"/>
      <c r="H342" s="14">
        <f t="shared" si="84"/>
        <v>-152.62000000000012</v>
      </c>
      <c r="I342" s="15">
        <f>IFERROR(H342/H444, "NA")</f>
        <v>-1.7126973243452841E-2</v>
      </c>
      <c r="J342" s="2"/>
      <c r="K342" s="14">
        <f>IFERROR(K337+K338+K339+K340+K341, "NA")</f>
        <v>1571.15</v>
      </c>
      <c r="L342" s="15">
        <f>IFERROR(K342/K444, "NA")</f>
        <v>2.5934930173854742E-2</v>
      </c>
      <c r="M342" s="2"/>
      <c r="N342" s="14">
        <f t="shared" si="85"/>
        <v>-450.46000000000004</v>
      </c>
      <c r="O342" s="15">
        <f>IFERROR(N342/N444, "NA")</f>
        <v>-2.2663342749979248E-2</v>
      </c>
      <c r="P342" s="2"/>
      <c r="Q342" s="14">
        <f>IFERROR(Q337+Q338+Q339+Q340+Q341, "NA")</f>
        <v>4251.1000000000004</v>
      </c>
      <c r="R342" s="15">
        <f>IFERROR(Q342/Q444, "NA")</f>
        <v>2.9079879132883169E-2</v>
      </c>
      <c r="S342" s="2"/>
      <c r="T342" s="14">
        <f>IFERROR(T337+T338+T339+T340+T341, "NA")</f>
        <v>3600.04</v>
      </c>
      <c r="U342" s="15">
        <f>IFERROR(T342/T444, "NA")</f>
        <v>2.8204962874454915E-2</v>
      </c>
      <c r="V342" s="2"/>
      <c r="W342" s="14">
        <f t="shared" si="86"/>
        <v>-651.0600000000004</v>
      </c>
      <c r="X342" s="15">
        <f>IFERROR(W342/W444, "NA")</f>
        <v>-3.5100488126777137E-2</v>
      </c>
      <c r="Y342" s="2"/>
      <c r="Z342" s="14">
        <f>IFERROR(Z337+Z338+Z339+Z340+Z341, "NA")</f>
        <v>3059.51</v>
      </c>
      <c r="AA342" s="15">
        <f>IFERROR(Z342/Z444, "NA")</f>
        <v>2.6837246731164735E-2</v>
      </c>
      <c r="AB342" s="2"/>
      <c r="AC342" s="14">
        <f t="shared" si="87"/>
        <v>-1191.5900000000001</v>
      </c>
      <c r="AD342" s="15">
        <f>IFERROR(AC342/AC444, "NA")</f>
        <v>-3.7023596060353089E-2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8886.0600000000013</v>
      </c>
      <c r="C343" s="15">
        <f>IFERROR(B343/B444, "NA")</f>
        <v>0.11044536924933826</v>
      </c>
      <c r="D343" s="2"/>
      <c r="E343" s="14">
        <f>IFERROR(E328+E329+E330+E331+E332+E333+E334+E335+E337+E338+E339+E340+E341, "NA")</f>
        <v>8688.99</v>
      </c>
      <c r="F343" s="15">
        <f>IFERROR(E343/E444, "NA")</f>
        <v>0.12144701722763353</v>
      </c>
      <c r="G343" s="2"/>
      <c r="H343" s="14">
        <f t="shared" si="84"/>
        <v>-197.07000000000153</v>
      </c>
      <c r="I343" s="15">
        <f>IFERROR(H343/H444, "NA")</f>
        <v>-2.2115139674271228E-2</v>
      </c>
      <c r="J343" s="2"/>
      <c r="K343" s="14">
        <f>IFERROR(K328+K329+K330+K331+K332+K333+K334+K335+K337+K338+K339+K340+K341, "NA")</f>
        <v>7222.630000000001</v>
      </c>
      <c r="L343" s="15">
        <f>IFERROR(K343/K444, "NA")</f>
        <v>0.11922375630690162</v>
      </c>
      <c r="M343" s="2"/>
      <c r="N343" s="14">
        <f t="shared" si="85"/>
        <v>-1663.4300000000003</v>
      </c>
      <c r="O343" s="15">
        <f>IFERROR(N343/N444, "NA")</f>
        <v>-8.3689748769253614E-2</v>
      </c>
      <c r="P343" s="2"/>
      <c r="Q343" s="14">
        <f>IFERROR(Q328+Q329+Q330+Q331+Q332+Q333+Q334+Q335+Q337+Q338+Q339+Q340+Q341, "NA")</f>
        <v>17980</v>
      </c>
      <c r="R343" s="15">
        <f>IFERROR(Q343/Q444, "NA")</f>
        <v>0.12299316101932191</v>
      </c>
      <c r="S343" s="2"/>
      <c r="T343" s="14">
        <f>IFERROR(T328+T329+T330+T331+T332+T333+T334+T335+T337+T338+T339+T340+T341, "NA")</f>
        <v>17240.04</v>
      </c>
      <c r="U343" s="15">
        <f>IFERROR(T343/T444, "NA")</f>
        <v>0.13506924594007783</v>
      </c>
      <c r="V343" s="2"/>
      <c r="W343" s="14">
        <f t="shared" si="86"/>
        <v>-739.95999999999913</v>
      </c>
      <c r="X343" s="15">
        <f>IFERROR(W343/W444, "NA")</f>
        <v>-3.9893338854007254E-2</v>
      </c>
      <c r="Y343" s="2"/>
      <c r="Z343" s="14">
        <f>IFERROR(Z328+Z329+Z330+Z331+Z332+Z333+Z334+Z335+Z337+Z338+Z339+Z340+Z341, "NA")</f>
        <v>14362.470000000003</v>
      </c>
      <c r="AA343" s="15">
        <f>IFERROR(Z343/Z444, "NA")</f>
        <v>0.12598394875615757</v>
      </c>
      <c r="AB343" s="2"/>
      <c r="AC343" s="14">
        <f t="shared" si="87"/>
        <v>-3617.529999999997</v>
      </c>
      <c r="AD343" s="15">
        <f>IFERROR(AC343/AC444, "NA")</f>
        <v>-0.11239937348937888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8886.0600000000013</v>
      </c>
      <c r="C344" s="15">
        <f>IFERROR(B344/B444, "NA")</f>
        <v>0.11044536924933826</v>
      </c>
      <c r="D344" s="2"/>
      <c r="E344" s="14">
        <f>IFERROR(E328+E329+E330+E331+E332+E333+E334+E335+E337+E338+E339+E340+E341, "NA")</f>
        <v>8688.99</v>
      </c>
      <c r="F344" s="15">
        <f>IFERROR(E344/E444, "NA")</f>
        <v>0.12144701722763353</v>
      </c>
      <c r="G344" s="2"/>
      <c r="H344" s="14">
        <f t="shared" si="84"/>
        <v>-197.07000000000153</v>
      </c>
      <c r="I344" s="15">
        <f>IFERROR(H344/H444, "NA")</f>
        <v>-2.2115139674271228E-2</v>
      </c>
      <c r="J344" s="2"/>
      <c r="K344" s="14">
        <f>IFERROR(K328+K329+K330+K331+K332+K333+K334+K335+K337+K338+K339+K340+K341, "NA")</f>
        <v>7222.630000000001</v>
      </c>
      <c r="L344" s="15">
        <f>IFERROR(K344/K444, "NA")</f>
        <v>0.11922375630690162</v>
      </c>
      <c r="M344" s="2"/>
      <c r="N344" s="14">
        <f t="shared" si="85"/>
        <v>-1663.4300000000003</v>
      </c>
      <c r="O344" s="15">
        <f>IFERROR(N344/N444, "NA")</f>
        <v>-8.3689748769253614E-2</v>
      </c>
      <c r="P344" s="2"/>
      <c r="Q344" s="14">
        <f>IFERROR(Q328+Q329+Q330+Q331+Q332+Q333+Q334+Q335+Q337+Q338+Q339+Q340+Q341, "NA")</f>
        <v>17980</v>
      </c>
      <c r="R344" s="15">
        <f>IFERROR(Q344/Q444, "NA")</f>
        <v>0.12299316101932191</v>
      </c>
      <c r="S344" s="2"/>
      <c r="T344" s="14">
        <f>IFERROR(T328+T329+T330+T331+T332+T333+T334+T335+T337+T338+T339+T340+T341, "NA")</f>
        <v>17240.04</v>
      </c>
      <c r="U344" s="15">
        <f>IFERROR(T344/T444, "NA")</f>
        <v>0.13506924594007783</v>
      </c>
      <c r="V344" s="2"/>
      <c r="W344" s="14">
        <f t="shared" si="86"/>
        <v>-739.95999999999913</v>
      </c>
      <c r="X344" s="15">
        <f>IFERROR(W344/W444, "NA")</f>
        <v>-3.9893338854007254E-2</v>
      </c>
      <c r="Y344" s="2"/>
      <c r="Z344" s="14">
        <f>IFERROR(Z328+Z329+Z330+Z331+Z332+Z333+Z334+Z335+Z337+Z338+Z339+Z340+Z341, "NA")</f>
        <v>14362.470000000003</v>
      </c>
      <c r="AA344" s="15">
        <f>IFERROR(Z344/Z444, "NA")</f>
        <v>0.12598394875615757</v>
      </c>
      <c r="AB344" s="2"/>
      <c r="AC344" s="14">
        <f t="shared" si="87"/>
        <v>-3617.529999999997</v>
      </c>
      <c r="AD344" s="15">
        <f>IFERROR(AC344/AC444, "NA")</f>
        <v>-0.11239937348937888</v>
      </c>
    </row>
    <row r="345" spans="1:30" ht="16.5" customHeight="1" x14ac:dyDescent="0.45">
      <c r="A345" s="22" t="s">
        <v>315</v>
      </c>
      <c r="B345" s="23">
        <f>IFERROR(B198-B325-B344, "NA")</f>
        <v>-4716.5200000000114</v>
      </c>
      <c r="C345" s="24">
        <f>IFERROR(B345/B444, "NA")</f>
        <v>-5.8621908131600516E-2</v>
      </c>
      <c r="D345" s="25"/>
      <c r="E345" s="23">
        <f>IFERROR(E198-E325-E344, "NA")</f>
        <v>3756.1600000000162</v>
      </c>
      <c r="F345" s="24">
        <f>IFERROR(E345/E444, "NA")</f>
        <v>5.2500282337734301E-2</v>
      </c>
      <c r="G345" s="25"/>
      <c r="H345" s="23">
        <f>IFERROR(B345-E345, "NA")</f>
        <v>-8472.6800000000276</v>
      </c>
      <c r="I345" s="24">
        <f>IFERROR(H345/H444, "NA")</f>
        <v>-0.9508017537697443</v>
      </c>
      <c r="J345" s="25"/>
      <c r="K345" s="23">
        <f>IFERROR(K198-K325-K344, "NA")</f>
        <v>-2570.2500000000018</v>
      </c>
      <c r="L345" s="24">
        <f>IFERROR(K345/K444, "NA")</f>
        <v>-4.2427046608758033E-2</v>
      </c>
      <c r="M345" s="25"/>
      <c r="N345" s="23">
        <f>IFERROR(B345-K345, "NA")</f>
        <v>-2146.2700000000095</v>
      </c>
      <c r="O345" s="24">
        <f>IFERROR(N345/N444, "NA")</f>
        <v>-0.10798217964746741</v>
      </c>
      <c r="P345" s="25"/>
      <c r="Q345" s="23">
        <f>IFERROR(Q198-Q325-Q344, "NA")</f>
        <v>-10722.040000000023</v>
      </c>
      <c r="R345" s="24">
        <f>IFERROR(Q345/Q444, "NA")</f>
        <v>-7.3344693669388936E-2</v>
      </c>
      <c r="S345" s="25"/>
      <c r="T345" s="23">
        <f>IFERROR(T198-T325-T344, "NA")</f>
        <v>1220.8000000000065</v>
      </c>
      <c r="U345" s="24">
        <f>IFERROR(T345/T444, "NA")</f>
        <v>9.5645100268704642E-3</v>
      </c>
      <c r="V345" s="25"/>
      <c r="W345" s="23">
        <f>IFERROR(Q345-T345, "NA")</f>
        <v>-11942.840000000029</v>
      </c>
      <c r="X345" s="24">
        <f>IFERROR(W345/W444, "NA")</f>
        <v>-0.64387232147574702</v>
      </c>
      <c r="Y345" s="25"/>
      <c r="Z345" s="23">
        <f>IFERROR(Z198-Z325-Z344, "NA")</f>
        <v>-5465.2500000000018</v>
      </c>
      <c r="AA345" s="24">
        <f>IFERROR(Z345/Z444, "NA")</f>
        <v>-4.7939788625465551E-2</v>
      </c>
      <c r="AB345" s="25"/>
      <c r="AC345" s="23">
        <f>IFERROR(Q345-Z345, "NA")</f>
        <v>-5256.7900000000209</v>
      </c>
      <c r="AD345" s="24">
        <f>IFERROR(AC345/AC444, "NA")</f>
        <v>-0.16333241260341583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-4716.5200000000114</v>
      </c>
      <c r="C404" s="24">
        <f>IFERROR(B404/B444, "NA")</f>
        <v>-5.8621908131600516E-2</v>
      </c>
      <c r="D404" s="25"/>
      <c r="E404" s="23">
        <f>IFERROR(E345-E403, "NA")</f>
        <v>3756.1600000000162</v>
      </c>
      <c r="F404" s="24">
        <f>IFERROR(E404/E444, "NA")</f>
        <v>5.2500282337734301E-2</v>
      </c>
      <c r="G404" s="25"/>
      <c r="H404" s="23">
        <f>IFERROR(B404-E404, "NA")</f>
        <v>-8472.6800000000276</v>
      </c>
      <c r="I404" s="24">
        <f>IFERROR(H404/H444, "NA")</f>
        <v>-0.9508017537697443</v>
      </c>
      <c r="J404" s="25"/>
      <c r="K404" s="23">
        <f>IFERROR(K345-K403, "NA")</f>
        <v>-2570.2500000000018</v>
      </c>
      <c r="L404" s="24">
        <f>IFERROR(K404/K444, "NA")</f>
        <v>-4.2427046608758033E-2</v>
      </c>
      <c r="M404" s="25"/>
      <c r="N404" s="23">
        <f>IFERROR(B404-K404, "NA")</f>
        <v>-2146.2700000000095</v>
      </c>
      <c r="O404" s="24">
        <f>IFERROR(N404/N444, "NA")</f>
        <v>-0.10798217964746741</v>
      </c>
      <c r="P404" s="25"/>
      <c r="Q404" s="23">
        <f>IFERROR(Q345-Q403, "NA")</f>
        <v>-10722.040000000023</v>
      </c>
      <c r="R404" s="24">
        <f>IFERROR(Q404/Q444, "NA")</f>
        <v>-7.3344693669388936E-2</v>
      </c>
      <c r="S404" s="25"/>
      <c r="T404" s="23">
        <f>IFERROR(T345-T403, "NA")</f>
        <v>1220.8000000000065</v>
      </c>
      <c r="U404" s="24">
        <f>IFERROR(T404/T444, "NA")</f>
        <v>9.5645100268704642E-3</v>
      </c>
      <c r="V404" s="25"/>
      <c r="W404" s="23">
        <f>IFERROR(Q404-T404, "NA")</f>
        <v>-11942.840000000029</v>
      </c>
      <c r="X404" s="24">
        <f>IFERROR(W404/W444, "NA")</f>
        <v>-0.64387232147574702</v>
      </c>
      <c r="Y404" s="25"/>
      <c r="Z404" s="23">
        <f>IFERROR(Z345-Z403, "NA")</f>
        <v>-5465.2500000000018</v>
      </c>
      <c r="AA404" s="24">
        <f>IFERROR(Z404/Z444, "NA")</f>
        <v>-4.7939788625465551E-2</v>
      </c>
      <c r="AB404" s="25"/>
      <c r="AC404" s="23">
        <f>IFERROR(Q404-Z404, "NA")</f>
        <v>-5256.7900000000209</v>
      </c>
      <c r="AD404" s="24">
        <f>IFERROR(AC404/AC444, "NA")</f>
        <v>-0.16333241260341583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3217.04</v>
      </c>
      <c r="C410" s="8">
        <f>IFERROR(B410/B444, "NA")</f>
        <v>3.9984781859439517E-2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-3217.04</v>
      </c>
      <c r="I410" s="8">
        <f>IFERROR(H410/H444, "NA")</f>
        <v>-0.36101531911359902</v>
      </c>
      <c r="J410" s="9"/>
      <c r="K410" s="7">
        <v>7806.23</v>
      </c>
      <c r="L410" s="8">
        <f>IFERROR(K410/K444, "NA")</f>
        <v>0.12885722558065751</v>
      </c>
      <c r="M410" s="9"/>
      <c r="N410" s="10">
        <f t="shared" si="101"/>
        <v>4589.1899999999996</v>
      </c>
      <c r="O410" s="8">
        <f>IFERROR(N410/N444, "NA")</f>
        <v>0.23088928187802965</v>
      </c>
      <c r="P410" s="9"/>
      <c r="Q410" s="7">
        <v>6226.42</v>
      </c>
      <c r="R410" s="8">
        <f>IFERROR(Q410/Q444, "NA")</f>
        <v>4.2592162271074881E-2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-6226.42</v>
      </c>
      <c r="X410" s="8">
        <f>IFERROR(W410/W444, "NA")</f>
        <v>-0.33568393279010778</v>
      </c>
      <c r="Y410" s="9"/>
      <c r="Z410" s="7">
        <v>15611.98</v>
      </c>
      <c r="AA410" s="8">
        <f>IFERROR(Z410/Z444, "NA")</f>
        <v>0.136944333969168</v>
      </c>
      <c r="AB410" s="9"/>
      <c r="AC410" s="10">
        <f t="shared" si="103"/>
        <v>9385.56</v>
      </c>
      <c r="AD410" s="8">
        <f>IFERROR(AC410/AC444, "NA")</f>
        <v>0.29161639678094603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-27.32</v>
      </c>
      <c r="C416" s="8">
        <f>IFERROR(B416/B444, "NA")</f>
        <v>-3.3956190796505096E-4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27.32</v>
      </c>
      <c r="I416" s="8">
        <f>IFERROR(H416/H444, "NA")</f>
        <v>3.0658426746896297E-3</v>
      </c>
      <c r="J416" s="9"/>
      <c r="K416" s="7">
        <v>-28.2</v>
      </c>
      <c r="L416" s="8">
        <f>IFERROR(K416/K444, "NA")</f>
        <v>-4.6549663043166063E-4</v>
      </c>
      <c r="M416" s="9"/>
      <c r="N416" s="10">
        <f t="shared" si="101"/>
        <v>-0.87999999999999901</v>
      </c>
      <c r="O416" s="8">
        <f>IFERROR(N416/N444, "NA")</f>
        <v>-4.427416778400238E-5</v>
      </c>
      <c r="P416" s="9"/>
      <c r="Q416" s="7">
        <v>-55.98</v>
      </c>
      <c r="R416" s="8">
        <f>IFERROR(Q416/Q444, "NA")</f>
        <v>-3.829342132292347E-4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55.98</v>
      </c>
      <c r="X416" s="8">
        <f>IFERROR(W416/W444, "NA")</f>
        <v>3.0180403117024282E-3</v>
      </c>
      <c r="Y416" s="9"/>
      <c r="Z416" s="7">
        <v>-47.68</v>
      </c>
      <c r="AA416" s="8">
        <f>IFERROR(Z416/Z444, "NA")</f>
        <v>-4.1823688242298098E-4</v>
      </c>
      <c r="AB416" s="9"/>
      <c r="AC416" s="10">
        <f t="shared" si="103"/>
        <v>8.2999999999999972</v>
      </c>
      <c r="AD416" s="8">
        <f>IFERROR(AC416/AC444, "NA")</f>
        <v>2.5788723243811253E-4</v>
      </c>
    </row>
    <row r="417" spans="1:30" ht="16.5" customHeight="1" x14ac:dyDescent="0.45">
      <c r="A417" s="6" t="s">
        <v>382</v>
      </c>
      <c r="B417" s="7">
        <v>-48.35</v>
      </c>
      <c r="C417" s="8">
        <f>IFERROR(B417/B444, "NA")</f>
        <v>-6.0094503111677211E-4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48.35</v>
      </c>
      <c r="I417" s="8">
        <f>IFERROR(H417/H444, "NA")</f>
        <v>5.4258233280103808E-3</v>
      </c>
      <c r="J417" s="9"/>
      <c r="K417" s="7">
        <v>17.27</v>
      </c>
      <c r="L417" s="8">
        <f>IFERROR(K417/K444, "NA")</f>
        <v>2.850754187076163E-4</v>
      </c>
      <c r="M417" s="9"/>
      <c r="N417" s="10">
        <f t="shared" si="101"/>
        <v>65.62</v>
      </c>
      <c r="O417" s="8">
        <f>IFERROR(N417/N444, "NA")</f>
        <v>3.3014441931661816E-3</v>
      </c>
      <c r="P417" s="9"/>
      <c r="Q417" s="7">
        <v>-34.1</v>
      </c>
      <c r="R417" s="8">
        <f>IFERROR(Q417/Q444, "NA")</f>
        <v>-2.3326289158836914E-4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34.1</v>
      </c>
      <c r="X417" s="8">
        <f>IFERROR(W417/W444, "NA")</f>
        <v>1.838427556789082E-3</v>
      </c>
      <c r="Y417" s="9"/>
      <c r="Z417" s="7">
        <v>17.27</v>
      </c>
      <c r="AA417" s="8">
        <f>IFERROR(Z417/Z444, "NA")</f>
        <v>1.5148806542459903E-4</v>
      </c>
      <c r="AB417" s="9"/>
      <c r="AC417" s="10">
        <f t="shared" si="103"/>
        <v>51.370000000000005</v>
      </c>
      <c r="AD417" s="8">
        <f>IFERROR(AC417/AC444, "NA")</f>
        <v>1.5961044735356442E-3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3141.37</v>
      </c>
      <c r="C428" s="15">
        <f>IFERROR(B428/B444, "NA")</f>
        <v>3.904427492035769E-2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-3141.37</v>
      </c>
      <c r="I428" s="15">
        <f>IFERROR(H428/H444, "NA")</f>
        <v>-0.352523653110899</v>
      </c>
      <c r="J428" s="2"/>
      <c r="K428" s="14">
        <f>IFERROR(K407+K408+K409+K410+K411+K412+K413+K414+K415+K416+K417+K418+K419+K420+K421+K422+K423+K424+K425+K426+K427, "NA")</f>
        <v>7795.3</v>
      </c>
      <c r="L428" s="15">
        <f>IFERROR(K428/K444, "NA")</f>
        <v>0.12867680436893347</v>
      </c>
      <c r="M428" s="2"/>
      <c r="N428" s="14">
        <f t="shared" si="101"/>
        <v>4653.93</v>
      </c>
      <c r="O428" s="15">
        <f>IFERROR(N428/N444, "NA")</f>
        <v>0.23414645190341188</v>
      </c>
      <c r="P428" s="2"/>
      <c r="Q428" s="14">
        <f>IFERROR(Q407+Q408+Q409+Q410+Q411+Q412+Q413+Q414+Q415+Q416+Q417+Q418+Q419+Q420+Q421+Q422+Q423+Q424+Q425+Q426+Q427, "NA")</f>
        <v>6136.34</v>
      </c>
      <c r="R428" s="15">
        <f>IFERROR(Q428/Q444, "NA")</f>
        <v>4.1975965166257276E-2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-6136.34</v>
      </c>
      <c r="X428" s="15">
        <f>IFERROR(W428/W444, "NA")</f>
        <v>-0.3308274649216163</v>
      </c>
      <c r="Y428" s="2"/>
      <c r="Z428" s="14">
        <f>IFERROR(Z407+Z408+Z409+Z410+Z411+Z412+Z413+Z414+Z415+Z416+Z417+Z418+Z419+Z420+Z421+Z422+Z423+Z424+Z425+Z426+Z427, "NA")</f>
        <v>15581.57</v>
      </c>
      <c r="AA428" s="15">
        <f>IFERROR(Z428/Z444, "NA")</f>
        <v>0.13667758515216963</v>
      </c>
      <c r="AB428" s="2"/>
      <c r="AC428" s="14">
        <f t="shared" si="103"/>
        <v>9445.23</v>
      </c>
      <c r="AD428" s="15">
        <f>IFERROR(AC428/AC444, "NA")</f>
        <v>0.29347038848691981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3141.37</v>
      </c>
      <c r="C429" s="15">
        <f>IFERROR(B429/B444, "NA")</f>
        <v>3.904427492035769E-2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-3141.37</v>
      </c>
      <c r="I429" s="15">
        <f>IFERROR(H429/H444, "NA")</f>
        <v>-0.352523653110899</v>
      </c>
      <c r="J429" s="2"/>
      <c r="K429" s="14">
        <f>IFERROR(K407+K408+K409+K410+K411+K412+K413+K414+K415+K416+K417+K418+K419+K420+K421+K422+K423+K424+K425+K426+K427, "NA")</f>
        <v>7795.3</v>
      </c>
      <c r="L429" s="15">
        <f>IFERROR(K429/K444, "NA")</f>
        <v>0.12867680436893347</v>
      </c>
      <c r="M429" s="2"/>
      <c r="N429" s="14">
        <f t="shared" si="101"/>
        <v>4653.93</v>
      </c>
      <c r="O429" s="15">
        <f>IFERROR(N429/N444, "NA")</f>
        <v>0.23414645190341188</v>
      </c>
      <c r="P429" s="2"/>
      <c r="Q429" s="14">
        <f>IFERROR(Q407+Q408+Q409+Q410+Q411+Q412+Q413+Q414+Q415+Q416+Q417+Q418+Q419+Q420+Q421+Q422+Q423+Q424+Q425+Q426+Q427, "NA")</f>
        <v>6136.34</v>
      </c>
      <c r="R429" s="15">
        <f>IFERROR(Q429/Q444, "NA")</f>
        <v>4.1975965166257276E-2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-6136.34</v>
      </c>
      <c r="X429" s="15">
        <f>IFERROR(W429/W444, "NA")</f>
        <v>-0.3308274649216163</v>
      </c>
      <c r="Y429" s="2"/>
      <c r="Z429" s="14">
        <f>IFERROR(Z407+Z408+Z409+Z410+Z411+Z412+Z413+Z414+Z415+Z416+Z417+Z418+Z419+Z420+Z421+Z422+Z423+Z424+Z425+Z426+Z427, "NA")</f>
        <v>15581.57</v>
      </c>
      <c r="AA429" s="15">
        <f>IFERROR(Z429/Z444, "NA")</f>
        <v>0.13667758515216963</v>
      </c>
      <c r="AB429" s="2"/>
      <c r="AC429" s="14">
        <f t="shared" si="103"/>
        <v>9445.23</v>
      </c>
      <c r="AD429" s="15">
        <f>IFERROR(AC429/AC444, "NA")</f>
        <v>0.29347038848691981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-7857.8900000000112</v>
      </c>
      <c r="C443" s="24">
        <f>IFERROR(B443/B444, "NA")</f>
        <v>-9.7666183051958205E-2</v>
      </c>
      <c r="D443" s="25"/>
      <c r="E443" s="23">
        <f>IFERROR(E404-E429-E442, "NA")</f>
        <v>3756.1600000000162</v>
      </c>
      <c r="F443" s="24">
        <f>IFERROR(E443/E444, "NA")</f>
        <v>5.2500282337734301E-2</v>
      </c>
      <c r="G443" s="25"/>
      <c r="H443" s="23">
        <f>IFERROR(B443-E443, "NA")</f>
        <v>-11614.050000000028</v>
      </c>
      <c r="I443" s="24">
        <f>IFERROR(H443/H444, "NA")</f>
        <v>-1.3033254068806435</v>
      </c>
      <c r="J443" s="25"/>
      <c r="K443" s="23">
        <f>IFERROR(K404-K429-K442, "NA")</f>
        <v>-10365.550000000003</v>
      </c>
      <c r="L443" s="24">
        <f>IFERROR(K443/K444, "NA")</f>
        <v>-0.17110385097769154</v>
      </c>
      <c r="M443" s="25"/>
      <c r="N443" s="23">
        <f>IFERROR(B443-K443, "NA")</f>
        <v>2507.6599999999917</v>
      </c>
      <c r="O443" s="24">
        <f>IFERROR(N443/N444, "NA")</f>
        <v>0.12616427225594451</v>
      </c>
      <c r="P443" s="25"/>
      <c r="Q443" s="23">
        <f>IFERROR(Q404-Q429-Q442, "NA")</f>
        <v>-16858.380000000023</v>
      </c>
      <c r="R443" s="24">
        <f>IFERROR(Q443/Q444, "NA")</f>
        <v>-0.11532065883564621</v>
      </c>
      <c r="S443" s="25"/>
      <c r="T443" s="23">
        <f>IFERROR(T404-T429-T442, "NA")</f>
        <v>1220.8000000000065</v>
      </c>
      <c r="U443" s="24">
        <f>IFERROR(T443/T444, "NA")</f>
        <v>9.5645100268704642E-3</v>
      </c>
      <c r="V443" s="25"/>
      <c r="W443" s="23">
        <f>IFERROR(Q443-T443, "NA")</f>
        <v>-18079.180000000029</v>
      </c>
      <c r="X443" s="24">
        <f>IFERROR(W443/W444, "NA")</f>
        <v>-0.97469978639736332</v>
      </c>
      <c r="Y443" s="25"/>
      <c r="Z443" s="23">
        <f>IFERROR(Z404-Z429-Z442, "NA")</f>
        <v>-21046.82</v>
      </c>
      <c r="AA443" s="24">
        <f>IFERROR(Z443/Z444, "NA")</f>
        <v>-0.18461737377763515</v>
      </c>
      <c r="AB443" s="25"/>
      <c r="AC443" s="23">
        <f>IFERROR(Q443-Z443, "NA")</f>
        <v>4188.4399999999769</v>
      </c>
      <c r="AD443" s="24">
        <f>IFERROR(AC443/AC444, "NA")</f>
        <v>0.1301379758835039</v>
      </c>
    </row>
    <row r="444" spans="1:30" ht="15.75" hidden="1" x14ac:dyDescent="0.45">
      <c r="A444" s="26" t="s">
        <v>117</v>
      </c>
      <c r="B444" s="7">
        <v>80456.61</v>
      </c>
      <c r="C444" s="27"/>
      <c r="D444" s="9"/>
      <c r="E444" s="7">
        <v>71545.52</v>
      </c>
      <c r="F444" s="27"/>
      <c r="G444" s="9"/>
      <c r="H444" s="10">
        <f>IFERROR(B444-E444, "NA")</f>
        <v>8911.0899999999965</v>
      </c>
      <c r="I444" s="27"/>
      <c r="J444" s="9"/>
      <c r="K444" s="7">
        <v>60580.46</v>
      </c>
      <c r="L444" s="27"/>
      <c r="M444" s="9"/>
      <c r="N444" s="10">
        <f>IFERROR(B444-K444, "NA")</f>
        <v>19876.150000000001</v>
      </c>
      <c r="O444" s="27"/>
      <c r="P444" s="9"/>
      <c r="Q444" s="7">
        <v>146186.99</v>
      </c>
      <c r="R444" s="27"/>
      <c r="S444" s="9"/>
      <c r="T444" s="7">
        <v>127638.53</v>
      </c>
      <c r="U444" s="27"/>
      <c r="V444" s="9"/>
      <c r="W444" s="10">
        <f>IFERROR(Q444-T444, "NA")</f>
        <v>18548.459999999992</v>
      </c>
      <c r="X444" s="27"/>
      <c r="Y444" s="9"/>
      <c r="Z444" s="7">
        <v>114002.38</v>
      </c>
      <c r="AA444" s="27"/>
      <c r="AB444" s="9"/>
      <c r="AC444" s="10">
        <f>IFERROR(Q444-Z444, "NA")</f>
        <v>32184.609999999986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56325.61</v>
      </c>
      <c r="F10" s="8">
        <f>IFERROR(E10/E444, "NA")</f>
        <v>0.58899999393490821</v>
      </c>
      <c r="G10" s="9"/>
      <c r="H10" s="10">
        <f t="shared" ref="H10:H19" si="0">IFERROR(B10-E10, "NA")</f>
        <v>-56325.61</v>
      </c>
      <c r="I10" s="8">
        <f>IFERROR(H10/H444, "NA")</f>
        <v>3.0078810168316696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100342.63</v>
      </c>
      <c r="U10" s="8">
        <f>IFERROR(T10/T444, "NA")</f>
        <v>0.58899997129624904</v>
      </c>
      <c r="V10" s="9"/>
      <c r="W10" s="10">
        <f t="shared" ref="W10:W19" si="2">IFERROR(Q10-T10, "NA")</f>
        <v>-100342.63</v>
      </c>
      <c r="X10" s="8">
        <f>IFERROR(W10/W444, "NA")</f>
        <v>4.8857488282592785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38772.1</v>
      </c>
      <c r="C11" s="8">
        <f>IFERROR(B11/B444, "NA")</f>
        <v>0.50416751134315452</v>
      </c>
      <c r="D11" s="9"/>
      <c r="E11" s="7">
        <v>0</v>
      </c>
      <c r="F11" s="8">
        <f>IFERROR(E11/E444, "NA")</f>
        <v>0</v>
      </c>
      <c r="G11" s="9"/>
      <c r="H11" s="10">
        <f t="shared" si="0"/>
        <v>38772.1</v>
      </c>
      <c r="I11" s="8">
        <f>IFERROR(H11/H444, "NA")</f>
        <v>-2.0704944619809562</v>
      </c>
      <c r="J11" s="9"/>
      <c r="K11" s="7">
        <v>44428.33</v>
      </c>
      <c r="L11" s="8">
        <f>IFERROR(K11/K444, "NA")</f>
        <v>0.5156943302250836</v>
      </c>
      <c r="M11" s="9"/>
      <c r="N11" s="10">
        <f t="shared" si="1"/>
        <v>-5656.2300000000032</v>
      </c>
      <c r="O11" s="8">
        <f>IFERROR(N11/N444, "NA")</f>
        <v>0.61153456932677808</v>
      </c>
      <c r="P11" s="9"/>
      <c r="Q11" s="7">
        <v>72667.600000000006</v>
      </c>
      <c r="R11" s="8">
        <f>IFERROR(Q11/Q444, "NA")</f>
        <v>0.48502237871186699</v>
      </c>
      <c r="S11" s="9"/>
      <c r="T11" s="7">
        <v>0</v>
      </c>
      <c r="U11" s="8">
        <f>IFERROR(T11/T444, "NA")</f>
        <v>0</v>
      </c>
      <c r="V11" s="9"/>
      <c r="W11" s="10">
        <f t="shared" si="2"/>
        <v>72667.600000000006</v>
      </c>
      <c r="X11" s="8">
        <f>IFERROR(W11/W444, "NA")</f>
        <v>-3.538233366540362</v>
      </c>
      <c r="Y11" s="9"/>
      <c r="Z11" s="7">
        <v>83754.399999999994</v>
      </c>
      <c r="AA11" s="8">
        <f>IFERROR(Z11/Z444, "NA")</f>
        <v>0.53236352282953603</v>
      </c>
      <c r="AB11" s="9"/>
      <c r="AC11" s="10">
        <f t="shared" si="3"/>
        <v>-11086.799999999988</v>
      </c>
      <c r="AD11" s="8">
        <f>IFERROR(AC11/AC444, "NA")</f>
        <v>1.4777690842518199</v>
      </c>
    </row>
    <row r="12" spans="1:30" ht="16.5" customHeight="1" x14ac:dyDescent="0.45">
      <c r="A12" s="12" t="s">
        <v>14</v>
      </c>
      <c r="B12" s="7">
        <v>4347.6000000000004</v>
      </c>
      <c r="C12" s="8">
        <f>IFERROR(B12/B444, "NA")</f>
        <v>5.653340088144565E-2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4347.6000000000004</v>
      </c>
      <c r="I12" s="8">
        <f>IFERROR(H12/H444, "NA")</f>
        <v>-0.23216905256378703</v>
      </c>
      <c r="J12" s="9"/>
      <c r="K12" s="7">
        <v>4790.3</v>
      </c>
      <c r="L12" s="8">
        <f>IFERROR(K12/K444, "NA")</f>
        <v>5.5602597488521803E-2</v>
      </c>
      <c r="M12" s="9"/>
      <c r="N12" s="10">
        <f t="shared" si="1"/>
        <v>-442.69999999999982</v>
      </c>
      <c r="O12" s="8">
        <f>IFERROR(N12/N444, "NA")</f>
        <v>4.7863392019236201E-2</v>
      </c>
      <c r="P12" s="9"/>
      <c r="Q12" s="7">
        <v>8305.15</v>
      </c>
      <c r="R12" s="8">
        <f>IFERROR(Q12/Q444, "NA")</f>
        <v>5.5433007400256258E-2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8305.15</v>
      </c>
      <c r="X12" s="8">
        <f>IFERROR(W12/W444, "NA")</f>
        <v>-0.40438323054735104</v>
      </c>
      <c r="Y12" s="9"/>
      <c r="Z12" s="7">
        <v>8427.65</v>
      </c>
      <c r="AA12" s="8">
        <f>IFERROR(Z12/Z444, "NA")</f>
        <v>5.3568211857219918E-2</v>
      </c>
      <c r="AB12" s="9"/>
      <c r="AC12" s="10">
        <f t="shared" si="3"/>
        <v>-122.5</v>
      </c>
      <c r="AD12" s="8">
        <f>IFERROR(AC12/AC444, "NA")</f>
        <v>1.6328130102540691E-2</v>
      </c>
    </row>
    <row r="13" spans="1:30" ht="16.5" customHeight="1" x14ac:dyDescent="0.45">
      <c r="A13" s="12" t="s">
        <v>15</v>
      </c>
      <c r="B13" s="7">
        <v>114</v>
      </c>
      <c r="C13" s="8">
        <f>IFERROR(B13/B444, "NA")</f>
        <v>1.4823828550199658E-3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114</v>
      </c>
      <c r="I13" s="8">
        <f>IFERROR(H13/H444, "NA")</f>
        <v>-6.0877891232569044E-3</v>
      </c>
      <c r="J13" s="9"/>
      <c r="K13" s="7">
        <v>148.99</v>
      </c>
      <c r="L13" s="8">
        <f>IFERROR(K13/K444, "NA")</f>
        <v>1.729376239445309E-3</v>
      </c>
      <c r="M13" s="9"/>
      <c r="N13" s="10">
        <f t="shared" si="1"/>
        <v>-34.990000000000009</v>
      </c>
      <c r="O13" s="8">
        <f>IFERROR(N13/N444, "NA")</f>
        <v>3.7830135232732685E-3</v>
      </c>
      <c r="P13" s="9"/>
      <c r="Q13" s="7">
        <v>222</v>
      </c>
      <c r="R13" s="8">
        <f>IFERROR(Q13/Q444, "NA")</f>
        <v>1.4817465840902199E-3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222</v>
      </c>
      <c r="X13" s="8">
        <f>IFERROR(W13/W444, "NA")</f>
        <v>-1.0809326403678673E-2</v>
      </c>
      <c r="Y13" s="9"/>
      <c r="Z13" s="7">
        <v>250.49</v>
      </c>
      <c r="AA13" s="8">
        <f>IFERROR(Z13/Z444, "NA")</f>
        <v>1.592175919516712E-3</v>
      </c>
      <c r="AB13" s="9"/>
      <c r="AC13" s="10">
        <f t="shared" si="3"/>
        <v>-28.490000000000009</v>
      </c>
      <c r="AD13" s="8">
        <f>IFERROR(AC13/AC444, "NA")</f>
        <v>3.7974565438480359E-3</v>
      </c>
    </row>
    <row r="14" spans="1:30" ht="16.5" customHeight="1" x14ac:dyDescent="0.45">
      <c r="A14" s="12" t="s">
        <v>16</v>
      </c>
      <c r="B14" s="7">
        <v>235</v>
      </c>
      <c r="C14" s="8">
        <f>IFERROR(B14/B444, "NA")</f>
        <v>3.0557892186815088E-3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235</v>
      </c>
      <c r="I14" s="8">
        <f>IFERROR(H14/H444, "NA")</f>
        <v>-1.2549389859345374E-2</v>
      </c>
      <c r="J14" s="9"/>
      <c r="K14" s="7">
        <v>490</v>
      </c>
      <c r="L14" s="8">
        <f>IFERROR(K14/K444, "NA")</f>
        <v>5.6875921694623894E-3</v>
      </c>
      <c r="M14" s="9"/>
      <c r="N14" s="10">
        <f t="shared" si="1"/>
        <v>-255</v>
      </c>
      <c r="O14" s="8">
        <f>IFERROR(N14/N444, "NA")</f>
        <v>2.7569832764637987E-2</v>
      </c>
      <c r="P14" s="9"/>
      <c r="Q14" s="7">
        <v>520</v>
      </c>
      <c r="R14" s="8">
        <f>IFERROR(Q14/Q444, "NA")</f>
        <v>3.4707577645356502E-3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520</v>
      </c>
      <c r="X14" s="8">
        <f>IFERROR(W14/W444, "NA")</f>
        <v>-2.5319142927535631E-2</v>
      </c>
      <c r="Y14" s="9"/>
      <c r="Z14" s="7">
        <v>680</v>
      </c>
      <c r="AA14" s="8">
        <f>IFERROR(Z14/Z444, "NA")</f>
        <v>4.3222468971670092E-3</v>
      </c>
      <c r="AB14" s="9"/>
      <c r="AC14" s="10">
        <f t="shared" si="3"/>
        <v>-160</v>
      </c>
      <c r="AD14" s="8">
        <f>IFERROR(AC14/AC444, "NA")</f>
        <v>2.1326537276787839E-2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2.7307052592473056E-4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-1.1214348384946931E-3</v>
      </c>
      <c r="J15" s="9"/>
      <c r="K15" s="7">
        <v>16</v>
      </c>
      <c r="L15" s="8">
        <f>IFERROR(K15/K444, "NA")</f>
        <v>1.8571729532938414E-4</v>
      </c>
      <c r="M15" s="9"/>
      <c r="N15" s="10">
        <f t="shared" si="1"/>
        <v>5</v>
      </c>
      <c r="O15" s="8">
        <f>IFERROR(N15/N444, "NA")</f>
        <v>-5.4058495616937229E-4</v>
      </c>
      <c r="P15" s="9"/>
      <c r="Q15" s="7">
        <v>42</v>
      </c>
      <c r="R15" s="8">
        <f>IFERROR(Q15/Q444, "NA")</f>
        <v>2.8033043482787945E-4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42</v>
      </c>
      <c r="X15" s="8">
        <f>IFERROR(W15/W444, "NA")</f>
        <v>-2.0450076979932623E-3</v>
      </c>
      <c r="Y15" s="9"/>
      <c r="Z15" s="7">
        <v>32</v>
      </c>
      <c r="AA15" s="8">
        <f>IFERROR(Z15/Z444, "NA")</f>
        <v>2.0339985398432983E-4</v>
      </c>
      <c r="AB15" s="9"/>
      <c r="AC15" s="10">
        <f t="shared" si="3"/>
        <v>10</v>
      </c>
      <c r="AD15" s="8">
        <f>IFERROR(AC15/AC444, "NA")</f>
        <v>-1.3329085797992399E-3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43489.7</v>
      </c>
      <c r="C18" s="15">
        <f>IFERROR(B18/B444, "NA")</f>
        <v>0.56551215482422634</v>
      </c>
      <c r="D18" s="2"/>
      <c r="E18" s="14">
        <f>IFERROR(E10+E11+E12+E13+E14+E15+E16+E17, "NA")</f>
        <v>56325.61</v>
      </c>
      <c r="F18" s="15">
        <f>IFERROR(E18/E444, "NA")</f>
        <v>0.58899999393490821</v>
      </c>
      <c r="G18" s="2"/>
      <c r="H18" s="14">
        <f t="shared" si="0"/>
        <v>-12835.910000000003</v>
      </c>
      <c r="I18" s="15">
        <f>IFERROR(H18/H444, "NA")</f>
        <v>0.68545888846582947</v>
      </c>
      <c r="J18" s="2"/>
      <c r="K18" s="14">
        <f>IFERROR(K10+K11+K12+K13+K14+K15+K16+K17, "NA")</f>
        <v>49873.62</v>
      </c>
      <c r="L18" s="15">
        <f>IFERROR(K18/K444, "NA")</f>
        <v>0.57889961341784246</v>
      </c>
      <c r="M18" s="2"/>
      <c r="N18" s="14">
        <f t="shared" si="1"/>
        <v>-6383.9200000000055</v>
      </c>
      <c r="O18" s="15">
        <f>IFERROR(N18/N444, "NA")</f>
        <v>0.69021022267775645</v>
      </c>
      <c r="P18" s="2"/>
      <c r="Q18" s="14">
        <f>IFERROR(Q10+Q11+Q12+Q13+Q14+Q15+Q16+Q17, "NA")</f>
        <v>81756.75</v>
      </c>
      <c r="R18" s="15">
        <f>IFERROR(Q18/Q444, "NA")</f>
        <v>0.545688220895577</v>
      </c>
      <c r="S18" s="2"/>
      <c r="T18" s="14">
        <f>IFERROR(T10+T11+T12+T13+T14+T15+T16+T17, "NA")</f>
        <v>100342.63</v>
      </c>
      <c r="U18" s="15">
        <f>IFERROR(T18/T444, "NA")</f>
        <v>0.58899997129624904</v>
      </c>
      <c r="V18" s="2"/>
      <c r="W18" s="14">
        <f t="shared" si="2"/>
        <v>-18585.880000000005</v>
      </c>
      <c r="X18" s="15">
        <f>IFERROR(W18/W444, "NA")</f>
        <v>0.90495875414235782</v>
      </c>
      <c r="Y18" s="2"/>
      <c r="Z18" s="14">
        <f>IFERROR(Z10+Z11+Z12+Z13+Z14+Z15+Z16+Z17, "NA")</f>
        <v>93144.54</v>
      </c>
      <c r="AA18" s="15">
        <f>IFERROR(Z18/Z444, "NA")</f>
        <v>0.59204955735742404</v>
      </c>
      <c r="AB18" s="2"/>
      <c r="AC18" s="14">
        <f t="shared" si="3"/>
        <v>-11387.789999999994</v>
      </c>
      <c r="AD18" s="15">
        <f>IFERROR(AC18/AC444, "NA")</f>
        <v>1.5178882995951979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7937.23</v>
      </c>
      <c r="F21" s="8">
        <f>IFERROR(E21/E444, "NA")</f>
        <v>8.300004956644004E-2</v>
      </c>
      <c r="G21" s="9"/>
      <c r="H21" s="10">
        <f t="shared" ref="H21:H29" si="4">IFERROR(B21-E21, "NA")</f>
        <v>-7937.23</v>
      </c>
      <c r="I21" s="8">
        <f>IFERROR(H21/H444, "NA")</f>
        <v>0.42386124967358246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14139.97</v>
      </c>
      <c r="U21" s="8">
        <f>IFERROR(T21/T444, "NA")</f>
        <v>8.300003621720721E-2</v>
      </c>
      <c r="V21" s="9"/>
      <c r="W21" s="10">
        <f t="shared" ref="W21:W29" si="6">IFERROR(Q21-T21, "NA")</f>
        <v>-14139.97</v>
      </c>
      <c r="X21" s="8">
        <f>IFERROR(W21/W444, "NA")</f>
        <v>0.68848446427128074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6866.1</v>
      </c>
      <c r="C22" s="8">
        <f>IFERROR(B22/B444, "NA")</f>
        <v>8.9282358954847263E-2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6866.1</v>
      </c>
      <c r="I22" s="8">
        <f>IFERROR(H22/H444, "NA")</f>
        <v>-0.36666113069468631</v>
      </c>
      <c r="J22" s="9"/>
      <c r="K22" s="7">
        <v>7091.26</v>
      </c>
      <c r="L22" s="8">
        <f>IFERROR(K22/K444, "NA")</f>
        <v>8.2310601729840532E-2</v>
      </c>
      <c r="M22" s="9"/>
      <c r="N22" s="10">
        <f t="shared" si="5"/>
        <v>-225.15999999999985</v>
      </c>
      <c r="O22" s="8">
        <f>IFERROR(N22/N444, "NA")</f>
        <v>2.4343621746219159E-2</v>
      </c>
      <c r="P22" s="9"/>
      <c r="Q22" s="7">
        <v>12142.15</v>
      </c>
      <c r="R22" s="8">
        <f>IFERROR(Q22/Q444, "NA")</f>
        <v>8.1043194982031816E-2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12142.15</v>
      </c>
      <c r="X22" s="8">
        <f>IFERROR(W22/W444, "NA")</f>
        <v>-0.59120929095687835</v>
      </c>
      <c r="Y22" s="9"/>
      <c r="Z22" s="7">
        <v>12521.98</v>
      </c>
      <c r="AA22" s="8">
        <f>IFERROR(Z22/Z444, "NA")</f>
        <v>7.9592778237334322E-2</v>
      </c>
      <c r="AB22" s="9"/>
      <c r="AC22" s="10">
        <f t="shared" si="7"/>
        <v>-379.82999999999993</v>
      </c>
      <c r="AD22" s="8">
        <f>IFERROR(AC22/AC444, "NA")</f>
        <v>5.0627866586514525E-2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1307.31</v>
      </c>
      <c r="C24" s="8">
        <f>IFERROR(B24/B444, "NA")</f>
        <v>1.6999420440317117E-2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1307.31</v>
      </c>
      <c r="I24" s="8">
        <f>IFERROR(H24/H444, "NA")</f>
        <v>-6.9812522795833193E-2</v>
      </c>
      <c r="J24" s="9"/>
      <c r="K24" s="7">
        <v>480.52</v>
      </c>
      <c r="L24" s="8">
        <f>IFERROR(K24/K444, "NA")</f>
        <v>5.577554671979729E-3</v>
      </c>
      <c r="M24" s="9"/>
      <c r="N24" s="10">
        <f t="shared" si="5"/>
        <v>826.79</v>
      </c>
      <c r="O24" s="8">
        <f>IFERROR(N24/N444, "NA")</f>
        <v>-8.9390047182255059E-2</v>
      </c>
      <c r="P24" s="9"/>
      <c r="Q24" s="7">
        <v>1952.95</v>
      </c>
      <c r="R24" s="8">
        <f>IFERROR(Q24/Q444, "NA")</f>
        <v>1.3035031492788266E-2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1952.95</v>
      </c>
      <c r="X24" s="8">
        <f>IFERROR(W24/W444, "NA")</f>
        <v>-9.5090423423712905E-2</v>
      </c>
      <c r="Y24" s="9"/>
      <c r="Z24" s="7">
        <v>774.11</v>
      </c>
      <c r="AA24" s="8">
        <f>IFERROR(Z24/Z444, "NA")</f>
        <v>4.9204331552440495E-3</v>
      </c>
      <c r="AB24" s="9"/>
      <c r="AC24" s="10">
        <f t="shared" si="7"/>
        <v>1178.8400000000001</v>
      </c>
      <c r="AD24" s="8">
        <f>IFERROR(AC24/AC444, "NA")</f>
        <v>-0.15712859502105364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802.66</v>
      </c>
      <c r="C28" s="8">
        <f>IFERROR(B28/B444, "NA")</f>
        <v>1.0437275635178296E-2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802.66</v>
      </c>
      <c r="I28" s="8">
        <f>IFERROR(H28/H444, "NA")</f>
        <v>-4.2863375593626199E-2</v>
      </c>
      <c r="J28" s="9"/>
      <c r="K28" s="7">
        <v>685.21</v>
      </c>
      <c r="L28" s="8">
        <f>IFERROR(K28/K444, "NA")</f>
        <v>7.953459245790457E-3</v>
      </c>
      <c r="M28" s="9"/>
      <c r="N28" s="10">
        <f t="shared" si="5"/>
        <v>117.44999999999993</v>
      </c>
      <c r="O28" s="8">
        <f>IFERROR(N28/N444, "NA")</f>
        <v>-1.2698340620418547E-2</v>
      </c>
      <c r="P28" s="9"/>
      <c r="Q28" s="7">
        <v>1683.19</v>
      </c>
      <c r="R28" s="8">
        <f>IFERROR(Q28/Q444, "NA")</f>
        <v>1.1234509157093772E-2</v>
      </c>
      <c r="S28" s="9"/>
      <c r="T28" s="7">
        <v>0</v>
      </c>
      <c r="U28" s="8">
        <f>IFERROR(T28/T444, "NA")</f>
        <v>0</v>
      </c>
      <c r="V28" s="9"/>
      <c r="W28" s="10">
        <f t="shared" si="6"/>
        <v>1683.19</v>
      </c>
      <c r="X28" s="8">
        <f>IFERROR(W28/W444, "NA")</f>
        <v>-8.1955631123459036E-2</v>
      </c>
      <c r="Y28" s="9"/>
      <c r="Z28" s="7">
        <v>685.21</v>
      </c>
      <c r="AA28" s="8">
        <f>IFERROR(Z28/Z444, "NA")</f>
        <v>4.3553629358938327E-3</v>
      </c>
      <c r="AB28" s="9"/>
      <c r="AC28" s="10">
        <f t="shared" si="7"/>
        <v>997.98</v>
      </c>
      <c r="AD28" s="8">
        <f>IFERROR(AC28/AC444, "NA")</f>
        <v>-0.13302161044680455</v>
      </c>
    </row>
    <row r="29" spans="1:30" ht="16.5" customHeight="1" x14ac:dyDescent="0.45">
      <c r="A29" s="13" t="s">
        <v>30</v>
      </c>
      <c r="B29" s="14">
        <f>IFERROR(B21+B22+B23+B24+B25+B26+B27+B28, "NA")</f>
        <v>8976.07</v>
      </c>
      <c r="C29" s="15">
        <f>IFERROR(B29/B444, "NA")</f>
        <v>0.11671905503034267</v>
      </c>
      <c r="D29" s="2"/>
      <c r="E29" s="14">
        <f>IFERROR(E21+E22+E23+E24+E25+E26+E27+E28, "NA")</f>
        <v>7937.23</v>
      </c>
      <c r="F29" s="15">
        <f>IFERROR(E29/E444, "NA")</f>
        <v>8.300004956644004E-2</v>
      </c>
      <c r="G29" s="2"/>
      <c r="H29" s="14">
        <f t="shared" si="4"/>
        <v>1038.8400000000001</v>
      </c>
      <c r="I29" s="15">
        <f>IFERROR(H29/H444, "NA")</f>
        <v>-5.547577941056319E-2</v>
      </c>
      <c r="J29" s="2"/>
      <c r="K29" s="14">
        <f>IFERROR(K21+K22+K23+K24+K25+K26+K27+K28, "NA")</f>
        <v>8256.9900000000016</v>
      </c>
      <c r="L29" s="15">
        <f>IFERROR(K29/K444, "NA")</f>
        <v>9.5841615647610734E-2</v>
      </c>
      <c r="M29" s="2"/>
      <c r="N29" s="14">
        <f t="shared" si="5"/>
        <v>719.07999999999811</v>
      </c>
      <c r="O29" s="15">
        <f>IFERROR(N29/N444, "NA")</f>
        <v>-7.7744766056454237E-2</v>
      </c>
      <c r="P29" s="2"/>
      <c r="Q29" s="14">
        <f>IFERROR(Q21+Q22+Q23+Q24+Q25+Q26+Q27+Q28, "NA")</f>
        <v>15778.29</v>
      </c>
      <c r="R29" s="15">
        <f>IFERROR(Q29/Q444, "NA")</f>
        <v>0.10531273563191386</v>
      </c>
      <c r="S29" s="2"/>
      <c r="T29" s="14">
        <f>IFERROR(T21+T22+T23+T24+T25+T26+T27+T28, "NA")</f>
        <v>14139.97</v>
      </c>
      <c r="U29" s="15">
        <f>IFERROR(T29/T444, "NA")</f>
        <v>8.300003621720721E-2</v>
      </c>
      <c r="V29" s="2"/>
      <c r="W29" s="14">
        <f t="shared" si="6"/>
        <v>1638.3200000000015</v>
      </c>
      <c r="X29" s="15">
        <f>IFERROR(W29/W444, "NA")</f>
        <v>-7.9770881232769639E-2</v>
      </c>
      <c r="Y29" s="2"/>
      <c r="Z29" s="14">
        <f>IFERROR(Z21+Z22+Z23+Z24+Z25+Z26+Z27+Z28, "NA")</f>
        <v>13981.3</v>
      </c>
      <c r="AA29" s="15">
        <f>IFERROR(Z29/Z444, "NA")</f>
        <v>8.88685743284722E-2</v>
      </c>
      <c r="AB29" s="2"/>
      <c r="AC29" s="14">
        <f t="shared" si="7"/>
        <v>1796.9900000000016</v>
      </c>
      <c r="AD29" s="15">
        <f>IFERROR(AC29/AC444, "NA")</f>
        <v>-0.23952233888134383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14440.01</v>
      </c>
      <c r="F31" s="8">
        <f>IFERROR(E31/E444, "NA")</f>
        <v>0.15099997678533822</v>
      </c>
      <c r="G31" s="9"/>
      <c r="H31" s="10">
        <f t="shared" ref="H31:H40" si="8">IFERROR(B31-E31, "NA")</f>
        <v>-14440.01</v>
      </c>
      <c r="I31" s="8">
        <f>IFERROR(H31/H444, "NA")</f>
        <v>0.77112048962913105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25724.51</v>
      </c>
      <c r="U31" s="8">
        <f>IFERROR(T31/T444, "NA")</f>
        <v>0.15099998526658182</v>
      </c>
      <c r="V31" s="9"/>
      <c r="W31" s="10">
        <f t="shared" ref="W31:W40" si="10">IFERROR(Q31-T31, "NA")</f>
        <v>-25724.51</v>
      </c>
      <c r="X31" s="8">
        <f>IFERROR(W31/W444, "NA")</f>
        <v>1.25254335659773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8276.0300000000007</v>
      </c>
      <c r="C33" s="8">
        <f>IFERROR(B33/B444, "NA")</f>
        <v>0.1076161840318499</v>
      </c>
      <c r="D33" s="9"/>
      <c r="E33" s="7">
        <v>0</v>
      </c>
      <c r="F33" s="8">
        <f>IFERROR(E33/E444, "NA")</f>
        <v>0</v>
      </c>
      <c r="G33" s="9"/>
      <c r="H33" s="10">
        <f t="shared" si="8"/>
        <v>8276.0300000000007</v>
      </c>
      <c r="I33" s="8">
        <f>IFERROR(H33/H444, "NA")</f>
        <v>-0.44195373173463021</v>
      </c>
      <c r="J33" s="9"/>
      <c r="K33" s="7">
        <v>5216.45</v>
      </c>
      <c r="L33" s="8">
        <f>IFERROR(K33/K444, "NA")</f>
        <v>6.0549061576310369E-2</v>
      </c>
      <c r="M33" s="9"/>
      <c r="N33" s="10">
        <f t="shared" si="9"/>
        <v>3059.5800000000008</v>
      </c>
      <c r="O33" s="8">
        <f>IFERROR(N33/N444, "NA")</f>
        <v>-0.3307925840393377</v>
      </c>
      <c r="P33" s="9"/>
      <c r="Q33" s="7">
        <v>16445.95</v>
      </c>
      <c r="R33" s="8">
        <f>IFERROR(Q33/Q444, "NA")</f>
        <v>0.10976905511089438</v>
      </c>
      <c r="S33" s="9"/>
      <c r="T33" s="7">
        <v>0</v>
      </c>
      <c r="U33" s="8">
        <f>IFERROR(T33/T444, "NA")</f>
        <v>0</v>
      </c>
      <c r="V33" s="9"/>
      <c r="W33" s="10">
        <f t="shared" si="10"/>
        <v>16445.95</v>
      </c>
      <c r="X33" s="8">
        <f>IFERROR(W33/W444, "NA")</f>
        <v>-0.80076415120981659</v>
      </c>
      <c r="Y33" s="9"/>
      <c r="Z33" s="7">
        <v>10359.370000000001</v>
      </c>
      <c r="AA33" s="8">
        <f>IFERROR(Z33/Z444, "NA")</f>
        <v>6.5846698292801473E-2</v>
      </c>
      <c r="AB33" s="9"/>
      <c r="AC33" s="10">
        <f t="shared" si="11"/>
        <v>6086.58</v>
      </c>
      <c r="AD33" s="8">
        <f>IFERROR(AC33/AC444, "NA")</f>
        <v>-0.81128547036344578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691.83</v>
      </c>
      <c r="C35" s="8">
        <f>IFERROR(B35/B444, "NA")</f>
        <v>8.996113426214588E-3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691.83</v>
      </c>
      <c r="I35" s="8">
        <f>IFERROR(H35/H444, "NA")</f>
        <v>-3.6944869729323024E-2</v>
      </c>
      <c r="J35" s="9"/>
      <c r="K35" s="7">
        <v>0</v>
      </c>
      <c r="L35" s="8">
        <f>IFERROR(K35/K444, "NA")</f>
        <v>0</v>
      </c>
      <c r="M35" s="9"/>
      <c r="N35" s="10">
        <f t="shared" si="9"/>
        <v>691.83</v>
      </c>
      <c r="O35" s="8">
        <f>IFERROR(N35/N444, "NA")</f>
        <v>-7.4798578045331368E-2</v>
      </c>
      <c r="P35" s="9"/>
      <c r="Q35" s="7">
        <v>1659.68</v>
      </c>
      <c r="R35" s="8">
        <f>IFERROR(Q35/Q444, "NA")</f>
        <v>1.1077590858931785E-2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1659.68</v>
      </c>
      <c r="X35" s="8">
        <f>IFERROR(W35/W444, "NA")</f>
        <v>-8.0810913719177577E-2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1659.68</v>
      </c>
      <c r="AD35" s="8">
        <f>IFERROR(AC35/AC444, "NA")</f>
        <v>-0.22122017117212028</v>
      </c>
    </row>
    <row r="36" spans="1:30" ht="16.5" customHeight="1" x14ac:dyDescent="0.45">
      <c r="A36" s="12" t="s">
        <v>36</v>
      </c>
      <c r="B36" s="7">
        <v>7598.94</v>
      </c>
      <c r="C36" s="8">
        <f>IFERROR(B36/B444, "NA")</f>
        <v>9.8811740108117704E-2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7598.94</v>
      </c>
      <c r="I36" s="8">
        <f>IFERROR(H36/H444, "NA")</f>
        <v>-0.40579600245861247</v>
      </c>
      <c r="J36" s="9"/>
      <c r="K36" s="7">
        <v>3630.25</v>
      </c>
      <c r="L36" s="8">
        <f>IFERROR(K36/K444, "NA")</f>
        <v>4.2137513210593551E-2</v>
      </c>
      <c r="M36" s="9"/>
      <c r="N36" s="10">
        <f t="shared" si="9"/>
        <v>3968.6899999999996</v>
      </c>
      <c r="O36" s="8">
        <f>IFERROR(N36/N444, "NA")</f>
        <v>-0.42908282193996516</v>
      </c>
      <c r="P36" s="9"/>
      <c r="Q36" s="7">
        <v>13911.5</v>
      </c>
      <c r="R36" s="8">
        <f>IFERROR(Q36/Q444, "NA")</f>
        <v>9.2852782002572493E-2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13911.5</v>
      </c>
      <c r="X36" s="8">
        <f>IFERROR(W36/W444, "NA")</f>
        <v>-0.67736010930079216</v>
      </c>
      <c r="Y36" s="9"/>
      <c r="Z36" s="7">
        <v>7408.23</v>
      </c>
      <c r="AA36" s="8">
        <f>IFERROR(Z36/Z444, "NA")</f>
        <v>4.7088528133822867E-2</v>
      </c>
      <c r="AB36" s="9"/>
      <c r="AC36" s="10">
        <f t="shared" si="11"/>
        <v>6503.27</v>
      </c>
      <c r="AD36" s="8">
        <f>IFERROR(AC36/AC444, "NA")</f>
        <v>-0.86682643797510039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648.4</v>
      </c>
      <c r="C39" s="8">
        <f>IFERROR(B39/B444, "NA")</f>
        <v>8.4313775718854907E-3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648.4</v>
      </c>
      <c r="I39" s="8">
        <f>IFERROR(H39/H444, "NA")</f>
        <v>-3.4625635679998046E-2</v>
      </c>
      <c r="J39" s="9"/>
      <c r="K39" s="7">
        <v>926.8</v>
      </c>
      <c r="L39" s="8">
        <f>IFERROR(K39/K444, "NA")</f>
        <v>1.0757674331954575E-2</v>
      </c>
      <c r="M39" s="9"/>
      <c r="N39" s="10">
        <f t="shared" si="9"/>
        <v>-278.39999999999998</v>
      </c>
      <c r="O39" s="8">
        <f>IFERROR(N39/N444, "NA")</f>
        <v>3.0099770359510648E-2</v>
      </c>
      <c r="P39" s="9"/>
      <c r="Q39" s="7">
        <v>1415.15</v>
      </c>
      <c r="R39" s="8">
        <f>IFERROR(Q39/Q444, "NA")</f>
        <v>9.4454670201588962E-3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1415.15</v>
      </c>
      <c r="X39" s="8">
        <f>IFERROR(W39/W444, "NA")</f>
        <v>-6.8904586757503938E-2</v>
      </c>
      <c r="Y39" s="9"/>
      <c r="Z39" s="7">
        <v>1459.41</v>
      </c>
      <c r="AA39" s="8">
        <f>IFERROR(Z39/Z444, "NA")</f>
        <v>9.276368153227214E-3</v>
      </c>
      <c r="AB39" s="9"/>
      <c r="AC39" s="10">
        <f t="shared" si="11"/>
        <v>-44.259999999999991</v>
      </c>
      <c r="AD39" s="8">
        <f>IFERROR(AC39/AC444, "NA")</f>
        <v>5.8994533741914346E-3</v>
      </c>
    </row>
    <row r="40" spans="1:30" ht="16.5" customHeight="1" x14ac:dyDescent="0.45">
      <c r="A40" s="13" t="s">
        <v>40</v>
      </c>
      <c r="B40" s="14">
        <f>IFERROR(B31+B32+B33+B34+B35+B36+B37+B38+B39, "NA")</f>
        <v>17215.2</v>
      </c>
      <c r="C40" s="15">
        <f>IFERROR(B40/B444, "NA")</f>
        <v>0.2238554151380677</v>
      </c>
      <c r="D40" s="2"/>
      <c r="E40" s="14">
        <f>IFERROR(E31+E32+E33+E34+E35+E36+E37+E38+E39, "NA")</f>
        <v>14440.01</v>
      </c>
      <c r="F40" s="15">
        <f>IFERROR(E40/E444, "NA")</f>
        <v>0.15099997678533822</v>
      </c>
      <c r="G40" s="2"/>
      <c r="H40" s="14">
        <f t="shared" si="8"/>
        <v>2775.1900000000005</v>
      </c>
      <c r="I40" s="15">
        <f>IFERROR(H40/H444, "NA")</f>
        <v>-0.14819974997343274</v>
      </c>
      <c r="J40" s="2"/>
      <c r="K40" s="14">
        <f>IFERROR(K31+K32+K33+K34+K35+K36+K37+K38+K39, "NA")</f>
        <v>9773.5</v>
      </c>
      <c r="L40" s="15">
        <f>IFERROR(K40/K444, "NA")</f>
        <v>0.11344424911885849</v>
      </c>
      <c r="M40" s="2"/>
      <c r="N40" s="14">
        <f t="shared" si="9"/>
        <v>7441.7000000000007</v>
      </c>
      <c r="O40" s="15">
        <f>IFERROR(N40/N444, "NA")</f>
        <v>-0.80457421366512361</v>
      </c>
      <c r="P40" s="2"/>
      <c r="Q40" s="14">
        <f>IFERROR(Q31+Q32+Q33+Q34+Q35+Q36+Q37+Q38+Q39, "NA")</f>
        <v>33432.28</v>
      </c>
      <c r="R40" s="15">
        <f>IFERROR(Q40/Q444, "NA")</f>
        <v>0.22314489499255755</v>
      </c>
      <c r="S40" s="2"/>
      <c r="T40" s="14">
        <f>IFERROR(T31+T32+T33+T34+T35+T36+T37+T38+T39, "NA")</f>
        <v>25724.51</v>
      </c>
      <c r="U40" s="15">
        <f>IFERROR(T40/T444, "NA")</f>
        <v>0.15099998526658182</v>
      </c>
      <c r="V40" s="2"/>
      <c r="W40" s="14">
        <f t="shared" si="10"/>
        <v>7707.77</v>
      </c>
      <c r="X40" s="15">
        <f>IFERROR(W40/W444, "NA")</f>
        <v>-0.37529640438956025</v>
      </c>
      <c r="Y40" s="2"/>
      <c r="Z40" s="14">
        <f>IFERROR(Z31+Z32+Z33+Z34+Z35+Z36+Z37+Z38+Z39, "NA")</f>
        <v>19227.009999999998</v>
      </c>
      <c r="AA40" s="15">
        <f>IFERROR(Z40/Z444, "NA")</f>
        <v>0.12221159457985153</v>
      </c>
      <c r="AB40" s="2"/>
      <c r="AC40" s="14">
        <f t="shared" si="11"/>
        <v>14205.27</v>
      </c>
      <c r="AD40" s="15">
        <f>IFERROR(AC40/AC444, "NA")</f>
        <v>-1.8934326261364751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2416.96</v>
      </c>
      <c r="C43" s="8">
        <f>IFERROR(B43/B444, "NA")</f>
        <v>3.1428597063763657E-2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2416.96</v>
      </c>
      <c r="I43" s="8">
        <f>IFERROR(H43/H444, "NA")</f>
        <v>-0.12906967367848254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2416.96</v>
      </c>
      <c r="O43" s="8">
        <f>IFERROR(N43/N444, "NA")</f>
        <v>-0.2613144431326252</v>
      </c>
      <c r="P43" s="9"/>
      <c r="Q43" s="7">
        <v>5008.1000000000004</v>
      </c>
      <c r="R43" s="8">
        <f>IFERROR(Q43/Q444, "NA")</f>
        <v>3.3426734539559598E-2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5008.1000000000004</v>
      </c>
      <c r="X43" s="8">
        <f>IFERROR(W43/W444, "NA")</f>
        <v>-0.24384769172190615</v>
      </c>
      <c r="Y43" s="9"/>
      <c r="Z43" s="7">
        <v>3225</v>
      </c>
      <c r="AA43" s="8">
        <f>IFERROR(Z43/Z444, "NA")</f>
        <v>2.049889153435824E-2</v>
      </c>
      <c r="AB43" s="9"/>
      <c r="AC43" s="10">
        <f>IFERROR(Q43-Z43, "NA")</f>
        <v>1783.1000000000004</v>
      </c>
      <c r="AD43" s="8">
        <f>IFERROR(AC43/AC444, "NA")</f>
        <v>-0.23767092886400254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19030.21</v>
      </c>
      <c r="F46" s="8">
        <f>IFERROR(E46/E444, "NA")</f>
        <v>0.19899995001527773</v>
      </c>
      <c r="G46" s="9"/>
      <c r="H46" s="10">
        <f t="shared" ref="H46:H62" si="12">IFERROR(B46-E46, "NA")</f>
        <v>-19030.21</v>
      </c>
      <c r="I46" s="8">
        <f>IFERROR(H46/H444, "NA")</f>
        <v>1.0162447846604805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33901.839999999997</v>
      </c>
      <c r="U46" s="8">
        <f>IFERROR(T46/T444, "NA")</f>
        <v>0.19899999418881112</v>
      </c>
      <c r="V46" s="9"/>
      <c r="W46" s="10">
        <f t="shared" ref="W46:W62" si="14">IFERROR(Q46-T46, "NA")</f>
        <v>-33901.839999999997</v>
      </c>
      <c r="X46" s="8">
        <f>IFERROR(W46/W444, "NA")</f>
        <v>1.6507029470508547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9355.5</v>
      </c>
      <c r="C48" s="8">
        <f>IFERROR(B48/B444, "NA")</f>
        <v>0.12165291929946746</v>
      </c>
      <c r="D48" s="9"/>
      <c r="E48" s="7">
        <v>0</v>
      </c>
      <c r="F48" s="8">
        <f>IFERROR(E48/E444, "NA")</f>
        <v>0</v>
      </c>
      <c r="G48" s="9"/>
      <c r="H48" s="10">
        <f t="shared" si="12"/>
        <v>9355.5</v>
      </c>
      <c r="I48" s="8">
        <f>IFERROR(H48/H444, "NA")</f>
        <v>-0.49959922054938571</v>
      </c>
      <c r="J48" s="9"/>
      <c r="K48" s="7">
        <v>19854.21</v>
      </c>
      <c r="L48" s="8">
        <f>IFERROR(K48/K444, "NA")</f>
        <v>0.23045438638135074</v>
      </c>
      <c r="M48" s="9"/>
      <c r="N48" s="10">
        <f t="shared" si="13"/>
        <v>-10498.71</v>
      </c>
      <c r="O48" s="8">
        <f>IFERROR(N48/N444, "NA")</f>
        <v>1.1350889370369901</v>
      </c>
      <c r="P48" s="9"/>
      <c r="Q48" s="7">
        <v>22445.96</v>
      </c>
      <c r="R48" s="8">
        <f>IFERROR(Q48/Q444, "NA")</f>
        <v>0.14981632683164736</v>
      </c>
      <c r="S48" s="9"/>
      <c r="T48" s="7">
        <v>0</v>
      </c>
      <c r="U48" s="8">
        <f>IFERROR(T48/T444, "NA")</f>
        <v>0</v>
      </c>
      <c r="V48" s="9"/>
      <c r="W48" s="10">
        <f t="shared" si="14"/>
        <v>22445.96</v>
      </c>
      <c r="X48" s="8">
        <f>IFERROR(W48/W444, "NA")</f>
        <v>-1.0929085949725916</v>
      </c>
      <c r="Y48" s="9"/>
      <c r="Z48" s="7">
        <v>30892.54</v>
      </c>
      <c r="AA48" s="8">
        <f>IFERROR(Z48/Z444, "NA")</f>
        <v>0.19636056641265842</v>
      </c>
      <c r="AB48" s="9"/>
      <c r="AC48" s="10">
        <f t="shared" si="15"/>
        <v>-8446.5800000000017</v>
      </c>
      <c r="AD48" s="8">
        <f>IFERROR(AC48/AC444, "NA")</f>
        <v>1.1258518951960668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9355.5</v>
      </c>
      <c r="C61" s="15">
        <f>IFERROR(B61/B444, "NA")</f>
        <v>0.12165291929946746</v>
      </c>
      <c r="D61" s="2"/>
      <c r="E61" s="14">
        <f>IFERROR(E46+E47+E48+E49+E50+E51+E52+E53+E54+E55+E56+E57+E58+E59+E60, "NA")</f>
        <v>19030.21</v>
      </c>
      <c r="F61" s="15">
        <f>IFERROR(E61/E444, "NA")</f>
        <v>0.19899995001527773</v>
      </c>
      <c r="G61" s="2"/>
      <c r="H61" s="14">
        <f t="shared" si="12"/>
        <v>-9674.7099999999991</v>
      </c>
      <c r="I61" s="15">
        <f>IFERROR(H61/H444, "NA")</f>
        <v>0.51664556411109475</v>
      </c>
      <c r="J61" s="2"/>
      <c r="K61" s="14">
        <f>IFERROR(K46+K47+K48+K49+K50+K51+K52+K53+K54+K55+K56+K57+K58+K59+K60, "NA")</f>
        <v>19854.21</v>
      </c>
      <c r="L61" s="15">
        <f>IFERROR(K61/K444, "NA")</f>
        <v>0.23045438638135074</v>
      </c>
      <c r="M61" s="2"/>
      <c r="N61" s="14">
        <f t="shared" si="13"/>
        <v>-10498.71</v>
      </c>
      <c r="O61" s="15">
        <f>IFERROR(N61/N444, "NA")</f>
        <v>1.1350889370369901</v>
      </c>
      <c r="P61" s="2"/>
      <c r="Q61" s="14">
        <f>IFERROR(Q46+Q47+Q48+Q49+Q50+Q51+Q52+Q53+Q54+Q55+Q56+Q57+Q58+Q59+Q60, "NA")</f>
        <v>22445.96</v>
      </c>
      <c r="R61" s="15">
        <f>IFERROR(Q61/Q444, "NA")</f>
        <v>0.14981632683164736</v>
      </c>
      <c r="S61" s="2"/>
      <c r="T61" s="14">
        <f>IFERROR(T46+T47+T48+T49+T50+T51+T52+T53+T54+T55+T56+T57+T58+T59+T60, "NA")</f>
        <v>33901.839999999997</v>
      </c>
      <c r="U61" s="15">
        <f>IFERROR(T61/T444, "NA")</f>
        <v>0.19899999418881112</v>
      </c>
      <c r="V61" s="2"/>
      <c r="W61" s="14">
        <f t="shared" si="14"/>
        <v>-11455.879999999997</v>
      </c>
      <c r="X61" s="15">
        <f>IFERROR(W61/W444, "NA")</f>
        <v>0.55779435207826311</v>
      </c>
      <c r="Y61" s="2"/>
      <c r="Z61" s="14">
        <f>IFERROR(Z46+Z47+Z48+Z49+Z50+Z51+Z52+Z53+Z54+Z55+Z56+Z57+Z58+Z59+Z60, "NA")</f>
        <v>30892.54</v>
      </c>
      <c r="AA61" s="15">
        <f>IFERROR(Z61/Z444, "NA")</f>
        <v>0.19636056641265842</v>
      </c>
      <c r="AB61" s="2"/>
      <c r="AC61" s="14">
        <f t="shared" si="15"/>
        <v>-8446.5800000000017</v>
      </c>
      <c r="AD61" s="15">
        <f>IFERROR(AC61/AC444, "NA")</f>
        <v>1.1258518951960668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11772.46</v>
      </c>
      <c r="C62" s="15">
        <f>IFERROR(B62/B444, "NA")</f>
        <v>0.15308151636323111</v>
      </c>
      <c r="D62" s="2"/>
      <c r="E62" s="14">
        <f>IFERROR(E42+E43+E44+E46+E47+E48+E49+E50+E51+E52+E53+E54+E55+E56+E57+E58+E59+E60, "NA")</f>
        <v>19030.21</v>
      </c>
      <c r="F62" s="15">
        <f>IFERROR(E62/E444, "NA")</f>
        <v>0.19899995001527773</v>
      </c>
      <c r="G62" s="2"/>
      <c r="H62" s="14">
        <f t="shared" si="12"/>
        <v>-7257.75</v>
      </c>
      <c r="I62" s="15">
        <f>IFERROR(H62/H444, "NA")</f>
        <v>0.38757589043261231</v>
      </c>
      <c r="J62" s="2"/>
      <c r="K62" s="14">
        <f>IFERROR(K42+K43+K44+K46+K47+K48+K49+K50+K51+K52+K53+K54+K55+K56+K57+K58+K59+K60, "NA")</f>
        <v>19854.21</v>
      </c>
      <c r="L62" s="15">
        <f>IFERROR(K62/K444, "NA")</f>
        <v>0.23045438638135074</v>
      </c>
      <c r="M62" s="2"/>
      <c r="N62" s="14">
        <f t="shared" si="13"/>
        <v>-8081.75</v>
      </c>
      <c r="O62" s="15">
        <f>IFERROR(N62/N444, "NA")</f>
        <v>0.8737744939043649</v>
      </c>
      <c r="P62" s="2"/>
      <c r="Q62" s="14">
        <f>IFERROR(Q42+Q43+Q44+Q46+Q47+Q48+Q49+Q50+Q51+Q52+Q53+Q54+Q55+Q56+Q57+Q58+Q59+Q60, "NA")</f>
        <v>27454.059999999998</v>
      </c>
      <c r="R62" s="15">
        <f>IFERROR(Q62/Q444, "NA")</f>
        <v>0.18324306137120694</v>
      </c>
      <c r="S62" s="2"/>
      <c r="T62" s="14">
        <f>IFERROR(T42+T43+T44+T46+T47+T48+T49+T50+T51+T52+T53+T54+T55+T56+T57+T58+T59+T60, "NA")</f>
        <v>33901.839999999997</v>
      </c>
      <c r="U62" s="15">
        <f>IFERROR(T62/T444, "NA")</f>
        <v>0.19899999418881112</v>
      </c>
      <c r="V62" s="2"/>
      <c r="W62" s="14">
        <f t="shared" si="14"/>
        <v>-6447.7799999999988</v>
      </c>
      <c r="X62" s="15">
        <f>IFERROR(W62/W444, "NA")</f>
        <v>0.31394666035635704</v>
      </c>
      <c r="Y62" s="2"/>
      <c r="Z62" s="14">
        <f>IFERROR(Z42+Z43+Z44+Z46+Z47+Z48+Z49+Z50+Z51+Z52+Z53+Z54+Z55+Z56+Z57+Z58+Z59+Z60, "NA")</f>
        <v>34117.54</v>
      </c>
      <c r="AA62" s="15">
        <f>IFERROR(Z62/Z444, "NA")</f>
        <v>0.21685945794701664</v>
      </c>
      <c r="AB62" s="2"/>
      <c r="AC62" s="14">
        <f t="shared" si="15"/>
        <v>-6663.4800000000032</v>
      </c>
      <c r="AD62" s="15">
        <f>IFERROR(AC62/AC444, "NA")</f>
        <v>0.88818096633206445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>
        <f>IFERROR(B73/B444, "NA")</f>
        <v>0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0</v>
      </c>
      <c r="I73" s="15">
        <f>IFERROR(H73/H444, "NA")</f>
        <v>0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0</v>
      </c>
      <c r="O73" s="15">
        <f>IFERROR(N73/N444, "NA")</f>
        <v>0</v>
      </c>
      <c r="P73" s="2"/>
      <c r="Q73" s="14">
        <f>IFERROR(Q64+Q65+Q66+Q67+Q68+Q69+Q70+Q71+Q72, "NA")</f>
        <v>0</v>
      </c>
      <c r="R73" s="15">
        <f>IFERROR(Q73/Q444, "NA")</f>
        <v>0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0</v>
      </c>
      <c r="X73" s="15">
        <f>IFERROR(W73/W444, "NA")</f>
        <v>0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0</v>
      </c>
      <c r="AD73" s="15">
        <f>IFERROR(AC73/AC444, "NA")</f>
        <v>0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1243.18</v>
      </c>
      <c r="F75" s="8">
        <f>IFERROR(E75/E444, "NA")</f>
        <v>1.300000146398768E-2</v>
      </c>
      <c r="G75" s="9"/>
      <c r="H75" s="10">
        <f t="shared" ref="H75:H92" si="20">IFERROR(B75-E75, "NA")</f>
        <v>-1243.18</v>
      </c>
      <c r="I75" s="8">
        <f>IFERROR(H75/H444, "NA")</f>
        <v>6.6387874405706315E-2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2214.69</v>
      </c>
      <c r="U75" s="8">
        <f>IFERROR(T75/T444, "NA")</f>
        <v>1.2999981627251446E-2</v>
      </c>
      <c r="V75" s="9"/>
      <c r="W75" s="10">
        <f t="shared" ref="W75:W92" si="22">IFERROR(Q75-T75, "NA")</f>
        <v>-2214.69</v>
      </c>
      <c r="X75" s="8">
        <f>IFERROR(W75/W444, "NA")</f>
        <v>0.10783471663496902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241.04</v>
      </c>
      <c r="C77" s="8">
        <f>IFERROR(B77/B444, "NA")</f>
        <v>3.1343295032808119E-3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241.04</v>
      </c>
      <c r="I77" s="8">
        <f>IFERROR(H77/H444, "NA")</f>
        <v>-1.2871935879560037E-2</v>
      </c>
      <c r="J77" s="9"/>
      <c r="K77" s="7">
        <v>68.77</v>
      </c>
      <c r="L77" s="8">
        <f>IFERROR(K77/K444, "NA")</f>
        <v>7.9823614998760916E-4</v>
      </c>
      <c r="M77" s="9"/>
      <c r="N77" s="10">
        <f t="shared" si="21"/>
        <v>172.26999999999998</v>
      </c>
      <c r="O77" s="8">
        <f>IFERROR(N77/N444, "NA")</f>
        <v>-1.862531407985955E-2</v>
      </c>
      <c r="P77" s="9"/>
      <c r="Q77" s="7">
        <v>501.2</v>
      </c>
      <c r="R77" s="8">
        <f>IFERROR(Q77/Q444, "NA")</f>
        <v>3.3452765222793611E-3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501.2</v>
      </c>
      <c r="X77" s="8">
        <f>IFERROR(W77/W444, "NA")</f>
        <v>-2.4403758529386265E-2</v>
      </c>
      <c r="Y77" s="9"/>
      <c r="Z77" s="7">
        <v>104.65</v>
      </c>
      <c r="AA77" s="8">
        <f>IFERROR(Z77/Z444, "NA")</f>
        <v>6.6518108498312876E-4</v>
      </c>
      <c r="AB77" s="9"/>
      <c r="AC77" s="10">
        <f t="shared" si="23"/>
        <v>396.54999999999995</v>
      </c>
      <c r="AD77" s="8">
        <f>IFERROR(AC77/AC444, "NA")</f>
        <v>-5.2856489731938856E-2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950.37</v>
      </c>
      <c r="C80" s="8">
        <f>IFERROR(B80/B444, "NA")</f>
        <v>1.2358001701099342E-2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950.37</v>
      </c>
      <c r="I80" s="8">
        <f>IFERROR(H80/H444, "NA")</f>
        <v>-5.0751334640961973E-2</v>
      </c>
      <c r="J80" s="9"/>
      <c r="K80" s="7">
        <v>1260</v>
      </c>
      <c r="L80" s="8">
        <f>IFERROR(K80/K444, "NA")</f>
        <v>1.4625237007189E-2</v>
      </c>
      <c r="M80" s="9"/>
      <c r="N80" s="10">
        <f t="shared" si="21"/>
        <v>-309.63</v>
      </c>
      <c r="O80" s="8">
        <f>IFERROR(N80/N444, "NA")</f>
        <v>3.3476263995744548E-2</v>
      </c>
      <c r="P80" s="9"/>
      <c r="Q80" s="7">
        <v>2285.44</v>
      </c>
      <c r="R80" s="8">
        <f>IFERROR(Q80/Q444, "NA")</f>
        <v>1.5254247356500687E-2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2285.44</v>
      </c>
      <c r="X80" s="8">
        <f>IFERROR(W80/W444, "NA")</f>
        <v>-0.11127958079289814</v>
      </c>
      <c r="Y80" s="9"/>
      <c r="Z80" s="7">
        <v>2555</v>
      </c>
      <c r="AA80" s="8">
        <f>IFERROR(Z80/Z444, "NA")</f>
        <v>1.6240207091561334E-2</v>
      </c>
      <c r="AB80" s="9"/>
      <c r="AC80" s="10">
        <f t="shared" si="23"/>
        <v>-269.55999999999995</v>
      </c>
      <c r="AD80" s="8">
        <f>IFERROR(AC80/AC444, "NA")</f>
        <v>3.5929883677068307E-2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1191.4100000000001</v>
      </c>
      <c r="C88" s="15">
        <f>IFERROR(B88/B444, "NA")</f>
        <v>1.5492331204380155E-2</v>
      </c>
      <c r="D88" s="2"/>
      <c r="E88" s="14">
        <f>IFERROR(E75+E76+E77+E78+E79+E80+E81+E82+E83+E84+E85+E86+E87, "NA")</f>
        <v>1243.18</v>
      </c>
      <c r="F88" s="15">
        <f>IFERROR(E88/E444, "NA")</f>
        <v>1.300000146398768E-2</v>
      </c>
      <c r="G88" s="2"/>
      <c r="H88" s="14">
        <f t="shared" si="20"/>
        <v>-51.769999999999982</v>
      </c>
      <c r="I88" s="15">
        <f>IFERROR(H88/H444, "NA")</f>
        <v>2.764603885184297E-3</v>
      </c>
      <c r="J88" s="2"/>
      <c r="K88" s="14">
        <f>IFERROR(K75+K76+K77+K78+K79+K80+K81+K82+K83+K84+K85+K86+K87, "NA")</f>
        <v>1328.77</v>
      </c>
      <c r="L88" s="15">
        <f>IFERROR(K88/K444, "NA")</f>
        <v>1.542347315717661E-2</v>
      </c>
      <c r="M88" s="2"/>
      <c r="N88" s="14">
        <f t="shared" si="21"/>
        <v>-137.3599999999999</v>
      </c>
      <c r="O88" s="15">
        <f>IFERROR(N88/N444, "NA")</f>
        <v>1.4850949915884985E-2</v>
      </c>
      <c r="P88" s="2"/>
      <c r="Q88" s="14">
        <f>IFERROR(Q75+Q76+Q77+Q78+Q79+Q80+Q81+Q82+Q83+Q84+Q85+Q86+Q87, "NA")</f>
        <v>2786.64</v>
      </c>
      <c r="R88" s="15">
        <f>IFERROR(Q88/Q444, "NA")</f>
        <v>1.8599523878780045E-2</v>
      </c>
      <c r="S88" s="2"/>
      <c r="T88" s="14">
        <f>IFERROR(T75+T76+T77+T78+T79+T80+T81+T82+T83+T84+T85+T86+T87, "NA")</f>
        <v>2214.69</v>
      </c>
      <c r="U88" s="15">
        <f>IFERROR(T88/T444, "NA")</f>
        <v>1.2999981627251446E-2</v>
      </c>
      <c r="V88" s="2"/>
      <c r="W88" s="14">
        <f t="shared" si="22"/>
        <v>571.94999999999982</v>
      </c>
      <c r="X88" s="15">
        <f>IFERROR(W88/W444, "NA")</f>
        <v>-2.7848622687315382E-2</v>
      </c>
      <c r="Y88" s="2"/>
      <c r="Z88" s="14">
        <f>IFERROR(Z75+Z76+Z77+Z78+Z79+Z80+Z81+Z82+Z83+Z84+Z85+Z86+Z87, "NA")</f>
        <v>2659.65</v>
      </c>
      <c r="AA88" s="15">
        <f>IFERROR(Z88/Z444, "NA")</f>
        <v>1.6905388176544463E-2</v>
      </c>
      <c r="AB88" s="2"/>
      <c r="AC88" s="14">
        <f t="shared" si="23"/>
        <v>126.98999999999978</v>
      </c>
      <c r="AD88" s="15">
        <f>IFERROR(AC88/AC444, "NA")</f>
        <v>-1.6926606054870518E-2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29.69</v>
      </c>
      <c r="L89" s="8">
        <f>IFERROR(K89/K444, "NA")</f>
        <v>3.4462165614558847E-4</v>
      </c>
      <c r="M89" s="9"/>
      <c r="N89" s="10">
        <f t="shared" si="21"/>
        <v>-29.69</v>
      </c>
      <c r="O89" s="8">
        <f>IFERROR(N89/N444, "NA")</f>
        <v>3.2099934697337328E-3</v>
      </c>
      <c r="P89" s="9"/>
      <c r="Q89" s="7">
        <v>-23.3</v>
      </c>
      <c r="R89" s="8">
        <f>IFERROR(Q89/Q444, "NA")</f>
        <v>-1.5551664598784741E-4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-23.3</v>
      </c>
      <c r="X89" s="8">
        <f>IFERROR(W89/W444, "NA")</f>
        <v>1.1344923657915004E-3</v>
      </c>
      <c r="Y89" s="9"/>
      <c r="Z89" s="7">
        <v>1865.5</v>
      </c>
      <c r="AA89" s="8">
        <f>IFERROR(Z89/Z444, "NA")</f>
        <v>1.1857575862742728E-2</v>
      </c>
      <c r="AB89" s="9"/>
      <c r="AC89" s="10">
        <f t="shared" si="23"/>
        <v>-1888.8</v>
      </c>
      <c r="AD89" s="8">
        <f>IFERROR(AC89/AC444, "NA")</f>
        <v>0.25175977255248044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-3347.02</v>
      </c>
      <c r="F94" s="8">
        <f>IFERROR(E94/E444, "NA")</f>
        <v>-3.4999971765951869E-2</v>
      </c>
      <c r="G94" s="9"/>
      <c r="H94" s="10">
        <f t="shared" ref="H94:H124" si="24">IFERROR(B94-E94, "NA")</f>
        <v>3347.02</v>
      </c>
      <c r="I94" s="8">
        <f>IFERROR(H94/H444, "NA")</f>
        <v>-0.17873642062564321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-5962.63</v>
      </c>
      <c r="U94" s="8">
        <f>IFERROR(T94/T444, "NA")</f>
        <v>-3.4999968596100717E-2</v>
      </c>
      <c r="V94" s="9"/>
      <c r="W94" s="10">
        <f t="shared" ref="W94:W124" si="26">IFERROR(Q94-T94, "NA")</f>
        <v>5962.63</v>
      </c>
      <c r="X94" s="8">
        <f>IFERROR(W94/W444, "NA")</f>
        <v>-0.29032438691156109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-1259.05</v>
      </c>
      <c r="C96" s="8">
        <f>IFERROR(B96/B444, "NA")</f>
        <v>-1.6371878365025332E-2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-1259.05</v>
      </c>
      <c r="I96" s="8">
        <f>IFERROR(H96/H444, "NA")</f>
        <v>6.7235358733654438E-2</v>
      </c>
      <c r="J96" s="9"/>
      <c r="K96" s="7">
        <v>-145.38999999999999</v>
      </c>
      <c r="L96" s="8">
        <f>IFERROR(K96/K444, "NA")</f>
        <v>-1.6875898479961973E-3</v>
      </c>
      <c r="M96" s="9"/>
      <c r="N96" s="10">
        <f t="shared" si="25"/>
        <v>-1113.6599999999999</v>
      </c>
      <c r="O96" s="8">
        <f>IFERROR(N96/N444, "NA")</f>
        <v>0.12040556845751661</v>
      </c>
      <c r="P96" s="9"/>
      <c r="Q96" s="7">
        <v>-2289.87</v>
      </c>
      <c r="R96" s="8">
        <f>IFERROR(Q96/Q444, "NA")</f>
        <v>-1.5283815542840863E-2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-2289.87</v>
      </c>
      <c r="X96" s="8">
        <f>IFERROR(W96/W444, "NA")</f>
        <v>0.11149528041437695</v>
      </c>
      <c r="Y96" s="9"/>
      <c r="Z96" s="7">
        <v>-296.81</v>
      </c>
      <c r="AA96" s="8">
        <f>IFERROR(Z96/Z444, "NA")</f>
        <v>-1.8865972081590293E-3</v>
      </c>
      <c r="AB96" s="9"/>
      <c r="AC96" s="10">
        <f t="shared" si="27"/>
        <v>-1993.06</v>
      </c>
      <c r="AD96" s="8">
        <f>IFERROR(AC96/AC444, "NA")</f>
        <v>0.26565667740546733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-1787.78</v>
      </c>
      <c r="C98" s="8">
        <f>IFERROR(B98/B444, "NA")</f>
        <v>-2.3247144039891181E-2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-1787.78</v>
      </c>
      <c r="I98" s="8">
        <f>IFERROR(H98/H444, "NA")</f>
        <v>9.5470417884002012E-2</v>
      </c>
      <c r="J98" s="9"/>
      <c r="K98" s="7">
        <v>-1702.71</v>
      </c>
      <c r="L98" s="8">
        <f>IFERROR(K98/K444, "NA")</f>
        <v>-1.9763918495643479E-2</v>
      </c>
      <c r="M98" s="9"/>
      <c r="N98" s="10">
        <f t="shared" si="25"/>
        <v>-85.069999999999936</v>
      </c>
      <c r="O98" s="8">
        <f>IFERROR(N98/N444, "NA")</f>
        <v>9.1975124442656934E-3</v>
      </c>
      <c r="P98" s="9"/>
      <c r="Q98" s="7">
        <v>-3473.14</v>
      </c>
      <c r="R98" s="8">
        <f>IFERROR(Q98/Q444, "NA")</f>
        <v>-2.3181591581383363E-2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-3473.14</v>
      </c>
      <c r="X98" s="8">
        <f>IFERROR(W98/W444, "NA")</f>
        <v>0.16910947705257903</v>
      </c>
      <c r="Y98" s="9"/>
      <c r="Z98" s="7">
        <v>-3039.01</v>
      </c>
      <c r="AA98" s="8">
        <f>IFERROR(Z98/Z444, "NA")</f>
        <v>-1.9316693445528697E-2</v>
      </c>
      <c r="AB98" s="9"/>
      <c r="AC98" s="10">
        <f t="shared" si="27"/>
        <v>-434.12999999999965</v>
      </c>
      <c r="AD98" s="8">
        <f>IFERROR(AC98/AC444, "NA")</f>
        <v>5.786556017482436E-2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-543.75</v>
      </c>
      <c r="C100" s="8">
        <f>IFERROR(B100/B444, "NA")</f>
        <v>-7.0705761176939165E-3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-543.75</v>
      </c>
      <c r="I100" s="8">
        <f>IFERROR(H100/H444, "NA")</f>
        <v>2.9037152068166157E-2</v>
      </c>
      <c r="J100" s="9"/>
      <c r="K100" s="7">
        <v>-4.99</v>
      </c>
      <c r="L100" s="8">
        <f>IFERROR(K100/K444, "NA")</f>
        <v>-5.7920581480851684E-5</v>
      </c>
      <c r="M100" s="9"/>
      <c r="N100" s="10">
        <f t="shared" si="25"/>
        <v>-538.76</v>
      </c>
      <c r="O100" s="8">
        <f>IFERROR(N100/N444, "NA")</f>
        <v>5.8249110197162203E-2</v>
      </c>
      <c r="P100" s="9"/>
      <c r="Q100" s="7">
        <v>-543.75</v>
      </c>
      <c r="R100" s="8">
        <f>IFERROR(Q100/Q444, "NA")</f>
        <v>-3.6292779508966537E-3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-543.75</v>
      </c>
      <c r="X100" s="8">
        <f>IFERROR(W100/W444, "NA")</f>
        <v>2.6475546090091343E-2</v>
      </c>
      <c r="Y100" s="9"/>
      <c r="Z100" s="7">
        <v>-2211.29</v>
      </c>
      <c r="AA100" s="8">
        <f>IFERROR(Z100/Z444, "NA")</f>
        <v>-1.4055501972406523E-2</v>
      </c>
      <c r="AB100" s="9"/>
      <c r="AC100" s="10">
        <f t="shared" si="27"/>
        <v>1667.54</v>
      </c>
      <c r="AD100" s="8">
        <f>IFERROR(AC100/AC444, "NA")</f>
        <v>-0.22226783731584246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-1558.07</v>
      </c>
      <c r="C102" s="8">
        <f>IFERROR(B102/B444, "NA")</f>
        <v>-2.0260142587025947E-2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-1558.07</v>
      </c>
      <c r="I102" s="8">
        <f>IFERROR(H102/H444, "NA")</f>
        <v>8.3203522800639348E-2</v>
      </c>
      <c r="J102" s="9"/>
      <c r="K102" s="7">
        <v>-631.92999999999995</v>
      </c>
      <c r="L102" s="8">
        <f>IFERROR(K102/K444, "NA")</f>
        <v>-7.3350206523436065E-3</v>
      </c>
      <c r="M102" s="9"/>
      <c r="N102" s="10">
        <f t="shared" si="25"/>
        <v>-926.14</v>
      </c>
      <c r="O102" s="8">
        <f>IFERROR(N102/N444, "NA")</f>
        <v>0.10013147026134049</v>
      </c>
      <c r="P102" s="9"/>
      <c r="Q102" s="7">
        <v>-2916.72</v>
      </c>
      <c r="R102" s="8">
        <f>IFERROR(Q102/Q444, "NA")</f>
        <v>-1.9467747282646965E-2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-2916.72</v>
      </c>
      <c r="X102" s="8">
        <f>IFERROR(W102/W444, "NA")</f>
        <v>0.14201702030692639</v>
      </c>
      <c r="Y102" s="9"/>
      <c r="Z102" s="7">
        <v>-727.41</v>
      </c>
      <c r="AA102" s="8">
        <f>IFERROR(Z102/Z444, "NA")</f>
        <v>-4.6235964933356672E-3</v>
      </c>
      <c r="AB102" s="9"/>
      <c r="AC102" s="10">
        <f t="shared" si="27"/>
        <v>-2189.31</v>
      </c>
      <c r="AD102" s="8">
        <f>IFERROR(AC102/AC444, "NA")</f>
        <v>0.2918150082840274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-592.98</v>
      </c>
      <c r="C104" s="8">
        <f>IFERROR(B104/B444, "NA")</f>
        <v>-7.7107314506117495E-3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-592.98</v>
      </c>
      <c r="I104" s="8">
        <f>IFERROR(H104/H444, "NA")</f>
        <v>3.1666115739551574E-2</v>
      </c>
      <c r="J104" s="9"/>
      <c r="K104" s="7">
        <v>-479.31</v>
      </c>
      <c r="L104" s="8">
        <f>IFERROR(K104/K444, "NA")</f>
        <v>-5.5635098015204441E-3</v>
      </c>
      <c r="M104" s="9"/>
      <c r="N104" s="10">
        <f t="shared" si="25"/>
        <v>-113.67000000000002</v>
      </c>
      <c r="O104" s="8">
        <f>IFERROR(N104/N444, "NA")</f>
        <v>1.2289658393554512E-2</v>
      </c>
      <c r="P104" s="9"/>
      <c r="Q104" s="7">
        <v>-1293.31</v>
      </c>
      <c r="R104" s="8">
        <f>IFERROR(Q104/Q444, "NA")</f>
        <v>-8.6322417777915418E-3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-1293.31</v>
      </c>
      <c r="X104" s="8">
        <f>IFERROR(W104/W444, "NA")</f>
        <v>6.2972116806944436E-2</v>
      </c>
      <c r="Y104" s="9"/>
      <c r="Z104" s="7">
        <v>-1153.74</v>
      </c>
      <c r="AA104" s="8">
        <f>IFERROR(Z104/Z444, "NA")</f>
        <v>-7.3334546104962721E-3</v>
      </c>
      <c r="AB104" s="9"/>
      <c r="AC104" s="10">
        <f t="shared" si="27"/>
        <v>-139.56999999999994</v>
      </c>
      <c r="AD104" s="8">
        <f>IFERROR(AC104/AC444, "NA")</f>
        <v>1.8603405048257984E-2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-844.74</v>
      </c>
      <c r="R106" s="8">
        <f>IFERROR(Q106/Q444, "NA")</f>
        <v>-5.6382459884881638E-3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-844.74</v>
      </c>
      <c r="X106" s="8">
        <f>IFERROR(W106/W444, "NA")</f>
        <v>4.1130947685781634E-2</v>
      </c>
      <c r="Y106" s="9"/>
      <c r="Z106" s="7">
        <v>-241.7</v>
      </c>
      <c r="AA106" s="8">
        <f>IFERROR(Z106/Z444, "NA")</f>
        <v>-1.5363045221253912E-3</v>
      </c>
      <c r="AB106" s="9"/>
      <c r="AC106" s="10">
        <f t="shared" si="27"/>
        <v>-603.04</v>
      </c>
      <c r="AD106" s="8">
        <f>IFERROR(AC106/AC444, "NA")</f>
        <v>8.0379718996213365E-2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-5741.6299999999992</v>
      </c>
      <c r="C118" s="15">
        <f>IFERROR(B118/B444, "NA")</f>
        <v>-7.4660472560248117E-2</v>
      </c>
      <c r="D118" s="2"/>
      <c r="E118" s="14">
        <f>IFERROR(E94+E95+E96+E97+E98+E99+E100+E101+E102+E103+E104+E105+E106+E107+E108+E109+E110+E111+E112+E113+E114+E115+E116+E117, "NA")</f>
        <v>-3347.02</v>
      </c>
      <c r="F118" s="15">
        <f>IFERROR(E118/E444, "NA")</f>
        <v>-3.4999971765951869E-2</v>
      </c>
      <c r="G118" s="2"/>
      <c r="H118" s="14">
        <f t="shared" si="24"/>
        <v>-2394.6099999999992</v>
      </c>
      <c r="I118" s="15">
        <f>IFERROR(H118/H444, "NA")</f>
        <v>0.12787614660037028</v>
      </c>
      <c r="J118" s="2"/>
      <c r="K118" s="14">
        <f>IFERROR(K94+K95+K96+K97+K98+K99+K100+K101+K102+K103+K104+K105+K106+K107+K108+K109+K110+K111+K112+K113+K114+K115+K116+K117, "NA")</f>
        <v>-2964.33</v>
      </c>
      <c r="L118" s="15">
        <f>IFERROR(K118/K444, "NA")</f>
        <v>-3.4407959378984582E-2</v>
      </c>
      <c r="M118" s="2"/>
      <c r="N118" s="14">
        <f t="shared" si="25"/>
        <v>-2777.2999999999993</v>
      </c>
      <c r="O118" s="15">
        <f>IFERROR(N118/N444, "NA")</f>
        <v>0.30027331975383947</v>
      </c>
      <c r="P118" s="2"/>
      <c r="Q118" s="14">
        <f>IFERROR(Q94+Q95+Q96+Q97+Q98+Q99+Q100+Q101+Q102+Q103+Q104+Q105+Q106+Q107+Q108+Q109+Q110+Q111+Q112+Q113+Q114+Q115+Q116+Q117, "NA")</f>
        <v>-11361.529999999999</v>
      </c>
      <c r="R118" s="15">
        <f>IFERROR(Q118/Q444, "NA")</f>
        <v>-7.5832920124047548E-2</v>
      </c>
      <c r="S118" s="2"/>
      <c r="T118" s="14">
        <f>IFERROR(T94+T95+T96+T97+T98+T99+T100+T101+T102+T103+T104+T105+T106+T107+T108+T109+T110+T111+T112+T113+T114+T115+T116+T117, "NA")</f>
        <v>-5962.63</v>
      </c>
      <c r="U118" s="15">
        <f>IFERROR(T118/T444, "NA")</f>
        <v>-3.4999968596100717E-2</v>
      </c>
      <c r="V118" s="2"/>
      <c r="W118" s="14">
        <f t="shared" si="26"/>
        <v>-5398.8999999999987</v>
      </c>
      <c r="X118" s="15">
        <f>IFERROR(W118/W444, "NA")</f>
        <v>0.26287600144513862</v>
      </c>
      <c r="Y118" s="2"/>
      <c r="Z118" s="14">
        <f>IFERROR(Z94+Z95+Z96+Z97+Z98+Z99+Z100+Z101+Z102+Z103+Z104+Z105+Z106+Z107+Z108+Z109+Z110+Z111+Z112+Z113+Z114+Z115+Z116+Z117, "NA")</f>
        <v>-7669.96</v>
      </c>
      <c r="AA118" s="15">
        <f>IFERROR(Z118/Z444, "NA")</f>
        <v>-4.8752148252051576E-2</v>
      </c>
      <c r="AB118" s="2"/>
      <c r="AC118" s="14">
        <f t="shared" si="27"/>
        <v>-3691.5699999999988</v>
      </c>
      <c r="AD118" s="15">
        <f>IFERROR(AC118/AC444, "NA")</f>
        <v>0.4920525325929479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76903.209999999977</v>
      </c>
      <c r="C122" s="15">
        <f>IFERROR(B122/B444, "NA")</f>
        <v>0.99999999999999967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95629.219999999987</v>
      </c>
      <c r="F122" s="15">
        <f>IFERROR(E122/E444, "NA")</f>
        <v>0.99999999999999989</v>
      </c>
      <c r="G122" s="2"/>
      <c r="H122" s="14">
        <f t="shared" si="24"/>
        <v>-18726.010000000009</v>
      </c>
      <c r="I122" s="15">
        <f>IFERROR(H122/H444, "NA")</f>
        <v>1.0000000000000007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86152.450000000012</v>
      </c>
      <c r="L122" s="15">
        <f>IFERROR(K122/K444, "NA")</f>
        <v>1.0000000000000002</v>
      </c>
      <c r="M122" s="2"/>
      <c r="N122" s="14">
        <f t="shared" si="25"/>
        <v>-9249.2400000000343</v>
      </c>
      <c r="O122" s="15">
        <f>IFERROR(N122/N444, "NA")</f>
        <v>1.0000000000000047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149823.19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170361.01</v>
      </c>
      <c r="U122" s="15">
        <f>IFERROR(T122/T444, "NA")</f>
        <v>1</v>
      </c>
      <c r="V122" s="2"/>
      <c r="W122" s="14">
        <f t="shared" si="26"/>
        <v>-20537.820000000007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157325.57999999996</v>
      </c>
      <c r="AA122" s="15">
        <f>IFERROR(Z122/Z444, "NA")</f>
        <v>0.99999999999999978</v>
      </c>
      <c r="AB122" s="2"/>
      <c r="AC122" s="14">
        <f t="shared" si="27"/>
        <v>-7502.3899999999558</v>
      </c>
      <c r="AD122" s="15">
        <f>IFERROR(AC122/AC444, "NA")</f>
        <v>0.99999999999999611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76903.209999999977</v>
      </c>
      <c r="C124" s="15">
        <f>IFERROR(B124/B444, "NA")</f>
        <v>0.99999999999999967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95629.219999999987</v>
      </c>
      <c r="F124" s="15">
        <f>IFERROR(E124/E444, "NA")</f>
        <v>0.99999999999999989</v>
      </c>
      <c r="G124" s="2"/>
      <c r="H124" s="14">
        <f t="shared" si="24"/>
        <v>-18726.010000000009</v>
      </c>
      <c r="I124" s="15">
        <f>IFERROR(H124/H444, "NA")</f>
        <v>1.0000000000000007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86152.450000000012</v>
      </c>
      <c r="L124" s="15">
        <f>IFERROR(K124/K444, "NA")</f>
        <v>1.0000000000000002</v>
      </c>
      <c r="M124" s="2"/>
      <c r="N124" s="14">
        <f t="shared" si="25"/>
        <v>-9249.2400000000343</v>
      </c>
      <c r="O124" s="15">
        <f>IFERROR(N124/N444, "NA")</f>
        <v>1.0000000000000047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149823.19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170361.01</v>
      </c>
      <c r="U124" s="15">
        <f>IFERROR(T124/T444, "NA")</f>
        <v>1</v>
      </c>
      <c r="V124" s="2"/>
      <c r="W124" s="14">
        <f t="shared" si="26"/>
        <v>-20537.820000000007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157325.57999999996</v>
      </c>
      <c r="AA124" s="15">
        <f>IFERROR(Z124/Z444, "NA")</f>
        <v>0.99999999999999978</v>
      </c>
      <c r="AB124" s="2"/>
      <c r="AC124" s="14">
        <f t="shared" si="27"/>
        <v>-7502.3899999999558</v>
      </c>
      <c r="AD124" s="15">
        <f>IFERROR(AC124/AC444, "NA")</f>
        <v>0.99999999999999611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23811.68</v>
      </c>
      <c r="F129" s="8">
        <f>IFERROR(E129/E444, "NA")</f>
        <v>0.24900004412877152</v>
      </c>
      <c r="G129" s="9"/>
      <c r="H129" s="10">
        <f t="shared" ref="H129:H141" si="28">IFERROR(-(B129-E129), "NA")</f>
        <v>23811.68</v>
      </c>
      <c r="I129" s="8">
        <f>IFERROR(H129/H444, "NA")</f>
        <v>-1.2715832150041577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43839.8</v>
      </c>
      <c r="U129" s="8">
        <f>IFERROR(T129/T444, "NA")</f>
        <v>0.25733470352165677</v>
      </c>
      <c r="V129" s="9"/>
      <c r="W129" s="10">
        <f t="shared" ref="W129:W141" si="30">IFERROR(-(Q129-T129), "NA")</f>
        <v>43839.8</v>
      </c>
      <c r="X129" s="8">
        <f>IFERROR(W129/W444, "NA")</f>
        <v>-2.1345887732972626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4901</v>
      </c>
      <c r="C130" s="8">
        <f>IFERROR(B130/B444, "NA")</f>
        <v>6.3729459407481162E-2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-4901</v>
      </c>
      <c r="I130" s="8">
        <f>IFERROR(H130/H444, "NA")</f>
        <v>0.26172153064107095</v>
      </c>
      <c r="J130" s="9"/>
      <c r="K130" s="7">
        <v>5684.68</v>
      </c>
      <c r="L130" s="8">
        <f>IFERROR(K130/K444, "NA")</f>
        <v>6.5983962150815215E-2</v>
      </c>
      <c r="M130" s="9"/>
      <c r="N130" s="10">
        <f t="shared" si="29"/>
        <v>783.68000000000029</v>
      </c>
      <c r="O130" s="8">
        <f>IFERROR(N130/N444, "NA")</f>
        <v>-8.4729123690162764E-2</v>
      </c>
      <c r="P130" s="9"/>
      <c r="Q130" s="7">
        <v>8973.91</v>
      </c>
      <c r="R130" s="8">
        <f>IFERROR(Q130/Q444, "NA")</f>
        <v>5.9896668866815612E-2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-8973.91</v>
      </c>
      <c r="X130" s="8">
        <f>IFERROR(W130/W444, "NA")</f>
        <v>0.43694559597854088</v>
      </c>
      <c r="Y130" s="9"/>
      <c r="Z130" s="7">
        <v>9965.9699999999993</v>
      </c>
      <c r="AA130" s="8">
        <f>IFERROR(Z130/Z444, "NA")</f>
        <v>6.3346151337881615E-2</v>
      </c>
      <c r="AB130" s="9"/>
      <c r="AC130" s="10">
        <f t="shared" si="31"/>
        <v>992.05999999999949</v>
      </c>
      <c r="AD130" s="8">
        <f>IFERROR(AC130/AC444, "NA")</f>
        <v>-0.13223252856756335</v>
      </c>
    </row>
    <row r="131" spans="1:30" ht="16.5" customHeight="1" x14ac:dyDescent="0.45">
      <c r="A131" s="12" t="s">
        <v>123</v>
      </c>
      <c r="B131" s="7">
        <v>2714.09</v>
      </c>
      <c r="C131" s="8">
        <f>IFERROR(B131/B444, "NA")</f>
        <v>3.5292284938431048E-2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-2714.09</v>
      </c>
      <c r="I131" s="8">
        <f>IFERROR(H131/H444, "NA")</f>
        <v>0.14493690861000294</v>
      </c>
      <c r="J131" s="9"/>
      <c r="K131" s="7">
        <v>2703.01</v>
      </c>
      <c r="L131" s="8">
        <f>IFERROR(K131/K444, "NA")</f>
        <v>3.1374731653017414E-2</v>
      </c>
      <c r="M131" s="9"/>
      <c r="N131" s="10">
        <f t="shared" si="29"/>
        <v>-11.079999999999927</v>
      </c>
      <c r="O131" s="8">
        <f>IFERROR(N131/N444, "NA")</f>
        <v>1.1979362628713212E-3</v>
      </c>
      <c r="P131" s="9"/>
      <c r="Q131" s="7">
        <v>5520.48</v>
      </c>
      <c r="R131" s="8">
        <f>IFERROR(Q131/Q444, "NA")</f>
        <v>3.6846632353776471E-2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-5520.48</v>
      </c>
      <c r="X131" s="8">
        <f>IFERROR(W131/W444, "NA")</f>
        <v>0.2687958118242344</v>
      </c>
      <c r="Y131" s="9"/>
      <c r="Z131" s="7">
        <v>5152.3100000000004</v>
      </c>
      <c r="AA131" s="8">
        <f>IFERROR(Z131/Z444, "NA")</f>
        <v>3.2749346927562581E-2</v>
      </c>
      <c r="AB131" s="9"/>
      <c r="AC131" s="10">
        <f t="shared" si="31"/>
        <v>-368.16999999999916</v>
      </c>
      <c r="AD131" s="8">
        <f>IFERROR(AC131/AC444, "NA")</f>
        <v>4.9073695182468506E-2</v>
      </c>
    </row>
    <row r="132" spans="1:30" ht="16.5" customHeight="1" x14ac:dyDescent="0.45">
      <c r="A132" s="12" t="s">
        <v>124</v>
      </c>
      <c r="B132" s="7">
        <v>2702.33</v>
      </c>
      <c r="C132" s="8">
        <f>IFERROR(B132/B444, "NA")</f>
        <v>3.5139365443913197E-2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-2702.33</v>
      </c>
      <c r="I132" s="8">
        <f>IFERROR(H132/H444, "NA")</f>
        <v>0.14430890510044589</v>
      </c>
      <c r="J132" s="9"/>
      <c r="K132" s="7">
        <v>3000.59</v>
      </c>
      <c r="L132" s="8">
        <f>IFERROR(K132/K444, "NA")</f>
        <v>3.4828841199524799E-2</v>
      </c>
      <c r="M132" s="9"/>
      <c r="N132" s="10">
        <f t="shared" si="29"/>
        <v>298.26000000000022</v>
      </c>
      <c r="O132" s="8">
        <f>IFERROR(N132/N444, "NA")</f>
        <v>-3.224697380541542E-2</v>
      </c>
      <c r="P132" s="9"/>
      <c r="Q132" s="7">
        <v>5566.43</v>
      </c>
      <c r="R132" s="8">
        <f>IFERROR(Q132/Q444, "NA")</f>
        <v>3.7153327198546499E-2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-5566.43</v>
      </c>
      <c r="X132" s="8">
        <f>IFERROR(W132/W444, "NA")</f>
        <v>0.27103314762715802</v>
      </c>
      <c r="Y132" s="9"/>
      <c r="Z132" s="7">
        <v>5345.67</v>
      </c>
      <c r="AA132" s="8">
        <f>IFERROR(Z132/Z444, "NA")</f>
        <v>3.3978390545262888E-2</v>
      </c>
      <c r="AB132" s="9"/>
      <c r="AC132" s="10">
        <f t="shared" si="31"/>
        <v>-220.76000000000022</v>
      </c>
      <c r="AD132" s="8">
        <f>IFERROR(AC132/AC444, "NA")</f>
        <v>2.9425289807648053E-2</v>
      </c>
    </row>
    <row r="133" spans="1:30" ht="16.5" customHeight="1" x14ac:dyDescent="0.45">
      <c r="A133" s="12" t="s">
        <v>125</v>
      </c>
      <c r="B133" s="7">
        <v>2057.4699999999998</v>
      </c>
      <c r="C133" s="8">
        <f>IFERROR(B133/B444, "NA")</f>
        <v>2.6754019760683586E-2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-2057.4699999999998</v>
      </c>
      <c r="I133" s="8">
        <f>IFERROR(H133/H444, "NA")</f>
        <v>0.10987231129322265</v>
      </c>
      <c r="J133" s="9"/>
      <c r="K133" s="7">
        <v>1805.52</v>
      </c>
      <c r="L133" s="8">
        <f>IFERROR(K133/K444, "NA")</f>
        <v>2.0957268191444355E-2</v>
      </c>
      <c r="M133" s="9"/>
      <c r="N133" s="10">
        <f t="shared" si="29"/>
        <v>-251.94999999999982</v>
      </c>
      <c r="O133" s="8">
        <f>IFERROR(N133/N444, "NA")</f>
        <v>2.7240075941374651E-2</v>
      </c>
      <c r="P133" s="9"/>
      <c r="Q133" s="7">
        <v>3962.88</v>
      </c>
      <c r="R133" s="8">
        <f>IFERROR(Q133/Q444, "NA")</f>
        <v>2.6450377942159688E-2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-3962.88</v>
      </c>
      <c r="X133" s="8">
        <f>IFERROR(W133/W444, "NA")</f>
        <v>0.19295524062437</v>
      </c>
      <c r="Y133" s="9"/>
      <c r="Z133" s="7">
        <v>3251.82</v>
      </c>
      <c r="AA133" s="8">
        <f>IFERROR(Z133/Z444, "NA")</f>
        <v>2.0669366036978859E-2</v>
      </c>
      <c r="AB133" s="9"/>
      <c r="AC133" s="10">
        <f t="shared" si="31"/>
        <v>-711.06</v>
      </c>
      <c r="AD133" s="8">
        <f>IFERROR(AC133/AC444, "NA")</f>
        <v>9.4777797475204748E-2</v>
      </c>
    </row>
    <row r="134" spans="1:30" ht="16.5" customHeight="1" x14ac:dyDescent="0.45">
      <c r="A134" s="12" t="s">
        <v>126</v>
      </c>
      <c r="B134" s="7">
        <v>672.77</v>
      </c>
      <c r="C134" s="8">
        <f>IFERROR(B134/B444, "NA")</f>
        <v>8.748269415541951E-3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-672.77</v>
      </c>
      <c r="I134" s="8">
        <f>IFERROR(H134/H444, "NA")</f>
        <v>3.5927034109241647E-2</v>
      </c>
      <c r="J134" s="9"/>
      <c r="K134" s="7">
        <v>926.8</v>
      </c>
      <c r="L134" s="8">
        <f>IFERROR(K134/K444, "NA")</f>
        <v>1.0757674331954575E-2</v>
      </c>
      <c r="M134" s="9"/>
      <c r="N134" s="10">
        <f t="shared" si="29"/>
        <v>254.02999999999997</v>
      </c>
      <c r="O134" s="8">
        <f>IFERROR(N134/N444, "NA")</f>
        <v>-2.7464959283141126E-2</v>
      </c>
      <c r="P134" s="9"/>
      <c r="Q134" s="7">
        <v>1263.8399999999999</v>
      </c>
      <c r="R134" s="8">
        <f>IFERROR(Q134/Q444, "NA")</f>
        <v>8.4355432560206459E-3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-1263.8399999999999</v>
      </c>
      <c r="X134" s="8">
        <f>IFERROR(W134/W444, "NA")</f>
        <v>6.1537203072185825E-2</v>
      </c>
      <c r="Y134" s="9"/>
      <c r="Z134" s="7">
        <v>1799.24</v>
      </c>
      <c r="AA134" s="8">
        <f>IFERROR(Z134/Z444, "NA")</f>
        <v>1.1436411040086426E-2</v>
      </c>
      <c r="AB134" s="9"/>
      <c r="AC134" s="10">
        <f t="shared" si="31"/>
        <v>535.40000000000009</v>
      </c>
      <c r="AD134" s="8">
        <f>IFERROR(AC134/AC444, "NA")</f>
        <v>-7.1363925362451328E-2</v>
      </c>
    </row>
    <row r="135" spans="1:30" ht="16.5" customHeight="1" x14ac:dyDescent="0.45">
      <c r="A135" s="12" t="s">
        <v>127</v>
      </c>
      <c r="B135" s="7">
        <v>644.09</v>
      </c>
      <c r="C135" s="8">
        <f>IFERROR(B135/B444, "NA")</f>
        <v>8.3753330972790342E-3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-644.09</v>
      </c>
      <c r="I135" s="8">
        <f>IFERROR(H135/H444, "NA")</f>
        <v>3.4395474529811752E-2</v>
      </c>
      <c r="J135" s="9"/>
      <c r="K135" s="7">
        <v>498.13</v>
      </c>
      <c r="L135" s="8">
        <f>IFERROR(K135/K444, "NA")</f>
        <v>5.7819597701516323E-3</v>
      </c>
      <c r="M135" s="9"/>
      <c r="N135" s="10">
        <f t="shared" si="29"/>
        <v>-145.96000000000004</v>
      </c>
      <c r="O135" s="8">
        <f>IFERROR(N135/N444, "NA")</f>
        <v>1.5780756040496322E-2</v>
      </c>
      <c r="P135" s="9"/>
      <c r="Q135" s="7">
        <v>1150.3599999999999</v>
      </c>
      <c r="R135" s="8">
        <f>IFERROR(Q135/Q444, "NA")</f>
        <v>7.6781171192523657E-3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-1150.3599999999999</v>
      </c>
      <c r="X135" s="8">
        <f>IFERROR(W135/W444, "NA")</f>
        <v>5.6011787034845932E-2</v>
      </c>
      <c r="Y135" s="9"/>
      <c r="Z135" s="7">
        <v>971.68</v>
      </c>
      <c r="AA135" s="8">
        <f>IFERROR(Z135/Z444, "NA")</f>
        <v>6.1762365662341749E-3</v>
      </c>
      <c r="AB135" s="9"/>
      <c r="AC135" s="10">
        <f t="shared" si="31"/>
        <v>-178.67999999999995</v>
      </c>
      <c r="AD135" s="8">
        <f>IFERROR(AC135/AC444, "NA")</f>
        <v>2.3816410503852813E-2</v>
      </c>
    </row>
    <row r="136" spans="1:30" ht="16.5" customHeight="1" x14ac:dyDescent="0.45">
      <c r="A136" s="12" t="s">
        <v>128</v>
      </c>
      <c r="B136" s="7">
        <v>597.98</v>
      </c>
      <c r="C136" s="8">
        <f>IFERROR(B136/B444, "NA")</f>
        <v>7.7757482424985896E-3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-597.98</v>
      </c>
      <c r="I136" s="8">
        <f>IFERROR(H136/H444, "NA")</f>
        <v>3.1933124034431264E-2</v>
      </c>
      <c r="J136" s="9"/>
      <c r="K136" s="7">
        <v>884.65</v>
      </c>
      <c r="L136" s="8">
        <f>IFERROR(K136/K444, "NA")</f>
        <v>1.0268425332071229E-2</v>
      </c>
      <c r="M136" s="9"/>
      <c r="N136" s="10">
        <f t="shared" si="29"/>
        <v>286.66999999999996</v>
      </c>
      <c r="O136" s="8">
        <f>IFERROR(N136/N444, "NA")</f>
        <v>-3.0993897877014787E-2</v>
      </c>
      <c r="P136" s="9"/>
      <c r="Q136" s="7">
        <v>1097.95</v>
      </c>
      <c r="R136" s="8">
        <f>IFERROR(Q136/Q444, "NA")</f>
        <v>7.3283047837921491E-3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-1097.95</v>
      </c>
      <c r="X136" s="8">
        <f>IFERROR(W136/W444, "NA")</f>
        <v>5.3459909571707202E-2</v>
      </c>
      <c r="Y136" s="9"/>
      <c r="Z136" s="7">
        <v>1594.29</v>
      </c>
      <c r="AA136" s="8">
        <f>IFERROR(Z136/Z444, "NA")</f>
        <v>1.0133698537771163E-2</v>
      </c>
      <c r="AB136" s="9"/>
      <c r="AC136" s="10">
        <f t="shared" si="31"/>
        <v>496.33999999999992</v>
      </c>
      <c r="AD136" s="8">
        <f>IFERROR(AC136/AC444, "NA")</f>
        <v>-6.615758444975546E-2</v>
      </c>
    </row>
    <row r="137" spans="1:30" ht="16.5" customHeight="1" x14ac:dyDescent="0.45">
      <c r="A137" s="12" t="s">
        <v>129</v>
      </c>
      <c r="B137" s="7">
        <v>688.96</v>
      </c>
      <c r="C137" s="8">
        <f>IFERROR(B137/B444, "NA")</f>
        <v>8.9587937876715422E-3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-688.96</v>
      </c>
      <c r="I137" s="8">
        <f>IFERROR(H137/H444, "NA")</f>
        <v>3.6791606968062079E-2</v>
      </c>
      <c r="J137" s="9"/>
      <c r="K137" s="7">
        <v>454.66</v>
      </c>
      <c r="L137" s="8">
        <f>IFERROR(K137/K444, "NA")</f>
        <v>5.2773890934036125E-3</v>
      </c>
      <c r="M137" s="9"/>
      <c r="N137" s="10">
        <f t="shared" si="29"/>
        <v>-234.3</v>
      </c>
      <c r="O137" s="8">
        <f>IFERROR(N137/N444, "NA")</f>
        <v>2.5331811046096789E-2</v>
      </c>
      <c r="P137" s="9"/>
      <c r="Q137" s="7">
        <v>1009.84</v>
      </c>
      <c r="R137" s="8">
        <f>IFERROR(Q137/Q444, "NA")</f>
        <v>6.7402115787282332E-3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-1009.84</v>
      </c>
      <c r="X137" s="8">
        <f>IFERROR(W137/W444, "NA")</f>
        <v>4.9169775565274194E-2</v>
      </c>
      <c r="Y137" s="9"/>
      <c r="Z137" s="7">
        <v>946.85</v>
      </c>
      <c r="AA137" s="8">
        <f>IFERROR(Z137/Z444, "NA")</f>
        <v>6.01841099203321E-3</v>
      </c>
      <c r="AB137" s="9"/>
      <c r="AC137" s="10">
        <f t="shared" si="31"/>
        <v>-62.990000000000009</v>
      </c>
      <c r="AD137" s="8">
        <f>IFERROR(AC137/AC444, "NA")</f>
        <v>8.3959911441554135E-3</v>
      </c>
    </row>
    <row r="138" spans="1:30" ht="16.5" customHeight="1" x14ac:dyDescent="0.45">
      <c r="A138" s="12" t="s">
        <v>130</v>
      </c>
      <c r="B138" s="7">
        <v>4436.1099999999997</v>
      </c>
      <c r="C138" s="8">
        <f>IFERROR(B138/B444, "NA")</f>
        <v>5.7684328131426495E-2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-4436.1099999999997</v>
      </c>
      <c r="I138" s="8">
        <f>IFERROR(H138/H444, "NA")</f>
        <v>0.23689563339974726</v>
      </c>
      <c r="J138" s="9"/>
      <c r="K138" s="7">
        <v>4595.93</v>
      </c>
      <c r="L138" s="8">
        <f>IFERROR(K138/K444, "NA")</f>
        <v>5.3346480570198529E-2</v>
      </c>
      <c r="M138" s="9"/>
      <c r="N138" s="10">
        <f t="shared" si="29"/>
        <v>159.82000000000062</v>
      </c>
      <c r="O138" s="8">
        <f>IFERROR(N138/N444, "NA")</f>
        <v>-1.7279257538997884E-2</v>
      </c>
      <c r="P138" s="9"/>
      <c r="Q138" s="7">
        <v>8436.49</v>
      </c>
      <c r="R138" s="8">
        <f>IFERROR(Q138/Q444, "NA")</f>
        <v>5.6309640717168014E-2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-8436.49</v>
      </c>
      <c r="X138" s="8">
        <f>IFERROR(W138/W444, "NA")</f>
        <v>0.41077826176293281</v>
      </c>
      <c r="Y138" s="9"/>
      <c r="Z138" s="7">
        <v>8784.4599999999991</v>
      </c>
      <c r="AA138" s="8">
        <f>IFERROR(Z138/Z444, "NA")</f>
        <v>5.5836183791599561E-2</v>
      </c>
      <c r="AB138" s="9"/>
      <c r="AC138" s="10">
        <f t="shared" si="31"/>
        <v>347.96999999999935</v>
      </c>
      <c r="AD138" s="8">
        <f>IFERROR(AC138/AC444, "NA")</f>
        <v>-4.6381219851274066E-2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19414.8</v>
      </c>
      <c r="C141" s="15">
        <f>IFERROR(B141/B444, "NA")</f>
        <v>0.25245760222492658</v>
      </c>
      <c r="D141" s="2"/>
      <c r="E141" s="14">
        <f>IFERROR(E129+E130+E131+E132+E133+E134+E135+E136+E137+E138+E139+E140, "NA")</f>
        <v>23811.68</v>
      </c>
      <c r="F141" s="15">
        <f>IFERROR(E141/E444, "NA")</f>
        <v>0.24900004412877152</v>
      </c>
      <c r="G141" s="2"/>
      <c r="H141" s="14">
        <f t="shared" si="28"/>
        <v>4396.880000000001</v>
      </c>
      <c r="I141" s="15">
        <f>IFERROR(H141/H444, "NA")</f>
        <v>-0.23480068631812129</v>
      </c>
      <c r="J141" s="2"/>
      <c r="K141" s="14">
        <f>IFERROR(K129+K130+K131+K132+K133+K134+K135+K136+K137+K138+K139+K140, "NA")</f>
        <v>20553.97</v>
      </c>
      <c r="L141" s="15">
        <f>IFERROR(K141/K444, "NA")</f>
        <v>0.23857673229258136</v>
      </c>
      <c r="M141" s="2"/>
      <c r="N141" s="14">
        <f t="shared" si="29"/>
        <v>1139.1700000000019</v>
      </c>
      <c r="O141" s="15">
        <f>IFERROR(N141/N444, "NA")</f>
        <v>-0.12316363290389297</v>
      </c>
      <c r="P141" s="2"/>
      <c r="Q141" s="14">
        <f>IFERROR(Q129+Q130+Q131+Q132+Q133+Q134+Q135+Q136+Q137+Q138+Q139+Q140, "NA")</f>
        <v>36982.18</v>
      </c>
      <c r="R141" s="15">
        <f>IFERROR(Q141/Q444, "NA")</f>
        <v>0.24683882381625968</v>
      </c>
      <c r="S141" s="2"/>
      <c r="T141" s="14">
        <f>IFERROR(T129+T130+T131+T132+T133+T134+T135+T136+T137+T138+T139+T140, "NA")</f>
        <v>43839.8</v>
      </c>
      <c r="U141" s="15">
        <f>IFERROR(T141/T444, "NA")</f>
        <v>0.25733470352165677</v>
      </c>
      <c r="V141" s="2"/>
      <c r="W141" s="14">
        <f t="shared" si="30"/>
        <v>6857.6200000000026</v>
      </c>
      <c r="X141" s="15">
        <f>IFERROR(W141/W444, "NA")</f>
        <v>-0.33390204023601339</v>
      </c>
      <c r="Y141" s="2"/>
      <c r="Z141" s="14">
        <f>IFERROR(Z129+Z130+Z131+Z132+Z133+Z134+Z135+Z136+Z137+Z138+Z139+Z140, "NA")</f>
        <v>37812.289999999994</v>
      </c>
      <c r="AA141" s="15">
        <f>IFERROR(Z141/Z444, "NA")</f>
        <v>0.24034419577541044</v>
      </c>
      <c r="AB141" s="2"/>
      <c r="AC141" s="14">
        <f t="shared" si="31"/>
        <v>830.10999999999331</v>
      </c>
      <c r="AD141" s="15">
        <f>IFERROR(AC141/AC444, "NA")</f>
        <v>-0.11064607411771382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807.13</v>
      </c>
      <c r="C144" s="8">
        <f>IFERROR(B144/B444, "NA")</f>
        <v>1.0495400647125131E-2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-807.13</v>
      </c>
      <c r="I144" s="8">
        <f>IFERROR(H144/H444, "NA")</f>
        <v>4.3102081009248644E-2</v>
      </c>
      <c r="J144" s="9"/>
      <c r="K144" s="7">
        <v>874.31</v>
      </c>
      <c r="L144" s="8">
        <f>IFERROR(K144/K444, "NA")</f>
        <v>1.0148405529964615E-2</v>
      </c>
      <c r="M144" s="9"/>
      <c r="N144" s="10">
        <f t="shared" si="33"/>
        <v>67.17999999999995</v>
      </c>
      <c r="O144" s="8">
        <f>IFERROR(N144/N444, "NA")</f>
        <v>-7.2632994710916804E-3</v>
      </c>
      <c r="P144" s="9"/>
      <c r="Q144" s="7">
        <v>1884.71</v>
      </c>
      <c r="R144" s="8">
        <f>IFERROR(Q144/Q444, "NA")</f>
        <v>1.2579561281534587E-2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-1884.71</v>
      </c>
      <c r="X144" s="8">
        <f>IFERROR(W144/W444, "NA")</f>
        <v>9.1767772821068613E-2</v>
      </c>
      <c r="Y144" s="9"/>
      <c r="Z144" s="7">
        <v>1320.32</v>
      </c>
      <c r="AA144" s="8">
        <f>IFERROR(Z144/Z444, "NA")</f>
        <v>8.3922779753934484E-3</v>
      </c>
      <c r="AB144" s="9"/>
      <c r="AC144" s="10">
        <f t="shared" si="35"/>
        <v>-564.3900000000001</v>
      </c>
      <c r="AD144" s="8">
        <f>IFERROR(AC144/AC444, "NA")</f>
        <v>7.5228027335289313E-2</v>
      </c>
    </row>
    <row r="145" spans="1:30" ht="16.5" customHeight="1" x14ac:dyDescent="0.45">
      <c r="A145" s="12" t="s">
        <v>136</v>
      </c>
      <c r="B145" s="7">
        <v>37.340000000000003</v>
      </c>
      <c r="C145" s="8">
        <f>IFERROR(B145/B444, "NA")</f>
        <v>4.8554540181092572E-4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-37.340000000000003</v>
      </c>
      <c r="I145" s="8">
        <f>IFERROR(H145/H444, "NA")</f>
        <v>1.9940179461615162E-3</v>
      </c>
      <c r="J145" s="9"/>
      <c r="K145" s="7">
        <v>63.16</v>
      </c>
      <c r="L145" s="8">
        <f>IFERROR(K145/K444, "NA")</f>
        <v>7.3311902331274384E-4</v>
      </c>
      <c r="M145" s="9"/>
      <c r="N145" s="10">
        <f t="shared" si="33"/>
        <v>25.819999999999993</v>
      </c>
      <c r="O145" s="8">
        <f>IFERROR(N145/N444, "NA")</f>
        <v>-2.7915807136586379E-3</v>
      </c>
      <c r="P145" s="9"/>
      <c r="Q145" s="7">
        <v>82.91</v>
      </c>
      <c r="R145" s="8">
        <f>IFERROR(Q145/Q444, "NA")</f>
        <v>5.5338562741855915E-4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-82.91</v>
      </c>
      <c r="X145" s="8">
        <f>IFERROR(W145/W444, "NA")</f>
        <v>4.0369425771576524E-3</v>
      </c>
      <c r="Y145" s="9"/>
      <c r="Z145" s="7">
        <v>118.53</v>
      </c>
      <c r="AA145" s="8">
        <f>IFERROR(Z145/Z444, "NA")</f>
        <v>7.5340577164883171E-4</v>
      </c>
      <c r="AB145" s="9"/>
      <c r="AC145" s="10">
        <f t="shared" si="35"/>
        <v>35.620000000000005</v>
      </c>
      <c r="AD145" s="8">
        <f>IFERROR(AC145/AC444, "NA")</f>
        <v>-4.7478203612448932E-3</v>
      </c>
    </row>
    <row r="146" spans="1:30" ht="16.5" customHeight="1" x14ac:dyDescent="0.45">
      <c r="A146" s="12" t="s">
        <v>137</v>
      </c>
      <c r="B146" s="7">
        <v>48.5</v>
      </c>
      <c r="C146" s="8">
        <f>IFERROR(B146/B444, "NA")</f>
        <v>6.3066288130235394E-4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-48.5</v>
      </c>
      <c r="I146" s="8">
        <f>IFERROR(H146/H444, "NA")</f>
        <v>2.5899804603329813E-3</v>
      </c>
      <c r="J146" s="9"/>
      <c r="K146" s="7">
        <v>231.17</v>
      </c>
      <c r="L146" s="8">
        <f>IFERROR(K146/K444, "NA")</f>
        <v>2.6832666975808582E-3</v>
      </c>
      <c r="M146" s="9"/>
      <c r="N146" s="10">
        <f t="shared" si="33"/>
        <v>182.67</v>
      </c>
      <c r="O146" s="8">
        <f>IFERROR(N146/N444, "NA")</f>
        <v>-1.9749730788691845E-2</v>
      </c>
      <c r="P146" s="9"/>
      <c r="Q146" s="7">
        <v>67.400000000000006</v>
      </c>
      <c r="R146" s="8">
        <f>IFERROR(Q146/Q444, "NA")</f>
        <v>4.4986360255712084E-4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-67.400000000000006</v>
      </c>
      <c r="X146" s="8">
        <f>IFERROR(W146/W444, "NA")</f>
        <v>3.2817504486844264E-3</v>
      </c>
      <c r="Y146" s="9"/>
      <c r="Z146" s="7">
        <v>290.55</v>
      </c>
      <c r="AA146" s="8">
        <f>IFERROR(Z146/Z444, "NA")</f>
        <v>1.846807111723345E-3</v>
      </c>
      <c r="AB146" s="9"/>
      <c r="AC146" s="10">
        <f t="shared" si="35"/>
        <v>223.15</v>
      </c>
      <c r="AD146" s="8">
        <f>IFERROR(AC146/AC444, "NA")</f>
        <v>-2.9743854958220042E-2</v>
      </c>
    </row>
    <row r="147" spans="1:30" ht="16.5" customHeight="1" x14ac:dyDescent="0.45">
      <c r="A147" s="12" t="s">
        <v>138</v>
      </c>
      <c r="B147" s="7">
        <v>7.35</v>
      </c>
      <c r="C147" s="8">
        <f>IFERROR(B147/B444, "NA")</f>
        <v>9.5574684073655689E-5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-7.35</v>
      </c>
      <c r="I147" s="8">
        <f>IFERROR(H147/H444, "NA")</f>
        <v>3.9250219347314254E-4</v>
      </c>
      <c r="J147" s="9"/>
      <c r="K147" s="7">
        <v>0</v>
      </c>
      <c r="L147" s="8">
        <f>IFERROR(K147/K444, "NA")</f>
        <v>0</v>
      </c>
      <c r="M147" s="9"/>
      <c r="N147" s="10">
        <f t="shared" si="33"/>
        <v>-7.35</v>
      </c>
      <c r="O147" s="8">
        <f>IFERROR(N147/N444, "NA")</f>
        <v>7.9465988556897728E-4</v>
      </c>
      <c r="P147" s="9"/>
      <c r="Q147" s="7">
        <v>14.02</v>
      </c>
      <c r="R147" s="8">
        <f>IFERROR(Q147/Q444, "NA")</f>
        <v>9.357696895921118E-5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-14.02</v>
      </c>
      <c r="X147" s="8">
        <f>IFERROR(W147/W444, "NA")</f>
        <v>6.8264304585394144E-4</v>
      </c>
      <c r="Y147" s="9"/>
      <c r="Z147" s="7">
        <v>21.35</v>
      </c>
      <c r="AA147" s="8">
        <f>IFERROR(Z147/Z444, "NA")</f>
        <v>1.3570584008017008E-4</v>
      </c>
      <c r="AB147" s="9"/>
      <c r="AC147" s="10">
        <f t="shared" si="35"/>
        <v>7.3300000000000018</v>
      </c>
      <c r="AD147" s="8">
        <f>IFERROR(AC147/AC444, "NA")</f>
        <v>-9.7702198899284314E-4</v>
      </c>
    </row>
    <row r="148" spans="1:30" ht="16.5" customHeight="1" x14ac:dyDescent="0.45">
      <c r="A148" s="13" t="s">
        <v>139</v>
      </c>
      <c r="B148" s="14">
        <f>IFERROR(B143+B144+B145+B146+B147, "NA")</f>
        <v>900.32</v>
      </c>
      <c r="C148" s="15">
        <f>IFERROR(B148/B444, "NA")</f>
        <v>1.1707183614312068E-2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-900.32</v>
      </c>
      <c r="I148" s="15">
        <f>IFERROR(H148/H444, "NA")</f>
        <v>4.8078581609216291E-2</v>
      </c>
      <c r="J148" s="2"/>
      <c r="K148" s="14">
        <f>IFERROR(K143+K144+K145+K146+K147, "NA")</f>
        <v>1168.6399999999999</v>
      </c>
      <c r="L148" s="15">
        <f>IFERROR(K148/K444, "NA")</f>
        <v>1.3564791250858216E-2</v>
      </c>
      <c r="M148" s="2"/>
      <c r="N148" s="14">
        <f t="shared" si="33"/>
        <v>268.31999999999982</v>
      </c>
      <c r="O148" s="15">
        <f>IFERROR(N148/N444, "NA")</f>
        <v>-2.9009951087873177E-2</v>
      </c>
      <c r="P148" s="2"/>
      <c r="Q148" s="14">
        <f>IFERROR(Q143+Q144+Q145+Q146+Q147, "NA")</f>
        <v>2049.0400000000004</v>
      </c>
      <c r="R148" s="15">
        <f>IFERROR(Q148/Q444, "NA")</f>
        <v>1.3676387480469482E-2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-2049.0400000000004</v>
      </c>
      <c r="X148" s="15">
        <f>IFERROR(W148/W444, "NA")</f>
        <v>9.9769108892764649E-2</v>
      </c>
      <c r="Y148" s="2"/>
      <c r="Z148" s="14">
        <f>IFERROR(Z143+Z144+Z145+Z146+Z147, "NA")</f>
        <v>1750.7499999999998</v>
      </c>
      <c r="AA148" s="15">
        <f>IFERROR(Z148/Z444, "NA")</f>
        <v>1.1128196698845794E-2</v>
      </c>
      <c r="AB148" s="2"/>
      <c r="AC148" s="14">
        <f t="shared" si="35"/>
        <v>-298.29000000000065</v>
      </c>
      <c r="AD148" s="15">
        <f>IFERROR(AC148/AC444, "NA")</f>
        <v>3.9759330026831616E-2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20315.12</v>
      </c>
      <c r="C149" s="15">
        <f>IFERROR(B149/B444, "NA")</f>
        <v>0.26416478583923869</v>
      </c>
      <c r="D149" s="2"/>
      <c r="E149" s="14">
        <f>IFERROR(E127+E129+E130+E131+E132+E133+E134+E135+E136+E137+E138+E139+E140+E143+E144+E145+E146+E147, "NA")</f>
        <v>23811.68</v>
      </c>
      <c r="F149" s="15">
        <f>IFERROR(E149/E444, "NA")</f>
        <v>0.24900004412877152</v>
      </c>
      <c r="G149" s="2"/>
      <c r="H149" s="14">
        <f t="shared" si="32"/>
        <v>3496.5600000000013</v>
      </c>
      <c r="I149" s="15">
        <f>IFERROR(H149/H444, "NA")</f>
        <v>-0.18672210470890502</v>
      </c>
      <c r="J149" s="2"/>
      <c r="K149" s="14">
        <f>IFERROR(K127+K129+K130+K131+K132+K133+K134+K135+K136+K137+K138+K139+K140+K143+K144+K145+K146+K147, "NA")</f>
        <v>21722.61</v>
      </c>
      <c r="L149" s="15">
        <f>IFERROR(K149/K444, "NA")</f>
        <v>0.25214152354343961</v>
      </c>
      <c r="M149" s="2"/>
      <c r="N149" s="14">
        <f t="shared" si="33"/>
        <v>1407.4900000000016</v>
      </c>
      <c r="O149" s="15">
        <f>IFERROR(N149/N444, "NA")</f>
        <v>-0.15217358399176614</v>
      </c>
      <c r="P149" s="2"/>
      <c r="Q149" s="14">
        <f>IFERROR(Q127+Q129+Q130+Q131+Q132+Q133+Q134+Q135+Q136+Q137+Q138+Q139+Q140+Q143+Q144+Q145+Q146+Q147, "NA")</f>
        <v>39031.22</v>
      </c>
      <c r="R149" s="15">
        <f>IFERROR(Q149/Q444, "NA")</f>
        <v>0.26051521129672917</v>
      </c>
      <c r="S149" s="2"/>
      <c r="T149" s="14">
        <f>IFERROR(T127+T129+T130+T131+T132+T133+T134+T135+T136+T137+T138+T139+T140+T143+T144+T145+T146+T147, "NA")</f>
        <v>43839.8</v>
      </c>
      <c r="U149" s="15">
        <f>IFERROR(T149/T444, "NA")</f>
        <v>0.25733470352165677</v>
      </c>
      <c r="V149" s="2"/>
      <c r="W149" s="14">
        <f t="shared" si="34"/>
        <v>4808.5800000000017</v>
      </c>
      <c r="X149" s="15">
        <f>IFERROR(W149/W444, "NA")</f>
        <v>-0.2341329313432487</v>
      </c>
      <c r="Y149" s="2"/>
      <c r="Z149" s="14">
        <f>IFERROR(Z127+Z129+Z130+Z131+Z132+Z133+Z134+Z135+Z136+Z137+Z138+Z139+Z140+Z143+Z144+Z145+Z146+Z147, "NA")</f>
        <v>39563.039999999994</v>
      </c>
      <c r="AA149" s="15">
        <f>IFERROR(Z149/Z444, "NA")</f>
        <v>0.25147239247425623</v>
      </c>
      <c r="AB149" s="2"/>
      <c r="AC149" s="14">
        <f t="shared" si="35"/>
        <v>531.81999999999243</v>
      </c>
      <c r="AD149" s="15">
        <f>IFERROR(AC149/AC444, "NA")</f>
        <v>-7.0886744090882178E-2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2008.21</v>
      </c>
      <c r="F153" s="8">
        <f>IFERROR(E153/E444, "NA")</f>
        <v>2.0999962145461397E-2</v>
      </c>
      <c r="G153" s="9"/>
      <c r="H153" s="10">
        <f t="shared" ref="H153:H158" si="36">IFERROR(-(B153-E153), "NA")</f>
        <v>2008.21</v>
      </c>
      <c r="I153" s="8">
        <f>IFERROR(H153/H444, "NA")</f>
        <v>-0.10724174557206798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3577.58</v>
      </c>
      <c r="U153" s="8">
        <f>IFERROR(T153/T444, "NA")</f>
        <v>2.099999289743586E-2</v>
      </c>
      <c r="V153" s="9"/>
      <c r="W153" s="10">
        <f t="shared" ref="W153:W158" si="38">IFERROR(-(Q153-T153), "NA")</f>
        <v>3577.58</v>
      </c>
      <c r="X153" s="8">
        <f>IFERROR(W153/W444, "NA")</f>
        <v>-0.17419472952825563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2935.44</v>
      </c>
      <c r="C154" s="8">
        <f>IFERROR(B154/B444, "NA")</f>
        <v>3.817057831526148E-2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-2935.44</v>
      </c>
      <c r="I154" s="8">
        <f>IFERROR(H154/H444, "NA")</f>
        <v>0.15675736582432676</v>
      </c>
      <c r="J154" s="9"/>
      <c r="K154" s="7">
        <v>2892.26</v>
      </c>
      <c r="L154" s="8">
        <f>IFERROR(K154/K444, "NA")</f>
        <v>3.357141903683529E-2</v>
      </c>
      <c r="M154" s="9"/>
      <c r="N154" s="10">
        <f t="shared" si="37"/>
        <v>-43.179999999999836</v>
      </c>
      <c r="O154" s="8">
        <f>IFERROR(N154/N444, "NA")</f>
        <v>4.6684916814786811E-3</v>
      </c>
      <c r="P154" s="9"/>
      <c r="Q154" s="7">
        <v>5334.86</v>
      </c>
      <c r="R154" s="8">
        <f>IFERROR(Q154/Q444, "NA")</f>
        <v>3.5607705322520493E-2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-5334.86</v>
      </c>
      <c r="X154" s="8">
        <f>IFERROR(W154/W444, "NA")</f>
        <v>0.2597578516122937</v>
      </c>
      <c r="Y154" s="9"/>
      <c r="Z154" s="7">
        <v>5470.3</v>
      </c>
      <c r="AA154" s="8">
        <f>IFERROR(Z154/Z444, "NA")</f>
        <v>3.4770569414077489E-2</v>
      </c>
      <c r="AB154" s="9"/>
      <c r="AC154" s="10">
        <f t="shared" si="39"/>
        <v>135.44000000000051</v>
      </c>
      <c r="AD154" s="8">
        <f>IFERROR(AC154/AC444, "NA")</f>
        <v>-1.8052913804800976E-2</v>
      </c>
    </row>
    <row r="155" spans="1:30" ht="16.5" customHeight="1" x14ac:dyDescent="0.45">
      <c r="A155" s="12" t="s">
        <v>144</v>
      </c>
      <c r="B155" s="7">
        <v>787.23</v>
      </c>
      <c r="C155" s="8">
        <f>IFERROR(B155/B444, "NA")</f>
        <v>1.0236633815415506E-2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-787.23</v>
      </c>
      <c r="I155" s="8">
        <f>IFERROR(H155/H444, "NA")</f>
        <v>4.2039387995627488E-2</v>
      </c>
      <c r="J155" s="9"/>
      <c r="K155" s="7">
        <v>969.12</v>
      </c>
      <c r="L155" s="8">
        <f>IFERROR(K155/K444, "NA")</f>
        <v>1.1248896578100798E-2</v>
      </c>
      <c r="M155" s="9"/>
      <c r="N155" s="10">
        <f t="shared" si="37"/>
        <v>181.89</v>
      </c>
      <c r="O155" s="8">
        <f>IFERROR(N155/N444, "NA")</f>
        <v>-1.9665399535529423E-2</v>
      </c>
      <c r="P155" s="9"/>
      <c r="Q155" s="7">
        <v>1617.63</v>
      </c>
      <c r="R155" s="8">
        <f>IFERROR(Q155/Q444, "NA")</f>
        <v>1.0796926697395778E-2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-1617.63</v>
      </c>
      <c r="X155" s="8">
        <f>IFERROR(W155/W444, "NA")</f>
        <v>7.8763471488210515E-2</v>
      </c>
      <c r="Y155" s="9"/>
      <c r="Z155" s="7">
        <v>1956.91</v>
      </c>
      <c r="AA155" s="8">
        <f>IFERROR(Z155/Z444, "NA")</f>
        <v>1.243860025813984E-2</v>
      </c>
      <c r="AB155" s="9"/>
      <c r="AC155" s="10">
        <f t="shared" si="39"/>
        <v>339.28</v>
      </c>
      <c r="AD155" s="8">
        <f>IFERROR(AC155/AC444, "NA")</f>
        <v>-4.5222922295428611E-2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18.489999999999998</v>
      </c>
      <c r="AA156" s="8">
        <f>IFERROR(Z156/Z444, "NA")</f>
        <v>1.1752697813032058E-4</v>
      </c>
      <c r="AB156" s="9"/>
      <c r="AC156" s="10">
        <f t="shared" si="39"/>
        <v>18.489999999999998</v>
      </c>
      <c r="AD156" s="8">
        <f>IFERROR(AC156/AC444, "NA")</f>
        <v>-2.4645479640487944E-3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3722.67</v>
      </c>
      <c r="C158" s="15">
        <f>IFERROR(B158/B444, "NA")</f>
        <v>4.8407212130676988E-2</v>
      </c>
      <c r="D158" s="2"/>
      <c r="E158" s="14">
        <f>IFERROR(E153+E154+E155+E156+E157, "NA")</f>
        <v>2008.21</v>
      </c>
      <c r="F158" s="15">
        <f>IFERROR(E158/E444, "NA")</f>
        <v>2.0999962145461397E-2</v>
      </c>
      <c r="G158" s="2"/>
      <c r="H158" s="14">
        <f t="shared" si="36"/>
        <v>-1714.46</v>
      </c>
      <c r="I158" s="15">
        <f>IFERROR(H158/H444, "NA")</f>
        <v>9.155500824788626E-2</v>
      </c>
      <c r="J158" s="2"/>
      <c r="K158" s="14">
        <f>IFERROR(K153+K154+K155+K156+K157, "NA")</f>
        <v>3861.38</v>
      </c>
      <c r="L158" s="15">
        <f>IFERROR(K158/K444, "NA")</f>
        <v>4.4820315614936081E-2</v>
      </c>
      <c r="M158" s="2"/>
      <c r="N158" s="14">
        <f t="shared" si="37"/>
        <v>138.71000000000004</v>
      </c>
      <c r="O158" s="15">
        <f>IFERROR(N158/N444, "NA")</f>
        <v>-1.499690785405073E-2</v>
      </c>
      <c r="P158" s="2"/>
      <c r="Q158" s="14">
        <f>IFERROR(Q153+Q154+Q155+Q156+Q157, "NA")</f>
        <v>6952.49</v>
      </c>
      <c r="R158" s="15">
        <f>IFERROR(Q158/Q444, "NA")</f>
        <v>4.6404632019916271E-2</v>
      </c>
      <c r="S158" s="2"/>
      <c r="T158" s="14">
        <f>IFERROR(T153+T154+T155+T156+T157, "NA")</f>
        <v>3577.58</v>
      </c>
      <c r="U158" s="15">
        <f>IFERROR(T158/T444, "NA")</f>
        <v>2.099999289743586E-2</v>
      </c>
      <c r="V158" s="2"/>
      <c r="W158" s="14">
        <f t="shared" si="38"/>
        <v>-3374.91</v>
      </c>
      <c r="X158" s="15">
        <f>IFERROR(W158/W444, "NA")</f>
        <v>0.1643265935722486</v>
      </c>
      <c r="Y158" s="2"/>
      <c r="Z158" s="14">
        <f>IFERROR(Z153+Z154+Z155+Z156+Z157, "NA")</f>
        <v>7445.7</v>
      </c>
      <c r="AA158" s="15">
        <f>IFERROR(Z158/Z444, "NA")</f>
        <v>4.7326696650347645E-2</v>
      </c>
      <c r="AB158" s="2"/>
      <c r="AC158" s="14">
        <f t="shared" si="39"/>
        <v>493.21000000000004</v>
      </c>
      <c r="AD158" s="15">
        <f>IFERROR(AC158/AC444, "NA")</f>
        <v>-6.5740384064278318E-2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404.78</v>
      </c>
      <c r="C161" s="8">
        <f>IFERROR(B161/B444, "NA")</f>
        <v>5.2634994039910676E-3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-404.78</v>
      </c>
      <c r="I161" s="8">
        <f>IFERROR(H161/H444, "NA")</f>
        <v>2.1615923520280085E-2</v>
      </c>
      <c r="J161" s="9"/>
      <c r="K161" s="7">
        <v>468.93</v>
      </c>
      <c r="L161" s="8">
        <f>IFERROR(K161/K444, "NA")</f>
        <v>5.4430257061755067E-3</v>
      </c>
      <c r="M161" s="9"/>
      <c r="N161" s="10">
        <f t="shared" si="41"/>
        <v>64.150000000000034</v>
      </c>
      <c r="O161" s="8">
        <f>IFERROR(N161/N444, "NA")</f>
        <v>-6.9357049876530505E-3</v>
      </c>
      <c r="P161" s="9"/>
      <c r="Q161" s="7">
        <v>720.89</v>
      </c>
      <c r="R161" s="8">
        <f>IFERROR(Q161/Q444, "NA")</f>
        <v>4.8116049324540477E-3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-720.89</v>
      </c>
      <c r="X161" s="8">
        <f>IFERROR(W161/W444, "NA")</f>
        <v>3.5100609509675307E-2</v>
      </c>
      <c r="Y161" s="9"/>
      <c r="Z161" s="7">
        <v>839.54</v>
      </c>
      <c r="AA161" s="8">
        <f>IFERROR(Z161/Z444, "NA")</f>
        <v>5.3363222941876336E-3</v>
      </c>
      <c r="AB161" s="9"/>
      <c r="AC161" s="10">
        <f t="shared" si="43"/>
        <v>118.64999999999998</v>
      </c>
      <c r="AD161" s="8">
        <f>IFERROR(AC161/AC444, "NA")</f>
        <v>-1.581496029931798E-2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404.78</v>
      </c>
      <c r="C166" s="15">
        <f>IFERROR(B166/B444, "NA")</f>
        <v>5.2634994039910676E-3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-404.78</v>
      </c>
      <c r="I166" s="15">
        <f>IFERROR(H166/H444, "NA")</f>
        <v>2.1615923520280085E-2</v>
      </c>
      <c r="J166" s="2"/>
      <c r="K166" s="14">
        <f>IFERROR(K160+K161+K162+K163+K164+K165, "NA")</f>
        <v>468.93</v>
      </c>
      <c r="L166" s="15">
        <f>IFERROR(K166/K444, "NA")</f>
        <v>5.4430257061755067E-3</v>
      </c>
      <c r="M166" s="2"/>
      <c r="N166" s="14">
        <f t="shared" si="41"/>
        <v>64.150000000000034</v>
      </c>
      <c r="O166" s="15">
        <f>IFERROR(N166/N444, "NA")</f>
        <v>-6.9357049876530505E-3</v>
      </c>
      <c r="P166" s="2"/>
      <c r="Q166" s="14">
        <f>IFERROR(Q160+Q161+Q162+Q163+Q164+Q165, "NA")</f>
        <v>720.89</v>
      </c>
      <c r="R166" s="15">
        <f>IFERROR(Q166/Q444, "NA")</f>
        <v>4.8116049324540477E-3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-720.89</v>
      </c>
      <c r="X166" s="15">
        <f>IFERROR(W166/W444, "NA")</f>
        <v>3.5100609509675307E-2</v>
      </c>
      <c r="Y166" s="2"/>
      <c r="Z166" s="14">
        <f>IFERROR(Z160+Z161+Z162+Z163+Z164+Z165, "NA")</f>
        <v>839.54</v>
      </c>
      <c r="AA166" s="15">
        <f>IFERROR(Z166/Z444, "NA")</f>
        <v>5.3363222941876336E-3</v>
      </c>
      <c r="AB166" s="2"/>
      <c r="AC166" s="14">
        <f t="shared" si="43"/>
        <v>118.64999999999998</v>
      </c>
      <c r="AD166" s="15">
        <f>IFERROR(AC166/AC444, "NA")</f>
        <v>-1.581496029931798E-2</v>
      </c>
    </row>
    <row r="167" spans="1:30" ht="16.5" customHeight="1" x14ac:dyDescent="0.45">
      <c r="A167" s="6" t="s">
        <v>155</v>
      </c>
      <c r="B167" s="7">
        <v>98.4</v>
      </c>
      <c r="C167" s="8">
        <f>IFERROR(B167/B444, "NA")</f>
        <v>1.2795304643330233E-3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-98.4</v>
      </c>
      <c r="I167" s="8">
        <f>IFERROR(H167/H444, "NA")</f>
        <v>5.2547232432322757E-3</v>
      </c>
      <c r="J167" s="9"/>
      <c r="K167" s="7">
        <v>159.37</v>
      </c>
      <c r="L167" s="8">
        <f>IFERROR(K167/K444, "NA")</f>
        <v>1.849860334790247E-3</v>
      </c>
      <c r="M167" s="9"/>
      <c r="N167" s="10">
        <f t="shared" si="41"/>
        <v>60.97</v>
      </c>
      <c r="O167" s="8">
        <f>IFERROR(N167/N444, "NA")</f>
        <v>-6.591892955529326E-3</v>
      </c>
      <c r="P167" s="9"/>
      <c r="Q167" s="7">
        <v>200.01</v>
      </c>
      <c r="R167" s="8">
        <f>IFERROR(Q167/Q444, "NA")</f>
        <v>1.3349735778553373E-3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-200.01</v>
      </c>
      <c r="X167" s="8">
        <f>IFERROR(W167/W444, "NA")</f>
        <v>9.7386188018007708E-3</v>
      </c>
      <c r="Y167" s="9"/>
      <c r="Z167" s="7">
        <v>301.07</v>
      </c>
      <c r="AA167" s="8">
        <f>IFERROR(Z167/Z444, "NA")</f>
        <v>1.9136748137206932E-3</v>
      </c>
      <c r="AB167" s="9"/>
      <c r="AC167" s="10">
        <f t="shared" si="43"/>
        <v>101.06</v>
      </c>
      <c r="AD167" s="8">
        <f>IFERROR(AC167/AC444, "NA")</f>
        <v>-1.3470374107451119E-2</v>
      </c>
    </row>
    <row r="168" spans="1:30" ht="16.5" customHeight="1" x14ac:dyDescent="0.45">
      <c r="A168" s="6" t="s">
        <v>156</v>
      </c>
      <c r="B168" s="7">
        <v>41.8</v>
      </c>
      <c r="C168" s="8">
        <f>IFERROR(B168/B444, "NA")</f>
        <v>5.4354038017398747E-4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-41.8</v>
      </c>
      <c r="I168" s="8">
        <f>IFERROR(H168/H444, "NA")</f>
        <v>2.2321893451941982E-3</v>
      </c>
      <c r="J168" s="9"/>
      <c r="K168" s="7">
        <v>38.6</v>
      </c>
      <c r="L168" s="8">
        <f>IFERROR(K168/K444, "NA")</f>
        <v>4.4804297498213924E-4</v>
      </c>
      <c r="M168" s="9"/>
      <c r="N168" s="10">
        <f t="shared" si="41"/>
        <v>-3.1999999999999957</v>
      </c>
      <c r="O168" s="8">
        <f>IFERROR(N168/N444, "NA")</f>
        <v>3.4597437194839779E-4</v>
      </c>
      <c r="P168" s="9"/>
      <c r="Q168" s="7">
        <v>80.599999999999994</v>
      </c>
      <c r="R168" s="8">
        <f>IFERROR(Q168/Q444, "NA")</f>
        <v>5.379674535030258E-4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-80.599999999999994</v>
      </c>
      <c r="X168" s="8">
        <f>IFERROR(W168/W444, "NA")</f>
        <v>3.9244671537680227E-3</v>
      </c>
      <c r="Y168" s="9"/>
      <c r="Z168" s="7">
        <v>78.3</v>
      </c>
      <c r="AA168" s="8">
        <f>IFERROR(Z168/Z444, "NA")</f>
        <v>4.9769401771790703E-4</v>
      </c>
      <c r="AB168" s="9"/>
      <c r="AC168" s="10">
        <f t="shared" si="43"/>
        <v>-2.2999999999999972</v>
      </c>
      <c r="AD168" s="8">
        <f>IFERROR(AC168/AC444, "NA")</f>
        <v>3.065689733538248E-4</v>
      </c>
    </row>
    <row r="169" spans="1:30" ht="16.5" customHeight="1" x14ac:dyDescent="0.45">
      <c r="A169" s="6" t="s">
        <v>157</v>
      </c>
      <c r="B169" s="7">
        <v>-2256.6999999999998</v>
      </c>
      <c r="C169" s="8">
        <f>IFERROR(B169/B444, "NA")</f>
        <v>-2.9344678850206637E-2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2256.6999999999998</v>
      </c>
      <c r="I169" s="8">
        <f>IFERROR(H169/H444, "NA")</f>
        <v>-0.12051152381099874</v>
      </c>
      <c r="J169" s="9"/>
      <c r="K169" s="7">
        <v>-1596.45</v>
      </c>
      <c r="L169" s="8">
        <f>IFERROR(K169/K444, "NA")</f>
        <v>-1.8530523508037206E-2</v>
      </c>
      <c r="M169" s="9"/>
      <c r="N169" s="10">
        <f t="shared" si="41"/>
        <v>660.24999999999977</v>
      </c>
      <c r="O169" s="8">
        <f>IFERROR(N169/N444, "NA")</f>
        <v>-7.1384243462165584E-2</v>
      </c>
      <c r="P169" s="9"/>
      <c r="Q169" s="7">
        <v>-4417.1099999999997</v>
      </c>
      <c r="R169" s="8">
        <f>IFERROR(Q169/Q444, "NA")</f>
        <v>-2.9482151594823203E-2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4417.1099999999997</v>
      </c>
      <c r="X169" s="8">
        <f>IFERROR(W169/W444, "NA")</f>
        <v>-0.21507199887816711</v>
      </c>
      <c r="Y169" s="9"/>
      <c r="Z169" s="7">
        <v>-4149.49</v>
      </c>
      <c r="AA169" s="8">
        <f>IFERROR(Z169/Z444, "NA")</f>
        <v>-2.6375176878419899E-2</v>
      </c>
      <c r="AB169" s="9"/>
      <c r="AC169" s="10">
        <f t="shared" si="43"/>
        <v>267.61999999999989</v>
      </c>
      <c r="AD169" s="8">
        <f>IFERROR(AC169/AC444, "NA")</f>
        <v>-3.5671299412587246E-2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2010.9499999999998</v>
      </c>
      <c r="C170" s="15">
        <f>IFERROR(B170/B444, "NA")</f>
        <v>2.6149103528968421E-2</v>
      </c>
      <c r="D170" s="2"/>
      <c r="E170" s="14">
        <f>IFERROR(E151+E153+E154+E155+E156+E157+E160+E161+E162+E163+E164+E165+E167+E168+E169, "NA")</f>
        <v>2008.21</v>
      </c>
      <c r="F170" s="15">
        <f>IFERROR(E170/E444, "NA")</f>
        <v>2.0999962145461397E-2</v>
      </c>
      <c r="G170" s="2"/>
      <c r="H170" s="14">
        <f t="shared" si="40"/>
        <v>-2.7399999999997817</v>
      </c>
      <c r="I170" s="15">
        <f>IFERROR(H170/H444, "NA")</f>
        <v>1.463205455940578E-4</v>
      </c>
      <c r="J170" s="2"/>
      <c r="K170" s="14">
        <f>IFERROR(K151+K153+K154+K155+K156+K157+K160+K161+K162+K163+K164+K165+K167+K168+K169, "NA")</f>
        <v>2931.8300000000008</v>
      </c>
      <c r="L170" s="15">
        <f>IFERROR(K170/K444, "NA")</f>
        <v>3.4030721122846781E-2</v>
      </c>
      <c r="M170" s="2"/>
      <c r="N170" s="14">
        <f t="shared" si="41"/>
        <v>920.88000000000102</v>
      </c>
      <c r="O170" s="15">
        <f>IFERROR(N170/N444, "NA")</f>
        <v>-9.9562774887450425E-2</v>
      </c>
      <c r="P170" s="2"/>
      <c r="Q170" s="14">
        <f>IFERROR(Q151+Q153+Q154+Q155+Q156+Q157+Q160+Q161+Q162+Q163+Q164+Q165+Q167+Q168+Q169, "NA")</f>
        <v>3536.880000000001</v>
      </c>
      <c r="R170" s="15">
        <f>IFERROR(Q170/Q444, "NA")</f>
        <v>2.3607026388905487E-2</v>
      </c>
      <c r="S170" s="2"/>
      <c r="T170" s="14">
        <f>IFERROR(T151+T153+T154+T155+T156+T157+T160+T161+T162+T163+T164+T165+T167+T168+T169, "NA")</f>
        <v>3577.58</v>
      </c>
      <c r="U170" s="15">
        <f>IFERROR(T170/T444, "NA")</f>
        <v>2.099999289743586E-2</v>
      </c>
      <c r="V170" s="2"/>
      <c r="W170" s="14">
        <f t="shared" si="42"/>
        <v>40.699999999998909</v>
      </c>
      <c r="X170" s="15">
        <f>IFERROR(W170/W444, "NA")</f>
        <v>-1.9817098406743703E-3</v>
      </c>
      <c r="Y170" s="2"/>
      <c r="Z170" s="14">
        <f>IFERROR(Z151+Z153+Z154+Z155+Z156+Z157+Z160+Z161+Z162+Z163+Z164+Z165+Z167+Z168+Z169, "NA")</f>
        <v>4515.119999999999</v>
      </c>
      <c r="AA170" s="15">
        <f>IFERROR(Z170/Z444, "NA")</f>
        <v>2.8699210897553971E-2</v>
      </c>
      <c r="AB170" s="2"/>
      <c r="AC170" s="14">
        <f t="shared" si="43"/>
        <v>978.23999999999796</v>
      </c>
      <c r="AD170" s="15">
        <f>IFERROR(AC170/AC444, "NA")</f>
        <v>-0.13039044891028059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22326.069999999996</v>
      </c>
      <c r="C171" s="15">
        <f>IFERROR(B171/B444, "NA")</f>
        <v>0.29031388936820707</v>
      </c>
      <c r="D171" s="2"/>
      <c r="E171" s="14">
        <f>IFERROR(E127+E129+E130+E131+E132+E133+E134+E135+E136+E137+E138+E139+E140+E143+E144+E145+E146+E147+E151+E153+E154+E155+E156+E157+E160+E161+E162+E163+E164+E165+E167+E168+E169, "NA")</f>
        <v>25819.89</v>
      </c>
      <c r="F171" s="15">
        <f>IFERROR(E171/E444, "NA")</f>
        <v>0.27000000627423293</v>
      </c>
      <c r="G171" s="2"/>
      <c r="H171" s="14">
        <f t="shared" si="40"/>
        <v>3493.8200000000033</v>
      </c>
      <c r="I171" s="15">
        <f>IFERROR(H171/H444, "NA")</f>
        <v>-0.18657578416331105</v>
      </c>
      <c r="J171" s="2"/>
      <c r="K171" s="14">
        <f>IFERROR(K127+K129+K130+K131+K132+K133+K134+K135+K136+K137+K138+K139+K140+K143+K144+K145+K146+K147+K151+K153+K154+K155+K156+K157+K160+K161+K162+K163+K164+K165+K167+K168+K169, "NA")</f>
        <v>24654.44</v>
      </c>
      <c r="L171" s="15">
        <f>IFERROR(K171/K444, "NA")</f>
        <v>0.28617224466628632</v>
      </c>
      <c r="M171" s="2"/>
      <c r="N171" s="14">
        <f t="shared" si="41"/>
        <v>2328.3700000000026</v>
      </c>
      <c r="O171" s="15">
        <f>IFERROR(N171/N444, "NA")</f>
        <v>-0.25173635887921658</v>
      </c>
      <c r="P171" s="2"/>
      <c r="Q171" s="14">
        <f>IFERROR(Q127+Q129+Q130+Q131+Q132+Q133+Q134+Q135+Q136+Q137+Q138+Q139+Q140+Q143+Q144+Q145+Q146+Q147+Q151+Q153+Q154+Q155+Q156+Q157+Q160+Q161+Q162+Q163+Q164+Q165+Q167+Q168+Q169, "NA")</f>
        <v>42568.1</v>
      </c>
      <c r="R171" s="15">
        <f>IFERROR(Q171/Q444, "NA")</f>
        <v>0.28412223768563466</v>
      </c>
      <c r="S171" s="2"/>
      <c r="T171" s="14">
        <f>IFERROR(T127+T129+T130+T131+T132+T133+T134+T135+T136+T137+T138+T139+T140+T143+T144+T145+T146+T147+T151+T153+T154+T155+T156+T157+T160+T161+T162+T163+T164+T165+T167+T168+T169, "NA")</f>
        <v>47417.380000000005</v>
      </c>
      <c r="U171" s="15">
        <f>IFERROR(T171/T444, "NA")</f>
        <v>0.27833469641909264</v>
      </c>
      <c r="V171" s="2"/>
      <c r="W171" s="14">
        <f t="shared" si="42"/>
        <v>4849.2800000000061</v>
      </c>
      <c r="X171" s="15">
        <f>IFERROR(W171/W444, "NA")</f>
        <v>-0.23611464118392333</v>
      </c>
      <c r="Y171" s="2"/>
      <c r="Z171" s="14">
        <f>IFERROR(Z127+Z129+Z130+Z131+Z132+Z133+Z134+Z135+Z136+Z137+Z138+Z139+Z140+Z143+Z144+Z145+Z146+Z147+Z151+Z153+Z154+Z155+Z156+Z157+Z160+Z161+Z162+Z163+Z164+Z165+Z167+Z168+Z169, "NA")</f>
        <v>44078.16</v>
      </c>
      <c r="AA171" s="15">
        <f>IFERROR(Z171/Z444, "NA")</f>
        <v>0.2801716033718103</v>
      </c>
      <c r="AB171" s="2"/>
      <c r="AC171" s="14">
        <f t="shared" si="43"/>
        <v>1510.0600000000049</v>
      </c>
      <c r="AD171" s="15">
        <f>IFERROR(AC171/AC444, "NA")</f>
        <v>-0.2012771930011647</v>
      </c>
    </row>
    <row r="172" spans="1:30" ht="16.5" customHeight="1" x14ac:dyDescent="0.45">
      <c r="A172" s="22" t="s">
        <v>160</v>
      </c>
      <c r="B172" s="23">
        <f>IFERROR(B124-B171, "NA")</f>
        <v>54577.139999999985</v>
      </c>
      <c r="C172" s="24">
        <f>IFERROR(B172/B444, "NA")</f>
        <v>0.70968611063179265</v>
      </c>
      <c r="D172" s="25"/>
      <c r="E172" s="23">
        <f>IFERROR(E124-E171, "NA")</f>
        <v>69809.329999999987</v>
      </c>
      <c r="F172" s="24">
        <f>IFERROR(E172/E444, "NA")</f>
        <v>0.72999999372576696</v>
      </c>
      <c r="G172" s="25"/>
      <c r="H172" s="23">
        <f>IFERROR(B172-E172, "NA")</f>
        <v>-15232.190000000002</v>
      </c>
      <c r="I172" s="24">
        <f>IFERROR(H172/H444, "NA")</f>
        <v>0.81342421583668956</v>
      </c>
      <c r="J172" s="25"/>
      <c r="K172" s="23">
        <f>IFERROR(K124-K171, "NA")</f>
        <v>61498.010000000009</v>
      </c>
      <c r="L172" s="24">
        <f>IFERROR(K172/K444, "NA")</f>
        <v>0.71382775533371379</v>
      </c>
      <c r="M172" s="25"/>
      <c r="N172" s="23">
        <f>IFERROR(B172-K172, "NA")</f>
        <v>-6920.8700000000244</v>
      </c>
      <c r="O172" s="24">
        <f>IFERROR(N172/N444, "NA")</f>
        <v>0.74826364112078736</v>
      </c>
      <c r="P172" s="25"/>
      <c r="Q172" s="23">
        <f>IFERROR(Q124-Q171, "NA")</f>
        <v>107255.09</v>
      </c>
      <c r="R172" s="24">
        <f>IFERROR(Q172/Q444, "NA")</f>
        <v>0.71587776231436528</v>
      </c>
      <c r="S172" s="25"/>
      <c r="T172" s="23">
        <f>IFERROR(T124-T171, "NA")</f>
        <v>122943.63</v>
      </c>
      <c r="U172" s="24">
        <f>IFERROR(T172/T444, "NA")</f>
        <v>0.72166530358090741</v>
      </c>
      <c r="V172" s="25"/>
      <c r="W172" s="23">
        <f>IFERROR(Q172-T172, "NA")</f>
        <v>-15688.540000000008</v>
      </c>
      <c r="X172" s="24">
        <f>IFERROR(W172/W444, "NA")</f>
        <v>0.763885358816077</v>
      </c>
      <c r="Y172" s="25"/>
      <c r="Z172" s="23">
        <f>IFERROR(Z124-Z171, "NA")</f>
        <v>113247.41999999995</v>
      </c>
      <c r="AA172" s="24">
        <f>IFERROR(Z172/Z444, "NA")</f>
        <v>0.71982839662818954</v>
      </c>
      <c r="AB172" s="25"/>
      <c r="AC172" s="23">
        <f>IFERROR(Q172-Z172, "NA")</f>
        <v>-5992.3299999999581</v>
      </c>
      <c r="AD172" s="24">
        <f>IFERROR(AC172/AC444, "NA")</f>
        <v>0.79872280699883236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7.601971361143442E-2</v>
      </c>
      <c r="D178" s="9"/>
      <c r="E178" s="7">
        <v>5692.31</v>
      </c>
      <c r="F178" s="8">
        <f>IFERROR(E178/E444, "NA")</f>
        <v>5.9524797964471535E-2</v>
      </c>
      <c r="G178" s="9"/>
      <c r="H178" s="10">
        <f t="shared" si="44"/>
        <v>-153.84999999999945</v>
      </c>
      <c r="I178" s="8">
        <f>IFERROR(H178/H444, "NA")</f>
        <v>8.2158452334479947E-3</v>
      </c>
      <c r="J178" s="9"/>
      <c r="K178" s="7">
        <v>5615.4</v>
      </c>
      <c r="L178" s="8">
        <f>IFERROR(K178/K444, "NA")</f>
        <v>6.5179806262038981E-2</v>
      </c>
      <c r="M178" s="9"/>
      <c r="N178" s="10">
        <f t="shared" si="45"/>
        <v>-230.76000000000022</v>
      </c>
      <c r="O178" s="8">
        <f>IFERROR(N178/N444, "NA")</f>
        <v>2.4949076897128893E-2</v>
      </c>
      <c r="P178" s="9"/>
      <c r="Q178" s="7">
        <v>11692.32</v>
      </c>
      <c r="R178" s="8">
        <f>IFERROR(Q178/Q444, "NA")</f>
        <v>7.8040789279683609E-2</v>
      </c>
      <c r="S178" s="9"/>
      <c r="T178" s="7">
        <v>11384.62</v>
      </c>
      <c r="U178" s="8">
        <f>IFERROR(T178/T444, "NA")</f>
        <v>6.6826441097056183E-2</v>
      </c>
      <c r="V178" s="9"/>
      <c r="W178" s="10">
        <f t="shared" si="46"/>
        <v>-307.69999999999891</v>
      </c>
      <c r="X178" s="8">
        <f>IFERROR(W178/W444, "NA")</f>
        <v>1.4982115920774397E-2</v>
      </c>
      <c r="Y178" s="9"/>
      <c r="Z178" s="7">
        <v>11230.8</v>
      </c>
      <c r="AA178" s="8">
        <f>IFERROR(Z178/Z444, "NA")</f>
        <v>7.1385721253975354E-2</v>
      </c>
      <c r="AB178" s="9"/>
      <c r="AC178" s="10">
        <f t="shared" si="47"/>
        <v>-461.52000000000044</v>
      </c>
      <c r="AD178" s="8">
        <f>IFERROR(AC178/AC444, "NA")</f>
        <v>6.151639677489458E-2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16562.23</v>
      </c>
      <c r="C180" s="8">
        <f>IFERROR(B180/B444, "NA")</f>
        <v>0.21536461221839762</v>
      </c>
      <c r="D180" s="9"/>
      <c r="E180" s="7">
        <v>19221.47</v>
      </c>
      <c r="F180" s="8">
        <f>IFERROR(E180/E444, "NA")</f>
        <v>0.20099996632828335</v>
      </c>
      <c r="G180" s="9"/>
      <c r="H180" s="10">
        <f t="shared" si="44"/>
        <v>2659.2400000000016</v>
      </c>
      <c r="I180" s="8">
        <f>IFERROR(H180/H444, "NA")</f>
        <v>-0.1420078276151728</v>
      </c>
      <c r="J180" s="9"/>
      <c r="K180" s="7">
        <v>18496.14</v>
      </c>
      <c r="L180" s="8">
        <f>IFERROR(K180/K444, "NA")</f>
        <v>0.21469081842710219</v>
      </c>
      <c r="M180" s="9"/>
      <c r="N180" s="10">
        <f t="shared" si="45"/>
        <v>1933.9099999999999</v>
      </c>
      <c r="O180" s="8">
        <f>IFERROR(N180/N444, "NA")</f>
        <v>-0.20908853051710213</v>
      </c>
      <c r="P180" s="9"/>
      <c r="Q180" s="7">
        <v>31239.25</v>
      </c>
      <c r="R180" s="8">
        <f>IFERROR(Q180/Q444, "NA")</f>
        <v>0.20850744133801982</v>
      </c>
      <c r="S180" s="9"/>
      <c r="T180" s="7">
        <v>35214.07</v>
      </c>
      <c r="U180" s="8">
        <f>IFERROR(T180/T444, "NA")</f>
        <v>0.20670263694726862</v>
      </c>
      <c r="V180" s="9"/>
      <c r="W180" s="10">
        <f t="shared" si="46"/>
        <v>3974.8199999999997</v>
      </c>
      <c r="X180" s="8">
        <f>IFERROR(W180/W444, "NA")</f>
        <v>-0.19353660709851378</v>
      </c>
      <c r="Y180" s="9"/>
      <c r="Z180" s="7">
        <v>34633.870000000003</v>
      </c>
      <c r="AA180" s="8">
        <f>IFERROR(Z180/Z444, "NA")</f>
        <v>0.2201413781535082</v>
      </c>
      <c r="AB180" s="9"/>
      <c r="AC180" s="10">
        <f t="shared" si="47"/>
        <v>3394.6200000000026</v>
      </c>
      <c r="AD180" s="8">
        <f>IFERROR(AC180/AC444, "NA")</f>
        <v>-0.45247181231580996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36.08</v>
      </c>
      <c r="L181" s="8">
        <f>IFERROR(K181/K444, "NA")</f>
        <v>4.1879250096776122E-4</v>
      </c>
      <c r="M181" s="9"/>
      <c r="N181" s="10">
        <f t="shared" si="45"/>
        <v>36.08</v>
      </c>
      <c r="O181" s="8">
        <f>IFERROR(N181/N444, "NA")</f>
        <v>-3.9008610437181904E-3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248.41</v>
      </c>
      <c r="AA181" s="8">
        <f>IFERROR(Z181/Z444, "NA")</f>
        <v>1.5789549290077304E-3</v>
      </c>
      <c r="AB181" s="9"/>
      <c r="AC181" s="10">
        <f t="shared" si="47"/>
        <v>248.41</v>
      </c>
      <c r="AD181" s="8">
        <f>IFERROR(AC181/AC444, "NA")</f>
        <v>-3.3110782030792922E-2</v>
      </c>
    </row>
    <row r="182" spans="1:30" ht="16.5" customHeight="1" x14ac:dyDescent="0.45">
      <c r="A182" s="13" t="s">
        <v>167</v>
      </c>
      <c r="B182" s="14">
        <f>IFERROR(B177+B178+B179+B180+B181, "NA")</f>
        <v>22408.39</v>
      </c>
      <c r="C182" s="15">
        <f>IFERROR(B182/B444, "NA")</f>
        <v>0.29138432582983204</v>
      </c>
      <c r="D182" s="2"/>
      <c r="E182" s="14">
        <f>IFERROR(E177+E178+E179+E180+E181, "NA")</f>
        <v>24913.780000000002</v>
      </c>
      <c r="F182" s="15">
        <f>IFERROR(E182/E444, "NA")</f>
        <v>0.2605247642927549</v>
      </c>
      <c r="G182" s="2"/>
      <c r="H182" s="14">
        <f t="shared" si="44"/>
        <v>2505.3900000000031</v>
      </c>
      <c r="I182" s="15">
        <f>IFERROR(H182/H444, "NA")</f>
        <v>-0.13379198238172488</v>
      </c>
      <c r="J182" s="2"/>
      <c r="K182" s="14">
        <f>IFERROR(K177+K178+K179+K180+K181, "NA")</f>
        <v>24147.620000000003</v>
      </c>
      <c r="L182" s="15">
        <f>IFERROR(K182/K444, "NA")</f>
        <v>0.28028941719010897</v>
      </c>
      <c r="M182" s="2"/>
      <c r="N182" s="14">
        <f t="shared" si="45"/>
        <v>1739.2300000000032</v>
      </c>
      <c r="O182" s="15">
        <f>IFERROR(N182/N444, "NA")</f>
        <v>-0.18804031466369181</v>
      </c>
      <c r="P182" s="2"/>
      <c r="Q182" s="14">
        <f>IFERROR(Q177+Q178+Q179+Q180+Q181, "NA")</f>
        <v>42931.57</v>
      </c>
      <c r="R182" s="15">
        <f>IFERROR(Q182/Q444, "NA")</f>
        <v>0.28654823061770346</v>
      </c>
      <c r="S182" s="2"/>
      <c r="T182" s="14">
        <f>IFERROR(T177+T178+T179+T180+T181, "NA")</f>
        <v>46598.69</v>
      </c>
      <c r="U182" s="15">
        <f>IFERROR(T182/T444, "NA")</f>
        <v>0.2735290780443248</v>
      </c>
      <c r="V182" s="2"/>
      <c r="W182" s="14">
        <f t="shared" si="46"/>
        <v>3667.1200000000026</v>
      </c>
      <c r="X182" s="15">
        <f>IFERROR(W182/W444, "NA")</f>
        <v>-0.17855449117773947</v>
      </c>
      <c r="Y182" s="2"/>
      <c r="Z182" s="14">
        <f>IFERROR(Z177+Z178+Z179+Z180+Z181, "NA")</f>
        <v>46113.08</v>
      </c>
      <c r="AA182" s="15">
        <f>IFERROR(Z182/Z444, "NA")</f>
        <v>0.29310605433649128</v>
      </c>
      <c r="AB182" s="2"/>
      <c r="AC182" s="14">
        <f t="shared" si="47"/>
        <v>3181.510000000002</v>
      </c>
      <c r="AD182" s="15">
        <f>IFERROR(AC182/AC444, "NA")</f>
        <v>-0.42406619757170827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6.5016791886840612E-3</v>
      </c>
      <c r="D184" s="9"/>
      <c r="E184" s="7">
        <v>500</v>
      </c>
      <c r="F184" s="8">
        <f>IFERROR(E184/E444, "NA")</f>
        <v>5.228527431260027E-3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3.4821992874259525E-3</v>
      </c>
      <c r="M184" s="9"/>
      <c r="N184" s="10">
        <f t="shared" si="45"/>
        <v>-200</v>
      </c>
      <c r="O184" s="8">
        <f>IFERROR(N184/N444, "NA")</f>
        <v>2.1623398246774891E-2</v>
      </c>
      <c r="P184" s="9"/>
      <c r="Q184" s="7">
        <v>1000</v>
      </c>
      <c r="R184" s="8">
        <f>IFERROR(Q184/Q444, "NA")</f>
        <v>6.6745341625685586E-3</v>
      </c>
      <c r="S184" s="9"/>
      <c r="T184" s="7">
        <v>1000</v>
      </c>
      <c r="U184" s="8">
        <f>IFERROR(T184/T444, "NA")</f>
        <v>5.8698877166788333E-3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3.8137472622061844E-3</v>
      </c>
      <c r="AB184" s="9"/>
      <c r="AC184" s="10">
        <f t="shared" si="47"/>
        <v>-400</v>
      </c>
      <c r="AD184" s="8">
        <f>IFERROR(AC184/AC444, "NA")</f>
        <v>5.3316343191969602E-2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2675.94</v>
      </c>
      <c r="C186" s="8">
        <f>IFERROR(B186/B444, "NA")</f>
        <v>3.4796206816334455E-2</v>
      </c>
      <c r="D186" s="9"/>
      <c r="E186" s="7">
        <v>3205.84</v>
      </c>
      <c r="F186" s="8">
        <f>IFERROR(E186/E444, "NA")</f>
        <v>3.3523644760461289E-2</v>
      </c>
      <c r="G186" s="9"/>
      <c r="H186" s="10">
        <f t="shared" ref="H186:H197" si="48">IFERROR(-(B186-E186), "NA")</f>
        <v>529.90000000000009</v>
      </c>
      <c r="I186" s="8">
        <f>IFERROR(H186/H444, "NA")</f>
        <v>-2.8297539091349425E-2</v>
      </c>
      <c r="J186" s="9"/>
      <c r="K186" s="7">
        <v>2880.65</v>
      </c>
      <c r="L186" s="8">
        <f>IFERROR(K186/K444, "NA")</f>
        <v>3.3436657924411903E-2</v>
      </c>
      <c r="M186" s="9"/>
      <c r="N186" s="10">
        <f t="shared" ref="N186:N197" si="49">IFERROR(-(B186-K186), "NA")</f>
        <v>204.71000000000004</v>
      </c>
      <c r="O186" s="8">
        <f>IFERROR(N186/N444, "NA")</f>
        <v>-2.2132629275486444E-2</v>
      </c>
      <c r="P186" s="9"/>
      <c r="Q186" s="7">
        <v>5057.51</v>
      </c>
      <c r="R186" s="8">
        <f>IFERROR(Q186/Q444, "NA")</f>
        <v>3.3756523272532112E-2</v>
      </c>
      <c r="S186" s="9"/>
      <c r="T186" s="7">
        <v>6084.24</v>
      </c>
      <c r="U186" s="8">
        <f>IFERROR(T186/T444, "NA")</f>
        <v>3.5713805641326028E-2</v>
      </c>
      <c r="V186" s="9"/>
      <c r="W186" s="10">
        <f t="shared" ref="W186:W197" si="50">IFERROR(-(Q186-T186), "NA")</f>
        <v>1026.7299999999996</v>
      </c>
      <c r="X186" s="8">
        <f>IFERROR(W186/W444, "NA")</f>
        <v>-4.999216080382432E-2</v>
      </c>
      <c r="Y186" s="9"/>
      <c r="Z186" s="7">
        <v>5623.22</v>
      </c>
      <c r="AA186" s="8">
        <f>IFERROR(Z186/Z444, "NA")</f>
        <v>3.5742566466305102E-2</v>
      </c>
      <c r="AB186" s="9"/>
      <c r="AC186" s="10">
        <f t="shared" ref="AC186:AC197" si="51">IFERROR(-(Q186-Z186), "NA")</f>
        <v>565.71</v>
      </c>
      <c r="AD186" s="8">
        <f>IFERROR(AC186/AC444, "NA")</f>
        <v>-7.5403971267822806E-2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-0.01</v>
      </c>
      <c r="AA187" s="8">
        <f>IFERROR(Z187/Z444, "NA")</f>
        <v>-6.3562454370103082E-8</v>
      </c>
      <c r="AB187" s="9"/>
      <c r="AC187" s="10">
        <f t="shared" si="51"/>
        <v>-0.01</v>
      </c>
      <c r="AD187" s="8">
        <f>IFERROR(AC187/AC444, "NA")</f>
        <v>1.33290857979924E-6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2675.94</v>
      </c>
      <c r="C193" s="15">
        <f>IFERROR(B193/B444, "NA")</f>
        <v>3.4796206816334455E-2</v>
      </c>
      <c r="D193" s="2"/>
      <c r="E193" s="14">
        <f>IFERROR(E186+E187+E188+E189+E190+E191+E192, "NA")</f>
        <v>3205.84</v>
      </c>
      <c r="F193" s="15">
        <f>IFERROR(E193/E444, "NA")</f>
        <v>3.3523644760461289E-2</v>
      </c>
      <c r="G193" s="2"/>
      <c r="H193" s="14">
        <f t="shared" si="48"/>
        <v>529.90000000000009</v>
      </c>
      <c r="I193" s="15">
        <f>IFERROR(H193/H444, "NA")</f>
        <v>-2.8297539091349425E-2</v>
      </c>
      <c r="J193" s="2"/>
      <c r="K193" s="14">
        <f>IFERROR(K186+K187+K188+K189+K190+K191+K192, "NA")</f>
        <v>2880.65</v>
      </c>
      <c r="L193" s="15">
        <f>IFERROR(K193/K444, "NA")</f>
        <v>3.3436657924411903E-2</v>
      </c>
      <c r="M193" s="2"/>
      <c r="N193" s="14">
        <f t="shared" si="49"/>
        <v>204.71000000000004</v>
      </c>
      <c r="O193" s="15">
        <f>IFERROR(N193/N444, "NA")</f>
        <v>-2.2132629275486444E-2</v>
      </c>
      <c r="P193" s="2"/>
      <c r="Q193" s="14">
        <f>IFERROR(Q186+Q187+Q188+Q189+Q190+Q191+Q192, "NA")</f>
        <v>5057.51</v>
      </c>
      <c r="R193" s="15">
        <f>IFERROR(Q193/Q444, "NA")</f>
        <v>3.3756523272532112E-2</v>
      </c>
      <c r="S193" s="2"/>
      <c r="T193" s="14">
        <f>IFERROR(T186+T187+T188+T189+T190+T191+T192, "NA")</f>
        <v>6084.24</v>
      </c>
      <c r="U193" s="15">
        <f>IFERROR(T193/T444, "NA")</f>
        <v>3.5713805641326028E-2</v>
      </c>
      <c r="V193" s="2"/>
      <c r="W193" s="14">
        <f t="shared" si="50"/>
        <v>1026.7299999999996</v>
      </c>
      <c r="X193" s="15">
        <f>IFERROR(W193/W444, "NA")</f>
        <v>-4.999216080382432E-2</v>
      </c>
      <c r="Y193" s="2"/>
      <c r="Z193" s="14">
        <f>IFERROR(Z186+Z187+Z188+Z189+Z190+Z191+Z192, "NA")</f>
        <v>5623.21</v>
      </c>
      <c r="AA193" s="15">
        <f>IFERROR(Z193/Z444, "NA")</f>
        <v>3.5742502903850733E-2</v>
      </c>
      <c r="AB193" s="2"/>
      <c r="AC193" s="14">
        <f t="shared" si="51"/>
        <v>565.69999999999982</v>
      </c>
      <c r="AD193" s="15">
        <f>IFERROR(AC193/AC444, "NA")</f>
        <v>-7.5402638359242977E-2</v>
      </c>
    </row>
    <row r="194" spans="1:30" ht="16.5" customHeight="1" x14ac:dyDescent="0.45">
      <c r="A194" s="6" t="s">
        <v>178</v>
      </c>
      <c r="B194" s="7">
        <v>292</v>
      </c>
      <c r="C194" s="8">
        <f>IFERROR(B194/B444, "NA")</f>
        <v>3.7969806461914915E-3</v>
      </c>
      <c r="D194" s="9"/>
      <c r="E194" s="7">
        <v>203.31</v>
      </c>
      <c r="F194" s="8">
        <f>IFERROR(E194/E444, "NA")</f>
        <v>2.1260238240989522E-3</v>
      </c>
      <c r="G194" s="9"/>
      <c r="H194" s="10">
        <f t="shared" si="48"/>
        <v>-88.69</v>
      </c>
      <c r="I194" s="8">
        <f>IFERROR(H194/H444, "NA")</f>
        <v>4.7361931345759195E-3</v>
      </c>
      <c r="J194" s="9"/>
      <c r="K194" s="7">
        <v>302</v>
      </c>
      <c r="L194" s="8">
        <f>IFERROR(K194/K444, "NA")</f>
        <v>3.5054139493421255E-3</v>
      </c>
      <c r="M194" s="9"/>
      <c r="N194" s="10">
        <f t="shared" si="49"/>
        <v>10</v>
      </c>
      <c r="O194" s="8">
        <f>IFERROR(N194/N444, "NA")</f>
        <v>-1.0811699123387446E-3</v>
      </c>
      <c r="P194" s="9"/>
      <c r="Q194" s="7">
        <v>504</v>
      </c>
      <c r="R194" s="8">
        <f>IFERROR(Q194/Q444, "NA")</f>
        <v>3.3639652179345532E-3</v>
      </c>
      <c r="S194" s="9"/>
      <c r="T194" s="7">
        <v>380.79</v>
      </c>
      <c r="U194" s="8">
        <f>IFERROR(T194/T444, "NA")</f>
        <v>2.2351945436341332E-3</v>
      </c>
      <c r="V194" s="9"/>
      <c r="W194" s="10">
        <f t="shared" si="50"/>
        <v>-123.20999999999998</v>
      </c>
      <c r="X194" s="8">
        <f>IFERROR(W194/W444, "NA")</f>
        <v>5.9991761540416624E-3</v>
      </c>
      <c r="Y194" s="9"/>
      <c r="Z194" s="7">
        <v>302</v>
      </c>
      <c r="AA194" s="8">
        <f>IFERROR(Z194/Z444, "NA")</f>
        <v>1.9195861219771129E-3</v>
      </c>
      <c r="AB194" s="9"/>
      <c r="AC194" s="10">
        <f t="shared" si="51"/>
        <v>-202</v>
      </c>
      <c r="AD194" s="8">
        <f>IFERROR(AC194/AC444, "NA")</f>
        <v>2.6924753311944646E-2</v>
      </c>
    </row>
    <row r="195" spans="1:30" ht="16.5" customHeight="1" x14ac:dyDescent="0.45">
      <c r="A195" s="6" t="s">
        <v>179</v>
      </c>
      <c r="B195" s="7">
        <v>667.85</v>
      </c>
      <c r="C195" s="8">
        <f>IFERROR(B195/B444, "NA")</f>
        <v>8.6842928923253002E-3</v>
      </c>
      <c r="D195" s="9"/>
      <c r="E195" s="7">
        <v>177.9</v>
      </c>
      <c r="F195" s="8">
        <f>IFERROR(E195/E444, "NA")</f>
        <v>1.8603100600423177E-3</v>
      </c>
      <c r="G195" s="9"/>
      <c r="H195" s="10">
        <f t="shared" si="48"/>
        <v>-489.95000000000005</v>
      </c>
      <c r="I195" s="8">
        <f>IFERROR(H195/H444, "NA")</f>
        <v>2.6164142815260708E-2</v>
      </c>
      <c r="J195" s="9"/>
      <c r="K195" s="7">
        <v>246.55</v>
      </c>
      <c r="L195" s="8">
        <f>IFERROR(K195/K444, "NA")</f>
        <v>2.8617874477162289E-3</v>
      </c>
      <c r="M195" s="9"/>
      <c r="N195" s="10">
        <f t="shared" si="49"/>
        <v>-421.3</v>
      </c>
      <c r="O195" s="8">
        <f>IFERROR(N195/N444, "NA")</f>
        <v>4.554968840683131E-2</v>
      </c>
      <c r="P195" s="9"/>
      <c r="Q195" s="7">
        <v>879.43</v>
      </c>
      <c r="R195" s="8">
        <f>IFERROR(Q195/Q444, "NA")</f>
        <v>5.8697855785876671E-3</v>
      </c>
      <c r="S195" s="9"/>
      <c r="T195" s="7">
        <v>333.19</v>
      </c>
      <c r="U195" s="8">
        <f>IFERROR(T195/T444, "NA")</f>
        <v>1.9557878883202204E-3</v>
      </c>
      <c r="V195" s="9"/>
      <c r="W195" s="10">
        <f t="shared" si="50"/>
        <v>-546.24</v>
      </c>
      <c r="X195" s="8">
        <f>IFERROR(W195/W444, "NA")</f>
        <v>2.6596785832186661E-2</v>
      </c>
      <c r="Y195" s="9"/>
      <c r="Z195" s="7">
        <v>464.4</v>
      </c>
      <c r="AA195" s="8">
        <f>IFERROR(Z195/Z444, "NA")</f>
        <v>2.9518403809475867E-3</v>
      </c>
      <c r="AB195" s="9"/>
      <c r="AC195" s="10">
        <f t="shared" si="51"/>
        <v>-415.03</v>
      </c>
      <c r="AD195" s="8">
        <f>IFERROR(AC195/AC444, "NA")</f>
        <v>5.5319704787407852E-2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26544.179999999997</v>
      </c>
      <c r="C196" s="15">
        <f>IFERROR(B196/B444, "NA")</f>
        <v>0.34516348537336733</v>
      </c>
      <c r="D196" s="2"/>
      <c r="E196" s="14">
        <f>IFERROR(E175+E177+E178+E179+E180+E181+E183+E184+E186+E187+E188+E189+E190+E191+E192+E194+E195, "NA")</f>
        <v>29000.830000000005</v>
      </c>
      <c r="F196" s="15">
        <f>IFERROR(E196/E444, "NA")</f>
        <v>0.3032632703686175</v>
      </c>
      <c r="G196" s="2"/>
      <c r="H196" s="14">
        <f t="shared" si="48"/>
        <v>2456.6500000000087</v>
      </c>
      <c r="I196" s="15">
        <f>IFERROR(H196/H444, "NA")</f>
        <v>-0.13118918552323797</v>
      </c>
      <c r="J196" s="2"/>
      <c r="K196" s="14">
        <f>IFERROR(K175+K177+K178+K179+K180+K181+K183+K184+K186+K187+K188+K189+K190+K191+K192+K194+K195, "NA")</f>
        <v>27876.820000000003</v>
      </c>
      <c r="L196" s="15">
        <f>IFERROR(K196/K444, "NA")</f>
        <v>0.3235754757990052</v>
      </c>
      <c r="M196" s="2"/>
      <c r="N196" s="14">
        <f t="shared" si="49"/>
        <v>1332.6400000000067</v>
      </c>
      <c r="O196" s="15">
        <f>IFERROR(N196/N444, "NA")</f>
        <v>-0.14408102719791119</v>
      </c>
      <c r="P196" s="2"/>
      <c r="Q196" s="14">
        <f>IFERROR(Q175+Q177+Q178+Q179+Q180+Q181+Q183+Q184+Q186+Q187+Q188+Q189+Q190+Q191+Q192+Q194+Q195, "NA")</f>
        <v>50372.51</v>
      </c>
      <c r="R196" s="15">
        <f>IFERROR(Q196/Q444, "NA")</f>
        <v>0.33621303884932635</v>
      </c>
      <c r="S196" s="2"/>
      <c r="T196" s="14">
        <f>IFERROR(T175+T177+T178+T179+T180+T181+T183+T184+T186+T187+T188+T189+T190+T191+T192+T194+T195, "NA")</f>
        <v>54396.91</v>
      </c>
      <c r="U196" s="15">
        <f>IFERROR(T196/T444, "NA")</f>
        <v>0.31930375383428405</v>
      </c>
      <c r="V196" s="2"/>
      <c r="W196" s="14">
        <f t="shared" si="50"/>
        <v>4024.4000000000015</v>
      </c>
      <c r="X196" s="15">
        <f>IFERROR(W196/W444, "NA")</f>
        <v>-0.19595068999533544</v>
      </c>
      <c r="Y196" s="2"/>
      <c r="Z196" s="14">
        <f>IFERROR(Z175+Z177+Z178+Z179+Z180+Z181+Z183+Z184+Z186+Z187+Z188+Z189+Z190+Z191+Z192+Z194+Z195, "NA")</f>
        <v>53102.69</v>
      </c>
      <c r="AA196" s="15">
        <f>IFERROR(Z196/Z444, "NA")</f>
        <v>0.3375337310054729</v>
      </c>
      <c r="AB196" s="2"/>
      <c r="AC196" s="14">
        <f t="shared" si="51"/>
        <v>2730.1800000000003</v>
      </c>
      <c r="AD196" s="15">
        <f>IFERROR(AC196/AC444, "NA")</f>
        <v>-0.36390803463962895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26544.179999999997</v>
      </c>
      <c r="C197" s="15">
        <f>IFERROR(B197/B444, "NA")</f>
        <v>0.34516348537336733</v>
      </c>
      <c r="D197" s="2"/>
      <c r="E197" s="14">
        <f>IFERROR(E175+E177+E178+E179+E180+E181+E183+E184+E186+E187+E188+E189+E190+E191+E192+E194+E195, "NA")</f>
        <v>29000.830000000005</v>
      </c>
      <c r="F197" s="15">
        <f>IFERROR(E197/E444, "NA")</f>
        <v>0.3032632703686175</v>
      </c>
      <c r="G197" s="2"/>
      <c r="H197" s="14">
        <f t="shared" si="48"/>
        <v>2456.6500000000087</v>
      </c>
      <c r="I197" s="15">
        <f>IFERROR(H197/H444, "NA")</f>
        <v>-0.13118918552323797</v>
      </c>
      <c r="J197" s="2"/>
      <c r="K197" s="14">
        <f>IFERROR(K175+K177+K178+K179+K180+K181+K183+K184+K186+K187+K188+K189+K190+K191+K192+K194+K195, "NA")</f>
        <v>27876.820000000003</v>
      </c>
      <c r="L197" s="15">
        <f>IFERROR(K197/K444, "NA")</f>
        <v>0.3235754757990052</v>
      </c>
      <c r="M197" s="2"/>
      <c r="N197" s="14">
        <f t="shared" si="49"/>
        <v>1332.6400000000067</v>
      </c>
      <c r="O197" s="15">
        <f>IFERROR(N197/N444, "NA")</f>
        <v>-0.14408102719791119</v>
      </c>
      <c r="P197" s="2"/>
      <c r="Q197" s="14">
        <f>IFERROR(Q175+Q177+Q178+Q179+Q180+Q181+Q183+Q184+Q186+Q187+Q188+Q189+Q190+Q191+Q192+Q194+Q195, "NA")</f>
        <v>50372.51</v>
      </c>
      <c r="R197" s="15">
        <f>IFERROR(Q197/Q444, "NA")</f>
        <v>0.33621303884932635</v>
      </c>
      <c r="S197" s="2"/>
      <c r="T197" s="14">
        <f>IFERROR(T175+T177+T178+T179+T180+T181+T183+T184+T186+T187+T188+T189+T190+T191+T192+T194+T195, "NA")</f>
        <v>54396.91</v>
      </c>
      <c r="U197" s="15">
        <f>IFERROR(T197/T444, "NA")</f>
        <v>0.31930375383428405</v>
      </c>
      <c r="V197" s="2"/>
      <c r="W197" s="14">
        <f t="shared" si="50"/>
        <v>4024.4000000000015</v>
      </c>
      <c r="X197" s="15">
        <f>IFERROR(W197/W444, "NA")</f>
        <v>-0.19595068999533544</v>
      </c>
      <c r="Y197" s="2"/>
      <c r="Z197" s="14">
        <f>IFERROR(Z175+Z177+Z178+Z179+Z180+Z181+Z183+Z184+Z186+Z187+Z188+Z189+Z190+Z191+Z192+Z194+Z195, "NA")</f>
        <v>53102.69</v>
      </c>
      <c r="AA197" s="15">
        <f>IFERROR(Z197/Z444, "NA")</f>
        <v>0.3375337310054729</v>
      </c>
      <c r="AB197" s="2"/>
      <c r="AC197" s="14">
        <f t="shared" si="51"/>
        <v>2730.1800000000003</v>
      </c>
      <c r="AD197" s="15">
        <f>IFERROR(AC197/AC444, "NA")</f>
        <v>-0.36390803463962895</v>
      </c>
    </row>
    <row r="198" spans="1:30" ht="16.5" customHeight="1" x14ac:dyDescent="0.45">
      <c r="A198" s="22" t="s">
        <v>181</v>
      </c>
      <c r="B198" s="23">
        <f>IFERROR(B172-B197, "NA")</f>
        <v>28032.959999999988</v>
      </c>
      <c r="C198" s="24">
        <f>IFERROR(B198/B444, "NA")</f>
        <v>0.36452262525842533</v>
      </c>
      <c r="D198" s="25"/>
      <c r="E198" s="23">
        <f>IFERROR(E172-E197, "NA")</f>
        <v>40808.499999999985</v>
      </c>
      <c r="F198" s="24">
        <f>IFERROR(E198/E444, "NA")</f>
        <v>0.42673672335714946</v>
      </c>
      <c r="G198" s="25"/>
      <c r="H198" s="23">
        <f>IFERROR(B198-E198, "NA")</f>
        <v>-12775.539999999997</v>
      </c>
      <c r="I198" s="24">
        <f>IFERROR(H198/H444, "NA")</f>
        <v>0.68223503031345178</v>
      </c>
      <c r="J198" s="25"/>
      <c r="K198" s="23">
        <f>IFERROR(K172-K197, "NA")</f>
        <v>33621.19</v>
      </c>
      <c r="L198" s="24">
        <f>IFERROR(K198/K444, "NA")</f>
        <v>0.39025227953470859</v>
      </c>
      <c r="M198" s="25"/>
      <c r="N198" s="23">
        <f>IFERROR(B198-K198, "NA")</f>
        <v>-5588.2300000000141</v>
      </c>
      <c r="O198" s="24">
        <f>IFERROR(N198/N444, "NA")</f>
        <v>0.60418261392287576</v>
      </c>
      <c r="P198" s="25"/>
      <c r="Q198" s="23">
        <f>IFERROR(Q172-Q197, "NA")</f>
        <v>56882.579999999994</v>
      </c>
      <c r="R198" s="24">
        <f>IFERROR(Q198/Q444, "NA")</f>
        <v>0.37966472346503899</v>
      </c>
      <c r="S198" s="25"/>
      <c r="T198" s="23">
        <f>IFERROR(T172-T197, "NA")</f>
        <v>68546.720000000001</v>
      </c>
      <c r="U198" s="24">
        <f>IFERROR(T198/T444, "NA")</f>
        <v>0.40236154974662336</v>
      </c>
      <c r="V198" s="25"/>
      <c r="W198" s="23">
        <f>IFERROR(Q198-T198, "NA")</f>
        <v>-11664.140000000007</v>
      </c>
      <c r="X198" s="24">
        <f>IFERROR(W198/W444, "NA")</f>
        <v>0.56793466882074162</v>
      </c>
      <c r="Y198" s="25"/>
      <c r="Z198" s="23">
        <f>IFERROR(Z172-Z197, "NA")</f>
        <v>60144.729999999952</v>
      </c>
      <c r="AA198" s="24">
        <f>IFERROR(Z198/Z444, "NA")</f>
        <v>0.38229466562271663</v>
      </c>
      <c r="AB198" s="25"/>
      <c r="AC198" s="23">
        <f>IFERROR(Q198-Z198, "NA")</f>
        <v>-3262.1499999999578</v>
      </c>
      <c r="AD198" s="24">
        <f>IFERROR(AC198/AC444, "NA")</f>
        <v>0.43481477235920346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2199.4699999999998</v>
      </c>
      <c r="F201" s="8">
        <f>IFERROR(E201/E444, "NA")</f>
        <v>2.299997845846698E-2</v>
      </c>
      <c r="G201" s="9"/>
      <c r="H201" s="10">
        <f t="shared" ref="H201:H209" si="52">IFERROR(-(B201-E201), "NA")</f>
        <v>2199.4699999999998</v>
      </c>
      <c r="I201" s="8">
        <f>IFERROR(H201/H444, "NA")</f>
        <v>-0.11745534686780582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3918.3</v>
      </c>
      <c r="U201" s="8">
        <f>IFERROR(T201/T444, "NA")</f>
        <v>2.2999981040262674E-2</v>
      </c>
      <c r="V201" s="9"/>
      <c r="W201" s="10">
        <f t="shared" ref="W201:W209" si="54">IFERROR(-(Q201-T201), "NA")</f>
        <v>3918.3</v>
      </c>
      <c r="X201" s="8">
        <f>IFERROR(W201/W444, "NA")</f>
        <v>-0.19078461102492858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1750.91</v>
      </c>
      <c r="C202" s="8">
        <f>IFERROR(B202/B444, "NA")</f>
        <v>2.276771021651762E-2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-1750.91</v>
      </c>
      <c r="I202" s="8">
        <f>IFERROR(H202/H444, "NA")</f>
        <v>9.3501498717559195E-2</v>
      </c>
      <c r="J202" s="9"/>
      <c r="K202" s="7">
        <v>1090.45</v>
      </c>
      <c r="L202" s="8">
        <f>IFERROR(K202/K444, "NA")</f>
        <v>1.2657214043245433E-2</v>
      </c>
      <c r="M202" s="9"/>
      <c r="N202" s="10">
        <f t="shared" si="53"/>
        <v>-660.46</v>
      </c>
      <c r="O202" s="8">
        <f>IFERROR(N202/N444, "NA")</f>
        <v>7.1406948030324727E-2</v>
      </c>
      <c r="P202" s="9"/>
      <c r="Q202" s="7">
        <v>3056.08</v>
      </c>
      <c r="R202" s="8">
        <f>IFERROR(Q202/Q444, "NA")</f>
        <v>2.0397910363542517E-2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-3056.08</v>
      </c>
      <c r="X202" s="8">
        <f>IFERROR(W202/W444, "NA")</f>
        <v>0.14880255061150593</v>
      </c>
      <c r="Y202" s="9"/>
      <c r="Z202" s="7">
        <v>2093.46</v>
      </c>
      <c r="AA202" s="8">
        <f>IFERROR(Z202/Z444, "NA")</f>
        <v>1.3306545572563598E-2</v>
      </c>
      <c r="AB202" s="9"/>
      <c r="AC202" s="10">
        <f t="shared" si="55"/>
        <v>-962.61999999999989</v>
      </c>
      <c r="AD202" s="8">
        <f>IFERROR(AC202/AC444, "NA")</f>
        <v>0.12830844570863442</v>
      </c>
    </row>
    <row r="203" spans="1:30" ht="16.5" customHeight="1" x14ac:dyDescent="0.45">
      <c r="A203" s="6" t="s">
        <v>185</v>
      </c>
      <c r="B203" s="7">
        <v>435.17</v>
      </c>
      <c r="C203" s="8">
        <f>IFERROR(B203/B444, "NA")</f>
        <v>5.6586714650792855E-3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-435.17</v>
      </c>
      <c r="I203" s="8">
        <f>IFERROR(H203/H444, "NA")</f>
        <v>2.3238799936558835E-2</v>
      </c>
      <c r="J203" s="9"/>
      <c r="K203" s="7">
        <v>309.43</v>
      </c>
      <c r="L203" s="8">
        <f>IFERROR(K203/K444, "NA")</f>
        <v>3.5916564183607084E-3</v>
      </c>
      <c r="M203" s="9"/>
      <c r="N203" s="10">
        <f t="shared" si="53"/>
        <v>-125.74000000000001</v>
      </c>
      <c r="O203" s="8">
        <f>IFERROR(N203/N444, "NA")</f>
        <v>1.3594630477747376E-2</v>
      </c>
      <c r="P203" s="9"/>
      <c r="Q203" s="7">
        <v>941.93</v>
      </c>
      <c r="R203" s="8">
        <f>IFERROR(Q203/Q444, "NA")</f>
        <v>6.2869439637482016E-3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-941.93</v>
      </c>
      <c r="X203" s="8">
        <f>IFERROR(W203/W444, "NA")</f>
        <v>4.5863192880256989E-2</v>
      </c>
      <c r="Y203" s="9"/>
      <c r="Z203" s="7">
        <v>602.41</v>
      </c>
      <c r="AA203" s="8">
        <f>IFERROR(Z203/Z444, "NA")</f>
        <v>3.8290658137093789E-3</v>
      </c>
      <c r="AB203" s="9"/>
      <c r="AC203" s="10">
        <f t="shared" si="55"/>
        <v>-339.52</v>
      </c>
      <c r="AD203" s="8">
        <f>IFERROR(AC203/AC444, "NA")</f>
        <v>4.5254912101343796E-2</v>
      </c>
    </row>
    <row r="204" spans="1:30" ht="16.5" customHeight="1" x14ac:dyDescent="0.45">
      <c r="A204" s="6" t="s">
        <v>186</v>
      </c>
      <c r="B204" s="7">
        <v>241.33</v>
      </c>
      <c r="C204" s="8">
        <f>IFERROR(B204/B444, "NA")</f>
        <v>3.1381004772102492E-3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-241.33</v>
      </c>
      <c r="I204" s="8">
        <f>IFERROR(H204/H444, "NA")</f>
        <v>1.2887422360663061E-2</v>
      </c>
      <c r="J204" s="9"/>
      <c r="K204" s="7">
        <v>80.900000000000006</v>
      </c>
      <c r="L204" s="8">
        <f>IFERROR(K204/K444, "NA")</f>
        <v>9.3903307450919865E-4</v>
      </c>
      <c r="M204" s="9"/>
      <c r="N204" s="10">
        <f t="shared" si="53"/>
        <v>-160.43</v>
      </c>
      <c r="O204" s="8">
        <f>IFERROR(N204/N444, "NA")</f>
        <v>1.7345208903650482E-2</v>
      </c>
      <c r="P204" s="9"/>
      <c r="Q204" s="7">
        <v>265.25</v>
      </c>
      <c r="R204" s="8">
        <f>IFERROR(Q204/Q444, "NA")</f>
        <v>1.77042018662131E-3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-265.25</v>
      </c>
      <c r="X204" s="8">
        <f>IFERROR(W204/W444, "NA")</f>
        <v>1.2915197426016973E-2</v>
      </c>
      <c r="Y204" s="9"/>
      <c r="Z204" s="7">
        <v>298.54000000000002</v>
      </c>
      <c r="AA204" s="8">
        <f>IFERROR(Z204/Z444, "NA")</f>
        <v>1.8975935127650573E-3</v>
      </c>
      <c r="AB204" s="9"/>
      <c r="AC204" s="10">
        <f t="shared" si="55"/>
        <v>33.29000000000002</v>
      </c>
      <c r="AD204" s="8">
        <f>IFERROR(AC204/AC444, "NA")</f>
        <v>-4.4372526621516729E-3</v>
      </c>
    </row>
    <row r="205" spans="1:30" ht="16.5" customHeight="1" x14ac:dyDescent="0.45">
      <c r="A205" s="6" t="s">
        <v>187</v>
      </c>
      <c r="B205" s="7">
        <v>209.96</v>
      </c>
      <c r="C205" s="8">
        <f>IFERROR(B205/B444, "NA")</f>
        <v>2.7301851249122108E-3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-209.96</v>
      </c>
      <c r="I205" s="8">
        <f>IFERROR(H205/H444, "NA")</f>
        <v>1.1212212318587893E-2</v>
      </c>
      <c r="J205" s="9"/>
      <c r="K205" s="7">
        <v>220.44</v>
      </c>
      <c r="L205" s="8">
        <f>IFERROR(K205/K444, "NA")</f>
        <v>2.55872003640059E-3</v>
      </c>
      <c r="M205" s="9"/>
      <c r="N205" s="10">
        <f t="shared" si="53"/>
        <v>10.47999999999999</v>
      </c>
      <c r="O205" s="8">
        <f>IFERROR(N205/N444, "NA")</f>
        <v>-1.1330660681310033E-3</v>
      </c>
      <c r="P205" s="9"/>
      <c r="Q205" s="7">
        <v>419.92</v>
      </c>
      <c r="R205" s="8">
        <f>IFERROR(Q205/Q444, "NA")</f>
        <v>2.8027703855457889E-3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-419.92</v>
      </c>
      <c r="X205" s="8">
        <f>IFERROR(W205/W444, "NA")</f>
        <v>2.0446181727174544E-2</v>
      </c>
      <c r="Y205" s="9"/>
      <c r="Z205" s="7">
        <v>442.04</v>
      </c>
      <c r="AA205" s="8">
        <f>IFERROR(Z205/Z444, "NA")</f>
        <v>2.8097147329760363E-3</v>
      </c>
      <c r="AB205" s="9"/>
      <c r="AC205" s="10">
        <f t="shared" si="55"/>
        <v>22.120000000000005</v>
      </c>
      <c r="AD205" s="8">
        <f>IFERROR(AC205/AC444, "NA")</f>
        <v>-2.9483937785159194E-3</v>
      </c>
    </row>
    <row r="206" spans="1:30" ht="16.5" customHeight="1" x14ac:dyDescent="0.45">
      <c r="A206" s="6" t="s">
        <v>188</v>
      </c>
      <c r="B206" s="7">
        <v>33.049999999999997</v>
      </c>
      <c r="C206" s="8">
        <f>IFERROR(B206/B444, "NA")</f>
        <v>4.2976099437201637E-4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-33.049999999999997</v>
      </c>
      <c r="I206" s="8">
        <f>IFERROR(H206/H444, "NA")</f>
        <v>1.7649248291547429E-3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-33.049999999999997</v>
      </c>
      <c r="O206" s="8">
        <f>IFERROR(N206/N444, "NA")</f>
        <v>3.5732665602795505E-3</v>
      </c>
      <c r="P206" s="9"/>
      <c r="Q206" s="7">
        <v>33.049999999999997</v>
      </c>
      <c r="R206" s="8">
        <f>IFERROR(Q206/Q444, "NA")</f>
        <v>2.2059335407289082E-4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-33.049999999999997</v>
      </c>
      <c r="X206" s="8">
        <f>IFERROR(W206/W444, "NA")</f>
        <v>1.6092262956827932E-3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-33.049999999999997</v>
      </c>
      <c r="AD206" s="8">
        <f>IFERROR(AC206/AC444, "NA")</f>
        <v>4.405262856236488E-3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154.15</v>
      </c>
      <c r="L207" s="8">
        <f>IFERROR(K207/K444, "NA")</f>
        <v>1.7892700671890353E-3</v>
      </c>
      <c r="M207" s="9"/>
      <c r="N207" s="10">
        <f t="shared" si="53"/>
        <v>154.15</v>
      </c>
      <c r="O207" s="8">
        <f>IFERROR(N207/N444, "NA")</f>
        <v>-1.6666234198701748E-2</v>
      </c>
      <c r="P207" s="9"/>
      <c r="Q207" s="7">
        <v>99.6</v>
      </c>
      <c r="R207" s="8">
        <f>IFERROR(Q207/Q444, "NA")</f>
        <v>6.6478360259182839E-4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4.8495896838125939E-3</v>
      </c>
      <c r="Y207" s="9"/>
      <c r="Z207" s="7">
        <v>154.15</v>
      </c>
      <c r="AA207" s="8">
        <f>IFERROR(Z207/Z444, "NA")</f>
        <v>9.7981523411513893E-4</v>
      </c>
      <c r="AB207" s="9"/>
      <c r="AC207" s="10">
        <f t="shared" si="55"/>
        <v>54.550000000000011</v>
      </c>
      <c r="AD207" s="8">
        <f>IFERROR(AC207/AC444, "NA")</f>
        <v>-7.2710163028048558E-3</v>
      </c>
    </row>
    <row r="208" spans="1:30" ht="16.5" customHeight="1" x14ac:dyDescent="0.45">
      <c r="A208" s="6" t="s">
        <v>190</v>
      </c>
      <c r="B208" s="7">
        <v>47.69</v>
      </c>
      <c r="C208" s="8">
        <f>IFERROR(B208/B444, "NA")</f>
        <v>6.2013016101668565E-4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-47.69</v>
      </c>
      <c r="I208" s="8">
        <f>IFERROR(H208/H444, "NA")</f>
        <v>2.5467251165624716E-3</v>
      </c>
      <c r="J208" s="9"/>
      <c r="K208" s="7">
        <v>71.8</v>
      </c>
      <c r="L208" s="8">
        <f>IFERROR(K208/K444, "NA")</f>
        <v>8.3340636279061132E-4</v>
      </c>
      <c r="M208" s="9"/>
      <c r="N208" s="10">
        <f t="shared" si="53"/>
        <v>24.11</v>
      </c>
      <c r="O208" s="8">
        <f>IFERROR(N208/N444, "NA")</f>
        <v>-2.6067006586487133E-3</v>
      </c>
      <c r="P208" s="9"/>
      <c r="Q208" s="7">
        <v>191.41</v>
      </c>
      <c r="R208" s="8">
        <f>IFERROR(Q208/Q444, "NA")</f>
        <v>1.2775725840572477E-3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-191.41</v>
      </c>
      <c r="X208" s="8">
        <f>IFERROR(W208/W444, "NA")</f>
        <v>9.3198791303069142E-3</v>
      </c>
      <c r="Y208" s="9"/>
      <c r="Z208" s="7">
        <v>71.8</v>
      </c>
      <c r="AA208" s="8">
        <f>IFERROR(Z208/Z444, "NA")</f>
        <v>4.5637842237734004E-4</v>
      </c>
      <c r="AB208" s="9"/>
      <c r="AC208" s="10">
        <f t="shared" si="55"/>
        <v>-119.61</v>
      </c>
      <c r="AD208" s="8">
        <f>IFERROR(AC208/AC444, "NA")</f>
        <v>1.5942919522978709E-2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2718.11</v>
      </c>
      <c r="C209" s="15">
        <f>IFERROR(B209/B444, "NA")</f>
        <v>3.5344558439108067E-2</v>
      </c>
      <c r="D209" s="2"/>
      <c r="E209" s="14">
        <f>IFERROR(E201+E202+E203+E204+E205+E206+E207+E208, "NA")</f>
        <v>2199.4699999999998</v>
      </c>
      <c r="F209" s="15">
        <f>IFERROR(E209/E444, "NA")</f>
        <v>2.299997845846698E-2</v>
      </c>
      <c r="G209" s="2"/>
      <c r="H209" s="14">
        <f t="shared" si="52"/>
        <v>-518.64000000000033</v>
      </c>
      <c r="I209" s="15">
        <f>IFERROR(H209/H444, "NA")</f>
        <v>2.7696236411280377E-2</v>
      </c>
      <c r="J209" s="2"/>
      <c r="K209" s="14">
        <f>IFERROR(K201+K202+K203+K204+K205+K206+K207+K208, "NA")</f>
        <v>1927.1700000000003</v>
      </c>
      <c r="L209" s="15">
        <f>IFERROR(K209/K444, "NA")</f>
        <v>2.2369300002495582E-2</v>
      </c>
      <c r="M209" s="2"/>
      <c r="N209" s="14">
        <f t="shared" si="53"/>
        <v>-790.93999999999983</v>
      </c>
      <c r="O209" s="15">
        <f>IFERROR(N209/N444, "NA")</f>
        <v>8.5514053046520641E-2</v>
      </c>
      <c r="P209" s="2"/>
      <c r="Q209" s="14">
        <f>IFERROR(Q201+Q202+Q203+Q204+Q205+Q206+Q207+Q208, "NA")</f>
        <v>5007.2400000000007</v>
      </c>
      <c r="R209" s="15">
        <f>IFERROR(Q209/Q444, "NA")</f>
        <v>3.3420994440179791E-2</v>
      </c>
      <c r="S209" s="2"/>
      <c r="T209" s="14">
        <f>IFERROR(T201+T202+T203+T204+T205+T206+T207+T208, "NA")</f>
        <v>3918.3</v>
      </c>
      <c r="U209" s="15">
        <f>IFERROR(T209/T444, "NA")</f>
        <v>2.2999981040262674E-2</v>
      </c>
      <c r="V209" s="2"/>
      <c r="W209" s="14">
        <f t="shared" si="54"/>
        <v>-1088.9400000000005</v>
      </c>
      <c r="X209" s="15">
        <f>IFERROR(W209/W444, "NA")</f>
        <v>5.3021206729828199E-2</v>
      </c>
      <c r="Y209" s="2"/>
      <c r="Z209" s="14">
        <f>IFERROR(Z201+Z202+Z203+Z204+Z205+Z206+Z207+Z208, "NA")</f>
        <v>3662.4</v>
      </c>
      <c r="AA209" s="15">
        <f>IFERROR(Z209/Z444, "NA")</f>
        <v>2.3279113288506549E-2</v>
      </c>
      <c r="AB209" s="2"/>
      <c r="AC209" s="14">
        <f t="shared" si="55"/>
        <v>-1344.8400000000006</v>
      </c>
      <c r="AD209" s="15">
        <f>IFERROR(AC209/AC444, "NA")</f>
        <v>0.17925487744572108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2314.0700000000002</v>
      </c>
      <c r="F213" s="8">
        <f>IFERROR(E213/E444, "NA")</f>
        <v>2.4198356945711784E-2</v>
      </c>
      <c r="G213" s="9"/>
      <c r="H213" s="10">
        <f t="shared" ref="H213:H227" si="56">IFERROR(-(B213-E213), "NA")</f>
        <v>2314.0700000000002</v>
      </c>
      <c r="I213" s="8">
        <f>IFERROR(H213/H444, "NA")</f>
        <v>-0.12357517698644831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4225.8</v>
      </c>
      <c r="U213" s="8">
        <f>IFERROR(T213/T444, "NA")</f>
        <v>2.4804971513141417E-2</v>
      </c>
      <c r="V213" s="9"/>
      <c r="W213" s="10">
        <f t="shared" ref="W213:W227" si="58">IFERROR(-(Q213-T213), "NA")</f>
        <v>4225.8</v>
      </c>
      <c r="X213" s="8">
        <f>IFERROR(W213/W444, "NA")</f>
        <v>-0.20575698881380783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2617.87</v>
      </c>
      <c r="C214" s="8">
        <f>IFERROR(B214/B444, "NA")</f>
        <v>3.4041101795360684E-2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-2617.87</v>
      </c>
      <c r="I214" s="8">
        <f>IFERROR(H214/H444, "NA")</f>
        <v>0.13979860098333818</v>
      </c>
      <c r="J214" s="9"/>
      <c r="K214" s="7">
        <v>290</v>
      </c>
      <c r="L214" s="8">
        <f>IFERROR(K214/K444, "NA")</f>
        <v>3.3661259778450876E-3</v>
      </c>
      <c r="M214" s="9"/>
      <c r="N214" s="10">
        <f t="shared" si="57"/>
        <v>-2327.87</v>
      </c>
      <c r="O214" s="8">
        <f>IFERROR(N214/N444, "NA")</f>
        <v>0.25168230038359934</v>
      </c>
      <c r="P214" s="9"/>
      <c r="Q214" s="7">
        <v>4901.92</v>
      </c>
      <c r="R214" s="8">
        <f>IFERROR(Q214/Q444, "NA")</f>
        <v>3.2718032502178064E-2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-4901.92</v>
      </c>
      <c r="X214" s="8">
        <f>IFERROR(W214/W444, "NA")</f>
        <v>0.23867771749874128</v>
      </c>
      <c r="Y214" s="9"/>
      <c r="Z214" s="7">
        <v>655</v>
      </c>
      <c r="AA214" s="8">
        <f>IFERROR(Z214/Z444, "NA")</f>
        <v>4.1633407612417517E-3</v>
      </c>
      <c r="AB214" s="9"/>
      <c r="AC214" s="10">
        <f t="shared" si="59"/>
        <v>-4246.92</v>
      </c>
      <c r="AD214" s="8">
        <f>IFERROR(AC214/AC444, "NA")</f>
        <v>0.56607561057209888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1501.75</v>
      </c>
      <c r="C217" s="8">
        <f>IFERROR(B217/B444, "NA")</f>
        <v>1.9527793443212576E-2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-1501.75</v>
      </c>
      <c r="I217" s="8">
        <f>IFERROR(H217/H444, "NA")</f>
        <v>8.019594136711454E-2</v>
      </c>
      <c r="J217" s="9"/>
      <c r="K217" s="7">
        <v>108.13</v>
      </c>
      <c r="L217" s="8">
        <f>IFERROR(K217/K444, "NA")</f>
        <v>1.2551006964978942E-3</v>
      </c>
      <c r="M217" s="9"/>
      <c r="N217" s="10">
        <f t="shared" si="57"/>
        <v>-1393.62</v>
      </c>
      <c r="O217" s="8">
        <f>IFERROR(N217/N444, "NA")</f>
        <v>0.15067400132335212</v>
      </c>
      <c r="P217" s="9"/>
      <c r="Q217" s="7">
        <v>2959.29</v>
      </c>
      <c r="R217" s="8">
        <f>IFERROR(Q217/Q444, "NA")</f>
        <v>1.9751882201947509E-2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-2959.29</v>
      </c>
      <c r="X217" s="8">
        <f>IFERROR(W217/W444, "NA")</f>
        <v>0.14408978168082098</v>
      </c>
      <c r="Y217" s="9"/>
      <c r="Z217" s="7">
        <v>320.97000000000003</v>
      </c>
      <c r="AA217" s="8">
        <f>IFERROR(Z217/Z444, "NA")</f>
        <v>2.0401640979171983E-3</v>
      </c>
      <c r="AB217" s="9"/>
      <c r="AC217" s="10">
        <f t="shared" si="59"/>
        <v>-2638.3199999999997</v>
      </c>
      <c r="AD217" s="8">
        <f>IFERROR(AC217/AC444, "NA")</f>
        <v>0.35166393642559307</v>
      </c>
    </row>
    <row r="218" spans="1:30" ht="16.5" customHeight="1" x14ac:dyDescent="0.45">
      <c r="A218" s="13" t="s">
        <v>198</v>
      </c>
      <c r="B218" s="14">
        <f>IFERROR(B213+B214+B215+B216+B217, "NA")</f>
        <v>4119.62</v>
      </c>
      <c r="C218" s="15">
        <f>IFERROR(B218/B444, "NA")</f>
        <v>5.3568895238573264E-2</v>
      </c>
      <c r="D218" s="2"/>
      <c r="E218" s="14">
        <f>IFERROR(E213+E214+E215+E216+E217, "NA")</f>
        <v>2314.0700000000002</v>
      </c>
      <c r="F218" s="15">
        <f>IFERROR(E218/E444, "NA")</f>
        <v>2.4198356945711784E-2</v>
      </c>
      <c r="G218" s="2"/>
      <c r="H218" s="14">
        <f t="shared" si="56"/>
        <v>-1805.5499999999997</v>
      </c>
      <c r="I218" s="15">
        <f>IFERROR(H218/H444, "NA")</f>
        <v>9.6419365364004417E-2</v>
      </c>
      <c r="J218" s="2"/>
      <c r="K218" s="14">
        <f>IFERROR(K213+K214+K215+K216+K217, "NA")</f>
        <v>398.13</v>
      </c>
      <c r="L218" s="15">
        <f>IFERROR(K218/K444, "NA")</f>
        <v>4.6212266743429816E-3</v>
      </c>
      <c r="M218" s="2"/>
      <c r="N218" s="14">
        <f t="shared" si="57"/>
        <v>-3721.49</v>
      </c>
      <c r="O218" s="15">
        <f>IFERROR(N218/N444, "NA")</f>
        <v>0.40235630170695141</v>
      </c>
      <c r="P218" s="2"/>
      <c r="Q218" s="14">
        <f>IFERROR(Q213+Q214+Q215+Q216+Q217, "NA")</f>
        <v>7861.21</v>
      </c>
      <c r="R218" s="15">
        <f>IFERROR(Q218/Q444, "NA")</f>
        <v>5.2469914704125577E-2</v>
      </c>
      <c r="S218" s="2"/>
      <c r="T218" s="14">
        <f>IFERROR(T213+T214+T215+T216+T217, "NA")</f>
        <v>4225.8</v>
      </c>
      <c r="U218" s="15">
        <f>IFERROR(T218/T444, "NA")</f>
        <v>2.4804971513141417E-2</v>
      </c>
      <c r="V218" s="2"/>
      <c r="W218" s="14">
        <f t="shared" si="58"/>
        <v>-3635.41</v>
      </c>
      <c r="X218" s="15">
        <f>IFERROR(W218/W444, "NA")</f>
        <v>0.17701051036575444</v>
      </c>
      <c r="Y218" s="2"/>
      <c r="Z218" s="14">
        <f>IFERROR(Z213+Z214+Z215+Z216+Z217, "NA")</f>
        <v>975.97</v>
      </c>
      <c r="AA218" s="15">
        <f>IFERROR(Z218/Z444, "NA")</f>
        <v>6.20350485915895E-3</v>
      </c>
      <c r="AB218" s="2"/>
      <c r="AC218" s="14">
        <f t="shared" si="59"/>
        <v>-6885.24</v>
      </c>
      <c r="AD218" s="15">
        <f>IFERROR(AC218/AC444, "NA")</f>
        <v>0.91773954699769189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237.61</v>
      </c>
      <c r="C222" s="8">
        <f>IFERROR(B222/B444, "NA")</f>
        <v>3.0897279840464394E-3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-237.61</v>
      </c>
      <c r="I222" s="8">
        <f>IFERROR(H222/H444, "NA")</f>
        <v>1.2688768189272573E-2</v>
      </c>
      <c r="J222" s="9"/>
      <c r="K222" s="7">
        <v>150</v>
      </c>
      <c r="L222" s="8">
        <f>IFERROR(K222/K444, "NA")</f>
        <v>1.7410996437129762E-3</v>
      </c>
      <c r="M222" s="9"/>
      <c r="N222" s="10">
        <f t="shared" si="57"/>
        <v>-87.610000000000014</v>
      </c>
      <c r="O222" s="8">
        <f>IFERROR(N222/N444, "NA")</f>
        <v>9.4721296019997427E-3</v>
      </c>
      <c r="P222" s="9"/>
      <c r="Q222" s="7">
        <v>409.43</v>
      </c>
      <c r="R222" s="8">
        <f>IFERROR(Q222/Q444, "NA")</f>
        <v>2.7327545221804447E-3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-409.43</v>
      </c>
      <c r="X222" s="8">
        <f>IFERROR(W222/W444, "NA")</f>
        <v>1.9935416709270987E-2</v>
      </c>
      <c r="Y222" s="9"/>
      <c r="Z222" s="7">
        <v>300</v>
      </c>
      <c r="AA222" s="8">
        <f>IFERROR(Z222/Z444, "NA")</f>
        <v>1.9068736311030922E-3</v>
      </c>
      <c r="AB222" s="9"/>
      <c r="AC222" s="10">
        <f t="shared" si="59"/>
        <v>-109.43</v>
      </c>
      <c r="AD222" s="8">
        <f>IFERROR(AC222/AC444, "NA")</f>
        <v>1.4586018588743085E-2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95.63</v>
      </c>
      <c r="F226" s="8">
        <f>IFERROR(E226/E444, "NA")</f>
        <v>1.0000081565027926E-3</v>
      </c>
      <c r="G226" s="9"/>
      <c r="H226" s="10">
        <f t="shared" si="56"/>
        <v>95.63</v>
      </c>
      <c r="I226" s="8">
        <f>IFERROR(H226/H444, "NA")</f>
        <v>-5.1068006478689277E-3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170.36</v>
      </c>
      <c r="U226" s="8">
        <f>IFERROR(T226/T444, "NA")</f>
        <v>9.9999407141340615E-4</v>
      </c>
      <c r="V226" s="9"/>
      <c r="W226" s="10">
        <f t="shared" si="58"/>
        <v>170.36</v>
      </c>
      <c r="X226" s="8">
        <f>IFERROR(W226/W444, "NA")</f>
        <v>-8.294940748336482E-3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4357.2299999999996</v>
      </c>
      <c r="C227" s="15">
        <f>IFERROR(B227/B444, "NA")</f>
        <v>5.6658623222619699E-2</v>
      </c>
      <c r="D227" s="2"/>
      <c r="E227" s="14">
        <f>IFERROR(E211+E213+E214+E215+E216+E217+E219+E220+E221+E222+E223+E224+E225+E226, "NA")</f>
        <v>2409.7000000000003</v>
      </c>
      <c r="F227" s="15">
        <f>IFERROR(E227/E444, "NA")</f>
        <v>2.5198365102214577E-2</v>
      </c>
      <c r="G227" s="2"/>
      <c r="H227" s="14">
        <f t="shared" si="56"/>
        <v>-1947.5299999999993</v>
      </c>
      <c r="I227" s="15">
        <f>IFERROR(H227/H444, "NA")</f>
        <v>0.10400133290540803</v>
      </c>
      <c r="J227" s="2"/>
      <c r="K227" s="14">
        <f>IFERROR(K211+K213+K214+K215+K216+K217+K219+K220+K221+K222+K223+K224+K225+K226, "NA")</f>
        <v>548.13</v>
      </c>
      <c r="L227" s="15">
        <f>IFERROR(K227/K444, "NA")</f>
        <v>6.3623263180559581E-3</v>
      </c>
      <c r="M227" s="2"/>
      <c r="N227" s="14">
        <f t="shared" si="57"/>
        <v>-3809.0999999999995</v>
      </c>
      <c r="O227" s="15">
        <f>IFERROR(N227/N444, "NA")</f>
        <v>0.41182843130895114</v>
      </c>
      <c r="P227" s="2"/>
      <c r="Q227" s="14">
        <f>IFERROR(Q211+Q213+Q214+Q215+Q216+Q217+Q219+Q220+Q221+Q222+Q223+Q224+Q225+Q226, "NA")</f>
        <v>8270.64</v>
      </c>
      <c r="R227" s="15">
        <f>IFERROR(Q227/Q444, "NA")</f>
        <v>5.5202669226306018E-2</v>
      </c>
      <c r="S227" s="2"/>
      <c r="T227" s="14">
        <f>IFERROR(T211+T213+T214+T215+T216+T217+T219+T220+T221+T222+T223+T224+T225+T226, "NA")</f>
        <v>4396.16</v>
      </c>
      <c r="U227" s="15">
        <f>IFERROR(T227/T444, "NA")</f>
        <v>2.580496558455482E-2</v>
      </c>
      <c r="V227" s="2"/>
      <c r="W227" s="14">
        <f t="shared" si="58"/>
        <v>-3874.4799999999996</v>
      </c>
      <c r="X227" s="15">
        <f>IFERROR(W227/W444, "NA")</f>
        <v>0.18865098632668892</v>
      </c>
      <c r="Y227" s="2"/>
      <c r="Z227" s="14">
        <f>IFERROR(Z211+Z213+Z214+Z215+Z216+Z217+Z219+Z220+Z221+Z222+Z223+Z224+Z225+Z226, "NA")</f>
        <v>1275.97</v>
      </c>
      <c r="AA227" s="15">
        <f>IFERROR(Z227/Z444, "NA")</f>
        <v>8.1103784902620425E-3</v>
      </c>
      <c r="AB227" s="2"/>
      <c r="AC227" s="14">
        <f t="shared" si="59"/>
        <v>-6994.6699999999992</v>
      </c>
      <c r="AD227" s="15">
        <f>IFERROR(AC227/AC444, "NA")</f>
        <v>0.93232556558643487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1147.55</v>
      </c>
      <c r="F229" s="8">
        <f>IFERROR(E229/E444, "NA")</f>
        <v>1.1999993307484887E-2</v>
      </c>
      <c r="G229" s="9"/>
      <c r="H229" s="10">
        <f t="shared" ref="H229:H236" si="60">IFERROR(-(B229-E229), "NA")</f>
        <v>1147.55</v>
      </c>
      <c r="I229" s="8">
        <f>IFERROR(H229/H444, "NA")</f>
        <v>-6.1281073757837375E-2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2044.33</v>
      </c>
      <c r="U229" s="8">
        <f>IFERROR(T229/T444, "NA")</f>
        <v>1.1999987555838039E-2</v>
      </c>
      <c r="V229" s="9"/>
      <c r="W229" s="10">
        <f t="shared" ref="W229:W236" si="62">IFERROR(-(Q229-T229), "NA")</f>
        <v>2044.33</v>
      </c>
      <c r="X229" s="8">
        <f>IFERROR(W229/W444, "NA")</f>
        <v>-9.9539775886632528E-2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225</v>
      </c>
      <c r="L230" s="8">
        <f>IFERROR(K230/K444, "NA")</f>
        <v>2.6116494655694647E-3</v>
      </c>
      <c r="M230" s="9"/>
      <c r="N230" s="10">
        <f t="shared" si="61"/>
        <v>225</v>
      </c>
      <c r="O230" s="8">
        <f>IFERROR(N230/N444, "NA")</f>
        <v>-2.4326323027621752E-2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1.4301552233273191E-3</v>
      </c>
      <c r="AB230" s="9"/>
      <c r="AC230" s="10">
        <f t="shared" si="63"/>
        <v>225</v>
      </c>
      <c r="AD230" s="8">
        <f>IFERROR(AC230/AC444, "NA")</f>
        <v>-2.9990443045482901E-2</v>
      </c>
    </row>
    <row r="231" spans="1:30" ht="16.5" customHeight="1" x14ac:dyDescent="0.45">
      <c r="A231" s="6" t="s">
        <v>210</v>
      </c>
      <c r="B231" s="7">
        <v>84</v>
      </c>
      <c r="C231" s="8">
        <f>IFERROR(B231/B444, "NA")</f>
        <v>1.0922821036989223E-3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-84</v>
      </c>
      <c r="I231" s="8">
        <f>IFERROR(H231/H444, "NA")</f>
        <v>4.4857393539787724E-3</v>
      </c>
      <c r="J231" s="9"/>
      <c r="K231" s="7">
        <v>98.8</v>
      </c>
      <c r="L231" s="8">
        <f>IFERROR(K231/K444, "NA")</f>
        <v>1.1468042986589469E-3</v>
      </c>
      <c r="M231" s="9"/>
      <c r="N231" s="10">
        <f t="shared" si="61"/>
        <v>14.799999999999997</v>
      </c>
      <c r="O231" s="8">
        <f>IFERROR(N231/N444, "NA")</f>
        <v>-1.6001314702613417E-3</v>
      </c>
      <c r="P231" s="9"/>
      <c r="Q231" s="7">
        <v>300.37</v>
      </c>
      <c r="R231" s="8">
        <f>IFERROR(Q231/Q444, "NA")</f>
        <v>2.0048298264107177E-3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-300.37</v>
      </c>
      <c r="X231" s="8">
        <f>IFERROR(W231/W444, "NA")</f>
        <v>1.4625213386815149E-2</v>
      </c>
      <c r="Y231" s="9"/>
      <c r="Z231" s="7">
        <v>100.22</v>
      </c>
      <c r="AA231" s="8">
        <f>IFERROR(Z231/Z444, "NA")</f>
        <v>6.3702291769717303E-4</v>
      </c>
      <c r="AB231" s="9"/>
      <c r="AC231" s="10">
        <f t="shared" si="63"/>
        <v>-200.15</v>
      </c>
      <c r="AD231" s="8">
        <f>IFERROR(AC231/AC444, "NA")</f>
        <v>2.6678165224681791E-2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1112.4000000000001</v>
      </c>
      <c r="C234" s="8">
        <f>IFERROR(B234/B444, "NA")</f>
        <v>1.44649358589843E-2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-1112.4000000000001</v>
      </c>
      <c r="I234" s="8">
        <f>IFERROR(H234/H444, "NA")</f>
        <v>5.9404005444833173E-2</v>
      </c>
      <c r="J234" s="9"/>
      <c r="K234" s="7">
        <v>1457.45</v>
      </c>
      <c r="L234" s="8">
        <f>IFERROR(K234/K444, "NA")</f>
        <v>1.6917104504863181E-2</v>
      </c>
      <c r="M234" s="9"/>
      <c r="N234" s="10">
        <f t="shared" si="61"/>
        <v>345.04999999999995</v>
      </c>
      <c r="O234" s="8">
        <f>IFERROR(N234/N444, "NA")</f>
        <v>-3.730576782524838E-2</v>
      </c>
      <c r="P234" s="9"/>
      <c r="Q234" s="7">
        <v>2354.2800000000002</v>
      </c>
      <c r="R234" s="8">
        <f>IFERROR(Q234/Q444, "NA")</f>
        <v>1.5713722288251908E-2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-2354.2800000000002</v>
      </c>
      <c r="X234" s="8">
        <f>IFERROR(W234/W444, "NA")</f>
        <v>0.11463144579122805</v>
      </c>
      <c r="Y234" s="9"/>
      <c r="Z234" s="7">
        <v>2234.0700000000002</v>
      </c>
      <c r="AA234" s="8">
        <f>IFERROR(Z234/Z444, "NA")</f>
        <v>1.4200297243461618E-2</v>
      </c>
      <c r="AB234" s="9"/>
      <c r="AC234" s="10">
        <f t="shared" si="63"/>
        <v>-120.21000000000004</v>
      </c>
      <c r="AD234" s="8">
        <f>IFERROR(AC234/AC444, "NA")</f>
        <v>1.6022894037766668E-2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1196.4000000000001</v>
      </c>
      <c r="C236" s="15">
        <f>IFERROR(B236/B444, "NA")</f>
        <v>1.5557217962683221E-2</v>
      </c>
      <c r="D236" s="2"/>
      <c r="E236" s="14">
        <f>IFERROR(E229+E230+E231+E232+E233+E234+E235, "NA")</f>
        <v>1147.55</v>
      </c>
      <c r="F236" s="15">
        <f>IFERROR(E236/E444, "NA")</f>
        <v>1.1999993307484887E-2</v>
      </c>
      <c r="G236" s="2"/>
      <c r="H236" s="14">
        <f t="shared" si="60"/>
        <v>-48.850000000000136</v>
      </c>
      <c r="I236" s="15">
        <f>IFERROR(H236/H444, "NA")</f>
        <v>2.608671040974567E-3</v>
      </c>
      <c r="J236" s="2"/>
      <c r="K236" s="14">
        <f>IFERROR(K229+K230+K231+K232+K233+K234+K235, "NA")</f>
        <v>1781.25</v>
      </c>
      <c r="L236" s="15">
        <f>IFERROR(K236/K444, "NA")</f>
        <v>2.0675558269091593E-2</v>
      </c>
      <c r="M236" s="2"/>
      <c r="N236" s="14">
        <f t="shared" si="61"/>
        <v>584.84999999999991</v>
      </c>
      <c r="O236" s="15">
        <f>IFERROR(N236/N444, "NA")</f>
        <v>-6.3232222323131471E-2</v>
      </c>
      <c r="P236" s="2"/>
      <c r="Q236" s="14">
        <f>IFERROR(Q229+Q230+Q231+Q232+Q233+Q234+Q235, "NA")</f>
        <v>2654.65</v>
      </c>
      <c r="R236" s="15">
        <f>IFERROR(Q236/Q444, "NA")</f>
        <v>1.7718552114662625E-2</v>
      </c>
      <c r="S236" s="2"/>
      <c r="T236" s="14">
        <f>IFERROR(T229+T230+T231+T232+T233+T234+T235, "NA")</f>
        <v>2044.33</v>
      </c>
      <c r="U236" s="15">
        <f>IFERROR(T236/T444, "NA")</f>
        <v>1.1999987555838039E-2</v>
      </c>
      <c r="V236" s="2"/>
      <c r="W236" s="14">
        <f t="shared" si="62"/>
        <v>-610.32000000000016</v>
      </c>
      <c r="X236" s="15">
        <f>IFERROR(W236/W444, "NA")</f>
        <v>2.9716883291410673E-2</v>
      </c>
      <c r="Y236" s="2"/>
      <c r="Z236" s="14">
        <f>IFERROR(Z229+Z230+Z231+Z232+Z233+Z234+Z235, "NA")</f>
        <v>2559.29</v>
      </c>
      <c r="AA236" s="15">
        <f>IFERROR(Z236/Z444, "NA")</f>
        <v>1.626747538448611E-2</v>
      </c>
      <c r="AB236" s="2"/>
      <c r="AC236" s="14">
        <f t="shared" si="63"/>
        <v>-95.360000000000127</v>
      </c>
      <c r="AD236" s="15">
        <f>IFERROR(AC236/AC444, "NA")</f>
        <v>1.271061621696557E-2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4632.28</v>
      </c>
      <c r="F240" s="8">
        <f>IFERROR(E240/E444, "NA")</f>
        <v>4.8440006098554395E-2</v>
      </c>
      <c r="G240" s="9"/>
      <c r="H240" s="10">
        <f t="shared" ref="H240:H263" si="64">IFERROR(-(B240-E240), "NA")</f>
        <v>4632.28</v>
      </c>
      <c r="I240" s="8">
        <f>IFERROR(H240/H444, "NA")</f>
        <v>-0.24737143684105695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8252.2900000000009</v>
      </c>
      <c r="U240" s="8">
        <f>IFERROR(T240/T444, "NA")</f>
        <v>4.844001570547158E-2</v>
      </c>
      <c r="V240" s="9"/>
      <c r="W240" s="10">
        <f t="shared" ref="W240:W263" si="66">IFERROR(-(Q240-T240), "NA")</f>
        <v>8252.2900000000009</v>
      </c>
      <c r="X240" s="8">
        <f>IFERROR(W240/W444, "NA")</f>
        <v>-0.40180944228744814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1044.58</v>
      </c>
      <c r="C242" s="8">
        <f>IFERROR(B242/B444, "NA")</f>
        <v>1.3583048093831191E-2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-1044.58</v>
      </c>
      <c r="I242" s="8">
        <f>IFERROR(H242/H444, "NA")</f>
        <v>5.5782304933085065E-2</v>
      </c>
      <c r="J242" s="9"/>
      <c r="K242" s="7">
        <v>834.95</v>
      </c>
      <c r="L242" s="8">
        <f>IFERROR(K242/K444, "NA")</f>
        <v>9.6915409834543303E-3</v>
      </c>
      <c r="M242" s="9"/>
      <c r="N242" s="10">
        <f t="shared" si="65"/>
        <v>-209.62999999999988</v>
      </c>
      <c r="O242" s="8">
        <f>IFERROR(N242/N444, "NA")</f>
        <v>2.2664564872357091E-2</v>
      </c>
      <c r="P242" s="9"/>
      <c r="Q242" s="7">
        <v>2062.71</v>
      </c>
      <c r="R242" s="8">
        <f>IFERROR(Q242/Q444, "NA")</f>
        <v>1.3767628362471791E-2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-2062.71</v>
      </c>
      <c r="X242" s="8">
        <f>IFERROR(W242/W444, "NA")</f>
        <v>0.10043471020780197</v>
      </c>
      <c r="Y242" s="9"/>
      <c r="Z242" s="7">
        <v>1631.61</v>
      </c>
      <c r="AA242" s="8">
        <f>IFERROR(Z242/Z444, "NA")</f>
        <v>1.0370913617480387E-2</v>
      </c>
      <c r="AB242" s="9"/>
      <c r="AC242" s="10">
        <f t="shared" si="67"/>
        <v>-431.10000000000014</v>
      </c>
      <c r="AD242" s="8">
        <f>IFERROR(AC242/AC444, "NA")</f>
        <v>5.7461688875145252E-2</v>
      </c>
    </row>
    <row r="243" spans="1:30" ht="16.5" customHeight="1" x14ac:dyDescent="0.45">
      <c r="A243" s="12" t="s">
        <v>220</v>
      </c>
      <c r="B243" s="7">
        <v>1543.85</v>
      </c>
      <c r="C243" s="8">
        <f>IFERROR(B243/B444, "NA")</f>
        <v>2.0075234830899773E-2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-1543.85</v>
      </c>
      <c r="I243" s="8">
        <f>IFERROR(H243/H444, "NA")</f>
        <v>8.2444151210001509E-2</v>
      </c>
      <c r="J243" s="9"/>
      <c r="K243" s="7">
        <v>3293.12</v>
      </c>
      <c r="L243" s="8">
        <f>IFERROR(K243/K444, "NA")</f>
        <v>3.8224333724693839E-2</v>
      </c>
      <c r="M243" s="9"/>
      <c r="N243" s="10">
        <f t="shared" si="65"/>
        <v>1749.27</v>
      </c>
      <c r="O243" s="8">
        <f>IFERROR(N243/N444, "NA")</f>
        <v>-0.18912580925567957</v>
      </c>
      <c r="P243" s="9"/>
      <c r="Q243" s="7">
        <v>3638.41</v>
      </c>
      <c r="R243" s="8">
        <f>IFERROR(Q243/Q444, "NA")</f>
        <v>2.4284691842431066E-2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-3638.41</v>
      </c>
      <c r="X243" s="8">
        <f>IFERROR(W243/W444, "NA")</f>
        <v>0.17715658234418252</v>
      </c>
      <c r="Y243" s="9"/>
      <c r="Z243" s="7">
        <v>5004.07</v>
      </c>
      <c r="AA243" s="8">
        <f>IFERROR(Z243/Z444, "NA")</f>
        <v>3.1807097103980164E-2</v>
      </c>
      <c r="AB243" s="9"/>
      <c r="AC243" s="10">
        <f t="shared" si="67"/>
        <v>1365.6599999999999</v>
      </c>
      <c r="AD243" s="8">
        <f>IFERROR(AC243/AC444, "NA")</f>
        <v>-0.182029993108863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203.36</v>
      </c>
      <c r="C246" s="8">
        <f>IFERROR(B246/B444, "NA")</f>
        <v>2.6443629596215813E-3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-203.36</v>
      </c>
      <c r="I246" s="8">
        <f>IFERROR(H246/H444, "NA")</f>
        <v>1.0859761369346703E-2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-203.36</v>
      </c>
      <c r="O246" s="8">
        <f>IFERROR(N246/N444, "NA")</f>
        <v>2.1986671337320712E-2</v>
      </c>
      <c r="P246" s="9"/>
      <c r="Q246" s="7">
        <v>489.07</v>
      </c>
      <c r="R246" s="8">
        <f>IFERROR(Q246/Q444, "NA")</f>
        <v>3.2643144228874047E-3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-489.07</v>
      </c>
      <c r="X246" s="8">
        <f>IFERROR(W246/W444, "NA")</f>
        <v>2.3813140829942021E-2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-489.07</v>
      </c>
      <c r="AD246" s="8">
        <f>IFERROR(AC246/AC444, "NA")</f>
        <v>6.5188559912241428E-2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239.86</v>
      </c>
      <c r="C248" s="8">
        <f>IFERROR(B248/B444, "NA")</f>
        <v>3.1189855403955177E-3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-239.86</v>
      </c>
      <c r="I248" s="8">
        <f>IFERROR(H248/H444, "NA")</f>
        <v>1.2808921921968433E-2</v>
      </c>
      <c r="J248" s="9"/>
      <c r="K248" s="7">
        <v>161.24</v>
      </c>
      <c r="L248" s="8">
        <f>IFERROR(K248/K444, "NA")</f>
        <v>1.8715660436818687E-3</v>
      </c>
      <c r="M248" s="9"/>
      <c r="N248" s="10">
        <f t="shared" si="65"/>
        <v>-78.62</v>
      </c>
      <c r="O248" s="8">
        <f>IFERROR(N248/N444, "NA")</f>
        <v>8.5001578508072106E-3</v>
      </c>
      <c r="P248" s="9"/>
      <c r="Q248" s="7">
        <v>502.99</v>
      </c>
      <c r="R248" s="8">
        <f>IFERROR(Q248/Q444, "NA")</f>
        <v>3.3572239384303594E-3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-502.99</v>
      </c>
      <c r="X248" s="8">
        <f>IFERROR(W248/W444, "NA")</f>
        <v>2.4490914809848361E-2</v>
      </c>
      <c r="Y248" s="9"/>
      <c r="Z248" s="7">
        <v>161.24</v>
      </c>
      <c r="AA248" s="8">
        <f>IFERROR(Z248/Z444, "NA")</f>
        <v>1.024881014263542E-3</v>
      </c>
      <c r="AB248" s="9"/>
      <c r="AC248" s="10">
        <f t="shared" si="67"/>
        <v>-341.75</v>
      </c>
      <c r="AD248" s="8">
        <f>IFERROR(AC248/AC444, "NA")</f>
        <v>4.5552150714639028E-2</v>
      </c>
    </row>
    <row r="249" spans="1:30" ht="16.5" customHeight="1" x14ac:dyDescent="0.45">
      <c r="A249" s="12" t="s">
        <v>226</v>
      </c>
      <c r="B249" s="7">
        <v>997.45</v>
      </c>
      <c r="C249" s="8">
        <f>IFERROR(B249/B444, "NA")</f>
        <v>1.2970199813505834E-2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-997.45</v>
      </c>
      <c r="I249" s="8">
        <f>IFERROR(H249/H444, "NA")</f>
        <v>5.3265484745549124E-2</v>
      </c>
      <c r="J249" s="9"/>
      <c r="K249" s="7">
        <v>606.22</v>
      </c>
      <c r="L249" s="8">
        <f>IFERROR(K249/K444, "NA")</f>
        <v>7.0365961734112038E-3</v>
      </c>
      <c r="M249" s="9"/>
      <c r="N249" s="10">
        <f t="shared" si="65"/>
        <v>-391.23</v>
      </c>
      <c r="O249" s="8">
        <f>IFERROR(N249/N444, "NA")</f>
        <v>4.2298610480428704E-2</v>
      </c>
      <c r="P249" s="9"/>
      <c r="Q249" s="7">
        <v>1777.91</v>
      </c>
      <c r="R249" s="8">
        <f>IFERROR(Q249/Q444, "NA")</f>
        <v>1.1866721032972266E-2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-1777.91</v>
      </c>
      <c r="X249" s="8">
        <f>IFERROR(W249/W444, "NA")</f>
        <v>8.6567610389028604E-2</v>
      </c>
      <c r="Y249" s="9"/>
      <c r="Z249" s="7">
        <v>1208.93</v>
      </c>
      <c r="AA249" s="8">
        <f>IFERROR(Z249/Z444, "NA")</f>
        <v>7.6842557961648711E-3</v>
      </c>
      <c r="AB249" s="9"/>
      <c r="AC249" s="10">
        <f t="shared" si="67"/>
        <v>-568.98</v>
      </c>
      <c r="AD249" s="8">
        <f>IFERROR(AC249/AC444, "NA")</f>
        <v>7.5839832373417154E-2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4029.1000000000004</v>
      </c>
      <c r="C262" s="15">
        <f>IFERROR(B262/B444, "NA")</f>
        <v>5.2391831238253903E-2</v>
      </c>
      <c r="D262" s="2"/>
      <c r="E262" s="14">
        <f>IFERROR(E240+E241+E242+E243+E244+E245+E246+E247+E248+E249+E250+E251+E252+E253+E254+E255+E256+E257+E258+E259+E260+E261, "NA")</f>
        <v>4632.28</v>
      </c>
      <c r="F262" s="15">
        <f>IFERROR(E262/E444, "NA")</f>
        <v>4.8440006098554395E-2</v>
      </c>
      <c r="G262" s="2"/>
      <c r="H262" s="14">
        <f t="shared" si="64"/>
        <v>603.17999999999938</v>
      </c>
      <c r="I262" s="15">
        <f>IFERROR(H262/H444, "NA")</f>
        <v>-3.2210812661106106E-2</v>
      </c>
      <c r="J262" s="2"/>
      <c r="K262" s="14">
        <f>IFERROR(K240+K241+K242+K243+K244+K245+K246+K247+K248+K249+K250+K251+K252+K253+K254+K255+K256+K257+K258+K259+K260+K261, "NA")</f>
        <v>4895.53</v>
      </c>
      <c r="L262" s="15">
        <f>IFERROR(K262/K444, "NA")</f>
        <v>5.6824036925241246E-2</v>
      </c>
      <c r="M262" s="2"/>
      <c r="N262" s="14">
        <f t="shared" si="65"/>
        <v>866.42999999999938</v>
      </c>
      <c r="O262" s="15">
        <f>IFERROR(N262/N444, "NA")</f>
        <v>-9.3675804714765776E-2</v>
      </c>
      <c r="P262" s="2"/>
      <c r="Q262" s="14">
        <f>IFERROR(Q240+Q241+Q242+Q243+Q244+Q245+Q246+Q247+Q248+Q249+Q250+Q251+Q252+Q253+Q254+Q255+Q256+Q257+Q258+Q259+Q260+Q261, "NA")</f>
        <v>8471.09</v>
      </c>
      <c r="R262" s="15">
        <f>IFERROR(Q262/Q444, "NA")</f>
        <v>5.654057959919289E-2</v>
      </c>
      <c r="S262" s="2"/>
      <c r="T262" s="14">
        <f>IFERROR(T240+T241+T242+T243+T244+T245+T246+T247+T248+T249+T250+T251+T252+T253+T254+T255+T256+T257+T258+T259+T260+T261, "NA")</f>
        <v>8252.2900000000009</v>
      </c>
      <c r="U262" s="15">
        <f>IFERROR(T262/T444, "NA")</f>
        <v>4.844001570547158E-2</v>
      </c>
      <c r="V262" s="2"/>
      <c r="W262" s="14">
        <f t="shared" si="66"/>
        <v>-218.79999999999927</v>
      </c>
      <c r="X262" s="15">
        <f>IFERROR(W262/W444, "NA")</f>
        <v>1.0653516293355342E-2</v>
      </c>
      <c r="Y262" s="2"/>
      <c r="Z262" s="14">
        <f>IFERROR(Z240+Z241+Z242+Z243+Z244+Z245+Z246+Z247+Z248+Z249+Z250+Z251+Z252+Z253+Z254+Z255+Z256+Z257+Z258+Z259+Z260+Z261, "NA")</f>
        <v>8005.8499999999995</v>
      </c>
      <c r="AA262" s="15">
        <f>IFERROR(Z262/Z444, "NA")</f>
        <v>5.0887147531888964E-2</v>
      </c>
      <c r="AB262" s="2"/>
      <c r="AC262" s="14">
        <f t="shared" si="67"/>
        <v>-465.24000000000069</v>
      </c>
      <c r="AD262" s="15">
        <f>IFERROR(AC262/AC444, "NA")</f>
        <v>6.2012238766579936E-2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4029.1000000000004</v>
      </c>
      <c r="C263" s="15">
        <f>IFERROR(B263/B444, "NA")</f>
        <v>5.2391831238253903E-2</v>
      </c>
      <c r="D263" s="2"/>
      <c r="E263" s="14">
        <f>IFERROR(E238+E240+E241+E242+E243+E244+E245+E246+E247+E248+E249+E250+E251+E252+E253+E254+E255+E256+E257+E258+E259+E260+E261, "NA")</f>
        <v>4632.28</v>
      </c>
      <c r="F263" s="15">
        <f>IFERROR(E263/E444, "NA")</f>
        <v>4.8440006098554395E-2</v>
      </c>
      <c r="G263" s="2"/>
      <c r="H263" s="14">
        <f t="shared" si="64"/>
        <v>603.17999999999938</v>
      </c>
      <c r="I263" s="15">
        <f>IFERROR(H263/H444, "NA")</f>
        <v>-3.2210812661106106E-2</v>
      </c>
      <c r="J263" s="2"/>
      <c r="K263" s="14">
        <f>IFERROR(K238+K240+K241+K242+K243+K244+K245+K246+K247+K248+K249+K250+K251+K252+K253+K254+K255+K256+K257+K258+K259+K260+K261, "NA")</f>
        <v>4895.53</v>
      </c>
      <c r="L263" s="15">
        <f>IFERROR(K263/K444, "NA")</f>
        <v>5.6824036925241246E-2</v>
      </c>
      <c r="M263" s="2"/>
      <c r="N263" s="14">
        <f t="shared" si="65"/>
        <v>866.42999999999938</v>
      </c>
      <c r="O263" s="15">
        <f>IFERROR(N263/N444, "NA")</f>
        <v>-9.3675804714765776E-2</v>
      </c>
      <c r="P263" s="2"/>
      <c r="Q263" s="14">
        <f>IFERROR(Q238+Q240+Q241+Q242+Q243+Q244+Q245+Q246+Q247+Q248+Q249+Q250+Q251+Q252+Q253+Q254+Q255+Q256+Q257+Q258+Q259+Q260+Q261, "NA")</f>
        <v>8471.09</v>
      </c>
      <c r="R263" s="15">
        <f>IFERROR(Q263/Q444, "NA")</f>
        <v>5.654057959919289E-2</v>
      </c>
      <c r="S263" s="2"/>
      <c r="T263" s="14">
        <f>IFERROR(T238+T240+T241+T242+T243+T244+T245+T246+T247+T248+T249+T250+T251+T252+T253+T254+T255+T256+T257+T258+T259+T260+T261, "NA")</f>
        <v>8252.2900000000009</v>
      </c>
      <c r="U263" s="15">
        <f>IFERROR(T263/T444, "NA")</f>
        <v>4.844001570547158E-2</v>
      </c>
      <c r="V263" s="2"/>
      <c r="W263" s="14">
        <f t="shared" si="66"/>
        <v>-218.79999999999927</v>
      </c>
      <c r="X263" s="15">
        <f>IFERROR(W263/W444, "NA")</f>
        <v>1.0653516293355342E-2</v>
      </c>
      <c r="Y263" s="2"/>
      <c r="Z263" s="14">
        <f>IFERROR(Z238+Z240+Z241+Z242+Z243+Z244+Z245+Z246+Z247+Z248+Z249+Z250+Z251+Z252+Z253+Z254+Z255+Z256+Z257+Z258+Z259+Z260+Z261, "NA")</f>
        <v>8005.8499999999995</v>
      </c>
      <c r="AA263" s="15">
        <f>IFERROR(Z263/Z444, "NA")</f>
        <v>5.0887147531888964E-2</v>
      </c>
      <c r="AB263" s="2"/>
      <c r="AC263" s="14">
        <f t="shared" si="67"/>
        <v>-465.24000000000069</v>
      </c>
      <c r="AD263" s="15">
        <f>IFERROR(AC263/AC444, "NA")</f>
        <v>6.2012238766579936E-2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2137.54</v>
      </c>
      <c r="C265" s="8">
        <f>IFERROR(B265/B444, "NA")</f>
        <v>2.7795198665959454E-2</v>
      </c>
      <c r="D265" s="9"/>
      <c r="E265" s="7">
        <v>2773.25</v>
      </c>
      <c r="F265" s="8">
        <f>IFERROR(E265/E444, "NA")</f>
        <v>2.9000027397483738E-2</v>
      </c>
      <c r="G265" s="9"/>
      <c r="H265" s="10">
        <f>IFERROR(-(B265-E265), "NA")</f>
        <v>635.71</v>
      </c>
      <c r="I265" s="8">
        <f>IFERROR(H265/H444, "NA")</f>
        <v>-3.3947968627593396E-2</v>
      </c>
      <c r="J265" s="9"/>
      <c r="K265" s="7">
        <v>2698.93</v>
      </c>
      <c r="L265" s="8">
        <f>IFERROR(K265/K444, "NA")</f>
        <v>3.1327373742708421E-2</v>
      </c>
      <c r="M265" s="9"/>
      <c r="N265" s="10">
        <f>IFERROR(-(B265-K265), "NA")</f>
        <v>561.38999999999987</v>
      </c>
      <c r="O265" s="8">
        <f>IFERROR(N265/N444, "NA")</f>
        <v>-6.069579770878477E-2</v>
      </c>
      <c r="P265" s="9"/>
      <c r="Q265" s="7">
        <v>4119.4399999999996</v>
      </c>
      <c r="R265" s="8">
        <f>IFERROR(Q265/Q444, "NA")</f>
        <v>2.7495343010651419E-2</v>
      </c>
      <c r="S265" s="9"/>
      <c r="T265" s="7">
        <v>4940.47</v>
      </c>
      <c r="U265" s="8">
        <f>IFERROR(T265/T444, "NA")</f>
        <v>2.9000004167620278E-2</v>
      </c>
      <c r="V265" s="9"/>
      <c r="W265" s="10">
        <f>IFERROR(-(Q265-T265), "NA")</f>
        <v>821.03000000000065</v>
      </c>
      <c r="X265" s="8">
        <f>IFERROR(W265/W444, "NA")</f>
        <v>-3.997649214960499E-2</v>
      </c>
      <c r="Y265" s="9"/>
      <c r="Z265" s="7">
        <v>4726.2700000000004</v>
      </c>
      <c r="AA265" s="8">
        <f>IFERROR(Z265/Z444, "NA")</f>
        <v>3.0041332121578709E-2</v>
      </c>
      <c r="AB265" s="9"/>
      <c r="AC265" s="10">
        <f>IFERROR(-(Q265-Z265), "NA")</f>
        <v>606.83000000000084</v>
      </c>
      <c r="AD265" s="8">
        <f>IFERROR(AC265/AC444, "NA")</f>
        <v>-8.0884891347957386E-2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2137.54</v>
      </c>
      <c r="C267" s="15">
        <f>IFERROR(B267/B444, "NA")</f>
        <v>2.7795198665959454E-2</v>
      </c>
      <c r="D267" s="2"/>
      <c r="E267" s="14">
        <f>IFERROR(E265+E266, "NA")</f>
        <v>2773.25</v>
      </c>
      <c r="F267" s="15">
        <f>IFERROR(E267/E444, "NA")</f>
        <v>2.9000027397483738E-2</v>
      </c>
      <c r="G267" s="2"/>
      <c r="H267" s="14">
        <f>IFERROR(-(B267-E267), "NA")</f>
        <v>635.71</v>
      </c>
      <c r="I267" s="15">
        <f>IFERROR(H267/H444, "NA")</f>
        <v>-3.3947968627593396E-2</v>
      </c>
      <c r="J267" s="2"/>
      <c r="K267" s="14">
        <f>IFERROR(K265+K266, "NA")</f>
        <v>2698.93</v>
      </c>
      <c r="L267" s="15">
        <f>IFERROR(K267/K444, "NA")</f>
        <v>3.1327373742708421E-2</v>
      </c>
      <c r="M267" s="2"/>
      <c r="N267" s="14">
        <f>IFERROR(-(B267-K267), "NA")</f>
        <v>561.38999999999987</v>
      </c>
      <c r="O267" s="15">
        <f>IFERROR(N267/N444, "NA")</f>
        <v>-6.069579770878477E-2</v>
      </c>
      <c r="P267" s="2"/>
      <c r="Q267" s="14">
        <f>IFERROR(Q265+Q266, "NA")</f>
        <v>4119.4399999999996</v>
      </c>
      <c r="R267" s="15">
        <f>IFERROR(Q267/Q444, "NA")</f>
        <v>2.7495343010651419E-2</v>
      </c>
      <c r="S267" s="2"/>
      <c r="T267" s="14">
        <f>IFERROR(T265+T266, "NA")</f>
        <v>4940.47</v>
      </c>
      <c r="U267" s="15">
        <f>IFERROR(T267/T444, "NA")</f>
        <v>2.9000004167620278E-2</v>
      </c>
      <c r="V267" s="2"/>
      <c r="W267" s="14">
        <f>IFERROR(-(Q267-T267), "NA")</f>
        <v>821.03000000000065</v>
      </c>
      <c r="X267" s="15">
        <f>IFERROR(W267/W444, "NA")</f>
        <v>-3.997649214960499E-2</v>
      </c>
      <c r="Y267" s="2"/>
      <c r="Z267" s="14">
        <f>IFERROR(Z265+Z266, "NA")</f>
        <v>4726.2700000000004</v>
      </c>
      <c r="AA267" s="15">
        <f>IFERROR(Z267/Z444, "NA")</f>
        <v>3.0041332121578709E-2</v>
      </c>
      <c r="AB267" s="2"/>
      <c r="AC267" s="14">
        <f>IFERROR(-(Q267-Z267), "NA")</f>
        <v>606.83000000000084</v>
      </c>
      <c r="AD267" s="15">
        <f>IFERROR(AC267/AC444, "NA")</f>
        <v>-8.0884891347957386E-2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201.73</v>
      </c>
      <c r="C270" s="8">
        <f>IFERROR(B270/B444, "NA")</f>
        <v>2.6231674854664709E-3</v>
      </c>
      <c r="D270" s="9"/>
      <c r="E270" s="7">
        <v>203.31</v>
      </c>
      <c r="F270" s="8">
        <f>IFERROR(E270/E444, "NA")</f>
        <v>2.1260238240989522E-3</v>
      </c>
      <c r="G270" s="9"/>
      <c r="H270" s="10">
        <f>IFERROR(-(B270-E270), "NA")</f>
        <v>1.5800000000000125</v>
      </c>
      <c r="I270" s="8">
        <f>IFERROR(H270/H444, "NA")</f>
        <v>-8.4374621181982333E-5</v>
      </c>
      <c r="J270" s="9"/>
      <c r="K270" s="7">
        <v>81.94</v>
      </c>
      <c r="L270" s="8">
        <f>IFERROR(K270/K444, "NA")</f>
        <v>9.5110469870560849E-4</v>
      </c>
      <c r="M270" s="9"/>
      <c r="N270" s="10">
        <f>IFERROR(-(B270-K270), "NA")</f>
        <v>-119.78999999999999</v>
      </c>
      <c r="O270" s="8">
        <f>IFERROR(N270/N444, "NA")</f>
        <v>1.295133437990582E-2</v>
      </c>
      <c r="P270" s="9"/>
      <c r="Q270" s="7">
        <v>403.46</v>
      </c>
      <c r="R270" s="8">
        <f>IFERROR(Q270/Q444, "NA")</f>
        <v>2.6929075532299103E-3</v>
      </c>
      <c r="S270" s="9"/>
      <c r="T270" s="7">
        <v>380.79</v>
      </c>
      <c r="U270" s="8">
        <f>IFERROR(T270/T444, "NA")</f>
        <v>2.2351945436341332E-3</v>
      </c>
      <c r="V270" s="9"/>
      <c r="W270" s="10">
        <f>IFERROR(-(Q270-T270), "NA")</f>
        <v>-22.669999999999959</v>
      </c>
      <c r="X270" s="8">
        <f>IFERROR(W270/W444, "NA")</f>
        <v>1.1038172503215994E-3</v>
      </c>
      <c r="Y270" s="9"/>
      <c r="Z270" s="7">
        <v>163.88</v>
      </c>
      <c r="AA270" s="8">
        <f>IFERROR(Z270/Z444, "NA")</f>
        <v>1.0416615022172491E-3</v>
      </c>
      <c r="AB270" s="9"/>
      <c r="AC270" s="10">
        <f>IFERROR(-(Q270-Z270), "NA")</f>
        <v>-239.57999999999998</v>
      </c>
      <c r="AD270" s="8">
        <f>IFERROR(AC270/AC444, "NA")</f>
        <v>3.1933823754830191E-2</v>
      </c>
    </row>
    <row r="271" spans="1:30" ht="16.5" customHeight="1" x14ac:dyDescent="0.45">
      <c r="A271" s="6" t="s">
        <v>246</v>
      </c>
      <c r="B271" s="7">
        <v>778.58</v>
      </c>
      <c r="C271" s="8">
        <f>IFERROR(B271/B444, "NA")</f>
        <v>1.0124154765451273E-2</v>
      </c>
      <c r="D271" s="9"/>
      <c r="E271" s="7">
        <v>573.78</v>
      </c>
      <c r="F271" s="8">
        <f>IFERROR(E271/E444, "NA")</f>
        <v>6.0000489390167559E-3</v>
      </c>
      <c r="G271" s="9"/>
      <c r="H271" s="10">
        <f>IFERROR(-(B271-E271), "NA")</f>
        <v>-204.80000000000007</v>
      </c>
      <c r="I271" s="8">
        <f>IFERROR(H271/H444, "NA")</f>
        <v>1.0936659758272058E-2</v>
      </c>
      <c r="J271" s="9"/>
      <c r="K271" s="7">
        <v>551.80999999999995</v>
      </c>
      <c r="L271" s="8">
        <f>IFERROR(K271/K444, "NA")</f>
        <v>6.4050412959817159E-3</v>
      </c>
      <c r="M271" s="9"/>
      <c r="N271" s="10">
        <f>IFERROR(-(B271-K271), "NA")</f>
        <v>-226.7700000000001</v>
      </c>
      <c r="O271" s="8">
        <f>IFERROR(N271/N444, "NA")</f>
        <v>2.4517690102105721E-2</v>
      </c>
      <c r="P271" s="9"/>
      <c r="Q271" s="7">
        <v>1557.16</v>
      </c>
      <c r="R271" s="8">
        <f>IFERROR(Q271/Q444, "NA")</f>
        <v>1.0393317616585256E-2</v>
      </c>
      <c r="S271" s="9"/>
      <c r="T271" s="7">
        <v>1022.17</v>
      </c>
      <c r="U271" s="8">
        <f>IFERROR(T271/T444, "NA")</f>
        <v>6.0000231273576029E-3</v>
      </c>
      <c r="V271" s="9"/>
      <c r="W271" s="10">
        <f>IFERROR(-(Q271-T271), "NA")</f>
        <v>-534.99000000000012</v>
      </c>
      <c r="X271" s="8">
        <f>IFERROR(W271/W444, "NA")</f>
        <v>2.6049015913081328E-2</v>
      </c>
      <c r="Y271" s="9"/>
      <c r="Z271" s="7">
        <v>1103.6199999999999</v>
      </c>
      <c r="AA271" s="8">
        <f>IFERROR(Z271/Z444, "NA")</f>
        <v>7.0148795891933147E-3</v>
      </c>
      <c r="AB271" s="9"/>
      <c r="AC271" s="10">
        <f>IFERROR(-(Q271-Z271), "NA")</f>
        <v>-453.54000000000019</v>
      </c>
      <c r="AD271" s="8">
        <f>IFERROR(AC271/AC444, "NA")</f>
        <v>6.0452735728214753E-2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980.31000000000006</v>
      </c>
      <c r="C273" s="15">
        <f>IFERROR(B273/B444, "NA")</f>
        <v>1.2747322250917745E-2</v>
      </c>
      <c r="D273" s="2"/>
      <c r="E273" s="14">
        <f>IFERROR(E269+E270+E271+E272, "NA")</f>
        <v>777.08999999999992</v>
      </c>
      <c r="F273" s="15">
        <f>IFERROR(E273/E444, "NA")</f>
        <v>8.1260727631157076E-3</v>
      </c>
      <c r="G273" s="2"/>
      <c r="H273" s="14">
        <f>IFERROR(-(B273-E273), "NA")</f>
        <v>-203.22000000000014</v>
      </c>
      <c r="I273" s="15">
        <f>IFERROR(H273/H444, "NA")</f>
        <v>1.0852285137090079E-2</v>
      </c>
      <c r="J273" s="2"/>
      <c r="K273" s="14">
        <f>IFERROR(K269+K270+K271+K272, "NA")</f>
        <v>633.75</v>
      </c>
      <c r="L273" s="15">
        <f>IFERROR(K273/K444, "NA")</f>
        <v>7.3561459946873253E-3</v>
      </c>
      <c r="M273" s="2"/>
      <c r="N273" s="14">
        <f>IFERROR(-(B273-K273), "NA")</f>
        <v>-346.56000000000006</v>
      </c>
      <c r="O273" s="15">
        <f>IFERROR(N273/N444, "NA")</f>
        <v>3.7469024482011538E-2</v>
      </c>
      <c r="P273" s="2"/>
      <c r="Q273" s="14">
        <f>IFERROR(Q269+Q270+Q271+Q272, "NA")</f>
        <v>1960.6200000000001</v>
      </c>
      <c r="R273" s="15">
        <f>IFERROR(Q273/Q444, "NA")</f>
        <v>1.3086225169815167E-2</v>
      </c>
      <c r="S273" s="2"/>
      <c r="T273" s="14">
        <f>IFERROR(T269+T270+T271+T272, "NA")</f>
        <v>1402.96</v>
      </c>
      <c r="U273" s="15">
        <f>IFERROR(T273/T444, "NA")</f>
        <v>8.2352176709917374E-3</v>
      </c>
      <c r="V273" s="2"/>
      <c r="W273" s="14">
        <f>IFERROR(-(Q273-T273), "NA")</f>
        <v>-557.66000000000008</v>
      </c>
      <c r="X273" s="15">
        <f>IFERROR(W273/W444, "NA")</f>
        <v>2.7152833163402928E-2</v>
      </c>
      <c r="Y273" s="2"/>
      <c r="Z273" s="14">
        <f>IFERROR(Z269+Z270+Z271+Z272, "NA")</f>
        <v>1267.5</v>
      </c>
      <c r="AA273" s="15">
        <f>IFERROR(Z273/Z444, "NA")</f>
        <v>8.0565410914105653E-3</v>
      </c>
      <c r="AB273" s="2"/>
      <c r="AC273" s="14">
        <f>IFERROR(-(Q273-Z273), "NA")</f>
        <v>-693.12000000000012</v>
      </c>
      <c r="AD273" s="15">
        <f>IFERROR(AC273/AC444, "NA")</f>
        <v>9.2386559483044944E-2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3.1371164587560164E-3</v>
      </c>
      <c r="G287" s="9"/>
      <c r="H287" s="10">
        <f t="shared" si="72"/>
        <v>300</v>
      </c>
      <c r="I287" s="8">
        <f>IFERROR(H287/H444, "NA")</f>
        <v>-1.6020497692781327E-2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600</v>
      </c>
      <c r="U287" s="8">
        <f>IFERROR(T287/T444, "NA")</f>
        <v>3.5219326300073E-3</v>
      </c>
      <c r="V287" s="9"/>
      <c r="W287" s="10">
        <f t="shared" si="74"/>
        <v>600</v>
      </c>
      <c r="X287" s="8">
        <f>IFERROR(W287/W444, "NA")</f>
        <v>-2.9214395685618035E-2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1.7879617768881168E-3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7.3427281091914421E-3</v>
      </c>
      <c r="J288" s="9"/>
      <c r="K288" s="7">
        <v>137.5</v>
      </c>
      <c r="L288" s="8">
        <f>IFERROR(K288/K444, "NA")</f>
        <v>1.596008006736895E-3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275</v>
      </c>
      <c r="R288" s="8">
        <f>IFERROR(Q288/Q444, "NA")</f>
        <v>1.8354968947063535E-3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-275</v>
      </c>
      <c r="X288" s="8">
        <f>IFERROR(W288/W444, "NA")</f>
        <v>1.3389931355908265E-2</v>
      </c>
      <c r="Y288" s="9"/>
      <c r="Z288" s="7">
        <v>275</v>
      </c>
      <c r="AA288" s="8">
        <f>IFERROR(Z288/Z444, "NA")</f>
        <v>1.7479674951778345E-3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143.63999999999999</v>
      </c>
      <c r="C289" s="8">
        <f>IFERROR(B289/B444, "NA")</f>
        <v>1.8678023973251569E-3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-143.63999999999999</v>
      </c>
      <c r="I289" s="8">
        <f>IFERROR(H289/H444, "NA")</f>
        <v>7.6706142953036991E-3</v>
      </c>
      <c r="J289" s="9"/>
      <c r="K289" s="7">
        <v>136.93</v>
      </c>
      <c r="L289" s="8">
        <f>IFERROR(K289/K444, "NA")</f>
        <v>1.5893918280907857E-3</v>
      </c>
      <c r="M289" s="9"/>
      <c r="N289" s="10">
        <f t="shared" si="73"/>
        <v>-6.7099999999999795</v>
      </c>
      <c r="O289" s="8">
        <f>IFERROR(N289/N444, "NA")</f>
        <v>7.2546501117929545E-4</v>
      </c>
      <c r="P289" s="9"/>
      <c r="Q289" s="7">
        <v>284.52999999999997</v>
      </c>
      <c r="R289" s="8">
        <f>IFERROR(Q289/Q444, "NA")</f>
        <v>1.8991052052756317E-3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-284.52999999999997</v>
      </c>
      <c r="X289" s="8">
        <f>IFERROR(W289/W444, "NA")</f>
        <v>1.3853953340714832E-2</v>
      </c>
      <c r="Y289" s="9"/>
      <c r="Z289" s="7">
        <v>273.86</v>
      </c>
      <c r="AA289" s="8">
        <f>IFERROR(Z289/Z444, "NA")</f>
        <v>1.7407213753796429E-3</v>
      </c>
      <c r="AB289" s="9"/>
      <c r="AC289" s="10">
        <f t="shared" si="75"/>
        <v>-10.669999999999959</v>
      </c>
      <c r="AD289" s="8">
        <f>IFERROR(AC289/AC444, "NA")</f>
        <v>1.4222134546457836E-3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809.63</v>
      </c>
      <c r="R290" s="8">
        <f>IFERROR(Q290/Q444, "NA")</f>
        <v>5.4039030940403821E-3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-809.63</v>
      </c>
      <c r="X290" s="8">
        <f>IFERROR(W290/W444, "NA")</f>
        <v>3.9421418631578213E-2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-809.63</v>
      </c>
      <c r="AD290" s="8">
        <f>IFERROR(AC290/AC444, "NA")</f>
        <v>0.10791627734628587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1147.55</v>
      </c>
      <c r="F291" s="8">
        <f>IFERROR(E291/E444, "NA")</f>
        <v>1.1999993307484887E-2</v>
      </c>
      <c r="G291" s="9"/>
      <c r="H291" s="10">
        <f t="shared" si="72"/>
        <v>1147.55</v>
      </c>
      <c r="I291" s="8">
        <f>IFERROR(H291/H444, "NA")</f>
        <v>-6.1281073757837375E-2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0</v>
      </c>
      <c r="R291" s="8">
        <f>IFERROR(Q291/Q444, "NA")</f>
        <v>0</v>
      </c>
      <c r="S291" s="9"/>
      <c r="T291" s="7">
        <v>2044.33</v>
      </c>
      <c r="U291" s="8">
        <f>IFERROR(T291/T444, "NA")</f>
        <v>1.1999987555838039E-2</v>
      </c>
      <c r="V291" s="9"/>
      <c r="W291" s="10">
        <f t="shared" si="74"/>
        <v>2044.33</v>
      </c>
      <c r="X291" s="8">
        <f>IFERROR(W291/W444, "NA")</f>
        <v>-9.9539775886632528E-2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0</v>
      </c>
      <c r="AD291" s="8">
        <f>IFERROR(AC291/AC444, "NA")</f>
        <v>0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2.4691104227589867E-3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1.8012135659967801E-2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4.9308287092513288E-2</v>
      </c>
    </row>
    <row r="294" spans="1:30" ht="16.5" customHeight="1" x14ac:dyDescent="0.45">
      <c r="A294" s="6" t="s">
        <v>267</v>
      </c>
      <c r="B294" s="7">
        <v>320</v>
      </c>
      <c r="C294" s="8">
        <f>IFERROR(B294/B444, "NA")</f>
        <v>4.1610746807577989E-3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-320</v>
      </c>
      <c r="I294" s="8">
        <f>IFERROR(H294/H444, "NA")</f>
        <v>1.7088530872300084E-2</v>
      </c>
      <c r="J294" s="9"/>
      <c r="K294" s="7">
        <v>169.1</v>
      </c>
      <c r="L294" s="8">
        <f>IFERROR(K294/K444, "NA")</f>
        <v>1.9627996650124287E-3</v>
      </c>
      <c r="M294" s="9"/>
      <c r="N294" s="10">
        <f t="shared" si="73"/>
        <v>-150.9</v>
      </c>
      <c r="O294" s="8">
        <f>IFERROR(N294/N444, "NA")</f>
        <v>1.6314853977191658E-2</v>
      </c>
      <c r="P294" s="9"/>
      <c r="Q294" s="7">
        <v>639.99</v>
      </c>
      <c r="R294" s="8">
        <f>IFERROR(Q294/Q444, "NA")</f>
        <v>4.2716351187022513E-3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-639.99</v>
      </c>
      <c r="X294" s="8">
        <f>IFERROR(W294/W444, "NA")</f>
        <v>3.1161535158064479E-2</v>
      </c>
      <c r="Y294" s="9"/>
      <c r="Z294" s="7">
        <v>338.2</v>
      </c>
      <c r="AA294" s="8">
        <f>IFERROR(Z294/Z444, "NA")</f>
        <v>2.149682206796886E-3</v>
      </c>
      <c r="AB294" s="9"/>
      <c r="AC294" s="10">
        <f t="shared" si="75"/>
        <v>-301.79000000000002</v>
      </c>
      <c r="AD294" s="8">
        <f>IFERROR(AC294/AC444, "NA")</f>
        <v>4.0225848029761264E-2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601.14</v>
      </c>
      <c r="C295" s="15">
        <f>IFERROR(B295/B444, "NA")</f>
        <v>7.8168388549710727E-3</v>
      </c>
      <c r="D295" s="2"/>
      <c r="E295" s="14">
        <f>IFERROR(E286+E287+E288+E289+E290+E291+E292+E293+E294, "NA")</f>
        <v>1447.55</v>
      </c>
      <c r="F295" s="15">
        <f>IFERROR(E295/E444, "NA")</f>
        <v>1.5137109766240903E-2</v>
      </c>
      <c r="G295" s="2"/>
      <c r="H295" s="14">
        <f t="shared" si="72"/>
        <v>846.41</v>
      </c>
      <c r="I295" s="15">
        <f>IFERROR(H295/H444, "NA")</f>
        <v>-4.519969817382348E-2</v>
      </c>
      <c r="J295" s="2"/>
      <c r="K295" s="14">
        <f>IFERROR(K286+K287+K288+K289+K290+K291+K292+K293+K294, "NA")</f>
        <v>443.53</v>
      </c>
      <c r="L295" s="15">
        <f>IFERROR(K295/K444, "NA")</f>
        <v>5.1481994998401085E-3</v>
      </c>
      <c r="M295" s="2"/>
      <c r="N295" s="14">
        <f t="shared" si="73"/>
        <v>-157.61000000000001</v>
      </c>
      <c r="O295" s="15">
        <f>IFERROR(N295/N444, "NA")</f>
        <v>1.7040318988370957E-2</v>
      </c>
      <c r="P295" s="2"/>
      <c r="Q295" s="14">
        <f>IFERROR(Q286+Q287+Q288+Q289+Q290+Q291+Q292+Q293+Q294, "NA")</f>
        <v>2379.08</v>
      </c>
      <c r="R295" s="15">
        <f>IFERROR(Q295/Q444, "NA")</f>
        <v>1.5879250735483606E-2</v>
      </c>
      <c r="S295" s="2"/>
      <c r="T295" s="14">
        <f>IFERROR(T286+T287+T288+T289+T290+T291+T292+T293+T294, "NA")</f>
        <v>2644.33</v>
      </c>
      <c r="U295" s="15">
        <f>IFERROR(T295/T444, "NA")</f>
        <v>1.5521920185845339E-2</v>
      </c>
      <c r="V295" s="2"/>
      <c r="W295" s="14">
        <f t="shared" si="74"/>
        <v>265.25</v>
      </c>
      <c r="X295" s="15">
        <f>IFERROR(W295/W444, "NA")</f>
        <v>-1.2915197426016973E-2</v>
      </c>
      <c r="Y295" s="2"/>
      <c r="Z295" s="14">
        <f>IFERROR(Z286+Z287+Z288+Z289+Z290+Z291+Z292+Z293+Z294, "NA")</f>
        <v>887.06</v>
      </c>
      <c r="AA295" s="15">
        <f>IFERROR(Z295/Z444, "NA")</f>
        <v>5.638371077354363E-3</v>
      </c>
      <c r="AB295" s="2"/>
      <c r="AC295" s="14">
        <f t="shared" si="75"/>
        <v>-1492.02</v>
      </c>
      <c r="AD295" s="15">
        <f>IFERROR(AC295/AC444, "NA")</f>
        <v>0.1988726259232062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1243.18</v>
      </c>
      <c r="F297" s="8">
        <f>IFERROR(E297/E444, "NA")</f>
        <v>1.300000146398768E-2</v>
      </c>
      <c r="G297" s="9"/>
      <c r="H297" s="10">
        <f t="shared" ref="H297:H325" si="76">IFERROR(-(B297-E297), "NA")</f>
        <v>1243.18</v>
      </c>
      <c r="I297" s="8">
        <f>IFERROR(H297/H444, "NA")</f>
        <v>-6.6387874405706315E-2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2214.69</v>
      </c>
      <c r="U297" s="8">
        <f>IFERROR(T297/T444, "NA")</f>
        <v>1.2999981627251446E-2</v>
      </c>
      <c r="V297" s="9"/>
      <c r="W297" s="10">
        <f t="shared" ref="W297:W325" si="78">IFERROR(-(Q297-T297), "NA")</f>
        <v>2214.69</v>
      </c>
      <c r="X297" s="8">
        <f>IFERROR(W297/W444, "NA")</f>
        <v>-0.10783471663496902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194.06</v>
      </c>
      <c r="C299" s="8">
        <f>IFERROR(B299/B444, "NA")</f>
        <v>2.5234317267120577E-3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-194.06</v>
      </c>
      <c r="I299" s="8">
        <f>IFERROR(H299/H444, "NA")</f>
        <v>1.0363125940870481E-2</v>
      </c>
      <c r="J299" s="9"/>
      <c r="K299" s="7">
        <v>184.72</v>
      </c>
      <c r="L299" s="8">
        <f>IFERROR(K299/K444, "NA")</f>
        <v>2.1441061745777401E-3</v>
      </c>
      <c r="M299" s="9"/>
      <c r="N299" s="10">
        <f t="shared" si="77"/>
        <v>-9.3400000000000034</v>
      </c>
      <c r="O299" s="8">
        <f>IFERROR(N299/N444, "NA")</f>
        <v>1.0098126981243878E-3</v>
      </c>
      <c r="P299" s="9"/>
      <c r="Q299" s="7">
        <v>388.12</v>
      </c>
      <c r="R299" s="8">
        <f>IFERROR(Q299/Q444, "NA")</f>
        <v>2.590520199176109E-3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-388.12</v>
      </c>
      <c r="X299" s="8">
        <f>IFERROR(W299/W444, "NA")</f>
        <v>1.8897818755836786E-2</v>
      </c>
      <c r="Y299" s="9"/>
      <c r="Z299" s="7">
        <v>369.44</v>
      </c>
      <c r="AA299" s="8">
        <f>IFERROR(Z299/Z444, "NA")</f>
        <v>2.3482513142490881E-3</v>
      </c>
      <c r="AB299" s="9"/>
      <c r="AC299" s="10">
        <f t="shared" si="79"/>
        <v>-18.680000000000007</v>
      </c>
      <c r="AD299" s="8">
        <f>IFERROR(AC299/AC444, "NA")</f>
        <v>2.4898732270649811E-3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197.01</v>
      </c>
      <c r="C304" s="8">
        <f>IFERROR(B304/B444, "NA")</f>
        <v>2.5617916339252937E-3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-197.01</v>
      </c>
      <c r="I304" s="8">
        <f>IFERROR(H304/H444, "NA")</f>
        <v>1.0520660834849498E-2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-197.01</v>
      </c>
      <c r="O304" s="8">
        <f>IFERROR(N304/N444, "NA")</f>
        <v>2.1300128442985608E-2</v>
      </c>
      <c r="P304" s="9"/>
      <c r="Q304" s="7">
        <v>197.01</v>
      </c>
      <c r="R304" s="8">
        <f>IFERROR(Q304/Q444, "NA")</f>
        <v>1.3149499753676316E-3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9.5925468233726812E-3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-197.01</v>
      </c>
      <c r="AD304" s="8">
        <f>IFERROR(AC304/AC444, "NA")</f>
        <v>2.6259631930624826E-2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83.37</v>
      </c>
      <c r="L310" s="8">
        <f>IFERROR(K310/K444, "NA")</f>
        <v>9.6770318197567226E-4</v>
      </c>
      <c r="M310" s="9"/>
      <c r="N310" s="10">
        <f t="shared" si="77"/>
        <v>83.37</v>
      </c>
      <c r="O310" s="8">
        <f>IFERROR(N310/N444, "NA")</f>
        <v>-9.0137135591681142E-3</v>
      </c>
      <c r="P310" s="9"/>
      <c r="Q310" s="7">
        <v>31.57</v>
      </c>
      <c r="R310" s="8">
        <f>IFERROR(Q310/Q444, "NA")</f>
        <v>2.1071504351228938E-4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-31.57</v>
      </c>
      <c r="X310" s="8">
        <f>IFERROR(W310/W444, "NA")</f>
        <v>1.5371641196582689E-3</v>
      </c>
      <c r="Y310" s="9"/>
      <c r="Z310" s="7">
        <v>83.37</v>
      </c>
      <c r="AA310" s="8">
        <f>IFERROR(Z310/Z444, "NA")</f>
        <v>5.2992018208354932E-4</v>
      </c>
      <c r="AB310" s="9"/>
      <c r="AC310" s="10">
        <f t="shared" si="79"/>
        <v>51.800000000000004</v>
      </c>
      <c r="AD310" s="8">
        <f>IFERROR(AC310/AC444, "NA")</f>
        <v>-6.9044664433600637E-3</v>
      </c>
    </row>
    <row r="311" spans="1:30" ht="16.5" customHeight="1" x14ac:dyDescent="0.45">
      <c r="A311" s="6" t="s">
        <v>283</v>
      </c>
      <c r="B311" s="7">
        <v>26.7</v>
      </c>
      <c r="C311" s="8">
        <f>IFERROR(B311/B444, "NA")</f>
        <v>3.4718966867572885E-4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-26.7</v>
      </c>
      <c r="I311" s="8">
        <f>IFERROR(H311/H444, "NA")</f>
        <v>1.4258242946575382E-3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-26.7</v>
      </c>
      <c r="O311" s="8">
        <f>IFERROR(N311/N444, "NA")</f>
        <v>2.8867236659444479E-3</v>
      </c>
      <c r="P311" s="9"/>
      <c r="Q311" s="7">
        <v>26.7</v>
      </c>
      <c r="R311" s="8">
        <f>IFERROR(Q311/Q444, "NA")</f>
        <v>1.7821006214058051E-4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1.3000406080100025E-3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3.5588659080639708E-3</v>
      </c>
    </row>
    <row r="312" spans="1:30" ht="16.5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0</v>
      </c>
      <c r="O312" s="8">
        <f>IFERROR(N312/N444, "NA")</f>
        <v>0</v>
      </c>
      <c r="P312" s="9"/>
      <c r="Q312" s="7">
        <v>29.03</v>
      </c>
      <c r="R312" s="8">
        <f>IFERROR(Q312/Q444, "NA")</f>
        <v>1.9376172673936525E-4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-29.03</v>
      </c>
      <c r="X312" s="8">
        <f>IFERROR(W312/W444, "NA")</f>
        <v>1.4134898445891527E-3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-29.03</v>
      </c>
      <c r="AD312" s="8">
        <f>IFERROR(AC312/AC444, "NA")</f>
        <v>3.8694336071571937E-3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18</v>
      </c>
      <c r="R313" s="8">
        <f>IFERROR(Q313/Q444, "NA")</f>
        <v>1.2014161492623405E-4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-18</v>
      </c>
      <c r="X313" s="8">
        <f>IFERROR(W313/W444, "NA")</f>
        <v>8.7643187056854108E-4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-18</v>
      </c>
      <c r="AD313" s="8">
        <f>IFERROR(AC313/AC444, "NA")</f>
        <v>2.3992354436386319E-3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1.0326096921051799E-2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4.2406791409381937E-2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8.5856783908732054E-2</v>
      </c>
      <c r="P315" s="9"/>
      <c r="Q315" s="7">
        <v>1588.22</v>
      </c>
      <c r="R315" s="8">
        <f>IFERROR(Q315/Q444, "NA")</f>
        <v>1.0600628647674635E-2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-1588.22</v>
      </c>
      <c r="X315" s="8">
        <f>IFERROR(W315/W444, "NA")</f>
        <v>7.7331479193020455E-2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-1588.22</v>
      </c>
      <c r="AD315" s="8">
        <f>IFERROR(AC315/AC444, "NA")</f>
        <v>0.21169520646087489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6.3794476199368006E-3</v>
      </c>
      <c r="D318" s="9"/>
      <c r="E318" s="7">
        <v>718</v>
      </c>
      <c r="F318" s="8">
        <f>IFERROR(E318/E444, "NA")</f>
        <v>7.5081653912893991E-3</v>
      </c>
      <c r="G318" s="9"/>
      <c r="H318" s="10">
        <f t="shared" si="76"/>
        <v>227.39999999999998</v>
      </c>
      <c r="I318" s="8">
        <f>IFERROR(H318/H444, "NA")</f>
        <v>-1.2143537251128246E-2</v>
      </c>
      <c r="J318" s="9"/>
      <c r="K318" s="7">
        <v>490.6</v>
      </c>
      <c r="L318" s="8">
        <f>IFERROR(K318/K444, "NA")</f>
        <v>5.6945565680372413E-3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981.2</v>
      </c>
      <c r="R318" s="8">
        <f>IFERROR(Q318/Q444, "NA")</f>
        <v>6.5490529203122696E-3</v>
      </c>
      <c r="S318" s="9"/>
      <c r="T318" s="7">
        <v>1436</v>
      </c>
      <c r="U318" s="8">
        <f>IFERROR(T318/T444, "NA")</f>
        <v>8.4291587611508047E-3</v>
      </c>
      <c r="V318" s="9"/>
      <c r="W318" s="10">
        <f t="shared" si="78"/>
        <v>454.79999999999995</v>
      </c>
      <c r="X318" s="8">
        <f>IFERROR(W318/W444, "NA")</f>
        <v>-2.214451192969847E-2</v>
      </c>
      <c r="Y318" s="9"/>
      <c r="Z318" s="7">
        <v>981.2</v>
      </c>
      <c r="AA318" s="8">
        <f>IFERROR(Z318/Z444, "NA")</f>
        <v>6.236748022794514E-3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160.16</v>
      </c>
      <c r="C319" s="8">
        <f>IFERROR(B319/B444, "NA")</f>
        <v>2.0826178777192785E-3</v>
      </c>
      <c r="D319" s="9"/>
      <c r="E319" s="7">
        <v>160</v>
      </c>
      <c r="F319" s="8">
        <f>IFERROR(E319/E444, "NA")</f>
        <v>1.6731287780032086E-3</v>
      </c>
      <c r="G319" s="9"/>
      <c r="H319" s="10">
        <f t="shared" si="76"/>
        <v>-0.15999999999999659</v>
      </c>
      <c r="I319" s="8">
        <f>IFERROR(H319/H444, "NA")</f>
        <v>8.5442654361498597E-6</v>
      </c>
      <c r="J319" s="9"/>
      <c r="K319" s="7">
        <v>159.85</v>
      </c>
      <c r="L319" s="8">
        <f>IFERROR(K319/K444, "NA")</f>
        <v>1.8554318536501283E-3</v>
      </c>
      <c r="M319" s="9"/>
      <c r="N319" s="10">
        <f t="shared" si="77"/>
        <v>-0.31000000000000227</v>
      </c>
      <c r="O319" s="8">
        <f>IFERROR(N319/N444, "NA")</f>
        <v>3.351626728250133E-5</v>
      </c>
      <c r="P319" s="9"/>
      <c r="Q319" s="7">
        <v>320.32</v>
      </c>
      <c r="R319" s="8">
        <f>IFERROR(Q319/Q444, "NA")</f>
        <v>2.1379867829539605E-3</v>
      </c>
      <c r="S319" s="9"/>
      <c r="T319" s="7">
        <v>320</v>
      </c>
      <c r="U319" s="8">
        <f>IFERROR(T319/T444, "NA")</f>
        <v>1.8783640693372267E-3</v>
      </c>
      <c r="V319" s="9"/>
      <c r="W319" s="10">
        <f t="shared" si="78"/>
        <v>-0.31999999999999318</v>
      </c>
      <c r="X319" s="8">
        <f>IFERROR(W319/W444, "NA")</f>
        <v>1.5581011032329288E-5</v>
      </c>
      <c r="Y319" s="9"/>
      <c r="Z319" s="7">
        <v>319.7</v>
      </c>
      <c r="AA319" s="8">
        <f>IFERROR(Z319/Z444, "NA")</f>
        <v>2.0320916662121954E-3</v>
      </c>
      <c r="AB319" s="9"/>
      <c r="AC319" s="10">
        <f t="shared" si="79"/>
        <v>-0.62000000000000455</v>
      </c>
      <c r="AD319" s="8">
        <f>IFERROR(AC319/AC444, "NA")</f>
        <v>8.2640331947553492E-5</v>
      </c>
    </row>
    <row r="320" spans="1:30" ht="16.5" customHeight="1" x14ac:dyDescent="0.45">
      <c r="A320" s="6" t="s">
        <v>292</v>
      </c>
      <c r="B320" s="7">
        <v>1031.07</v>
      </c>
      <c r="C320" s="8">
        <f>IFERROR(B320/B444, "NA")</f>
        <v>1.3407372722152949E-2</v>
      </c>
      <c r="D320" s="9"/>
      <c r="E320" s="7">
        <v>827</v>
      </c>
      <c r="F320" s="8">
        <f>IFERROR(E320/E444, "NA")</f>
        <v>8.6479843713040839E-3</v>
      </c>
      <c r="G320" s="9"/>
      <c r="H320" s="10">
        <f t="shared" si="76"/>
        <v>-204.06999999999994</v>
      </c>
      <c r="I320" s="8">
        <f>IFERROR(H320/H444, "NA")</f>
        <v>1.0897676547219615E-2</v>
      </c>
      <c r="J320" s="9"/>
      <c r="K320" s="7">
        <v>899.4</v>
      </c>
      <c r="L320" s="8">
        <f>IFERROR(K320/K444, "NA")</f>
        <v>1.0439633463703005E-2</v>
      </c>
      <c r="M320" s="9"/>
      <c r="N320" s="10">
        <f t="shared" si="77"/>
        <v>-131.66999999999996</v>
      </c>
      <c r="O320" s="8">
        <f>IFERROR(N320/N444, "NA")</f>
        <v>1.4235764235764246E-2</v>
      </c>
      <c r="P320" s="9"/>
      <c r="Q320" s="7">
        <v>2062.14</v>
      </c>
      <c r="R320" s="8">
        <f>IFERROR(Q320/Q444, "NA")</f>
        <v>1.3763823877999126E-2</v>
      </c>
      <c r="S320" s="9"/>
      <c r="T320" s="7">
        <v>1654</v>
      </c>
      <c r="U320" s="8">
        <f>IFERROR(T320/T444, "NA")</f>
        <v>9.7087942833867912E-3</v>
      </c>
      <c r="V320" s="9"/>
      <c r="W320" s="10">
        <f t="shared" si="78"/>
        <v>-408.13999999999987</v>
      </c>
      <c r="X320" s="8">
        <f>IFERROR(W320/W444, "NA")</f>
        <v>1.98726057585469E-2</v>
      </c>
      <c r="Y320" s="9"/>
      <c r="Z320" s="7">
        <v>1798.8</v>
      </c>
      <c r="AA320" s="8">
        <f>IFERROR(Z320/Z444, "NA")</f>
        <v>1.143361429209414E-2</v>
      </c>
      <c r="AB320" s="9"/>
      <c r="AC320" s="10">
        <f t="shared" si="79"/>
        <v>-263.33999999999992</v>
      </c>
      <c r="AD320" s="8">
        <f>IFERROR(AC320/AC444, "NA")</f>
        <v>3.5100814540433178E-2</v>
      </c>
    </row>
    <row r="321" spans="1:30" ht="16.5" customHeight="1" x14ac:dyDescent="0.45">
      <c r="A321" s="6" t="s">
        <v>293</v>
      </c>
      <c r="B321" s="7">
        <v>2256.6999999999998</v>
      </c>
      <c r="C321" s="8">
        <f>IFERROR(B321/B444, "NA")</f>
        <v>2.9344678850206637E-2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-2256.6999999999998</v>
      </c>
      <c r="I321" s="8">
        <f>IFERROR(H321/H444, "NA")</f>
        <v>0.12051152381099874</v>
      </c>
      <c r="J321" s="9"/>
      <c r="K321" s="7">
        <v>1596.45</v>
      </c>
      <c r="L321" s="8">
        <f>IFERROR(K321/K444, "NA")</f>
        <v>1.8530523508037206E-2</v>
      </c>
      <c r="M321" s="9"/>
      <c r="N321" s="10">
        <f t="shared" si="77"/>
        <v>-660.24999999999977</v>
      </c>
      <c r="O321" s="8">
        <f>IFERROR(N321/N444, "NA")</f>
        <v>7.1384243462165584E-2</v>
      </c>
      <c r="P321" s="9"/>
      <c r="Q321" s="7">
        <v>4417.1099999999997</v>
      </c>
      <c r="R321" s="8">
        <f>IFERROR(Q321/Q444, "NA")</f>
        <v>2.9482151594823203E-2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-4417.1099999999997</v>
      </c>
      <c r="X321" s="8">
        <f>IFERROR(W321/W444, "NA")</f>
        <v>0.21507199887816711</v>
      </c>
      <c r="Y321" s="9"/>
      <c r="Z321" s="7">
        <v>4149.49</v>
      </c>
      <c r="AA321" s="8">
        <f>IFERROR(Z321/Z444, "NA")</f>
        <v>2.6375176878419899E-2</v>
      </c>
      <c r="AB321" s="9"/>
      <c r="AC321" s="10">
        <f t="shared" si="79"/>
        <v>-267.61999999999989</v>
      </c>
      <c r="AD321" s="8">
        <f>IFERROR(AC321/AC444, "NA")</f>
        <v>3.5671299412587246E-2</v>
      </c>
    </row>
    <row r="322" spans="1:30" ht="16.5" customHeight="1" x14ac:dyDescent="0.45">
      <c r="A322" s="6" t="s">
        <v>294</v>
      </c>
      <c r="B322" s="7">
        <v>185.14</v>
      </c>
      <c r="C322" s="8">
        <f>IFERROR(B322/B444, "NA")</f>
        <v>2.4074417699859337E-3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-185.14</v>
      </c>
      <c r="I322" s="8">
        <f>IFERROR(H322/H444, "NA")</f>
        <v>9.8867831428051164E-3</v>
      </c>
      <c r="J322" s="9"/>
      <c r="K322" s="7">
        <v>155.97</v>
      </c>
      <c r="L322" s="8">
        <f>IFERROR(K322/K444, "NA")</f>
        <v>1.8103954095327528E-3</v>
      </c>
      <c r="M322" s="9"/>
      <c r="N322" s="10">
        <f t="shared" si="77"/>
        <v>-29.169999999999987</v>
      </c>
      <c r="O322" s="8">
        <f>IFERROR(N322/N444, "NA")</f>
        <v>3.1537726342921167E-3</v>
      </c>
      <c r="P322" s="9"/>
      <c r="Q322" s="7">
        <v>370.25</v>
      </c>
      <c r="R322" s="8">
        <f>IFERROR(Q322/Q444, "NA")</f>
        <v>2.4712462736910085E-3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-370.25</v>
      </c>
      <c r="X322" s="8">
        <f>IFERROR(W322/W444, "NA")</f>
        <v>1.802771667100013E-2</v>
      </c>
      <c r="Y322" s="9"/>
      <c r="Z322" s="7">
        <v>661.94</v>
      </c>
      <c r="AA322" s="8">
        <f>IFERROR(Z322/Z444, "NA")</f>
        <v>4.2074531045746032E-3</v>
      </c>
      <c r="AB322" s="9"/>
      <c r="AC322" s="10">
        <f t="shared" si="79"/>
        <v>291.69000000000005</v>
      </c>
      <c r="AD322" s="8">
        <f>IFERROR(AC322/AC444, "NA")</f>
        <v>-3.8879610364164041E-2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5335.55</v>
      </c>
      <c r="C324" s="15">
        <f>IFERROR(B324/B444, "NA")</f>
        <v>6.9380068790366484E-2</v>
      </c>
      <c r="D324" s="2"/>
      <c r="E324" s="14">
        <f>IFERROR(E297+E298+E299+E300+E301+E302+E303+E304+E305+E306+E307+E308+E309+E310+E311+E312+E313+E314+E315+E316+E317+E318+E319+E320+E321+E322+E323, "NA")</f>
        <v>2948.1800000000003</v>
      </c>
      <c r="F324" s="15">
        <f>IFERROR(E324/E444, "NA")</f>
        <v>3.0829280004584375E-2</v>
      </c>
      <c r="G324" s="2"/>
      <c r="H324" s="14">
        <f t="shared" si="76"/>
        <v>-2387.37</v>
      </c>
      <c r="I324" s="15">
        <f>IFERROR(H324/H444, "NA")</f>
        <v>0.12748951858938454</v>
      </c>
      <c r="J324" s="2"/>
      <c r="K324" s="14">
        <f>IFERROR(K297+K298+K299+K300+K301+K302+K303+K304+K305+K306+K307+K308+K309+K310+K311+K312+K313+K314+K315+K316+K317+K318+K319+K320+K321+K322+K323, "NA")</f>
        <v>3570.36</v>
      </c>
      <c r="L324" s="15">
        <f>IFERROR(K324/K444, "NA")</f>
        <v>4.1442350159513745E-2</v>
      </c>
      <c r="M324" s="2"/>
      <c r="N324" s="14">
        <f t="shared" si="77"/>
        <v>-1765.19</v>
      </c>
      <c r="O324" s="15">
        <f>IFERROR(N324/N444, "NA")</f>
        <v>0.19084703175612286</v>
      </c>
      <c r="P324" s="2"/>
      <c r="Q324" s="14">
        <f>IFERROR(Q297+Q298+Q299+Q300+Q301+Q302+Q303+Q304+Q305+Q306+Q307+Q308+Q309+Q310+Q311+Q312+Q313+Q314+Q315+Q316+Q317+Q318+Q319+Q320+Q321+Q322+Q323, "NA")</f>
        <v>10429.67</v>
      </c>
      <c r="R324" s="15">
        <f>IFERROR(Q324/Q444, "NA")</f>
        <v>6.9613188719316418E-2</v>
      </c>
      <c r="S324" s="2"/>
      <c r="T324" s="14">
        <f>IFERROR(T297+T298+T299+T300+T301+T302+T303+T304+T305+T306+T307+T308+T309+T310+T311+T312+T313+T314+T315+T316+T317+T318+T319+T320+T321+T322+T323, "NA")</f>
        <v>5624.6900000000005</v>
      </c>
      <c r="U324" s="15">
        <f>IFERROR(T324/T444, "NA")</f>
        <v>3.3016298741126271E-2</v>
      </c>
      <c r="V324" s="2"/>
      <c r="W324" s="14">
        <f t="shared" si="78"/>
        <v>-4804.9799999999996</v>
      </c>
      <c r="X324" s="15">
        <f>IFERROR(W324/W444, "NA")</f>
        <v>0.2339576449691349</v>
      </c>
      <c r="Y324" s="2"/>
      <c r="Z324" s="14">
        <f>IFERROR(Z297+Z298+Z299+Z300+Z301+Z302+Z303+Z304+Z305+Z306+Z307+Z308+Z309+Z310+Z311+Z312+Z313+Z314+Z315+Z316+Z317+Z318+Z319+Z320+Z321+Z322+Z323, "NA")</f>
        <v>8363.94</v>
      </c>
      <c r="AA324" s="15">
        <f>IFERROR(Z324/Z444, "NA")</f>
        <v>5.3163255460427994E-2</v>
      </c>
      <c r="AB324" s="2"/>
      <c r="AC324" s="14">
        <f t="shared" si="79"/>
        <v>-2065.7299999999996</v>
      </c>
      <c r="AD324" s="15">
        <f>IFERROR(AC324/AC444, "NA")</f>
        <v>0.27534292405486832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21355.379999999997</v>
      </c>
      <c r="C325" s="15">
        <f>IFERROR(B325/B444, "NA")</f>
        <v>0.27769165942487961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18335.07</v>
      </c>
      <c r="F325" s="15">
        <f>IFERROR(E325/E444, "NA")</f>
        <v>0.19173083289814555</v>
      </c>
      <c r="G325" s="2"/>
      <c r="H325" s="14">
        <f t="shared" si="76"/>
        <v>-3020.3099999999977</v>
      </c>
      <c r="I325" s="15">
        <f>IFERROR(H325/H444, "NA")</f>
        <v>0.16128956462161445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16498.650000000001</v>
      </c>
      <c r="L325" s="15">
        <f>IFERROR(K325/K444, "NA")</f>
        <v>0.19150529091163399</v>
      </c>
      <c r="M325" s="2"/>
      <c r="N325" s="14">
        <f t="shared" si="77"/>
        <v>-4856.7299999999959</v>
      </c>
      <c r="O325" s="15">
        <f>IFERROR(N325/N444, "NA")</f>
        <v>0.52509503483529463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43292.43</v>
      </c>
      <c r="R325" s="15">
        <f>IFERROR(Q325/Q444, "NA")</f>
        <v>0.28895680301560794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33223.53</v>
      </c>
      <c r="U325" s="15">
        <f>IFERROR(T325/T444, "NA")</f>
        <v>0.19501839065171073</v>
      </c>
      <c r="V325" s="2"/>
      <c r="W325" s="14">
        <f t="shared" si="78"/>
        <v>-10068.900000000001</v>
      </c>
      <c r="X325" s="15">
        <f>IFERROR(W325/W444, "NA")</f>
        <v>0.49026138119819912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30748.279999999995</v>
      </c>
      <c r="AA325" s="15">
        <f>IFERROR(Z325/Z444, "NA")</f>
        <v>0.19544361444591526</v>
      </c>
      <c r="AB325" s="2"/>
      <c r="AC325" s="14">
        <f t="shared" si="79"/>
        <v>-12544.150000000005</v>
      </c>
      <c r="AD325" s="15">
        <f>IFERROR(AC325/AC444, "NA")</f>
        <v>1.6720205161288644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0.17076660389078685</v>
      </c>
      <c r="D329" s="9"/>
      <c r="E329" s="7">
        <v>12121</v>
      </c>
      <c r="F329" s="8">
        <f>IFERROR(E329/E444, "NA")</f>
        <v>0.12674996198860558</v>
      </c>
      <c r="G329" s="9"/>
      <c r="H329" s="10">
        <f t="shared" si="80"/>
        <v>-1011.5</v>
      </c>
      <c r="I329" s="8">
        <f>IFERROR(H329/H444, "NA")</f>
        <v>5.4015778054161044E-2</v>
      </c>
      <c r="J329" s="9"/>
      <c r="K329" s="7">
        <v>12750</v>
      </c>
      <c r="L329" s="8">
        <f>IFERROR(K329/K444, "NA")</f>
        <v>0.14799346971560298</v>
      </c>
      <c r="M329" s="9"/>
      <c r="N329" s="10">
        <f t="shared" si="81"/>
        <v>-382.5</v>
      </c>
      <c r="O329" s="8">
        <f>IFERROR(N329/N444, "NA")</f>
        <v>4.1354749146956978E-2</v>
      </c>
      <c r="P329" s="9"/>
      <c r="Q329" s="7">
        <v>26265</v>
      </c>
      <c r="R329" s="8">
        <f>IFERROR(Q329/Q444, "NA")</f>
        <v>0.17530663977986319</v>
      </c>
      <c r="S329" s="9"/>
      <c r="T329" s="7">
        <v>24242</v>
      </c>
      <c r="U329" s="8">
        <f>IFERROR(T329/T444, "NA")</f>
        <v>0.14229781802772828</v>
      </c>
      <c r="V329" s="9"/>
      <c r="W329" s="10">
        <f t="shared" si="82"/>
        <v>-2023</v>
      </c>
      <c r="X329" s="8">
        <f>IFERROR(W329/W444, "NA")</f>
        <v>9.8501204120008803E-2</v>
      </c>
      <c r="Y329" s="9"/>
      <c r="Z329" s="7">
        <v>25500</v>
      </c>
      <c r="AA329" s="8">
        <f>IFERROR(Z329/Z444, "NA")</f>
        <v>0.16208425864376283</v>
      </c>
      <c r="AB329" s="9"/>
      <c r="AC329" s="10">
        <f t="shared" si="83"/>
        <v>-765</v>
      </c>
      <c r="AD329" s="8">
        <f>IFERROR(AC329/AC444, "NA")</f>
        <v>0.10196750635464186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2.7645139910284628E-2</v>
      </c>
      <c r="D330" s="9"/>
      <c r="E330" s="7">
        <v>1875</v>
      </c>
      <c r="F330" s="8">
        <f>IFERROR(E330/E444, "NA")</f>
        <v>1.9606977867225102E-2</v>
      </c>
      <c r="G330" s="9"/>
      <c r="H330" s="10">
        <f t="shared" si="80"/>
        <v>-251</v>
      </c>
      <c r="I330" s="8">
        <f>IFERROR(H330/H444, "NA")</f>
        <v>1.3403816402960378E-2</v>
      </c>
      <c r="J330" s="9"/>
      <c r="K330" s="7">
        <v>1875</v>
      </c>
      <c r="L330" s="8">
        <f>IFERROR(K330/K444, "NA")</f>
        <v>2.1763745546412205E-2</v>
      </c>
      <c r="M330" s="9"/>
      <c r="N330" s="10">
        <f t="shared" si="81"/>
        <v>-251</v>
      </c>
      <c r="O330" s="8">
        <f>IFERROR(N330/N444, "NA")</f>
        <v>2.7137364799702489E-2</v>
      </c>
      <c r="P330" s="9"/>
      <c r="Q330" s="7">
        <v>4252</v>
      </c>
      <c r="R330" s="8">
        <f>IFERROR(Q330/Q444, "NA")</f>
        <v>2.8380119259241509E-2</v>
      </c>
      <c r="S330" s="9"/>
      <c r="T330" s="7">
        <v>3750</v>
      </c>
      <c r="U330" s="8">
        <f>IFERROR(T330/T444, "NA")</f>
        <v>2.2012078937545625E-2</v>
      </c>
      <c r="V330" s="9"/>
      <c r="W330" s="10">
        <f t="shared" si="82"/>
        <v>-502</v>
      </c>
      <c r="X330" s="8">
        <f>IFERROR(W330/W444, "NA")</f>
        <v>2.444271105696709E-2</v>
      </c>
      <c r="Y330" s="9"/>
      <c r="Z330" s="7">
        <v>3750</v>
      </c>
      <c r="AA330" s="8">
        <f>IFERROR(Z330/Z444, "NA")</f>
        <v>2.3835920388788654E-2</v>
      </c>
      <c r="AB330" s="9"/>
      <c r="AC330" s="10">
        <f t="shared" si="83"/>
        <v>-502</v>
      </c>
      <c r="AD330" s="8">
        <f>IFERROR(AC330/AC444, "NA")</f>
        <v>6.6912010705921843E-2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2.3406045079262618E-3</v>
      </c>
      <c r="D332" s="9"/>
      <c r="E332" s="7">
        <v>180</v>
      </c>
      <c r="F332" s="8">
        <f>IFERROR(E332/E444, "NA")</f>
        <v>1.8822698752536096E-3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2.0893195724555717E-3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360</v>
      </c>
      <c r="R332" s="8">
        <f>IFERROR(Q332/Q444, "NA")</f>
        <v>2.4028322985246808E-3</v>
      </c>
      <c r="S332" s="9"/>
      <c r="T332" s="7">
        <v>360</v>
      </c>
      <c r="U332" s="8">
        <f>IFERROR(T332/T444, "NA")</f>
        <v>2.1131595780043799E-3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360</v>
      </c>
      <c r="AA332" s="8">
        <f>IFERROR(Z332/Z444, "NA")</f>
        <v>2.2882483573237107E-3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1.3324411295705342E-2</v>
      </c>
      <c r="D333" s="9"/>
      <c r="E333" s="7">
        <v>1254</v>
      </c>
      <c r="F333" s="8">
        <f>IFERROR(E333/E444, "NA")</f>
        <v>1.3113146797600148E-2</v>
      </c>
      <c r="G333" s="9"/>
      <c r="H333" s="10">
        <f t="shared" si="80"/>
        <v>229.30999999999995</v>
      </c>
      <c r="I333" s="8">
        <f>IFERROR(H333/H444, "NA")</f>
        <v>-1.2245534419772285E-2</v>
      </c>
      <c r="J333" s="9"/>
      <c r="K333" s="7">
        <v>1254</v>
      </c>
      <c r="L333" s="8">
        <f>IFERROR(K333/K444, "NA")</f>
        <v>1.4555593021440482E-2</v>
      </c>
      <c r="M333" s="9"/>
      <c r="N333" s="10">
        <f t="shared" si="81"/>
        <v>229.30999999999995</v>
      </c>
      <c r="O333" s="8">
        <f>IFERROR(N333/N444, "NA")</f>
        <v>-2.4792307259839746E-2</v>
      </c>
      <c r="P333" s="9"/>
      <c r="Q333" s="7">
        <v>2049.38</v>
      </c>
      <c r="R333" s="8">
        <f>IFERROR(Q333/Q444, "NA")</f>
        <v>1.3678656822084752E-2</v>
      </c>
      <c r="S333" s="9"/>
      <c r="T333" s="7">
        <v>2508</v>
      </c>
      <c r="U333" s="8">
        <f>IFERROR(T333/T444, "NA")</f>
        <v>1.4721678393430514E-2</v>
      </c>
      <c r="V333" s="9"/>
      <c r="W333" s="10">
        <f t="shared" si="82"/>
        <v>458.61999999999989</v>
      </c>
      <c r="X333" s="8">
        <f>IFERROR(W333/W444, "NA")</f>
        <v>-2.2330510248896901E-2</v>
      </c>
      <c r="Y333" s="9"/>
      <c r="Z333" s="7">
        <v>2508</v>
      </c>
      <c r="AA333" s="8">
        <f>IFERROR(Z333/Z444, "NA")</f>
        <v>1.594146355602185E-2</v>
      </c>
      <c r="AB333" s="9"/>
      <c r="AC333" s="10">
        <f t="shared" si="83"/>
        <v>458.61999999999989</v>
      </c>
      <c r="AD333" s="8">
        <f>IFERROR(AC333/AC444, "NA")</f>
        <v>-6.1129853286752731E-2</v>
      </c>
    </row>
    <row r="334" spans="1:30" ht="16.5" customHeight="1" x14ac:dyDescent="0.45">
      <c r="A334" s="6" t="s">
        <v>305</v>
      </c>
      <c r="B334" s="7">
        <v>-1011.2</v>
      </c>
      <c r="C334" s="8">
        <f>IFERROR(B334/B444, "NA")</f>
        <v>-1.3148995991194646E-2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1011.2</v>
      </c>
      <c r="I334" s="8">
        <f>IFERROR(H334/H444, "NA")</f>
        <v>-5.399975755646827E-2</v>
      </c>
      <c r="J334" s="9"/>
      <c r="K334" s="7">
        <v>-981.75</v>
      </c>
      <c r="L334" s="8">
        <f>IFERROR(K334/K444, "NA")</f>
        <v>-1.139549716810143E-2</v>
      </c>
      <c r="M334" s="9"/>
      <c r="N334" s="10">
        <f t="shared" si="81"/>
        <v>29.450000000000045</v>
      </c>
      <c r="O334" s="8">
        <f>IFERROR(N334/N444, "NA")</f>
        <v>-3.1840453918376079E-3</v>
      </c>
      <c r="P334" s="9"/>
      <c r="Q334" s="7">
        <v>-2022.4</v>
      </c>
      <c r="R334" s="8">
        <f>IFERROR(Q334/Q444, "NA")</f>
        <v>-1.3498577890378652E-2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2022.4</v>
      </c>
      <c r="X334" s="8">
        <f>IFERROR(W334/W444, "NA")</f>
        <v>-9.8471989724323195E-2</v>
      </c>
      <c r="Y334" s="9"/>
      <c r="Z334" s="7">
        <v>-1963.5</v>
      </c>
      <c r="AA334" s="8">
        <f>IFERROR(Z334/Z444, "NA")</f>
        <v>-1.2480487915569738E-2</v>
      </c>
      <c r="AB334" s="9"/>
      <c r="AC334" s="10">
        <f t="shared" si="83"/>
        <v>58.900000000000091</v>
      </c>
      <c r="AD334" s="8">
        <f>IFERROR(AC334/AC444, "NA")</f>
        <v>-7.8508315350175363E-3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1387.97</v>
      </c>
      <c r="F337" s="8">
        <f>IFERROR(E337/E444, "NA")</f>
        <v>1.451407843753196E-2</v>
      </c>
      <c r="G337" s="9"/>
      <c r="H337" s="10">
        <f t="shared" ref="H337:H344" si="84">IFERROR(-(B337-E337), "NA")</f>
        <v>1387.97</v>
      </c>
      <c r="I337" s="8">
        <f>IFERROR(H337/H444, "NA")</f>
        <v>-7.4119900608832334E-2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3189.46</v>
      </c>
      <c r="U337" s="8">
        <f>IFERROR(T337/T444, "NA")</f>
        <v>1.8721772076838474E-2</v>
      </c>
      <c r="V337" s="9"/>
      <c r="W337" s="10">
        <f t="shared" ref="W337:W344" si="86">IFERROR(-(Q337-T337), "NA")</f>
        <v>3189.46</v>
      </c>
      <c r="X337" s="8">
        <f>IFERROR(W337/W444, "NA")</f>
        <v>-0.15529691077241883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392.85</v>
      </c>
      <c r="C338" s="8">
        <f>IFERROR(B338/B444, "NA")</f>
        <v>5.108369338549067E-3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-392.85</v>
      </c>
      <c r="I338" s="8">
        <f>IFERROR(H338/H444, "NA")</f>
        <v>2.0978841728697149E-2</v>
      </c>
      <c r="J338" s="9"/>
      <c r="K338" s="7">
        <v>400</v>
      </c>
      <c r="L338" s="8">
        <f>IFERROR(K338/K444, "NA")</f>
        <v>4.6429323832346036E-3</v>
      </c>
      <c r="M338" s="9"/>
      <c r="N338" s="10">
        <f t="shared" si="85"/>
        <v>7.1499999999999773</v>
      </c>
      <c r="O338" s="8">
        <f>IFERROR(N338/N444, "NA")</f>
        <v>-7.730364873221999E-4</v>
      </c>
      <c r="P338" s="9"/>
      <c r="Q338" s="7">
        <v>879.11</v>
      </c>
      <c r="R338" s="8">
        <f>IFERROR(Q338/Q444, "NA")</f>
        <v>5.8676497276556449E-3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-879.11</v>
      </c>
      <c r="X338" s="8">
        <f>IFERROR(W338/W444, "NA")</f>
        <v>4.2804445651972785E-2</v>
      </c>
      <c r="Y338" s="9"/>
      <c r="Z338" s="7">
        <v>800</v>
      </c>
      <c r="AA338" s="8">
        <f>IFERROR(Z338/Z444, "NA")</f>
        <v>5.0849963496082456E-3</v>
      </c>
      <c r="AB338" s="9"/>
      <c r="AC338" s="10">
        <f t="shared" si="87"/>
        <v>-79.110000000000014</v>
      </c>
      <c r="AD338" s="8">
        <f>IFERROR(AC338/AC444, "NA")</f>
        <v>1.054463977479179E-2</v>
      </c>
    </row>
    <row r="339" spans="1:30" ht="16.5" customHeight="1" x14ac:dyDescent="0.45">
      <c r="A339" s="12" t="s">
        <v>309</v>
      </c>
      <c r="B339" s="7">
        <v>270.49</v>
      </c>
      <c r="C339" s="8">
        <f>IFERROR(B339/B444, "NA")</f>
        <v>3.5172784074943035E-3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-270.49</v>
      </c>
      <c r="I339" s="8">
        <f>IFERROR(H339/H444, "NA")</f>
        <v>1.4444614736401405E-2</v>
      </c>
      <c r="J339" s="9"/>
      <c r="K339" s="7">
        <v>275</v>
      </c>
      <c r="L339" s="8">
        <f>IFERROR(K339/K444, "NA")</f>
        <v>3.19201601347379E-3</v>
      </c>
      <c r="M339" s="9"/>
      <c r="N339" s="10">
        <f t="shared" si="85"/>
        <v>4.5099999999999909</v>
      </c>
      <c r="O339" s="8">
        <f>IFERROR(N339/N444, "NA")</f>
        <v>-4.8760763046477282E-4</v>
      </c>
      <c r="P339" s="9"/>
      <c r="Q339" s="7">
        <v>637.23</v>
      </c>
      <c r="R339" s="8">
        <f>IFERROR(Q339/Q444, "NA")</f>
        <v>4.2532134044135621E-3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-637.23</v>
      </c>
      <c r="X339" s="8">
        <f>IFERROR(W339/W444, "NA")</f>
        <v>3.1027148937910635E-2</v>
      </c>
      <c r="Y339" s="9"/>
      <c r="Z339" s="7">
        <v>550.59</v>
      </c>
      <c r="AA339" s="8">
        <f>IFERROR(Z339/Z444, "NA")</f>
        <v>3.4996851751635054E-3</v>
      </c>
      <c r="AB339" s="9"/>
      <c r="AC339" s="10">
        <f t="shared" si="87"/>
        <v>-86.639999999999986</v>
      </c>
      <c r="AD339" s="8">
        <f>IFERROR(AC339/AC444, "NA")</f>
        <v>1.1548319935380613E-2</v>
      </c>
    </row>
    <row r="340" spans="1:30" ht="16.5" customHeight="1" x14ac:dyDescent="0.45">
      <c r="A340" s="12" t="s">
        <v>310</v>
      </c>
      <c r="B340" s="7">
        <v>410</v>
      </c>
      <c r="C340" s="8">
        <f>IFERROR(B340/B444, "NA")</f>
        <v>5.3313769347209296E-3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-410</v>
      </c>
      <c r="I340" s="8">
        <f>IFERROR(H340/H444, "NA")</f>
        <v>2.1894680180134483E-2</v>
      </c>
      <c r="J340" s="9"/>
      <c r="K340" s="7">
        <v>375</v>
      </c>
      <c r="L340" s="8">
        <f>IFERROR(K340/K444, "NA")</f>
        <v>4.3527491092824411E-3</v>
      </c>
      <c r="M340" s="9"/>
      <c r="N340" s="10">
        <f t="shared" si="85"/>
        <v>-35</v>
      </c>
      <c r="O340" s="8">
        <f>IFERROR(N340/N444, "NA")</f>
        <v>3.7840946931856061E-3</v>
      </c>
      <c r="P340" s="9"/>
      <c r="Q340" s="7">
        <v>919.18</v>
      </c>
      <c r="R340" s="8">
        <f>IFERROR(Q340/Q444, "NA")</f>
        <v>6.1350983115497672E-3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-919.18</v>
      </c>
      <c r="X340" s="8">
        <f>IFERROR(W340/W444, "NA")</f>
        <v>4.4755480377177304E-2</v>
      </c>
      <c r="Y340" s="9"/>
      <c r="Z340" s="7">
        <v>750</v>
      </c>
      <c r="AA340" s="8">
        <f>IFERROR(Z340/Z444, "NA")</f>
        <v>4.7671840777577306E-3</v>
      </c>
      <c r="AB340" s="9"/>
      <c r="AC340" s="10">
        <f t="shared" si="87"/>
        <v>-169.17999999999995</v>
      </c>
      <c r="AD340" s="8">
        <f>IFERROR(AC340/AC444, "NA")</f>
        <v>2.2550147353043535E-2</v>
      </c>
    </row>
    <row r="341" spans="1:30" ht="16.5" customHeight="1" x14ac:dyDescent="0.45">
      <c r="A341" s="12" t="s">
        <v>311</v>
      </c>
      <c r="B341" s="7">
        <v>470.95</v>
      </c>
      <c r="C341" s="8">
        <f>IFERROR(B341/B444, "NA")</f>
        <v>6.123931627821517E-3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-470.95</v>
      </c>
      <c r="I341" s="8">
        <f>IFERROR(H341/H444, "NA")</f>
        <v>2.5149511294717888E-2</v>
      </c>
      <c r="J341" s="9"/>
      <c r="K341" s="7">
        <v>439.78</v>
      </c>
      <c r="L341" s="8">
        <f>IFERROR(K341/K444, "NA")</f>
        <v>5.1046720087472843E-3</v>
      </c>
      <c r="M341" s="9"/>
      <c r="N341" s="10">
        <f t="shared" si="85"/>
        <v>-31.170000000000016</v>
      </c>
      <c r="O341" s="8">
        <f>IFERROR(N341/N444, "NA")</f>
        <v>3.3700066167598685E-3</v>
      </c>
      <c r="P341" s="9"/>
      <c r="Q341" s="7">
        <v>941.9</v>
      </c>
      <c r="R341" s="8">
        <f>IFERROR(Q341/Q444, "NA")</f>
        <v>6.2867437277233252E-3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-941.9</v>
      </c>
      <c r="X341" s="8">
        <f>IFERROR(W341/W444, "NA")</f>
        <v>4.5861732160472714E-2</v>
      </c>
      <c r="Y341" s="9"/>
      <c r="Z341" s="7">
        <v>879.56</v>
      </c>
      <c r="AA341" s="8">
        <f>IFERROR(Z341/Z444, "NA")</f>
        <v>5.5906992365767853E-3</v>
      </c>
      <c r="AB341" s="9"/>
      <c r="AC341" s="10">
        <f t="shared" si="87"/>
        <v>-62.340000000000032</v>
      </c>
      <c r="AD341" s="8">
        <f>IFERROR(AC341/AC444, "NA")</f>
        <v>8.3093520864684668E-3</v>
      </c>
    </row>
    <row r="342" spans="1:30" ht="16.5" customHeight="1" x14ac:dyDescent="0.45">
      <c r="A342" s="13" t="s">
        <v>312</v>
      </c>
      <c r="B342" s="14">
        <f>IFERROR(B337+B338+B339+B340+B341, "NA")</f>
        <v>1544.2900000000002</v>
      </c>
      <c r="C342" s="15">
        <f>IFERROR(B342/B444, "NA")</f>
        <v>2.0080956308585821E-2</v>
      </c>
      <c r="D342" s="2"/>
      <c r="E342" s="14">
        <f>IFERROR(E337+E338+E339+E340+E341, "NA")</f>
        <v>1387.97</v>
      </c>
      <c r="F342" s="15">
        <f>IFERROR(E342/E444, "NA")</f>
        <v>1.451407843753196E-2</v>
      </c>
      <c r="G342" s="2"/>
      <c r="H342" s="14">
        <f t="shared" si="84"/>
        <v>-156.32000000000016</v>
      </c>
      <c r="I342" s="15">
        <f>IFERROR(H342/H444, "NA")</f>
        <v>8.3477473311186004E-3</v>
      </c>
      <c r="J342" s="2"/>
      <c r="K342" s="14">
        <f>IFERROR(K337+K338+K339+K340+K341, "NA")</f>
        <v>1489.78</v>
      </c>
      <c r="L342" s="15">
        <f>IFERROR(K342/K444, "NA")</f>
        <v>1.7292369514738119E-2</v>
      </c>
      <c r="M342" s="2"/>
      <c r="N342" s="14">
        <f t="shared" si="85"/>
        <v>-54.510000000000218</v>
      </c>
      <c r="O342" s="15">
        <f>IFERROR(N342/N444, "NA")</f>
        <v>5.8934571921585204E-3</v>
      </c>
      <c r="P342" s="2"/>
      <c r="Q342" s="14">
        <f>IFERROR(Q337+Q338+Q339+Q340+Q341, "NA")</f>
        <v>3377.42</v>
      </c>
      <c r="R342" s="15">
        <f>IFERROR(Q342/Q444, "NA")</f>
        <v>2.2542705171342301E-2</v>
      </c>
      <c r="S342" s="2"/>
      <c r="T342" s="14">
        <f>IFERROR(T337+T338+T339+T340+T341, "NA")</f>
        <v>3189.46</v>
      </c>
      <c r="U342" s="15">
        <f>IFERROR(T342/T444, "NA")</f>
        <v>1.8721772076838474E-2</v>
      </c>
      <c r="V342" s="2"/>
      <c r="W342" s="14">
        <f t="shared" si="86"/>
        <v>-187.96000000000004</v>
      </c>
      <c r="X342" s="15">
        <f>IFERROR(W342/W444, "NA")</f>
        <v>9.151896355114611E-3</v>
      </c>
      <c r="Y342" s="2"/>
      <c r="Z342" s="14">
        <f>IFERROR(Z337+Z338+Z339+Z340+Z341, "NA")</f>
        <v>2980.15</v>
      </c>
      <c r="AA342" s="15">
        <f>IFERROR(Z342/Z444, "NA")</f>
        <v>1.8942564839106269E-2</v>
      </c>
      <c r="AB342" s="2"/>
      <c r="AC342" s="14">
        <f t="shared" si="87"/>
        <v>-397.27</v>
      </c>
      <c r="AD342" s="15">
        <f>IFERROR(AC342/AC444, "NA")</f>
        <v>5.2952459149684404E-2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16996.28</v>
      </c>
      <c r="C343" s="15">
        <f>IFERROR(B343/B444, "NA")</f>
        <v>0.22100871992209425</v>
      </c>
      <c r="D343" s="2"/>
      <c r="E343" s="14">
        <f>IFERROR(E328+E329+E330+E331+E332+E333+E334+E335+E337+E338+E339+E340+E341, "NA")</f>
        <v>16817.97</v>
      </c>
      <c r="F343" s="15">
        <f>IFERROR(E343/E444, "NA")</f>
        <v>0.1758664349662164</v>
      </c>
      <c r="G343" s="2"/>
      <c r="H343" s="14">
        <f t="shared" si="84"/>
        <v>-178.30999999999767</v>
      </c>
      <c r="I343" s="15">
        <f>IFERROR(H343/H444, "NA")</f>
        <v>9.5220498119993387E-3</v>
      </c>
      <c r="J343" s="2"/>
      <c r="K343" s="14">
        <f>IFERROR(K328+K329+K330+K331+K332+K333+K334+K335+K337+K338+K339+K340+K341, "NA")</f>
        <v>16567.03</v>
      </c>
      <c r="L343" s="15">
        <f>IFERROR(K343/K444, "NA")</f>
        <v>0.19229900020254792</v>
      </c>
      <c r="M343" s="2"/>
      <c r="N343" s="14">
        <f t="shared" si="85"/>
        <v>-429.25</v>
      </c>
      <c r="O343" s="15">
        <f>IFERROR(N343/N444, "NA")</f>
        <v>4.6409218487140615E-2</v>
      </c>
      <c r="P343" s="2"/>
      <c r="Q343" s="14">
        <f>IFERROR(Q328+Q329+Q330+Q331+Q332+Q333+Q334+Q335+Q337+Q338+Q339+Q340+Q341, "NA")</f>
        <v>34281.399999999994</v>
      </c>
      <c r="R343" s="15">
        <f>IFERROR(Q343/Q444, "NA")</f>
        <v>0.22881237544067773</v>
      </c>
      <c r="S343" s="2"/>
      <c r="T343" s="14">
        <f>IFERROR(T328+T329+T330+T331+T332+T333+T334+T335+T337+T338+T339+T340+T341, "NA")</f>
        <v>34049.46</v>
      </c>
      <c r="U343" s="15">
        <f>IFERROR(T343/T444, "NA")</f>
        <v>0.19986650701354727</v>
      </c>
      <c r="V343" s="2"/>
      <c r="W343" s="14">
        <f t="shared" si="86"/>
        <v>-231.93999999999505</v>
      </c>
      <c r="X343" s="15">
        <f>IFERROR(W343/W444, "NA")</f>
        <v>1.1293311558870171E-2</v>
      </c>
      <c r="Y343" s="2"/>
      <c r="Z343" s="14">
        <f>IFERROR(Z328+Z329+Z330+Z331+Z332+Z333+Z334+Z335+Z337+Z338+Z339+Z340+Z341, "NA")</f>
        <v>33134.65</v>
      </c>
      <c r="AA343" s="15">
        <f>IFERROR(Z343/Z444, "NA")</f>
        <v>0.21061196786943359</v>
      </c>
      <c r="AB343" s="2"/>
      <c r="AC343" s="14">
        <f t="shared" si="87"/>
        <v>-1146.7499999999927</v>
      </c>
      <c r="AD343" s="15">
        <f>IFERROR(AC343/AC444, "NA")</f>
        <v>0.15285129138847689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16996.28</v>
      </c>
      <c r="C344" s="15">
        <f>IFERROR(B344/B444, "NA")</f>
        <v>0.22100871992209425</v>
      </c>
      <c r="D344" s="2"/>
      <c r="E344" s="14">
        <f>IFERROR(E328+E329+E330+E331+E332+E333+E334+E335+E337+E338+E339+E340+E341, "NA")</f>
        <v>16817.97</v>
      </c>
      <c r="F344" s="15">
        <f>IFERROR(E344/E444, "NA")</f>
        <v>0.1758664349662164</v>
      </c>
      <c r="G344" s="2"/>
      <c r="H344" s="14">
        <f t="shared" si="84"/>
        <v>-178.30999999999767</v>
      </c>
      <c r="I344" s="15">
        <f>IFERROR(H344/H444, "NA")</f>
        <v>9.5220498119993387E-3</v>
      </c>
      <c r="J344" s="2"/>
      <c r="K344" s="14">
        <f>IFERROR(K328+K329+K330+K331+K332+K333+K334+K335+K337+K338+K339+K340+K341, "NA")</f>
        <v>16567.03</v>
      </c>
      <c r="L344" s="15">
        <f>IFERROR(K344/K444, "NA")</f>
        <v>0.19229900020254792</v>
      </c>
      <c r="M344" s="2"/>
      <c r="N344" s="14">
        <f t="shared" si="85"/>
        <v>-429.25</v>
      </c>
      <c r="O344" s="15">
        <f>IFERROR(N344/N444, "NA")</f>
        <v>4.6409218487140615E-2</v>
      </c>
      <c r="P344" s="2"/>
      <c r="Q344" s="14">
        <f>IFERROR(Q328+Q329+Q330+Q331+Q332+Q333+Q334+Q335+Q337+Q338+Q339+Q340+Q341, "NA")</f>
        <v>34281.399999999994</v>
      </c>
      <c r="R344" s="15">
        <f>IFERROR(Q344/Q444, "NA")</f>
        <v>0.22881237544067773</v>
      </c>
      <c r="S344" s="2"/>
      <c r="T344" s="14">
        <f>IFERROR(T328+T329+T330+T331+T332+T333+T334+T335+T337+T338+T339+T340+T341, "NA")</f>
        <v>34049.46</v>
      </c>
      <c r="U344" s="15">
        <f>IFERROR(T344/T444, "NA")</f>
        <v>0.19986650701354727</v>
      </c>
      <c r="V344" s="2"/>
      <c r="W344" s="14">
        <f t="shared" si="86"/>
        <v>-231.93999999999505</v>
      </c>
      <c r="X344" s="15">
        <f>IFERROR(W344/W444, "NA")</f>
        <v>1.1293311558870171E-2</v>
      </c>
      <c r="Y344" s="2"/>
      <c r="Z344" s="14">
        <f>IFERROR(Z328+Z329+Z330+Z331+Z332+Z333+Z334+Z335+Z337+Z338+Z339+Z340+Z341, "NA")</f>
        <v>33134.65</v>
      </c>
      <c r="AA344" s="15">
        <f>IFERROR(Z344/Z444, "NA")</f>
        <v>0.21061196786943359</v>
      </c>
      <c r="AB344" s="2"/>
      <c r="AC344" s="14">
        <f t="shared" si="87"/>
        <v>-1146.7499999999927</v>
      </c>
      <c r="AD344" s="15">
        <f>IFERROR(AC344/AC444, "NA")</f>
        <v>0.15285129138847689</v>
      </c>
    </row>
    <row r="345" spans="1:30" ht="16.5" customHeight="1" x14ac:dyDescent="0.45">
      <c r="A345" s="22" t="s">
        <v>315</v>
      </c>
      <c r="B345" s="23">
        <f>IFERROR(B198-B325-B344, "NA")</f>
        <v>-10318.700000000008</v>
      </c>
      <c r="C345" s="24">
        <f>IFERROR(B345/B444, "NA")</f>
        <v>-0.13417775408854854</v>
      </c>
      <c r="D345" s="25"/>
      <c r="E345" s="23">
        <f>IFERROR(E198-E325-E344, "NA")</f>
        <v>5655.4599999999846</v>
      </c>
      <c r="F345" s="24">
        <f>IFERROR(E345/E444, "NA")</f>
        <v>5.9139455492787506E-2</v>
      </c>
      <c r="G345" s="25"/>
      <c r="H345" s="23">
        <f>IFERROR(B345-E345, "NA")</f>
        <v>-15974.159999999993</v>
      </c>
      <c r="I345" s="24">
        <f>IFERROR(H345/H444, "NA")</f>
        <v>0.8530466447470656</v>
      </c>
      <c r="J345" s="25"/>
      <c r="K345" s="23">
        <f>IFERROR(K198-K325-K344, "NA")</f>
        <v>555.51000000000204</v>
      </c>
      <c r="L345" s="24">
        <f>IFERROR(K345/K444, "NA")</f>
        <v>6.4479884205266604E-3</v>
      </c>
      <c r="M345" s="25"/>
      <c r="N345" s="23">
        <f>IFERROR(B345-K345, "NA")</f>
        <v>-10874.21000000001</v>
      </c>
      <c r="O345" s="24">
        <f>IFERROR(N345/N444, "NA")</f>
        <v>1.1756868672453111</v>
      </c>
      <c r="P345" s="25"/>
      <c r="Q345" s="23">
        <f>IFERROR(Q198-Q325-Q344, "NA")</f>
        <v>-20691.25</v>
      </c>
      <c r="R345" s="24">
        <f>IFERROR(Q345/Q444, "NA")</f>
        <v>-0.13810445499124668</v>
      </c>
      <c r="S345" s="25"/>
      <c r="T345" s="23">
        <f>IFERROR(T198-T325-T344, "NA")</f>
        <v>1273.7300000000032</v>
      </c>
      <c r="U345" s="24">
        <f>IFERROR(T345/T444, "NA")</f>
        <v>7.4766520813653497E-3</v>
      </c>
      <c r="V345" s="25"/>
      <c r="W345" s="23">
        <f>IFERROR(Q345-T345, "NA")</f>
        <v>-21964.980000000003</v>
      </c>
      <c r="X345" s="24">
        <f>IFERROR(W345/W444, "NA")</f>
        <v>1.0694893615778109</v>
      </c>
      <c r="Y345" s="25"/>
      <c r="Z345" s="23">
        <f>IFERROR(Z198-Z325-Z344, "NA")</f>
        <v>-3738.2000000000444</v>
      </c>
      <c r="AA345" s="24">
        <f>IFERROR(Z345/Z444, "NA")</f>
        <v>-2.3760916692632212E-2</v>
      </c>
      <c r="AB345" s="25"/>
      <c r="AC345" s="23">
        <f>IFERROR(Q345-Z345, "NA")</f>
        <v>-16953.049999999956</v>
      </c>
      <c r="AD345" s="24">
        <f>IFERROR(AC345/AC444, "NA")</f>
        <v>2.2596865798765449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-10318.700000000008</v>
      </c>
      <c r="C404" s="24">
        <f>IFERROR(B404/B444, "NA")</f>
        <v>-0.13417775408854854</v>
      </c>
      <c r="D404" s="25"/>
      <c r="E404" s="23">
        <f>IFERROR(E345-E403, "NA")</f>
        <v>5655.4599999999846</v>
      </c>
      <c r="F404" s="24">
        <f>IFERROR(E404/E444, "NA")</f>
        <v>5.9139455492787506E-2</v>
      </c>
      <c r="G404" s="25"/>
      <c r="H404" s="23">
        <f>IFERROR(B404-E404, "NA")</f>
        <v>-15974.159999999993</v>
      </c>
      <c r="I404" s="24">
        <f>IFERROR(H404/H444, "NA")</f>
        <v>0.8530466447470656</v>
      </c>
      <c r="J404" s="25"/>
      <c r="K404" s="23">
        <f>IFERROR(K345-K403, "NA")</f>
        <v>555.51000000000204</v>
      </c>
      <c r="L404" s="24">
        <f>IFERROR(K404/K444, "NA")</f>
        <v>6.4479884205266604E-3</v>
      </c>
      <c r="M404" s="25"/>
      <c r="N404" s="23">
        <f>IFERROR(B404-K404, "NA")</f>
        <v>-10874.21000000001</v>
      </c>
      <c r="O404" s="24">
        <f>IFERROR(N404/N444, "NA")</f>
        <v>1.1756868672453111</v>
      </c>
      <c r="P404" s="25"/>
      <c r="Q404" s="23">
        <f>IFERROR(Q345-Q403, "NA")</f>
        <v>-20691.25</v>
      </c>
      <c r="R404" s="24">
        <f>IFERROR(Q404/Q444, "NA")</f>
        <v>-0.13810445499124668</v>
      </c>
      <c r="S404" s="25"/>
      <c r="T404" s="23">
        <f>IFERROR(T345-T403, "NA")</f>
        <v>1273.7300000000032</v>
      </c>
      <c r="U404" s="24">
        <f>IFERROR(T404/T444, "NA")</f>
        <v>7.4766520813653497E-3</v>
      </c>
      <c r="V404" s="25"/>
      <c r="W404" s="23">
        <f>IFERROR(Q404-T404, "NA")</f>
        <v>-21964.980000000003</v>
      </c>
      <c r="X404" s="24">
        <f>IFERROR(W404/W444, "NA")</f>
        <v>1.0694893615778109</v>
      </c>
      <c r="Y404" s="25"/>
      <c r="Z404" s="23">
        <f>IFERROR(Z345-Z403, "NA")</f>
        <v>-3738.2000000000444</v>
      </c>
      <c r="AA404" s="24">
        <f>IFERROR(Z404/Z444, "NA")</f>
        <v>-2.3760916692632212E-2</v>
      </c>
      <c r="AB404" s="25"/>
      <c r="AC404" s="23">
        <f>IFERROR(Q404-Z404, "NA")</f>
        <v>-16953.049999999956</v>
      </c>
      <c r="AD404" s="24">
        <f>IFERROR(AC404/AC444, "NA")</f>
        <v>2.2596865798765449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8002</v>
      </c>
      <c r="C410" s="8">
        <f>IFERROR(B410/B444, "NA")</f>
        <v>0.10405287373569971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-8002</v>
      </c>
      <c r="I410" s="8">
        <f>IFERROR(H410/H444, "NA")</f>
        <v>0.42732007512545395</v>
      </c>
      <c r="J410" s="9"/>
      <c r="K410" s="7">
        <v>8357.4699999999993</v>
      </c>
      <c r="L410" s="8">
        <f>IFERROR(K410/K444, "NA")</f>
        <v>9.7007920262279251E-2</v>
      </c>
      <c r="M410" s="9"/>
      <c r="N410" s="10">
        <f t="shared" si="101"/>
        <v>355.46999999999935</v>
      </c>
      <c r="O410" s="8">
        <f>IFERROR(N410/N444, "NA")</f>
        <v>-3.8432346873905281E-2</v>
      </c>
      <c r="P410" s="9"/>
      <c r="Q410" s="7">
        <v>16004</v>
      </c>
      <c r="R410" s="8">
        <f>IFERROR(Q410/Q444, "NA")</f>
        <v>0.1068192447377472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-16004</v>
      </c>
      <c r="X410" s="8">
        <f>IFERROR(W410/W444, "NA")</f>
        <v>0.77924531425438504</v>
      </c>
      <c r="Y410" s="9"/>
      <c r="Z410" s="7">
        <v>16714.52</v>
      </c>
      <c r="AA410" s="8">
        <f>IFERROR(Z410/Z444, "NA")</f>
        <v>0.10624159148181753</v>
      </c>
      <c r="AB410" s="9"/>
      <c r="AC410" s="10">
        <f t="shared" si="103"/>
        <v>710.52000000000044</v>
      </c>
      <c r="AD410" s="8">
        <f>IFERROR(AC410/AC444, "NA")</f>
        <v>-9.4705820411895653E-2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-26</v>
      </c>
      <c r="C416" s="8">
        <f>IFERROR(B416/B444, "NA")</f>
        <v>-3.3808731781157116E-4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26</v>
      </c>
      <c r="I416" s="8">
        <f>IFERROR(H416/H444, "NA")</f>
        <v>-1.3884431333743817E-3</v>
      </c>
      <c r="J416" s="9"/>
      <c r="K416" s="7">
        <v>-28.7</v>
      </c>
      <c r="L416" s="8">
        <f>IFERROR(K416/K444, "NA")</f>
        <v>-3.3313039849708277E-4</v>
      </c>
      <c r="M416" s="9"/>
      <c r="N416" s="10">
        <f t="shared" si="101"/>
        <v>-2.6999999999999993</v>
      </c>
      <c r="O416" s="8">
        <f>IFERROR(N416/N444, "NA")</f>
        <v>2.9191587633146097E-4</v>
      </c>
      <c r="P416" s="9"/>
      <c r="Q416" s="7">
        <v>-55.31</v>
      </c>
      <c r="R416" s="8">
        <f>IFERROR(Q416/Q444, "NA")</f>
        <v>-3.6916848453166697E-4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55.31</v>
      </c>
      <c r="X416" s="8">
        <f>IFERROR(W416/W444, "NA")</f>
        <v>-2.6930803756192228E-3</v>
      </c>
      <c r="Y416" s="9"/>
      <c r="Z416" s="7">
        <v>-53.35</v>
      </c>
      <c r="AA416" s="8">
        <f>IFERROR(Z416/Z444, "NA")</f>
        <v>-3.3910569406449991E-4</v>
      </c>
      <c r="AB416" s="9"/>
      <c r="AC416" s="10">
        <f t="shared" si="103"/>
        <v>1.9600000000000009</v>
      </c>
      <c r="AD416" s="8">
        <f>IFERROR(AC416/AC444, "NA")</f>
        <v>-2.6125008164065114E-4</v>
      </c>
    </row>
    <row r="417" spans="1:30" ht="16.5" customHeight="1" x14ac:dyDescent="0.45">
      <c r="A417" s="6" t="s">
        <v>382</v>
      </c>
      <c r="B417" s="7">
        <v>-44.09</v>
      </c>
      <c r="C417" s="8">
        <f>IFERROR(B417/B444, "NA")</f>
        <v>-5.7331807085816055E-4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44.09</v>
      </c>
      <c r="I417" s="8">
        <f>IFERROR(H417/H444, "NA")</f>
        <v>-2.3544791442490962E-3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44.09</v>
      </c>
      <c r="O417" s="8">
        <f>IFERROR(N417/N444, "NA")</f>
        <v>-4.7668781435015253E-3</v>
      </c>
      <c r="P417" s="9"/>
      <c r="Q417" s="7">
        <v>26.51</v>
      </c>
      <c r="R417" s="8">
        <f>IFERROR(Q417/Q444, "NA")</f>
        <v>1.7694190064969248E-4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-26.51</v>
      </c>
      <c r="X417" s="8">
        <f>IFERROR(W417/W444, "NA")</f>
        <v>1.2907893827095568E-3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-26.51</v>
      </c>
      <c r="AD417" s="8">
        <f>IFERROR(AC417/AC444, "NA")</f>
        <v>3.5335406450477855E-3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7931.91</v>
      </c>
      <c r="C428" s="15">
        <f>IFERROR(B428/B444, "NA")</f>
        <v>0.10314146834702997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-7931.91</v>
      </c>
      <c r="I428" s="15">
        <f>IFERROR(H428/H444, "NA")</f>
        <v>0.42357715284783048</v>
      </c>
      <c r="J428" s="2"/>
      <c r="K428" s="14">
        <f>IFERROR(K407+K408+K409+K410+K411+K412+K413+K414+K415+K416+K417+K418+K419+K420+K421+K422+K423+K424+K425+K426+K427, "NA")</f>
        <v>8328.7699999999986</v>
      </c>
      <c r="L428" s="15">
        <f>IFERROR(K428/K444, "NA")</f>
        <v>9.6674789863782154E-2</v>
      </c>
      <c r="M428" s="2"/>
      <c r="N428" s="14">
        <f t="shared" si="101"/>
        <v>396.85999999999876</v>
      </c>
      <c r="O428" s="15">
        <f>IFERROR(N428/N444, "NA")</f>
        <v>-4.2907309141075281E-2</v>
      </c>
      <c r="P428" s="2"/>
      <c r="Q428" s="14">
        <f>IFERROR(Q407+Q408+Q409+Q410+Q411+Q412+Q413+Q414+Q415+Q416+Q417+Q418+Q419+Q420+Q421+Q422+Q423+Q424+Q425+Q426+Q427, "NA")</f>
        <v>15975.2</v>
      </c>
      <c r="R428" s="15">
        <f>IFERROR(Q428/Q444, "NA")</f>
        <v>0.10662701815386523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-15975.2</v>
      </c>
      <c r="X428" s="15">
        <f>IFERROR(W428/W444, "NA")</f>
        <v>0.77784302326147547</v>
      </c>
      <c r="Y428" s="2"/>
      <c r="Z428" s="14">
        <f>IFERROR(Z407+Z408+Z409+Z410+Z411+Z412+Z413+Z414+Z415+Z416+Z417+Z418+Z419+Z420+Z421+Z422+Z423+Z424+Z425+Z426+Z427, "NA")</f>
        <v>16661.170000000002</v>
      </c>
      <c r="AA428" s="15">
        <f>IFERROR(Z428/Z444, "NA")</f>
        <v>0.10590248578775303</v>
      </c>
      <c r="AB428" s="2"/>
      <c r="AC428" s="14">
        <f t="shared" si="103"/>
        <v>685.97000000000116</v>
      </c>
      <c r="AD428" s="15">
        <f>IFERROR(AC428/AC444, "NA")</f>
        <v>-9.1433529848488626E-2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7931.91</v>
      </c>
      <c r="C429" s="15">
        <f>IFERROR(B429/B444, "NA")</f>
        <v>0.10314146834702997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-7931.91</v>
      </c>
      <c r="I429" s="15">
        <f>IFERROR(H429/H444, "NA")</f>
        <v>0.42357715284783048</v>
      </c>
      <c r="J429" s="2"/>
      <c r="K429" s="14">
        <f>IFERROR(K407+K408+K409+K410+K411+K412+K413+K414+K415+K416+K417+K418+K419+K420+K421+K422+K423+K424+K425+K426+K427, "NA")</f>
        <v>8328.7699999999986</v>
      </c>
      <c r="L429" s="15">
        <f>IFERROR(K429/K444, "NA")</f>
        <v>9.6674789863782154E-2</v>
      </c>
      <c r="M429" s="2"/>
      <c r="N429" s="14">
        <f t="shared" si="101"/>
        <v>396.85999999999876</v>
      </c>
      <c r="O429" s="15">
        <f>IFERROR(N429/N444, "NA")</f>
        <v>-4.2907309141075281E-2</v>
      </c>
      <c r="P429" s="2"/>
      <c r="Q429" s="14">
        <f>IFERROR(Q407+Q408+Q409+Q410+Q411+Q412+Q413+Q414+Q415+Q416+Q417+Q418+Q419+Q420+Q421+Q422+Q423+Q424+Q425+Q426+Q427, "NA")</f>
        <v>15975.2</v>
      </c>
      <c r="R429" s="15">
        <f>IFERROR(Q429/Q444, "NA")</f>
        <v>0.10662701815386523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-15975.2</v>
      </c>
      <c r="X429" s="15">
        <f>IFERROR(W429/W444, "NA")</f>
        <v>0.77784302326147547</v>
      </c>
      <c r="Y429" s="2"/>
      <c r="Z429" s="14">
        <f>IFERROR(Z407+Z408+Z409+Z410+Z411+Z412+Z413+Z414+Z415+Z416+Z417+Z418+Z419+Z420+Z421+Z422+Z423+Z424+Z425+Z426+Z427, "NA")</f>
        <v>16661.170000000002</v>
      </c>
      <c r="AA429" s="15">
        <f>IFERROR(Z429/Z444, "NA")</f>
        <v>0.10590248578775303</v>
      </c>
      <c r="AB429" s="2"/>
      <c r="AC429" s="14">
        <f t="shared" si="103"/>
        <v>685.97000000000116</v>
      </c>
      <c r="AD429" s="15">
        <f>IFERROR(AC429/AC444, "NA")</f>
        <v>-9.1433529848488626E-2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-18250.610000000008</v>
      </c>
      <c r="C443" s="24">
        <f>IFERROR(B443/B444, "NA")</f>
        <v>-0.23731922243557851</v>
      </c>
      <c r="D443" s="25"/>
      <c r="E443" s="23">
        <f>IFERROR(E404-E429-E442, "NA")</f>
        <v>5655.4599999999846</v>
      </c>
      <c r="F443" s="24">
        <f>IFERROR(E443/E444, "NA")</f>
        <v>5.9139455492787506E-2</v>
      </c>
      <c r="G443" s="25"/>
      <c r="H443" s="23">
        <f>IFERROR(B443-E443, "NA")</f>
        <v>-23906.069999999992</v>
      </c>
      <c r="I443" s="24">
        <f>IFERROR(H443/H444, "NA")</f>
        <v>1.276623797594896</v>
      </c>
      <c r="J443" s="25"/>
      <c r="K443" s="23">
        <f>IFERROR(K404-K429-K442, "NA")</f>
        <v>-7773.2599999999966</v>
      </c>
      <c r="L443" s="24">
        <f>IFERROR(K443/K444, "NA")</f>
        <v>-9.0226801443255497E-2</v>
      </c>
      <c r="M443" s="25"/>
      <c r="N443" s="23">
        <f>IFERROR(B443-K443, "NA")</f>
        <v>-10477.350000000011</v>
      </c>
      <c r="O443" s="24">
        <f>IFERROR(N443/N444, "NA")</f>
        <v>1.1327795581042357</v>
      </c>
      <c r="P443" s="25"/>
      <c r="Q443" s="23">
        <f>IFERROR(Q404-Q429-Q442, "NA")</f>
        <v>-36666.449999999997</v>
      </c>
      <c r="R443" s="24">
        <f>IFERROR(Q443/Q444, "NA")</f>
        <v>-0.2447314731451119</v>
      </c>
      <c r="S443" s="25"/>
      <c r="T443" s="23">
        <f>IFERROR(T404-T429-T442, "NA")</f>
        <v>1273.7300000000032</v>
      </c>
      <c r="U443" s="24">
        <f>IFERROR(T443/T444, "NA")</f>
        <v>7.4766520813653497E-3</v>
      </c>
      <c r="V443" s="25"/>
      <c r="W443" s="23">
        <f>IFERROR(Q443-T443, "NA")</f>
        <v>-37940.18</v>
      </c>
      <c r="X443" s="24">
        <f>IFERROR(W443/W444, "NA")</f>
        <v>1.8473323848392862</v>
      </c>
      <c r="Y443" s="25"/>
      <c r="Z443" s="23">
        <f>IFERROR(Z404-Z429-Z442, "NA")</f>
        <v>-20399.370000000046</v>
      </c>
      <c r="AA443" s="24">
        <f>IFERROR(Z443/Z444, "NA")</f>
        <v>-0.12966340248038524</v>
      </c>
      <c r="AB443" s="25"/>
      <c r="AC443" s="23">
        <f>IFERROR(Q443-Z443, "NA")</f>
        <v>-16267.079999999951</v>
      </c>
      <c r="AD443" s="24">
        <f>IFERROR(AC443/AC444, "NA")</f>
        <v>2.1682530500280555</v>
      </c>
    </row>
    <row r="444" spans="1:30" ht="15.75" hidden="1" x14ac:dyDescent="0.45">
      <c r="A444" s="26" t="s">
        <v>117</v>
      </c>
      <c r="B444" s="7">
        <v>76903.210000000006</v>
      </c>
      <c r="C444" s="27"/>
      <c r="D444" s="9"/>
      <c r="E444" s="7">
        <v>95629.22</v>
      </c>
      <c r="F444" s="27"/>
      <c r="G444" s="9"/>
      <c r="H444" s="10">
        <f>IFERROR(B444-E444, "NA")</f>
        <v>-18726.009999999995</v>
      </c>
      <c r="I444" s="27"/>
      <c r="J444" s="9"/>
      <c r="K444" s="7">
        <v>86152.45</v>
      </c>
      <c r="L444" s="27"/>
      <c r="M444" s="9"/>
      <c r="N444" s="10">
        <f>IFERROR(B444-K444, "NA")</f>
        <v>-9249.2399999999907</v>
      </c>
      <c r="O444" s="27"/>
      <c r="P444" s="9"/>
      <c r="Q444" s="7">
        <v>149823.19</v>
      </c>
      <c r="R444" s="27"/>
      <c r="S444" s="9"/>
      <c r="T444" s="7">
        <v>170361.01</v>
      </c>
      <c r="U444" s="27"/>
      <c r="V444" s="9"/>
      <c r="W444" s="10">
        <f>IFERROR(Q444-T444, "NA")</f>
        <v>-20537.820000000007</v>
      </c>
      <c r="X444" s="27"/>
      <c r="Y444" s="9"/>
      <c r="Z444" s="7">
        <v>157325.57999999999</v>
      </c>
      <c r="AA444" s="27"/>
      <c r="AB444" s="9"/>
      <c r="AC444" s="10">
        <f>IFERROR(Q444-Z444, "NA")</f>
        <v>-7502.3899999999849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52810.78</v>
      </c>
      <c r="F10" s="8">
        <f>IFERROR(E10/E444, "NA")</f>
        <v>0.53399995550908719</v>
      </c>
      <c r="G10" s="9"/>
      <c r="H10" s="10">
        <f t="shared" ref="H10:H19" si="0">IFERROR(B10-E10, "NA")</f>
        <v>-52810.78</v>
      </c>
      <c r="I10" s="8">
        <f>IFERROR(H10/H444, "NA")</f>
        <v>11.533054674738151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94142.3</v>
      </c>
      <c r="U10" s="8">
        <f>IFERROR(T10/T444, "NA")</f>
        <v>0.53399997560926493</v>
      </c>
      <c r="V10" s="9"/>
      <c r="W10" s="10">
        <f t="shared" ref="W10:W19" si="2">IFERROR(Q10-T10, "NA")</f>
        <v>-94142.3</v>
      </c>
      <c r="X10" s="8">
        <f>IFERROR(W10/W444, "NA")</f>
        <v>-6.9674600772219106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43064.87</v>
      </c>
      <c r="C11" s="8">
        <f>IFERROR(B11/B444, "NA")</f>
        <v>0.45659459663485641</v>
      </c>
      <c r="D11" s="9"/>
      <c r="E11" s="7">
        <v>0</v>
      </c>
      <c r="F11" s="8">
        <f>IFERROR(E11/E444, "NA")</f>
        <v>0</v>
      </c>
      <c r="G11" s="9"/>
      <c r="H11" s="10">
        <f t="shared" si="0"/>
        <v>43064.87</v>
      </c>
      <c r="I11" s="8">
        <f>IFERROR(H11/H444, "NA")</f>
        <v>-9.4046991972186529</v>
      </c>
      <c r="J11" s="9"/>
      <c r="K11" s="7">
        <v>50929.78</v>
      </c>
      <c r="L11" s="8">
        <f>IFERROR(K11/K444, "NA")</f>
        <v>0.58244250199532877</v>
      </c>
      <c r="M11" s="9"/>
      <c r="N11" s="10">
        <f t="shared" si="1"/>
        <v>-7864.9099999999962</v>
      </c>
      <c r="O11" s="8">
        <f>IFERROR(N11/N444, "NA")</f>
        <v>-1.1438554696987526</v>
      </c>
      <c r="P11" s="9"/>
      <c r="Q11" s="7">
        <v>84275.47</v>
      </c>
      <c r="R11" s="8">
        <f>IFERROR(Q11/Q444, "NA")</f>
        <v>0.44400340849413428</v>
      </c>
      <c r="S11" s="9"/>
      <c r="T11" s="7">
        <v>0</v>
      </c>
      <c r="U11" s="8">
        <f>IFERROR(T11/T444, "NA")</f>
        <v>0</v>
      </c>
      <c r="V11" s="9"/>
      <c r="W11" s="10">
        <f t="shared" si="2"/>
        <v>84275.47</v>
      </c>
      <c r="X11" s="8">
        <f>IFERROR(W11/W444, "NA")</f>
        <v>6.2372171990073833</v>
      </c>
      <c r="Y11" s="9"/>
      <c r="Z11" s="7">
        <v>93077.62</v>
      </c>
      <c r="AA11" s="8">
        <f>IFERROR(Z11/Z444, "NA")</f>
        <v>0.58499552443097547</v>
      </c>
      <c r="AB11" s="9"/>
      <c r="AC11" s="10">
        <f t="shared" si="3"/>
        <v>-8802.1499999999942</v>
      </c>
      <c r="AD11" s="8">
        <f>IFERROR(AC11/AC444, "NA")</f>
        <v>-0.2867159176414254</v>
      </c>
    </row>
    <row r="12" spans="1:30" ht="16.5" customHeight="1" x14ac:dyDescent="0.45">
      <c r="A12" s="12" t="s">
        <v>14</v>
      </c>
      <c r="B12" s="7">
        <v>4626.05</v>
      </c>
      <c r="C12" s="8">
        <f>IFERROR(B12/B444, "NA")</f>
        <v>4.9047621269091894E-2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4626.05</v>
      </c>
      <c r="I12" s="8">
        <f>IFERROR(H12/H444, "NA")</f>
        <v>-1.0102575189776108</v>
      </c>
      <c r="J12" s="9"/>
      <c r="K12" s="7">
        <v>5311.3</v>
      </c>
      <c r="L12" s="8">
        <f>IFERROR(K12/K444, "NA")</f>
        <v>6.074102147796024E-2</v>
      </c>
      <c r="M12" s="9"/>
      <c r="N12" s="10">
        <f t="shared" si="1"/>
        <v>-685.25</v>
      </c>
      <c r="O12" s="8">
        <f>IFERROR(N12/N444, "NA")</f>
        <v>-9.966127528618518E-2</v>
      </c>
      <c r="P12" s="9"/>
      <c r="Q12" s="7">
        <v>8901.1</v>
      </c>
      <c r="R12" s="8">
        <f>IFERROR(Q12/Q444, "NA")</f>
        <v>4.689524412438327E-2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8901.1</v>
      </c>
      <c r="X12" s="8">
        <f>IFERROR(W12/W444, "NA")</f>
        <v>0.65876931935336136</v>
      </c>
      <c r="Y12" s="9"/>
      <c r="Z12" s="7">
        <v>9274.65</v>
      </c>
      <c r="AA12" s="8">
        <f>IFERROR(Z12/Z444, "NA")</f>
        <v>5.8291442568726468E-2</v>
      </c>
      <c r="AB12" s="9"/>
      <c r="AC12" s="10">
        <f t="shared" si="3"/>
        <v>-373.54999999999927</v>
      </c>
      <c r="AD12" s="8">
        <f>IFERROR(AC12/AC444, "NA")</f>
        <v>-1.2167792077498603E-2</v>
      </c>
    </row>
    <row r="13" spans="1:30" ht="16.5" customHeight="1" x14ac:dyDescent="0.45">
      <c r="A13" s="12" t="s">
        <v>15</v>
      </c>
      <c r="B13" s="7">
        <v>154.5</v>
      </c>
      <c r="C13" s="8">
        <f>IFERROR(B13/B444, "NA")</f>
        <v>1.6380837833734388E-3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154.5</v>
      </c>
      <c r="I13" s="8">
        <f>IFERROR(H13/H444, "NA")</f>
        <v>-3.3740402002148888E-2</v>
      </c>
      <c r="J13" s="9"/>
      <c r="K13" s="7">
        <v>215</v>
      </c>
      <c r="L13" s="8">
        <f>IFERROR(K13/K444, "NA")</f>
        <v>2.45878026429715E-3</v>
      </c>
      <c r="M13" s="9"/>
      <c r="N13" s="10">
        <f t="shared" si="1"/>
        <v>-60.5</v>
      </c>
      <c r="O13" s="8">
        <f>IFERROR(N13/N444, "NA")</f>
        <v>-8.7989889161827119E-3</v>
      </c>
      <c r="P13" s="9"/>
      <c r="Q13" s="7">
        <v>231.5</v>
      </c>
      <c r="R13" s="8">
        <f>IFERROR(Q13/Q444, "NA")</f>
        <v>1.2196525165198376E-3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231.5</v>
      </c>
      <c r="X13" s="8">
        <f>IFERROR(W13/W444, "NA")</f>
        <v>1.7133286608430772E-2</v>
      </c>
      <c r="Y13" s="9"/>
      <c r="Z13" s="7">
        <v>352</v>
      </c>
      <c r="AA13" s="8">
        <f>IFERROR(Z13/Z444, "NA")</f>
        <v>2.2123301455248142E-3</v>
      </c>
      <c r="AB13" s="9"/>
      <c r="AC13" s="10">
        <f t="shared" si="3"/>
        <v>-120.5</v>
      </c>
      <c r="AD13" s="8">
        <f>IFERROR(AC13/AC444, "NA")</f>
        <v>-3.9250942185479441E-3</v>
      </c>
    </row>
    <row r="14" spans="1:30" ht="16.5" customHeight="1" x14ac:dyDescent="0.45">
      <c r="A14" s="12" t="s">
        <v>16</v>
      </c>
      <c r="B14" s="7">
        <v>335</v>
      </c>
      <c r="C14" s="8">
        <f>IFERROR(B14/B444, "NA")</f>
        <v>3.5518321516511461E-3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335</v>
      </c>
      <c r="I14" s="8">
        <f>IFERROR(H14/H444, "NA")</f>
        <v>-7.3158800457733847E-2</v>
      </c>
      <c r="J14" s="9"/>
      <c r="K14" s="7">
        <v>480</v>
      </c>
      <c r="L14" s="8">
        <f>IFERROR(K14/K444, "NA")</f>
        <v>5.489369892384334E-3</v>
      </c>
      <c r="M14" s="9"/>
      <c r="N14" s="10">
        <f t="shared" si="1"/>
        <v>-145</v>
      </c>
      <c r="O14" s="8">
        <f>IFERROR(N14/N444, "NA")</f>
        <v>-2.1088485832173442E-2</v>
      </c>
      <c r="P14" s="9"/>
      <c r="Q14" s="7">
        <v>635</v>
      </c>
      <c r="R14" s="8">
        <f>IFERROR(Q14/Q444, "NA")</f>
        <v>3.3454831446656456E-3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635</v>
      </c>
      <c r="X14" s="8">
        <f>IFERROR(W14/W444, "NA")</f>
        <v>4.6996272122477492E-2</v>
      </c>
      <c r="Y14" s="9"/>
      <c r="Z14" s="7">
        <v>855</v>
      </c>
      <c r="AA14" s="8">
        <f>IFERROR(Z14/Z444, "NA")</f>
        <v>5.3736996432491935E-3</v>
      </c>
      <c r="AB14" s="9"/>
      <c r="AC14" s="10">
        <f t="shared" si="3"/>
        <v>-220</v>
      </c>
      <c r="AD14" s="8">
        <f>IFERROR(AC14/AC444, "NA")</f>
        <v>-7.1661471210003958E-3</v>
      </c>
    </row>
    <row r="15" spans="1:30" ht="16.5" customHeight="1" x14ac:dyDescent="0.45">
      <c r="A15" s="12" t="s">
        <v>17</v>
      </c>
      <c r="B15" s="7">
        <v>24</v>
      </c>
      <c r="C15" s="8">
        <f>IFERROR(B15/B444, "NA")</f>
        <v>2.5445961683470897E-4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24</v>
      </c>
      <c r="I15" s="8">
        <f>IFERROR(H15/H444, "NA")</f>
        <v>-5.2412274954794389E-3</v>
      </c>
      <c r="J15" s="9"/>
      <c r="K15" s="7">
        <v>80</v>
      </c>
      <c r="L15" s="8">
        <f>IFERROR(K15/K444, "NA")</f>
        <v>9.148949820640557E-4</v>
      </c>
      <c r="M15" s="9"/>
      <c r="N15" s="10">
        <f t="shared" si="1"/>
        <v>-56</v>
      </c>
      <c r="O15" s="8">
        <f>IFERROR(N15/N444, "NA")</f>
        <v>-8.1445186662187086E-3</v>
      </c>
      <c r="P15" s="9"/>
      <c r="Q15" s="7">
        <v>78</v>
      </c>
      <c r="R15" s="8">
        <f>IFERROR(Q15/Q444, "NA")</f>
        <v>4.1094123666759108E-4</v>
      </c>
      <c r="S15" s="9"/>
      <c r="T15" s="7">
        <v>0</v>
      </c>
      <c r="U15" s="8">
        <f>IFERROR(T15/T444, "NA")</f>
        <v>0</v>
      </c>
      <c r="V15" s="9"/>
      <c r="W15" s="10">
        <f t="shared" si="2"/>
        <v>78</v>
      </c>
      <c r="X15" s="8">
        <f>IFERROR(W15/W444, "NA")</f>
        <v>5.7727704339421175E-3</v>
      </c>
      <c r="Y15" s="9"/>
      <c r="Z15" s="7">
        <v>256</v>
      </c>
      <c r="AA15" s="8">
        <f>IFERROR(Z15/Z444, "NA")</f>
        <v>1.6089673785635013E-3</v>
      </c>
      <c r="AB15" s="9"/>
      <c r="AC15" s="10">
        <f t="shared" si="3"/>
        <v>-178</v>
      </c>
      <c r="AD15" s="8">
        <f>IFERROR(AC15/AC444, "NA")</f>
        <v>-5.7980644888094108E-3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48204.420000000006</v>
      </c>
      <c r="C18" s="15">
        <f>IFERROR(B18/B444, "NA")</f>
        <v>0.51108659345580765</v>
      </c>
      <c r="D18" s="2"/>
      <c r="E18" s="14">
        <f>IFERROR(E10+E11+E12+E13+E14+E15+E16+E17, "NA")</f>
        <v>52810.78</v>
      </c>
      <c r="F18" s="15">
        <f>IFERROR(E18/E444, "NA")</f>
        <v>0.53399995550908719</v>
      </c>
      <c r="G18" s="2"/>
      <c r="H18" s="14">
        <f t="shared" si="0"/>
        <v>-4606.3599999999933</v>
      </c>
      <c r="I18" s="15">
        <f>IFERROR(H18/H444, "NA")</f>
        <v>1.0059575285865265</v>
      </c>
      <c r="J18" s="2"/>
      <c r="K18" s="14">
        <f>IFERROR(K10+K11+K12+K13+K14+K15+K16+K17, "NA")</f>
        <v>57016.08</v>
      </c>
      <c r="L18" s="15">
        <f>IFERROR(K18/K444, "NA")</f>
        <v>0.65204656861203458</v>
      </c>
      <c r="M18" s="2"/>
      <c r="N18" s="14">
        <f t="shared" si="1"/>
        <v>-8811.6599999999962</v>
      </c>
      <c r="O18" s="15">
        <f>IFERROR(N18/N444, "NA")</f>
        <v>-1.2815487383995128</v>
      </c>
      <c r="P18" s="2"/>
      <c r="Q18" s="14">
        <f>IFERROR(Q10+Q11+Q12+Q13+Q14+Q15+Q16+Q17, "NA")</f>
        <v>94121.07</v>
      </c>
      <c r="R18" s="15">
        <f>IFERROR(Q18/Q444, "NA")</f>
        <v>0.49587472951637068</v>
      </c>
      <c r="S18" s="2"/>
      <c r="T18" s="14">
        <f>IFERROR(T10+T11+T12+T13+T14+T15+T16+T17, "NA")</f>
        <v>94142.3</v>
      </c>
      <c r="U18" s="15">
        <f>IFERROR(T18/T444, "NA")</f>
        <v>0.53399997560926493</v>
      </c>
      <c r="V18" s="2"/>
      <c r="W18" s="14">
        <f t="shared" si="2"/>
        <v>-21.229999999995925</v>
      </c>
      <c r="X18" s="15">
        <f>IFERROR(W18/W444, "NA")</f>
        <v>-1.5712296963149696E-3</v>
      </c>
      <c r="Y18" s="2"/>
      <c r="Z18" s="14">
        <f>IFERROR(Z10+Z11+Z12+Z13+Z14+Z15+Z16+Z17, "NA")</f>
        <v>103815.26999999999</v>
      </c>
      <c r="AA18" s="15">
        <f>IFERROR(Z18/Z444, "NA")</f>
        <v>0.65248196416703941</v>
      </c>
      <c r="AB18" s="2"/>
      <c r="AC18" s="14">
        <f t="shared" si="3"/>
        <v>-9694.1999999999825</v>
      </c>
      <c r="AD18" s="15">
        <f>IFERROR(AC18/AC444, "NA")</f>
        <v>-0.31577301554728138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10483.040000000001</v>
      </c>
      <c r="F21" s="8">
        <f>IFERROR(E21/E444, "NA")</f>
        <v>0.10600000404462843</v>
      </c>
      <c r="G21" s="9"/>
      <c r="H21" s="10">
        <f t="shared" ref="H21:H29" si="4">IFERROR(B21-E21, "NA")</f>
        <v>-10483.040000000001</v>
      </c>
      <c r="I21" s="8">
        <f>IFERROR(H21/H444, "NA")</f>
        <v>2.2893332285087826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18687.419999999998</v>
      </c>
      <c r="U21" s="8">
        <f>IFERROR(T21/T444, "NA")</f>
        <v>0.10599997901262333</v>
      </c>
      <c r="V21" s="9"/>
      <c r="W21" s="10">
        <f t="shared" ref="W21:W29" si="6">IFERROR(Q21-T21, "NA")</f>
        <v>-18687.419999999998</v>
      </c>
      <c r="X21" s="8">
        <f>IFERROR(W21/W444, "NA")</f>
        <v>-1.3830536623417768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8414.0499999999993</v>
      </c>
      <c r="C22" s="8">
        <f>IFERROR(B22/B444, "NA")</f>
        <v>8.9209830792836786E-2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8414.0499999999993</v>
      </c>
      <c r="I22" s="8">
        <f>IFERROR(H22/H444, "NA")</f>
        <v>-1.8374979253474488</v>
      </c>
      <c r="J22" s="9"/>
      <c r="K22" s="7">
        <v>8961.4599999999991</v>
      </c>
      <c r="L22" s="8">
        <f>IFERROR(K22/K444, "NA")</f>
        <v>0.1024849348245969</v>
      </c>
      <c r="M22" s="9"/>
      <c r="N22" s="10">
        <f t="shared" si="5"/>
        <v>-547.40999999999985</v>
      </c>
      <c r="O22" s="8">
        <f>IFERROR(N22/N444, "NA")</f>
        <v>-7.9614124340621109E-2</v>
      </c>
      <c r="P22" s="9"/>
      <c r="Q22" s="7">
        <v>16158.85</v>
      </c>
      <c r="R22" s="8">
        <f>IFERROR(Q22/Q444, "NA")</f>
        <v>8.513253592469365E-2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16158.85</v>
      </c>
      <c r="X22" s="8">
        <f>IFERROR(W22/W444, "NA")</f>
        <v>1.1959145067500716</v>
      </c>
      <c r="Y22" s="9"/>
      <c r="Z22" s="7">
        <v>17409.71</v>
      </c>
      <c r="AA22" s="8">
        <f>IFERROR(Z22/Z444, "NA")</f>
        <v>0.10942052914160458</v>
      </c>
      <c r="AB22" s="9"/>
      <c r="AC22" s="10">
        <f t="shared" si="7"/>
        <v>-1250.8599999999988</v>
      </c>
      <c r="AD22" s="8">
        <f>IFERROR(AC22/AC444, "NA")</f>
        <v>-4.0744758126247935E-2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1529.94</v>
      </c>
      <c r="C24" s="8">
        <f>IFERROR(B24/B444, "NA")</f>
        <v>1.6221164424170612E-2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1529.94</v>
      </c>
      <c r="I24" s="8">
        <f>IFERROR(H24/H444, "NA")</f>
        <v>-0.33411514976807555</v>
      </c>
      <c r="J24" s="9"/>
      <c r="K24" s="7">
        <v>532.73</v>
      </c>
      <c r="L24" s="8">
        <f>IFERROR(K24/K444, "NA")</f>
        <v>6.0924000474373054E-3</v>
      </c>
      <c r="M24" s="9"/>
      <c r="N24" s="10">
        <f t="shared" si="5"/>
        <v>997.21</v>
      </c>
      <c r="O24" s="8">
        <f>IFERROR(N24/N444, "NA")</f>
        <v>0.14503206177035641</v>
      </c>
      <c r="P24" s="9"/>
      <c r="Q24" s="7">
        <v>2619.0700000000002</v>
      </c>
      <c r="R24" s="8">
        <f>IFERROR(Q24/Q444, "NA")</f>
        <v>1.379851108614087E-2</v>
      </c>
      <c r="S24" s="9"/>
      <c r="T24" s="7">
        <v>0</v>
      </c>
      <c r="U24" s="8">
        <f>IFERROR(T24/T444, "NA")</f>
        <v>0</v>
      </c>
      <c r="V24" s="9"/>
      <c r="W24" s="10">
        <f t="shared" si="6"/>
        <v>2619.0700000000002</v>
      </c>
      <c r="X24" s="8">
        <f>IFERROR(W24/W444, "NA")</f>
        <v>0.19383704949262542</v>
      </c>
      <c r="Y24" s="9"/>
      <c r="Z24" s="7">
        <v>848.11</v>
      </c>
      <c r="AA24" s="8">
        <f>IFERROR(Z24/Z444, "NA")</f>
        <v>5.3303957946620748E-3</v>
      </c>
      <c r="AB24" s="9"/>
      <c r="AC24" s="10">
        <f t="shared" si="7"/>
        <v>1770.96</v>
      </c>
      <c r="AD24" s="8">
        <f>IFERROR(AC24/AC444, "NA")</f>
        <v>5.7686181388213006E-2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808.65</v>
      </c>
      <c r="C28" s="8">
        <f>IFERROR(B28/B444, "NA")</f>
        <v>8.5736987147244752E-3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808.65</v>
      </c>
      <c r="I28" s="8">
        <f>IFERROR(H28/H444, "NA")</f>
        <v>-0.17659660892581036</v>
      </c>
      <c r="J28" s="9"/>
      <c r="K28" s="7">
        <v>600.36</v>
      </c>
      <c r="L28" s="8">
        <f>IFERROR(K28/K444, "NA")</f>
        <v>6.8658293928997062E-3</v>
      </c>
      <c r="M28" s="9"/>
      <c r="N28" s="10">
        <f t="shared" si="5"/>
        <v>208.28999999999996</v>
      </c>
      <c r="O28" s="8">
        <f>IFERROR(N28/N444, "NA")</f>
        <v>3.029324630333383E-2</v>
      </c>
      <c r="P28" s="9"/>
      <c r="Q28" s="7">
        <v>1647.25</v>
      </c>
      <c r="R28" s="8">
        <f>IFERROR(Q28/Q444, "NA")</f>
        <v>8.6784993859062749E-3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1647.25</v>
      </c>
      <c r="X28" s="8">
        <f>IFERROR(W28/W444, "NA")</f>
        <v>0.12191277047834811</v>
      </c>
      <c r="Y28" s="9"/>
      <c r="Z28" s="7">
        <v>600.36</v>
      </c>
      <c r="AA28" s="8">
        <f>IFERROR(Z28/Z444, "NA")</f>
        <v>3.7732799038843112E-3</v>
      </c>
      <c r="AB28" s="9"/>
      <c r="AC28" s="10">
        <f t="shared" si="7"/>
        <v>1046.8899999999999</v>
      </c>
      <c r="AD28" s="8">
        <f>IFERROR(AC28/AC444, "NA")</f>
        <v>3.410076254320047E-2</v>
      </c>
    </row>
    <row r="29" spans="1:30" ht="16.5" customHeight="1" x14ac:dyDescent="0.45">
      <c r="A29" s="13" t="s">
        <v>30</v>
      </c>
      <c r="B29" s="14">
        <f>IFERROR(B21+B22+B23+B24+B25+B26+B27+B28, "NA")</f>
        <v>10752.64</v>
      </c>
      <c r="C29" s="15">
        <f>IFERROR(B29/B444, "NA")</f>
        <v>0.11400469393173186</v>
      </c>
      <c r="D29" s="2"/>
      <c r="E29" s="14">
        <f>IFERROR(E21+E22+E23+E24+E25+E26+E27+E28, "NA")</f>
        <v>10483.040000000001</v>
      </c>
      <c r="F29" s="15">
        <f>IFERROR(E29/E444, "NA")</f>
        <v>0.10600000404462843</v>
      </c>
      <c r="G29" s="2"/>
      <c r="H29" s="14">
        <f t="shared" si="4"/>
        <v>269.59999999999854</v>
      </c>
      <c r="I29" s="15">
        <f>IFERROR(H29/H444, "NA")</f>
        <v>-5.8876455532552052E-2</v>
      </c>
      <c r="J29" s="2"/>
      <c r="K29" s="14">
        <f>IFERROR(K21+K22+K23+K24+K25+K26+K27+K28, "NA")</f>
        <v>10094.549999999999</v>
      </c>
      <c r="L29" s="15">
        <f>IFERROR(K29/K444, "NA")</f>
        <v>0.11544316426493391</v>
      </c>
      <c r="M29" s="2"/>
      <c r="N29" s="14">
        <f t="shared" si="5"/>
        <v>658.09000000000015</v>
      </c>
      <c r="O29" s="15">
        <f>IFERROR(N29/N444, "NA")</f>
        <v>9.5711183733069125E-2</v>
      </c>
      <c r="P29" s="2"/>
      <c r="Q29" s="14">
        <f>IFERROR(Q21+Q22+Q23+Q24+Q25+Q26+Q27+Q28, "NA")</f>
        <v>20425.170000000002</v>
      </c>
      <c r="R29" s="15">
        <f>IFERROR(Q29/Q444, "NA")</f>
        <v>0.10760954639674081</v>
      </c>
      <c r="S29" s="2"/>
      <c r="T29" s="14">
        <f>IFERROR(T21+T22+T23+T24+T25+T26+T27+T28, "NA")</f>
        <v>18687.419999999998</v>
      </c>
      <c r="U29" s="15">
        <f>IFERROR(T29/T444, "NA")</f>
        <v>0.10599997901262333</v>
      </c>
      <c r="V29" s="2"/>
      <c r="W29" s="14">
        <f t="shared" si="6"/>
        <v>1737.7500000000036</v>
      </c>
      <c r="X29" s="15">
        <f>IFERROR(W29/W444, "NA")</f>
        <v>0.12861066437926841</v>
      </c>
      <c r="Y29" s="2"/>
      <c r="Z29" s="14">
        <f>IFERROR(Z21+Z22+Z23+Z24+Z25+Z26+Z27+Z28, "NA")</f>
        <v>18858.18</v>
      </c>
      <c r="AA29" s="15">
        <f>IFERROR(Z29/Z444, "NA")</f>
        <v>0.11852420484015097</v>
      </c>
      <c r="AB29" s="2"/>
      <c r="AC29" s="14">
        <f t="shared" si="7"/>
        <v>1566.9900000000016</v>
      </c>
      <c r="AD29" s="15">
        <f>IFERROR(AC29/AC444, "NA")</f>
        <v>5.1042185805165549E-2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18889.25</v>
      </c>
      <c r="F31" s="8">
        <f>IFERROR(E31/E444, "NA")</f>
        <v>0.19099999393305733</v>
      </c>
      <c r="G31" s="9"/>
      <c r="H31" s="10">
        <f t="shared" ref="H31:H40" si="8">IFERROR(B31-E31, "NA")</f>
        <v>-18889.25</v>
      </c>
      <c r="I31" s="8">
        <f>IFERROR(H31/H444, "NA")</f>
        <v>4.1251190195410414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33672.620000000003</v>
      </c>
      <c r="U31" s="8">
        <f>IFERROR(T31/T444, "NA")</f>
        <v>0.19099998893908526</v>
      </c>
      <c r="V31" s="9"/>
      <c r="W31" s="10">
        <f t="shared" ref="W31:W40" si="10">IFERROR(Q31-T31, "NA")</f>
        <v>-33672.620000000003</v>
      </c>
      <c r="X31" s="8">
        <f>IFERROR(W31/W444, "NA")</f>
        <v>-2.4921064765303593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9112.69</v>
      </c>
      <c r="C33" s="8">
        <f>IFERROR(B33/B444, "NA")</f>
        <v>9.6617150238895166E-2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9112.69</v>
      </c>
      <c r="I33" s="8">
        <f>IFERROR(H33/H444, "NA")</f>
        <v>-1.9900700577408557</v>
      </c>
      <c r="J33" s="9"/>
      <c r="K33" s="7">
        <v>5807.32</v>
      </c>
      <c r="L33" s="8">
        <f>IFERROR(K33/K444, "NA")</f>
        <v>6.6413599090502901E-2</v>
      </c>
      <c r="M33" s="9"/>
      <c r="N33" s="10">
        <f t="shared" si="9"/>
        <v>3305.3700000000008</v>
      </c>
      <c r="O33" s="8">
        <f>IFERROR(N33/N444, "NA")</f>
        <v>0.48072585113855965</v>
      </c>
      <c r="P33" s="9"/>
      <c r="Q33" s="7">
        <v>15667.68</v>
      </c>
      <c r="R33" s="8">
        <f>IFERROR(Q33/Q444, "NA")</f>
        <v>8.2544817883488261E-2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15667.68</v>
      </c>
      <c r="X33" s="8">
        <f>IFERROR(W33/W444, "NA")</f>
        <v>1.1595630752880286</v>
      </c>
      <c r="Y33" s="9"/>
      <c r="Z33" s="7">
        <v>10085.790000000001</v>
      </c>
      <c r="AA33" s="8">
        <f>IFERROR(Z33/Z444, "NA")</f>
        <v>6.3389480847820229E-2</v>
      </c>
      <c r="AB33" s="9"/>
      <c r="AC33" s="10">
        <f t="shared" si="11"/>
        <v>5581.8899999999994</v>
      </c>
      <c r="AD33" s="8">
        <f>IFERROR(AC33/AC444, "NA")</f>
        <v>0.18182111342382223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1168.73</v>
      </c>
      <c r="C35" s="8">
        <f>IFERROR(B35/B444, "NA")</f>
        <v>1.2391441165967892E-2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1168.73</v>
      </c>
      <c r="I35" s="8">
        <f>IFERROR(H35/H444, "NA")</f>
        <v>-0.25523249211632021</v>
      </c>
      <c r="J35" s="9"/>
      <c r="K35" s="7">
        <v>0</v>
      </c>
      <c r="L35" s="8">
        <f>IFERROR(K35/K444, "NA")</f>
        <v>0</v>
      </c>
      <c r="M35" s="9"/>
      <c r="N35" s="10">
        <f t="shared" si="9"/>
        <v>1168.73</v>
      </c>
      <c r="O35" s="8">
        <f>IFERROR(N35/N444, "NA")</f>
        <v>0.1699775589423177</v>
      </c>
      <c r="P35" s="9"/>
      <c r="Q35" s="7">
        <v>1978.52</v>
      </c>
      <c r="R35" s="8">
        <f>IFERROR(Q35/Q444, "NA")</f>
        <v>1.0423787891943107E-2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1978.52</v>
      </c>
      <c r="X35" s="8">
        <f>IFERROR(W35/W444, "NA")</f>
        <v>0.14643002255080972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1978.52</v>
      </c>
      <c r="AD35" s="8">
        <f>IFERROR(AC35/AC444, "NA")</f>
        <v>6.4447115462916829E-2</v>
      </c>
    </row>
    <row r="36" spans="1:30" ht="16.5" customHeight="1" x14ac:dyDescent="0.45">
      <c r="A36" s="12" t="s">
        <v>36</v>
      </c>
      <c r="B36" s="7">
        <v>13682.3</v>
      </c>
      <c r="C36" s="8">
        <f>IFERROR(B36/B444, "NA")</f>
        <v>0.14506636730906408</v>
      </c>
      <c r="D36" s="9"/>
      <c r="E36" s="7">
        <v>0</v>
      </c>
      <c r="F36" s="8">
        <f>IFERROR(E36/E444, "NA")</f>
        <v>0</v>
      </c>
      <c r="G36" s="9"/>
      <c r="H36" s="10">
        <f t="shared" si="8"/>
        <v>13682.3</v>
      </c>
      <c r="I36" s="8">
        <f>IFERROR(H36/H444, "NA")</f>
        <v>-2.9880019567249305</v>
      </c>
      <c r="J36" s="9"/>
      <c r="K36" s="7">
        <v>6388.27</v>
      </c>
      <c r="L36" s="8">
        <f>IFERROR(K36/K444, "NA")</f>
        <v>7.3057452088379327E-2</v>
      </c>
      <c r="M36" s="9"/>
      <c r="N36" s="10">
        <f t="shared" si="9"/>
        <v>7294.0299999999988</v>
      </c>
      <c r="O36" s="8">
        <f>IFERROR(N36/N444, "NA")</f>
        <v>1.0608279194099863</v>
      </c>
      <c r="P36" s="9"/>
      <c r="Q36" s="7">
        <v>22460.26</v>
      </c>
      <c r="R36" s="8">
        <f>IFERROR(Q36/Q444, "NA")</f>
        <v>0.11833137205481575</v>
      </c>
      <c r="S36" s="9"/>
      <c r="T36" s="7">
        <v>0</v>
      </c>
      <c r="U36" s="8">
        <f>IFERROR(T36/T444, "NA")</f>
        <v>0</v>
      </c>
      <c r="V36" s="9"/>
      <c r="W36" s="10">
        <f t="shared" si="10"/>
        <v>22460.26</v>
      </c>
      <c r="X36" s="8">
        <f>IFERROR(W36/W444, "NA")</f>
        <v>1.66228108803401</v>
      </c>
      <c r="Y36" s="9"/>
      <c r="Z36" s="7">
        <v>13722.03</v>
      </c>
      <c r="AA36" s="8">
        <f>IFERROR(Z36/Z444, "NA")</f>
        <v>8.624335405339735E-2</v>
      </c>
      <c r="AB36" s="9"/>
      <c r="AC36" s="10">
        <f t="shared" si="11"/>
        <v>8738.2299999999977</v>
      </c>
      <c r="AD36" s="8">
        <f>IFERROR(AC36/AC444, "NA")</f>
        <v>0.28463382616881489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781.2</v>
      </c>
      <c r="C39" s="8">
        <f>IFERROR(B39/B444, "NA")</f>
        <v>8.2826605279697763E-3</v>
      </c>
      <c r="D39" s="9"/>
      <c r="E39" s="7">
        <v>0</v>
      </c>
      <c r="F39" s="8">
        <f>IFERROR(E39/E444, "NA")</f>
        <v>0</v>
      </c>
      <c r="G39" s="9"/>
      <c r="H39" s="10">
        <f t="shared" si="8"/>
        <v>781.2</v>
      </c>
      <c r="I39" s="8">
        <f>IFERROR(H39/H444, "NA")</f>
        <v>-0.17060195497785577</v>
      </c>
      <c r="J39" s="9"/>
      <c r="K39" s="7">
        <v>661.95</v>
      </c>
      <c r="L39" s="8">
        <f>IFERROR(K39/K444, "NA")</f>
        <v>7.5701841672162718E-3</v>
      </c>
      <c r="M39" s="9"/>
      <c r="N39" s="10">
        <f t="shared" si="9"/>
        <v>119.25</v>
      </c>
      <c r="O39" s="8">
        <f>IFERROR(N39/N444, "NA")</f>
        <v>1.734346162404609E-2</v>
      </c>
      <c r="P39" s="9"/>
      <c r="Q39" s="7">
        <v>1700.45</v>
      </c>
      <c r="R39" s="8">
        <f>IFERROR(Q39/Q444, "NA")</f>
        <v>8.9587823832231444E-3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1700.45</v>
      </c>
      <c r="X39" s="8">
        <f>IFERROR(W39/W444, "NA")</f>
        <v>0.12585009595380608</v>
      </c>
      <c r="Y39" s="9"/>
      <c r="Z39" s="7">
        <v>1298.5899999999999</v>
      </c>
      <c r="AA39" s="8">
        <f>IFERROR(Z39/Z444, "NA")</f>
        <v>8.1616755786280346E-3</v>
      </c>
      <c r="AB39" s="9"/>
      <c r="AC39" s="10">
        <f t="shared" si="11"/>
        <v>401.86000000000013</v>
      </c>
      <c r="AD39" s="8">
        <f>IFERROR(AC39/AC444, "NA")</f>
        <v>1.3089944918387364E-2</v>
      </c>
    </row>
    <row r="40" spans="1:30" ht="16.5" customHeight="1" x14ac:dyDescent="0.45">
      <c r="A40" s="13" t="s">
        <v>40</v>
      </c>
      <c r="B40" s="14">
        <f>IFERROR(B31+B32+B33+B34+B35+B36+B37+B38+B39, "NA")</f>
        <v>24744.920000000002</v>
      </c>
      <c r="C40" s="15">
        <f>IFERROR(B40/B444, "NA")</f>
        <v>0.26235761924189693</v>
      </c>
      <c r="D40" s="2"/>
      <c r="E40" s="14">
        <f>IFERROR(E31+E32+E33+E34+E35+E36+E37+E38+E39, "NA")</f>
        <v>18889.25</v>
      </c>
      <c r="F40" s="15">
        <f>IFERROR(E40/E444, "NA")</f>
        <v>0.19099999393305733</v>
      </c>
      <c r="G40" s="2"/>
      <c r="H40" s="14">
        <f t="shared" si="8"/>
        <v>5855.6700000000019</v>
      </c>
      <c r="I40" s="15">
        <f>IFERROR(H40/H444, "NA")</f>
        <v>-1.2787874420189207</v>
      </c>
      <c r="J40" s="2"/>
      <c r="K40" s="14">
        <f>IFERROR(K31+K32+K33+K34+K35+K36+K37+K38+K39, "NA")</f>
        <v>12857.54</v>
      </c>
      <c r="L40" s="15">
        <f>IFERROR(K40/K444, "NA")</f>
        <v>0.1470412353460985</v>
      </c>
      <c r="M40" s="2"/>
      <c r="N40" s="14">
        <f t="shared" si="9"/>
        <v>11887.380000000001</v>
      </c>
      <c r="O40" s="15">
        <f>IFERROR(N40/N444, "NA")</f>
        <v>1.72887479111491</v>
      </c>
      <c r="P40" s="2"/>
      <c r="Q40" s="14">
        <f>IFERROR(Q31+Q32+Q33+Q34+Q35+Q36+Q37+Q38+Q39, "NA")</f>
        <v>41806.909999999996</v>
      </c>
      <c r="R40" s="15">
        <f>IFERROR(Q40/Q444, "NA")</f>
        <v>0.22025876021347024</v>
      </c>
      <c r="S40" s="2"/>
      <c r="T40" s="14">
        <f>IFERROR(T31+T32+T33+T34+T35+T36+T37+T38+T39, "NA")</f>
        <v>33672.620000000003</v>
      </c>
      <c r="U40" s="15">
        <f>IFERROR(T40/T444, "NA")</f>
        <v>0.19099998893908526</v>
      </c>
      <c r="V40" s="2"/>
      <c r="W40" s="14">
        <f t="shared" si="10"/>
        <v>8134.2899999999936</v>
      </c>
      <c r="X40" s="15">
        <f>IFERROR(W40/W444, "NA")</f>
        <v>0.60201780529629478</v>
      </c>
      <c r="Y40" s="2"/>
      <c r="Z40" s="14">
        <f>IFERROR(Z31+Z32+Z33+Z34+Z35+Z36+Z37+Z38+Z39, "NA")</f>
        <v>25106.41</v>
      </c>
      <c r="AA40" s="15">
        <f>IFERROR(Z40/Z444, "NA")</f>
        <v>0.15779451047984561</v>
      </c>
      <c r="AB40" s="2"/>
      <c r="AC40" s="14">
        <f t="shared" si="11"/>
        <v>16700.499999999996</v>
      </c>
      <c r="AD40" s="15">
        <f>IFERROR(AC40/AC444, "NA")</f>
        <v>0.54399199997394132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1540.28</v>
      </c>
      <c r="C43" s="8">
        <f>IFERROR(B43/B444, "NA")</f>
        <v>1.6330794109090229E-2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1540.28</v>
      </c>
      <c r="I43" s="8">
        <f>IFERROR(H43/H444, "NA")</f>
        <v>-0.33637324528071127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1540.28</v>
      </c>
      <c r="O43" s="8">
        <f>IFERROR(N43/N444, "NA")</f>
        <v>0.22401498591434557</v>
      </c>
      <c r="P43" s="9"/>
      <c r="Q43" s="7">
        <v>4166.53</v>
      </c>
      <c r="R43" s="8">
        <f>IFERROR(Q43/Q444, "NA")</f>
        <v>2.1951269112982286E-2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4166.53</v>
      </c>
      <c r="X43" s="8">
        <f>IFERROR(W43/W444, "NA")</f>
        <v>0.30836437430939551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4166.53</v>
      </c>
      <c r="AD43" s="8">
        <f>IFERROR(AC43/AC444, "NA")</f>
        <v>0.13571803165482627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19482.63</v>
      </c>
      <c r="F46" s="8">
        <f>IFERROR(E46/E444, "NA")</f>
        <v>0.19699999797768578</v>
      </c>
      <c r="G46" s="9"/>
      <c r="H46" s="10">
        <f t="shared" ref="H46:H62" si="12">IFERROR(B46-E46, "NA")</f>
        <v>-19482.63</v>
      </c>
      <c r="I46" s="8">
        <f>IFERROR(H46/H444, "NA")</f>
        <v>4.2547040016771911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34730.400000000001</v>
      </c>
      <c r="U46" s="8">
        <f>IFERROR(T46/T444, "NA")</f>
        <v>0.19699999631302842</v>
      </c>
      <c r="V46" s="9"/>
      <c r="W46" s="10">
        <f t="shared" ref="W46:W62" si="14">IFERROR(Q46-T46, "NA")</f>
        <v>-34730.400000000001</v>
      </c>
      <c r="X46" s="8">
        <f>IFERROR(W46/W444, "NA")</f>
        <v>-2.5703926446023502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12106.58</v>
      </c>
      <c r="C48" s="8">
        <f>IFERROR(B48/B444, "NA")</f>
        <v>0.12835982116578129</v>
      </c>
      <c r="D48" s="9"/>
      <c r="E48" s="7">
        <v>0</v>
      </c>
      <c r="F48" s="8">
        <f>IFERROR(E48/E444, "NA")</f>
        <v>0</v>
      </c>
      <c r="G48" s="9"/>
      <c r="H48" s="10">
        <f t="shared" si="12"/>
        <v>12106.58</v>
      </c>
      <c r="I48" s="8">
        <f>IFERROR(H48/H444, "NA")</f>
        <v>-2.6438891655092278</v>
      </c>
      <c r="J48" s="9"/>
      <c r="K48" s="7">
        <v>12742.44</v>
      </c>
      <c r="L48" s="8">
        <f>IFERROR(K48/K444, "NA")</f>
        <v>0.14572493019065383</v>
      </c>
      <c r="M48" s="9"/>
      <c r="N48" s="10">
        <f t="shared" si="13"/>
        <v>-635.86000000000058</v>
      </c>
      <c r="O48" s="8">
        <f>IFERROR(N48/N444, "NA")</f>
        <v>-9.2478100698247009E-2</v>
      </c>
      <c r="P48" s="9"/>
      <c r="Q48" s="7">
        <v>29399.67</v>
      </c>
      <c r="R48" s="8">
        <f>IFERROR(Q48/Q444, "NA")</f>
        <v>0.15489149676178304</v>
      </c>
      <c r="S48" s="9"/>
      <c r="T48" s="7">
        <v>0</v>
      </c>
      <c r="U48" s="8">
        <f>IFERROR(T48/T444, "NA")</f>
        <v>0</v>
      </c>
      <c r="V48" s="9"/>
      <c r="W48" s="10">
        <f t="shared" si="14"/>
        <v>29399.67</v>
      </c>
      <c r="X48" s="8">
        <f>IFERROR(W48/W444, "NA")</f>
        <v>2.1758659710725006</v>
      </c>
      <c r="Y48" s="9"/>
      <c r="Z48" s="7">
        <v>21316.01</v>
      </c>
      <c r="AA48" s="8">
        <f>IFERROR(Z48/Z444, "NA")</f>
        <v>0.13397173723098976</v>
      </c>
      <c r="AB48" s="9"/>
      <c r="AC48" s="10">
        <f t="shared" si="15"/>
        <v>8083.66</v>
      </c>
      <c r="AD48" s="8">
        <f>IFERROR(AC48/AC444, "NA")</f>
        <v>0.26331225834611843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12106.58</v>
      </c>
      <c r="C61" s="15">
        <f>IFERROR(B61/B444, "NA")</f>
        <v>0.12835982116578129</v>
      </c>
      <c r="D61" s="2"/>
      <c r="E61" s="14">
        <f>IFERROR(E46+E47+E48+E49+E50+E51+E52+E53+E54+E55+E56+E57+E58+E59+E60, "NA")</f>
        <v>19482.63</v>
      </c>
      <c r="F61" s="15">
        <f>IFERROR(E61/E444, "NA")</f>
        <v>0.19699999797768578</v>
      </c>
      <c r="G61" s="2"/>
      <c r="H61" s="14">
        <f t="shared" si="12"/>
        <v>-7376.0500000000011</v>
      </c>
      <c r="I61" s="15">
        <f>IFERROR(H61/H444, "NA")</f>
        <v>1.6108148361679635</v>
      </c>
      <c r="J61" s="2"/>
      <c r="K61" s="14">
        <f>IFERROR(K46+K47+K48+K49+K50+K51+K52+K53+K54+K55+K56+K57+K58+K59+K60, "NA")</f>
        <v>12742.44</v>
      </c>
      <c r="L61" s="15">
        <f>IFERROR(K61/K444, "NA")</f>
        <v>0.14572493019065383</v>
      </c>
      <c r="M61" s="2"/>
      <c r="N61" s="14">
        <f t="shared" si="13"/>
        <v>-635.86000000000058</v>
      </c>
      <c r="O61" s="15">
        <f>IFERROR(N61/N444, "NA")</f>
        <v>-9.2478100698247009E-2</v>
      </c>
      <c r="P61" s="2"/>
      <c r="Q61" s="14">
        <f>IFERROR(Q46+Q47+Q48+Q49+Q50+Q51+Q52+Q53+Q54+Q55+Q56+Q57+Q58+Q59+Q60, "NA")</f>
        <v>29399.67</v>
      </c>
      <c r="R61" s="15">
        <f>IFERROR(Q61/Q444, "NA")</f>
        <v>0.15489149676178304</v>
      </c>
      <c r="S61" s="2"/>
      <c r="T61" s="14">
        <f>IFERROR(T46+T47+T48+T49+T50+T51+T52+T53+T54+T55+T56+T57+T58+T59+T60, "NA")</f>
        <v>34730.400000000001</v>
      </c>
      <c r="U61" s="15">
        <f>IFERROR(T61/T444, "NA")</f>
        <v>0.19699999631302842</v>
      </c>
      <c r="V61" s="2"/>
      <c r="W61" s="14">
        <f t="shared" si="14"/>
        <v>-5330.7300000000032</v>
      </c>
      <c r="X61" s="15">
        <f>IFERROR(W61/W444, "NA")</f>
        <v>-0.39452667352984977</v>
      </c>
      <c r="Y61" s="2"/>
      <c r="Z61" s="14">
        <f>IFERROR(Z46+Z47+Z48+Z49+Z50+Z51+Z52+Z53+Z54+Z55+Z56+Z57+Z58+Z59+Z60, "NA")</f>
        <v>21316.01</v>
      </c>
      <c r="AA61" s="15">
        <f>IFERROR(Z61/Z444, "NA")</f>
        <v>0.13397173723098976</v>
      </c>
      <c r="AB61" s="2"/>
      <c r="AC61" s="14">
        <f t="shared" si="15"/>
        <v>8083.66</v>
      </c>
      <c r="AD61" s="15">
        <f>IFERROR(AC61/AC444, "NA")</f>
        <v>0.26331225834611843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13646.86</v>
      </c>
      <c r="C62" s="15">
        <f>IFERROR(B62/B444, "NA")</f>
        <v>0.14469061527487151</v>
      </c>
      <c r="D62" s="2"/>
      <c r="E62" s="14">
        <f>IFERROR(E42+E43+E44+E46+E47+E48+E49+E50+E51+E52+E53+E54+E55+E56+E57+E58+E59+E60, "NA")</f>
        <v>19482.63</v>
      </c>
      <c r="F62" s="15">
        <f>IFERROR(E62/E444, "NA")</f>
        <v>0.19699999797768578</v>
      </c>
      <c r="G62" s="2"/>
      <c r="H62" s="14">
        <f t="shared" si="12"/>
        <v>-5835.77</v>
      </c>
      <c r="I62" s="15">
        <f>IFERROR(H62/H444, "NA")</f>
        <v>1.2744415908872522</v>
      </c>
      <c r="J62" s="2"/>
      <c r="K62" s="14">
        <f>IFERROR(K42+K43+K44+K46+K47+K48+K49+K50+K51+K52+K53+K54+K55+K56+K57+K58+K59+K60, "NA")</f>
        <v>12742.44</v>
      </c>
      <c r="L62" s="15">
        <f>IFERROR(K62/K444, "NA")</f>
        <v>0.14572493019065383</v>
      </c>
      <c r="M62" s="2"/>
      <c r="N62" s="14">
        <f t="shared" si="13"/>
        <v>904.42000000000007</v>
      </c>
      <c r="O62" s="15">
        <f>IFERROR(N62/N444, "NA")</f>
        <v>0.13153688521609866</v>
      </c>
      <c r="P62" s="2"/>
      <c r="Q62" s="14">
        <f>IFERROR(Q42+Q43+Q44+Q46+Q47+Q48+Q49+Q50+Q51+Q52+Q53+Q54+Q55+Q56+Q57+Q58+Q59+Q60, "NA")</f>
        <v>33566.199999999997</v>
      </c>
      <c r="R62" s="15">
        <f>IFERROR(Q62/Q444, "NA")</f>
        <v>0.17684276587476533</v>
      </c>
      <c r="S62" s="2"/>
      <c r="T62" s="14">
        <f>IFERROR(T42+T43+T44+T46+T47+T48+T49+T50+T51+T52+T53+T54+T55+T56+T57+T58+T59+T60, "NA")</f>
        <v>34730.400000000001</v>
      </c>
      <c r="U62" s="15">
        <f>IFERROR(T62/T444, "NA")</f>
        <v>0.19699999631302842</v>
      </c>
      <c r="V62" s="2"/>
      <c r="W62" s="14">
        <f t="shared" si="14"/>
        <v>-1164.2000000000044</v>
      </c>
      <c r="X62" s="15">
        <f>IFERROR(W62/W444, "NA")</f>
        <v>-8.6162299220454333E-2</v>
      </c>
      <c r="Y62" s="2"/>
      <c r="Z62" s="14">
        <f>IFERROR(Z42+Z43+Z44+Z46+Z47+Z48+Z49+Z50+Z51+Z52+Z53+Z54+Z55+Z56+Z57+Z58+Z59+Z60, "NA")</f>
        <v>21316.01</v>
      </c>
      <c r="AA62" s="15">
        <f>IFERROR(Z62/Z444, "NA")</f>
        <v>0.13397173723098976</v>
      </c>
      <c r="AB62" s="2"/>
      <c r="AC62" s="14">
        <f t="shared" si="15"/>
        <v>12250.189999999999</v>
      </c>
      <c r="AD62" s="15">
        <f>IFERROR(AC62/AC444, "NA")</f>
        <v>0.39903029000094464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1571.5</v>
      </c>
      <c r="C66" s="8">
        <f>IFERROR(B66/B444, "NA")</f>
        <v>1.6661803660656047E-2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1571.5</v>
      </c>
      <c r="I66" s="8">
        <f>IFERROR(H66/H444, "NA")</f>
        <v>-0.34319120871441411</v>
      </c>
      <c r="J66" s="9"/>
      <c r="K66" s="7">
        <v>0</v>
      </c>
      <c r="L66" s="8">
        <f>IFERROR(K66/K444, "NA")</f>
        <v>0</v>
      </c>
      <c r="M66" s="9"/>
      <c r="N66" s="10">
        <f t="shared" si="17"/>
        <v>1571.5</v>
      </c>
      <c r="O66" s="8">
        <f>IFERROR(N66/N444, "NA")</f>
        <v>0.2285555550707625</v>
      </c>
      <c r="P66" s="9"/>
      <c r="Q66" s="7">
        <v>7456.72</v>
      </c>
      <c r="R66" s="8">
        <f>IFERROR(Q66/Q444, "NA")</f>
        <v>3.9285560747230254E-2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7456.72</v>
      </c>
      <c r="X66" s="8">
        <f>IFERROR(W66/W444, "NA")</f>
        <v>0.5518709326946778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7456.72</v>
      </c>
      <c r="AD66" s="8">
        <f>IFERROR(AC66/AC444, "NA")</f>
        <v>0.24289069345502759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1571.5</v>
      </c>
      <c r="C73" s="15">
        <f>IFERROR(B73/B444, "NA")</f>
        <v>1.6661803660656047E-2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1571.5</v>
      </c>
      <c r="I73" s="15">
        <f>IFERROR(H73/H444, "NA")</f>
        <v>-0.34319120871441411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1571.5</v>
      </c>
      <c r="O73" s="15">
        <f>IFERROR(N73/N444, "NA")</f>
        <v>0.2285555550707625</v>
      </c>
      <c r="P73" s="2"/>
      <c r="Q73" s="14">
        <f>IFERROR(Q64+Q65+Q66+Q67+Q68+Q69+Q70+Q71+Q72, "NA")</f>
        <v>7456.72</v>
      </c>
      <c r="R73" s="15">
        <f>IFERROR(Q73/Q444, "NA")</f>
        <v>3.9285560747230254E-2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7456.72</v>
      </c>
      <c r="X73" s="15">
        <f>IFERROR(W73/W444, "NA")</f>
        <v>0.5518709326946778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7456.72</v>
      </c>
      <c r="AD73" s="15">
        <f>IFERROR(AC73/AC444, "NA")</f>
        <v>0.24289069345502759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1483.45</v>
      </c>
      <c r="F75" s="8">
        <f>IFERROR(E75/E444, "NA")</f>
        <v>1.5000010111571075E-2</v>
      </c>
      <c r="G75" s="9"/>
      <c r="H75" s="10">
        <f t="shared" ref="H75:H92" si="20">IFERROR(B75-E75, "NA")</f>
        <v>-1483.45</v>
      </c>
      <c r="I75" s="8">
        <f>IFERROR(H75/H444, "NA")</f>
        <v>0.32396245534037393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2644.45</v>
      </c>
      <c r="U75" s="8">
        <f>IFERROR(T75/T444, "NA")</f>
        <v>1.5000018434857876E-2</v>
      </c>
      <c r="V75" s="9"/>
      <c r="W75" s="10">
        <f t="shared" ref="W75:W92" si="22">IFERROR(Q75-T75, "NA")</f>
        <v>-2644.45</v>
      </c>
      <c r="X75" s="8">
        <f>IFERROR(W75/W444, "NA")</f>
        <v>-0.19571542017997731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176.33</v>
      </c>
      <c r="C77" s="8">
        <f>IFERROR(B77/B444, "NA")</f>
        <v>1.8695360098526764E-3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176.33</v>
      </c>
      <c r="I77" s="8">
        <f>IFERROR(H77/H444, "NA")</f>
        <v>-3.8507735178245399E-2</v>
      </c>
      <c r="J77" s="9"/>
      <c r="K77" s="7">
        <v>65.78</v>
      </c>
      <c r="L77" s="8">
        <f>IFERROR(K77/K444, "NA")</f>
        <v>7.5227239900216986E-4</v>
      </c>
      <c r="M77" s="9"/>
      <c r="N77" s="10">
        <f t="shared" si="21"/>
        <v>110.55000000000001</v>
      </c>
      <c r="O77" s="8">
        <f>IFERROR(N77/N444, "NA")</f>
        <v>1.6078152474115683E-2</v>
      </c>
      <c r="P77" s="9"/>
      <c r="Q77" s="7">
        <v>318.07</v>
      </c>
      <c r="R77" s="8">
        <f>IFERROR(Q77/Q444, "NA")</f>
        <v>1.675744604446932E-3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318.07</v>
      </c>
      <c r="X77" s="8">
        <f>IFERROR(W77/W444, "NA")</f>
        <v>2.3540321691332938E-2</v>
      </c>
      <c r="Y77" s="9"/>
      <c r="Z77" s="7">
        <v>116.61</v>
      </c>
      <c r="AA77" s="8">
        <f>IFERROR(Z77/Z444, "NA")</f>
        <v>7.3289721099331986E-4</v>
      </c>
      <c r="AB77" s="9"/>
      <c r="AC77" s="10">
        <f t="shared" si="23"/>
        <v>201.45999999999998</v>
      </c>
      <c r="AD77" s="8">
        <f>IFERROR(AC77/AC444, "NA")</f>
        <v>6.5622363590760891E-3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2.99</v>
      </c>
      <c r="L79" s="8">
        <f>IFERROR(K79/K444, "NA")</f>
        <v>3.4194199954644088E-5</v>
      </c>
      <c r="M79" s="9"/>
      <c r="N79" s="10">
        <f t="shared" si="21"/>
        <v>-2.99</v>
      </c>
      <c r="O79" s="8">
        <f>IFERROR(N79/N444, "NA")</f>
        <v>-4.3485912164274894E-4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14.95</v>
      </c>
      <c r="AA79" s="8">
        <f>IFERROR(Z79/Z444, "NA")</f>
        <v>9.3961180896579458E-5</v>
      </c>
      <c r="AB79" s="9"/>
      <c r="AC79" s="10">
        <f t="shared" si="23"/>
        <v>-14.95</v>
      </c>
      <c r="AD79" s="8">
        <f>IFERROR(AC79/AC444, "NA")</f>
        <v>-4.869722702679814E-4</v>
      </c>
    </row>
    <row r="80" spans="1:30" ht="16.5" customHeight="1" x14ac:dyDescent="0.45">
      <c r="A80" s="12" t="s">
        <v>76</v>
      </c>
      <c r="B80" s="7">
        <v>1076.96</v>
      </c>
      <c r="C80" s="8">
        <f>IFERROR(B80/B444, "NA")</f>
        <v>1.1418451206096174E-2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1076.96</v>
      </c>
      <c r="I80" s="8">
        <f>IFERROR(H80/H444, "NA")</f>
        <v>-0.23519134848048071</v>
      </c>
      <c r="J80" s="9"/>
      <c r="K80" s="7">
        <v>1035</v>
      </c>
      <c r="L80" s="8">
        <f>IFERROR(K80/K444, "NA")</f>
        <v>1.1836453830453722E-2</v>
      </c>
      <c r="M80" s="9"/>
      <c r="N80" s="10">
        <f t="shared" si="21"/>
        <v>41.960000000000036</v>
      </c>
      <c r="O80" s="8">
        <f>IFERROR(N80/N444, "NA")</f>
        <v>6.1025714863310234E-3</v>
      </c>
      <c r="P80" s="9"/>
      <c r="Q80" s="7">
        <v>2661.73</v>
      </c>
      <c r="R80" s="8">
        <f>IFERROR(Q80/Q444, "NA")</f>
        <v>1.4023264331733683E-2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2661.73</v>
      </c>
      <c r="X80" s="8">
        <f>IFERROR(W80/W444, "NA")</f>
        <v>0.19699431086072761</v>
      </c>
      <c r="Y80" s="9"/>
      <c r="Z80" s="7">
        <v>1665</v>
      </c>
      <c r="AA80" s="8">
        <f>IFERROR(Z80/Z444, "NA")</f>
        <v>1.0464572989485272E-2</v>
      </c>
      <c r="AB80" s="9"/>
      <c r="AC80" s="10">
        <f t="shared" si="23"/>
        <v>996.73</v>
      </c>
      <c r="AD80" s="8">
        <f>IFERROR(AC80/AC444, "NA")</f>
        <v>3.2466880999612382E-2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1253.29</v>
      </c>
      <c r="C88" s="15">
        <f>IFERROR(B88/B444, "NA")</f>
        <v>1.3287987215948848E-2</v>
      </c>
      <c r="D88" s="2"/>
      <c r="E88" s="14">
        <f>IFERROR(E75+E76+E77+E78+E79+E80+E81+E82+E83+E84+E85+E86+E87, "NA")</f>
        <v>1483.45</v>
      </c>
      <c r="F88" s="15">
        <f>IFERROR(E88/E444, "NA")</f>
        <v>1.5000010111571075E-2</v>
      </c>
      <c r="G88" s="2"/>
      <c r="H88" s="14">
        <f t="shared" si="20"/>
        <v>-230.16000000000008</v>
      </c>
      <c r="I88" s="15">
        <f>IFERROR(H88/H444, "NA")</f>
        <v>5.0263371681647843E-2</v>
      </c>
      <c r="J88" s="2"/>
      <c r="K88" s="14">
        <f>IFERROR(K75+K76+K77+K78+K79+K80+K81+K82+K83+K84+K85+K86+K87, "NA")</f>
        <v>1103.77</v>
      </c>
      <c r="L88" s="15">
        <f>IFERROR(K88/K444, "NA")</f>
        <v>1.2622920429410534E-2</v>
      </c>
      <c r="M88" s="2"/>
      <c r="N88" s="14">
        <f t="shared" si="21"/>
        <v>149.51999999999998</v>
      </c>
      <c r="O88" s="15">
        <f>IFERROR(N88/N444, "NA")</f>
        <v>2.174586483880395E-2</v>
      </c>
      <c r="P88" s="2"/>
      <c r="Q88" s="14">
        <f>IFERROR(Q75+Q76+Q77+Q78+Q79+Q80+Q81+Q82+Q83+Q84+Q85+Q86+Q87, "NA")</f>
        <v>2979.8</v>
      </c>
      <c r="R88" s="15">
        <f>IFERROR(Q88/Q444, "NA")</f>
        <v>1.5699008936180616E-2</v>
      </c>
      <c r="S88" s="2"/>
      <c r="T88" s="14">
        <f>IFERROR(T75+T76+T77+T78+T79+T80+T81+T82+T83+T84+T85+T86+T87, "NA")</f>
        <v>2644.45</v>
      </c>
      <c r="U88" s="15">
        <f>IFERROR(T88/T444, "NA")</f>
        <v>1.5000018434857876E-2</v>
      </c>
      <c r="V88" s="2"/>
      <c r="W88" s="14">
        <f t="shared" si="22"/>
        <v>335.35000000000036</v>
      </c>
      <c r="X88" s="15">
        <f>IFERROR(W88/W444, "NA")</f>
        <v>2.4819212372083219E-2</v>
      </c>
      <c r="Y88" s="2"/>
      <c r="Z88" s="14">
        <f>IFERROR(Z75+Z76+Z77+Z78+Z79+Z80+Z81+Z82+Z83+Z84+Z85+Z86+Z87, "NA")</f>
        <v>1796.56</v>
      </c>
      <c r="AA88" s="15">
        <f>IFERROR(Z88/Z444, "NA")</f>
        <v>1.129143138137517E-2</v>
      </c>
      <c r="AB88" s="2"/>
      <c r="AC88" s="14">
        <f t="shared" si="23"/>
        <v>1183.2400000000002</v>
      </c>
      <c r="AD88" s="15">
        <f>IFERROR(AC88/AC444, "NA")</f>
        <v>3.85421450884205E-2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-479.3</v>
      </c>
      <c r="L89" s="8">
        <f>IFERROR(K89/K444, "NA")</f>
        <v>-5.4813645612912737E-3</v>
      </c>
      <c r="M89" s="9"/>
      <c r="N89" s="10">
        <f t="shared" si="21"/>
        <v>479.3</v>
      </c>
      <c r="O89" s="8">
        <f>IFERROR(N89/N444, "NA")</f>
        <v>6.9708353512832624E-2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-880.42</v>
      </c>
      <c r="AA89" s="8">
        <f>IFERROR(Z89/Z444, "NA")</f>
        <v>-5.5334650759174915E-3</v>
      </c>
      <c r="AB89" s="9"/>
      <c r="AC89" s="10">
        <f t="shared" si="23"/>
        <v>880.42</v>
      </c>
      <c r="AD89" s="8">
        <f>IFERROR(AC89/AC444, "NA")</f>
        <v>2.8678269310323492E-2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-4252.55</v>
      </c>
      <c r="F94" s="8">
        <f>IFERROR(E94/E444, "NA")</f>
        <v>-4.2999961576029914E-2</v>
      </c>
      <c r="G94" s="9"/>
      <c r="H94" s="10">
        <f t="shared" ref="H94:H124" si="24">IFERROR(B94-E94, "NA")</f>
        <v>4252.55</v>
      </c>
      <c r="I94" s="8">
        <f>IFERROR(H94/H444, "NA")</f>
        <v>-0.92869091607921206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-7580.74</v>
      </c>
      <c r="U94" s="8">
        <f>IFERROR(T94/T444, "NA")</f>
        <v>-4.2999958308859873E-2</v>
      </c>
      <c r="V94" s="9"/>
      <c r="W94" s="10">
        <f t="shared" ref="W94:W124" si="26">IFERROR(Q94-T94, "NA")</f>
        <v>7580.74</v>
      </c>
      <c r="X94" s="8">
        <f>IFERROR(W94/W444, "NA")</f>
        <v>0.56104963768464566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-1655.6</v>
      </c>
      <c r="C96" s="8">
        <f>IFERROR(B96/B444, "NA")</f>
        <v>-1.7553472567981006E-2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-1655.6</v>
      </c>
      <c r="I96" s="8">
        <f>IFERROR(H96/H444, "NA")</f>
        <v>0.36155734339648998</v>
      </c>
      <c r="J96" s="9"/>
      <c r="K96" s="7">
        <v>-1253.98</v>
      </c>
      <c r="L96" s="8">
        <f>IFERROR(K96/K444, "NA")</f>
        <v>-1.4340750120108558E-2</v>
      </c>
      <c r="M96" s="9"/>
      <c r="N96" s="10">
        <f t="shared" si="25"/>
        <v>-401.61999999999989</v>
      </c>
      <c r="O96" s="8">
        <f>IFERROR(N96/N444, "NA")</f>
        <v>-5.8410742620120658E-2</v>
      </c>
      <c r="P96" s="9"/>
      <c r="Q96" s="7">
        <v>-3148.75</v>
      </c>
      <c r="R96" s="8">
        <f>IFERROR(Q96/Q444, "NA")</f>
        <v>-1.6589118191757405E-2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-3148.75</v>
      </c>
      <c r="X96" s="8">
        <f>IFERROR(W96/W444, "NA")</f>
        <v>-0.23303860133173387</v>
      </c>
      <c r="Y96" s="9"/>
      <c r="Z96" s="7">
        <v>-2359.91</v>
      </c>
      <c r="AA96" s="8">
        <f>IFERROR(Z96/Z444, "NA")</f>
        <v>-1.483210236853825E-2</v>
      </c>
      <c r="AB96" s="9"/>
      <c r="AC96" s="10">
        <f t="shared" si="27"/>
        <v>-788.84000000000015</v>
      </c>
      <c r="AD96" s="8">
        <f>IFERROR(AC96/AC444, "NA")</f>
        <v>-2.5695197704227058E-2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-1952.46</v>
      </c>
      <c r="C98" s="8">
        <f>IFERROR(B98/B444, "NA")</f>
        <v>-2.070092597854566E-2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-1952.46</v>
      </c>
      <c r="I98" s="8">
        <f>IFERROR(H98/H444, "NA")</f>
        <v>0.42638695982599112</v>
      </c>
      <c r="J98" s="9"/>
      <c r="K98" s="7">
        <v>-2431.15</v>
      </c>
      <c r="L98" s="8">
        <f>IFERROR(K98/K444, "NA")</f>
        <v>-2.7803086695562865E-2</v>
      </c>
      <c r="M98" s="9"/>
      <c r="N98" s="10">
        <f t="shared" si="25"/>
        <v>478.69000000000005</v>
      </c>
      <c r="O98" s="8">
        <f>IFERROR(N98/N444, "NA")</f>
        <v>6.9619636434504181E-2</v>
      </c>
      <c r="P98" s="9"/>
      <c r="Q98" s="7">
        <v>-3989.23</v>
      </c>
      <c r="R98" s="8">
        <f>IFERROR(Q98/Q444, "NA")</f>
        <v>-2.1017168071172494E-2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-3989.23</v>
      </c>
      <c r="X98" s="8">
        <f>IFERROR(W98/W444, "NA")</f>
        <v>-0.29524242305378096</v>
      </c>
      <c r="Y98" s="9"/>
      <c r="Z98" s="7">
        <v>-4427.9399999999996</v>
      </c>
      <c r="AA98" s="8">
        <f>IFERROR(Z98/Z444, "NA")</f>
        <v>-2.7829730524361208E-2</v>
      </c>
      <c r="AB98" s="9"/>
      <c r="AC98" s="10">
        <f t="shared" si="27"/>
        <v>438.70999999999958</v>
      </c>
      <c r="AD98" s="8">
        <f>IFERROR(AC98/AC444, "NA")</f>
        <v>1.4290274561154911E-2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-1336.64</v>
      </c>
      <c r="C100" s="8">
        <f>IFERROR(B100/B444, "NA")</f>
        <v>-1.4171704260247725E-2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-1336.64</v>
      </c>
      <c r="I100" s="8">
        <f>IFERROR(H100/H444, "NA")</f>
        <v>0.29190142998156826</v>
      </c>
      <c r="J100" s="9"/>
      <c r="K100" s="7">
        <v>-66.8</v>
      </c>
      <c r="L100" s="8">
        <f>IFERROR(K100/K444, "NA")</f>
        <v>-7.639373100234865E-4</v>
      </c>
      <c r="M100" s="9"/>
      <c r="N100" s="10">
        <f t="shared" si="25"/>
        <v>-1269.8400000000001</v>
      </c>
      <c r="O100" s="8">
        <f>IFERROR(N100/N444, "NA")</f>
        <v>-0.18468277826984225</v>
      </c>
      <c r="P100" s="9"/>
      <c r="Q100" s="7">
        <v>-1697.97</v>
      </c>
      <c r="R100" s="8">
        <f>IFERROR(Q100/Q444, "NA")</f>
        <v>-8.9457165592880736E-3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-1697.97</v>
      </c>
      <c r="X100" s="8">
        <f>IFERROR(W100/W444, "NA")</f>
        <v>-0.12566655145795766</v>
      </c>
      <c r="Y100" s="9"/>
      <c r="Z100" s="7">
        <v>-149.24</v>
      </c>
      <c r="AA100" s="8">
        <f>IFERROR(Z100/Z444, "NA")</f>
        <v>-9.3797770147194118E-4</v>
      </c>
      <c r="AB100" s="9"/>
      <c r="AC100" s="10">
        <f t="shared" si="27"/>
        <v>-1548.73</v>
      </c>
      <c r="AD100" s="8">
        <f>IFERROR(AC100/AC444, "NA")</f>
        <v>-5.0447395594122466E-2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-309.67</v>
      </c>
      <c r="C102" s="8">
        <f>IFERROR(B102/B444, "NA")</f>
        <v>-3.2832712310501802E-3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-309.67</v>
      </c>
      <c r="I102" s="8">
        <f>IFERROR(H102/H444, "NA")</f>
        <v>6.7627121605213253E-2</v>
      </c>
      <c r="J102" s="9"/>
      <c r="K102" s="7">
        <v>-466.13</v>
      </c>
      <c r="L102" s="8">
        <f>IFERROR(K102/K444, "NA")</f>
        <v>-5.330749974868979E-3</v>
      </c>
      <c r="M102" s="9"/>
      <c r="N102" s="10">
        <f t="shared" si="25"/>
        <v>156.45999999999998</v>
      </c>
      <c r="O102" s="8">
        <f>IFERROR(N102/N444, "NA")</f>
        <v>2.2755203402081769E-2</v>
      </c>
      <c r="P102" s="9"/>
      <c r="Q102" s="7">
        <v>-533.29</v>
      </c>
      <c r="R102" s="8">
        <f>IFERROR(Q102/Q444, "NA")</f>
        <v>-2.8096263090058929E-3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-533.29</v>
      </c>
      <c r="X102" s="8">
        <f>IFERROR(W102/W444, "NA")</f>
        <v>-3.9468727496371689E-2</v>
      </c>
      <c r="Y102" s="9"/>
      <c r="Z102" s="7">
        <v>-1280.28</v>
      </c>
      <c r="AA102" s="8">
        <f>IFERROR(Z102/Z444, "NA")</f>
        <v>-8.0465967008878092E-3</v>
      </c>
      <c r="AB102" s="9"/>
      <c r="AC102" s="10">
        <f t="shared" si="27"/>
        <v>746.99</v>
      </c>
      <c r="AD102" s="8">
        <f>IFERROR(AC102/AC444, "NA")</f>
        <v>2.4332001081436752E-2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-596.74</v>
      </c>
      <c r="C104" s="8">
        <f>IFERROR(B104/B444, "NA")</f>
        <v>-6.3269263229143429E-3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-596.74</v>
      </c>
      <c r="I104" s="8">
        <f>IFERROR(H104/H444, "NA")</f>
        <v>0.13031875398551671</v>
      </c>
      <c r="J104" s="9"/>
      <c r="K104" s="7">
        <v>-988.34</v>
      </c>
      <c r="L104" s="8">
        <f>IFERROR(K104/K444, "NA")</f>
        <v>-1.1302841332164861E-2</v>
      </c>
      <c r="M104" s="9"/>
      <c r="N104" s="10">
        <f t="shared" si="25"/>
        <v>391.6</v>
      </c>
      <c r="O104" s="8">
        <f>IFERROR(N104/N444, "NA")</f>
        <v>5.6953455530200828E-2</v>
      </c>
      <c r="P104" s="9"/>
      <c r="Q104" s="7">
        <v>-1168.47</v>
      </c>
      <c r="R104" s="8">
        <f>IFERROR(Q104/Q444, "NA")</f>
        <v>-6.1560577796023102E-3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-1168.47</v>
      </c>
      <c r="X104" s="8">
        <f>IFERROR(W104/W444, "NA")</f>
        <v>-8.6478321396773666E-2</v>
      </c>
      <c r="Y104" s="9"/>
      <c r="Z104" s="7">
        <v>-1588.13</v>
      </c>
      <c r="AA104" s="8">
        <f>IFERROR(Z104/Z444, "NA")</f>
        <v>-9.9814428238986456E-3</v>
      </c>
      <c r="AB104" s="9"/>
      <c r="AC104" s="10">
        <f t="shared" si="27"/>
        <v>419.66000000000008</v>
      </c>
      <c r="AD104" s="8">
        <f>IFERROR(AC104/AC444, "NA")</f>
        <v>1.3669751367268303E-2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-5</v>
      </c>
      <c r="C106" s="8">
        <f>IFERROR(B106/B444, "NA")</f>
        <v>-5.3012420173897703E-5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-5</v>
      </c>
      <c r="I106" s="8">
        <f>IFERROR(H106/H444, "NA")</f>
        <v>1.0919223948915497E-3</v>
      </c>
      <c r="J106" s="9"/>
      <c r="K106" s="7">
        <v>-686.95</v>
      </c>
      <c r="L106" s="8">
        <f>IFERROR(K106/K444, "NA")</f>
        <v>-7.8560888491112889E-3</v>
      </c>
      <c r="M106" s="9"/>
      <c r="N106" s="10">
        <f t="shared" si="25"/>
        <v>681.95</v>
      </c>
      <c r="O106" s="8">
        <f>IFERROR(N106/N444, "NA")</f>
        <v>9.9181330436211579E-2</v>
      </c>
      <c r="P106" s="9"/>
      <c r="Q106" s="7">
        <v>-10</v>
      </c>
      <c r="R106" s="8">
        <f>IFERROR(Q106/Q444, "NA")</f>
        <v>-5.2684773931742449E-5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-10</v>
      </c>
      <c r="X106" s="8">
        <f>IFERROR(W106/W444, "NA")</f>
        <v>-7.4009877358232278E-4</v>
      </c>
      <c r="Y106" s="9"/>
      <c r="Z106" s="7">
        <v>-1098.25</v>
      </c>
      <c r="AA106" s="8">
        <f>IFERROR(Z106/Z444, "NA")</f>
        <v>-6.9025329043256459E-3</v>
      </c>
      <c r="AB106" s="9"/>
      <c r="AC106" s="10">
        <f t="shared" si="27"/>
        <v>1088.25</v>
      </c>
      <c r="AD106" s="8">
        <f>IFERROR(AC106/AC444, "NA")</f>
        <v>3.544799820194855E-2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-5856.11</v>
      </c>
      <c r="C118" s="15">
        <f>IFERROR(B118/B444, "NA")</f>
        <v>-6.2089312780912807E-2</v>
      </c>
      <c r="D118" s="2"/>
      <c r="E118" s="14">
        <f>IFERROR(E94+E95+E96+E97+E98+E99+E100+E101+E102+E103+E104+E105+E106+E107+E108+E109+E110+E111+E112+E113+E114+E115+E116+E117, "NA")</f>
        <v>-4252.55</v>
      </c>
      <c r="F118" s="15">
        <f>IFERROR(E118/E444, "NA")</f>
        <v>-4.2999961576029914E-2</v>
      </c>
      <c r="G118" s="2"/>
      <c r="H118" s="14">
        <f t="shared" si="24"/>
        <v>-1603.5599999999995</v>
      </c>
      <c r="I118" s="15">
        <f>IFERROR(H118/H444, "NA")</f>
        <v>0.35019261511045863</v>
      </c>
      <c r="J118" s="2"/>
      <c r="K118" s="14">
        <f>IFERROR(K94+K95+K96+K97+K98+K99+K100+K101+K102+K103+K104+K105+K106+K107+K108+K109+K110+K111+K112+K113+K114+K115+K116+K117, "NA")</f>
        <v>-5893.35</v>
      </c>
      <c r="L118" s="15">
        <f>IFERROR(K118/K444, "NA")</f>
        <v>-6.7397454281840033E-2</v>
      </c>
      <c r="M118" s="2"/>
      <c r="N118" s="14">
        <f t="shared" si="25"/>
        <v>37.240000000000691</v>
      </c>
      <c r="O118" s="15">
        <f>IFERROR(N118/N444, "NA")</f>
        <v>5.4161049130355418E-3</v>
      </c>
      <c r="P118" s="2"/>
      <c r="Q118" s="14">
        <f>IFERROR(Q94+Q95+Q96+Q97+Q98+Q99+Q100+Q101+Q102+Q103+Q104+Q105+Q106+Q107+Q108+Q109+Q110+Q111+Q112+Q113+Q114+Q115+Q116+Q117, "NA")</f>
        <v>-10547.709999999997</v>
      </c>
      <c r="R118" s="15">
        <f>IFERROR(Q118/Q444, "NA")</f>
        <v>-5.5570371684757904E-2</v>
      </c>
      <c r="S118" s="2"/>
      <c r="T118" s="14">
        <f>IFERROR(T94+T95+T96+T97+T98+T99+T100+T101+T102+T103+T104+T105+T106+T107+T108+T109+T110+T111+T112+T113+T114+T115+T116+T117, "NA")</f>
        <v>-7580.74</v>
      </c>
      <c r="U118" s="15">
        <f>IFERROR(T118/T444, "NA")</f>
        <v>-4.2999958308859873E-2</v>
      </c>
      <c r="V118" s="2"/>
      <c r="W118" s="14">
        <f t="shared" si="26"/>
        <v>-2966.9699999999975</v>
      </c>
      <c r="X118" s="15">
        <f>IFERROR(W118/W444, "NA")</f>
        <v>-0.21958508582555422</v>
      </c>
      <c r="Y118" s="2"/>
      <c r="Z118" s="14">
        <f>IFERROR(Z94+Z95+Z96+Z97+Z98+Z99+Z100+Z101+Z102+Z103+Z104+Z105+Z106+Z107+Z108+Z109+Z110+Z111+Z112+Z113+Z114+Z115+Z116+Z117, "NA")</f>
        <v>-10903.75</v>
      </c>
      <c r="AA118" s="15">
        <f>IFERROR(Z118/Z444, "NA")</f>
        <v>-6.8530383023483507E-2</v>
      </c>
      <c r="AB118" s="2"/>
      <c r="AC118" s="14">
        <f t="shared" si="27"/>
        <v>356.04000000000269</v>
      </c>
      <c r="AD118" s="15">
        <f>IFERROR(AC118/AC444, "NA")</f>
        <v>1.1597431913459091E-2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94317.51999999999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98896.6</v>
      </c>
      <c r="F122" s="15">
        <f>IFERROR(E122/E444, "NA")</f>
        <v>1</v>
      </c>
      <c r="G122" s="2"/>
      <c r="H122" s="14">
        <f t="shared" si="24"/>
        <v>-4579.0800000000163</v>
      </c>
      <c r="I122" s="15">
        <f>IFERROR(H122/H444, "NA")</f>
        <v>1.0000000000000031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87441.730000000025</v>
      </c>
      <c r="L122" s="15">
        <f>IFERROR(K122/K444, "NA")</f>
        <v>1.0000000000000002</v>
      </c>
      <c r="M122" s="2"/>
      <c r="N122" s="14">
        <f t="shared" si="25"/>
        <v>6875.7899999999645</v>
      </c>
      <c r="O122" s="15">
        <f>IFERROR(N122/N444, "NA")</f>
        <v>0.99999999999999367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189808.16000000003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176296.45</v>
      </c>
      <c r="U122" s="15">
        <f>IFERROR(T122/T444, "NA")</f>
        <v>1</v>
      </c>
      <c r="V122" s="2"/>
      <c r="W122" s="14">
        <f t="shared" si="26"/>
        <v>13511.710000000021</v>
      </c>
      <c r="X122" s="15">
        <f>IFERROR(W122/W444, "NA")</f>
        <v>1.0000000000000022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159108.25999999998</v>
      </c>
      <c r="AA122" s="15">
        <f>IFERROR(Z122/Z444, "NA")</f>
        <v>0.99999999999999978</v>
      </c>
      <c r="AB122" s="2"/>
      <c r="AC122" s="14">
        <f t="shared" si="27"/>
        <v>30699.900000000052</v>
      </c>
      <c r="AD122" s="15">
        <f>IFERROR(AC122/AC444, "NA")</f>
        <v>1.000000000000002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94317.51999999999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98896.6</v>
      </c>
      <c r="F124" s="15">
        <f>IFERROR(E124/E444, "NA")</f>
        <v>1</v>
      </c>
      <c r="G124" s="2"/>
      <c r="H124" s="14">
        <f t="shared" si="24"/>
        <v>-4579.0800000000163</v>
      </c>
      <c r="I124" s="15">
        <f>IFERROR(H124/H444, "NA")</f>
        <v>1.0000000000000031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87441.730000000025</v>
      </c>
      <c r="L124" s="15">
        <f>IFERROR(K124/K444, "NA")</f>
        <v>1.0000000000000002</v>
      </c>
      <c r="M124" s="2"/>
      <c r="N124" s="14">
        <f t="shared" si="25"/>
        <v>6875.7899999999645</v>
      </c>
      <c r="O124" s="15">
        <f>IFERROR(N124/N444, "NA")</f>
        <v>0.99999999999999367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189808.16000000003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176296.45</v>
      </c>
      <c r="U124" s="15">
        <f>IFERROR(T124/T444, "NA")</f>
        <v>1</v>
      </c>
      <c r="V124" s="2"/>
      <c r="W124" s="14">
        <f t="shared" si="26"/>
        <v>13511.710000000021</v>
      </c>
      <c r="X124" s="15">
        <f>IFERROR(W124/W444, "NA")</f>
        <v>1.0000000000000022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159108.25999999998</v>
      </c>
      <c r="AA124" s="15">
        <f>IFERROR(Z124/Z444, "NA")</f>
        <v>0.99999999999999978</v>
      </c>
      <c r="AB124" s="2"/>
      <c r="AC124" s="14">
        <f t="shared" si="27"/>
        <v>30699.900000000052</v>
      </c>
      <c r="AD124" s="15">
        <f>IFERROR(AC124/AC444, "NA")</f>
        <v>1.000000000000002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24229.67</v>
      </c>
      <c r="F129" s="8">
        <f>IFERROR(E129/E444, "NA")</f>
        <v>0.24500003033471318</v>
      </c>
      <c r="G129" s="9"/>
      <c r="H129" s="10">
        <f t="shared" ref="H129:H141" si="28">IFERROR(-(B129-E129), "NA")</f>
        <v>24229.67</v>
      </c>
      <c r="I129" s="8">
        <f>IFERROR(H129/H444, "NA")</f>
        <v>-5.2913838587663875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44431.03</v>
      </c>
      <c r="U129" s="8">
        <f>IFERROR(T129/T444, "NA")</f>
        <v>0.25202453027273092</v>
      </c>
      <c r="V129" s="9"/>
      <c r="W129" s="10">
        <f t="shared" ref="W129:W141" si="30">IFERROR(-(Q129-T129), "NA")</f>
        <v>44431.03</v>
      </c>
      <c r="X129" s="8">
        <f>IFERROR(W129/W444, "NA")</f>
        <v>3.2883350811999388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6043.25</v>
      </c>
      <c r="C130" s="8">
        <f>IFERROR(B130/B444, "NA")</f>
        <v>6.4073461643181451E-2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-6043.25</v>
      </c>
      <c r="I130" s="8">
        <f>IFERROR(H130/H444, "NA")</f>
        <v>1.3197520025856717</v>
      </c>
      <c r="J130" s="9"/>
      <c r="K130" s="7">
        <v>6319.12</v>
      </c>
      <c r="L130" s="8">
        <f>IFERROR(K130/K444, "NA")</f>
        <v>7.2266639738257699E-2</v>
      </c>
      <c r="M130" s="9"/>
      <c r="N130" s="10">
        <f t="shared" si="29"/>
        <v>275.86999999999989</v>
      </c>
      <c r="O130" s="8">
        <f>IFERROR(N130/N444, "NA")</f>
        <v>4.0121935079459894E-2</v>
      </c>
      <c r="P130" s="9"/>
      <c r="Q130" s="7">
        <v>11798.54</v>
      </c>
      <c r="R130" s="8">
        <f>IFERROR(Q130/Q444, "NA")</f>
        <v>6.216034126246206E-2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-11798.54</v>
      </c>
      <c r="X130" s="8">
        <f>IFERROR(W130/W444, "NA")</f>
        <v>-0.87320849840619785</v>
      </c>
      <c r="Y130" s="9"/>
      <c r="Z130" s="7">
        <v>11837.42</v>
      </c>
      <c r="AA130" s="8">
        <f>IFERROR(Z130/Z444, "NA")</f>
        <v>7.4398525884199845E-2</v>
      </c>
      <c r="AB130" s="9"/>
      <c r="AC130" s="10">
        <f t="shared" si="31"/>
        <v>38.8799999999992</v>
      </c>
      <c r="AD130" s="8">
        <f>IFERROR(AC130/AC444, "NA")</f>
        <v>1.2664536366567712E-3</v>
      </c>
    </row>
    <row r="131" spans="1:30" ht="16.5" customHeight="1" x14ac:dyDescent="0.45">
      <c r="A131" s="12" t="s">
        <v>123</v>
      </c>
      <c r="B131" s="7">
        <v>3306.75</v>
      </c>
      <c r="C131" s="8">
        <f>IFERROR(B131/B444, "NA")</f>
        <v>3.5059764082007241E-2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-3306.75</v>
      </c>
      <c r="I131" s="8">
        <f>IFERROR(H131/H444, "NA")</f>
        <v>0.72214287586152648</v>
      </c>
      <c r="J131" s="9"/>
      <c r="K131" s="7">
        <v>3230.69</v>
      </c>
      <c r="L131" s="8">
        <f>IFERROR(K131/K444, "NA")</f>
        <v>3.6946775870056556E-2</v>
      </c>
      <c r="M131" s="9"/>
      <c r="N131" s="10">
        <f t="shared" si="29"/>
        <v>-76.059999999999945</v>
      </c>
      <c r="O131" s="8">
        <f>IFERROR(N131/N444, "NA")</f>
        <v>-1.1062001602724901E-2</v>
      </c>
      <c r="P131" s="9"/>
      <c r="Q131" s="7">
        <v>6269.84</v>
      </c>
      <c r="R131" s="8">
        <f>IFERROR(Q131/Q444, "NA")</f>
        <v>3.3032510298819609E-2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-6269.84</v>
      </c>
      <c r="X131" s="8">
        <f>IFERROR(W131/W444, "NA")</f>
        <v>-0.46403008945573904</v>
      </c>
      <c r="Y131" s="9"/>
      <c r="Z131" s="7">
        <v>5805.91</v>
      </c>
      <c r="AA131" s="8">
        <f>IFERROR(Z131/Z444, "NA")</f>
        <v>3.6490311690920381E-2</v>
      </c>
      <c r="AB131" s="9"/>
      <c r="AC131" s="10">
        <f t="shared" si="31"/>
        <v>-463.93000000000029</v>
      </c>
      <c r="AD131" s="8">
        <f>IFERROR(AC131/AC444, "NA")</f>
        <v>-1.5111775608389616E-2</v>
      </c>
    </row>
    <row r="132" spans="1:30" ht="16.5" customHeight="1" x14ac:dyDescent="0.45">
      <c r="A132" s="12" t="s">
        <v>124</v>
      </c>
      <c r="B132" s="7">
        <v>3462.59</v>
      </c>
      <c r="C132" s="8">
        <f>IFERROR(B132/B444, "NA")</f>
        <v>3.6712055193987292E-2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-3462.59</v>
      </c>
      <c r="I132" s="8">
        <f>IFERROR(H132/H444, "NA")</f>
        <v>0.75617591306550636</v>
      </c>
      <c r="J132" s="9"/>
      <c r="K132" s="7">
        <v>2955.95</v>
      </c>
      <c r="L132" s="8">
        <f>IFERROR(K132/K444, "NA")</f>
        <v>3.3804797777903066E-2</v>
      </c>
      <c r="M132" s="9"/>
      <c r="N132" s="10">
        <f t="shared" si="29"/>
        <v>-506.64000000000033</v>
      </c>
      <c r="O132" s="8">
        <f>IFERROR(N132/N444, "NA")</f>
        <v>-7.3684623875947305E-2</v>
      </c>
      <c r="P132" s="9"/>
      <c r="Q132" s="7">
        <v>7137.25</v>
      </c>
      <c r="R132" s="8">
        <f>IFERROR(Q132/Q444, "NA")</f>
        <v>3.760244027443288E-2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-7137.25</v>
      </c>
      <c r="X132" s="8">
        <f>IFERROR(W132/W444, "NA")</f>
        <v>-0.52822699717504329</v>
      </c>
      <c r="Y132" s="9"/>
      <c r="Z132" s="7">
        <v>5344.91</v>
      </c>
      <c r="AA132" s="8">
        <f>IFERROR(Z132/Z444, "NA")</f>
        <v>3.3592913403741577E-2</v>
      </c>
      <c r="AB132" s="9"/>
      <c r="AC132" s="10">
        <f t="shared" si="31"/>
        <v>-1792.3400000000001</v>
      </c>
      <c r="AD132" s="8">
        <f>IFERROR(AC132/AC444, "NA")</f>
        <v>-5.8382600594790224E-2</v>
      </c>
    </row>
    <row r="133" spans="1:30" ht="16.5" customHeight="1" x14ac:dyDescent="0.45">
      <c r="A133" s="12" t="s">
        <v>125</v>
      </c>
      <c r="B133" s="7">
        <v>2487.64</v>
      </c>
      <c r="C133" s="8">
        <f>IFERROR(B133/B444, "NA")</f>
        <v>2.6375163384278973E-2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-2487.64</v>
      </c>
      <c r="I133" s="8">
        <f>IFERROR(H133/H444, "NA")</f>
        <v>0.543261965285603</v>
      </c>
      <c r="J133" s="9"/>
      <c r="K133" s="7">
        <v>2077.23</v>
      </c>
      <c r="L133" s="8">
        <f>IFERROR(K133/K444, "NA")</f>
        <v>2.375559129491148E-2</v>
      </c>
      <c r="M133" s="9"/>
      <c r="N133" s="10">
        <f t="shared" si="29"/>
        <v>-410.40999999999985</v>
      </c>
      <c r="O133" s="8">
        <f>IFERROR(N133/N444, "NA")</f>
        <v>-5.9689141175050336E-2</v>
      </c>
      <c r="P133" s="9"/>
      <c r="Q133" s="7">
        <v>4859.6400000000003</v>
      </c>
      <c r="R133" s="8">
        <f>IFERROR(Q133/Q444, "NA")</f>
        <v>2.5602903478965291E-2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-4859.6400000000003</v>
      </c>
      <c r="X133" s="8">
        <f>IFERROR(W133/W444, "NA")</f>
        <v>-0.35966136040515989</v>
      </c>
      <c r="Y133" s="9"/>
      <c r="Z133" s="7">
        <v>3463.98</v>
      </c>
      <c r="AA133" s="8">
        <f>IFERROR(Z133/Z444, "NA")</f>
        <v>2.1771214140610926E-2</v>
      </c>
      <c r="AB133" s="9"/>
      <c r="AC133" s="10">
        <f t="shared" si="31"/>
        <v>-1395.6600000000003</v>
      </c>
      <c r="AD133" s="8">
        <f>IFERROR(AC133/AC444, "NA")</f>
        <v>-4.5461385867706428E-2</v>
      </c>
    </row>
    <row r="134" spans="1:30" ht="16.5" customHeight="1" x14ac:dyDescent="0.45">
      <c r="A134" s="12" t="s">
        <v>126</v>
      </c>
      <c r="B134" s="7">
        <v>1003.59</v>
      </c>
      <c r="C134" s="8">
        <f>IFERROR(B134/B444, "NA")</f>
        <v>1.0640546952464398E-2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-1003.59</v>
      </c>
      <c r="I134" s="8">
        <f>IFERROR(H134/H444, "NA")</f>
        <v>0.21916847925784211</v>
      </c>
      <c r="J134" s="9"/>
      <c r="K134" s="7">
        <v>1160.31</v>
      </c>
      <c r="L134" s="8">
        <f>IFERROR(K134/K444, "NA")</f>
        <v>1.3269522457984306E-2</v>
      </c>
      <c r="M134" s="9"/>
      <c r="N134" s="10">
        <f t="shared" si="29"/>
        <v>156.71999999999991</v>
      </c>
      <c r="O134" s="8">
        <f>IFERROR(N134/N444, "NA")</f>
        <v>2.2793017238746344E-2</v>
      </c>
      <c r="P134" s="9"/>
      <c r="Q134" s="7">
        <v>1930.05</v>
      </c>
      <c r="R134" s="8">
        <f>IFERROR(Q134/Q444, "NA")</f>
        <v>1.0168424792695951E-2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-1930.05</v>
      </c>
      <c r="X134" s="8">
        <f>IFERROR(W134/W444, "NA")</f>
        <v>-0.14284276379525621</v>
      </c>
      <c r="Y134" s="9"/>
      <c r="Z134" s="7">
        <v>2170.71</v>
      </c>
      <c r="AA134" s="8">
        <f>IFERROR(Z134/Z444, "NA")</f>
        <v>1.3642974915318663E-2</v>
      </c>
      <c r="AB134" s="9"/>
      <c r="AC134" s="10">
        <f t="shared" si="31"/>
        <v>240.66000000000008</v>
      </c>
      <c r="AD134" s="8">
        <f>IFERROR(AC134/AC444, "NA")</f>
        <v>7.8391134824543438E-3</v>
      </c>
    </row>
    <row r="135" spans="1:30" ht="16.5" customHeight="1" x14ac:dyDescent="0.45">
      <c r="A135" s="12" t="s">
        <v>127</v>
      </c>
      <c r="B135" s="7">
        <v>756.57</v>
      </c>
      <c r="C135" s="8">
        <f>IFERROR(B135/B444, "NA")</f>
        <v>8.0215213461931577E-3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-756.57</v>
      </c>
      <c r="I135" s="8">
        <f>IFERROR(H135/H444, "NA")</f>
        <v>0.16522314526061999</v>
      </c>
      <c r="J135" s="9"/>
      <c r="K135" s="7">
        <v>581.41999999999996</v>
      </c>
      <c r="L135" s="8">
        <f>IFERROR(K135/K444, "NA")</f>
        <v>6.6492280058960407E-3</v>
      </c>
      <c r="M135" s="9"/>
      <c r="N135" s="10">
        <f t="shared" si="29"/>
        <v>-175.15000000000009</v>
      </c>
      <c r="O135" s="8">
        <f>IFERROR(N135/N444, "NA")</f>
        <v>-2.5473436506932276E-2</v>
      </c>
      <c r="P135" s="9"/>
      <c r="Q135" s="7">
        <v>1553.67</v>
      </c>
      <c r="R135" s="8">
        <f>IFERROR(Q135/Q444, "NA")</f>
        <v>8.1854752714530295E-3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-1553.67</v>
      </c>
      <c r="X135" s="8">
        <f>IFERROR(W135/W444, "NA")</f>
        <v>-0.11498692615516475</v>
      </c>
      <c r="Y135" s="9"/>
      <c r="Z135" s="7">
        <v>1121.8</v>
      </c>
      <c r="AA135" s="8">
        <f>IFERROR(Z135/Z444, "NA")</f>
        <v>7.0505453330958427E-3</v>
      </c>
      <c r="AB135" s="9"/>
      <c r="AC135" s="10">
        <f t="shared" si="31"/>
        <v>-431.87000000000012</v>
      </c>
      <c r="AD135" s="8">
        <f>IFERROR(AC135/AC444, "NA")</f>
        <v>-1.4067472532483825E-2</v>
      </c>
    </row>
    <row r="136" spans="1:30" ht="16.5" customHeight="1" x14ac:dyDescent="0.45">
      <c r="A136" s="12" t="s">
        <v>128</v>
      </c>
      <c r="B136" s="7">
        <v>922.33</v>
      </c>
      <c r="C136" s="8">
        <f>IFERROR(B136/B444, "NA")</f>
        <v>9.7789890997982132E-3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-922.33</v>
      </c>
      <c r="I136" s="8">
        <f>IFERROR(H136/H444, "NA")</f>
        <v>0.20142255649606464</v>
      </c>
      <c r="J136" s="9"/>
      <c r="K136" s="7">
        <v>1040.43</v>
      </c>
      <c r="L136" s="8">
        <f>IFERROR(K136/K444, "NA")</f>
        <v>1.189855232736132E-2</v>
      </c>
      <c r="M136" s="9"/>
      <c r="N136" s="10">
        <f t="shared" si="29"/>
        <v>118.10000000000002</v>
      </c>
      <c r="O136" s="8">
        <f>IFERROR(N136/N444, "NA")</f>
        <v>1.7176208115721958E-2</v>
      </c>
      <c r="P136" s="9"/>
      <c r="Q136" s="7">
        <v>1661.41</v>
      </c>
      <c r="R136" s="8">
        <f>IFERROR(Q136/Q444, "NA")</f>
        <v>8.7531010257936234E-3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-1661.41</v>
      </c>
      <c r="X136" s="8">
        <f>IFERROR(W136/W444, "NA")</f>
        <v>-0.12296075034174068</v>
      </c>
      <c r="Y136" s="9"/>
      <c r="Z136" s="7">
        <v>1925.3</v>
      </c>
      <c r="AA136" s="8">
        <f>IFERROR(Z136/Z444, "NA")</f>
        <v>1.2100565991985581E-2</v>
      </c>
      <c r="AB136" s="9"/>
      <c r="AC136" s="10">
        <f t="shared" si="31"/>
        <v>263.88999999999987</v>
      </c>
      <c r="AD136" s="8">
        <f>IFERROR(AC136/AC444, "NA")</f>
        <v>8.595793471639971E-3</v>
      </c>
    </row>
    <row r="137" spans="1:30" ht="16.5" customHeight="1" x14ac:dyDescent="0.45">
      <c r="A137" s="12" t="s">
        <v>129</v>
      </c>
      <c r="B137" s="7">
        <v>466.1</v>
      </c>
      <c r="C137" s="8">
        <f>IFERROR(B137/B444, "NA")</f>
        <v>4.9418178086107437E-3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-466.1</v>
      </c>
      <c r="I137" s="8">
        <f>IFERROR(H137/H444, "NA")</f>
        <v>0.10178900565179028</v>
      </c>
      <c r="J137" s="9"/>
      <c r="K137" s="7">
        <v>427.96</v>
      </c>
      <c r="L137" s="8">
        <f>IFERROR(K137/K444, "NA")</f>
        <v>4.8942307065516655E-3</v>
      </c>
      <c r="M137" s="9"/>
      <c r="N137" s="10">
        <f t="shared" si="29"/>
        <v>-38.140000000000043</v>
      </c>
      <c r="O137" s="8">
        <f>IFERROR(N137/N444, "NA")</f>
        <v>-5.5469989630282483E-3</v>
      </c>
      <c r="P137" s="9"/>
      <c r="Q137" s="7">
        <v>1000.07</v>
      </c>
      <c r="R137" s="8">
        <f>IFERROR(Q137/Q444, "NA")</f>
        <v>5.268846186591767E-3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-1000.07</v>
      </c>
      <c r="X137" s="8">
        <f>IFERROR(W137/W444, "NA")</f>
        <v>-7.401505804964735E-2</v>
      </c>
      <c r="Y137" s="9"/>
      <c r="Z137" s="7">
        <v>989.82</v>
      </c>
      <c r="AA137" s="8">
        <f>IFERROR(Z137/Z444, "NA")</f>
        <v>6.2210472291004881E-3</v>
      </c>
      <c r="AB137" s="9"/>
      <c r="AC137" s="10">
        <f t="shared" si="31"/>
        <v>-10.25</v>
      </c>
      <c r="AD137" s="8">
        <f>IFERROR(AC137/AC444, "NA")</f>
        <v>-3.3387730904660932E-4</v>
      </c>
    </row>
    <row r="138" spans="1:30" ht="16.5" customHeight="1" x14ac:dyDescent="0.45">
      <c r="A138" s="12" t="s">
        <v>130</v>
      </c>
      <c r="B138" s="7">
        <v>5288.72</v>
      </c>
      <c r="C138" s="8">
        <f>IFERROR(B138/B444, "NA")</f>
        <v>5.6073569364419248E-2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-5288.72</v>
      </c>
      <c r="I138" s="8">
        <f>IFERROR(H138/H444, "NA")</f>
        <v>1.1549743616621675</v>
      </c>
      <c r="J138" s="9"/>
      <c r="K138" s="7">
        <v>5023.47</v>
      </c>
      <c r="L138" s="8">
        <f>IFERROR(K138/K444, "NA")</f>
        <v>5.7449343694366529E-2</v>
      </c>
      <c r="M138" s="9"/>
      <c r="N138" s="10">
        <f t="shared" si="29"/>
        <v>-265.25</v>
      </c>
      <c r="O138" s="8">
        <f>IFERROR(N138/N444, "NA")</f>
        <v>-3.8577385289544866E-2</v>
      </c>
      <c r="P138" s="9"/>
      <c r="Q138" s="7">
        <v>10425.68</v>
      </c>
      <c r="R138" s="8">
        <f>IFERROR(Q138/Q444, "NA")</f>
        <v>5.4927459388468866E-2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-10425.68</v>
      </c>
      <c r="X138" s="8">
        <f>IFERROR(W138/W444, "NA")</f>
        <v>-0.77160329817617512</v>
      </c>
      <c r="Y138" s="9"/>
      <c r="Z138" s="7">
        <v>9393.65</v>
      </c>
      <c r="AA138" s="8">
        <f>IFERROR(Z138/Z444, "NA")</f>
        <v>5.90393609986056E-2</v>
      </c>
      <c r="AB138" s="9"/>
      <c r="AC138" s="10">
        <f t="shared" si="31"/>
        <v>-1032.0300000000007</v>
      </c>
      <c r="AD138" s="8">
        <f>IFERROR(AC138/AC444, "NA")</f>
        <v>-3.3616721878572925E-2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23737.54</v>
      </c>
      <c r="C141" s="15">
        <f>IFERROR(B141/B444, "NA")</f>
        <v>0.25167688887494072</v>
      </c>
      <c r="D141" s="2"/>
      <c r="E141" s="14">
        <f>IFERROR(E129+E130+E131+E132+E133+E134+E135+E136+E137+E138+E139+E140, "NA")</f>
        <v>24229.67</v>
      </c>
      <c r="F141" s="15">
        <f>IFERROR(E141/E444, "NA")</f>
        <v>0.24500003033471318</v>
      </c>
      <c r="G141" s="2"/>
      <c r="H141" s="14">
        <f t="shared" si="28"/>
        <v>492.12999999999738</v>
      </c>
      <c r="I141" s="15">
        <f>IFERROR(H141/H444, "NA")</f>
        <v>-0.10747355363959511</v>
      </c>
      <c r="J141" s="2"/>
      <c r="K141" s="14">
        <f>IFERROR(K129+K130+K131+K132+K133+K134+K135+K136+K137+K138+K139+K140, "NA")</f>
        <v>22816.579999999998</v>
      </c>
      <c r="L141" s="15">
        <f>IFERROR(K141/K444, "NA")</f>
        <v>0.26093468187328861</v>
      </c>
      <c r="M141" s="2"/>
      <c r="N141" s="14">
        <f t="shared" si="29"/>
        <v>-920.96000000000276</v>
      </c>
      <c r="O141" s="15">
        <f>IFERROR(N141/N444, "NA")</f>
        <v>-0.13394242697930009</v>
      </c>
      <c r="P141" s="2"/>
      <c r="Q141" s="14">
        <f>IFERROR(Q129+Q130+Q131+Q132+Q133+Q134+Q135+Q136+Q137+Q138+Q139+Q140, "NA")</f>
        <v>46636.15</v>
      </c>
      <c r="R141" s="15">
        <f>IFERROR(Q141/Q444, "NA")</f>
        <v>0.24570150197968307</v>
      </c>
      <c r="S141" s="2"/>
      <c r="T141" s="14">
        <f>IFERROR(T129+T130+T131+T132+T133+T134+T135+T136+T137+T138+T139+T140, "NA")</f>
        <v>44431.03</v>
      </c>
      <c r="U141" s="15">
        <f>IFERROR(T141/T444, "NA")</f>
        <v>0.25202453027273092</v>
      </c>
      <c r="V141" s="2"/>
      <c r="W141" s="14">
        <f t="shared" si="30"/>
        <v>-2205.1200000000026</v>
      </c>
      <c r="X141" s="15">
        <f>IFERROR(W141/W444, "NA")</f>
        <v>-0.16320066076018536</v>
      </c>
      <c r="Y141" s="2"/>
      <c r="Z141" s="14">
        <f>IFERROR(Z129+Z130+Z131+Z132+Z133+Z134+Z135+Z136+Z137+Z138+Z139+Z140, "NA")</f>
        <v>42053.5</v>
      </c>
      <c r="AA141" s="15">
        <f>IFERROR(Z141/Z444, "NA")</f>
        <v>0.2643074595875789</v>
      </c>
      <c r="AB141" s="2"/>
      <c r="AC141" s="14">
        <f t="shared" si="31"/>
        <v>-4582.6500000000015</v>
      </c>
      <c r="AD141" s="15">
        <f>IFERROR(AC141/AC444, "NA")</f>
        <v>-0.14927247320023851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1390.23</v>
      </c>
      <c r="C144" s="8">
        <f>IFERROR(B144/B444, "NA")</f>
        <v>1.473989137967156E-2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-1390.23</v>
      </c>
      <c r="I144" s="8">
        <f>IFERROR(H144/H444, "NA")</f>
        <v>0.30360465421001587</v>
      </c>
      <c r="J144" s="9"/>
      <c r="K144" s="7">
        <v>663.06</v>
      </c>
      <c r="L144" s="8">
        <f>IFERROR(K144/K444, "NA")</f>
        <v>7.582878335092409E-3</v>
      </c>
      <c r="M144" s="9"/>
      <c r="N144" s="10">
        <f t="shared" si="33"/>
        <v>-727.17000000000007</v>
      </c>
      <c r="O144" s="8">
        <f>IFERROR(N144/N444, "NA")</f>
        <v>-0.10575802925918319</v>
      </c>
      <c r="P144" s="9"/>
      <c r="Q144" s="7">
        <v>2375.09</v>
      </c>
      <c r="R144" s="8">
        <f>IFERROR(Q144/Q444, "NA")</f>
        <v>1.2513107971754218E-2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-2375.09</v>
      </c>
      <c r="X144" s="8">
        <f>IFERROR(W144/W444, "NA")</f>
        <v>-0.17578011961476389</v>
      </c>
      <c r="Y144" s="9"/>
      <c r="Z144" s="7">
        <v>1524.34</v>
      </c>
      <c r="AA144" s="8">
        <f>IFERROR(Z144/Z444, "NA")</f>
        <v>9.5805208353104982E-3</v>
      </c>
      <c r="AB144" s="9"/>
      <c r="AC144" s="10">
        <f t="shared" si="35"/>
        <v>-850.75000000000023</v>
      </c>
      <c r="AD144" s="8">
        <f>IFERROR(AC144/AC444, "NA")</f>
        <v>-2.7711816650868581E-2</v>
      </c>
    </row>
    <row r="145" spans="1:30" ht="16.5" customHeight="1" x14ac:dyDescent="0.45">
      <c r="A145" s="12" t="s">
        <v>136</v>
      </c>
      <c r="B145" s="7">
        <v>39.25</v>
      </c>
      <c r="C145" s="8">
        <f>IFERROR(B145/B444, "NA")</f>
        <v>4.1614749836509692E-4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-39.25</v>
      </c>
      <c r="I145" s="8">
        <f>IFERROR(H145/H444, "NA")</f>
        <v>8.5715907998986669E-3</v>
      </c>
      <c r="J145" s="9"/>
      <c r="K145" s="7">
        <v>59.68</v>
      </c>
      <c r="L145" s="8">
        <f>IFERROR(K145/K444, "NA")</f>
        <v>6.8251165661978557E-4</v>
      </c>
      <c r="M145" s="9"/>
      <c r="N145" s="10">
        <f t="shared" si="33"/>
        <v>20.43</v>
      </c>
      <c r="O145" s="8">
        <f>IFERROR(N145/N444, "NA")</f>
        <v>2.9712949348365751E-3</v>
      </c>
      <c r="P145" s="9"/>
      <c r="Q145" s="7">
        <v>60.81</v>
      </c>
      <c r="R145" s="8">
        <f>IFERROR(Q145/Q444, "NA")</f>
        <v>3.2037611027892584E-4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-60.81</v>
      </c>
      <c r="X145" s="8">
        <f>IFERROR(W145/W444, "NA")</f>
        <v>-4.500540642154105E-3</v>
      </c>
      <c r="Y145" s="9"/>
      <c r="Z145" s="7">
        <v>98.89</v>
      </c>
      <c r="AA145" s="8">
        <f>IFERROR(Z145/Z444, "NA")</f>
        <v>6.2152650025837754E-4</v>
      </c>
      <c r="AB145" s="9"/>
      <c r="AC145" s="10">
        <f t="shared" si="35"/>
        <v>38.08</v>
      </c>
      <c r="AD145" s="8">
        <f>IFERROR(AC145/AC444, "NA")</f>
        <v>1.2403949198531593E-3</v>
      </c>
    </row>
    <row r="146" spans="1:30" ht="16.5" customHeight="1" x14ac:dyDescent="0.45">
      <c r="A146" s="12" t="s">
        <v>137</v>
      </c>
      <c r="B146" s="7">
        <v>87.29</v>
      </c>
      <c r="C146" s="8">
        <f>IFERROR(B146/B444, "NA")</f>
        <v>9.2549083139590606E-4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-87.29</v>
      </c>
      <c r="I146" s="8">
        <f>IFERROR(H146/H444, "NA")</f>
        <v>1.9062781170016679E-2</v>
      </c>
      <c r="J146" s="9"/>
      <c r="K146" s="7">
        <v>70.64</v>
      </c>
      <c r="L146" s="8">
        <f>IFERROR(K146/K444, "NA")</f>
        <v>8.0785226916256123E-4</v>
      </c>
      <c r="M146" s="9"/>
      <c r="N146" s="10">
        <f t="shared" si="33"/>
        <v>-16.650000000000006</v>
      </c>
      <c r="O146" s="8">
        <f>IFERROR(N146/N444, "NA")</f>
        <v>-2.4215399248668132E-3</v>
      </c>
      <c r="P146" s="9"/>
      <c r="Q146" s="7">
        <v>145.28</v>
      </c>
      <c r="R146" s="8">
        <f>IFERROR(Q146/Q444, "NA")</f>
        <v>7.6540439568035428E-4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-145.28</v>
      </c>
      <c r="X146" s="8">
        <f>IFERROR(W146/W444, "NA")</f>
        <v>-1.0752154982603984E-2</v>
      </c>
      <c r="Y146" s="9"/>
      <c r="Z146" s="7">
        <v>87.22</v>
      </c>
      <c r="AA146" s="8">
        <f>IFERROR(Z146/Z444, "NA")</f>
        <v>5.481802138996429E-4</v>
      </c>
      <c r="AB146" s="9"/>
      <c r="AC146" s="10">
        <f t="shared" si="35"/>
        <v>-58.06</v>
      </c>
      <c r="AD146" s="8">
        <f>IFERROR(AC146/AC444, "NA")</f>
        <v>-1.8912113720240134E-3</v>
      </c>
    </row>
    <row r="147" spans="1:30" ht="16.5" customHeight="1" x14ac:dyDescent="0.45">
      <c r="A147" s="12" t="s">
        <v>138</v>
      </c>
      <c r="B147" s="7">
        <v>5.94</v>
      </c>
      <c r="C147" s="8">
        <f>IFERROR(B147/B444, "NA")</f>
        <v>6.2978755166590467E-5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-5.94</v>
      </c>
      <c r="I147" s="8">
        <f>IFERROR(H147/H444, "NA")</f>
        <v>1.2972038051311612E-3</v>
      </c>
      <c r="J147" s="9"/>
      <c r="K147" s="7">
        <v>12.4</v>
      </c>
      <c r="L147" s="8">
        <f>IFERROR(K147/K444, "NA")</f>
        <v>1.4180872221992863E-4</v>
      </c>
      <c r="M147" s="9"/>
      <c r="N147" s="10">
        <f t="shared" si="33"/>
        <v>6.46</v>
      </c>
      <c r="O147" s="8">
        <f>IFERROR(N147/N444, "NA")</f>
        <v>9.395284032816582E-4</v>
      </c>
      <c r="P147" s="9"/>
      <c r="Q147" s="7">
        <v>20.48</v>
      </c>
      <c r="R147" s="8">
        <f>IFERROR(Q147/Q444, "NA")</f>
        <v>1.0789841701220854E-4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-20.48</v>
      </c>
      <c r="X147" s="8">
        <f>IFERROR(W147/W444, "NA")</f>
        <v>-1.515722288296597E-3</v>
      </c>
      <c r="Y147" s="9"/>
      <c r="Z147" s="7">
        <v>60.89</v>
      </c>
      <c r="AA147" s="8">
        <f>IFERROR(Z147/Z444, "NA")</f>
        <v>3.8269540500285781E-4</v>
      </c>
      <c r="AB147" s="9"/>
      <c r="AC147" s="10">
        <f t="shared" si="35"/>
        <v>40.409999999999997</v>
      </c>
      <c r="AD147" s="8">
        <f>IFERROR(AC147/AC444, "NA")</f>
        <v>1.3162909325437544E-3</v>
      </c>
    </row>
    <row r="148" spans="1:30" ht="16.5" customHeight="1" x14ac:dyDescent="0.45">
      <c r="A148" s="13" t="s">
        <v>139</v>
      </c>
      <c r="B148" s="14">
        <f>IFERROR(B143+B144+B145+B146+B147, "NA")</f>
        <v>1522.71</v>
      </c>
      <c r="C148" s="15">
        <f>IFERROR(B148/B444, "NA")</f>
        <v>1.6144508464599153E-2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-1522.71</v>
      </c>
      <c r="I148" s="15">
        <f>IFERROR(H148/H444, "NA")</f>
        <v>0.33253622998506238</v>
      </c>
      <c r="J148" s="2"/>
      <c r="K148" s="14">
        <f>IFERROR(K143+K144+K145+K146+K147, "NA")</f>
        <v>805.77999999999986</v>
      </c>
      <c r="L148" s="15">
        <f>IFERROR(K148/K444, "NA")</f>
        <v>9.2150509830946845E-3</v>
      </c>
      <c r="M148" s="2"/>
      <c r="N148" s="14">
        <f t="shared" si="33"/>
        <v>-716.93000000000018</v>
      </c>
      <c r="O148" s="15">
        <f>IFERROR(N148/N444, "NA")</f>
        <v>-0.10426874584593179</v>
      </c>
      <c r="P148" s="2"/>
      <c r="Q148" s="14">
        <f>IFERROR(Q143+Q144+Q145+Q146+Q147, "NA")</f>
        <v>2601.6600000000003</v>
      </c>
      <c r="R148" s="15">
        <f>IFERROR(Q148/Q444, "NA")</f>
        <v>1.3706786894725707E-2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-2601.6600000000003</v>
      </c>
      <c r="X148" s="15">
        <f>IFERROR(W148/W444, "NA")</f>
        <v>-0.19254853752781861</v>
      </c>
      <c r="Y148" s="2"/>
      <c r="Z148" s="14">
        <f>IFERROR(Z143+Z144+Z145+Z146+Z147, "NA")</f>
        <v>1771.3400000000001</v>
      </c>
      <c r="AA148" s="15">
        <f>IFERROR(Z148/Z444, "NA")</f>
        <v>1.1132922954471377E-2</v>
      </c>
      <c r="AB148" s="2"/>
      <c r="AC148" s="14">
        <f t="shared" si="35"/>
        <v>-830.32000000000016</v>
      </c>
      <c r="AD148" s="15">
        <f>IFERROR(AC148/AC444, "NA")</f>
        <v>-2.7046342170495681E-2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25260.25</v>
      </c>
      <c r="C149" s="15">
        <f>IFERROR(B149/B444, "NA")</f>
        <v>0.26782139733953986</v>
      </c>
      <c r="D149" s="2"/>
      <c r="E149" s="14">
        <f>IFERROR(E127+E129+E130+E131+E132+E133+E134+E135+E136+E137+E138+E139+E140+E143+E144+E145+E146+E147, "NA")</f>
        <v>24229.67</v>
      </c>
      <c r="F149" s="15">
        <f>IFERROR(E149/E444, "NA")</f>
        <v>0.24500003033471318</v>
      </c>
      <c r="G149" s="2"/>
      <c r="H149" s="14">
        <f t="shared" si="32"/>
        <v>-1030.5800000000017</v>
      </c>
      <c r="I149" s="15">
        <f>IFERROR(H149/H444, "NA")</f>
        <v>0.22506267634546706</v>
      </c>
      <c r="J149" s="2"/>
      <c r="K149" s="14">
        <f>IFERROR(K127+K129+K130+K131+K132+K133+K134+K135+K136+K137+K138+K139+K140+K143+K144+K145+K146+K147, "NA")</f>
        <v>23622.36</v>
      </c>
      <c r="L149" s="15">
        <f>IFERROR(K149/K444, "NA")</f>
        <v>0.27014973285638333</v>
      </c>
      <c r="M149" s="2"/>
      <c r="N149" s="14">
        <f t="shared" si="33"/>
        <v>-1637.8899999999994</v>
      </c>
      <c r="O149" s="15">
        <f>IFERROR(N149/N444, "NA")</f>
        <v>-0.23821117282523135</v>
      </c>
      <c r="P149" s="2"/>
      <c r="Q149" s="14">
        <f>IFERROR(Q127+Q129+Q130+Q131+Q132+Q133+Q134+Q135+Q136+Q137+Q138+Q139+Q140+Q143+Q144+Q145+Q146+Q147, "NA")</f>
        <v>49237.810000000005</v>
      </c>
      <c r="R149" s="15">
        <f>IFERROR(Q149/Q444, "NA")</f>
        <v>0.25940828887440881</v>
      </c>
      <c r="S149" s="2"/>
      <c r="T149" s="14">
        <f>IFERROR(T127+T129+T130+T131+T132+T133+T134+T135+T136+T137+T138+T139+T140+T143+T144+T145+T146+T147, "NA")</f>
        <v>44431.03</v>
      </c>
      <c r="U149" s="15">
        <f>IFERROR(T149/T444, "NA")</f>
        <v>0.25202453027273092</v>
      </c>
      <c r="V149" s="2"/>
      <c r="W149" s="14">
        <f t="shared" si="34"/>
        <v>-4806.7800000000061</v>
      </c>
      <c r="X149" s="15">
        <f>IFERROR(W149/W444, "NA")</f>
        <v>-0.35574919828800416</v>
      </c>
      <c r="Y149" s="2"/>
      <c r="Z149" s="14">
        <f>IFERROR(Z127+Z129+Z130+Z131+Z132+Z133+Z134+Z135+Z136+Z137+Z138+Z139+Z140+Z143+Z144+Z145+Z146+Z147, "NA")</f>
        <v>43824.84</v>
      </c>
      <c r="AA149" s="15">
        <f>IFERROR(Z149/Z444, "NA")</f>
        <v>0.27544038254205028</v>
      </c>
      <c r="AB149" s="2"/>
      <c r="AC149" s="14">
        <f t="shared" si="35"/>
        <v>-5412.9700000000084</v>
      </c>
      <c r="AD149" s="15">
        <f>IFERROR(AC149/AC444, "NA")</f>
        <v>-0.17631881537073441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1977.93</v>
      </c>
      <c r="F153" s="8">
        <f>IFERROR(E153/E444, "NA")</f>
        <v>1.999997977685785E-2</v>
      </c>
      <c r="G153" s="9"/>
      <c r="H153" s="10">
        <f t="shared" ref="H153:H158" si="36">IFERROR(-(B153-E153), "NA")</f>
        <v>1977.93</v>
      </c>
      <c r="I153" s="8">
        <f>IFERROR(H153/H444, "NA")</f>
        <v>-0.43194921250556867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3525.93</v>
      </c>
      <c r="U153" s="8">
        <f>IFERROR(T153/T444, "NA")</f>
        <v>2.0000005672263961E-2</v>
      </c>
      <c r="V153" s="9"/>
      <c r="W153" s="10">
        <f t="shared" ref="W153:W158" si="38">IFERROR(-(Q153-T153), "NA")</f>
        <v>3525.93</v>
      </c>
      <c r="X153" s="8">
        <f>IFERROR(W153/W444, "NA")</f>
        <v>0.26095364687371192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3766.5</v>
      </c>
      <c r="C154" s="8">
        <f>IFERROR(B154/B444, "NA")</f>
        <v>3.9934256116997136E-2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-3766.5</v>
      </c>
      <c r="I154" s="8">
        <f>IFERROR(H154/H444, "NA")</f>
        <v>0.82254514007180446</v>
      </c>
      <c r="J154" s="9"/>
      <c r="K154" s="7">
        <v>3287.71</v>
      </c>
      <c r="L154" s="8">
        <f>IFERROR(K154/K444, "NA")</f>
        <v>3.7598867268522712E-2</v>
      </c>
      <c r="M154" s="9"/>
      <c r="N154" s="10">
        <f t="shared" si="37"/>
        <v>-478.78999999999996</v>
      </c>
      <c r="O154" s="8">
        <f>IFERROR(N154/N444, "NA")</f>
        <v>-6.9634180217836697E-2</v>
      </c>
      <c r="P154" s="9"/>
      <c r="Q154" s="7">
        <v>6435.77</v>
      </c>
      <c r="R154" s="8">
        <f>IFERROR(Q154/Q444, "NA")</f>
        <v>3.3906708752669011E-2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-6435.77</v>
      </c>
      <c r="X154" s="8">
        <f>IFERROR(W154/W444, "NA")</f>
        <v>-0.47631054840579057</v>
      </c>
      <c r="Y154" s="9"/>
      <c r="Z154" s="7">
        <v>6173.87</v>
      </c>
      <c r="AA154" s="8">
        <f>IFERROR(Z154/Z444, "NA")</f>
        <v>3.8802950896452512E-2</v>
      </c>
      <c r="AB154" s="9"/>
      <c r="AC154" s="10">
        <f t="shared" si="39"/>
        <v>-261.90000000000055</v>
      </c>
      <c r="AD154" s="8">
        <f>IFERROR(AC154/AC444, "NA")</f>
        <v>-8.530972413590944E-3</v>
      </c>
    </row>
    <row r="155" spans="1:30" ht="16.5" customHeight="1" x14ac:dyDescent="0.45">
      <c r="A155" s="12" t="s">
        <v>144</v>
      </c>
      <c r="B155" s="7">
        <v>797.72</v>
      </c>
      <c r="C155" s="8">
        <f>IFERROR(B155/B444, "NA")</f>
        <v>8.4578135642243354E-3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-797.72</v>
      </c>
      <c r="I155" s="8">
        <f>IFERROR(H155/H444, "NA")</f>
        <v>0.17420966657057743</v>
      </c>
      <c r="J155" s="9"/>
      <c r="K155" s="7">
        <v>943.47</v>
      </c>
      <c r="L155" s="8">
        <f>IFERROR(K155/K444, "NA")</f>
        <v>1.0789699609099684E-2</v>
      </c>
      <c r="M155" s="9"/>
      <c r="N155" s="10">
        <f t="shared" si="37"/>
        <v>145.75</v>
      </c>
      <c r="O155" s="8">
        <f>IFERROR(N155/N444, "NA")</f>
        <v>2.1197564207167442E-2</v>
      </c>
      <c r="P155" s="9"/>
      <c r="Q155" s="7">
        <v>1678.43</v>
      </c>
      <c r="R155" s="8">
        <f>IFERROR(Q155/Q444, "NA")</f>
        <v>8.8427705110254474E-3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-1678.43</v>
      </c>
      <c r="X155" s="8">
        <f>IFERROR(W155/W444, "NA")</f>
        <v>-0.1242203984543778</v>
      </c>
      <c r="Y155" s="9"/>
      <c r="Z155" s="7">
        <v>1740.13</v>
      </c>
      <c r="AA155" s="8">
        <f>IFERROR(Z155/Z444, "NA")</f>
        <v>1.0936767204920725E-2</v>
      </c>
      <c r="AB155" s="9"/>
      <c r="AC155" s="10">
        <f t="shared" si="39"/>
        <v>61.700000000000045</v>
      </c>
      <c r="AD155" s="8">
        <f>IFERROR(AC155/AC444, "NA")</f>
        <v>2.0097785334805668E-3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4564.22</v>
      </c>
      <c r="C158" s="15">
        <f>IFERROR(B158/B444, "NA")</f>
        <v>4.8392069681221478E-2</v>
      </c>
      <c r="D158" s="2"/>
      <c r="E158" s="14">
        <f>IFERROR(E153+E154+E155+E156+E157, "NA")</f>
        <v>1977.93</v>
      </c>
      <c r="F158" s="15">
        <f>IFERROR(E158/E444, "NA")</f>
        <v>1.999997977685785E-2</v>
      </c>
      <c r="G158" s="2"/>
      <c r="H158" s="14">
        <f t="shared" si="36"/>
        <v>-2586.29</v>
      </c>
      <c r="I158" s="15">
        <f>IFERROR(H158/H444, "NA")</f>
        <v>0.5648055941368133</v>
      </c>
      <c r="J158" s="2"/>
      <c r="K158" s="14">
        <f>IFERROR(K153+K154+K155+K156+K157, "NA")</f>
        <v>4231.18</v>
      </c>
      <c r="L158" s="15">
        <f>IFERROR(K158/K444, "NA")</f>
        <v>4.8388566877622392E-2</v>
      </c>
      <c r="M158" s="2"/>
      <c r="N158" s="14">
        <f t="shared" si="37"/>
        <v>-333.03999999999996</v>
      </c>
      <c r="O158" s="15">
        <f>IFERROR(N158/N444, "NA")</f>
        <v>-4.8436616010669259E-2</v>
      </c>
      <c r="P158" s="2"/>
      <c r="Q158" s="14">
        <f>IFERROR(Q153+Q154+Q155+Q156+Q157, "NA")</f>
        <v>8114.2000000000007</v>
      </c>
      <c r="R158" s="15">
        <f>IFERROR(Q158/Q444, "NA")</f>
        <v>4.2749479263694462E-2</v>
      </c>
      <c r="S158" s="2"/>
      <c r="T158" s="14">
        <f>IFERROR(T153+T154+T155+T156+T157, "NA")</f>
        <v>3525.93</v>
      </c>
      <c r="U158" s="15">
        <f>IFERROR(T158/T444, "NA")</f>
        <v>2.0000005672263961E-2</v>
      </c>
      <c r="V158" s="2"/>
      <c r="W158" s="14">
        <f t="shared" si="38"/>
        <v>-4588.2700000000004</v>
      </c>
      <c r="X158" s="15">
        <f>IFERROR(W158/W444, "NA")</f>
        <v>-0.33957729998645642</v>
      </c>
      <c r="Y158" s="2"/>
      <c r="Z158" s="14">
        <f>IFERROR(Z153+Z154+Z155+Z156+Z157, "NA")</f>
        <v>7914</v>
      </c>
      <c r="AA158" s="15">
        <f>IFERROR(Z158/Z444, "NA")</f>
        <v>4.9739718101373238E-2</v>
      </c>
      <c r="AB158" s="2"/>
      <c r="AC158" s="14">
        <f t="shared" si="39"/>
        <v>-200.20000000000073</v>
      </c>
      <c r="AD158" s="15">
        <f>IFERROR(AC158/AC444, "NA")</f>
        <v>-6.5211938801103837E-3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536.28</v>
      </c>
      <c r="C161" s="8">
        <f>IFERROR(B161/B444, "NA")</f>
        <v>5.6859001381715712E-3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-536.28</v>
      </c>
      <c r="I161" s="8">
        <f>IFERROR(H161/H444, "NA")</f>
        <v>0.11711522838648807</v>
      </c>
      <c r="J161" s="9"/>
      <c r="K161" s="7">
        <v>404.31</v>
      </c>
      <c r="L161" s="8">
        <f>IFERROR(K161/K444, "NA")</f>
        <v>4.6237648774789799E-3</v>
      </c>
      <c r="M161" s="9"/>
      <c r="N161" s="10">
        <f t="shared" si="41"/>
        <v>-131.96999999999997</v>
      </c>
      <c r="O161" s="8">
        <f>IFERROR(N161/N444, "NA")</f>
        <v>-1.9193430863944334E-2</v>
      </c>
      <c r="P161" s="9"/>
      <c r="Q161" s="7">
        <v>718.21</v>
      </c>
      <c r="R161" s="8">
        <f>IFERROR(Q161/Q444, "NA")</f>
        <v>3.7838731485516745E-3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-718.21</v>
      </c>
      <c r="X161" s="8">
        <f>IFERROR(W161/W444, "NA")</f>
        <v>-5.3154634017456001E-2</v>
      </c>
      <c r="Y161" s="9"/>
      <c r="Z161" s="7">
        <v>732.68</v>
      </c>
      <c r="AA161" s="8">
        <f>IFERROR(Z161/Z444, "NA")</f>
        <v>4.6049149176793204E-3</v>
      </c>
      <c r="AB161" s="9"/>
      <c r="AC161" s="10">
        <f t="shared" si="43"/>
        <v>14.469999999999914</v>
      </c>
      <c r="AD161" s="8">
        <f>IFERROR(AC161/AC444, "NA")</f>
        <v>4.7133704018579594E-4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536.28</v>
      </c>
      <c r="C166" s="15">
        <f>IFERROR(B166/B444, "NA")</f>
        <v>5.6859001381715712E-3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-536.28</v>
      </c>
      <c r="I166" s="15">
        <f>IFERROR(H166/H444, "NA")</f>
        <v>0.11711522838648807</v>
      </c>
      <c r="J166" s="2"/>
      <c r="K166" s="14">
        <f>IFERROR(K160+K161+K162+K163+K164+K165, "NA")</f>
        <v>404.31</v>
      </c>
      <c r="L166" s="15">
        <f>IFERROR(K166/K444, "NA")</f>
        <v>4.6237648774789799E-3</v>
      </c>
      <c r="M166" s="2"/>
      <c r="N166" s="14">
        <f t="shared" si="41"/>
        <v>-131.96999999999997</v>
      </c>
      <c r="O166" s="15">
        <f>IFERROR(N166/N444, "NA")</f>
        <v>-1.9193430863944334E-2</v>
      </c>
      <c r="P166" s="2"/>
      <c r="Q166" s="14">
        <f>IFERROR(Q160+Q161+Q162+Q163+Q164+Q165, "NA")</f>
        <v>718.21</v>
      </c>
      <c r="R166" s="15">
        <f>IFERROR(Q166/Q444, "NA")</f>
        <v>3.7838731485516745E-3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-718.21</v>
      </c>
      <c r="X166" s="15">
        <f>IFERROR(W166/W444, "NA")</f>
        <v>-5.3154634017456001E-2</v>
      </c>
      <c r="Y166" s="2"/>
      <c r="Z166" s="14">
        <f>IFERROR(Z160+Z161+Z162+Z163+Z164+Z165, "NA")</f>
        <v>732.68</v>
      </c>
      <c r="AA166" s="15">
        <f>IFERROR(Z166/Z444, "NA")</f>
        <v>4.6049149176793204E-3</v>
      </c>
      <c r="AB166" s="2"/>
      <c r="AC166" s="14">
        <f t="shared" si="43"/>
        <v>14.469999999999914</v>
      </c>
      <c r="AD166" s="15">
        <f>IFERROR(AC166/AC444, "NA")</f>
        <v>4.7133704018579594E-4</v>
      </c>
    </row>
    <row r="167" spans="1:30" ht="16.5" customHeight="1" x14ac:dyDescent="0.45">
      <c r="A167" s="6" t="s">
        <v>155</v>
      </c>
      <c r="B167" s="7">
        <v>111.66</v>
      </c>
      <c r="C167" s="8">
        <f>IFERROR(B167/B444, "NA")</f>
        <v>1.1838733673234835E-3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-111.66</v>
      </c>
      <c r="I167" s="8">
        <f>IFERROR(H167/H444, "NA")</f>
        <v>2.4384810922718089E-2</v>
      </c>
      <c r="J167" s="9"/>
      <c r="K167" s="7">
        <v>120.37</v>
      </c>
      <c r="L167" s="8">
        <f>IFERROR(K167/K444, "NA")</f>
        <v>1.37657386238813E-3</v>
      </c>
      <c r="M167" s="9"/>
      <c r="N167" s="10">
        <f t="shared" si="41"/>
        <v>8.710000000000008</v>
      </c>
      <c r="O167" s="8">
        <f>IFERROR(N167/N444, "NA")</f>
        <v>1.2667635282636611E-3</v>
      </c>
      <c r="P167" s="9"/>
      <c r="Q167" s="7">
        <v>214.12</v>
      </c>
      <c r="R167" s="8">
        <f>IFERROR(Q167/Q444, "NA")</f>
        <v>1.1280863794264693E-3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-214.12</v>
      </c>
      <c r="X167" s="8">
        <f>IFERROR(W167/W444, "NA")</f>
        <v>-1.5846994939944695E-2</v>
      </c>
      <c r="Y167" s="9"/>
      <c r="Z167" s="7">
        <v>266.61</v>
      </c>
      <c r="AA167" s="8">
        <f>IFERROR(Z167/Z444, "NA")</f>
        <v>1.6756515343703715E-3</v>
      </c>
      <c r="AB167" s="9"/>
      <c r="AC167" s="10">
        <f t="shared" si="43"/>
        <v>52.490000000000009</v>
      </c>
      <c r="AD167" s="8">
        <f>IFERROR(AC167/AC444, "NA")</f>
        <v>1.7097775562786857E-3</v>
      </c>
    </row>
    <row r="168" spans="1:30" ht="16.5" customHeight="1" x14ac:dyDescent="0.45">
      <c r="A168" s="6" t="s">
        <v>156</v>
      </c>
      <c r="B168" s="7">
        <v>41.8</v>
      </c>
      <c r="C168" s="8">
        <f>IFERROR(B168/B444, "NA")</f>
        <v>4.4318383265378472E-4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-41.8</v>
      </c>
      <c r="I168" s="8">
        <f>IFERROR(H168/H444, "NA")</f>
        <v>9.128471221293356E-3</v>
      </c>
      <c r="J168" s="9"/>
      <c r="K168" s="7">
        <v>38.799999999999997</v>
      </c>
      <c r="L168" s="8">
        <f>IFERROR(K168/K444, "NA")</f>
        <v>4.4372406630106701E-4</v>
      </c>
      <c r="M168" s="9"/>
      <c r="N168" s="10">
        <f t="shared" si="41"/>
        <v>-3</v>
      </c>
      <c r="O168" s="8">
        <f>IFERROR(N168/N444, "NA")</f>
        <v>-4.3631349997600224E-4</v>
      </c>
      <c r="P168" s="9"/>
      <c r="Q168" s="7">
        <v>87.6</v>
      </c>
      <c r="R168" s="8">
        <f>IFERROR(Q168/Q444, "NA")</f>
        <v>4.615186196420638E-4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-87.6</v>
      </c>
      <c r="X168" s="8">
        <f>IFERROR(W168/W444, "NA")</f>
        <v>-6.4832652565811472E-3</v>
      </c>
      <c r="Y168" s="9"/>
      <c r="Z168" s="7">
        <v>84.7</v>
      </c>
      <c r="AA168" s="8">
        <f>IFERROR(Z168/Z444, "NA")</f>
        <v>5.3234194126690847E-4</v>
      </c>
      <c r="AB168" s="9"/>
      <c r="AC168" s="10">
        <f t="shared" si="43"/>
        <v>-2.8999999999999915</v>
      </c>
      <c r="AD168" s="8">
        <f>IFERROR(AC168/AC444, "NA")</f>
        <v>-9.4462848413186755E-5</v>
      </c>
    </row>
    <row r="169" spans="1:30" ht="16.5" customHeight="1" x14ac:dyDescent="0.45">
      <c r="A169" s="6" t="s">
        <v>157</v>
      </c>
      <c r="B169" s="7">
        <v>-2681.32</v>
      </c>
      <c r="C169" s="8">
        <f>IFERROR(B169/B444, "NA")</f>
        <v>-2.8428652492135078E-2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2681.32</v>
      </c>
      <c r="I169" s="8">
        <f>IFERROR(H169/H444, "NA")</f>
        <v>-0.58555867117412208</v>
      </c>
      <c r="J169" s="9"/>
      <c r="K169" s="7">
        <v>-2634.86</v>
      </c>
      <c r="L169" s="8">
        <f>IFERROR(K169/K444, "NA")</f>
        <v>-3.0132752405516224E-2</v>
      </c>
      <c r="M169" s="9"/>
      <c r="N169" s="10">
        <f t="shared" si="41"/>
        <v>46.460000000000036</v>
      </c>
      <c r="O169" s="8">
        <f>IFERROR(N169/N444, "NA")</f>
        <v>6.7570417362950268E-3</v>
      </c>
      <c r="P169" s="9"/>
      <c r="Q169" s="7">
        <v>-6595.74</v>
      </c>
      <c r="R169" s="8">
        <f>IFERROR(Q169/Q444, "NA")</f>
        <v>-3.4749507081255092E-2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6595.74</v>
      </c>
      <c r="X169" s="8">
        <f>IFERROR(W169/W444, "NA")</f>
        <v>0.48814990848678691</v>
      </c>
      <c r="Y169" s="9"/>
      <c r="Z169" s="7">
        <v>-5029.41</v>
      </c>
      <c r="AA169" s="8">
        <f>IFERROR(Z169/Z444, "NA")</f>
        <v>-3.1609986810238508E-2</v>
      </c>
      <c r="AB169" s="9"/>
      <c r="AC169" s="10">
        <f t="shared" si="43"/>
        <v>1566.33</v>
      </c>
      <c r="AD169" s="8">
        <f>IFERROR(AC169/AC444, "NA")</f>
        <v>5.1020687363802497E-2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2572.64</v>
      </c>
      <c r="C170" s="15">
        <f>IFERROR(B170/B444, "NA")</f>
        <v>2.7276374527235234E-2</v>
      </c>
      <c r="D170" s="2"/>
      <c r="E170" s="14">
        <f>IFERROR(E151+E153+E154+E155+E156+E157+E160+E161+E162+E163+E164+E165+E167+E168+E169, "NA")</f>
        <v>1977.93</v>
      </c>
      <c r="F170" s="15">
        <f>IFERROR(E170/E444, "NA")</f>
        <v>1.999997977685785E-2</v>
      </c>
      <c r="G170" s="2"/>
      <c r="H170" s="14">
        <f t="shared" si="40"/>
        <v>-594.70999999999981</v>
      </c>
      <c r="I170" s="15">
        <f>IFERROR(H170/H444, "NA")</f>
        <v>0.12987543349319067</v>
      </c>
      <c r="J170" s="2"/>
      <c r="K170" s="14">
        <f>IFERROR(K151+K153+K154+K155+K156+K157+K160+K161+K162+K163+K164+K165+K167+K168+K169, "NA")</f>
        <v>2159.8000000000006</v>
      </c>
      <c r="L170" s="15">
        <f>IFERROR(K170/K444, "NA")</f>
        <v>2.4699877278274354E-2</v>
      </c>
      <c r="M170" s="2"/>
      <c r="N170" s="14">
        <f t="shared" si="41"/>
        <v>-412.83999999999924</v>
      </c>
      <c r="O170" s="15">
        <f>IFERROR(N170/N444, "NA")</f>
        <v>-6.0042555110030808E-2</v>
      </c>
      <c r="P170" s="2"/>
      <c r="Q170" s="14">
        <f>IFERROR(Q151+Q153+Q154+Q155+Q156+Q157+Q160+Q161+Q162+Q163+Q164+Q165+Q167+Q168+Q169, "NA")</f>
        <v>2538.3900000000012</v>
      </c>
      <c r="R170" s="15">
        <f>IFERROR(Q170/Q444, "NA")</f>
        <v>1.3373450330059577E-2</v>
      </c>
      <c r="S170" s="2"/>
      <c r="T170" s="14">
        <f>IFERROR(T151+T153+T154+T155+T156+T157+T160+T161+T162+T163+T164+T165+T167+T168+T169, "NA")</f>
        <v>3525.93</v>
      </c>
      <c r="U170" s="15">
        <f>IFERROR(T170/T444, "NA")</f>
        <v>2.0000005672263961E-2</v>
      </c>
      <c r="V170" s="2"/>
      <c r="W170" s="14">
        <f t="shared" si="42"/>
        <v>987.5399999999986</v>
      </c>
      <c r="X170" s="15">
        <f>IFERROR(W170/W444, "NA")</f>
        <v>7.3087714286348596E-2</v>
      </c>
      <c r="Y170" s="2"/>
      <c r="Z170" s="14">
        <f>IFERROR(Z151+Z153+Z154+Z155+Z156+Z157+Z160+Z161+Z162+Z163+Z164+Z165+Z167+Z168+Z169, "NA")</f>
        <v>3968.5800000000017</v>
      </c>
      <c r="AA170" s="15">
        <f>IFERROR(Z170/Z444, "NA")</f>
        <v>2.4942639684451338E-2</v>
      </c>
      <c r="AB170" s="2"/>
      <c r="AC170" s="14">
        <f t="shared" si="43"/>
        <v>1430.1900000000005</v>
      </c>
      <c r="AD170" s="15">
        <f>IFERROR(AC170/AC444, "NA")</f>
        <v>4.6586145231743453E-2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27832.89</v>
      </c>
      <c r="C171" s="15">
        <f>IFERROR(B171/B444, "NA")</f>
        <v>0.2950977718667751</v>
      </c>
      <c r="D171" s="2"/>
      <c r="E171" s="14">
        <f>IFERROR(E127+E129+E130+E131+E132+E133+E134+E135+E136+E137+E138+E139+E140+E143+E144+E145+E146+E147+E151+E153+E154+E155+E156+E157+E160+E161+E162+E163+E164+E165+E167+E168+E169, "NA")</f>
        <v>26207.599999999999</v>
      </c>
      <c r="F171" s="15">
        <f>IFERROR(E171/E444, "NA")</f>
        <v>0.26500001011157104</v>
      </c>
      <c r="G171" s="2"/>
      <c r="H171" s="14">
        <f t="shared" si="40"/>
        <v>-1625.2900000000009</v>
      </c>
      <c r="I171" s="15">
        <f>IFERROR(H171/H444, "NA")</f>
        <v>0.35493810983865759</v>
      </c>
      <c r="J171" s="2"/>
      <c r="K171" s="14">
        <f>IFERROR(K127+K129+K130+K131+K132+K133+K134+K135+K136+K137+K138+K139+K140+K143+K144+K145+K146+K147+K151+K153+K154+K155+K156+K157+K160+K161+K162+K163+K164+K165+K167+K168+K169, "NA")</f>
        <v>25782.16</v>
      </c>
      <c r="L171" s="15">
        <f>IFERROR(K171/K444, "NA")</f>
        <v>0.29484961013465771</v>
      </c>
      <c r="M171" s="2"/>
      <c r="N171" s="14">
        <f t="shared" si="41"/>
        <v>-2050.7299999999996</v>
      </c>
      <c r="O171" s="15">
        <f>IFERROR(N171/N444, "NA")</f>
        <v>-0.29825372793526228</v>
      </c>
      <c r="P171" s="2"/>
      <c r="Q171" s="14">
        <f>IFERROR(Q127+Q129+Q130+Q131+Q132+Q133+Q134+Q135+Q136+Q137+Q138+Q139+Q140+Q143+Q144+Q145+Q146+Q147+Q151+Q153+Q154+Q155+Q156+Q157+Q160+Q161+Q162+Q163+Q164+Q165+Q167+Q168+Q169, "NA")</f>
        <v>51776.200000000004</v>
      </c>
      <c r="R171" s="15">
        <f>IFERROR(Q171/Q444, "NA")</f>
        <v>0.27278173920446835</v>
      </c>
      <c r="S171" s="2"/>
      <c r="T171" s="14">
        <f>IFERROR(T127+T129+T130+T131+T132+T133+T134+T135+T136+T137+T138+T139+T140+T143+T144+T145+T146+T147+T151+T153+T154+T155+T156+T157+T160+T161+T162+T163+T164+T165+T167+T168+T169, "NA")</f>
        <v>47956.959999999999</v>
      </c>
      <c r="U171" s="15">
        <f>IFERROR(T171/T444, "NA")</f>
        <v>0.27202453594499487</v>
      </c>
      <c r="V171" s="2"/>
      <c r="W171" s="14">
        <f t="shared" si="42"/>
        <v>-3819.2400000000052</v>
      </c>
      <c r="X171" s="15">
        <f>IFERROR(W171/W444, "NA")</f>
        <v>-0.28266148400165542</v>
      </c>
      <c r="Y171" s="2"/>
      <c r="Z171" s="14">
        <f>IFERROR(Z127+Z129+Z130+Z131+Z132+Z133+Z134+Z135+Z136+Z137+Z138+Z139+Z140+Z143+Z144+Z145+Z146+Z147+Z151+Z153+Z154+Z155+Z156+Z157+Z160+Z161+Z162+Z163+Z164+Z165+Z167+Z168+Z169, "NA")</f>
        <v>47793.42</v>
      </c>
      <c r="AA171" s="15">
        <f>IFERROR(Z171/Z444, "NA")</f>
        <v>0.30038302222650159</v>
      </c>
      <c r="AB171" s="2"/>
      <c r="AC171" s="14">
        <f t="shared" si="43"/>
        <v>-3982.7800000000061</v>
      </c>
      <c r="AD171" s="15">
        <f>IFERROR(AC171/AC444, "NA")</f>
        <v>-0.1297326701389909</v>
      </c>
    </row>
    <row r="172" spans="1:30" ht="16.5" customHeight="1" x14ac:dyDescent="0.45">
      <c r="A172" s="22" t="s">
        <v>160</v>
      </c>
      <c r="B172" s="23">
        <f>IFERROR(B124-B171, "NA")</f>
        <v>66484.62999999999</v>
      </c>
      <c r="C172" s="24">
        <f>IFERROR(B172/B444, "NA")</f>
        <v>0.70490222813322478</v>
      </c>
      <c r="D172" s="25"/>
      <c r="E172" s="23">
        <f>IFERROR(E124-E171, "NA")</f>
        <v>72689</v>
      </c>
      <c r="F172" s="24">
        <f>IFERROR(E172/E444, "NA")</f>
        <v>0.73499998988842885</v>
      </c>
      <c r="G172" s="25"/>
      <c r="H172" s="23">
        <f>IFERROR(B172-E172, "NA")</f>
        <v>-6204.3700000000099</v>
      </c>
      <c r="I172" s="24">
        <f>IFERROR(H172/H444, "NA")</f>
        <v>1.3549381098386593</v>
      </c>
      <c r="J172" s="25"/>
      <c r="K172" s="23">
        <f>IFERROR(K124-K171, "NA")</f>
        <v>61659.570000000022</v>
      </c>
      <c r="L172" s="24">
        <f>IFERROR(K172/K444, "NA")</f>
        <v>0.70515038986534262</v>
      </c>
      <c r="M172" s="25"/>
      <c r="N172" s="23">
        <f>IFERROR(B172-K172, "NA")</f>
        <v>4825.0599999999686</v>
      </c>
      <c r="O172" s="24">
        <f>IFERROR(N172/N444, "NA")</f>
        <v>0.70174627206473184</v>
      </c>
      <c r="P172" s="25"/>
      <c r="Q172" s="23">
        <f>IFERROR(Q124-Q171, "NA")</f>
        <v>138031.96000000002</v>
      </c>
      <c r="R172" s="24">
        <f>IFERROR(Q172/Q444, "NA")</f>
        <v>0.72721826079553176</v>
      </c>
      <c r="S172" s="25"/>
      <c r="T172" s="23">
        <f>IFERROR(T124-T171, "NA")</f>
        <v>128339.49000000002</v>
      </c>
      <c r="U172" s="24">
        <f>IFERROR(T172/T444, "NA")</f>
        <v>0.72797546405500513</v>
      </c>
      <c r="V172" s="25"/>
      <c r="W172" s="23">
        <f>IFERROR(Q172-T172, "NA")</f>
        <v>9692.4700000000012</v>
      </c>
      <c r="X172" s="24">
        <f>IFERROR(W172/W444, "NA")</f>
        <v>0.71733851599834564</v>
      </c>
      <c r="Y172" s="25"/>
      <c r="Z172" s="23">
        <f>IFERROR(Z124-Z171, "NA")</f>
        <v>111314.83999999998</v>
      </c>
      <c r="AA172" s="24">
        <f>IFERROR(Z172/Z444, "NA")</f>
        <v>0.69961697777349818</v>
      </c>
      <c r="AB172" s="25"/>
      <c r="AC172" s="23">
        <f>IFERROR(Q172-Z172, "NA")</f>
        <v>26717.120000000039</v>
      </c>
      <c r="AD172" s="24">
        <f>IFERROR(AC172/AC444, "NA")</f>
        <v>0.87026732986101074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5.5051489903466498E-2</v>
      </c>
      <c r="D178" s="9"/>
      <c r="E178" s="7">
        <v>5461.54</v>
      </c>
      <c r="F178" s="8">
        <f>IFERROR(E178/E444, "NA")</f>
        <v>5.522474989028945E-2</v>
      </c>
      <c r="G178" s="9"/>
      <c r="H178" s="10">
        <f t="shared" si="44"/>
        <v>269.22000000000025</v>
      </c>
      <c r="I178" s="8">
        <f>IFERROR(H178/H444, "NA")</f>
        <v>-5.8793469430540667E-2</v>
      </c>
      <c r="J178" s="9"/>
      <c r="K178" s="7">
        <v>5192.32</v>
      </c>
      <c r="L178" s="8">
        <f>IFERROR(K178/K444, "NA")</f>
        <v>5.9380343915885467E-2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10384.64</v>
      </c>
      <c r="R178" s="8">
        <f>IFERROR(Q178/Q444, "NA")</f>
        <v>5.4711241076252991E-2</v>
      </c>
      <c r="S178" s="9"/>
      <c r="T178" s="7">
        <v>10923.08</v>
      </c>
      <c r="U178" s="8">
        <f>IFERROR(T178/T444, "NA")</f>
        <v>6.1958593040302282E-2</v>
      </c>
      <c r="V178" s="9"/>
      <c r="W178" s="10">
        <f t="shared" si="46"/>
        <v>538.44000000000051</v>
      </c>
      <c r="X178" s="8">
        <f>IFERROR(W178/W444, "NA")</f>
        <v>3.9849878364766625E-2</v>
      </c>
      <c r="Y178" s="9"/>
      <c r="Z178" s="7">
        <v>10384.64</v>
      </c>
      <c r="AA178" s="8">
        <f>IFERROR(Z178/Z444, "NA")</f>
        <v>6.5267761711428424E-2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20557.11</v>
      </c>
      <c r="C180" s="8">
        <f>IFERROR(B180/B444, "NA")</f>
        <v>0.21795643057620684</v>
      </c>
      <c r="D180" s="9"/>
      <c r="E180" s="7">
        <v>21460.560000000001</v>
      </c>
      <c r="F180" s="8">
        <f>IFERROR(E180/E444, "NA")</f>
        <v>0.21699997775454363</v>
      </c>
      <c r="G180" s="9"/>
      <c r="H180" s="10">
        <f t="shared" si="44"/>
        <v>903.45000000000073</v>
      </c>
      <c r="I180" s="8">
        <f>IFERROR(H180/H444, "NA")</f>
        <v>-0.1972994575329543</v>
      </c>
      <c r="J180" s="9"/>
      <c r="K180" s="7">
        <v>21654.11</v>
      </c>
      <c r="L180" s="8">
        <f>IFERROR(K180/K444, "NA")</f>
        <v>0.24764045725078862</v>
      </c>
      <c r="M180" s="9"/>
      <c r="N180" s="10">
        <f t="shared" si="45"/>
        <v>1097</v>
      </c>
      <c r="O180" s="8">
        <f>IFERROR(N180/N444, "NA")</f>
        <v>0.15954530315789148</v>
      </c>
      <c r="P180" s="9"/>
      <c r="Q180" s="7">
        <v>40531.58</v>
      </c>
      <c r="R180" s="8">
        <f>IFERROR(Q180/Q444, "NA")</f>
        <v>0.21353971293963336</v>
      </c>
      <c r="S180" s="9"/>
      <c r="T180" s="7">
        <v>40036.519999999997</v>
      </c>
      <c r="U180" s="8">
        <f>IFERROR(T180/T444, "NA")</f>
        <v>0.22709770956817335</v>
      </c>
      <c r="V180" s="9"/>
      <c r="W180" s="10">
        <f t="shared" si="46"/>
        <v>-495.06000000000495</v>
      </c>
      <c r="X180" s="8">
        <f>IFERROR(W180/W444, "NA")</f>
        <v>-3.6639329884966834E-2</v>
      </c>
      <c r="Y180" s="9"/>
      <c r="Z180" s="7">
        <v>42521.55</v>
      </c>
      <c r="AA180" s="8">
        <f>IFERROR(Z180/Z444, "NA")</f>
        <v>0.26724916732795645</v>
      </c>
      <c r="AB180" s="9"/>
      <c r="AC180" s="10">
        <f t="shared" si="47"/>
        <v>1989.9700000000012</v>
      </c>
      <c r="AD180" s="8">
        <f>IFERROR(AC180/AC444, "NA")</f>
        <v>6.4820080847168934E-2</v>
      </c>
    </row>
    <row r="181" spans="1:30" ht="16.5" customHeight="1" x14ac:dyDescent="0.45">
      <c r="A181" s="12" t="s">
        <v>166</v>
      </c>
      <c r="B181" s="7">
        <v>64.67</v>
      </c>
      <c r="C181" s="8">
        <f>IFERROR(B181/B444, "NA")</f>
        <v>6.8566264252919291E-4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-64.67</v>
      </c>
      <c r="I181" s="8">
        <f>IFERROR(H181/H444, "NA")</f>
        <v>1.4122924255527306E-2</v>
      </c>
      <c r="J181" s="9"/>
      <c r="K181" s="7">
        <v>286.70999999999998</v>
      </c>
      <c r="L181" s="8">
        <f>IFERROR(K181/K444, "NA")</f>
        <v>3.2788692538448174E-3</v>
      </c>
      <c r="M181" s="9"/>
      <c r="N181" s="10">
        <f t="shared" si="45"/>
        <v>222.03999999999996</v>
      </c>
      <c r="O181" s="8">
        <f>IFERROR(N181/N444, "NA")</f>
        <v>3.2293016511557172E-2</v>
      </c>
      <c r="P181" s="9"/>
      <c r="Q181" s="7">
        <v>80.53</v>
      </c>
      <c r="R181" s="8">
        <f>IFERROR(Q181/Q444, "NA")</f>
        <v>4.2427048447232194E-4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-80.53</v>
      </c>
      <c r="X181" s="8">
        <f>IFERROR(W181/W444, "NA")</f>
        <v>-5.9600154236584451E-3</v>
      </c>
      <c r="Y181" s="9"/>
      <c r="Z181" s="7">
        <v>394.64</v>
      </c>
      <c r="AA181" s="8">
        <f>IFERROR(Z181/Z444, "NA")</f>
        <v>2.4803237745167975E-3</v>
      </c>
      <c r="AB181" s="9"/>
      <c r="AC181" s="10">
        <f t="shared" si="47"/>
        <v>314.11</v>
      </c>
      <c r="AD181" s="8">
        <f>IFERROR(AC181/AC444, "NA")</f>
        <v>1.0231629418988338E-2</v>
      </c>
    </row>
    <row r="182" spans="1:30" ht="16.5" customHeight="1" x14ac:dyDescent="0.45">
      <c r="A182" s="13" t="s">
        <v>167</v>
      </c>
      <c r="B182" s="14">
        <f>IFERROR(B177+B178+B179+B180+B181, "NA")</f>
        <v>25814.1</v>
      </c>
      <c r="C182" s="15">
        <f>IFERROR(B182/B444, "NA")</f>
        <v>0.27369358312220249</v>
      </c>
      <c r="D182" s="2"/>
      <c r="E182" s="14">
        <f>IFERROR(E177+E178+E179+E180+E181, "NA")</f>
        <v>26922.100000000002</v>
      </c>
      <c r="F182" s="15">
        <f>IFERROR(E182/E444, "NA")</f>
        <v>0.27222472764483308</v>
      </c>
      <c r="G182" s="2"/>
      <c r="H182" s="14">
        <f t="shared" si="44"/>
        <v>1108.0000000000036</v>
      </c>
      <c r="I182" s="15">
        <f>IFERROR(H182/H444, "NA")</f>
        <v>-0.24197000270796823</v>
      </c>
      <c r="J182" s="2"/>
      <c r="K182" s="14">
        <f>IFERROR(K177+K178+K179+K180+K181, "NA")</f>
        <v>27133.14</v>
      </c>
      <c r="L182" s="15">
        <f>IFERROR(K182/K444, "NA")</f>
        <v>0.31029967042051892</v>
      </c>
      <c r="M182" s="2"/>
      <c r="N182" s="14">
        <f t="shared" si="45"/>
        <v>1319.0400000000009</v>
      </c>
      <c r="O182" s="15">
        <f>IFERROR(N182/N444, "NA")</f>
        <v>0.19183831966944878</v>
      </c>
      <c r="P182" s="2"/>
      <c r="Q182" s="14">
        <f>IFERROR(Q177+Q178+Q179+Q180+Q181, "NA")</f>
        <v>50996.75</v>
      </c>
      <c r="R182" s="15">
        <f>IFERROR(Q182/Q444, "NA")</f>
        <v>0.26867522450035869</v>
      </c>
      <c r="S182" s="2"/>
      <c r="T182" s="14">
        <f>IFERROR(T177+T178+T179+T180+T181, "NA")</f>
        <v>50959.6</v>
      </c>
      <c r="U182" s="15">
        <f>IFERROR(T182/T444, "NA")</f>
        <v>0.28905630260847565</v>
      </c>
      <c r="V182" s="2"/>
      <c r="W182" s="14">
        <f t="shared" si="46"/>
        <v>-37.150000000001455</v>
      </c>
      <c r="X182" s="15">
        <f>IFERROR(W182/W444, "NA")</f>
        <v>-2.7494669438584366E-3</v>
      </c>
      <c r="Y182" s="2"/>
      <c r="Z182" s="14">
        <f>IFERROR(Z177+Z178+Z179+Z180+Z181, "NA")</f>
        <v>53300.83</v>
      </c>
      <c r="AA182" s="15">
        <f>IFERROR(Z182/Z444, "NA")</f>
        <v>0.33499725281390169</v>
      </c>
      <c r="AB182" s="2"/>
      <c r="AC182" s="14">
        <f t="shared" si="47"/>
        <v>2304.0800000000017</v>
      </c>
      <c r="AD182" s="15">
        <f>IFERROR(AC182/AC444, "NA")</f>
        <v>7.5051710266157284E-2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5.3012420173897696E-3</v>
      </c>
      <c r="D184" s="9"/>
      <c r="E184" s="7">
        <v>500</v>
      </c>
      <c r="F184" s="8">
        <f>IFERROR(E184/E444, "NA")</f>
        <v>5.0557855376221223E-3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3.4308561827402092E-3</v>
      </c>
      <c r="M184" s="9"/>
      <c r="N184" s="10">
        <f t="shared" si="45"/>
        <v>-200</v>
      </c>
      <c r="O184" s="8">
        <f>IFERROR(N184/N444, "NA")</f>
        <v>-2.9087566665066816E-2</v>
      </c>
      <c r="P184" s="9"/>
      <c r="Q184" s="7">
        <v>1000</v>
      </c>
      <c r="R184" s="8">
        <f>IFERROR(Q184/Q444, "NA")</f>
        <v>5.2684773931742446E-3</v>
      </c>
      <c r="S184" s="9"/>
      <c r="T184" s="7">
        <v>1000</v>
      </c>
      <c r="U184" s="8">
        <f>IFERROR(T184/T444, "NA")</f>
        <v>5.6722639622068397E-3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600</v>
      </c>
      <c r="AA184" s="8">
        <f>IFERROR(Z184/Z444, "NA")</f>
        <v>3.7710172935082062E-3</v>
      </c>
      <c r="AB184" s="9"/>
      <c r="AC184" s="10">
        <f t="shared" si="47"/>
        <v>-400</v>
      </c>
      <c r="AD184" s="8">
        <f>IFERROR(AC184/AC444, "NA")</f>
        <v>-1.3029358401818901E-2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2504.4499999999998</v>
      </c>
      <c r="C186" s="8">
        <f>IFERROR(B186/B444, "NA")</f>
        <v>2.6553391140903618E-2</v>
      </c>
      <c r="D186" s="9"/>
      <c r="E186" s="7">
        <v>3459.18</v>
      </c>
      <c r="F186" s="8">
        <f>IFERROR(E186/E444, "NA")</f>
        <v>3.4977744432063383E-2</v>
      </c>
      <c r="G186" s="9"/>
      <c r="H186" s="10">
        <f t="shared" ref="H186:H197" si="48">IFERROR(-(B186-E186), "NA")</f>
        <v>954.73</v>
      </c>
      <c r="I186" s="8">
        <f>IFERROR(H186/H444, "NA")</f>
        <v>-0.20849821361496187</v>
      </c>
      <c r="J186" s="9"/>
      <c r="K186" s="7">
        <v>3148.25</v>
      </c>
      <c r="L186" s="8">
        <f>IFERROR(K186/K444, "NA")</f>
        <v>3.6003976591039544E-2</v>
      </c>
      <c r="M186" s="9"/>
      <c r="N186" s="10">
        <f t="shared" ref="N186:N197" si="49">IFERROR(-(B186-K186), "NA")</f>
        <v>643.80000000000018</v>
      </c>
      <c r="O186" s="8">
        <f>IFERROR(N186/N444, "NA")</f>
        <v>9.3632877094850103E-2</v>
      </c>
      <c r="P186" s="9"/>
      <c r="Q186" s="7">
        <v>5049.6499999999996</v>
      </c>
      <c r="R186" s="8">
        <f>IFERROR(Q186/Q444, "NA")</f>
        <v>2.6603966868442325E-2</v>
      </c>
      <c r="S186" s="9"/>
      <c r="T186" s="7">
        <v>6642.82</v>
      </c>
      <c r="U186" s="8">
        <f>IFERROR(T186/T444, "NA")</f>
        <v>3.7679828493426833E-2</v>
      </c>
      <c r="V186" s="9"/>
      <c r="W186" s="10">
        <f t="shared" ref="W186:W197" si="50">IFERROR(-(Q186-T186), "NA")</f>
        <v>1593.17</v>
      </c>
      <c r="X186" s="8">
        <f>IFERROR(W186/W444, "NA")</f>
        <v>0.11791031631081492</v>
      </c>
      <c r="Y186" s="9"/>
      <c r="Z186" s="7">
        <v>6399.2</v>
      </c>
      <c r="AA186" s="8">
        <f>IFERROR(Z186/Z444, "NA")</f>
        <v>4.0219156441029517E-2</v>
      </c>
      <c r="AB186" s="9"/>
      <c r="AC186" s="10">
        <f t="shared" ref="AC186:AC197" si="51">IFERROR(-(Q186-Z186), "NA")</f>
        <v>1349.5500000000002</v>
      </c>
      <c r="AD186" s="8">
        <f>IFERROR(AC186/AC444, "NA")</f>
        <v>4.395942657793675E-2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1.1436187275800697E-7</v>
      </c>
      <c r="M187" s="9"/>
      <c r="N187" s="10">
        <f t="shared" si="49"/>
        <v>0.01</v>
      </c>
      <c r="O187" s="8">
        <f>IFERROR(N187/N444, "NA")</f>
        <v>1.4543783332533408E-6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-0.01</v>
      </c>
      <c r="AA187" s="8">
        <f>IFERROR(Z187/Z444, "NA")</f>
        <v>-6.2850288225136774E-8</v>
      </c>
      <c r="AB187" s="9"/>
      <c r="AC187" s="10">
        <f t="shared" si="51"/>
        <v>-0.01</v>
      </c>
      <c r="AD187" s="8">
        <f>IFERROR(AC187/AC444, "NA")</f>
        <v>-3.2573396004547255E-7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2504.4499999999998</v>
      </c>
      <c r="C193" s="15">
        <f>IFERROR(B193/B444, "NA")</f>
        <v>2.6553391140903618E-2</v>
      </c>
      <c r="D193" s="2"/>
      <c r="E193" s="14">
        <f>IFERROR(E186+E187+E188+E189+E190+E191+E192, "NA")</f>
        <v>3459.18</v>
      </c>
      <c r="F193" s="15">
        <f>IFERROR(E193/E444, "NA")</f>
        <v>3.4977744432063383E-2</v>
      </c>
      <c r="G193" s="2"/>
      <c r="H193" s="14">
        <f t="shared" si="48"/>
        <v>954.73</v>
      </c>
      <c r="I193" s="15">
        <f>IFERROR(H193/H444, "NA")</f>
        <v>-0.20849821361496187</v>
      </c>
      <c r="J193" s="2"/>
      <c r="K193" s="14">
        <f>IFERROR(K186+K187+K188+K189+K190+K191+K192, "NA")</f>
        <v>3148.26</v>
      </c>
      <c r="L193" s="15">
        <f>IFERROR(K193/K444, "NA")</f>
        <v>3.60040909529123E-2</v>
      </c>
      <c r="M193" s="2"/>
      <c r="N193" s="14">
        <f t="shared" si="49"/>
        <v>643.8100000000004</v>
      </c>
      <c r="O193" s="15">
        <f>IFERROR(N193/N444, "NA")</f>
        <v>9.3634331473183396E-2</v>
      </c>
      <c r="P193" s="2"/>
      <c r="Q193" s="14">
        <f>IFERROR(Q186+Q187+Q188+Q189+Q190+Q191+Q192, "NA")</f>
        <v>5049.6499999999996</v>
      </c>
      <c r="R193" s="15">
        <f>IFERROR(Q193/Q444, "NA")</f>
        <v>2.6603966868442325E-2</v>
      </c>
      <c r="S193" s="2"/>
      <c r="T193" s="14">
        <f>IFERROR(T186+T187+T188+T189+T190+T191+T192, "NA")</f>
        <v>6642.82</v>
      </c>
      <c r="U193" s="15">
        <f>IFERROR(T193/T444, "NA")</f>
        <v>3.7679828493426833E-2</v>
      </c>
      <c r="V193" s="2"/>
      <c r="W193" s="14">
        <f t="shared" si="50"/>
        <v>1593.17</v>
      </c>
      <c r="X193" s="15">
        <f>IFERROR(W193/W444, "NA")</f>
        <v>0.11791031631081492</v>
      </c>
      <c r="Y193" s="2"/>
      <c r="Z193" s="14">
        <f>IFERROR(Z186+Z187+Z188+Z189+Z190+Z191+Z192, "NA")</f>
        <v>6399.19</v>
      </c>
      <c r="AA193" s="15">
        <f>IFERROR(Z193/Z444, "NA")</f>
        <v>4.0219093590741294E-2</v>
      </c>
      <c r="AB193" s="2"/>
      <c r="AC193" s="14">
        <f t="shared" si="51"/>
        <v>1349.54</v>
      </c>
      <c r="AD193" s="15">
        <f>IFERROR(AC193/AC444, "NA")</f>
        <v>4.3959100843976695E-2</v>
      </c>
    </row>
    <row r="194" spans="1:30" ht="16.5" customHeight="1" x14ac:dyDescent="0.45">
      <c r="A194" s="6" t="s">
        <v>178</v>
      </c>
      <c r="B194" s="7">
        <v>357.88</v>
      </c>
      <c r="C194" s="8">
        <f>IFERROR(B194/B444, "NA")</f>
        <v>3.7944169863669019E-3</v>
      </c>
      <c r="D194" s="9"/>
      <c r="E194" s="7">
        <v>219.38</v>
      </c>
      <c r="F194" s="8">
        <f>IFERROR(E194/E444, "NA")</f>
        <v>2.2182764624870824E-3</v>
      </c>
      <c r="G194" s="9"/>
      <c r="H194" s="10">
        <f t="shared" si="48"/>
        <v>-138.5</v>
      </c>
      <c r="I194" s="8">
        <f>IFERROR(H194/H444, "NA")</f>
        <v>3.0246250338495932E-2</v>
      </c>
      <c r="J194" s="9"/>
      <c r="K194" s="7">
        <v>412.34</v>
      </c>
      <c r="L194" s="8">
        <f>IFERROR(K194/K444, "NA")</f>
        <v>4.7155974613036587E-3</v>
      </c>
      <c r="M194" s="9"/>
      <c r="N194" s="10">
        <f t="shared" si="49"/>
        <v>54.45999999999998</v>
      </c>
      <c r="O194" s="8">
        <f>IFERROR(N194/N444, "NA")</f>
        <v>7.9205444028976908E-3</v>
      </c>
      <c r="P194" s="9"/>
      <c r="Q194" s="7">
        <v>633.48</v>
      </c>
      <c r="R194" s="8">
        <f>IFERROR(Q194/Q444, "NA")</f>
        <v>3.3374750590280207E-3</v>
      </c>
      <c r="S194" s="9"/>
      <c r="T194" s="7">
        <v>415.68</v>
      </c>
      <c r="U194" s="8">
        <f>IFERROR(T194/T444, "NA")</f>
        <v>2.357846683810139E-3</v>
      </c>
      <c r="V194" s="9"/>
      <c r="W194" s="10">
        <f t="shared" si="50"/>
        <v>-217.8</v>
      </c>
      <c r="X194" s="8">
        <f>IFERROR(W194/W444, "NA")</f>
        <v>-1.6119351288622991E-2</v>
      </c>
      <c r="Y194" s="9"/>
      <c r="Z194" s="7">
        <v>412.34</v>
      </c>
      <c r="AA194" s="8">
        <f>IFERROR(Z194/Z444, "NA")</f>
        <v>2.5915687846752894E-3</v>
      </c>
      <c r="AB194" s="9"/>
      <c r="AC194" s="10">
        <f t="shared" si="51"/>
        <v>-221.14000000000004</v>
      </c>
      <c r="AD194" s="8">
        <f>IFERROR(AC194/AC444, "NA")</f>
        <v>-7.2032807924455808E-3</v>
      </c>
    </row>
    <row r="195" spans="1:30" ht="16.5" customHeight="1" x14ac:dyDescent="0.45">
      <c r="A195" s="6" t="s">
        <v>179</v>
      </c>
      <c r="B195" s="7">
        <v>865.16</v>
      </c>
      <c r="C195" s="8">
        <f>IFERROR(B195/B444, "NA")</f>
        <v>9.172845087529866E-3</v>
      </c>
      <c r="D195" s="9"/>
      <c r="E195" s="7">
        <v>191.95</v>
      </c>
      <c r="F195" s="8">
        <f>IFERROR(E195/E444, "NA")</f>
        <v>1.9409160678931325E-3</v>
      </c>
      <c r="G195" s="9"/>
      <c r="H195" s="10">
        <f t="shared" si="48"/>
        <v>-673.21</v>
      </c>
      <c r="I195" s="8">
        <f>IFERROR(H195/H444, "NA")</f>
        <v>0.14701861509298805</v>
      </c>
      <c r="J195" s="9"/>
      <c r="K195" s="7">
        <v>814.17</v>
      </c>
      <c r="L195" s="8">
        <f>IFERROR(K195/K444, "NA")</f>
        <v>9.3110005943386528E-3</v>
      </c>
      <c r="M195" s="9"/>
      <c r="N195" s="10">
        <f t="shared" si="49"/>
        <v>-50.990000000000009</v>
      </c>
      <c r="O195" s="8">
        <f>IFERROR(N195/N444, "NA")</f>
        <v>-7.4158751212587857E-3</v>
      </c>
      <c r="P195" s="9"/>
      <c r="Q195" s="7">
        <v>1760.16</v>
      </c>
      <c r="R195" s="8">
        <f>IFERROR(Q195/Q444, "NA")</f>
        <v>9.2733631683695802E-3</v>
      </c>
      <c r="S195" s="9"/>
      <c r="T195" s="7">
        <v>363.71</v>
      </c>
      <c r="U195" s="8">
        <f>IFERROR(T195/T444, "NA")</f>
        <v>2.0630591256942496E-3</v>
      </c>
      <c r="V195" s="9"/>
      <c r="W195" s="10">
        <f t="shared" si="50"/>
        <v>-1396.45</v>
      </c>
      <c r="X195" s="8">
        <f>IFERROR(W195/W444, "NA")</f>
        <v>-0.10335109323690346</v>
      </c>
      <c r="Y195" s="9"/>
      <c r="Z195" s="7">
        <v>1621.5</v>
      </c>
      <c r="AA195" s="8">
        <f>IFERROR(Z195/Z444, "NA")</f>
        <v>1.0191174235705928E-2</v>
      </c>
      <c r="AB195" s="9"/>
      <c r="AC195" s="10">
        <f t="shared" si="51"/>
        <v>-138.66000000000008</v>
      </c>
      <c r="AD195" s="8">
        <f>IFERROR(AC195/AC444, "NA")</f>
        <v>-4.5166270899905251E-3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30041.59</v>
      </c>
      <c r="C196" s="15">
        <f>IFERROR(B196/B444, "NA")</f>
        <v>0.3185154783543927</v>
      </c>
      <c r="D196" s="2"/>
      <c r="E196" s="14">
        <f>IFERROR(E175+E177+E178+E179+E180+E181+E183+E184+E186+E187+E188+E189+E190+E191+E192+E194+E195, "NA")</f>
        <v>31292.610000000004</v>
      </c>
      <c r="F196" s="15">
        <f>IFERROR(E196/E444, "NA")</f>
        <v>0.31641745014489886</v>
      </c>
      <c r="G196" s="2"/>
      <c r="H196" s="14">
        <f t="shared" si="48"/>
        <v>1251.0200000000041</v>
      </c>
      <c r="I196" s="15">
        <f>IFERROR(H196/H444, "NA")</f>
        <v>-0.27320335089144621</v>
      </c>
      <c r="J196" s="2"/>
      <c r="K196" s="14">
        <f>IFERROR(K175+K177+K178+K179+K180+K181+K183+K184+K186+K187+K188+K189+K190+K191+K192+K194+K195, "NA")</f>
        <v>31807.909999999996</v>
      </c>
      <c r="L196" s="15">
        <f>IFERROR(K196/K444, "NA")</f>
        <v>0.36376121561181368</v>
      </c>
      <c r="M196" s="2"/>
      <c r="N196" s="14">
        <f t="shared" si="49"/>
        <v>1766.3199999999961</v>
      </c>
      <c r="O196" s="15">
        <f>IFERROR(N196/N444, "NA")</f>
        <v>0.25688975375920353</v>
      </c>
      <c r="P196" s="2"/>
      <c r="Q196" s="14">
        <f>IFERROR(Q175+Q177+Q178+Q179+Q180+Q181+Q183+Q184+Q186+Q187+Q188+Q189+Q190+Q191+Q192+Q194+Q195, "NA")</f>
        <v>59440.040000000008</v>
      </c>
      <c r="R196" s="15">
        <f>IFERROR(Q196/Q444, "NA")</f>
        <v>0.31315850698937286</v>
      </c>
      <c r="S196" s="2"/>
      <c r="T196" s="14">
        <f>IFERROR(T175+T177+T178+T179+T180+T181+T183+T184+T186+T187+T188+T189+T190+T191+T192+T194+T195, "NA")</f>
        <v>59381.81</v>
      </c>
      <c r="U196" s="15">
        <f>IFERROR(T196/T444, "NA")</f>
        <v>0.33682930087361368</v>
      </c>
      <c r="V196" s="2"/>
      <c r="W196" s="14">
        <f t="shared" si="50"/>
        <v>-58.230000000010477</v>
      </c>
      <c r="X196" s="15">
        <f>IFERROR(W196/W444, "NA")</f>
        <v>-4.3095951585706404E-3</v>
      </c>
      <c r="Y196" s="2"/>
      <c r="Z196" s="14">
        <f>IFERROR(Z175+Z177+Z178+Z179+Z180+Z181+Z183+Z184+Z186+Z187+Z188+Z189+Z190+Z191+Z192+Z194+Z195, "NA")</f>
        <v>62333.859999999993</v>
      </c>
      <c r="AA196" s="15">
        <f>IFERROR(Z196/Z444, "NA")</f>
        <v>0.39177010671853235</v>
      </c>
      <c r="AB196" s="2"/>
      <c r="AC196" s="14">
        <f t="shared" si="51"/>
        <v>2893.8199999999852</v>
      </c>
      <c r="AD196" s="15">
        <f>IFERROR(AC196/AC444, "NA")</f>
        <v>9.4261544825878452E-2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30041.59</v>
      </c>
      <c r="C197" s="15">
        <f>IFERROR(B197/B444, "NA")</f>
        <v>0.3185154783543927</v>
      </c>
      <c r="D197" s="2"/>
      <c r="E197" s="14">
        <f>IFERROR(E175+E177+E178+E179+E180+E181+E183+E184+E186+E187+E188+E189+E190+E191+E192+E194+E195, "NA")</f>
        <v>31292.610000000004</v>
      </c>
      <c r="F197" s="15">
        <f>IFERROR(E197/E444, "NA")</f>
        <v>0.31641745014489886</v>
      </c>
      <c r="G197" s="2"/>
      <c r="H197" s="14">
        <f t="shared" si="48"/>
        <v>1251.0200000000041</v>
      </c>
      <c r="I197" s="15">
        <f>IFERROR(H197/H444, "NA")</f>
        <v>-0.27320335089144621</v>
      </c>
      <c r="J197" s="2"/>
      <c r="K197" s="14">
        <f>IFERROR(K175+K177+K178+K179+K180+K181+K183+K184+K186+K187+K188+K189+K190+K191+K192+K194+K195, "NA")</f>
        <v>31807.909999999996</v>
      </c>
      <c r="L197" s="15">
        <f>IFERROR(K197/K444, "NA")</f>
        <v>0.36376121561181368</v>
      </c>
      <c r="M197" s="2"/>
      <c r="N197" s="14">
        <f t="shared" si="49"/>
        <v>1766.3199999999961</v>
      </c>
      <c r="O197" s="15">
        <f>IFERROR(N197/N444, "NA")</f>
        <v>0.25688975375920353</v>
      </c>
      <c r="P197" s="2"/>
      <c r="Q197" s="14">
        <f>IFERROR(Q175+Q177+Q178+Q179+Q180+Q181+Q183+Q184+Q186+Q187+Q188+Q189+Q190+Q191+Q192+Q194+Q195, "NA")</f>
        <v>59440.040000000008</v>
      </c>
      <c r="R197" s="15">
        <f>IFERROR(Q197/Q444, "NA")</f>
        <v>0.31315850698937286</v>
      </c>
      <c r="S197" s="2"/>
      <c r="T197" s="14">
        <f>IFERROR(T175+T177+T178+T179+T180+T181+T183+T184+T186+T187+T188+T189+T190+T191+T192+T194+T195, "NA")</f>
        <v>59381.81</v>
      </c>
      <c r="U197" s="15">
        <f>IFERROR(T197/T444, "NA")</f>
        <v>0.33682930087361368</v>
      </c>
      <c r="V197" s="2"/>
      <c r="W197" s="14">
        <f t="shared" si="50"/>
        <v>-58.230000000010477</v>
      </c>
      <c r="X197" s="15">
        <f>IFERROR(W197/W444, "NA")</f>
        <v>-4.3095951585706404E-3</v>
      </c>
      <c r="Y197" s="2"/>
      <c r="Z197" s="14">
        <f>IFERROR(Z175+Z177+Z178+Z179+Z180+Z181+Z183+Z184+Z186+Z187+Z188+Z189+Z190+Z191+Z192+Z194+Z195, "NA")</f>
        <v>62333.859999999993</v>
      </c>
      <c r="AA197" s="15">
        <f>IFERROR(Z197/Z444, "NA")</f>
        <v>0.39177010671853235</v>
      </c>
      <c r="AB197" s="2"/>
      <c r="AC197" s="14">
        <f t="shared" si="51"/>
        <v>2893.8199999999852</v>
      </c>
      <c r="AD197" s="15">
        <f>IFERROR(AC197/AC444, "NA")</f>
        <v>9.4261544825878452E-2</v>
      </c>
    </row>
    <row r="198" spans="1:30" ht="16.5" customHeight="1" x14ac:dyDescent="0.45">
      <c r="A198" s="22" t="s">
        <v>181</v>
      </c>
      <c r="B198" s="23">
        <f>IFERROR(B172-B197, "NA")</f>
        <v>36443.039999999994</v>
      </c>
      <c r="C198" s="24">
        <f>IFERROR(B198/B444, "NA")</f>
        <v>0.38638674977883208</v>
      </c>
      <c r="D198" s="25"/>
      <c r="E198" s="23">
        <f>IFERROR(E172-E197, "NA")</f>
        <v>41396.39</v>
      </c>
      <c r="F198" s="24">
        <f>IFERROR(E198/E444, "NA")</f>
        <v>0.4185825397435301</v>
      </c>
      <c r="G198" s="25"/>
      <c r="H198" s="23">
        <f>IFERROR(B198-E198, "NA")</f>
        <v>-4953.3500000000058</v>
      </c>
      <c r="I198" s="24">
        <f>IFERROR(H198/H444, "NA")</f>
        <v>1.081734758947213</v>
      </c>
      <c r="J198" s="25"/>
      <c r="K198" s="23">
        <f>IFERROR(K172-K197, "NA")</f>
        <v>29851.660000000025</v>
      </c>
      <c r="L198" s="24">
        <f>IFERROR(K198/K444, "NA")</f>
        <v>0.34138917425352894</v>
      </c>
      <c r="M198" s="25"/>
      <c r="N198" s="23">
        <f>IFERROR(B198-K198, "NA")</f>
        <v>6591.3799999999683</v>
      </c>
      <c r="O198" s="24">
        <f>IFERROR(N198/N444, "NA")</f>
        <v>0.95863602582393592</v>
      </c>
      <c r="P198" s="25"/>
      <c r="Q198" s="23">
        <f>IFERROR(Q172-Q197, "NA")</f>
        <v>78591.920000000013</v>
      </c>
      <c r="R198" s="24">
        <f>IFERROR(Q198/Q444, "NA")</f>
        <v>0.41405975380615889</v>
      </c>
      <c r="S198" s="25"/>
      <c r="T198" s="23">
        <f>IFERROR(T172-T197, "NA")</f>
        <v>68957.680000000022</v>
      </c>
      <c r="U198" s="24">
        <f>IFERROR(T198/T444, "NA")</f>
        <v>0.39114616318139145</v>
      </c>
      <c r="V198" s="25"/>
      <c r="W198" s="23">
        <f>IFERROR(Q198-T198, "NA")</f>
        <v>9634.2399999999907</v>
      </c>
      <c r="X198" s="24">
        <f>IFERROR(W198/W444, "NA")</f>
        <v>0.71302892083977498</v>
      </c>
      <c r="Y198" s="25"/>
      <c r="Z198" s="23">
        <f>IFERROR(Z172-Z197, "NA")</f>
        <v>48980.979999999989</v>
      </c>
      <c r="AA198" s="24">
        <f>IFERROR(Z198/Z444, "NA")</f>
        <v>0.30784687105496589</v>
      </c>
      <c r="AB198" s="25"/>
      <c r="AC198" s="23">
        <f>IFERROR(Q198-Z198, "NA")</f>
        <v>29610.940000000024</v>
      </c>
      <c r="AD198" s="24">
        <f>IFERROR(AC198/AC444, "NA")</f>
        <v>0.96452887468688919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1977.93</v>
      </c>
      <c r="F201" s="8">
        <f>IFERROR(E201/E444, "NA")</f>
        <v>1.999997977685785E-2</v>
      </c>
      <c r="G201" s="9"/>
      <c r="H201" s="10">
        <f t="shared" ref="H201:H209" si="52">IFERROR(-(B201-E201), "NA")</f>
        <v>1977.93</v>
      </c>
      <c r="I201" s="8">
        <f>IFERROR(H201/H444, "NA")</f>
        <v>-0.43194921250556867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3525.93</v>
      </c>
      <c r="U201" s="8">
        <f>IFERROR(T201/T444, "NA")</f>
        <v>2.0000005672263961E-2</v>
      </c>
      <c r="V201" s="9"/>
      <c r="W201" s="10">
        <f t="shared" ref="W201:W209" si="54">IFERROR(-(Q201-T201), "NA")</f>
        <v>3525.93</v>
      </c>
      <c r="X201" s="8">
        <f>IFERROR(W201/W444, "NA")</f>
        <v>0.26095364687371192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840.4</v>
      </c>
      <c r="C202" s="8">
        <f>IFERROR(B202/B444, "NA")</f>
        <v>8.9103275828287254E-3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-840.4</v>
      </c>
      <c r="I202" s="8">
        <f>IFERROR(H202/H444, "NA")</f>
        <v>0.1835303161333717</v>
      </c>
      <c r="J202" s="9"/>
      <c r="K202" s="7">
        <v>607.64</v>
      </c>
      <c r="L202" s="8">
        <f>IFERROR(K202/K444, "NA")</f>
        <v>6.9490848362675347E-3</v>
      </c>
      <c r="M202" s="9"/>
      <c r="N202" s="10">
        <f t="shared" si="53"/>
        <v>-232.76</v>
      </c>
      <c r="O202" s="8">
        <f>IFERROR(N202/N444, "NA")</f>
        <v>-3.3852110084804758E-2</v>
      </c>
      <c r="P202" s="9"/>
      <c r="Q202" s="7">
        <v>1658.99</v>
      </c>
      <c r="R202" s="8">
        <f>IFERROR(Q202/Q444, "NA")</f>
        <v>8.74035131050214E-3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-1658.99</v>
      </c>
      <c r="X202" s="8">
        <f>IFERROR(W202/W444, "NA")</f>
        <v>-0.12278164643853376</v>
      </c>
      <c r="Y202" s="9"/>
      <c r="Z202" s="7">
        <v>1301.67</v>
      </c>
      <c r="AA202" s="8">
        <f>IFERROR(Z202/Z444, "NA")</f>
        <v>8.1810334674013788E-3</v>
      </c>
      <c r="AB202" s="9"/>
      <c r="AC202" s="10">
        <f t="shared" si="55"/>
        <v>-357.31999999999994</v>
      </c>
      <c r="AD202" s="8">
        <f>IFERROR(AC202/AC444, "NA")</f>
        <v>-1.1639125860344822E-2</v>
      </c>
    </row>
    <row r="203" spans="1:30" ht="16.5" customHeight="1" x14ac:dyDescent="0.45">
      <c r="A203" s="6" t="s">
        <v>185</v>
      </c>
      <c r="B203" s="7">
        <v>640.21</v>
      </c>
      <c r="C203" s="8">
        <f>IFERROR(B203/B444, "NA")</f>
        <v>6.7878163039062096E-3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-640.21</v>
      </c>
      <c r="I203" s="8">
        <f>IFERROR(H203/H444, "NA")</f>
        <v>0.13981192728670383</v>
      </c>
      <c r="J203" s="9"/>
      <c r="K203" s="7">
        <v>473.81</v>
      </c>
      <c r="L203" s="8">
        <f>IFERROR(K203/K444, "NA")</f>
        <v>5.4185798931471281E-3</v>
      </c>
      <c r="M203" s="9"/>
      <c r="N203" s="10">
        <f t="shared" si="53"/>
        <v>-166.40000000000003</v>
      </c>
      <c r="O203" s="8">
        <f>IFERROR(N203/N444, "NA")</f>
        <v>-2.4200855465335597E-2</v>
      </c>
      <c r="P203" s="9"/>
      <c r="Q203" s="7">
        <v>1164.96</v>
      </c>
      <c r="R203" s="8">
        <f>IFERROR(Q203/Q444, "NA")</f>
        <v>6.1375654239522685E-3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-1164.96</v>
      </c>
      <c r="X203" s="8">
        <f>IFERROR(W203/W444, "NA")</f>
        <v>-8.621854672724627E-2</v>
      </c>
      <c r="Y203" s="9"/>
      <c r="Z203" s="7">
        <v>898.74</v>
      </c>
      <c r="AA203" s="8">
        <f>IFERROR(Z203/Z444, "NA")</f>
        <v>5.6486068039459415E-3</v>
      </c>
      <c r="AB203" s="9"/>
      <c r="AC203" s="10">
        <f t="shared" si="55"/>
        <v>-266.22000000000003</v>
      </c>
      <c r="AD203" s="8">
        <f>IFERROR(AC203/AC444, "NA")</f>
        <v>-8.6716894843305702E-3</v>
      </c>
    </row>
    <row r="204" spans="1:30" ht="16.5" customHeight="1" x14ac:dyDescent="0.45">
      <c r="A204" s="6" t="s">
        <v>186</v>
      </c>
      <c r="B204" s="7">
        <v>199.15</v>
      </c>
      <c r="C204" s="8">
        <f>IFERROR(B204/B444, "NA")</f>
        <v>2.1114846955263456E-3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-199.15</v>
      </c>
      <c r="I204" s="8">
        <f>IFERROR(H204/H444, "NA")</f>
        <v>4.3491268988530431E-2</v>
      </c>
      <c r="J204" s="9"/>
      <c r="K204" s="7">
        <v>28.53</v>
      </c>
      <c r="L204" s="8">
        <f>IFERROR(K204/K444, "NA")</f>
        <v>3.2627442297859387E-4</v>
      </c>
      <c r="M204" s="9"/>
      <c r="N204" s="10">
        <f t="shared" si="53"/>
        <v>-170.62</v>
      </c>
      <c r="O204" s="8">
        <f>IFERROR(N204/N444, "NA")</f>
        <v>-2.4814603121968502E-2</v>
      </c>
      <c r="P204" s="9"/>
      <c r="Q204" s="7">
        <v>221.85</v>
      </c>
      <c r="R204" s="8">
        <f>IFERROR(Q204/Q444, "NA")</f>
        <v>1.1688117096757063E-3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-221.85</v>
      </c>
      <c r="X204" s="8">
        <f>IFERROR(W204/W444, "NA")</f>
        <v>-1.6419091291923829E-2</v>
      </c>
      <c r="Y204" s="9"/>
      <c r="Z204" s="7">
        <v>71.97</v>
      </c>
      <c r="AA204" s="8">
        <f>IFERROR(Z204/Z444, "NA")</f>
        <v>4.5233352435630932E-4</v>
      </c>
      <c r="AB204" s="9"/>
      <c r="AC204" s="10">
        <f t="shared" si="55"/>
        <v>-149.88</v>
      </c>
      <c r="AD204" s="8">
        <f>IFERROR(AC204/AC444, "NA")</f>
        <v>-4.8821005931615419E-3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3.8618487848280998E-3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7.9544362623059625E-2</v>
      </c>
      <c r="J205" s="9"/>
      <c r="K205" s="7">
        <v>393.31</v>
      </c>
      <c r="L205" s="8">
        <f>IFERROR(K205/K444, "NA")</f>
        <v>4.4979668174451723E-3</v>
      </c>
      <c r="M205" s="9"/>
      <c r="N205" s="10">
        <f t="shared" si="53"/>
        <v>29.069999999999993</v>
      </c>
      <c r="O205" s="8">
        <f>IFERROR(N205/N444, "NA")</f>
        <v>4.2278778147674606E-3</v>
      </c>
      <c r="P205" s="9"/>
      <c r="Q205" s="7">
        <v>728.48</v>
      </c>
      <c r="R205" s="8">
        <f>IFERROR(Q205/Q444, "NA")</f>
        <v>3.837980411379574E-3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-728.48</v>
      </c>
      <c r="X205" s="8">
        <f>IFERROR(W205/W444, "NA")</f>
        <v>-5.3914715457925047E-2</v>
      </c>
      <c r="Y205" s="9"/>
      <c r="Z205" s="7">
        <v>818.29</v>
      </c>
      <c r="AA205" s="8">
        <f>IFERROR(Z205/Z444, "NA")</f>
        <v>5.1429762351747161E-3</v>
      </c>
      <c r="AB205" s="9"/>
      <c r="AC205" s="10">
        <f t="shared" si="55"/>
        <v>89.809999999999945</v>
      </c>
      <c r="AD205" s="8">
        <f>IFERROR(AC205/AC444, "NA")</f>
        <v>2.925416695168387E-3</v>
      </c>
    </row>
    <row r="206" spans="1:30" ht="16.5" customHeight="1" x14ac:dyDescent="0.45">
      <c r="A206" s="6" t="s">
        <v>188</v>
      </c>
      <c r="B206" s="7">
        <v>135.76</v>
      </c>
      <c r="C206" s="8">
        <f>IFERROR(B206/B444, "NA")</f>
        <v>1.4393932325616702E-3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-135.76</v>
      </c>
      <c r="I206" s="8">
        <f>IFERROR(H206/H444, "NA")</f>
        <v>2.9647876866095359E-2</v>
      </c>
      <c r="J206" s="9"/>
      <c r="K206" s="7">
        <v>8</v>
      </c>
      <c r="L206" s="8">
        <f>IFERROR(K206/K444, "NA")</f>
        <v>9.1489498206405578E-5</v>
      </c>
      <c r="M206" s="9"/>
      <c r="N206" s="10">
        <f t="shared" si="53"/>
        <v>-127.75999999999999</v>
      </c>
      <c r="O206" s="8">
        <f>IFERROR(N206/N444, "NA")</f>
        <v>-1.858113758564468E-2</v>
      </c>
      <c r="P206" s="9"/>
      <c r="Q206" s="7">
        <v>135.76</v>
      </c>
      <c r="R206" s="8">
        <f>IFERROR(Q206/Q444, "NA")</f>
        <v>7.152484908973354E-4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-135.76</v>
      </c>
      <c r="X206" s="8">
        <f>IFERROR(W206/W444, "NA")</f>
        <v>-1.0047580950153612E-2</v>
      </c>
      <c r="Y206" s="9"/>
      <c r="Z206" s="7">
        <v>8</v>
      </c>
      <c r="AA206" s="8">
        <f>IFERROR(Z206/Z444, "NA")</f>
        <v>5.0280230580109415E-5</v>
      </c>
      <c r="AB206" s="9"/>
      <c r="AC206" s="10">
        <f t="shared" si="55"/>
        <v>-127.75999999999999</v>
      </c>
      <c r="AD206" s="8">
        <f>IFERROR(AC206/AC444, "NA")</f>
        <v>-4.1615770735409568E-3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154.16999999999999</v>
      </c>
      <c r="L207" s="8">
        <f>IFERROR(K207/K444, "NA")</f>
        <v>1.7631169923101933E-3</v>
      </c>
      <c r="M207" s="9"/>
      <c r="N207" s="10">
        <f t="shared" si="53"/>
        <v>154.16999999999999</v>
      </c>
      <c r="O207" s="8">
        <f>IFERROR(N207/N444, "NA")</f>
        <v>2.2422150763766753E-2</v>
      </c>
      <c r="P207" s="9"/>
      <c r="Q207" s="7">
        <v>99.6</v>
      </c>
      <c r="R207" s="8">
        <f>IFERROR(Q207/Q444, "NA")</f>
        <v>5.2474034836015474E-4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-7.3713837848799341E-3</v>
      </c>
      <c r="Y207" s="9"/>
      <c r="Z207" s="7">
        <v>154.16999999999999</v>
      </c>
      <c r="AA207" s="8">
        <f>IFERROR(Z207/Z444, "NA")</f>
        <v>9.6896289356693352E-4</v>
      </c>
      <c r="AB207" s="9"/>
      <c r="AC207" s="10">
        <f t="shared" si="55"/>
        <v>54.569999999999993</v>
      </c>
      <c r="AD207" s="8">
        <f>IFERROR(AC207/AC444, "NA")</f>
        <v>1.7775302199681433E-3</v>
      </c>
    </row>
    <row r="208" spans="1:30" ht="16.5" customHeight="1" x14ac:dyDescent="0.45">
      <c r="A208" s="6" t="s">
        <v>190</v>
      </c>
      <c r="B208" s="7">
        <v>306.23</v>
      </c>
      <c r="C208" s="8">
        <f>IFERROR(B208/B444, "NA")</f>
        <v>3.2467986859705386E-3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-306.23</v>
      </c>
      <c r="I208" s="8">
        <f>IFERROR(H208/H444, "NA")</f>
        <v>6.6875878997527866E-2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-306.23</v>
      </c>
      <c r="O208" s="8">
        <f>IFERROR(N208/N444, "NA")</f>
        <v>-4.4537427699217057E-2</v>
      </c>
      <c r="P208" s="9"/>
      <c r="Q208" s="7">
        <v>409.65</v>
      </c>
      <c r="R208" s="8">
        <f>IFERROR(Q208/Q444, "NA")</f>
        <v>2.1582317641138291E-3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-409.65</v>
      </c>
      <c r="X208" s="8">
        <f>IFERROR(W208/W444, "NA")</f>
        <v>-3.0318146259799849E-2</v>
      </c>
      <c r="Y208" s="9"/>
      <c r="Z208" s="7">
        <v>68.88</v>
      </c>
      <c r="AA208" s="8">
        <f>IFERROR(Z208/Z444, "NA")</f>
        <v>4.3291278529474203E-4</v>
      </c>
      <c r="AB208" s="9"/>
      <c r="AC208" s="10">
        <f t="shared" si="55"/>
        <v>-340.77</v>
      </c>
      <c r="AD208" s="8">
        <f>IFERROR(AC208/AC444, "NA")</f>
        <v>-1.1100036156469567E-2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2485.9900000000002</v>
      </c>
      <c r="C209" s="15">
        <f>IFERROR(B209/B444, "NA")</f>
        <v>2.6357669285621593E-2</v>
      </c>
      <c r="D209" s="2"/>
      <c r="E209" s="14">
        <f>IFERROR(E201+E202+E203+E204+E205+E206+E207+E208, "NA")</f>
        <v>1977.93</v>
      </c>
      <c r="F209" s="15">
        <f>IFERROR(E209/E444, "NA")</f>
        <v>1.999997977685785E-2</v>
      </c>
      <c r="G209" s="2"/>
      <c r="H209" s="14">
        <f t="shared" si="52"/>
        <v>-508.06000000000017</v>
      </c>
      <c r="I209" s="15">
        <f>IFERROR(H209/H444, "NA")</f>
        <v>0.1109524183897202</v>
      </c>
      <c r="J209" s="2"/>
      <c r="K209" s="14">
        <f>IFERROR(K201+K202+K203+K204+K205+K206+K207+K208, "NA")</f>
        <v>1665.46</v>
      </c>
      <c r="L209" s="15">
        <f>IFERROR(K209/K444, "NA")</f>
        <v>1.904651246035503E-2</v>
      </c>
      <c r="M209" s="2"/>
      <c r="N209" s="14">
        <f t="shared" si="53"/>
        <v>-820.5300000000002</v>
      </c>
      <c r="O209" s="15">
        <f>IFERROR(N209/N444, "NA")</f>
        <v>-0.11933610537843641</v>
      </c>
      <c r="P209" s="2"/>
      <c r="Q209" s="14">
        <f>IFERROR(Q201+Q202+Q203+Q204+Q205+Q206+Q207+Q208, "NA")</f>
        <v>4419.29</v>
      </c>
      <c r="R209" s="15">
        <f>IFERROR(Q209/Q444, "NA")</f>
        <v>2.3282929458881007E-2</v>
      </c>
      <c r="S209" s="2"/>
      <c r="T209" s="14">
        <f>IFERROR(T201+T202+T203+T204+T205+T206+T207+T208, "NA")</f>
        <v>3525.93</v>
      </c>
      <c r="U209" s="15">
        <f>IFERROR(T209/T444, "NA")</f>
        <v>2.0000005672263961E-2</v>
      </c>
      <c r="V209" s="2"/>
      <c r="W209" s="14">
        <f t="shared" si="54"/>
        <v>-893.36000000000013</v>
      </c>
      <c r="X209" s="15">
        <f>IFERROR(W209/W444, "NA")</f>
        <v>-6.6117464036750395E-2</v>
      </c>
      <c r="Y209" s="2"/>
      <c r="Z209" s="14">
        <f>IFERROR(Z201+Z202+Z203+Z204+Z205+Z206+Z207+Z208, "NA")</f>
        <v>3321.72</v>
      </c>
      <c r="AA209" s="15">
        <f>IFERROR(Z209/Z444, "NA")</f>
        <v>2.0877105940320131E-2</v>
      </c>
      <c r="AB209" s="2"/>
      <c r="AC209" s="14">
        <f t="shared" si="55"/>
        <v>-1097.5700000000002</v>
      </c>
      <c r="AD209" s="15">
        <f>IFERROR(AC209/AC444, "NA")</f>
        <v>-3.5751582252710933E-2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2650.11</v>
      </c>
      <c r="F213" s="8">
        <f>IFERROR(E213/E444, "NA")</f>
        <v>2.6796775622215527E-2</v>
      </c>
      <c r="G213" s="9"/>
      <c r="H213" s="10">
        <f t="shared" ref="H213:H227" si="56">IFERROR(-(B213-E213), "NA")</f>
        <v>2650.11</v>
      </c>
      <c r="I213" s="8">
        <f>IFERROR(H213/H444, "NA")</f>
        <v>-0.57874289158520908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4822.12</v>
      </c>
      <c r="U213" s="8">
        <f>IFERROR(T213/T444, "NA")</f>
        <v>2.7352337497436843E-2</v>
      </c>
      <c r="V213" s="9"/>
      <c r="W213" s="10">
        <f t="shared" ref="W213:W227" si="58">IFERROR(-(Q213-T213), "NA")</f>
        <v>4822.12</v>
      </c>
      <c r="X213" s="8">
        <f>IFERROR(W213/W444, "NA")</f>
        <v>0.35688450980667902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2928.16</v>
      </c>
      <c r="C214" s="8">
        <f>IFERROR(B214/B444, "NA")</f>
        <v>3.1045769651280055E-2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-2928.16</v>
      </c>
      <c r="I214" s="8">
        <f>IFERROR(H214/H444, "NA")</f>
        <v>0.63946469596512812</v>
      </c>
      <c r="J214" s="9"/>
      <c r="K214" s="7">
        <v>420</v>
      </c>
      <c r="L214" s="8">
        <f>IFERROR(K214/K444, "NA")</f>
        <v>4.8031986558362922E-3</v>
      </c>
      <c r="M214" s="9"/>
      <c r="N214" s="10">
        <f t="shared" si="57"/>
        <v>-2508.16</v>
      </c>
      <c r="O214" s="8">
        <f>IFERROR(N214/N444, "NA")</f>
        <v>-0.36478135603326989</v>
      </c>
      <c r="P214" s="9"/>
      <c r="Q214" s="7">
        <v>4786.7700000000004</v>
      </c>
      <c r="R214" s="8">
        <f>IFERROR(Q214/Q444, "NA")</f>
        <v>2.5218989531324683E-2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-4786.7700000000004</v>
      </c>
      <c r="X214" s="8">
        <f>IFERROR(W214/W444, "NA")</f>
        <v>-0.35426826064206551</v>
      </c>
      <c r="Y214" s="9"/>
      <c r="Z214" s="7">
        <v>745</v>
      </c>
      <c r="AA214" s="8">
        <f>IFERROR(Z214/Z444, "NA")</f>
        <v>4.6823464727726895E-3</v>
      </c>
      <c r="AB214" s="9"/>
      <c r="AC214" s="10">
        <f t="shared" si="59"/>
        <v>-4041.7700000000004</v>
      </c>
      <c r="AD214" s="8">
        <f>IFERROR(AC214/AC444, "NA")</f>
        <v>-0.13165417476929897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2.1</v>
      </c>
      <c r="C216" s="8">
        <f>IFERROR(B216/B444, "NA")</f>
        <v>2.2265216473037034E-5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-2.1</v>
      </c>
      <c r="I216" s="8">
        <f>IFERROR(H216/H444, "NA")</f>
        <v>4.5860740585445094E-4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-2.1</v>
      </c>
      <c r="O216" s="8">
        <f>IFERROR(N216/N444, "NA")</f>
        <v>-3.054194499832016E-4</v>
      </c>
      <c r="P216" s="9"/>
      <c r="Q216" s="7">
        <v>2.1</v>
      </c>
      <c r="R216" s="8">
        <f>IFERROR(Q216/Q444, "NA")</f>
        <v>1.1063802525665914E-5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-1.5542074245228777E-4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-6.8404131609549232E-5</v>
      </c>
    </row>
    <row r="217" spans="1:30" ht="16.5" customHeight="1" x14ac:dyDescent="0.45">
      <c r="A217" s="12" t="s">
        <v>197</v>
      </c>
      <c r="B217" s="7">
        <v>2959.01</v>
      </c>
      <c r="C217" s="8">
        <f>IFERROR(B217/B444, "NA")</f>
        <v>3.1372856283753012E-2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-2959.01</v>
      </c>
      <c r="I217" s="8">
        <f>IFERROR(H217/H444, "NA")</f>
        <v>0.64620185714160905</v>
      </c>
      <c r="J217" s="9"/>
      <c r="K217" s="7">
        <v>129.28</v>
      </c>
      <c r="L217" s="8">
        <f>IFERROR(K217/K444, "NA")</f>
        <v>1.4784702910155142E-3</v>
      </c>
      <c r="M217" s="9"/>
      <c r="N217" s="10">
        <f t="shared" si="57"/>
        <v>-2829.73</v>
      </c>
      <c r="O217" s="8">
        <f>IFERROR(N217/N444, "NA")</f>
        <v>-0.41154980009569758</v>
      </c>
      <c r="P217" s="9"/>
      <c r="Q217" s="7">
        <v>4694.9799999999996</v>
      </c>
      <c r="R217" s="8">
        <f>IFERROR(Q217/Q444, "NA")</f>
        <v>2.4735395991405215E-2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-4694.9799999999996</v>
      </c>
      <c r="X217" s="8">
        <f>IFERROR(W217/W444, "NA")</f>
        <v>-0.34747489399935333</v>
      </c>
      <c r="Y217" s="9"/>
      <c r="Z217" s="7">
        <v>554.84</v>
      </c>
      <c r="AA217" s="8">
        <f>IFERROR(Z217/Z444, "NA")</f>
        <v>3.4871853918834886E-3</v>
      </c>
      <c r="AB217" s="9"/>
      <c r="AC217" s="10">
        <f t="shared" si="59"/>
        <v>-4140.1399999999994</v>
      </c>
      <c r="AD217" s="8">
        <f>IFERROR(AC217/AC444, "NA")</f>
        <v>-0.13485841973426624</v>
      </c>
    </row>
    <row r="218" spans="1:30" ht="16.5" customHeight="1" x14ac:dyDescent="0.45">
      <c r="A218" s="13" t="s">
        <v>198</v>
      </c>
      <c r="B218" s="14">
        <f>IFERROR(B213+B214+B215+B216+B217, "NA")</f>
        <v>5889.27</v>
      </c>
      <c r="C218" s="15">
        <f>IFERROR(B218/B444, "NA")</f>
        <v>6.2440891151506105E-2</v>
      </c>
      <c r="D218" s="2"/>
      <c r="E218" s="14">
        <f>IFERROR(E213+E214+E215+E216+E217, "NA")</f>
        <v>2650.11</v>
      </c>
      <c r="F218" s="15">
        <f>IFERROR(E218/E444, "NA")</f>
        <v>2.6796775622215527E-2</v>
      </c>
      <c r="G218" s="2"/>
      <c r="H218" s="14">
        <f t="shared" si="56"/>
        <v>-3239.1600000000003</v>
      </c>
      <c r="I218" s="15">
        <f>IFERROR(H218/H444, "NA")</f>
        <v>0.70738226892738254</v>
      </c>
      <c r="J218" s="2"/>
      <c r="K218" s="14">
        <f>IFERROR(K213+K214+K215+K216+K217, "NA")</f>
        <v>549.28</v>
      </c>
      <c r="L218" s="15">
        <f>IFERROR(K218/K444, "NA")</f>
        <v>6.281668946851806E-3</v>
      </c>
      <c r="M218" s="2"/>
      <c r="N218" s="14">
        <f t="shared" si="57"/>
        <v>-5339.9900000000007</v>
      </c>
      <c r="O218" s="15">
        <f>IFERROR(N218/N444, "NA")</f>
        <v>-0.77663657557895083</v>
      </c>
      <c r="P218" s="2"/>
      <c r="Q218" s="14">
        <f>IFERROR(Q213+Q214+Q215+Q216+Q217, "NA")</f>
        <v>9483.85</v>
      </c>
      <c r="R218" s="15">
        <f>IFERROR(Q218/Q444, "NA")</f>
        <v>4.9965449325255568E-2</v>
      </c>
      <c r="S218" s="2"/>
      <c r="T218" s="14">
        <f>IFERROR(T213+T214+T215+T216+T217, "NA")</f>
        <v>4822.12</v>
      </c>
      <c r="U218" s="15">
        <f>IFERROR(T218/T444, "NA")</f>
        <v>2.7352337497436843E-2</v>
      </c>
      <c r="V218" s="2"/>
      <c r="W218" s="14">
        <f t="shared" si="58"/>
        <v>-4661.7300000000005</v>
      </c>
      <c r="X218" s="15">
        <f>IFERROR(W218/W444, "NA")</f>
        <v>-0.34501406557719216</v>
      </c>
      <c r="Y218" s="2"/>
      <c r="Z218" s="14">
        <f>IFERROR(Z213+Z214+Z215+Z216+Z217, "NA")</f>
        <v>1299.8400000000001</v>
      </c>
      <c r="AA218" s="15">
        <f>IFERROR(Z218/Z444, "NA")</f>
        <v>8.169531864656179E-3</v>
      </c>
      <c r="AB218" s="2"/>
      <c r="AC218" s="14">
        <f t="shared" si="59"/>
        <v>-8184.01</v>
      </c>
      <c r="AD218" s="15">
        <f>IFERROR(AC218/AC444, "NA")</f>
        <v>-0.26658099863517476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45.53</v>
      </c>
      <c r="C222" s="8">
        <f>IFERROR(B222/B444, "NA")</f>
        <v>4.8273109810351248E-4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-45.53</v>
      </c>
      <c r="I222" s="8">
        <f>IFERROR(H222/H444, "NA")</f>
        <v>9.9430453278824531E-3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-45.53</v>
      </c>
      <c r="O222" s="8">
        <f>IFERROR(N222/N444, "NA")</f>
        <v>-6.6217845513024606E-3</v>
      </c>
      <c r="P222" s="9"/>
      <c r="Q222" s="7">
        <v>292.38</v>
      </c>
      <c r="R222" s="8">
        <f>IFERROR(Q222/Q444, "NA")</f>
        <v>1.5403974202162858E-3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-292.38</v>
      </c>
      <c r="X222" s="8">
        <f>IFERROR(W222/W444, "NA")</f>
        <v>-2.1639007941999952E-2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-292.38</v>
      </c>
      <c r="AD222" s="8">
        <f>IFERROR(AC222/AC444, "NA")</f>
        <v>-9.5238095238095247E-3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98.9</v>
      </c>
      <c r="F226" s="8">
        <f>IFERROR(E226/E444, "NA")</f>
        <v>1.0000343793416559E-3</v>
      </c>
      <c r="G226" s="9"/>
      <c r="H226" s="10">
        <f t="shared" si="56"/>
        <v>98.9</v>
      </c>
      <c r="I226" s="8">
        <f>IFERROR(H226/H444, "NA")</f>
        <v>-2.1598224970954857E-2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176.3</v>
      </c>
      <c r="U226" s="8">
        <f>IFERROR(T226/T444, "NA")</f>
        <v>1.0000201365370658E-3</v>
      </c>
      <c r="V226" s="9"/>
      <c r="W226" s="10">
        <f t="shared" si="58"/>
        <v>176.3</v>
      </c>
      <c r="X226" s="8">
        <f>IFERROR(W226/W444, "NA")</f>
        <v>1.304794137825635E-2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5934.8</v>
      </c>
      <c r="C227" s="15">
        <f>IFERROR(B227/B444, "NA")</f>
        <v>6.2923622249609609E-2</v>
      </c>
      <c r="D227" s="2"/>
      <c r="E227" s="14">
        <f>IFERROR(E211+E213+E214+E215+E216+E217+E219+E220+E221+E222+E223+E224+E225+E226, "NA")</f>
        <v>2749.01</v>
      </c>
      <c r="F227" s="15">
        <f>IFERROR(E227/E444, "NA")</f>
        <v>2.7796810001557183E-2</v>
      </c>
      <c r="G227" s="2"/>
      <c r="H227" s="14">
        <f t="shared" si="56"/>
        <v>-3185.79</v>
      </c>
      <c r="I227" s="15">
        <f>IFERROR(H227/H444, "NA")</f>
        <v>0.69572708928431015</v>
      </c>
      <c r="J227" s="2"/>
      <c r="K227" s="14">
        <f>IFERROR(K211+K213+K214+K215+K216+K217+K219+K220+K221+K222+K223+K224+K225+K226, "NA")</f>
        <v>549.28</v>
      </c>
      <c r="L227" s="15">
        <f>IFERROR(K227/K444, "NA")</f>
        <v>6.281668946851806E-3</v>
      </c>
      <c r="M227" s="2"/>
      <c r="N227" s="14">
        <f t="shared" si="57"/>
        <v>-5385.52</v>
      </c>
      <c r="O227" s="15">
        <f>IFERROR(N227/N444, "NA")</f>
        <v>-0.78325836013025329</v>
      </c>
      <c r="P227" s="2"/>
      <c r="Q227" s="14">
        <f>IFERROR(Q211+Q213+Q214+Q215+Q216+Q217+Q219+Q220+Q221+Q222+Q223+Q224+Q225+Q226, "NA")</f>
        <v>9776.23</v>
      </c>
      <c r="R227" s="15">
        <f>IFERROR(Q227/Q444, "NA")</f>
        <v>5.1505846745471845E-2</v>
      </c>
      <c r="S227" s="2"/>
      <c r="T227" s="14">
        <f>IFERROR(T211+T213+T214+T215+T216+T217+T219+T220+T221+T222+T223+T224+T225+T226, "NA")</f>
        <v>4998.42</v>
      </c>
      <c r="U227" s="15">
        <f>IFERROR(T227/T444, "NA")</f>
        <v>2.835235763397391E-2</v>
      </c>
      <c r="V227" s="2"/>
      <c r="W227" s="14">
        <f t="shared" si="58"/>
        <v>-4777.8099999999995</v>
      </c>
      <c r="X227" s="15">
        <f>IFERROR(W227/W444, "NA")</f>
        <v>-0.3536051321409357</v>
      </c>
      <c r="Y227" s="2"/>
      <c r="Z227" s="14">
        <f>IFERROR(Z211+Z213+Z214+Z215+Z216+Z217+Z219+Z220+Z221+Z222+Z223+Z224+Z225+Z226, "NA")</f>
        <v>1299.8400000000001</v>
      </c>
      <c r="AA227" s="15">
        <f>IFERROR(Z227/Z444, "NA")</f>
        <v>8.169531864656179E-3</v>
      </c>
      <c r="AB227" s="2"/>
      <c r="AC227" s="14">
        <f t="shared" si="59"/>
        <v>-8476.39</v>
      </c>
      <c r="AD227" s="15">
        <f>IFERROR(AC227/AC444, "NA")</f>
        <v>-0.27610480815898425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1455.76</v>
      </c>
      <c r="F229" s="8">
        <f>IFERROR(E229/E444, "NA")</f>
        <v>1.4720020708497561E-2</v>
      </c>
      <c r="G229" s="9"/>
      <c r="H229" s="10">
        <f t="shared" ref="H229:H236" si="60">IFERROR(-(B229-E229), "NA")</f>
        <v>1455.76</v>
      </c>
      <c r="I229" s="8">
        <f>IFERROR(H229/H444, "NA")</f>
        <v>-0.31791538911746453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2595.09</v>
      </c>
      <c r="U229" s="8">
        <f>IFERROR(T229/T444, "NA")</f>
        <v>1.4720035485683347E-2</v>
      </c>
      <c r="V229" s="9"/>
      <c r="W229" s="10">
        <f t="shared" ref="W229:W236" si="62">IFERROR(-(Q229-T229), "NA")</f>
        <v>2595.09</v>
      </c>
      <c r="X229" s="8">
        <f>IFERROR(W229/W444, "NA")</f>
        <v>0.19206229263357499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-1.6194005264088742E-3</v>
      </c>
      <c r="AB230" s="9"/>
      <c r="AC230" s="10">
        <f t="shared" si="63"/>
        <v>-257.66000000000003</v>
      </c>
      <c r="AD230" s="8">
        <f>IFERROR(AC230/AC444, "NA")</f>
        <v>-8.3928612145316456E-3</v>
      </c>
    </row>
    <row r="231" spans="1:30" ht="16.5" customHeight="1" x14ac:dyDescent="0.45">
      <c r="A231" s="6" t="s">
        <v>210</v>
      </c>
      <c r="B231" s="7">
        <v>119</v>
      </c>
      <c r="C231" s="8">
        <f>IFERROR(B231/B444, "NA")</f>
        <v>1.2616956001387652E-3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-119</v>
      </c>
      <c r="I231" s="8">
        <f>IFERROR(H231/H444, "NA")</f>
        <v>2.5987752998418885E-2</v>
      </c>
      <c r="J231" s="9"/>
      <c r="K231" s="7">
        <v>138.66999999999999</v>
      </c>
      <c r="L231" s="8">
        <f>IFERROR(K231/K444, "NA")</f>
        <v>1.5858560895352825E-3</v>
      </c>
      <c r="M231" s="9"/>
      <c r="N231" s="10">
        <f t="shared" si="61"/>
        <v>19.669999999999987</v>
      </c>
      <c r="O231" s="8">
        <f>IFERROR(N231/N444, "NA")</f>
        <v>2.8607621815093195E-3</v>
      </c>
      <c r="P231" s="9"/>
      <c r="Q231" s="7">
        <v>336.05</v>
      </c>
      <c r="R231" s="8">
        <f>IFERROR(Q231/Q444, "NA")</f>
        <v>1.770471827976205E-3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-336.05</v>
      </c>
      <c r="X231" s="8">
        <f>IFERROR(W231/W444, "NA")</f>
        <v>-2.4871019286233958E-2</v>
      </c>
      <c r="Y231" s="9"/>
      <c r="Z231" s="7">
        <v>184.12</v>
      </c>
      <c r="AA231" s="8">
        <f>IFERROR(Z231/Z444, "NA")</f>
        <v>1.1571995068012182E-3</v>
      </c>
      <c r="AB231" s="9"/>
      <c r="AC231" s="10">
        <f t="shared" si="63"/>
        <v>-151.93</v>
      </c>
      <c r="AD231" s="8">
        <f>IFERROR(AC231/AC444, "NA")</f>
        <v>-4.9488760549708643E-3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1243.68</v>
      </c>
      <c r="C234" s="8">
        <f>IFERROR(B234/B444, "NA")</f>
        <v>1.3186097344374618E-2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-1243.68</v>
      </c>
      <c r="I234" s="8">
        <f>IFERROR(H234/H444, "NA")</f>
        <v>0.27160040881574454</v>
      </c>
      <c r="J234" s="9"/>
      <c r="K234" s="7">
        <v>1075.21</v>
      </c>
      <c r="L234" s="8">
        <f>IFERROR(K234/K444, "NA")</f>
        <v>1.2296302920813667E-2</v>
      </c>
      <c r="M234" s="9"/>
      <c r="N234" s="10">
        <f t="shared" si="61"/>
        <v>-168.47000000000003</v>
      </c>
      <c r="O234" s="8">
        <f>IFERROR(N234/N444, "NA")</f>
        <v>-2.4501911780319036E-2</v>
      </c>
      <c r="P234" s="9"/>
      <c r="Q234" s="7">
        <v>2902.14</v>
      </c>
      <c r="R234" s="8">
        <f>IFERROR(Q234/Q444, "NA")</f>
        <v>1.5289858981826703E-2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-2902.14</v>
      </c>
      <c r="X234" s="8">
        <f>IFERROR(W234/W444, "NA")</f>
        <v>-0.2147870254764202</v>
      </c>
      <c r="Y234" s="9"/>
      <c r="Z234" s="7">
        <v>1656.13</v>
      </c>
      <c r="AA234" s="8">
        <f>IFERROR(Z234/Z444, "NA")</f>
        <v>1.0408824783829576E-2</v>
      </c>
      <c r="AB234" s="9"/>
      <c r="AC234" s="10">
        <f t="shared" si="63"/>
        <v>-1246.0099999999998</v>
      </c>
      <c r="AD234" s="8">
        <f>IFERROR(AC234/AC444, "NA")</f>
        <v>-4.0586777155625912E-2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1362.68</v>
      </c>
      <c r="C236" s="15">
        <f>IFERROR(B236/B444, "NA")</f>
        <v>1.4447792944513383E-2</v>
      </c>
      <c r="D236" s="2"/>
      <c r="E236" s="14">
        <f>IFERROR(E229+E230+E231+E232+E233+E234+E235, "NA")</f>
        <v>1455.76</v>
      </c>
      <c r="F236" s="15">
        <f>IFERROR(E236/E444, "NA")</f>
        <v>1.4720020708497561E-2</v>
      </c>
      <c r="G236" s="2"/>
      <c r="H236" s="14">
        <f t="shared" si="60"/>
        <v>93.079999999999927</v>
      </c>
      <c r="I236" s="15">
        <f>IFERROR(H236/H444, "NA")</f>
        <v>-2.0327227303301075E-2</v>
      </c>
      <c r="J236" s="2"/>
      <c r="K236" s="14">
        <f>IFERROR(K229+K230+K231+K232+K233+K234+K235, "NA")</f>
        <v>1213.8800000000001</v>
      </c>
      <c r="L236" s="15">
        <f>IFERROR(K236/K444, "NA")</f>
        <v>1.3882159010348951E-2</v>
      </c>
      <c r="M236" s="2"/>
      <c r="N236" s="14">
        <f t="shared" si="61"/>
        <v>-148.79999999999995</v>
      </c>
      <c r="O236" s="15">
        <f>IFERROR(N236/N444, "NA")</f>
        <v>-2.1641149598809705E-2</v>
      </c>
      <c r="P236" s="2"/>
      <c r="Q236" s="14">
        <f>IFERROR(Q229+Q230+Q231+Q232+Q233+Q234+Q235, "NA")</f>
        <v>3238.19</v>
      </c>
      <c r="R236" s="15">
        <f>IFERROR(Q236/Q444, "NA")</f>
        <v>1.7060330809802907E-2</v>
      </c>
      <c r="S236" s="2"/>
      <c r="T236" s="14">
        <f>IFERROR(T229+T230+T231+T232+T233+T234+T235, "NA")</f>
        <v>2595.09</v>
      </c>
      <c r="U236" s="15">
        <f>IFERROR(T236/T444, "NA")</f>
        <v>1.4720035485683347E-2</v>
      </c>
      <c r="V236" s="2"/>
      <c r="W236" s="14">
        <f t="shared" si="62"/>
        <v>-643.09999999999991</v>
      </c>
      <c r="X236" s="15">
        <f>IFERROR(W236/W444, "NA")</f>
        <v>-4.7595752129079169E-2</v>
      </c>
      <c r="Y236" s="2"/>
      <c r="Z236" s="14">
        <f>IFERROR(Z229+Z230+Z231+Z232+Z233+Z234+Z235, "NA")</f>
        <v>1582.5900000000001</v>
      </c>
      <c r="AA236" s="15">
        <f>IFERROR(Z236/Z444, "NA")</f>
        <v>9.94662376422192E-3</v>
      </c>
      <c r="AB236" s="2"/>
      <c r="AC236" s="14">
        <f t="shared" si="63"/>
        <v>-1655.6</v>
      </c>
      <c r="AD236" s="15">
        <f>IFERROR(AC236/AC444, "NA")</f>
        <v>-5.3928514425128429E-2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5380.37</v>
      </c>
      <c r="F240" s="8">
        <f>IFERROR(E240/E444, "NA")</f>
        <v>5.4403993666111872E-2</v>
      </c>
      <c r="G240" s="9"/>
      <c r="H240" s="10">
        <f t="shared" ref="H240:H263" si="64">IFERROR(-(B240-E240), "NA")</f>
        <v>5380.37</v>
      </c>
      <c r="I240" s="8">
        <f>IFERROR(H240/H444, "NA")</f>
        <v>-1.1749892991605295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9591.23</v>
      </c>
      <c r="U240" s="8">
        <f>IFERROR(T240/T444, "NA")</f>
        <v>5.4403988282237102E-2</v>
      </c>
      <c r="V240" s="9"/>
      <c r="W240" s="10">
        <f t="shared" ref="W240:W263" si="66">IFERROR(-(Q240-T240), "NA")</f>
        <v>9591.23</v>
      </c>
      <c r="X240" s="8">
        <f>IFERROR(W240/W444, "NA")</f>
        <v>0.70984575601459809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1163.1199999999999</v>
      </c>
      <c r="C242" s="8">
        <f>IFERROR(B242/B444, "NA")</f>
        <v>1.2331961230532778E-2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-1163.1199999999999</v>
      </c>
      <c r="I242" s="8">
        <f>IFERROR(H242/H444, "NA")</f>
        <v>0.25400735518925188</v>
      </c>
      <c r="J242" s="9"/>
      <c r="K242" s="7">
        <v>934.18</v>
      </c>
      <c r="L242" s="8">
        <f>IFERROR(K242/K444, "NA")</f>
        <v>1.0683457429307494E-2</v>
      </c>
      <c r="M242" s="9"/>
      <c r="N242" s="10">
        <f t="shared" si="65"/>
        <v>-228.93999999999994</v>
      </c>
      <c r="O242" s="8">
        <f>IFERROR(N242/N444, "NA")</f>
        <v>-3.3296537561501978E-2</v>
      </c>
      <c r="P242" s="9"/>
      <c r="Q242" s="7">
        <v>2079.8200000000002</v>
      </c>
      <c r="R242" s="8">
        <f>IFERROR(Q242/Q444, "NA")</f>
        <v>1.0957484651871659E-2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-2079.8200000000002</v>
      </c>
      <c r="X242" s="8">
        <f>IFERROR(W242/W444, "NA")</f>
        <v>-0.15392722312719867</v>
      </c>
      <c r="Y242" s="9"/>
      <c r="Z242" s="7">
        <v>1610.38</v>
      </c>
      <c r="AA242" s="8">
        <f>IFERROR(Z242/Z444, "NA")</f>
        <v>1.0121284715199576E-2</v>
      </c>
      <c r="AB242" s="9"/>
      <c r="AC242" s="10">
        <f t="shared" si="67"/>
        <v>-469.44000000000005</v>
      </c>
      <c r="AD242" s="8">
        <f>IFERROR(AC242/AC444, "NA")</f>
        <v>-1.5291255020374664E-2</v>
      </c>
    </row>
    <row r="243" spans="1:30" ht="16.5" customHeight="1" x14ac:dyDescent="0.45">
      <c r="A243" s="12" t="s">
        <v>220</v>
      </c>
      <c r="B243" s="7">
        <v>2732.73</v>
      </c>
      <c r="C243" s="8">
        <f>IFERROR(B243/B444, "NA")</f>
        <v>2.8973726196363094E-2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-2732.73</v>
      </c>
      <c r="I243" s="8">
        <f>IFERROR(H243/H444, "NA")</f>
        <v>0.59678581723839697</v>
      </c>
      <c r="J243" s="9"/>
      <c r="K243" s="7">
        <v>1942.61</v>
      </c>
      <c r="L243" s="8">
        <f>IFERROR(K243/K444, "NA")</f>
        <v>2.2216051763843191E-2</v>
      </c>
      <c r="M243" s="9"/>
      <c r="N243" s="10">
        <f t="shared" si="65"/>
        <v>-790.12000000000012</v>
      </c>
      <c r="O243" s="8">
        <f>IFERROR(N243/N444, "NA")</f>
        <v>-0.11491334086701298</v>
      </c>
      <c r="P243" s="9"/>
      <c r="Q243" s="7">
        <v>6003.45</v>
      </c>
      <c r="R243" s="8">
        <f>IFERROR(Q243/Q444, "NA")</f>
        <v>3.1629040606051921E-2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-6003.45</v>
      </c>
      <c r="X243" s="8">
        <f>IFERROR(W243/W444, "NA")</f>
        <v>-0.44431459822627956</v>
      </c>
      <c r="Y243" s="9"/>
      <c r="Z243" s="7">
        <v>3391.71</v>
      </c>
      <c r="AA243" s="8">
        <f>IFERROR(Z243/Z444, "NA")</f>
        <v>2.1316995107607862E-2</v>
      </c>
      <c r="AB243" s="9"/>
      <c r="AC243" s="10">
        <f t="shared" si="67"/>
        <v>-2611.7399999999998</v>
      </c>
      <c r="AD243" s="8">
        <f>IFERROR(AC243/AC444, "NA")</f>
        <v>-8.5073241280916229E-2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351.2</v>
      </c>
      <c r="C246" s="8">
        <f>IFERROR(B246/B444, "NA")</f>
        <v>3.7235923930145744E-3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-351.2</v>
      </c>
      <c r="I246" s="8">
        <f>IFERROR(H246/H444, "NA")</f>
        <v>7.6696629017182452E-2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-351.2</v>
      </c>
      <c r="O246" s="8">
        <f>IFERROR(N246/N444, "NA")</f>
        <v>-5.1077767063857325E-2</v>
      </c>
      <c r="P246" s="9"/>
      <c r="Q246" s="7">
        <v>589.4</v>
      </c>
      <c r="R246" s="8">
        <f>IFERROR(Q246/Q444, "NA")</f>
        <v>3.1052405755368998E-3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-589.4</v>
      </c>
      <c r="X246" s="8">
        <f>IFERROR(W246/W444, "NA")</f>
        <v>-4.3621421714942099E-2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-589.4</v>
      </c>
      <c r="AD246" s="8">
        <f>IFERROR(AC246/AC444, "NA")</f>
        <v>-1.9198759605080148E-2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241.65</v>
      </c>
      <c r="C248" s="8">
        <f>IFERROR(B248/B444, "NA")</f>
        <v>2.5620902670044758E-3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-241.65</v>
      </c>
      <c r="I248" s="8">
        <f>IFERROR(H248/H444, "NA")</f>
        <v>5.2772609345108606E-2</v>
      </c>
      <c r="J248" s="9"/>
      <c r="K248" s="7">
        <v>144.56</v>
      </c>
      <c r="L248" s="8">
        <f>IFERROR(K248/K444, "NA")</f>
        <v>1.6532152325897487E-3</v>
      </c>
      <c r="M248" s="9"/>
      <c r="N248" s="10">
        <f t="shared" si="65"/>
        <v>-97.09</v>
      </c>
      <c r="O248" s="8">
        <f>IFERROR(N248/N444, "NA")</f>
        <v>-1.4120559237556686E-2</v>
      </c>
      <c r="P248" s="9"/>
      <c r="Q248" s="7">
        <v>492.25</v>
      </c>
      <c r="R248" s="8">
        <f>IFERROR(Q248/Q444, "NA")</f>
        <v>2.5934079967900219E-3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-492.25</v>
      </c>
      <c r="X248" s="8">
        <f>IFERROR(W248/W444, "NA")</f>
        <v>-3.6431362129589834E-2</v>
      </c>
      <c r="Y248" s="9"/>
      <c r="Z248" s="7">
        <v>144.56</v>
      </c>
      <c r="AA248" s="8">
        <f>IFERROR(Z248/Z444, "NA")</f>
        <v>9.0856376658257718E-4</v>
      </c>
      <c r="AB248" s="9"/>
      <c r="AC248" s="10">
        <f t="shared" si="67"/>
        <v>-347.69</v>
      </c>
      <c r="AD248" s="8">
        <f>IFERROR(AC248/AC444, "NA")</f>
        <v>-1.1325444056821034E-2</v>
      </c>
    </row>
    <row r="249" spans="1:30" ht="16.5" customHeight="1" x14ac:dyDescent="0.45">
      <c r="A249" s="12" t="s">
        <v>226</v>
      </c>
      <c r="B249" s="7">
        <v>1815.13</v>
      </c>
      <c r="C249" s="8">
        <f>IFERROR(B249/B444, "NA")</f>
        <v>1.9244886846049386E-2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-1815.13</v>
      </c>
      <c r="I249" s="8">
        <f>IFERROR(H249/H444, "NA")</f>
        <v>0.39639621932789981</v>
      </c>
      <c r="J249" s="9"/>
      <c r="K249" s="7">
        <v>1067.1199999999999</v>
      </c>
      <c r="L249" s="8">
        <f>IFERROR(K249/K444, "NA")</f>
        <v>1.2203784165752438E-2</v>
      </c>
      <c r="M249" s="9"/>
      <c r="N249" s="10">
        <f t="shared" si="65"/>
        <v>-748.01000000000022</v>
      </c>
      <c r="O249" s="8">
        <f>IFERROR(N249/N444, "NA")</f>
        <v>-0.10878895370568317</v>
      </c>
      <c r="P249" s="9"/>
      <c r="Q249" s="7">
        <v>2957.8</v>
      </c>
      <c r="R249" s="8">
        <f>IFERROR(Q249/Q444, "NA")</f>
        <v>1.5583102433530782E-2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-2957.8</v>
      </c>
      <c r="X249" s="8">
        <f>IFERROR(W249/W444, "NA")</f>
        <v>-0.21890641525017943</v>
      </c>
      <c r="Y249" s="9"/>
      <c r="Z249" s="7">
        <v>2262.87</v>
      </c>
      <c r="AA249" s="8">
        <f>IFERROR(Z249/Z444, "NA")</f>
        <v>1.4222203171601524E-2</v>
      </c>
      <c r="AB249" s="9"/>
      <c r="AC249" s="10">
        <f t="shared" si="67"/>
        <v>-694.93000000000029</v>
      </c>
      <c r="AD249" s="8">
        <f>IFERROR(AC249/AC444, "NA")</f>
        <v>-2.263623008544003E-2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314.22000000000003</v>
      </c>
      <c r="C254" s="8">
        <f>IFERROR(B254/B444, "NA")</f>
        <v>3.3315125334084273E-3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-314.22000000000003</v>
      </c>
      <c r="I254" s="8">
        <f>IFERROR(H254/H444, "NA")</f>
        <v>6.8620770984564566E-2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-314.22000000000003</v>
      </c>
      <c r="O254" s="8">
        <f>IFERROR(N254/N444, "NA")</f>
        <v>-4.5699475987486478E-2</v>
      </c>
      <c r="P254" s="9"/>
      <c r="Q254" s="7">
        <v>1490.2</v>
      </c>
      <c r="R254" s="8">
        <f>IFERROR(Q254/Q444, "NA")</f>
        <v>7.8510850113082606E-3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-1490.2</v>
      </c>
      <c r="X254" s="8">
        <f>IFERROR(W254/W444, "NA")</f>
        <v>-0.11028951923923774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-1490.2</v>
      </c>
      <c r="AD254" s="8">
        <f>IFERROR(AC254/AC444, "NA")</f>
        <v>-4.8540874725976318E-2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6618.05</v>
      </c>
      <c r="C262" s="15">
        <f>IFERROR(B262/B444, "NA")</f>
        <v>7.0167769466372737E-2</v>
      </c>
      <c r="D262" s="2"/>
      <c r="E262" s="14">
        <f>IFERROR(E240+E241+E242+E243+E244+E245+E246+E247+E248+E249+E250+E251+E252+E253+E254+E255+E256+E257+E258+E259+E260+E261, "NA")</f>
        <v>5380.37</v>
      </c>
      <c r="F262" s="15">
        <f>IFERROR(E262/E444, "NA")</f>
        <v>5.4403993666111872E-2</v>
      </c>
      <c r="G262" s="2"/>
      <c r="H262" s="14">
        <f t="shared" si="64"/>
        <v>-1237.6800000000003</v>
      </c>
      <c r="I262" s="15">
        <f>IFERROR(H262/H444, "NA")</f>
        <v>0.27029010194187475</v>
      </c>
      <c r="J262" s="2"/>
      <c r="K262" s="14">
        <f>IFERROR(K240+K241+K242+K243+K244+K245+K246+K247+K248+K249+K250+K251+K252+K253+K254+K255+K256+K257+K258+K259+K260+K261, "NA")</f>
        <v>4088.47</v>
      </c>
      <c r="L262" s="15">
        <f>IFERROR(K262/K444, "NA")</f>
        <v>4.6756508591492871E-2</v>
      </c>
      <c r="M262" s="2"/>
      <c r="N262" s="14">
        <f t="shared" si="65"/>
        <v>-2529.5800000000004</v>
      </c>
      <c r="O262" s="15">
        <f>IFERROR(N262/N444, "NA")</f>
        <v>-0.36789663442309861</v>
      </c>
      <c r="P262" s="2"/>
      <c r="Q262" s="14">
        <f>IFERROR(Q240+Q241+Q242+Q243+Q244+Q245+Q246+Q247+Q248+Q249+Q250+Q251+Q252+Q253+Q254+Q255+Q256+Q257+Q258+Q259+Q260+Q261, "NA")</f>
        <v>13612.920000000002</v>
      </c>
      <c r="R262" s="15">
        <f>IFERROR(Q262/Q444, "NA")</f>
        <v>7.1719361275089558E-2</v>
      </c>
      <c r="S262" s="2"/>
      <c r="T262" s="14">
        <f>IFERROR(T240+T241+T242+T243+T244+T245+T246+T247+T248+T249+T250+T251+T252+T253+T254+T255+T256+T257+T258+T259+T260+T261, "NA")</f>
        <v>9591.23</v>
      </c>
      <c r="U262" s="15">
        <f>IFERROR(T262/T444, "NA")</f>
        <v>5.4403988282237102E-2</v>
      </c>
      <c r="V262" s="2"/>
      <c r="W262" s="14">
        <f t="shared" si="66"/>
        <v>-4021.6900000000023</v>
      </c>
      <c r="X262" s="15">
        <f>IFERROR(W262/W444, "NA")</f>
        <v>-0.29764478367282932</v>
      </c>
      <c r="Y262" s="2"/>
      <c r="Z262" s="14">
        <f>IFERROR(Z240+Z241+Z242+Z243+Z244+Z245+Z246+Z247+Z248+Z249+Z250+Z251+Z252+Z253+Z254+Z255+Z256+Z257+Z258+Z259+Z260+Z261, "NA")</f>
        <v>7409.52</v>
      </c>
      <c r="AA262" s="15">
        <f>IFERROR(Z262/Z444, "NA")</f>
        <v>4.6569046760991543E-2</v>
      </c>
      <c r="AB262" s="2"/>
      <c r="AC262" s="14">
        <f t="shared" si="67"/>
        <v>-6203.4000000000015</v>
      </c>
      <c r="AD262" s="15">
        <f>IFERROR(AC262/AC444, "NA")</f>
        <v>-0.20206580477460848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6618.05</v>
      </c>
      <c r="C263" s="15">
        <f>IFERROR(B263/B444, "NA")</f>
        <v>7.0167769466372737E-2</v>
      </c>
      <c r="D263" s="2"/>
      <c r="E263" s="14">
        <f>IFERROR(E238+E240+E241+E242+E243+E244+E245+E246+E247+E248+E249+E250+E251+E252+E253+E254+E255+E256+E257+E258+E259+E260+E261, "NA")</f>
        <v>5380.37</v>
      </c>
      <c r="F263" s="15">
        <f>IFERROR(E263/E444, "NA")</f>
        <v>5.4403993666111872E-2</v>
      </c>
      <c r="G263" s="2"/>
      <c r="H263" s="14">
        <f t="shared" si="64"/>
        <v>-1237.6800000000003</v>
      </c>
      <c r="I263" s="15">
        <f>IFERROR(H263/H444, "NA")</f>
        <v>0.27029010194187475</v>
      </c>
      <c r="J263" s="2"/>
      <c r="K263" s="14">
        <f>IFERROR(K238+K240+K241+K242+K243+K244+K245+K246+K247+K248+K249+K250+K251+K252+K253+K254+K255+K256+K257+K258+K259+K260+K261, "NA")</f>
        <v>4088.47</v>
      </c>
      <c r="L263" s="15">
        <f>IFERROR(K263/K444, "NA")</f>
        <v>4.6756508591492871E-2</v>
      </c>
      <c r="M263" s="2"/>
      <c r="N263" s="14">
        <f t="shared" si="65"/>
        <v>-2529.5800000000004</v>
      </c>
      <c r="O263" s="15">
        <f>IFERROR(N263/N444, "NA")</f>
        <v>-0.36789663442309861</v>
      </c>
      <c r="P263" s="2"/>
      <c r="Q263" s="14">
        <f>IFERROR(Q238+Q240+Q241+Q242+Q243+Q244+Q245+Q246+Q247+Q248+Q249+Q250+Q251+Q252+Q253+Q254+Q255+Q256+Q257+Q258+Q259+Q260+Q261, "NA")</f>
        <v>13612.920000000002</v>
      </c>
      <c r="R263" s="15">
        <f>IFERROR(Q263/Q444, "NA")</f>
        <v>7.1719361275089558E-2</v>
      </c>
      <c r="S263" s="2"/>
      <c r="T263" s="14">
        <f>IFERROR(T238+T240+T241+T242+T243+T244+T245+T246+T247+T248+T249+T250+T251+T252+T253+T254+T255+T256+T257+T258+T259+T260+T261, "NA")</f>
        <v>9591.23</v>
      </c>
      <c r="U263" s="15">
        <f>IFERROR(T263/T444, "NA")</f>
        <v>5.4403988282237102E-2</v>
      </c>
      <c r="V263" s="2"/>
      <c r="W263" s="14">
        <f t="shared" si="66"/>
        <v>-4021.6900000000023</v>
      </c>
      <c r="X263" s="15">
        <f>IFERROR(W263/W444, "NA")</f>
        <v>-0.29764478367282932</v>
      </c>
      <c r="Y263" s="2"/>
      <c r="Z263" s="14">
        <f>IFERROR(Z238+Z240+Z241+Z242+Z243+Z244+Z245+Z246+Z247+Z248+Z249+Z250+Z251+Z252+Z253+Z254+Z255+Z256+Z257+Z258+Z259+Z260+Z261, "NA")</f>
        <v>7409.52</v>
      </c>
      <c r="AA263" s="15">
        <f>IFERROR(Z263/Z444, "NA")</f>
        <v>4.6569046760991543E-2</v>
      </c>
      <c r="AB263" s="2"/>
      <c r="AC263" s="14">
        <f t="shared" si="67"/>
        <v>-6203.4000000000015</v>
      </c>
      <c r="AD263" s="15">
        <f>IFERROR(AC263/AC444, "NA")</f>
        <v>-0.20206580477460848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2437.9499999999998</v>
      </c>
      <c r="C265" s="8">
        <f>IFERROR(B265/B444, "NA")</f>
        <v>2.5848325952590779E-2</v>
      </c>
      <c r="D265" s="9"/>
      <c r="E265" s="7">
        <v>2868</v>
      </c>
      <c r="F265" s="8">
        <f>IFERROR(E265/E444, "NA")</f>
        <v>2.8999985843800494E-2</v>
      </c>
      <c r="G265" s="9"/>
      <c r="H265" s="10">
        <f>IFERROR(-(B265-E265), "NA")</f>
        <v>430.05000000000018</v>
      </c>
      <c r="I265" s="8">
        <f>IFERROR(H265/H444, "NA")</f>
        <v>-9.3916245184622243E-2</v>
      </c>
      <c r="J265" s="9"/>
      <c r="K265" s="7">
        <v>2555.58</v>
      </c>
      <c r="L265" s="8">
        <f>IFERROR(K265/K444, "NA")</f>
        <v>2.9226091478290743E-2</v>
      </c>
      <c r="M265" s="9"/>
      <c r="N265" s="10">
        <f>IFERROR(-(B265-K265), "NA")</f>
        <v>117.63000000000011</v>
      </c>
      <c r="O265" s="8">
        <f>IFERROR(N265/N444, "NA")</f>
        <v>1.7107852334059065E-2</v>
      </c>
      <c r="P265" s="9"/>
      <c r="Q265" s="7">
        <v>4975.05</v>
      </c>
      <c r="R265" s="8">
        <f>IFERROR(Q265/Q444, "NA")</f>
        <v>2.6210938454911528E-2</v>
      </c>
      <c r="S265" s="9"/>
      <c r="T265" s="7">
        <v>5112.6000000000004</v>
      </c>
      <c r="U265" s="8">
        <f>IFERROR(T265/T444, "NA")</f>
        <v>2.9000016733178688E-2</v>
      </c>
      <c r="V265" s="9"/>
      <c r="W265" s="10">
        <f>IFERROR(-(Q265-T265), "NA")</f>
        <v>137.55000000000018</v>
      </c>
      <c r="X265" s="8">
        <f>IFERROR(W265/W444, "NA")</f>
        <v>1.0180058630624864E-2</v>
      </c>
      <c r="Y265" s="9"/>
      <c r="Z265" s="7">
        <v>4546.05</v>
      </c>
      <c r="AA265" s="8">
        <f>IFERROR(Z265/Z444, "NA")</f>
        <v>2.8572055278588301E-2</v>
      </c>
      <c r="AB265" s="9"/>
      <c r="AC265" s="10">
        <f>IFERROR(-(Q265-Z265), "NA")</f>
        <v>-429</v>
      </c>
      <c r="AD265" s="8">
        <f>IFERROR(AC265/AC444, "NA")</f>
        <v>-1.3973986885950772E-2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2437.9499999999998</v>
      </c>
      <c r="C267" s="15">
        <f>IFERROR(B267/B444, "NA")</f>
        <v>2.5848325952590779E-2</v>
      </c>
      <c r="D267" s="2"/>
      <c r="E267" s="14">
        <f>IFERROR(E265+E266, "NA")</f>
        <v>2868</v>
      </c>
      <c r="F267" s="15">
        <f>IFERROR(E267/E444, "NA")</f>
        <v>2.8999985843800494E-2</v>
      </c>
      <c r="G267" s="2"/>
      <c r="H267" s="14">
        <f>IFERROR(-(B267-E267), "NA")</f>
        <v>430.05000000000018</v>
      </c>
      <c r="I267" s="15">
        <f>IFERROR(H267/H444, "NA")</f>
        <v>-9.3916245184622243E-2</v>
      </c>
      <c r="J267" s="2"/>
      <c r="K267" s="14">
        <f>IFERROR(K265+K266, "NA")</f>
        <v>2555.58</v>
      </c>
      <c r="L267" s="15">
        <f>IFERROR(K267/K444, "NA")</f>
        <v>2.9226091478290743E-2</v>
      </c>
      <c r="M267" s="2"/>
      <c r="N267" s="14">
        <f>IFERROR(-(B267-K267), "NA")</f>
        <v>117.63000000000011</v>
      </c>
      <c r="O267" s="15">
        <f>IFERROR(N267/N444, "NA")</f>
        <v>1.7107852334059065E-2</v>
      </c>
      <c r="P267" s="2"/>
      <c r="Q267" s="14">
        <f>IFERROR(Q265+Q266, "NA")</f>
        <v>4975.05</v>
      </c>
      <c r="R267" s="15">
        <f>IFERROR(Q267/Q444, "NA")</f>
        <v>2.6210938454911528E-2</v>
      </c>
      <c r="S267" s="2"/>
      <c r="T267" s="14">
        <f>IFERROR(T265+T266, "NA")</f>
        <v>5112.6000000000004</v>
      </c>
      <c r="U267" s="15">
        <f>IFERROR(T267/T444, "NA")</f>
        <v>2.9000016733178688E-2</v>
      </c>
      <c r="V267" s="2"/>
      <c r="W267" s="14">
        <f>IFERROR(-(Q267-T267), "NA")</f>
        <v>137.55000000000018</v>
      </c>
      <c r="X267" s="15">
        <f>IFERROR(W267/W444, "NA")</f>
        <v>1.0180058630624864E-2</v>
      </c>
      <c r="Y267" s="2"/>
      <c r="Z267" s="14">
        <f>IFERROR(Z265+Z266, "NA")</f>
        <v>4546.05</v>
      </c>
      <c r="AA267" s="15">
        <f>IFERROR(Z267/Z444, "NA")</f>
        <v>2.8572055278588301E-2</v>
      </c>
      <c r="AB267" s="2"/>
      <c r="AC267" s="14">
        <f>IFERROR(-(Q267-Z267), "NA")</f>
        <v>-429</v>
      </c>
      <c r="AD267" s="15">
        <f>IFERROR(AC267/AC444, "NA")</f>
        <v>-1.3973986885950772E-2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223.42</v>
      </c>
      <c r="C270" s="8">
        <f>IFERROR(B270/B444, "NA")</f>
        <v>2.3688069830504446E-3</v>
      </c>
      <c r="D270" s="9"/>
      <c r="E270" s="7">
        <v>219.38</v>
      </c>
      <c r="F270" s="8">
        <f>IFERROR(E270/E444, "NA")</f>
        <v>2.2182764624870824E-3</v>
      </c>
      <c r="G270" s="9"/>
      <c r="H270" s="10">
        <f>IFERROR(-(B270-E270), "NA")</f>
        <v>-4.039999999999992</v>
      </c>
      <c r="I270" s="8">
        <f>IFERROR(H270/H444, "NA")</f>
        <v>8.8227329507237055E-4</v>
      </c>
      <c r="J270" s="9"/>
      <c r="K270" s="7">
        <v>213.08</v>
      </c>
      <c r="L270" s="8">
        <f>IFERROR(K270/K444, "NA")</f>
        <v>2.4368227847276127E-3</v>
      </c>
      <c r="M270" s="9"/>
      <c r="N270" s="10">
        <f>IFERROR(-(B270-K270), "NA")</f>
        <v>-10.339999999999975</v>
      </c>
      <c r="O270" s="8">
        <f>IFERROR(N270/N444, "NA")</f>
        <v>-1.5038271965839508E-3</v>
      </c>
      <c r="P270" s="9"/>
      <c r="Q270" s="7">
        <v>438.39</v>
      </c>
      <c r="R270" s="8">
        <f>IFERROR(Q270/Q444, "NA")</f>
        <v>2.3096478043936573E-3</v>
      </c>
      <c r="S270" s="9"/>
      <c r="T270" s="7">
        <v>415.68</v>
      </c>
      <c r="U270" s="8">
        <f>IFERROR(T270/T444, "NA")</f>
        <v>2.357846683810139E-3</v>
      </c>
      <c r="V270" s="9"/>
      <c r="W270" s="10">
        <f>IFERROR(-(Q270-T270), "NA")</f>
        <v>-22.70999999999998</v>
      </c>
      <c r="X270" s="8">
        <f>IFERROR(W270/W444, "NA")</f>
        <v>-1.6807643148054534E-3</v>
      </c>
      <c r="Y270" s="9"/>
      <c r="Z270" s="7">
        <v>417.16</v>
      </c>
      <c r="AA270" s="8">
        <f>IFERROR(Z270/Z444, "NA")</f>
        <v>2.6218626235998055E-3</v>
      </c>
      <c r="AB270" s="9"/>
      <c r="AC270" s="10">
        <f>IFERROR(-(Q270-Z270), "NA")</f>
        <v>-21.229999999999961</v>
      </c>
      <c r="AD270" s="8">
        <f>IFERROR(AC270/AC444, "NA")</f>
        <v>-6.9153319717653696E-4</v>
      </c>
    </row>
    <row r="271" spans="1:30" ht="16.5" customHeight="1" x14ac:dyDescent="0.45">
      <c r="A271" s="6" t="s">
        <v>246</v>
      </c>
      <c r="B271" s="7">
        <v>1039.08</v>
      </c>
      <c r="C271" s="8">
        <f>IFERROR(B271/B444, "NA")</f>
        <v>1.1016829110858724E-2</v>
      </c>
      <c r="D271" s="9"/>
      <c r="E271" s="7">
        <v>692.28</v>
      </c>
      <c r="F271" s="8">
        <f>IFERROR(E271/E444, "NA")</f>
        <v>7.0000384239700848E-3</v>
      </c>
      <c r="G271" s="9"/>
      <c r="H271" s="10">
        <f>IFERROR(-(B271-E271), "NA")</f>
        <v>-346.79999999999995</v>
      </c>
      <c r="I271" s="8">
        <f>IFERROR(H271/H444, "NA")</f>
        <v>7.5735737309677892E-2</v>
      </c>
      <c r="J271" s="9"/>
      <c r="K271" s="7">
        <v>970.58</v>
      </c>
      <c r="L271" s="8">
        <f>IFERROR(K271/K444, "NA")</f>
        <v>1.1099734646146641E-2</v>
      </c>
      <c r="M271" s="9"/>
      <c r="N271" s="10">
        <f>IFERROR(-(B271-K271), "NA")</f>
        <v>-68.499999999999886</v>
      </c>
      <c r="O271" s="8">
        <f>IFERROR(N271/N444, "NA")</f>
        <v>-9.9624915827853672E-3</v>
      </c>
      <c r="P271" s="9"/>
      <c r="Q271" s="7">
        <v>1845.62</v>
      </c>
      <c r="R271" s="8">
        <f>IFERROR(Q271/Q444, "NA")</f>
        <v>9.7236072463902489E-3</v>
      </c>
      <c r="S271" s="9"/>
      <c r="T271" s="7">
        <v>1234.08</v>
      </c>
      <c r="U271" s="8">
        <f>IFERROR(T271/T444, "NA")</f>
        <v>7.0000275104802161E-3</v>
      </c>
      <c r="V271" s="9"/>
      <c r="W271" s="10">
        <f>IFERROR(-(Q271-T271), "NA")</f>
        <v>-611.54</v>
      </c>
      <c r="X271" s="8">
        <f>IFERROR(W271/W444, "NA")</f>
        <v>-4.5260000399653361E-2</v>
      </c>
      <c r="Y271" s="9"/>
      <c r="Z271" s="7">
        <v>1819.96</v>
      </c>
      <c r="AA271" s="8">
        <f>IFERROR(Z271/Z444, "NA")</f>
        <v>1.1438501055821991E-2</v>
      </c>
      <c r="AB271" s="9"/>
      <c r="AC271" s="10">
        <f>IFERROR(-(Q271-Z271), "NA")</f>
        <v>-25.659999999999854</v>
      </c>
      <c r="AD271" s="8">
        <f>IFERROR(AC271/AC444, "NA")</f>
        <v>-8.3583334147667779E-4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1262.5</v>
      </c>
      <c r="C273" s="15">
        <f>IFERROR(B273/B444, "NA")</f>
        <v>1.338563609390917E-2</v>
      </c>
      <c r="D273" s="2"/>
      <c r="E273" s="14">
        <f>IFERROR(E269+E270+E271+E272, "NA")</f>
        <v>911.66</v>
      </c>
      <c r="F273" s="15">
        <f>IFERROR(E273/E444, "NA")</f>
        <v>9.2183148864571681E-3</v>
      </c>
      <c r="G273" s="2"/>
      <c r="H273" s="14">
        <f>IFERROR(-(B273-E273), "NA")</f>
        <v>-350.84000000000003</v>
      </c>
      <c r="I273" s="15">
        <f>IFERROR(H273/H444, "NA")</f>
        <v>7.6618010604750278E-2</v>
      </c>
      <c r="J273" s="2"/>
      <c r="K273" s="14">
        <f>IFERROR(K269+K270+K271+K272, "NA")</f>
        <v>1183.6600000000001</v>
      </c>
      <c r="L273" s="15">
        <f>IFERROR(K273/K444, "NA")</f>
        <v>1.3536557430874254E-2</v>
      </c>
      <c r="M273" s="2"/>
      <c r="N273" s="14">
        <f>IFERROR(-(B273-K273), "NA")</f>
        <v>-78.839999999999918</v>
      </c>
      <c r="O273" s="15">
        <f>IFERROR(N273/N444, "NA")</f>
        <v>-1.1466318779369327E-2</v>
      </c>
      <c r="P273" s="2"/>
      <c r="Q273" s="14">
        <f>IFERROR(Q269+Q270+Q271+Q272, "NA")</f>
        <v>2284.0099999999998</v>
      </c>
      <c r="R273" s="15">
        <f>IFERROR(Q273/Q444, "NA")</f>
        <v>1.2033255050783906E-2</v>
      </c>
      <c r="S273" s="2"/>
      <c r="T273" s="14">
        <f>IFERROR(T269+T270+T271+T272, "NA")</f>
        <v>1649.76</v>
      </c>
      <c r="U273" s="15">
        <f>IFERROR(T273/T444, "NA")</f>
        <v>9.357874194290355E-3</v>
      </c>
      <c r="V273" s="2"/>
      <c r="W273" s="14">
        <f>IFERROR(-(Q273-T273), "NA")</f>
        <v>-634.24999999999977</v>
      </c>
      <c r="X273" s="15">
        <f>IFERROR(W273/W444, "NA")</f>
        <v>-4.6940764714458801E-2</v>
      </c>
      <c r="Y273" s="2"/>
      <c r="Z273" s="14">
        <f>IFERROR(Z269+Z270+Z271+Z272, "NA")</f>
        <v>2237.12</v>
      </c>
      <c r="AA273" s="15">
        <f>IFERROR(Z273/Z444, "NA")</f>
        <v>1.4060363679421796E-2</v>
      </c>
      <c r="AB273" s="2"/>
      <c r="AC273" s="14">
        <f>IFERROR(-(Q273-Z273), "NA")</f>
        <v>-46.889999999999873</v>
      </c>
      <c r="AD273" s="15">
        <f>IFERROR(AC273/AC444, "NA")</f>
        <v>-1.5273665386532165E-3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3.6098308738621953E-3</v>
      </c>
      <c r="G287" s="9"/>
      <c r="H287" s="10">
        <f t="shared" si="72"/>
        <v>357</v>
      </c>
      <c r="I287" s="8">
        <f>IFERROR(H287/H444, "NA")</f>
        <v>-7.7963258995256662E-2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714</v>
      </c>
      <c r="U287" s="8">
        <f>IFERROR(T287/T444, "NA")</f>
        <v>4.0499964690156832E-3</v>
      </c>
      <c r="V287" s="9"/>
      <c r="W287" s="10">
        <f t="shared" si="74"/>
        <v>714</v>
      </c>
      <c r="X287" s="8">
        <f>IFERROR(W287/W444, "NA")</f>
        <v>5.2843052433777842E-2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158.35</v>
      </c>
      <c r="C288" s="8">
        <f>IFERROR(B288/B444, "NA")</f>
        <v>1.6789033469073401E-3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-158.35</v>
      </c>
      <c r="I288" s="8">
        <f>IFERROR(H288/H444, "NA")</f>
        <v>3.4581182246215383E-2</v>
      </c>
      <c r="J288" s="9"/>
      <c r="K288" s="7">
        <v>158.35</v>
      </c>
      <c r="L288" s="8">
        <f>IFERROR(K288/K444, "NA")</f>
        <v>1.8109202551230402E-3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316.68</v>
      </c>
      <c r="R288" s="8">
        <f>IFERROR(Q288/Q444, "NA")</f>
        <v>1.6684214208704199E-3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-316.68</v>
      </c>
      <c r="X288" s="8">
        <f>IFERROR(W288/W444, "NA")</f>
        <v>-2.3437447961804997E-2</v>
      </c>
      <c r="Y288" s="9"/>
      <c r="Z288" s="7">
        <v>316.68</v>
      </c>
      <c r="AA288" s="8">
        <f>IFERROR(Z288/Z444, "NA")</f>
        <v>1.9903429275136314E-3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208.48</v>
      </c>
      <c r="C289" s="8">
        <f>IFERROR(B289/B444, "NA")</f>
        <v>2.2104058715708384E-3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-208.48</v>
      </c>
      <c r="I289" s="8">
        <f>IFERROR(H289/H444, "NA")</f>
        <v>4.5528796177398058E-2</v>
      </c>
      <c r="J289" s="9"/>
      <c r="K289" s="7">
        <v>198.68</v>
      </c>
      <c r="L289" s="8">
        <f>IFERROR(K289/K444, "NA")</f>
        <v>2.2721416879560824E-3</v>
      </c>
      <c r="M289" s="9"/>
      <c r="N289" s="10">
        <f t="shared" si="73"/>
        <v>-9.7999999999999829</v>
      </c>
      <c r="O289" s="8">
        <f>IFERROR(N289/N444, "NA")</f>
        <v>-1.4252907665882714E-3</v>
      </c>
      <c r="P289" s="9"/>
      <c r="Q289" s="7">
        <v>414.21</v>
      </c>
      <c r="R289" s="8">
        <f>IFERROR(Q289/Q444, "NA")</f>
        <v>2.1822560210267039E-3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-414.21</v>
      </c>
      <c r="X289" s="8">
        <f>IFERROR(W289/W444, "NA")</f>
        <v>-3.065563130055339E-2</v>
      </c>
      <c r="Y289" s="9"/>
      <c r="Z289" s="7">
        <v>397.36</v>
      </c>
      <c r="AA289" s="8">
        <f>IFERROR(Z289/Z444, "NA")</f>
        <v>2.4974190529140346E-3</v>
      </c>
      <c r="AB289" s="9"/>
      <c r="AC289" s="10">
        <f t="shared" si="75"/>
        <v>-16.849999999999966</v>
      </c>
      <c r="AD289" s="8">
        <f>IFERROR(AC289/AC444, "NA")</f>
        <v>-5.4886172267662014E-4</v>
      </c>
    </row>
    <row r="290" spans="1:30" ht="16.5" hidden="1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0</v>
      </c>
      <c r="R290" s="8">
        <f>IFERROR(Q290/Q444, "NA")</f>
        <v>0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0</v>
      </c>
      <c r="X290" s="8">
        <f>IFERROR(W290/W444, "NA")</f>
        <v>0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0</v>
      </c>
      <c r="AD290" s="8">
        <f>IFERROR(AC290/AC444, "NA")</f>
        <v>0</v>
      </c>
    </row>
    <row r="291" spans="1:30" ht="16.5" customHeight="1" x14ac:dyDescent="0.45">
      <c r="A291" s="6" t="s">
        <v>264</v>
      </c>
      <c r="B291" s="7">
        <v>115.89</v>
      </c>
      <c r="C291" s="8">
        <f>IFERROR(B291/B444, "NA")</f>
        <v>1.228721874790601E-3</v>
      </c>
      <c r="D291" s="9"/>
      <c r="E291" s="7">
        <v>988.97</v>
      </c>
      <c r="F291" s="8">
        <f>IFERROR(E291/E444, "NA")</f>
        <v>1.0000040446284301E-2</v>
      </c>
      <c r="G291" s="9"/>
      <c r="H291" s="10">
        <f t="shared" si="72"/>
        <v>873.08</v>
      </c>
      <c r="I291" s="8">
        <f>IFERROR(H291/H444, "NA")</f>
        <v>-0.19066712090638288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-115.89</v>
      </c>
      <c r="O291" s="8">
        <f>IFERROR(N291/N444, "NA")</f>
        <v>-1.6854790504072965E-2</v>
      </c>
      <c r="P291" s="9"/>
      <c r="Q291" s="7">
        <v>115.89</v>
      </c>
      <c r="R291" s="8">
        <f>IFERROR(Q291/Q444, "NA")</f>
        <v>6.1056384509496325E-4</v>
      </c>
      <c r="S291" s="9"/>
      <c r="T291" s="7">
        <v>1762.97</v>
      </c>
      <c r="U291" s="8">
        <f>IFERROR(T291/T444, "NA")</f>
        <v>1.0000031197451792E-2</v>
      </c>
      <c r="V291" s="9"/>
      <c r="W291" s="10">
        <f t="shared" si="74"/>
        <v>1647.08</v>
      </c>
      <c r="X291" s="8">
        <f>IFERROR(W291/W444, "NA")</f>
        <v>0.12190018879919721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-115.89</v>
      </c>
      <c r="AD291" s="8">
        <f>IFERROR(AC291/AC444, "NA")</f>
        <v>-3.774930862966981E-3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3.4458073113033507E-3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7.0974955667950743E-2</v>
      </c>
      <c r="J294" s="9"/>
      <c r="K294" s="7">
        <v>124.25</v>
      </c>
      <c r="L294" s="8">
        <f>IFERROR(K294/K444, "NA")</f>
        <v>1.4209462690182365E-3</v>
      </c>
      <c r="M294" s="9"/>
      <c r="N294" s="10">
        <f t="shared" si="73"/>
        <v>-200.75</v>
      </c>
      <c r="O294" s="8">
        <f>IFERROR(N294/N444, "NA")</f>
        <v>-2.9196645040060816E-2</v>
      </c>
      <c r="P294" s="9"/>
      <c r="Q294" s="7">
        <v>649.99</v>
      </c>
      <c r="R294" s="8">
        <f>IFERROR(Q294/Q444, "NA")</f>
        <v>3.4244576207893276E-3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-649.99</v>
      </c>
      <c r="X294" s="8">
        <f>IFERROR(W294/W444, "NA")</f>
        <v>-4.8105680184077397E-2</v>
      </c>
      <c r="Y294" s="9"/>
      <c r="Z294" s="7">
        <v>248.5</v>
      </c>
      <c r="AA294" s="8">
        <f>IFERROR(Z294/Z444, "NA")</f>
        <v>1.5618296623946487E-3</v>
      </c>
      <c r="AB294" s="9"/>
      <c r="AC294" s="10">
        <f t="shared" si="75"/>
        <v>-401.49</v>
      </c>
      <c r="AD294" s="8">
        <f>IFERROR(AC294/AC444, "NA")</f>
        <v>-1.3077892761865677E-2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807.72</v>
      </c>
      <c r="C295" s="15">
        <f>IFERROR(B295/B444, "NA")</f>
        <v>8.56383840457213E-3</v>
      </c>
      <c r="D295" s="2"/>
      <c r="E295" s="14">
        <f>IFERROR(E286+E287+E288+E289+E290+E291+E292+E293+E294, "NA")</f>
        <v>1345.97</v>
      </c>
      <c r="F295" s="15">
        <f>IFERROR(E295/E444, "NA")</f>
        <v>1.3609871320146495E-2</v>
      </c>
      <c r="G295" s="2"/>
      <c r="H295" s="14">
        <f t="shared" si="72"/>
        <v>538.25</v>
      </c>
      <c r="I295" s="15">
        <f>IFERROR(H295/H444, "NA")</f>
        <v>-0.11754544581007534</v>
      </c>
      <c r="J295" s="2"/>
      <c r="K295" s="14">
        <f>IFERROR(K286+K287+K288+K289+K290+K291+K292+K293+K294, "NA")</f>
        <v>481.28</v>
      </c>
      <c r="L295" s="15">
        <f>IFERROR(K295/K444, "NA")</f>
        <v>5.5040082120973591E-3</v>
      </c>
      <c r="M295" s="2"/>
      <c r="N295" s="14">
        <f t="shared" si="73"/>
        <v>-326.44000000000005</v>
      </c>
      <c r="O295" s="15">
        <f>IFERROR(N295/N444, "NA")</f>
        <v>-4.7476726310722063E-2</v>
      </c>
      <c r="P295" s="2"/>
      <c r="Q295" s="14">
        <f>IFERROR(Q286+Q287+Q288+Q289+Q290+Q291+Q292+Q293+Q294, "NA")</f>
        <v>1496.77</v>
      </c>
      <c r="R295" s="15">
        <f>IFERROR(Q295/Q444, "NA")</f>
        <v>7.8856989077814143E-3</v>
      </c>
      <c r="S295" s="2"/>
      <c r="T295" s="14">
        <f>IFERROR(T286+T287+T288+T289+T290+T291+T292+T293+T294, "NA")</f>
        <v>2476.9700000000003</v>
      </c>
      <c r="U295" s="15">
        <f>IFERROR(T295/T444, "NA")</f>
        <v>1.4050027666467476E-2</v>
      </c>
      <c r="V295" s="2"/>
      <c r="W295" s="14">
        <f t="shared" si="74"/>
        <v>980.20000000000027</v>
      </c>
      <c r="X295" s="15">
        <f>IFERROR(W295/W444, "NA")</f>
        <v>7.25444817865393E-2</v>
      </c>
      <c r="Y295" s="2"/>
      <c r="Z295" s="14">
        <f>IFERROR(Z286+Z287+Z288+Z289+Z290+Z291+Z292+Z293+Z294, "NA")</f>
        <v>962.54</v>
      </c>
      <c r="AA295" s="15">
        <f>IFERROR(Z295/Z444, "NA")</f>
        <v>6.0495916428223145E-3</v>
      </c>
      <c r="AB295" s="2"/>
      <c r="AC295" s="14">
        <f t="shared" si="75"/>
        <v>-534.23</v>
      </c>
      <c r="AD295" s="15">
        <f>IFERROR(AC295/AC444, "NA")</f>
        <v>-1.7401685347509278E-2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1285.6600000000001</v>
      </c>
      <c r="F297" s="8">
        <f>IFERROR(E297/E444, "NA")</f>
        <v>1.3000042468598516E-2</v>
      </c>
      <c r="G297" s="9"/>
      <c r="H297" s="10">
        <f t="shared" ref="H297:H325" si="76">IFERROR(-(B297-E297), "NA")</f>
        <v>1285.6600000000001</v>
      </c>
      <c r="I297" s="8">
        <f>IFERROR(H297/H444, "NA")</f>
        <v>-0.28076818924325403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2291.86</v>
      </c>
      <c r="U297" s="8">
        <f>IFERROR(T297/T444, "NA")</f>
        <v>1.3000034884423367E-2</v>
      </c>
      <c r="V297" s="9"/>
      <c r="W297" s="10">
        <f t="shared" ref="W297:W325" si="78">IFERROR(-(Q297-T297), "NA")</f>
        <v>2291.86</v>
      </c>
      <c r="X297" s="8">
        <f>IFERROR(W297/W444, "NA")</f>
        <v>0.16962027752223824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4.9746855091185602E-3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0.10246599753662304</v>
      </c>
      <c r="J299" s="9"/>
      <c r="K299" s="7">
        <v>183.75</v>
      </c>
      <c r="L299" s="8">
        <f>IFERROR(K299/K444, "NA")</f>
        <v>2.101399411928378E-3</v>
      </c>
      <c r="M299" s="9"/>
      <c r="N299" s="10">
        <f t="shared" si="77"/>
        <v>-285.45</v>
      </c>
      <c r="O299" s="8">
        <f>IFERROR(N299/N444, "NA")</f>
        <v>-4.1515229522716614E-2</v>
      </c>
      <c r="P299" s="9"/>
      <c r="Q299" s="7">
        <v>938.4</v>
      </c>
      <c r="R299" s="8">
        <f>IFERROR(Q299/Q444, "NA")</f>
        <v>4.9439391857547116E-3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-938.4</v>
      </c>
      <c r="X299" s="8">
        <f>IFERROR(W299/W444, "NA")</f>
        <v>-6.9450868912965161E-2</v>
      </c>
      <c r="Y299" s="9"/>
      <c r="Z299" s="7">
        <v>367.5</v>
      </c>
      <c r="AA299" s="8">
        <f>IFERROR(Z299/Z444, "NA")</f>
        <v>2.3097480922737762E-3</v>
      </c>
      <c r="AB299" s="9"/>
      <c r="AC299" s="10">
        <f t="shared" si="79"/>
        <v>-570.9</v>
      </c>
      <c r="AD299" s="8">
        <f>IFERROR(AC299/AC444, "NA")</f>
        <v>-1.8596151778996026E-2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19.02</v>
      </c>
      <c r="L310" s="8">
        <f>IFERROR(K310/K444, "NA")</f>
        <v>2.1751628198572924E-4</v>
      </c>
      <c r="M310" s="9"/>
      <c r="N310" s="10">
        <f t="shared" si="77"/>
        <v>19.02</v>
      </c>
      <c r="O310" s="8">
        <f>IFERROR(N310/N444, "NA")</f>
        <v>2.7662275898478542E-3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37.630000000000003</v>
      </c>
      <c r="AA310" s="8">
        <f>IFERROR(Z310/Z444, "NA")</f>
        <v>2.3650563459118968E-4</v>
      </c>
      <c r="AB310" s="9"/>
      <c r="AC310" s="10">
        <f t="shared" si="79"/>
        <v>37.630000000000003</v>
      </c>
      <c r="AD310" s="8">
        <f>IFERROR(AC310/AC444, "NA")</f>
        <v>1.2257368916511132E-3</v>
      </c>
    </row>
    <row r="311" spans="1:30" ht="16.5" customHeight="1" x14ac:dyDescent="0.45">
      <c r="A311" s="6" t="s">
        <v>283</v>
      </c>
      <c r="B311" s="7">
        <v>26.7</v>
      </c>
      <c r="C311" s="8">
        <f>IFERROR(B311/B444, "NA")</f>
        <v>2.8308632372861373E-4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-26.7</v>
      </c>
      <c r="I311" s="8">
        <f>IFERROR(H311/H444, "NA")</f>
        <v>5.830865588720876E-3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-26.7</v>
      </c>
      <c r="O311" s="8">
        <f>IFERROR(N311/N444, "NA")</f>
        <v>-3.8831901497864197E-3</v>
      </c>
      <c r="P311" s="9"/>
      <c r="Q311" s="7">
        <v>26.7</v>
      </c>
      <c r="R311" s="8">
        <f>IFERROR(Q311/Q444, "NA")</f>
        <v>1.4066834639775232E-4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-1.9760637254648016E-3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-8.6970967332141162E-4</v>
      </c>
    </row>
    <row r="312" spans="1:30" ht="16.5" customHeight="1" x14ac:dyDescent="0.45">
      <c r="A312" s="6" t="s">
        <v>284</v>
      </c>
      <c r="B312" s="7">
        <v>314.57</v>
      </c>
      <c r="C312" s="8">
        <f>IFERROR(B312/B444, "NA")</f>
        <v>3.3352234028205998E-3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-314.57</v>
      </c>
      <c r="I312" s="8">
        <f>IFERROR(H312/H444, "NA")</f>
        <v>6.8697205552206972E-2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-314.57</v>
      </c>
      <c r="O312" s="8">
        <f>IFERROR(N312/N444, "NA")</f>
        <v>-4.5750379229150338E-2</v>
      </c>
      <c r="P312" s="9"/>
      <c r="Q312" s="7">
        <v>491.22</v>
      </c>
      <c r="R312" s="8">
        <f>IFERROR(Q312/Q444, "NA")</f>
        <v>2.5879814650750527E-3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-491.22</v>
      </c>
      <c r="X312" s="8">
        <f>IFERROR(W312/W444, "NA")</f>
        <v>-3.6355131955910863E-2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-491.22</v>
      </c>
      <c r="AD312" s="8">
        <f>IFERROR(AC312/AC444, "NA")</f>
        <v>-1.6000703585353701E-2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14</v>
      </c>
      <c r="R313" s="8">
        <f>IFERROR(Q313/Q444, "NA")</f>
        <v>7.3758683504439429E-5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-14</v>
      </c>
      <c r="X313" s="8">
        <f>IFERROR(W313/W444, "NA")</f>
        <v>-1.0361382830152519E-3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-14</v>
      </c>
      <c r="AD313" s="8">
        <f>IFERROR(AC313/AC444, "NA")</f>
        <v>-4.5602754406366154E-4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4.7423268342895505E-3</v>
      </c>
      <c r="G318" s="9"/>
      <c r="H318" s="10">
        <f t="shared" si="76"/>
        <v>469</v>
      </c>
      <c r="I318" s="8">
        <f>IFERROR(H318/H444, "NA")</f>
        <v>-0.10242232064082737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938</v>
      </c>
      <c r="U318" s="8">
        <f>IFERROR(T318/T444, "NA")</f>
        <v>5.3205835965500154E-3</v>
      </c>
      <c r="V318" s="9"/>
      <c r="W318" s="10">
        <f t="shared" si="78"/>
        <v>938</v>
      </c>
      <c r="X318" s="8">
        <f>IFERROR(W318/W444, "NA")</f>
        <v>6.9421264962021875E-2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245.88</v>
      </c>
      <c r="C319" s="8">
        <f>IFERROR(B319/B444, "NA")</f>
        <v>2.6069387744715932E-3</v>
      </c>
      <c r="D319" s="9"/>
      <c r="E319" s="7">
        <v>232</v>
      </c>
      <c r="F319" s="8">
        <f>IFERROR(E319/E444, "NA")</f>
        <v>2.3458844894566648E-3</v>
      </c>
      <c r="G319" s="9"/>
      <c r="H319" s="10">
        <f t="shared" si="76"/>
        <v>-13.879999999999995</v>
      </c>
      <c r="I319" s="8">
        <f>IFERROR(H319/H444, "NA")</f>
        <v>3.0311765682189415E-3</v>
      </c>
      <c r="J319" s="9"/>
      <c r="K319" s="7">
        <v>216.3</v>
      </c>
      <c r="L319" s="8">
        <f>IFERROR(K319/K444, "NA")</f>
        <v>2.473647307755691E-3</v>
      </c>
      <c r="M319" s="9"/>
      <c r="N319" s="10">
        <f t="shared" si="77"/>
        <v>-29.579999999999984</v>
      </c>
      <c r="O319" s="8">
        <f>IFERROR(N319/N444, "NA")</f>
        <v>-4.3020511097633801E-3</v>
      </c>
      <c r="P319" s="9"/>
      <c r="Q319" s="7">
        <v>491.7</v>
      </c>
      <c r="R319" s="8">
        <f>IFERROR(Q319/Q444, "NA")</f>
        <v>2.5905103342237761E-3</v>
      </c>
      <c r="S319" s="9"/>
      <c r="T319" s="7">
        <v>464</v>
      </c>
      <c r="U319" s="8">
        <f>IFERROR(T319/T444, "NA")</f>
        <v>2.6319304784639735E-3</v>
      </c>
      <c r="V319" s="9"/>
      <c r="W319" s="10">
        <f t="shared" si="78"/>
        <v>-27.699999999999989</v>
      </c>
      <c r="X319" s="8">
        <f>IFERROR(W319/W444, "NA")</f>
        <v>-2.0500736028230332E-3</v>
      </c>
      <c r="Y319" s="9"/>
      <c r="Z319" s="7">
        <v>432.62</v>
      </c>
      <c r="AA319" s="8">
        <f>IFERROR(Z319/Z444, "NA")</f>
        <v>2.7190291691958669E-3</v>
      </c>
      <c r="AB319" s="9"/>
      <c r="AC319" s="10">
        <f t="shared" si="79"/>
        <v>-59.079999999999984</v>
      </c>
      <c r="AD319" s="8">
        <f>IFERROR(AC319/AC444, "NA")</f>
        <v>-1.9244362359486511E-3</v>
      </c>
    </row>
    <row r="320" spans="1:30" ht="16.5" customHeight="1" x14ac:dyDescent="0.45">
      <c r="A320" s="6" t="s">
        <v>292</v>
      </c>
      <c r="B320" s="7">
        <v>1081.07</v>
      </c>
      <c r="C320" s="8">
        <f>IFERROR(B320/B444, "NA")</f>
        <v>1.1462027415479116E-2</v>
      </c>
      <c r="D320" s="9"/>
      <c r="E320" s="7">
        <v>905</v>
      </c>
      <c r="F320" s="8">
        <f>IFERROR(E320/E444, "NA")</f>
        <v>9.1509718230960418E-3</v>
      </c>
      <c r="G320" s="9"/>
      <c r="H320" s="10">
        <f t="shared" si="76"/>
        <v>-176.06999999999994</v>
      </c>
      <c r="I320" s="8">
        <f>IFERROR(H320/H444, "NA")</f>
        <v>3.8450955213711023E-2</v>
      </c>
      <c r="J320" s="9"/>
      <c r="K320" s="7">
        <v>929.4</v>
      </c>
      <c r="L320" s="8">
        <f>IFERROR(K320/K444, "NA")</f>
        <v>1.0628792454129166E-2</v>
      </c>
      <c r="M320" s="9"/>
      <c r="N320" s="10">
        <f t="shared" si="77"/>
        <v>-151.66999999999996</v>
      </c>
      <c r="O320" s="8">
        <f>IFERROR(N320/N444, "NA")</f>
        <v>-2.2058556180453413E-2</v>
      </c>
      <c r="P320" s="9"/>
      <c r="Q320" s="7">
        <v>2162.14</v>
      </c>
      <c r="R320" s="8">
        <f>IFERROR(Q320/Q444, "NA")</f>
        <v>1.1391185710877761E-2</v>
      </c>
      <c r="S320" s="9"/>
      <c r="T320" s="7">
        <v>1810</v>
      </c>
      <c r="U320" s="8">
        <f>IFERROR(T320/T444, "NA")</f>
        <v>1.026679777159438E-2</v>
      </c>
      <c r="V320" s="9"/>
      <c r="W320" s="10">
        <f t="shared" si="78"/>
        <v>-352.13999999999987</v>
      </c>
      <c r="X320" s="8">
        <f>IFERROR(W320/W444, "NA")</f>
        <v>-2.6061838212927905E-2</v>
      </c>
      <c r="Y320" s="9"/>
      <c r="Z320" s="7">
        <v>1907.12</v>
      </c>
      <c r="AA320" s="8">
        <f>IFERROR(Z320/Z444, "NA")</f>
        <v>1.1986304167992283E-2</v>
      </c>
      <c r="AB320" s="9"/>
      <c r="AC320" s="10">
        <f t="shared" si="79"/>
        <v>-255.01999999999998</v>
      </c>
      <c r="AD320" s="8">
        <f>IFERROR(AC320/AC444, "NA")</f>
        <v>-8.3068674490796388E-3</v>
      </c>
    </row>
    <row r="321" spans="1:30" ht="16.5" customHeight="1" x14ac:dyDescent="0.45">
      <c r="A321" s="6" t="s">
        <v>293</v>
      </c>
      <c r="B321" s="7">
        <v>2681.32</v>
      </c>
      <c r="C321" s="8">
        <f>IFERROR(B321/B444, "NA")</f>
        <v>2.8428652492135078E-2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-2681.32</v>
      </c>
      <c r="I321" s="8">
        <f>IFERROR(H321/H444, "NA")</f>
        <v>0.58555867117412208</v>
      </c>
      <c r="J321" s="9"/>
      <c r="K321" s="7">
        <v>2634.86</v>
      </c>
      <c r="L321" s="8">
        <f>IFERROR(K321/K444, "NA")</f>
        <v>3.0132752405516224E-2</v>
      </c>
      <c r="M321" s="9"/>
      <c r="N321" s="10">
        <f t="shared" si="77"/>
        <v>-46.460000000000036</v>
      </c>
      <c r="O321" s="8">
        <f>IFERROR(N321/N444, "NA")</f>
        <v>-6.7570417362950268E-3</v>
      </c>
      <c r="P321" s="9"/>
      <c r="Q321" s="7">
        <v>6595.74</v>
      </c>
      <c r="R321" s="8">
        <f>IFERROR(Q321/Q444, "NA")</f>
        <v>3.4749507081255092E-2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-6595.74</v>
      </c>
      <c r="X321" s="8">
        <f>IFERROR(W321/W444, "NA")</f>
        <v>-0.48814990848678691</v>
      </c>
      <c r="Y321" s="9"/>
      <c r="Z321" s="7">
        <v>5029.41</v>
      </c>
      <c r="AA321" s="8">
        <f>IFERROR(Z321/Z444, "NA")</f>
        <v>3.1609986810238508E-2</v>
      </c>
      <c r="AB321" s="9"/>
      <c r="AC321" s="10">
        <f t="shared" si="79"/>
        <v>-1566.33</v>
      </c>
      <c r="AD321" s="8">
        <f>IFERROR(AC321/AC444, "NA")</f>
        <v>-5.1020687363802497E-2</v>
      </c>
    </row>
    <row r="322" spans="1:30" ht="16.5" customHeight="1" x14ac:dyDescent="0.45">
      <c r="A322" s="6" t="s">
        <v>294</v>
      </c>
      <c r="B322" s="7">
        <v>269.2</v>
      </c>
      <c r="C322" s="8">
        <f>IFERROR(B322/B444, "NA")</f>
        <v>2.8541887021626519E-3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-269.2</v>
      </c>
      <c r="I322" s="8">
        <f>IFERROR(H322/H444, "NA")</f>
        <v>5.8789101740961039E-2</v>
      </c>
      <c r="J322" s="9"/>
      <c r="K322" s="7">
        <v>252.08</v>
      </c>
      <c r="L322" s="8">
        <f>IFERROR(K322/K444, "NA")</f>
        <v>2.8828340884838395E-3</v>
      </c>
      <c r="M322" s="9"/>
      <c r="N322" s="10">
        <f t="shared" si="77"/>
        <v>-17.119999999999976</v>
      </c>
      <c r="O322" s="8">
        <f>IFERROR(N322/N444, "NA")</f>
        <v>-2.489895706529716E-3</v>
      </c>
      <c r="P322" s="9"/>
      <c r="Q322" s="7">
        <v>538.4</v>
      </c>
      <c r="R322" s="8">
        <f>IFERROR(Q322/Q444, "NA")</f>
        <v>2.8365482284850134E-3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-538.4</v>
      </c>
      <c r="X322" s="8">
        <f>IFERROR(W322/W444, "NA")</f>
        <v>-3.9846917969672255E-2</v>
      </c>
      <c r="Y322" s="9"/>
      <c r="Z322" s="7">
        <v>460.41</v>
      </c>
      <c r="AA322" s="8">
        <f>IFERROR(Z322/Z444, "NA")</f>
        <v>2.8936901201735222E-3</v>
      </c>
      <c r="AB322" s="9"/>
      <c r="AC322" s="10">
        <f t="shared" si="79"/>
        <v>-77.989999999999952</v>
      </c>
      <c r="AD322" s="8">
        <f>IFERROR(AC322/AC444, "NA")</f>
        <v>-2.5403991543946386E-3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5087.9399999999996</v>
      </c>
      <c r="C324" s="15">
        <f>IFERROR(B324/B444, "NA")</f>
        <v>5.3944802619916209E-2</v>
      </c>
      <c r="D324" s="2"/>
      <c r="E324" s="14">
        <f>IFERROR(E297+E298+E299+E300+E301+E302+E303+E304+E305+E306+E307+E308+E309+E310+E311+E312+E313+E314+E315+E316+E317+E318+E319+E320+E321+E322+E323, "NA")</f>
        <v>2891.66</v>
      </c>
      <c r="F324" s="15">
        <f>IFERROR(E324/E444, "NA")</f>
        <v>2.9239225615440772E-2</v>
      </c>
      <c r="G324" s="2"/>
      <c r="H324" s="14">
        <f t="shared" si="76"/>
        <v>-2196.2799999999997</v>
      </c>
      <c r="I324" s="15">
        <f>IFERROR(H324/H444, "NA")</f>
        <v>0.47963346349048258</v>
      </c>
      <c r="J324" s="2"/>
      <c r="K324" s="14">
        <f>IFERROR(K297+K298+K299+K300+K301+K302+K303+K304+K305+K306+K307+K308+K309+K310+K311+K312+K313+K314+K315+K316+K317+K318+K319+K320+K321+K322+K323, "NA")</f>
        <v>4235.41</v>
      </c>
      <c r="L324" s="15">
        <f>IFERROR(K324/K444, "NA")</f>
        <v>4.8436941949799028E-2</v>
      </c>
      <c r="M324" s="2"/>
      <c r="N324" s="14">
        <f t="shared" si="77"/>
        <v>-852.52999999999975</v>
      </c>
      <c r="O324" s="15">
        <f>IFERROR(N324/N444, "NA")</f>
        <v>-0.12399011604484703</v>
      </c>
      <c r="P324" s="2"/>
      <c r="Q324" s="14">
        <f>IFERROR(Q297+Q298+Q299+Q300+Q301+Q302+Q303+Q304+Q305+Q306+Q307+Q308+Q309+Q310+Q311+Q312+Q313+Q314+Q315+Q316+Q317+Q318+Q319+Q320+Q321+Q322+Q323, "NA")</f>
        <v>11258.3</v>
      </c>
      <c r="R324" s="15">
        <f>IFERROR(Q324/Q444, "NA")</f>
        <v>5.9314099035573595E-2</v>
      </c>
      <c r="S324" s="2"/>
      <c r="T324" s="14">
        <f>IFERROR(T297+T298+T299+T300+T301+T302+T303+T304+T305+T306+T307+T308+T309+T310+T311+T312+T313+T314+T315+T316+T317+T318+T319+T320+T321+T322+T323, "NA")</f>
        <v>5503.8600000000006</v>
      </c>
      <c r="U324" s="15">
        <f>IFERROR(T324/T444, "NA")</f>
        <v>3.1219346731031737E-2</v>
      </c>
      <c r="V324" s="2"/>
      <c r="W324" s="14">
        <f t="shared" si="78"/>
        <v>-5754.4399999999987</v>
      </c>
      <c r="X324" s="15">
        <f>IFERROR(W324/W444, "NA")</f>
        <v>-0.42588539866530606</v>
      </c>
      <c r="Y324" s="2"/>
      <c r="Z324" s="14">
        <f>IFERROR(Z297+Z298+Z299+Z300+Z301+Z302+Z303+Z304+Z305+Z306+Z307+Z308+Z309+Z310+Z311+Z312+Z313+Z314+Z315+Z316+Z317+Z318+Z319+Z320+Z321+Z322+Z323, "NA")</f>
        <v>8234.69</v>
      </c>
      <c r="AA324" s="15">
        <f>IFERROR(Z324/Z444, "NA")</f>
        <v>5.1755263994465152E-2</v>
      </c>
      <c r="AB324" s="2"/>
      <c r="AC324" s="14">
        <f t="shared" si="79"/>
        <v>-3023.6099999999988</v>
      </c>
      <c r="AD324" s="15">
        <f>IFERROR(AC324/AC444, "NA")</f>
        <v>-9.8489245893309083E-2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25997.63</v>
      </c>
      <c r="C325" s="15">
        <f>IFERROR(B325/B444, "NA")</f>
        <v>0.27563945701710563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19580.36</v>
      </c>
      <c r="F325" s="15">
        <f>IFERROR(E325/E444, "NA")</f>
        <v>0.19798820181886939</v>
      </c>
      <c r="G325" s="2"/>
      <c r="H325" s="14">
        <f t="shared" si="76"/>
        <v>-6417.27</v>
      </c>
      <c r="I325" s="15">
        <f>IFERROR(H325/H444, "NA")</f>
        <v>1.4014321654131394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15973.02</v>
      </c>
      <c r="L325" s="15">
        <f>IFERROR(K325/K444, "NA")</f>
        <v>0.18267044808011004</v>
      </c>
      <c r="M325" s="2"/>
      <c r="N325" s="14">
        <f t="shared" si="77"/>
        <v>-10024.61</v>
      </c>
      <c r="O325" s="15">
        <f>IFERROR(N325/N444, "NA")</f>
        <v>-1.4579575583314774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51060.759999999995</v>
      </c>
      <c r="R325" s="15">
        <f>IFERROR(Q325/Q444, "NA")</f>
        <v>0.26901245973829574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35453.86</v>
      </c>
      <c r="U325" s="15">
        <f>IFERROR(T325/T444, "NA")</f>
        <v>0.20110365239912659</v>
      </c>
      <c r="V325" s="2"/>
      <c r="W325" s="14">
        <f t="shared" si="78"/>
        <v>-15606.899999999994</v>
      </c>
      <c r="X325" s="15">
        <f>IFERROR(W325/W444, "NA")</f>
        <v>-1.1550647549421948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29594.069999999996</v>
      </c>
      <c r="AA325" s="15">
        <f>IFERROR(Z325/Z444, "NA")</f>
        <v>0.18599958292548729</v>
      </c>
      <c r="AB325" s="2"/>
      <c r="AC325" s="14">
        <f t="shared" si="79"/>
        <v>-21466.69</v>
      </c>
      <c r="AD325" s="15">
        <f>IFERROR(AC325/AC444, "NA")</f>
        <v>-0.69924299427685443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0.20748838603898831</v>
      </c>
      <c r="D329" s="9"/>
      <c r="E329" s="7">
        <v>18062</v>
      </c>
      <c r="F329" s="8">
        <f>IFERROR(E329/E444, "NA")</f>
        <v>0.18263519676106155</v>
      </c>
      <c r="G329" s="9"/>
      <c r="H329" s="10">
        <f t="shared" si="80"/>
        <v>-1507.7900000000009</v>
      </c>
      <c r="I329" s="8">
        <f>IFERROR(H329/H444, "NA")</f>
        <v>0.32927793355870616</v>
      </c>
      <c r="J329" s="9"/>
      <c r="K329" s="7">
        <v>19092.48</v>
      </c>
      <c r="L329" s="8">
        <f>IFERROR(K329/K444, "NA")</f>
        <v>0.21834517683947927</v>
      </c>
      <c r="M329" s="9"/>
      <c r="N329" s="10">
        <f t="shared" si="81"/>
        <v>-477.31000000000131</v>
      </c>
      <c r="O329" s="8">
        <f>IFERROR(N329/N444, "NA")</f>
        <v>-6.9418932224515395E-2</v>
      </c>
      <c r="P329" s="9"/>
      <c r="Q329" s="7">
        <v>39139.58</v>
      </c>
      <c r="R329" s="8">
        <f>IFERROR(Q329/Q444, "NA")</f>
        <v>0.20620599240833482</v>
      </c>
      <c r="S329" s="9"/>
      <c r="T329" s="7">
        <v>36124</v>
      </c>
      <c r="U329" s="8">
        <f>IFERROR(T329/T444, "NA")</f>
        <v>0.20490486337075986</v>
      </c>
      <c r="V329" s="9"/>
      <c r="W329" s="10">
        <f t="shared" si="82"/>
        <v>-3015.5800000000017</v>
      </c>
      <c r="X329" s="8">
        <f>IFERROR(W329/W444, "NA")</f>
        <v>-0.22318270596393822</v>
      </c>
      <c r="Y329" s="9"/>
      <c r="Z329" s="7">
        <v>38184.959999999999</v>
      </c>
      <c r="AA329" s="8">
        <f>IFERROR(Z329/Z444, "NA")</f>
        <v>0.23999357418653183</v>
      </c>
      <c r="AB329" s="9"/>
      <c r="AC329" s="10">
        <f t="shared" si="83"/>
        <v>-954.62000000000262</v>
      </c>
      <c r="AD329" s="8">
        <f>IFERROR(AC329/AC444, "NA")</f>
        <v>-3.1095215293860983E-2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6.9818417617426749E-3</v>
      </c>
      <c r="D330" s="9"/>
      <c r="E330" s="7">
        <v>659</v>
      </c>
      <c r="F330" s="8">
        <f>IFERROR(E330/E444, "NA")</f>
        <v>6.663525338585957E-3</v>
      </c>
      <c r="G330" s="9"/>
      <c r="H330" s="10">
        <f t="shared" si="80"/>
        <v>0.49000000000000909</v>
      </c>
      <c r="I330" s="8">
        <f>IFERROR(H330/H444, "NA")</f>
        <v>-1.0700839469937387E-4</v>
      </c>
      <c r="J330" s="9"/>
      <c r="K330" s="7">
        <v>684.38</v>
      </c>
      <c r="L330" s="8">
        <f>IFERROR(K330/K444, "NA")</f>
        <v>7.8266978478124805E-3</v>
      </c>
      <c r="M330" s="9"/>
      <c r="N330" s="10">
        <f t="shared" si="81"/>
        <v>25.870000000000005</v>
      </c>
      <c r="O330" s="8">
        <f>IFERROR(N330/N444, "NA")</f>
        <v>3.7624767481263931E-3</v>
      </c>
      <c r="P330" s="9"/>
      <c r="Q330" s="7">
        <v>1317.02</v>
      </c>
      <c r="R330" s="8">
        <f>IFERROR(Q330/Q444, "NA")</f>
        <v>6.938690096358344E-3</v>
      </c>
      <c r="S330" s="9"/>
      <c r="T330" s="7">
        <v>1318</v>
      </c>
      <c r="U330" s="8">
        <f>IFERROR(T330/T444, "NA")</f>
        <v>7.4760439021886145E-3</v>
      </c>
      <c r="V330" s="9"/>
      <c r="W330" s="10">
        <f t="shared" si="82"/>
        <v>0.98000000000001819</v>
      </c>
      <c r="X330" s="8">
        <f>IFERROR(W330/W444, "NA")</f>
        <v>7.2529679811068979E-5</v>
      </c>
      <c r="Y330" s="9"/>
      <c r="Z330" s="7">
        <v>1368.76</v>
      </c>
      <c r="AA330" s="8">
        <f>IFERROR(Z330/Z444, "NA")</f>
        <v>8.6026960511038208E-3</v>
      </c>
      <c r="AB330" s="9"/>
      <c r="AC330" s="10">
        <f t="shared" si="83"/>
        <v>51.740000000000009</v>
      </c>
      <c r="AD330" s="8">
        <f>IFERROR(AC330/AC444, "NA")</f>
        <v>1.6853475092752752E-3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9.0749841598888516E-3</v>
      </c>
      <c r="D333" s="9"/>
      <c r="E333" s="7">
        <v>761</v>
      </c>
      <c r="F333" s="8">
        <f>IFERROR(E333/E444, "NA")</f>
        <v>7.6949055882608699E-3</v>
      </c>
      <c r="G333" s="9"/>
      <c r="H333" s="10">
        <f t="shared" si="80"/>
        <v>-94.92999999999995</v>
      </c>
      <c r="I333" s="8">
        <f>IFERROR(H333/H444, "NA")</f>
        <v>2.0731238589410953E-2</v>
      </c>
      <c r="J333" s="9"/>
      <c r="K333" s="7">
        <v>682.43</v>
      </c>
      <c r="L333" s="8">
        <f>IFERROR(K333/K444, "NA")</f>
        <v>7.8043972826246687E-3</v>
      </c>
      <c r="M333" s="9"/>
      <c r="N333" s="10">
        <f t="shared" si="81"/>
        <v>-173.5</v>
      </c>
      <c r="O333" s="8">
        <f>IFERROR(N333/N444, "NA")</f>
        <v>-2.5233464081945461E-2</v>
      </c>
      <c r="P333" s="9"/>
      <c r="Q333" s="7">
        <v>1616.57</v>
      </c>
      <c r="R333" s="8">
        <f>IFERROR(Q333/Q444, "NA")</f>
        <v>8.5168624994836888E-3</v>
      </c>
      <c r="S333" s="9"/>
      <c r="T333" s="7">
        <v>1522</v>
      </c>
      <c r="U333" s="8">
        <f>IFERROR(T333/T444, "NA")</f>
        <v>8.6331857504788091E-3</v>
      </c>
      <c r="V333" s="9"/>
      <c r="W333" s="10">
        <f t="shared" si="82"/>
        <v>-94.569999999999936</v>
      </c>
      <c r="X333" s="8">
        <f>IFERROR(W333/W444, "NA")</f>
        <v>-6.9991141017680218E-3</v>
      </c>
      <c r="Y333" s="9"/>
      <c r="Z333" s="7">
        <v>1364.86</v>
      </c>
      <c r="AA333" s="8">
        <f>IFERROR(Z333/Z444, "NA")</f>
        <v>8.5781844386960161E-3</v>
      </c>
      <c r="AB333" s="9"/>
      <c r="AC333" s="10">
        <f t="shared" si="83"/>
        <v>-251.71000000000004</v>
      </c>
      <c r="AD333" s="8">
        <f>IFERROR(AC333/AC444, "NA")</f>
        <v>-8.1990495083045893E-3</v>
      </c>
    </row>
    <row r="334" spans="1:30" ht="16.5" customHeight="1" x14ac:dyDescent="0.45">
      <c r="A334" s="6" t="s">
        <v>305</v>
      </c>
      <c r="B334" s="7">
        <v>-1506.87</v>
      </c>
      <c r="C334" s="8">
        <f>IFERROR(B334/B444, "NA")</f>
        <v>-1.5976565117488243E-2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1506.87</v>
      </c>
      <c r="I334" s="8">
        <f>IFERROR(H334/H444, "NA")</f>
        <v>-0.32907701983804594</v>
      </c>
      <c r="J334" s="9"/>
      <c r="K334" s="7">
        <v>-1470.12</v>
      </c>
      <c r="L334" s="8">
        <f>IFERROR(K334/K444, "NA")</f>
        <v>-1.6812567637900119E-2</v>
      </c>
      <c r="M334" s="9"/>
      <c r="N334" s="10">
        <f t="shared" si="81"/>
        <v>36.75</v>
      </c>
      <c r="O334" s="8">
        <f>IFERROR(N334/N444, "NA")</f>
        <v>5.3448403747060275E-3</v>
      </c>
      <c r="P334" s="9"/>
      <c r="Q334" s="7">
        <v>-3013.74</v>
      </c>
      <c r="R334" s="8">
        <f>IFERROR(Q334/Q444, "NA")</f>
        <v>-1.5877821058904947E-2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3013.74</v>
      </c>
      <c r="X334" s="8">
        <f>IFERROR(W334/W444, "NA")</f>
        <v>0.22304652778959891</v>
      </c>
      <c r="Y334" s="9"/>
      <c r="Z334" s="7">
        <v>-2940.24</v>
      </c>
      <c r="AA334" s="8">
        <f>IFERROR(Z334/Z444, "NA")</f>
        <v>-1.8479493145107613E-2</v>
      </c>
      <c r="AB334" s="9"/>
      <c r="AC334" s="10">
        <f t="shared" si="83"/>
        <v>73.5</v>
      </c>
      <c r="AD334" s="8">
        <f>IFERROR(AC334/AC444, "NA")</f>
        <v>2.3941446063342232E-3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5176.8599999999997</v>
      </c>
      <c r="F337" s="8">
        <f>IFERROR(E337/E444, "NA")</f>
        <v>5.2346187836588919E-2</v>
      </c>
      <c r="G337" s="9"/>
      <c r="H337" s="10">
        <f t="shared" ref="H337:H344" si="84">IFERROR(-(B337-E337), "NA")</f>
        <v>5176.8599999999997</v>
      </c>
      <c r="I337" s="8">
        <f>IFERROR(H337/H444, "NA")</f>
        <v>-1.1305458738436536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10353.719999999999</v>
      </c>
      <c r="U337" s="8">
        <f>IFERROR(T337/T444, "NA")</f>
        <v>5.8729032830780195E-2</v>
      </c>
      <c r="V337" s="9"/>
      <c r="W337" s="10">
        <f t="shared" ref="W337:W344" si="86">IFERROR(-(Q337-T337), "NA")</f>
        <v>10353.719999999999</v>
      </c>
      <c r="X337" s="8">
        <f>IFERROR(W337/W444, "NA")</f>
        <v>0.76627754740147658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1725.98</v>
      </c>
      <c r="C338" s="8">
        <f>IFERROR(B338/B444, "NA")</f>
        <v>1.8299675394348791E-2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-1725.98</v>
      </c>
      <c r="I338" s="8">
        <f>IFERROR(H338/H444, "NA")</f>
        <v>0.37692724302698344</v>
      </c>
      <c r="J338" s="9"/>
      <c r="K338" s="7">
        <v>1629.37</v>
      </c>
      <c r="L338" s="8">
        <f>IFERROR(K338/K444, "NA")</f>
        <v>1.8633780461571381E-2</v>
      </c>
      <c r="M338" s="9"/>
      <c r="N338" s="10">
        <f t="shared" si="85"/>
        <v>-96.610000000000127</v>
      </c>
      <c r="O338" s="8">
        <f>IFERROR(N338/N444, "NA")</f>
        <v>-1.4050749077560544E-2</v>
      </c>
      <c r="P338" s="9"/>
      <c r="Q338" s="7">
        <v>3527.35</v>
      </c>
      <c r="R338" s="8">
        <f>IFERROR(Q338/Q444, "NA")</f>
        <v>1.8583763732813171E-2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-3527.35</v>
      </c>
      <c r="X338" s="8">
        <f>IFERROR(W338/W444, "NA")</f>
        <v>-0.2610587408995606</v>
      </c>
      <c r="Y338" s="9"/>
      <c r="Z338" s="7">
        <v>3380.49</v>
      </c>
      <c r="AA338" s="8">
        <f>IFERROR(Z338/Z444, "NA")</f>
        <v>2.1246477084219256E-2</v>
      </c>
      <c r="AB338" s="9"/>
      <c r="AC338" s="10">
        <f t="shared" si="87"/>
        <v>-146.86000000000013</v>
      </c>
      <c r="AD338" s="8">
        <f>IFERROR(AC338/AC444, "NA")</f>
        <v>-4.7837289372278137E-3</v>
      </c>
    </row>
    <row r="339" spans="1:30" ht="16.5" customHeight="1" x14ac:dyDescent="0.45">
      <c r="A339" s="12" t="s">
        <v>309</v>
      </c>
      <c r="B339" s="7">
        <v>1453.41</v>
      </c>
      <c r="C339" s="8">
        <f>IFERROR(B339/B444, "NA")</f>
        <v>1.5409756320988932E-2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-1453.41</v>
      </c>
      <c r="I339" s="8">
        <f>IFERROR(H339/H444, "NA")</f>
        <v>0.3174021855918655</v>
      </c>
      <c r="J339" s="9"/>
      <c r="K339" s="7">
        <v>1150</v>
      </c>
      <c r="L339" s="8">
        <f>IFERROR(K339/K444, "NA")</f>
        <v>1.3151615367170801E-2</v>
      </c>
      <c r="M339" s="9"/>
      <c r="N339" s="10">
        <f t="shared" si="85"/>
        <v>-303.41000000000008</v>
      </c>
      <c r="O339" s="8">
        <f>IFERROR(N339/N444, "NA")</f>
        <v>-4.4127293009239628E-2</v>
      </c>
      <c r="P339" s="9"/>
      <c r="Q339" s="7">
        <v>2520.9</v>
      </c>
      <c r="R339" s="8">
        <f>IFERROR(Q339/Q444, "NA")</f>
        <v>1.3281304660452955E-2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-2520.9</v>
      </c>
      <c r="X339" s="8">
        <f>IFERROR(W339/W444, "NA")</f>
        <v>-0.18657149983236776</v>
      </c>
      <c r="Y339" s="9"/>
      <c r="Z339" s="7">
        <v>2291.4</v>
      </c>
      <c r="AA339" s="8">
        <f>IFERROR(Z339/Z444, "NA")</f>
        <v>1.4401515043907839E-2</v>
      </c>
      <c r="AB339" s="9"/>
      <c r="AC339" s="10">
        <f t="shared" si="87"/>
        <v>-229.5</v>
      </c>
      <c r="AD339" s="8">
        <f>IFERROR(AC339/AC444, "NA")</f>
        <v>-7.4755943830435946E-3</v>
      </c>
    </row>
    <row r="340" spans="1:30" ht="16.5" customHeight="1" x14ac:dyDescent="0.45">
      <c r="A340" s="12" t="s">
        <v>310</v>
      </c>
      <c r="B340" s="7">
        <v>820.63</v>
      </c>
      <c r="C340" s="8">
        <f>IFERROR(B340/B444, "NA")</f>
        <v>8.7007164734611338E-3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-820.63</v>
      </c>
      <c r="I340" s="8">
        <f>IFERROR(H340/H444, "NA")</f>
        <v>0.17921285498397052</v>
      </c>
      <c r="J340" s="9"/>
      <c r="K340" s="7">
        <v>869.06</v>
      </c>
      <c r="L340" s="8">
        <f>IFERROR(K340/K444, "NA")</f>
        <v>9.938732913907353E-3</v>
      </c>
      <c r="M340" s="9"/>
      <c r="N340" s="10">
        <f t="shared" si="85"/>
        <v>48.42999999999995</v>
      </c>
      <c r="O340" s="8">
        <f>IFERROR(N340/N444, "NA")</f>
        <v>7.043554267945922E-3</v>
      </c>
      <c r="P340" s="9"/>
      <c r="Q340" s="7">
        <v>1801.2</v>
      </c>
      <c r="R340" s="8">
        <f>IFERROR(Q340/Q444, "NA")</f>
        <v>9.4895814805854503E-3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-1801.2</v>
      </c>
      <c r="X340" s="8">
        <f>IFERROR(W340/W444, "NA")</f>
        <v>-0.13330659109764798</v>
      </c>
      <c r="Y340" s="9"/>
      <c r="Z340" s="7">
        <v>1771.15</v>
      </c>
      <c r="AA340" s="8">
        <f>IFERROR(Z340/Z444, "NA")</f>
        <v>1.11317287989951E-2</v>
      </c>
      <c r="AB340" s="9"/>
      <c r="AC340" s="10">
        <f t="shared" si="87"/>
        <v>-30.049999999999955</v>
      </c>
      <c r="AD340" s="8">
        <f>IFERROR(AC340/AC444, "NA")</f>
        <v>-9.7883054993664351E-4</v>
      </c>
    </row>
    <row r="341" spans="1:30" ht="16.5" customHeight="1" x14ac:dyDescent="0.45">
      <c r="A341" s="12" t="s">
        <v>311</v>
      </c>
      <c r="B341" s="7">
        <v>1012.86</v>
      </c>
      <c r="C341" s="8">
        <f>IFERROR(B341/B444, "NA")</f>
        <v>1.0738831979466805E-2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-1012.86</v>
      </c>
      <c r="I341" s="8">
        <f>IFERROR(H341/H444, "NA")</f>
        <v>0.22119290337797104</v>
      </c>
      <c r="J341" s="9"/>
      <c r="K341" s="7">
        <v>957.58</v>
      </c>
      <c r="L341" s="8">
        <f>IFERROR(K341/K444, "NA")</f>
        <v>1.0951064211561232E-2</v>
      </c>
      <c r="M341" s="9"/>
      <c r="N341" s="10">
        <f t="shared" si="85"/>
        <v>-55.279999999999973</v>
      </c>
      <c r="O341" s="8">
        <f>IFERROR(N341/N444, "NA")</f>
        <v>-8.0398034262244636E-3</v>
      </c>
      <c r="P341" s="9"/>
      <c r="Q341" s="7">
        <v>2064.56</v>
      </c>
      <c r="R341" s="8">
        <f>IFERROR(Q341/Q444, "NA")</f>
        <v>1.0877087686851819E-2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-2064.56</v>
      </c>
      <c r="X341" s="8">
        <f>IFERROR(W341/W444, "NA")</f>
        <v>-0.15279783239871203</v>
      </c>
      <c r="Y341" s="9"/>
      <c r="Z341" s="7">
        <v>1915.16</v>
      </c>
      <c r="AA341" s="8">
        <f>IFERROR(Z341/Z444, "NA")</f>
        <v>1.2036835799725294E-2</v>
      </c>
      <c r="AB341" s="9"/>
      <c r="AC341" s="10">
        <f t="shared" si="87"/>
        <v>-149.39999999999986</v>
      </c>
      <c r="AD341" s="8">
        <f>IFERROR(AC341/AC444, "NA")</f>
        <v>-4.8664653630793551E-3</v>
      </c>
    </row>
    <row r="342" spans="1:30" ht="16.5" customHeight="1" x14ac:dyDescent="0.45">
      <c r="A342" s="13" t="s">
        <v>312</v>
      </c>
      <c r="B342" s="14">
        <f>IFERROR(B337+B338+B339+B340+B341, "NA")</f>
        <v>5012.88</v>
      </c>
      <c r="C342" s="15">
        <f>IFERROR(B342/B444, "NA")</f>
        <v>5.3148980168265664E-2</v>
      </c>
      <c r="D342" s="2"/>
      <c r="E342" s="14">
        <f>IFERROR(E337+E338+E339+E340+E341, "NA")</f>
        <v>5176.8599999999997</v>
      </c>
      <c r="F342" s="15">
        <f>IFERROR(E342/E444, "NA")</f>
        <v>5.2346187836588919E-2</v>
      </c>
      <c r="G342" s="2"/>
      <c r="H342" s="14">
        <f t="shared" si="84"/>
        <v>163.97999999999956</v>
      </c>
      <c r="I342" s="15">
        <f>IFERROR(H342/H444, "NA")</f>
        <v>-3.5810686862863171E-2</v>
      </c>
      <c r="J342" s="2"/>
      <c r="K342" s="14">
        <f>IFERROR(K337+K338+K339+K340+K341, "NA")</f>
        <v>4606.01</v>
      </c>
      <c r="L342" s="15">
        <f>IFERROR(K342/K444, "NA")</f>
        <v>5.2675192954210769E-2</v>
      </c>
      <c r="M342" s="2"/>
      <c r="N342" s="14">
        <f t="shared" si="85"/>
        <v>-406.86999999999989</v>
      </c>
      <c r="O342" s="15">
        <f>IFERROR(N342/N444, "NA")</f>
        <v>-5.9174291245078663E-2</v>
      </c>
      <c r="P342" s="2"/>
      <c r="Q342" s="14">
        <f>IFERROR(Q337+Q338+Q339+Q340+Q341, "NA")</f>
        <v>9914.01</v>
      </c>
      <c r="R342" s="15">
        <f>IFERROR(Q342/Q444, "NA")</f>
        <v>5.2231737560703394E-2</v>
      </c>
      <c r="S342" s="2"/>
      <c r="T342" s="14">
        <f>IFERROR(T337+T338+T339+T340+T341, "NA")</f>
        <v>10353.719999999999</v>
      </c>
      <c r="U342" s="15">
        <f>IFERROR(T342/T444, "NA")</f>
        <v>5.8729032830780195E-2</v>
      </c>
      <c r="V342" s="2"/>
      <c r="W342" s="14">
        <f t="shared" si="86"/>
        <v>439.70999999999913</v>
      </c>
      <c r="X342" s="15">
        <f>IFERROR(W342/W444, "NA")</f>
        <v>3.254288317318825E-2</v>
      </c>
      <c r="Y342" s="2"/>
      <c r="Z342" s="14">
        <f>IFERROR(Z337+Z338+Z339+Z340+Z341, "NA")</f>
        <v>9358.1999999999989</v>
      </c>
      <c r="AA342" s="15">
        <f>IFERROR(Z342/Z444, "NA")</f>
        <v>5.8816556726847484E-2</v>
      </c>
      <c r="AB342" s="2"/>
      <c r="AC342" s="14">
        <f t="shared" si="87"/>
        <v>-555.81000000000131</v>
      </c>
      <c r="AD342" s="15">
        <f>IFERROR(AC342/AC444, "NA")</f>
        <v>-1.8104619233287451E-2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24590.240000000002</v>
      </c>
      <c r="C343" s="15">
        <f>IFERROR(B343/B444, "NA")</f>
        <v>0.26071762701139728</v>
      </c>
      <c r="D343" s="2"/>
      <c r="E343" s="14">
        <f>IFERROR(E328+E329+E330+E331+E332+E333+E334+E335+E337+E338+E339+E340+E341, "NA")</f>
        <v>24658.86</v>
      </c>
      <c r="F343" s="15">
        <f>IFERROR(E343/E444, "NA")</f>
        <v>0.2493398155244973</v>
      </c>
      <c r="G343" s="2"/>
      <c r="H343" s="14">
        <f t="shared" si="84"/>
        <v>68.619999999998981</v>
      </c>
      <c r="I343" s="15">
        <f>IFERROR(H343/H444, "NA")</f>
        <v>-1.4985542947491408E-2</v>
      </c>
      <c r="J343" s="2"/>
      <c r="K343" s="14">
        <f>IFERROR(K328+K329+K330+K331+K332+K333+K334+K335+K337+K338+K339+K340+K341, "NA")</f>
        <v>23595.180000000004</v>
      </c>
      <c r="L343" s="15">
        <f>IFERROR(K343/K444, "NA")</f>
        <v>0.26983889728622712</v>
      </c>
      <c r="M343" s="2"/>
      <c r="N343" s="14">
        <f t="shared" si="85"/>
        <v>-995.05999999999767</v>
      </c>
      <c r="O343" s="15">
        <f>IFERROR(N343/N444, "NA")</f>
        <v>-0.14471937042870658</v>
      </c>
      <c r="P343" s="2"/>
      <c r="Q343" s="14">
        <f>IFERROR(Q328+Q329+Q330+Q331+Q332+Q333+Q334+Q335+Q337+Q338+Q339+Q340+Q341, "NA")</f>
        <v>48973.439999999995</v>
      </c>
      <c r="R343" s="15">
        <f>IFERROR(Q343/Q444, "NA")</f>
        <v>0.25801546150597526</v>
      </c>
      <c r="S343" s="2"/>
      <c r="T343" s="14">
        <f>IFERROR(T328+T329+T330+T331+T332+T333+T334+T335+T337+T338+T339+T340+T341, "NA")</f>
        <v>49317.72</v>
      </c>
      <c r="U343" s="15">
        <f>IFERROR(T343/T444, "NA")</f>
        <v>0.27974312585420746</v>
      </c>
      <c r="V343" s="2"/>
      <c r="W343" s="14">
        <f t="shared" si="86"/>
        <v>344.28000000000611</v>
      </c>
      <c r="X343" s="15">
        <f>IFERROR(W343/W444, "NA")</f>
        <v>2.5480120576892661E-2</v>
      </c>
      <c r="Y343" s="2"/>
      <c r="Z343" s="14">
        <f>IFERROR(Z328+Z329+Z330+Z331+Z332+Z333+Z334+Z335+Z337+Z338+Z339+Z340+Z341, "NA")</f>
        <v>47336.540000000008</v>
      </c>
      <c r="AA343" s="15">
        <f>IFERROR(Z343/Z444, "NA")</f>
        <v>0.29751151825807159</v>
      </c>
      <c r="AB343" s="2"/>
      <c r="AC343" s="14">
        <f t="shared" si="87"/>
        <v>-1636.8999999999869</v>
      </c>
      <c r="AD343" s="15">
        <f>IFERROR(AC343/AC444, "NA")</f>
        <v>-5.3319391919842973E-2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24590.240000000002</v>
      </c>
      <c r="C344" s="15">
        <f>IFERROR(B344/B444, "NA")</f>
        <v>0.26071762701139728</v>
      </c>
      <c r="D344" s="2"/>
      <c r="E344" s="14">
        <f>IFERROR(E328+E329+E330+E331+E332+E333+E334+E335+E337+E338+E339+E340+E341, "NA")</f>
        <v>24658.86</v>
      </c>
      <c r="F344" s="15">
        <f>IFERROR(E344/E444, "NA")</f>
        <v>0.2493398155244973</v>
      </c>
      <c r="G344" s="2"/>
      <c r="H344" s="14">
        <f t="shared" si="84"/>
        <v>68.619999999998981</v>
      </c>
      <c r="I344" s="15">
        <f>IFERROR(H344/H444, "NA")</f>
        <v>-1.4985542947491408E-2</v>
      </c>
      <c r="J344" s="2"/>
      <c r="K344" s="14">
        <f>IFERROR(K328+K329+K330+K331+K332+K333+K334+K335+K337+K338+K339+K340+K341, "NA")</f>
        <v>23595.180000000004</v>
      </c>
      <c r="L344" s="15">
        <f>IFERROR(K344/K444, "NA")</f>
        <v>0.26983889728622712</v>
      </c>
      <c r="M344" s="2"/>
      <c r="N344" s="14">
        <f t="shared" si="85"/>
        <v>-995.05999999999767</v>
      </c>
      <c r="O344" s="15">
        <f>IFERROR(N344/N444, "NA")</f>
        <v>-0.14471937042870658</v>
      </c>
      <c r="P344" s="2"/>
      <c r="Q344" s="14">
        <f>IFERROR(Q328+Q329+Q330+Q331+Q332+Q333+Q334+Q335+Q337+Q338+Q339+Q340+Q341, "NA")</f>
        <v>48973.439999999995</v>
      </c>
      <c r="R344" s="15">
        <f>IFERROR(Q344/Q444, "NA")</f>
        <v>0.25801546150597526</v>
      </c>
      <c r="S344" s="2"/>
      <c r="T344" s="14">
        <f>IFERROR(T328+T329+T330+T331+T332+T333+T334+T335+T337+T338+T339+T340+T341, "NA")</f>
        <v>49317.72</v>
      </c>
      <c r="U344" s="15">
        <f>IFERROR(T344/T444, "NA")</f>
        <v>0.27974312585420746</v>
      </c>
      <c r="V344" s="2"/>
      <c r="W344" s="14">
        <f t="shared" si="86"/>
        <v>344.28000000000611</v>
      </c>
      <c r="X344" s="15">
        <f>IFERROR(W344/W444, "NA")</f>
        <v>2.5480120576892661E-2</v>
      </c>
      <c r="Y344" s="2"/>
      <c r="Z344" s="14">
        <f>IFERROR(Z328+Z329+Z330+Z331+Z332+Z333+Z334+Z335+Z337+Z338+Z339+Z340+Z341, "NA")</f>
        <v>47336.540000000008</v>
      </c>
      <c r="AA344" s="15">
        <f>IFERROR(Z344/Z444, "NA")</f>
        <v>0.29751151825807159</v>
      </c>
      <c r="AB344" s="2"/>
      <c r="AC344" s="14">
        <f t="shared" si="87"/>
        <v>-1636.8999999999869</v>
      </c>
      <c r="AD344" s="15">
        <f>IFERROR(AC344/AC444, "NA")</f>
        <v>-5.3319391919842973E-2</v>
      </c>
    </row>
    <row r="345" spans="1:30" ht="16.5" customHeight="1" x14ac:dyDescent="0.45">
      <c r="A345" s="22" t="s">
        <v>315</v>
      </c>
      <c r="B345" s="23">
        <f>IFERROR(B198-B325-B344, "NA")</f>
        <v>-14144.830000000009</v>
      </c>
      <c r="C345" s="24">
        <f>IFERROR(B345/B444, "NA")</f>
        <v>-0.14997033424967077</v>
      </c>
      <c r="D345" s="25"/>
      <c r="E345" s="23">
        <f>IFERROR(E198-E325-E344, "NA")</f>
        <v>-2842.8300000000017</v>
      </c>
      <c r="F345" s="24">
        <f>IFERROR(E345/E444, "NA")</f>
        <v>-2.8745477599836613E-2</v>
      </c>
      <c r="G345" s="25"/>
      <c r="H345" s="23">
        <f>IFERROR(B345-E345, "NA")</f>
        <v>-11302.000000000007</v>
      </c>
      <c r="I345" s="24">
        <f>IFERROR(H345/H444, "NA")</f>
        <v>2.4681813814128608</v>
      </c>
      <c r="J345" s="25"/>
      <c r="K345" s="23">
        <f>IFERROR(K198-K325-K344, "NA")</f>
        <v>-9716.539999999979</v>
      </c>
      <c r="L345" s="24">
        <f>IFERROR(K345/K444, "NA")</f>
        <v>-0.11112017111280827</v>
      </c>
      <c r="M345" s="25"/>
      <c r="N345" s="23">
        <f>IFERROR(B345-K345, "NA")</f>
        <v>-4428.29000000003</v>
      </c>
      <c r="O345" s="24">
        <f>IFERROR(N345/N444, "NA")</f>
        <v>-0.64404090293624805</v>
      </c>
      <c r="P345" s="25"/>
      <c r="Q345" s="23">
        <f>IFERROR(Q198-Q325-Q344, "NA")</f>
        <v>-21442.279999999977</v>
      </c>
      <c r="R345" s="24">
        <f>IFERROR(Q345/Q444, "NA")</f>
        <v>-0.11296816743811212</v>
      </c>
      <c r="S345" s="25"/>
      <c r="T345" s="23">
        <f>IFERROR(T198-T325-T344, "NA")</f>
        <v>-15813.89999999998</v>
      </c>
      <c r="U345" s="24">
        <f>IFERROR(T345/T444, "NA")</f>
        <v>-8.9700615071942616E-2</v>
      </c>
      <c r="V345" s="25"/>
      <c r="W345" s="23">
        <f>IFERROR(Q345-T345, "NA")</f>
        <v>-5628.3799999999974</v>
      </c>
      <c r="X345" s="24">
        <f>IFERROR(W345/W444, "NA")</f>
        <v>-0.41655571352552717</v>
      </c>
      <c r="Y345" s="25"/>
      <c r="Z345" s="23">
        <f>IFERROR(Z198-Z325-Z344, "NA")</f>
        <v>-27949.630000000016</v>
      </c>
      <c r="AA345" s="24">
        <f>IFERROR(Z345/Z444, "NA")</f>
        <v>-0.17566423012859303</v>
      </c>
      <c r="AB345" s="25"/>
      <c r="AC345" s="23">
        <f>IFERROR(Q345-Z345, "NA")</f>
        <v>6507.3500000000386</v>
      </c>
      <c r="AD345" s="24">
        <f>IFERROR(AC345/AC444, "NA")</f>
        <v>0.21196648849019181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-14144.830000000009</v>
      </c>
      <c r="C404" s="24">
        <f>IFERROR(B404/B444, "NA")</f>
        <v>-0.14997033424967077</v>
      </c>
      <c r="D404" s="25"/>
      <c r="E404" s="23">
        <f>IFERROR(E345-E403, "NA")</f>
        <v>-2842.8300000000017</v>
      </c>
      <c r="F404" s="24">
        <f>IFERROR(E404/E444, "NA")</f>
        <v>-2.8745477599836613E-2</v>
      </c>
      <c r="G404" s="25"/>
      <c r="H404" s="23">
        <f>IFERROR(B404-E404, "NA")</f>
        <v>-11302.000000000007</v>
      </c>
      <c r="I404" s="24">
        <f>IFERROR(H404/H444, "NA")</f>
        <v>2.4681813814128608</v>
      </c>
      <c r="J404" s="25"/>
      <c r="K404" s="23">
        <f>IFERROR(K345-K403, "NA")</f>
        <v>-9716.539999999979</v>
      </c>
      <c r="L404" s="24">
        <f>IFERROR(K404/K444, "NA")</f>
        <v>-0.11112017111280827</v>
      </c>
      <c r="M404" s="25"/>
      <c r="N404" s="23">
        <f>IFERROR(B404-K404, "NA")</f>
        <v>-4428.29000000003</v>
      </c>
      <c r="O404" s="24">
        <f>IFERROR(N404/N444, "NA")</f>
        <v>-0.64404090293624805</v>
      </c>
      <c r="P404" s="25"/>
      <c r="Q404" s="23">
        <f>IFERROR(Q345-Q403, "NA")</f>
        <v>-21442.279999999977</v>
      </c>
      <c r="R404" s="24">
        <f>IFERROR(Q404/Q444, "NA")</f>
        <v>-0.11296816743811212</v>
      </c>
      <c r="S404" s="25"/>
      <c r="T404" s="23">
        <f>IFERROR(T345-T403, "NA")</f>
        <v>-15813.89999999998</v>
      </c>
      <c r="U404" s="24">
        <f>IFERROR(T404/T444, "NA")</f>
        <v>-8.9700615071942616E-2</v>
      </c>
      <c r="V404" s="25"/>
      <c r="W404" s="23">
        <f>IFERROR(Q404-T404, "NA")</f>
        <v>-5628.3799999999974</v>
      </c>
      <c r="X404" s="24">
        <f>IFERROR(W404/W444, "NA")</f>
        <v>-0.41655571352552717</v>
      </c>
      <c r="Y404" s="25"/>
      <c r="Z404" s="23">
        <f>IFERROR(Z345-Z403, "NA")</f>
        <v>-27949.630000000016</v>
      </c>
      <c r="AA404" s="24">
        <f>IFERROR(Z404/Z444, "NA")</f>
        <v>-0.17566423012859303</v>
      </c>
      <c r="AB404" s="25"/>
      <c r="AC404" s="23">
        <f>IFERROR(Q404-Z404, "NA")</f>
        <v>6507.3500000000386</v>
      </c>
      <c r="AD404" s="24">
        <f>IFERROR(AC404/AC444, "NA")</f>
        <v>0.21196648849019181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9780.9</v>
      </c>
      <c r="C410" s="8">
        <f>IFERROR(B410/B444, "NA")</f>
        <v>0.1037018360957752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-9780.9</v>
      </c>
      <c r="I410" s="8">
        <f>IFERROR(H410/H444, "NA")</f>
        <v>2.1359967504389519</v>
      </c>
      <c r="J410" s="9"/>
      <c r="K410" s="7">
        <v>9772.7999999999993</v>
      </c>
      <c r="L410" s="8">
        <f>IFERROR(K410/K444, "NA")</f>
        <v>0.11176357100894505</v>
      </c>
      <c r="M410" s="9"/>
      <c r="N410" s="10">
        <f t="shared" si="101"/>
        <v>-8.1000000000003638</v>
      </c>
      <c r="O410" s="8">
        <f>IFERROR(N410/N444, "NA")</f>
        <v>-1.1780464499352591E-3</v>
      </c>
      <c r="P410" s="9"/>
      <c r="Q410" s="7">
        <v>19561.8</v>
      </c>
      <c r="R410" s="8">
        <f>IFERROR(Q410/Q444, "NA")</f>
        <v>0.10306090106979594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-19561.8</v>
      </c>
      <c r="X410" s="8">
        <f>IFERROR(W410/W444, "NA")</f>
        <v>-1.447766418906268</v>
      </c>
      <c r="Y410" s="9"/>
      <c r="Z410" s="7">
        <v>19085.79</v>
      </c>
      <c r="AA410" s="8">
        <f>IFERROR(Z410/Z444, "NA")</f>
        <v>0.11995474025044331</v>
      </c>
      <c r="AB410" s="9"/>
      <c r="AC410" s="10">
        <f t="shared" si="103"/>
        <v>-476.0099999999984</v>
      </c>
      <c r="AD410" s="8">
        <f>IFERROR(AC410/AC444, "NA")</f>
        <v>-1.5505262232124485E-2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-51.05</v>
      </c>
      <c r="C416" s="8">
        <f>IFERROR(B416/B444, "NA")</f>
        <v>-5.4125680997549547E-4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51.05</v>
      </c>
      <c r="I416" s="8">
        <f>IFERROR(H416/H444, "NA")</f>
        <v>-1.1148527651842724E-2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51.05</v>
      </c>
      <c r="O416" s="8">
        <f>IFERROR(N416/N444, "NA")</f>
        <v>7.4246013912583047E-3</v>
      </c>
      <c r="P416" s="9"/>
      <c r="Q416" s="7">
        <v>-102.8</v>
      </c>
      <c r="R416" s="8">
        <f>IFERROR(Q416/Q444, "NA")</f>
        <v>-5.4159947601831236E-4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102.8</v>
      </c>
      <c r="X416" s="8">
        <f>IFERROR(W416/W444, "NA")</f>
        <v>7.6082153924262779E-3</v>
      </c>
      <c r="Y416" s="9"/>
      <c r="Z416" s="7">
        <v>-48.11</v>
      </c>
      <c r="AA416" s="8">
        <f>IFERROR(Z416/Z444, "NA")</f>
        <v>-3.0237273665113297E-4</v>
      </c>
      <c r="AB416" s="9"/>
      <c r="AC416" s="10">
        <f t="shared" si="103"/>
        <v>54.69</v>
      </c>
      <c r="AD416" s="8">
        <f>IFERROR(AC416/AC444, "NA")</f>
        <v>1.7814390274886892E-3</v>
      </c>
    </row>
    <row r="417" spans="1:30" ht="16.5" customHeight="1" x14ac:dyDescent="0.45">
      <c r="A417" s="6" t="s">
        <v>382</v>
      </c>
      <c r="B417" s="7">
        <v>-43.32</v>
      </c>
      <c r="C417" s="8">
        <f>IFERROR(B417/B444, "NA")</f>
        <v>-4.5929960838664969E-4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43.32</v>
      </c>
      <c r="I417" s="8">
        <f>IFERROR(H417/H444, "NA")</f>
        <v>-9.4604156293403886E-3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43.32</v>
      </c>
      <c r="O417" s="8">
        <f>IFERROR(N417/N444, "NA")</f>
        <v>6.3003669396534722E-3</v>
      </c>
      <c r="P417" s="9"/>
      <c r="Q417" s="7">
        <v>33.86</v>
      </c>
      <c r="R417" s="8">
        <f>IFERROR(Q417/Q444, "NA")</f>
        <v>1.7839064453287993E-4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-33.86</v>
      </c>
      <c r="X417" s="8">
        <f>IFERROR(W417/W444, "NA")</f>
        <v>-2.5059744473497447E-3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-33.86</v>
      </c>
      <c r="AD417" s="8">
        <f>IFERROR(AC417/AC444, "NA")</f>
        <v>-1.10293518871397E-3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1.5385750557513482E-4</v>
      </c>
      <c r="AB424" s="9"/>
      <c r="AC424" s="10">
        <f t="shared" si="103"/>
        <v>24.48</v>
      </c>
      <c r="AD424" s="8">
        <f>IFERROR(AC424/AC444, "NA")</f>
        <v>7.973967341913167E-4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9686.5300000000007</v>
      </c>
      <c r="C428" s="15">
        <f>IFERROR(B428/B444, "NA")</f>
        <v>0.10270127967741306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-9686.5300000000007</v>
      </c>
      <c r="I428" s="15">
        <f>IFERROR(H428/H444, "NA")</f>
        <v>2.1153878071577692</v>
      </c>
      <c r="J428" s="2"/>
      <c r="K428" s="14">
        <f>IFERROR(K407+K408+K409+K410+K411+K412+K413+K414+K415+K416+K417+K418+K419+K420+K421+K422+K423+K424+K425+K426+K427, "NA")</f>
        <v>9772.7999999999993</v>
      </c>
      <c r="L428" s="15">
        <f>IFERROR(K428/K444, "NA")</f>
        <v>0.11176357100894505</v>
      </c>
      <c r="M428" s="2"/>
      <c r="N428" s="14">
        <f t="shared" si="101"/>
        <v>86.269999999998618</v>
      </c>
      <c r="O428" s="15">
        <f>IFERROR(N428/N444, "NA")</f>
        <v>1.2546921880976371E-2</v>
      </c>
      <c r="P428" s="2"/>
      <c r="Q428" s="14">
        <f>IFERROR(Q407+Q408+Q409+Q410+Q411+Q412+Q413+Q414+Q415+Q416+Q417+Q418+Q419+Q420+Q421+Q422+Q423+Q424+Q425+Q426+Q427, "NA")</f>
        <v>19492.86</v>
      </c>
      <c r="R428" s="15">
        <f>IFERROR(Q428/Q444, "NA")</f>
        <v>0.10269769223831052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-19492.86</v>
      </c>
      <c r="X428" s="15">
        <f>IFERROR(W428/W444, "NA")</f>
        <v>-1.4426641779611915</v>
      </c>
      <c r="Y428" s="2"/>
      <c r="Z428" s="14">
        <f>IFERROR(Z407+Z408+Z409+Z410+Z411+Z412+Z413+Z414+Z415+Z416+Z417+Z418+Z419+Z420+Z421+Z422+Z423+Z424+Z425+Z426+Z427, "NA")</f>
        <v>19062.16</v>
      </c>
      <c r="AA428" s="15">
        <f>IFERROR(Z428/Z444, "NA")</f>
        <v>0.1198062250193673</v>
      </c>
      <c r="AB428" s="2"/>
      <c r="AC428" s="14">
        <f t="shared" si="103"/>
        <v>-430.70000000000073</v>
      </c>
      <c r="AD428" s="15">
        <f>IFERROR(AC428/AC444, "NA")</f>
        <v>-1.4029361659158525E-2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9686.5300000000007</v>
      </c>
      <c r="C429" s="15">
        <f>IFERROR(B429/B444, "NA")</f>
        <v>0.10270127967741306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-9686.5300000000007</v>
      </c>
      <c r="I429" s="15">
        <f>IFERROR(H429/H444, "NA")</f>
        <v>2.1153878071577692</v>
      </c>
      <c r="J429" s="2"/>
      <c r="K429" s="14">
        <f>IFERROR(K407+K408+K409+K410+K411+K412+K413+K414+K415+K416+K417+K418+K419+K420+K421+K422+K423+K424+K425+K426+K427, "NA")</f>
        <v>9772.7999999999993</v>
      </c>
      <c r="L429" s="15">
        <f>IFERROR(K429/K444, "NA")</f>
        <v>0.11176357100894505</v>
      </c>
      <c r="M429" s="2"/>
      <c r="N429" s="14">
        <f t="shared" si="101"/>
        <v>86.269999999998618</v>
      </c>
      <c r="O429" s="15">
        <f>IFERROR(N429/N444, "NA")</f>
        <v>1.2546921880976371E-2</v>
      </c>
      <c r="P429" s="2"/>
      <c r="Q429" s="14">
        <f>IFERROR(Q407+Q408+Q409+Q410+Q411+Q412+Q413+Q414+Q415+Q416+Q417+Q418+Q419+Q420+Q421+Q422+Q423+Q424+Q425+Q426+Q427, "NA")</f>
        <v>19492.86</v>
      </c>
      <c r="R429" s="15">
        <f>IFERROR(Q429/Q444, "NA")</f>
        <v>0.10269769223831052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-19492.86</v>
      </c>
      <c r="X429" s="15">
        <f>IFERROR(W429/W444, "NA")</f>
        <v>-1.4426641779611915</v>
      </c>
      <c r="Y429" s="2"/>
      <c r="Z429" s="14">
        <f>IFERROR(Z407+Z408+Z409+Z410+Z411+Z412+Z413+Z414+Z415+Z416+Z417+Z418+Z419+Z420+Z421+Z422+Z423+Z424+Z425+Z426+Z427, "NA")</f>
        <v>19062.16</v>
      </c>
      <c r="AA429" s="15">
        <f>IFERROR(Z429/Z444, "NA")</f>
        <v>0.1198062250193673</v>
      </c>
      <c r="AB429" s="2"/>
      <c r="AC429" s="14">
        <f t="shared" si="103"/>
        <v>-430.70000000000073</v>
      </c>
      <c r="AD429" s="15">
        <f>IFERROR(AC429/AC444, "NA")</f>
        <v>-1.4029361659158525E-2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-23831.360000000008</v>
      </c>
      <c r="C443" s="24">
        <f>IFERROR(B443/B444, "NA")</f>
        <v>-0.25267161392708382</v>
      </c>
      <c r="D443" s="25"/>
      <c r="E443" s="23">
        <f>IFERROR(E404-E429-E442, "NA")</f>
        <v>-2842.8300000000017</v>
      </c>
      <c r="F443" s="24">
        <f>IFERROR(E443/E444, "NA")</f>
        <v>-2.8745477599836613E-2</v>
      </c>
      <c r="G443" s="25"/>
      <c r="H443" s="23">
        <f>IFERROR(B443-E443, "NA")</f>
        <v>-20988.530000000006</v>
      </c>
      <c r="I443" s="24">
        <f>IFERROR(H443/H444, "NA")</f>
        <v>4.5835691885706291</v>
      </c>
      <c r="J443" s="25"/>
      <c r="K443" s="23">
        <f>IFERROR(K404-K429-K442, "NA")</f>
        <v>-19489.339999999978</v>
      </c>
      <c r="L443" s="24">
        <f>IFERROR(K443/K444, "NA")</f>
        <v>-0.2228837421217533</v>
      </c>
      <c r="M443" s="25"/>
      <c r="N443" s="23">
        <f>IFERROR(B443-K443, "NA")</f>
        <v>-4342.0200000000295</v>
      </c>
      <c r="O443" s="24">
        <f>IFERROR(N443/N444, "NA")</f>
        <v>-0.63149398105527133</v>
      </c>
      <c r="P443" s="25"/>
      <c r="Q443" s="23">
        <f>IFERROR(Q404-Q429-Q442, "NA")</f>
        <v>-40935.139999999978</v>
      </c>
      <c r="R443" s="24">
        <f>IFERROR(Q443/Q444, "NA")</f>
        <v>-0.21566585967642263</v>
      </c>
      <c r="S443" s="25"/>
      <c r="T443" s="23">
        <f>IFERROR(T404-T429-T442, "NA")</f>
        <v>-15813.89999999998</v>
      </c>
      <c r="U443" s="24">
        <f>IFERROR(T443/T444, "NA")</f>
        <v>-8.9700615071942616E-2</v>
      </c>
      <c r="V443" s="25"/>
      <c r="W443" s="23">
        <f>IFERROR(Q443-T443, "NA")</f>
        <v>-25121.239999999998</v>
      </c>
      <c r="X443" s="24">
        <f>IFERROR(W443/W444, "NA")</f>
        <v>-1.8592198914867188</v>
      </c>
      <c r="Y443" s="25"/>
      <c r="Z443" s="23">
        <f>IFERROR(Z404-Z429-Z442, "NA")</f>
        <v>-47011.790000000015</v>
      </c>
      <c r="AA443" s="24">
        <f>IFERROR(Z443/Z444, "NA")</f>
        <v>-0.29547045514796033</v>
      </c>
      <c r="AB443" s="25"/>
      <c r="AC443" s="23">
        <f>IFERROR(Q443-Z443, "NA")</f>
        <v>6076.6500000000378</v>
      </c>
      <c r="AD443" s="24">
        <f>IFERROR(AC443/AC444, "NA")</f>
        <v>0.19793712683103329</v>
      </c>
    </row>
    <row r="444" spans="1:30" ht="15.75" hidden="1" x14ac:dyDescent="0.45">
      <c r="A444" s="26" t="s">
        <v>117</v>
      </c>
      <c r="B444" s="7">
        <v>94317.52</v>
      </c>
      <c r="C444" s="27"/>
      <c r="D444" s="9"/>
      <c r="E444" s="7">
        <v>98896.6</v>
      </c>
      <c r="F444" s="27"/>
      <c r="G444" s="9"/>
      <c r="H444" s="10">
        <f>IFERROR(B444-E444, "NA")</f>
        <v>-4579.0800000000017</v>
      </c>
      <c r="I444" s="27"/>
      <c r="J444" s="9"/>
      <c r="K444" s="7">
        <v>87441.73</v>
      </c>
      <c r="L444" s="27"/>
      <c r="M444" s="9"/>
      <c r="N444" s="10">
        <f>IFERROR(B444-K444, "NA")</f>
        <v>6875.7900000000081</v>
      </c>
      <c r="O444" s="27"/>
      <c r="P444" s="9"/>
      <c r="Q444" s="7">
        <v>189808.16</v>
      </c>
      <c r="R444" s="27"/>
      <c r="S444" s="9"/>
      <c r="T444" s="7">
        <v>176296.45</v>
      </c>
      <c r="U444" s="27"/>
      <c r="V444" s="9"/>
      <c r="W444" s="10">
        <f>IFERROR(Q444-T444, "NA")</f>
        <v>13511.709999999992</v>
      </c>
      <c r="X444" s="27"/>
      <c r="Y444" s="9"/>
      <c r="Z444" s="7">
        <v>159108.26</v>
      </c>
      <c r="AA444" s="27"/>
      <c r="AB444" s="9"/>
      <c r="AC444" s="10">
        <f>IFERROR(Q444-Z444, "NA")</f>
        <v>30699.899999999994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2026-04-07T01:49:48Z</dcterms:created>
  <dcterms:modified xsi:type="dcterms:W3CDTF">2026-04-07T01:50:25Z</dcterms:modified>
</cp:coreProperties>
</file>